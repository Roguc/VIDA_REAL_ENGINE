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ea15d2dd237533b/Escritorio/VIDA_REAL_ENGINE/Excel/"/>
    </mc:Choice>
  </mc:AlternateContent>
  <xr:revisionPtr revIDLastSave="15" documentId="8_{2AD3C27A-98FA-47CC-9D8B-832904EE86CD}" xr6:coauthVersionLast="47" xr6:coauthVersionMax="47" xr10:uidLastSave="{3146EC6D-F848-4BC9-A825-0C2BA6251E5B}"/>
  <bookViews>
    <workbookView xWindow="-110" yWindow="-110" windowWidth="19420" windowHeight="10300" xr2:uid="{00000000-000D-0000-FFFF-FFFF00000000}"/>
  </bookViews>
  <sheets>
    <sheet name="VISION_BOARD" sheetId="153" r:id="rId1"/>
    <sheet name="SERPAT TURNOS" sheetId="150" r:id="rId2"/>
    <sheet name="PENDIENTES" sheetId="151" r:id="rId3"/>
    <sheet name="DESARROLLO_PERSONAL" sheetId="152" r:id="rId4"/>
    <sheet name="00_GENERADOR_DIA" sheetId="1" r:id="rId5"/>
    <sheet name="00_MOTOR_VIDA_REAL" sheetId="2" r:id="rId6"/>
    <sheet name="00_REGLAS_VIDA_REAL" sheetId="3" r:id="rId7"/>
    <sheet name="00_PLANTILLAS_BLOQUES" sheetId="4" r:id="rId8"/>
    <sheet name="03_Objetivos_Metas_V4" sheetId="5" r:id="rId9"/>
    <sheet name="94_Auditoria_Operativa_C31" sheetId="6" r:id="rId10"/>
    <sheet name="00_MAPA_OPERATIVO_FINAL" sheetId="7" r:id="rId11"/>
    <sheet name="00_INDICE_OPERATIVO" sheetId="8" r:id="rId12"/>
    <sheet name="00_Indice_V6" sheetId="9" r:id="rId13"/>
    <sheet name="05_Estructura_Mensual_2026" sheetId="10" r:id="rId14"/>
    <sheet name="SEC_01_CEO_CONTROL" sheetId="11" r:id="rId15"/>
    <sheet name="20_Registro_Diario" sheetId="12" r:id="rId16"/>
    <sheet name="21_KPI_Diario" sheetId="13" r:id="rId17"/>
    <sheet name="22_KPI_Semanal_V4" sheetId="14" r:id="rId18"/>
    <sheet name="24_KPI_Mensual_V4" sheetId="15" r:id="rId19"/>
    <sheet name="23_Domingo_CEO" sheetId="16" r:id="rId20"/>
    <sheet name="02_Control_Junio" sheetId="17" r:id="rId21"/>
    <sheet name="90_Alertas_Correcciones" sheetId="18" r:id="rId22"/>
    <sheet name="04_Score_Ejecutivo_Consolidado" sheetId="19" r:id="rId23"/>
    <sheet name="SEC_02_FINANZAS" sheetId="20" r:id="rId24"/>
    <sheet name="10_Patrimonio_Financiero" sheetId="21" r:id="rId25"/>
    <sheet name="11_Ingresos" sheetId="22" r:id="rId26"/>
    <sheet name="12_Gastos" sheetId="23" r:id="rId27"/>
    <sheet name="13_Deudas" sheetId="24" r:id="rId28"/>
    <sheet name="14_Inversiones" sheetId="25" r:id="rId29"/>
    <sheet name="09_Posicion_Actual" sheetId="26" r:id="rId30"/>
    <sheet name="15_Historial_Diario" sheetId="27" r:id="rId31"/>
    <sheet name="16_Posicion_Actual_AUTO" sheetId="28" r:id="rId32"/>
    <sheet name="17_Dashboard_Inversiones" sheetId="29" r:id="rId33"/>
    <sheet name="18_Conciliacion_Bancaria_V3" sheetId="30" r:id="rId34"/>
    <sheet name="18_Conciliacion_Bancaria_V2" sheetId="31" r:id="rId35"/>
    <sheet name="08_Rentabilidad_Inversiones" sheetId="32" r:id="rId36"/>
    <sheet name="12_Rentabilidad_Mensual" sheetId="33" r:id="rId37"/>
    <sheet name="07_Evolucion_Patrimonial" sheetId="34" r:id="rId38"/>
    <sheet name="16_Balance_8Col_V4" sheetId="35" r:id="rId39"/>
    <sheet name="SEC_03_VIDA_REAL_SALUD" sheetId="36" r:id="rId40"/>
    <sheet name="H00_Dashboard_Health" sheetId="37" r:id="rId41"/>
    <sheet name="H01_Maestro_Salud" sheetId="38" r:id="rId42"/>
    <sheet name="H02_Registro_Salud" sheetId="39" r:id="rId43"/>
    <sheet name="H03_Documentos" sheetId="40" r:id="rId44"/>
    <sheet name="H04_Seguros_Beneficios" sheetId="41" r:id="rId45"/>
    <sheet name="SEC_03_UNIVERSIDAD_T2" sheetId="42" r:id="rId46"/>
    <sheet name="_LISTAS_UNIVERSIDAD_T2" sheetId="43" r:id="rId47"/>
    <sheet name="UNIVERSIDAD_MASTER_T2_2026" sheetId="44" r:id="rId48"/>
    <sheet name="55_T2_CONTENIDOS_Y_AVANCE" sheetId="45" r:id="rId49"/>
    <sheet name="56_T2_ESTUDIO_Y_ERRORES" sheetId="46" r:id="rId50"/>
    <sheet name="57_T2_EVALUACIONES_NOTAS" sheetId="47" r:id="rId51"/>
    <sheet name="58_DASHBOARD_ACADEMICO_T2" sheetId="48" r:id="rId52"/>
    <sheet name="54_Ramos_Activos" sheetId="49" r:id="rId53"/>
    <sheet name="57_Matriz_Prioridad" sheetId="50" r:id="rId54"/>
    <sheet name="58_Dashboard_Academico" sheetId="51" r:id="rId55"/>
    <sheet name="59_Control_Trimestral" sheetId="52" r:id="rId56"/>
    <sheet name="61_T2_Ramos" sheetId="53" r:id="rId57"/>
    <sheet name="62_T2_Evaluaciones" sheetId="54" r:id="rId58"/>
    <sheet name="63_T2_Bloques" sheetId="55" r:id="rId59"/>
    <sheet name="66_T2_Calendario" sheetId="56" r:id="rId60"/>
    <sheet name="65_T2_Dashboard" sheetId="57" r:id="rId61"/>
    <sheet name="T2_CONTENIDOS_SEM1_SEM4" sheetId="58" r:id="rId62"/>
    <sheet name="64_T2_Errores" sheetId="59" r:id="rId63"/>
    <sheet name="50_Universidad_Master" sheetId="60" r:id="rId64"/>
    <sheet name="51_Bloques_Estudio" sheetId="61" r:id="rId65"/>
    <sheet name="52_Calendario_Academico" sheetId="62" r:id="rId66"/>
    <sheet name="53_Errores_Aprendizaje" sheetId="63" r:id="rId67"/>
    <sheet name="55_Evaluaciones" sheetId="64" r:id="rId68"/>
    <sheet name="56_Notas" sheetId="65" r:id="rId69"/>
    <sheet name="56_Repaso_Inteligente" sheetId="66" r:id="rId70"/>
    <sheet name="SEC_04_MGC_MARKET_INTEL" sheetId="67" r:id="rId71"/>
    <sheet name="30_MGC_CRM" sheetId="68" r:id="rId72"/>
    <sheet name="31_Red_Holding" sheetId="69" r:id="rId73"/>
    <sheet name="32_Oportunidades" sheetId="70" r:id="rId74"/>
    <sheet name="33_Seguimientos" sheetId="71" r:id="rId75"/>
    <sheet name="40_Estudio_Empresas" sheetId="72" r:id="rId76"/>
    <sheet name="41_Clasificacion_Empresas" sheetId="73" r:id="rId77"/>
    <sheet name="42_Mapa_Mercado" sheetId="74" r:id="rId78"/>
    <sheet name="43_Guia_Oportun" sheetId="75" r:id="rId79"/>
    <sheet name="70_Mercado_MGC" sheetId="76" r:id="rId80"/>
    <sheet name="SEC_05_LATITUD_NORTE_RE" sheetId="77" r:id="rId81"/>
    <sheet name="71_Mercado_LNR" sheetId="78" r:id="rId82"/>
    <sheet name="72_Competencia" sheetId="79" r:id="rId83"/>
    <sheet name="73_Campañas" sheetId="80" r:id="rId84"/>
    <sheet name="74_Analisis_Web" sheetId="81" r:id="rId85"/>
    <sheet name="75_Redes_Sociales" sheetId="82" r:id="rId86"/>
    <sheet name="SEC_06_CAPTAPROPIA" sheetId="83" r:id="rId87"/>
    <sheet name="76_CaptaPropIA" sheetId="84" r:id="rId88"/>
    <sheet name="78_Stack_Tecnologico" sheetId="85" r:id="rId89"/>
    <sheet name="79_CaptaPropIA_Fase_C3" sheetId="86" r:id="rId90"/>
    <sheet name="80_CaptaPropIA_Fase_C4" sheetId="87" r:id="rId91"/>
    <sheet name="81_CaptaPropIA_Fase_C5" sheetId="88" r:id="rId92"/>
    <sheet name="SEC_07_LNH_CORPORATE" sheetId="89" r:id="rId93"/>
    <sheet name="82_LNH_Corporate_System" sheetId="90" r:id="rId94"/>
    <sheet name="44_Salud" sheetId="91" r:id="rId95"/>
    <sheet name="C3_ARQUITECTURA_FINAL" sheetId="92" r:id="rId96"/>
    <sheet name="C2_CONSOLIDACION" sheetId="93" r:id="rId97"/>
    <sheet name="C1_CONSOLIDACION" sheetId="94" r:id="rId98"/>
    <sheet name="CLASIFICACION_MANUAL" sheetId="95" r:id="rId99"/>
    <sheet name="00_Dashboard_V4" sheetId="96" r:id="rId100"/>
    <sheet name="FASE_03_LIMPIEZA" sheetId="97" r:id="rId101"/>
    <sheet name="01_Score_Mayo" sheetId="98" r:id="rId102"/>
    <sheet name="19_Mapa_Sistema" sheetId="99" r:id="rId103"/>
    <sheet name="20_Registro_CEO_V4" sheetId="100" r:id="rId104"/>
    <sheet name="98_KPI_Framework_V6_2" sheetId="101" r:id="rId105"/>
    <sheet name="39_Flujo_Empresas_V6_4" sheetId="102" r:id="rId106"/>
    <sheet name="41_Dossier_Template" sheetId="103" r:id="rId107"/>
    <sheet name="06_Patrimonio_Neto" sheetId="104" r:id="rId108"/>
    <sheet name="10_Apertura" sheetId="105" r:id="rId109"/>
    <sheet name="11_Evolucion_Patrimonial" sheetId="106" r:id="rId110"/>
    <sheet name="14_Inversiones_BACKUP_V6_8" sheetId="107" r:id="rId111"/>
    <sheet name="15_Conciliacion" sheetId="108" r:id="rId112"/>
    <sheet name="97_Conciliacion_Framework_V6_3" sheetId="109" r:id="rId113"/>
    <sheet name="09_GUIA_FINANZAS_V7_1" sheetId="110" r:id="rId114"/>
    <sheet name="17_Cierre_Mayo" sheetId="111" r:id="rId115"/>
    <sheet name="18_Control_Pagos" sheetId="112" r:id="rId116"/>
    <sheet name="25_Control_Junio" sheetId="113" r:id="rId117"/>
    <sheet name="26_Control_Julio" sheetId="114" r:id="rId118"/>
    <sheet name="27_Control_Agosto" sheetId="115" r:id="rId119"/>
    <sheet name="99_Listas" sheetId="116" r:id="rId120"/>
    <sheet name="49_Guia_U3_Universidad" sheetId="117" r:id="rId121"/>
    <sheet name="50_Universidad_PLAN" sheetId="118" r:id="rId122"/>
    <sheet name="54_Dashboard_Universidad" sheetId="119" r:id="rId123"/>
    <sheet name="58_Dashboard_CEO_UNIV_PRO" sheetId="120" r:id="rId124"/>
    <sheet name="60_4_DashUniv_T1" sheetId="121" r:id="rId125"/>
    <sheet name="60_6_DashCEOUniv_T1" sheetId="122" r:id="rId126"/>
    <sheet name="60_T1_Historico" sheetId="123" r:id="rId127"/>
    <sheet name="99_HISTORICO" sheetId="124" r:id="rId128"/>
    <sheet name="92_Auditoria_Final_Excel" sheetId="125" r:id="rId129"/>
    <sheet name="77_Auditoria_LNR_Mercado" sheetId="126" r:id="rId130"/>
    <sheet name="AUDITORIA_TOTAL_EXCEL_V7_1" sheetId="127" r:id="rId131"/>
    <sheet name="AUDITORIA_V6_6_MASTER" sheetId="128" r:id="rId132"/>
    <sheet name="94_AUDITORIA_INTEGRAL_2026" sheetId="129" r:id="rId133"/>
    <sheet name="95_AUDITORIA_HOJAS_UNIV_T2" sheetId="130" r:id="rId134"/>
    <sheet name="96_AUDITORIA_INTEGRAL_CONTINUAC" sheetId="131" r:id="rId135"/>
    <sheet name="97_AUDITORIA_MODULOS_PM0" sheetId="132" r:id="rId136"/>
    <sheet name="98_AUDITORIA_FINAL_2026" sheetId="133" r:id="rId137"/>
    <sheet name="99_HISTORICO_DEPURADO" sheetId="134" r:id="rId138"/>
    <sheet name="44_Historial_Medico_2018_2042" sheetId="135" r:id="rId139"/>
    <sheet name="45_Control_Presion_Arterial" sheetId="136" r:id="rId140"/>
    <sheet name="46_Examenes_Medicos" sheetId="137" r:id="rId141"/>
    <sheet name="47_Especialistas_y_Controles" sheetId="138" r:id="rId142"/>
    <sheet name="48_Medicamentos_y_Recetas" sheetId="139" r:id="rId143"/>
    <sheet name="49_Checkup_Anual" sheetId="140" r:id="rId144"/>
    <sheet name="50_KPI_Longevidad" sheetId="141" r:id="rId145"/>
    <sheet name="51_Seguros_y_Beneficios" sheetId="142" r:id="rId146"/>
    <sheet name="52_Dashboard_Health" sheetId="143" r:id="rId147"/>
    <sheet name="53_Historial_Dental" sheetId="144" r:id="rId148"/>
    <sheet name="54_Historial_Familiar" sheetId="145" r:id="rId149"/>
    <sheet name="C31_RECONSTRUCCION_MAESTRAS" sheetId="146" r:id="rId150"/>
    <sheet name="H12_KPI_Longevidad" sheetId="147" r:id="rId151"/>
    <sheet name="93_Auditoria_Conciliacion" sheetId="148" r:id="rId152"/>
    <sheet name="95_Auditoria_Vida_Real" sheetId="149" r:id="rId153"/>
  </sheets>
  <externalReferences>
    <externalReference r:id="rId15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53" l="1"/>
  <c r="K4" i="153"/>
  <c r="K3" i="153"/>
  <c r="K6" i="153" s="1"/>
  <c r="J54" i="151"/>
  <c r="J53" i="151"/>
  <c r="J52" i="151"/>
  <c r="J51" i="151"/>
  <c r="J50" i="151"/>
  <c r="J49" i="151"/>
  <c r="J48" i="151"/>
  <c r="J47" i="151"/>
  <c r="J46" i="151"/>
  <c r="J45" i="151"/>
  <c r="J44" i="151"/>
  <c r="J43" i="151"/>
  <c r="J42" i="151"/>
  <c r="J41" i="151"/>
  <c r="J40" i="151"/>
  <c r="J39" i="151"/>
  <c r="J38" i="151"/>
  <c r="J37" i="151"/>
  <c r="J36" i="151"/>
  <c r="J35" i="151"/>
  <c r="J34" i="151"/>
  <c r="J33" i="151"/>
  <c r="J32" i="151"/>
  <c r="J31" i="151"/>
  <c r="J30" i="151"/>
  <c r="J29" i="151"/>
  <c r="J28" i="151"/>
  <c r="J27" i="151"/>
  <c r="J26" i="151"/>
  <c r="J25" i="151"/>
  <c r="J24" i="151"/>
  <c r="J23" i="151"/>
  <c r="J22" i="151"/>
  <c r="J21" i="151"/>
  <c r="J20" i="151"/>
  <c r="J19" i="151"/>
  <c r="J18" i="151"/>
  <c r="J17" i="151"/>
  <c r="J16" i="151"/>
  <c r="J15" i="151"/>
  <c r="J14" i="151"/>
  <c r="J13" i="151"/>
  <c r="J12" i="151"/>
  <c r="J11" i="151"/>
  <c r="J10" i="151"/>
  <c r="J9" i="151"/>
  <c r="J8" i="151"/>
  <c r="J7" i="151"/>
  <c r="Q6" i="151"/>
  <c r="J6" i="151"/>
  <c r="Q5" i="151"/>
  <c r="J5" i="151"/>
  <c r="Q4" i="151"/>
  <c r="Q3" i="151"/>
  <c r="K41" i="150"/>
  <c r="K40" i="150"/>
  <c r="K39" i="150"/>
  <c r="K38" i="150"/>
  <c r="J38" i="150"/>
  <c r="L38" i="150" s="1"/>
  <c r="L37" i="150"/>
  <c r="K37" i="150"/>
  <c r="K36" i="150"/>
  <c r="J36" i="150"/>
  <c r="L36" i="150" s="1"/>
  <c r="K32" i="150"/>
  <c r="L31" i="150"/>
  <c r="K31" i="150"/>
  <c r="K30" i="150"/>
  <c r="J30" i="150"/>
  <c r="L30" i="150" s="1"/>
  <c r="K28" i="150"/>
  <c r="J28" i="150"/>
  <c r="L28" i="150" s="1"/>
  <c r="K27" i="150"/>
  <c r="K26" i="150"/>
  <c r="J26" i="150"/>
  <c r="L26" i="150" s="1"/>
  <c r="K22" i="150"/>
  <c r="J22" i="150"/>
  <c r="L22" i="150" s="1"/>
  <c r="K21" i="150"/>
  <c r="J21" i="150"/>
  <c r="L21" i="150" s="1"/>
  <c r="L20" i="150"/>
  <c r="K20" i="150"/>
  <c r="K19" i="150"/>
  <c r="K18" i="150"/>
  <c r="K17" i="150"/>
  <c r="K16" i="150"/>
  <c r="K15" i="150"/>
  <c r="K14" i="150"/>
  <c r="J14" i="150"/>
  <c r="L14" i="150" s="1"/>
  <c r="K13" i="150"/>
  <c r="K12" i="150"/>
  <c r="K11" i="150"/>
  <c r="Q6" i="150"/>
  <c r="Q5" i="150"/>
  <c r="Q4" i="150"/>
  <c r="L11" i="147"/>
  <c r="L10" i="147"/>
  <c r="L9" i="147"/>
  <c r="L8" i="147"/>
  <c r="L7" i="147"/>
  <c r="L6" i="147"/>
  <c r="L5" i="147"/>
  <c r="B17" i="123"/>
  <c r="B16" i="123"/>
  <c r="B15" i="123"/>
  <c r="B14" i="123"/>
  <c r="J38" i="122"/>
  <c r="H38" i="122"/>
  <c r="G38" i="122"/>
  <c r="F38" i="122"/>
  <c r="E38" i="122"/>
  <c r="D38" i="122"/>
  <c r="C38" i="122"/>
  <c r="B38" i="122"/>
  <c r="A38" i="122"/>
  <c r="J37" i="122"/>
  <c r="H37" i="122"/>
  <c r="G37" i="122"/>
  <c r="F37" i="122"/>
  <c r="E37" i="122"/>
  <c r="D37" i="122"/>
  <c r="C37" i="122"/>
  <c r="B37" i="122"/>
  <c r="A37" i="122"/>
  <c r="J36" i="122"/>
  <c r="H36" i="122"/>
  <c r="G36" i="122"/>
  <c r="F36" i="122"/>
  <c r="E36" i="122"/>
  <c r="D36" i="122"/>
  <c r="C36" i="122"/>
  <c r="B36" i="122"/>
  <c r="A36" i="122"/>
  <c r="J35" i="122"/>
  <c r="H35" i="122"/>
  <c r="G35" i="122"/>
  <c r="F35" i="122"/>
  <c r="E35" i="122"/>
  <c r="D35" i="122"/>
  <c r="C35" i="122"/>
  <c r="B35" i="122"/>
  <c r="A35" i="122"/>
  <c r="J34" i="122"/>
  <c r="H34" i="122"/>
  <c r="G34" i="122"/>
  <c r="F34" i="122"/>
  <c r="E34" i="122"/>
  <c r="D34" i="122"/>
  <c r="C34" i="122"/>
  <c r="B34" i="122"/>
  <c r="A34" i="122"/>
  <c r="J33" i="122"/>
  <c r="H33" i="122"/>
  <c r="G33" i="122"/>
  <c r="F33" i="122"/>
  <c r="E33" i="122"/>
  <c r="D33" i="122"/>
  <c r="C33" i="122"/>
  <c r="B33" i="122"/>
  <c r="A33" i="122"/>
  <c r="J32" i="122"/>
  <c r="H32" i="122"/>
  <c r="G32" i="122"/>
  <c r="F32" i="122"/>
  <c r="E32" i="122"/>
  <c r="D32" i="122"/>
  <c r="C32" i="122"/>
  <c r="B32" i="122"/>
  <c r="A32" i="122"/>
  <c r="J31" i="122"/>
  <c r="H31" i="122"/>
  <c r="G31" i="122"/>
  <c r="F31" i="122"/>
  <c r="E31" i="122"/>
  <c r="D31" i="122"/>
  <c r="C31" i="122"/>
  <c r="B31" i="122"/>
  <c r="A31" i="122"/>
  <c r="J30" i="122"/>
  <c r="H30" i="122"/>
  <c r="G30" i="122"/>
  <c r="F30" i="122"/>
  <c r="E30" i="122"/>
  <c r="D30" i="122"/>
  <c r="C30" i="122"/>
  <c r="B30" i="122"/>
  <c r="A30" i="122"/>
  <c r="J29" i="122"/>
  <c r="H29" i="122"/>
  <c r="G29" i="122"/>
  <c r="F29" i="122"/>
  <c r="E29" i="122"/>
  <c r="D29" i="122"/>
  <c r="C29" i="122"/>
  <c r="B29" i="122"/>
  <c r="A29" i="122"/>
  <c r="J28" i="122"/>
  <c r="H28" i="122"/>
  <c r="G28" i="122"/>
  <c r="F28" i="122"/>
  <c r="E28" i="122"/>
  <c r="D28" i="122"/>
  <c r="C28" i="122"/>
  <c r="B28" i="122"/>
  <c r="A28" i="122"/>
  <c r="J27" i="122"/>
  <c r="H27" i="122"/>
  <c r="G27" i="122"/>
  <c r="F27" i="122"/>
  <c r="E27" i="122"/>
  <c r="D27" i="122"/>
  <c r="C27" i="122"/>
  <c r="B27" i="122"/>
  <c r="A27" i="122"/>
  <c r="I13" i="122"/>
  <c r="H13" i="122"/>
  <c r="G13" i="122"/>
  <c r="F13" i="122"/>
  <c r="L13" i="122" s="1"/>
  <c r="E13" i="122"/>
  <c r="I12" i="122"/>
  <c r="H12" i="122"/>
  <c r="G12" i="122"/>
  <c r="F12" i="122"/>
  <c r="L12" i="122" s="1"/>
  <c r="E12" i="122"/>
  <c r="I11" i="122"/>
  <c r="H11" i="122"/>
  <c r="G11" i="122"/>
  <c r="F11" i="122"/>
  <c r="L11" i="122" s="1"/>
  <c r="E11" i="122"/>
  <c r="D11" i="122"/>
  <c r="C11" i="122"/>
  <c r="B11" i="122"/>
  <c r="I10" i="122"/>
  <c r="H10" i="122"/>
  <c r="G10" i="122"/>
  <c r="F10" i="122"/>
  <c r="L10" i="122" s="1"/>
  <c r="E10" i="122"/>
  <c r="D10" i="122"/>
  <c r="C10" i="122"/>
  <c r="B10" i="122"/>
  <c r="I5" i="122"/>
  <c r="G5" i="122"/>
  <c r="C5" i="122"/>
  <c r="A5" i="122"/>
  <c r="K35" i="121"/>
  <c r="J35" i="121"/>
  <c r="H35" i="121"/>
  <c r="G35" i="121"/>
  <c r="F35" i="121"/>
  <c r="E35" i="121"/>
  <c r="D35" i="121"/>
  <c r="C35" i="121"/>
  <c r="B35" i="121"/>
  <c r="A35" i="121"/>
  <c r="K34" i="121"/>
  <c r="J34" i="121"/>
  <c r="H34" i="121"/>
  <c r="G34" i="121"/>
  <c r="F34" i="121"/>
  <c r="E34" i="121"/>
  <c r="D34" i="121"/>
  <c r="C34" i="121"/>
  <c r="B34" i="121"/>
  <c r="A34" i="121"/>
  <c r="K33" i="121"/>
  <c r="J33" i="121"/>
  <c r="H33" i="121"/>
  <c r="G33" i="121"/>
  <c r="F33" i="121"/>
  <c r="E33" i="121"/>
  <c r="D33" i="121"/>
  <c r="C33" i="121"/>
  <c r="B33" i="121"/>
  <c r="A33" i="121"/>
  <c r="K32" i="121"/>
  <c r="J32" i="121"/>
  <c r="H32" i="121"/>
  <c r="G32" i="121"/>
  <c r="F32" i="121"/>
  <c r="E32" i="121"/>
  <c r="D32" i="121"/>
  <c r="C32" i="121"/>
  <c r="B32" i="121"/>
  <c r="A32" i="121"/>
  <c r="K31" i="121"/>
  <c r="J31" i="121"/>
  <c r="H31" i="121"/>
  <c r="G31" i="121"/>
  <c r="F31" i="121"/>
  <c r="E31" i="121"/>
  <c r="D31" i="121"/>
  <c r="C31" i="121"/>
  <c r="B31" i="121"/>
  <c r="A31" i="121"/>
  <c r="K30" i="121"/>
  <c r="J30" i="121"/>
  <c r="H30" i="121"/>
  <c r="G30" i="121"/>
  <c r="F30" i="121"/>
  <c r="E30" i="121"/>
  <c r="D30" i="121"/>
  <c r="C30" i="121"/>
  <c r="B30" i="121"/>
  <c r="A30" i="121"/>
  <c r="K29" i="121"/>
  <c r="J29" i="121"/>
  <c r="H29" i="121"/>
  <c r="G29" i="121"/>
  <c r="F29" i="121"/>
  <c r="E29" i="121"/>
  <c r="D29" i="121"/>
  <c r="C29" i="121"/>
  <c r="B29" i="121"/>
  <c r="A29" i="121"/>
  <c r="K28" i="121"/>
  <c r="J28" i="121"/>
  <c r="H28" i="121"/>
  <c r="G28" i="121"/>
  <c r="F28" i="121"/>
  <c r="E28" i="121"/>
  <c r="D28" i="121"/>
  <c r="C28" i="121"/>
  <c r="B28" i="121"/>
  <c r="A28" i="121"/>
  <c r="K27" i="121"/>
  <c r="J27" i="121"/>
  <c r="H27" i="121"/>
  <c r="G27" i="121"/>
  <c r="F27" i="121"/>
  <c r="E27" i="121"/>
  <c r="D27" i="121"/>
  <c r="C27" i="121"/>
  <c r="B27" i="121"/>
  <c r="A27" i="121"/>
  <c r="K26" i="121"/>
  <c r="J26" i="121"/>
  <c r="H26" i="121"/>
  <c r="G26" i="121"/>
  <c r="F26" i="121"/>
  <c r="E26" i="121"/>
  <c r="D26" i="121"/>
  <c r="C26" i="121"/>
  <c r="B26" i="121"/>
  <c r="A26" i="121"/>
  <c r="K25" i="121"/>
  <c r="J25" i="121"/>
  <c r="H25" i="121"/>
  <c r="G25" i="121"/>
  <c r="F25" i="121"/>
  <c r="E25" i="121"/>
  <c r="D25" i="121"/>
  <c r="C25" i="121"/>
  <c r="B25" i="121"/>
  <c r="A25" i="121"/>
  <c r="K24" i="121"/>
  <c r="J24" i="121"/>
  <c r="H24" i="121"/>
  <c r="G24" i="121"/>
  <c r="F24" i="121"/>
  <c r="E24" i="121"/>
  <c r="D24" i="121"/>
  <c r="C24" i="121"/>
  <c r="B24" i="121"/>
  <c r="A24" i="121"/>
  <c r="J18" i="121"/>
  <c r="F18" i="121"/>
  <c r="D18" i="121"/>
  <c r="C18" i="121"/>
  <c r="B18" i="121"/>
  <c r="J17" i="121"/>
  <c r="F17" i="121"/>
  <c r="D17" i="121"/>
  <c r="C17" i="121"/>
  <c r="B17" i="121"/>
  <c r="J16" i="121"/>
  <c r="F16" i="121"/>
  <c r="D16" i="121"/>
  <c r="C16" i="121"/>
  <c r="B16" i="121"/>
  <c r="J15" i="121"/>
  <c r="F15" i="121"/>
  <c r="D15" i="121"/>
  <c r="C15" i="121"/>
  <c r="B15" i="121"/>
  <c r="K9" i="121"/>
  <c r="H9" i="121"/>
  <c r="B9" i="121"/>
  <c r="K5" i="121"/>
  <c r="E5" i="121"/>
  <c r="B5" i="121"/>
  <c r="H5" i="121" s="1"/>
  <c r="J38" i="120"/>
  <c r="H38" i="120"/>
  <c r="G38" i="120"/>
  <c r="F38" i="120"/>
  <c r="E38" i="120"/>
  <c r="D38" i="120"/>
  <c r="C38" i="120"/>
  <c r="B38" i="120"/>
  <c r="A38" i="120"/>
  <c r="J37" i="120"/>
  <c r="H37" i="120"/>
  <c r="G37" i="120"/>
  <c r="F37" i="120"/>
  <c r="E37" i="120"/>
  <c r="D37" i="120"/>
  <c r="C37" i="120"/>
  <c r="B37" i="120"/>
  <c r="A37" i="120"/>
  <c r="J36" i="120"/>
  <c r="H36" i="120"/>
  <c r="G36" i="120"/>
  <c r="F36" i="120"/>
  <c r="E36" i="120"/>
  <c r="D36" i="120"/>
  <c r="C36" i="120"/>
  <c r="B36" i="120"/>
  <c r="A36" i="120"/>
  <c r="J35" i="120"/>
  <c r="H35" i="120"/>
  <c r="G35" i="120"/>
  <c r="F35" i="120"/>
  <c r="E35" i="120"/>
  <c r="D35" i="120"/>
  <c r="C35" i="120"/>
  <c r="B35" i="120"/>
  <c r="A35" i="120"/>
  <c r="J34" i="120"/>
  <c r="H34" i="120"/>
  <c r="G34" i="120"/>
  <c r="F34" i="120"/>
  <c r="E34" i="120"/>
  <c r="D34" i="120"/>
  <c r="C34" i="120"/>
  <c r="B34" i="120"/>
  <c r="A34" i="120"/>
  <c r="J33" i="120"/>
  <c r="H33" i="120"/>
  <c r="G33" i="120"/>
  <c r="F33" i="120"/>
  <c r="E33" i="120"/>
  <c r="D33" i="120"/>
  <c r="C33" i="120"/>
  <c r="B33" i="120"/>
  <c r="A33" i="120"/>
  <c r="J32" i="120"/>
  <c r="H32" i="120"/>
  <c r="G32" i="120"/>
  <c r="F32" i="120"/>
  <c r="E32" i="120"/>
  <c r="D32" i="120"/>
  <c r="C32" i="120"/>
  <c r="B32" i="120"/>
  <c r="A32" i="120"/>
  <c r="J31" i="120"/>
  <c r="H31" i="120"/>
  <c r="G31" i="120"/>
  <c r="F31" i="120"/>
  <c r="E31" i="120"/>
  <c r="D31" i="120"/>
  <c r="C31" i="120"/>
  <c r="B31" i="120"/>
  <c r="A31" i="120"/>
  <c r="J30" i="120"/>
  <c r="H30" i="120"/>
  <c r="G30" i="120"/>
  <c r="F30" i="120"/>
  <c r="E30" i="120"/>
  <c r="D30" i="120"/>
  <c r="C30" i="120"/>
  <c r="B30" i="120"/>
  <c r="A30" i="120"/>
  <c r="J29" i="120"/>
  <c r="H29" i="120"/>
  <c r="G29" i="120"/>
  <c r="F29" i="120"/>
  <c r="E29" i="120"/>
  <c r="D29" i="120"/>
  <c r="C29" i="120"/>
  <c r="B29" i="120"/>
  <c r="A29" i="120"/>
  <c r="J28" i="120"/>
  <c r="H28" i="120"/>
  <c r="G28" i="120"/>
  <c r="F28" i="120"/>
  <c r="E28" i="120"/>
  <c r="D28" i="120"/>
  <c r="C28" i="120"/>
  <c r="B28" i="120"/>
  <c r="A28" i="120"/>
  <c r="J27" i="120"/>
  <c r="H27" i="120"/>
  <c r="G27" i="120"/>
  <c r="F27" i="120"/>
  <c r="E27" i="120"/>
  <c r="D27" i="120"/>
  <c r="C27" i="120"/>
  <c r="B27" i="120"/>
  <c r="A27" i="120"/>
  <c r="I13" i="120"/>
  <c r="H13" i="120"/>
  <c r="G13" i="120"/>
  <c r="F13" i="120"/>
  <c r="L13" i="120" s="1"/>
  <c r="E13" i="120"/>
  <c r="I12" i="120"/>
  <c r="H12" i="120"/>
  <c r="G12" i="120"/>
  <c r="F12" i="120"/>
  <c r="L12" i="120" s="1"/>
  <c r="E12" i="120"/>
  <c r="I11" i="120"/>
  <c r="H11" i="120"/>
  <c r="G11" i="120"/>
  <c r="F11" i="120"/>
  <c r="L11" i="120" s="1"/>
  <c r="E11" i="120"/>
  <c r="D11" i="120"/>
  <c r="C11" i="120"/>
  <c r="B11" i="120"/>
  <c r="I10" i="120"/>
  <c r="H10" i="120"/>
  <c r="G10" i="120"/>
  <c r="F10" i="120"/>
  <c r="L10" i="120" s="1"/>
  <c r="E10" i="120"/>
  <c r="D10" i="120"/>
  <c r="C10" i="120"/>
  <c r="B10" i="120"/>
  <c r="I5" i="120"/>
  <c r="G5" i="120"/>
  <c r="C5" i="120"/>
  <c r="A5" i="120"/>
  <c r="D20" i="119"/>
  <c r="E20" i="119" s="1"/>
  <c r="C20" i="119"/>
  <c r="B20" i="119"/>
  <c r="D19" i="119"/>
  <c r="E19" i="119" s="1"/>
  <c r="C19" i="119"/>
  <c r="B19" i="119"/>
  <c r="D18" i="119"/>
  <c r="C18" i="119"/>
  <c r="B18" i="119"/>
  <c r="D17" i="119"/>
  <c r="C17" i="119"/>
  <c r="B17" i="119"/>
  <c r="B8" i="119"/>
  <c r="B7" i="119"/>
  <c r="B9" i="119" s="1"/>
  <c r="B6" i="119"/>
  <c r="B5" i="119"/>
  <c r="B4" i="119"/>
  <c r="H20" i="118"/>
  <c r="I20" i="118" s="1"/>
  <c r="J20" i="118" s="1"/>
  <c r="H19" i="118"/>
  <c r="I19" i="118" s="1"/>
  <c r="J19" i="118" s="1"/>
  <c r="H18" i="118"/>
  <c r="I18" i="118" s="1"/>
  <c r="J18" i="118" s="1"/>
  <c r="H17" i="118"/>
  <c r="I17" i="118" s="1"/>
  <c r="H16" i="118"/>
  <c r="I16" i="118" s="1"/>
  <c r="J16" i="118" s="1"/>
  <c r="H15" i="118"/>
  <c r="I15" i="118" s="1"/>
  <c r="J15" i="118" s="1"/>
  <c r="H14" i="118"/>
  <c r="I14" i="118" s="1"/>
  <c r="J14" i="118" s="1"/>
  <c r="H13" i="118"/>
  <c r="I13" i="118" s="1"/>
  <c r="H12" i="118"/>
  <c r="I12" i="118" s="1"/>
  <c r="J12" i="118" s="1"/>
  <c r="H11" i="118"/>
  <c r="I11" i="118" s="1"/>
  <c r="J11" i="118" s="1"/>
  <c r="H10" i="118"/>
  <c r="I10" i="118" s="1"/>
  <c r="J10" i="118" s="1"/>
  <c r="H9" i="118"/>
  <c r="I9" i="118" s="1"/>
  <c r="H8" i="118"/>
  <c r="I8" i="118" s="1"/>
  <c r="J8" i="118" s="1"/>
  <c r="H7" i="118"/>
  <c r="I7" i="118" s="1"/>
  <c r="J7" i="118" s="1"/>
  <c r="H6" i="118"/>
  <c r="I6" i="118" s="1"/>
  <c r="J6" i="118" s="1"/>
  <c r="H5" i="118"/>
  <c r="I5" i="118" s="1"/>
  <c r="B32" i="115"/>
  <c r="C32" i="115" s="1"/>
  <c r="B30" i="115"/>
  <c r="C30" i="115" s="1"/>
  <c r="B29" i="115"/>
  <c r="C29" i="115" s="1"/>
  <c r="B28" i="115"/>
  <c r="C28" i="115" s="1"/>
  <c r="B27" i="115"/>
  <c r="C27" i="115" s="1"/>
  <c r="I12" i="115"/>
  <c r="B12" i="115"/>
  <c r="I11" i="115"/>
  <c r="B11" i="115"/>
  <c r="I10" i="115"/>
  <c r="B10" i="115"/>
  <c r="I9" i="115"/>
  <c r="I8" i="115"/>
  <c r="I7" i="115"/>
  <c r="I6" i="115"/>
  <c r="B32" i="114"/>
  <c r="C32" i="114" s="1"/>
  <c r="B30" i="114"/>
  <c r="C30" i="114" s="1"/>
  <c r="B29" i="114"/>
  <c r="C29" i="114" s="1"/>
  <c r="B28" i="114"/>
  <c r="C28" i="114" s="1"/>
  <c r="B27" i="114"/>
  <c r="C27" i="114" s="1"/>
  <c r="I12" i="114"/>
  <c r="B12" i="114"/>
  <c r="I11" i="114"/>
  <c r="B11" i="114"/>
  <c r="I10" i="114"/>
  <c r="B10" i="114"/>
  <c r="I9" i="114"/>
  <c r="I8" i="114"/>
  <c r="I7" i="114"/>
  <c r="I6" i="114"/>
  <c r="B32" i="113"/>
  <c r="C32" i="113" s="1"/>
  <c r="B30" i="113"/>
  <c r="C30" i="113" s="1"/>
  <c r="B27" i="113"/>
  <c r="C27" i="113" s="1"/>
  <c r="I12" i="113"/>
  <c r="B12" i="113"/>
  <c r="I11" i="113"/>
  <c r="B11" i="113"/>
  <c r="I10" i="113"/>
  <c r="B10" i="113"/>
  <c r="I9" i="113"/>
  <c r="I8" i="113"/>
  <c r="I7" i="113"/>
  <c r="I6" i="113"/>
  <c r="N54" i="112"/>
  <c r="M54" i="112"/>
  <c r="L54" i="112"/>
  <c r="N53" i="112"/>
  <c r="M53" i="112"/>
  <c r="L53" i="112"/>
  <c r="N52" i="112"/>
  <c r="M52" i="112"/>
  <c r="L52" i="112"/>
  <c r="N51" i="112"/>
  <c r="M51" i="112"/>
  <c r="L51" i="112"/>
  <c r="N50" i="112"/>
  <c r="M50" i="112"/>
  <c r="L50" i="112"/>
  <c r="N49" i="112"/>
  <c r="M49" i="112"/>
  <c r="L49" i="112"/>
  <c r="N48" i="112"/>
  <c r="M48" i="112"/>
  <c r="L48" i="112"/>
  <c r="N47" i="112"/>
  <c r="M47" i="112"/>
  <c r="L47" i="112"/>
  <c r="N46" i="112"/>
  <c r="M46" i="112"/>
  <c r="L46" i="112"/>
  <c r="N45" i="112"/>
  <c r="M45" i="112"/>
  <c r="L45" i="112"/>
  <c r="N44" i="112"/>
  <c r="M44" i="112"/>
  <c r="L44" i="112"/>
  <c r="N43" i="112"/>
  <c r="M43" i="112"/>
  <c r="L43" i="112"/>
  <c r="N42" i="112"/>
  <c r="M42" i="112"/>
  <c r="L42" i="112"/>
  <c r="N41" i="112"/>
  <c r="M41" i="112"/>
  <c r="L41" i="112"/>
  <c r="N40" i="112"/>
  <c r="M40" i="112"/>
  <c r="L40" i="112"/>
  <c r="N39" i="112"/>
  <c r="M39" i="112"/>
  <c r="L39" i="112"/>
  <c r="N38" i="112"/>
  <c r="M38" i="112"/>
  <c r="L38" i="112"/>
  <c r="N37" i="112"/>
  <c r="M37" i="112"/>
  <c r="L37" i="112"/>
  <c r="N36" i="112"/>
  <c r="M36" i="112"/>
  <c r="L36" i="112"/>
  <c r="N35" i="112"/>
  <c r="M35" i="112"/>
  <c r="L35" i="112"/>
  <c r="N34" i="112"/>
  <c r="M34" i="112"/>
  <c r="L34" i="112"/>
  <c r="N33" i="112"/>
  <c r="M33" i="112"/>
  <c r="L33" i="112"/>
  <c r="N32" i="112"/>
  <c r="M32" i="112"/>
  <c r="L32" i="112"/>
  <c r="N31" i="112"/>
  <c r="M31" i="112"/>
  <c r="L31" i="112"/>
  <c r="N30" i="112"/>
  <c r="M30" i="112"/>
  <c r="L30" i="112"/>
  <c r="N29" i="112"/>
  <c r="M29" i="112"/>
  <c r="L29" i="112"/>
  <c r="N28" i="112"/>
  <c r="M28" i="112"/>
  <c r="L28" i="112"/>
  <c r="N27" i="112"/>
  <c r="M27" i="112"/>
  <c r="L27" i="112"/>
  <c r="N26" i="112"/>
  <c r="M26" i="112"/>
  <c r="L26" i="112"/>
  <c r="N25" i="112"/>
  <c r="M25" i="112"/>
  <c r="L25" i="112"/>
  <c r="N24" i="112"/>
  <c r="M24" i="112"/>
  <c r="L24" i="112"/>
  <c r="N23" i="112"/>
  <c r="M23" i="112"/>
  <c r="L23" i="112"/>
  <c r="N22" i="112"/>
  <c r="M22" i="112"/>
  <c r="L22" i="112"/>
  <c r="N21" i="112"/>
  <c r="M21" i="112"/>
  <c r="L21" i="112"/>
  <c r="N20" i="112"/>
  <c r="M20" i="112"/>
  <c r="L20" i="112"/>
  <c r="N19" i="112"/>
  <c r="M19" i="112"/>
  <c r="L19" i="112"/>
  <c r="N18" i="112"/>
  <c r="M18" i="112"/>
  <c r="L18" i="112"/>
  <c r="N17" i="112"/>
  <c r="M17" i="112"/>
  <c r="L17" i="112"/>
  <c r="N16" i="112"/>
  <c r="M16" i="112"/>
  <c r="L16" i="112"/>
  <c r="N15" i="112"/>
  <c r="M15" i="112"/>
  <c r="L15" i="112"/>
  <c r="M14" i="112"/>
  <c r="L14" i="112"/>
  <c r="N14" i="112" s="1"/>
  <c r="N13" i="112"/>
  <c r="L13" i="112"/>
  <c r="M13" i="112" s="1"/>
  <c r="R12" i="112"/>
  <c r="L12" i="112"/>
  <c r="R11" i="112"/>
  <c r="L11" i="112"/>
  <c r="L10" i="112"/>
  <c r="R9" i="112"/>
  <c r="L9" i="112"/>
  <c r="R8" i="112"/>
  <c r="R13" i="112" s="1"/>
  <c r="N8" i="112"/>
  <c r="M8" i="112"/>
  <c r="L8" i="112"/>
  <c r="L7" i="112"/>
  <c r="R6" i="112"/>
  <c r="N6" i="112"/>
  <c r="M6" i="112"/>
  <c r="L6" i="112"/>
  <c r="R5" i="112"/>
  <c r="R7" i="112" s="1"/>
  <c r="N5" i="112"/>
  <c r="M5" i="112"/>
  <c r="L5" i="112"/>
  <c r="G12" i="111"/>
  <c r="H12" i="111" s="1"/>
  <c r="G8" i="111"/>
  <c r="H8" i="111" s="1"/>
  <c r="G7" i="111"/>
  <c r="H7" i="111" s="1"/>
  <c r="G6" i="111"/>
  <c r="H6" i="111" s="1"/>
  <c r="B22" i="108"/>
  <c r="B11" i="108"/>
  <c r="B10" i="108"/>
  <c r="B7" i="111" s="1"/>
  <c r="B9" i="108"/>
  <c r="B8" i="108"/>
  <c r="B7" i="108"/>
  <c r="B12" i="108" s="1"/>
  <c r="S204" i="107"/>
  <c r="T204" i="107" s="1"/>
  <c r="R204" i="107"/>
  <c r="Q204" i="107"/>
  <c r="P204" i="107"/>
  <c r="O204" i="107"/>
  <c r="H204" i="107"/>
  <c r="I204" i="107" s="1"/>
  <c r="S203" i="107"/>
  <c r="T203" i="107" s="1"/>
  <c r="R203" i="107"/>
  <c r="Q203" i="107"/>
  <c r="P203" i="107"/>
  <c r="O203" i="107"/>
  <c r="H203" i="107"/>
  <c r="I203" i="107" s="1"/>
  <c r="S202" i="107"/>
  <c r="T202" i="107" s="1"/>
  <c r="R202" i="107"/>
  <c r="Q202" i="107"/>
  <c r="P202" i="107"/>
  <c r="O202" i="107"/>
  <c r="H202" i="107"/>
  <c r="I202" i="107" s="1"/>
  <c r="S201" i="107"/>
  <c r="T201" i="107" s="1"/>
  <c r="R201" i="107"/>
  <c r="Q201" i="107"/>
  <c r="P201" i="107"/>
  <c r="O201" i="107"/>
  <c r="H201" i="107"/>
  <c r="I201" i="107" s="1"/>
  <c r="S200" i="107"/>
  <c r="T200" i="107" s="1"/>
  <c r="R200" i="107"/>
  <c r="Q200" i="107"/>
  <c r="P200" i="107"/>
  <c r="O200" i="107"/>
  <c r="H200" i="107"/>
  <c r="I200" i="107" s="1"/>
  <c r="S199" i="107"/>
  <c r="T199" i="107" s="1"/>
  <c r="R199" i="107"/>
  <c r="Q199" i="107"/>
  <c r="P199" i="107"/>
  <c r="O199" i="107"/>
  <c r="H199" i="107"/>
  <c r="I199" i="107" s="1"/>
  <c r="S198" i="107"/>
  <c r="T198" i="107" s="1"/>
  <c r="R198" i="107"/>
  <c r="Q198" i="107"/>
  <c r="P198" i="107"/>
  <c r="O198" i="107"/>
  <c r="H198" i="107"/>
  <c r="I198" i="107" s="1"/>
  <c r="S197" i="107"/>
  <c r="T197" i="107" s="1"/>
  <c r="R197" i="107"/>
  <c r="Q197" i="107"/>
  <c r="P197" i="107"/>
  <c r="O197" i="107"/>
  <c r="H197" i="107"/>
  <c r="I197" i="107" s="1"/>
  <c r="S196" i="107"/>
  <c r="T196" i="107" s="1"/>
  <c r="R196" i="107"/>
  <c r="Q196" i="107"/>
  <c r="P196" i="107"/>
  <c r="O196" i="107"/>
  <c r="H196" i="107"/>
  <c r="I196" i="107" s="1"/>
  <c r="S195" i="107"/>
  <c r="T195" i="107" s="1"/>
  <c r="R195" i="107"/>
  <c r="Q195" i="107"/>
  <c r="P195" i="107"/>
  <c r="O195" i="107"/>
  <c r="H195" i="107"/>
  <c r="I195" i="107" s="1"/>
  <c r="S194" i="107"/>
  <c r="T194" i="107" s="1"/>
  <c r="R194" i="107"/>
  <c r="Q194" i="107"/>
  <c r="P194" i="107"/>
  <c r="O194" i="107"/>
  <c r="H194" i="107"/>
  <c r="I194" i="107" s="1"/>
  <c r="S193" i="107"/>
  <c r="T193" i="107" s="1"/>
  <c r="R193" i="107"/>
  <c r="Q193" i="107"/>
  <c r="P193" i="107"/>
  <c r="O193" i="107"/>
  <c r="H193" i="107"/>
  <c r="I193" i="107" s="1"/>
  <c r="S192" i="107"/>
  <c r="T192" i="107" s="1"/>
  <c r="R192" i="107"/>
  <c r="Q192" i="107"/>
  <c r="P192" i="107"/>
  <c r="O192" i="107"/>
  <c r="H192" i="107"/>
  <c r="I192" i="107" s="1"/>
  <c r="S191" i="107"/>
  <c r="T191" i="107" s="1"/>
  <c r="R191" i="107"/>
  <c r="Q191" i="107"/>
  <c r="P191" i="107"/>
  <c r="O191" i="107"/>
  <c r="H191" i="107"/>
  <c r="I191" i="107" s="1"/>
  <c r="S190" i="107"/>
  <c r="T190" i="107" s="1"/>
  <c r="R190" i="107"/>
  <c r="Q190" i="107"/>
  <c r="P190" i="107"/>
  <c r="O190" i="107"/>
  <c r="H190" i="107"/>
  <c r="I190" i="107" s="1"/>
  <c r="S189" i="107"/>
  <c r="T189" i="107" s="1"/>
  <c r="R189" i="107"/>
  <c r="Q189" i="107"/>
  <c r="P189" i="107"/>
  <c r="O189" i="107"/>
  <c r="H189" i="107"/>
  <c r="I189" i="107" s="1"/>
  <c r="S188" i="107"/>
  <c r="T188" i="107" s="1"/>
  <c r="R188" i="107"/>
  <c r="Q188" i="107"/>
  <c r="P188" i="107"/>
  <c r="O188" i="107"/>
  <c r="H188" i="107"/>
  <c r="I188" i="107" s="1"/>
  <c r="S187" i="107"/>
  <c r="T187" i="107" s="1"/>
  <c r="R187" i="107"/>
  <c r="Q187" i="107"/>
  <c r="P187" i="107"/>
  <c r="O187" i="107"/>
  <c r="H187" i="107"/>
  <c r="I187" i="107" s="1"/>
  <c r="S186" i="107"/>
  <c r="T186" i="107" s="1"/>
  <c r="R186" i="107"/>
  <c r="Q186" i="107"/>
  <c r="P186" i="107"/>
  <c r="O186" i="107"/>
  <c r="H186" i="107"/>
  <c r="I186" i="107" s="1"/>
  <c r="S185" i="107"/>
  <c r="T185" i="107" s="1"/>
  <c r="R185" i="107"/>
  <c r="Q185" i="107"/>
  <c r="P185" i="107"/>
  <c r="O185" i="107"/>
  <c r="H185" i="107"/>
  <c r="I185" i="107" s="1"/>
  <c r="S184" i="107"/>
  <c r="T184" i="107" s="1"/>
  <c r="R184" i="107"/>
  <c r="Q184" i="107"/>
  <c r="P184" i="107"/>
  <c r="O184" i="107"/>
  <c r="H184" i="107"/>
  <c r="I184" i="107" s="1"/>
  <c r="S183" i="107"/>
  <c r="T183" i="107" s="1"/>
  <c r="R183" i="107"/>
  <c r="Q183" i="107"/>
  <c r="P183" i="107"/>
  <c r="O183" i="107"/>
  <c r="H183" i="107"/>
  <c r="I183" i="107" s="1"/>
  <c r="S182" i="107"/>
  <c r="T182" i="107" s="1"/>
  <c r="R182" i="107"/>
  <c r="Q182" i="107"/>
  <c r="P182" i="107"/>
  <c r="O182" i="107"/>
  <c r="H182" i="107"/>
  <c r="I182" i="107" s="1"/>
  <c r="S181" i="107"/>
  <c r="T181" i="107" s="1"/>
  <c r="R181" i="107"/>
  <c r="Q181" i="107"/>
  <c r="P181" i="107"/>
  <c r="O181" i="107"/>
  <c r="H181" i="107"/>
  <c r="I181" i="107" s="1"/>
  <c r="S180" i="107"/>
  <c r="T180" i="107" s="1"/>
  <c r="R180" i="107"/>
  <c r="Q180" i="107"/>
  <c r="P180" i="107"/>
  <c r="O180" i="107"/>
  <c r="H180" i="107"/>
  <c r="I180" i="107" s="1"/>
  <c r="S179" i="107"/>
  <c r="T179" i="107" s="1"/>
  <c r="R179" i="107"/>
  <c r="Q179" i="107"/>
  <c r="P179" i="107"/>
  <c r="O179" i="107"/>
  <c r="H179" i="107"/>
  <c r="I179" i="107" s="1"/>
  <c r="S178" i="107"/>
  <c r="T178" i="107" s="1"/>
  <c r="R178" i="107"/>
  <c r="Q178" i="107"/>
  <c r="P178" i="107"/>
  <c r="O178" i="107"/>
  <c r="H178" i="107"/>
  <c r="I178" i="107" s="1"/>
  <c r="S177" i="107"/>
  <c r="T177" i="107" s="1"/>
  <c r="R177" i="107"/>
  <c r="Q177" i="107"/>
  <c r="P177" i="107"/>
  <c r="O177" i="107"/>
  <c r="H177" i="107"/>
  <c r="I177" i="107" s="1"/>
  <c r="S176" i="107"/>
  <c r="T176" i="107" s="1"/>
  <c r="R176" i="107"/>
  <c r="Q176" i="107"/>
  <c r="P176" i="107"/>
  <c r="O176" i="107"/>
  <c r="H176" i="107"/>
  <c r="I176" i="107" s="1"/>
  <c r="S175" i="107"/>
  <c r="T175" i="107" s="1"/>
  <c r="R175" i="107"/>
  <c r="Q175" i="107"/>
  <c r="P175" i="107"/>
  <c r="O175" i="107"/>
  <c r="H175" i="107"/>
  <c r="I175" i="107" s="1"/>
  <c r="S174" i="107"/>
  <c r="T174" i="107" s="1"/>
  <c r="R174" i="107"/>
  <c r="Q174" i="107"/>
  <c r="P174" i="107"/>
  <c r="O174" i="107"/>
  <c r="H174" i="107"/>
  <c r="I174" i="107" s="1"/>
  <c r="S173" i="107"/>
  <c r="T173" i="107" s="1"/>
  <c r="R173" i="107"/>
  <c r="Q173" i="107"/>
  <c r="P173" i="107"/>
  <c r="O173" i="107"/>
  <c r="H173" i="107"/>
  <c r="I173" i="107" s="1"/>
  <c r="S172" i="107"/>
  <c r="T172" i="107" s="1"/>
  <c r="R172" i="107"/>
  <c r="Q172" i="107"/>
  <c r="P172" i="107"/>
  <c r="O172" i="107"/>
  <c r="H172" i="107"/>
  <c r="I172" i="107" s="1"/>
  <c r="S171" i="107"/>
  <c r="T171" i="107" s="1"/>
  <c r="R171" i="107"/>
  <c r="Q171" i="107"/>
  <c r="P171" i="107"/>
  <c r="O171" i="107"/>
  <c r="H171" i="107"/>
  <c r="I171" i="107" s="1"/>
  <c r="S170" i="107"/>
  <c r="T170" i="107" s="1"/>
  <c r="R170" i="107"/>
  <c r="Q170" i="107"/>
  <c r="P170" i="107"/>
  <c r="O170" i="107"/>
  <c r="H170" i="107"/>
  <c r="I170" i="107" s="1"/>
  <c r="S169" i="107"/>
  <c r="T169" i="107" s="1"/>
  <c r="R169" i="107"/>
  <c r="Q169" i="107"/>
  <c r="P169" i="107"/>
  <c r="O169" i="107"/>
  <c r="H169" i="107"/>
  <c r="I169" i="107" s="1"/>
  <c r="S168" i="107"/>
  <c r="T168" i="107" s="1"/>
  <c r="R168" i="107"/>
  <c r="Q168" i="107"/>
  <c r="P168" i="107"/>
  <c r="O168" i="107"/>
  <c r="H168" i="107"/>
  <c r="I168" i="107" s="1"/>
  <c r="S167" i="107"/>
  <c r="T167" i="107" s="1"/>
  <c r="R167" i="107"/>
  <c r="Q167" i="107"/>
  <c r="P167" i="107"/>
  <c r="O167" i="107"/>
  <c r="H167" i="107"/>
  <c r="I167" i="107" s="1"/>
  <c r="S166" i="107"/>
  <c r="T166" i="107" s="1"/>
  <c r="R166" i="107"/>
  <c r="Q166" i="107"/>
  <c r="P166" i="107"/>
  <c r="O166" i="107"/>
  <c r="H166" i="107"/>
  <c r="I166" i="107" s="1"/>
  <c r="S165" i="107"/>
  <c r="T165" i="107" s="1"/>
  <c r="R165" i="107"/>
  <c r="Q165" i="107"/>
  <c r="P165" i="107"/>
  <c r="O165" i="107"/>
  <c r="H165" i="107"/>
  <c r="I165" i="107" s="1"/>
  <c r="S164" i="107"/>
  <c r="T164" i="107" s="1"/>
  <c r="R164" i="107"/>
  <c r="Q164" i="107"/>
  <c r="P164" i="107"/>
  <c r="O164" i="107"/>
  <c r="H164" i="107"/>
  <c r="I164" i="107" s="1"/>
  <c r="S163" i="107"/>
  <c r="T163" i="107" s="1"/>
  <c r="R163" i="107"/>
  <c r="Q163" i="107"/>
  <c r="P163" i="107"/>
  <c r="O163" i="107"/>
  <c r="H163" i="107"/>
  <c r="I163" i="107" s="1"/>
  <c r="S162" i="107"/>
  <c r="T162" i="107" s="1"/>
  <c r="R162" i="107"/>
  <c r="Q162" i="107"/>
  <c r="P162" i="107"/>
  <c r="O162" i="107"/>
  <c r="H162" i="107"/>
  <c r="I162" i="107" s="1"/>
  <c r="S161" i="107"/>
  <c r="T161" i="107" s="1"/>
  <c r="R161" i="107"/>
  <c r="Q161" i="107"/>
  <c r="P161" i="107"/>
  <c r="O161" i="107"/>
  <c r="H161" i="107"/>
  <c r="I161" i="107" s="1"/>
  <c r="S160" i="107"/>
  <c r="T160" i="107" s="1"/>
  <c r="R160" i="107"/>
  <c r="Q160" i="107"/>
  <c r="P160" i="107"/>
  <c r="O160" i="107"/>
  <c r="H160" i="107"/>
  <c r="I160" i="107" s="1"/>
  <c r="S159" i="107"/>
  <c r="T159" i="107" s="1"/>
  <c r="R159" i="107"/>
  <c r="Q159" i="107"/>
  <c r="P159" i="107"/>
  <c r="O159" i="107"/>
  <c r="H159" i="107"/>
  <c r="I159" i="107" s="1"/>
  <c r="S158" i="107"/>
  <c r="T158" i="107" s="1"/>
  <c r="R158" i="107"/>
  <c r="Q158" i="107"/>
  <c r="P158" i="107"/>
  <c r="O158" i="107"/>
  <c r="H158" i="107"/>
  <c r="I158" i="107" s="1"/>
  <c r="S157" i="107"/>
  <c r="T157" i="107" s="1"/>
  <c r="R157" i="107"/>
  <c r="Q157" i="107"/>
  <c r="P157" i="107"/>
  <c r="O157" i="107"/>
  <c r="H157" i="107"/>
  <c r="I157" i="107" s="1"/>
  <c r="S156" i="107"/>
  <c r="T156" i="107" s="1"/>
  <c r="R156" i="107"/>
  <c r="Q156" i="107"/>
  <c r="P156" i="107"/>
  <c r="O156" i="107"/>
  <c r="H156" i="107"/>
  <c r="I156" i="107" s="1"/>
  <c r="S155" i="107"/>
  <c r="T155" i="107" s="1"/>
  <c r="R155" i="107"/>
  <c r="Q155" i="107"/>
  <c r="P155" i="107"/>
  <c r="O155" i="107"/>
  <c r="H155" i="107"/>
  <c r="I155" i="107" s="1"/>
  <c r="S154" i="107"/>
  <c r="T154" i="107" s="1"/>
  <c r="R154" i="107"/>
  <c r="Q154" i="107"/>
  <c r="P154" i="107"/>
  <c r="O154" i="107"/>
  <c r="H154" i="107"/>
  <c r="I154" i="107" s="1"/>
  <c r="S153" i="107"/>
  <c r="T153" i="107" s="1"/>
  <c r="R153" i="107"/>
  <c r="Q153" i="107"/>
  <c r="P153" i="107"/>
  <c r="O153" i="107"/>
  <c r="H153" i="107"/>
  <c r="I153" i="107" s="1"/>
  <c r="S152" i="107"/>
  <c r="T152" i="107" s="1"/>
  <c r="R152" i="107"/>
  <c r="Q152" i="107"/>
  <c r="P152" i="107"/>
  <c r="O152" i="107"/>
  <c r="H152" i="107"/>
  <c r="I152" i="107" s="1"/>
  <c r="S151" i="107"/>
  <c r="T151" i="107" s="1"/>
  <c r="R151" i="107"/>
  <c r="Q151" i="107"/>
  <c r="P151" i="107"/>
  <c r="O151" i="107"/>
  <c r="H151" i="107"/>
  <c r="I151" i="107" s="1"/>
  <c r="S150" i="107"/>
  <c r="T150" i="107" s="1"/>
  <c r="R150" i="107"/>
  <c r="Q150" i="107"/>
  <c r="P150" i="107"/>
  <c r="O150" i="107"/>
  <c r="H150" i="107"/>
  <c r="I150" i="107" s="1"/>
  <c r="S149" i="107"/>
  <c r="T149" i="107" s="1"/>
  <c r="R149" i="107"/>
  <c r="Q149" i="107"/>
  <c r="P149" i="107"/>
  <c r="O149" i="107"/>
  <c r="H149" i="107"/>
  <c r="I149" i="107" s="1"/>
  <c r="S148" i="107"/>
  <c r="T148" i="107" s="1"/>
  <c r="R148" i="107"/>
  <c r="Q148" i="107"/>
  <c r="P148" i="107"/>
  <c r="O148" i="107"/>
  <c r="H148" i="107"/>
  <c r="I148" i="107" s="1"/>
  <c r="S147" i="107"/>
  <c r="T147" i="107" s="1"/>
  <c r="R147" i="107"/>
  <c r="Q147" i="107"/>
  <c r="P147" i="107"/>
  <c r="O147" i="107"/>
  <c r="H147" i="107"/>
  <c r="I147" i="107" s="1"/>
  <c r="S146" i="107"/>
  <c r="T146" i="107" s="1"/>
  <c r="R146" i="107"/>
  <c r="Q146" i="107"/>
  <c r="P146" i="107"/>
  <c r="O146" i="107"/>
  <c r="H146" i="107"/>
  <c r="I146" i="107" s="1"/>
  <c r="S145" i="107"/>
  <c r="T145" i="107" s="1"/>
  <c r="R145" i="107"/>
  <c r="Q145" i="107"/>
  <c r="P145" i="107"/>
  <c r="O145" i="107"/>
  <c r="H145" i="107"/>
  <c r="I145" i="107" s="1"/>
  <c r="S144" i="107"/>
  <c r="T144" i="107" s="1"/>
  <c r="R144" i="107"/>
  <c r="Q144" i="107"/>
  <c r="P144" i="107"/>
  <c r="O144" i="107"/>
  <c r="H144" i="107"/>
  <c r="I144" i="107" s="1"/>
  <c r="S143" i="107"/>
  <c r="T143" i="107" s="1"/>
  <c r="R143" i="107"/>
  <c r="Q143" i="107"/>
  <c r="P143" i="107"/>
  <c r="O143" i="107"/>
  <c r="H143" i="107"/>
  <c r="I143" i="107" s="1"/>
  <c r="S142" i="107"/>
  <c r="T142" i="107" s="1"/>
  <c r="R142" i="107"/>
  <c r="Q142" i="107"/>
  <c r="P142" i="107"/>
  <c r="O142" i="107"/>
  <c r="H142" i="107"/>
  <c r="I142" i="107" s="1"/>
  <c r="S141" i="107"/>
  <c r="T141" i="107" s="1"/>
  <c r="R141" i="107"/>
  <c r="Q141" i="107"/>
  <c r="P141" i="107"/>
  <c r="O141" i="107"/>
  <c r="H141" i="107"/>
  <c r="I141" i="107" s="1"/>
  <c r="S140" i="107"/>
  <c r="T140" i="107" s="1"/>
  <c r="R140" i="107"/>
  <c r="Q140" i="107"/>
  <c r="P140" i="107"/>
  <c r="O140" i="107"/>
  <c r="H140" i="107"/>
  <c r="I140" i="107" s="1"/>
  <c r="S139" i="107"/>
  <c r="T139" i="107" s="1"/>
  <c r="R139" i="107"/>
  <c r="Q139" i="107"/>
  <c r="P139" i="107"/>
  <c r="O139" i="107"/>
  <c r="H139" i="107"/>
  <c r="I139" i="107" s="1"/>
  <c r="S138" i="107"/>
  <c r="T138" i="107" s="1"/>
  <c r="R138" i="107"/>
  <c r="Q138" i="107"/>
  <c r="P138" i="107"/>
  <c r="O138" i="107"/>
  <c r="H138" i="107"/>
  <c r="I138" i="107" s="1"/>
  <c r="S137" i="107"/>
  <c r="T137" i="107" s="1"/>
  <c r="R137" i="107"/>
  <c r="Q137" i="107"/>
  <c r="P137" i="107"/>
  <c r="O137" i="107"/>
  <c r="H137" i="107"/>
  <c r="I137" i="107" s="1"/>
  <c r="S136" i="107"/>
  <c r="T136" i="107" s="1"/>
  <c r="R136" i="107"/>
  <c r="Q136" i="107"/>
  <c r="P136" i="107"/>
  <c r="O136" i="107"/>
  <c r="H136" i="107"/>
  <c r="I136" i="107" s="1"/>
  <c r="S135" i="107"/>
  <c r="T135" i="107" s="1"/>
  <c r="R135" i="107"/>
  <c r="Q135" i="107"/>
  <c r="P135" i="107"/>
  <c r="O135" i="107"/>
  <c r="H135" i="107"/>
  <c r="I135" i="107" s="1"/>
  <c r="S134" i="107"/>
  <c r="T134" i="107" s="1"/>
  <c r="R134" i="107"/>
  <c r="Q134" i="107"/>
  <c r="P134" i="107"/>
  <c r="O134" i="107"/>
  <c r="H134" i="107"/>
  <c r="I134" i="107" s="1"/>
  <c r="S133" i="107"/>
  <c r="T133" i="107" s="1"/>
  <c r="R133" i="107"/>
  <c r="Q133" i="107"/>
  <c r="P133" i="107"/>
  <c r="O133" i="107"/>
  <c r="H133" i="107"/>
  <c r="I133" i="107" s="1"/>
  <c r="S132" i="107"/>
  <c r="T132" i="107" s="1"/>
  <c r="R132" i="107"/>
  <c r="Q132" i="107"/>
  <c r="P132" i="107"/>
  <c r="O132" i="107"/>
  <c r="H132" i="107"/>
  <c r="I132" i="107" s="1"/>
  <c r="S131" i="107"/>
  <c r="T131" i="107" s="1"/>
  <c r="R131" i="107"/>
  <c r="Q131" i="107"/>
  <c r="P131" i="107"/>
  <c r="O131" i="107"/>
  <c r="H131" i="107"/>
  <c r="I131" i="107" s="1"/>
  <c r="S130" i="107"/>
  <c r="T130" i="107" s="1"/>
  <c r="R130" i="107"/>
  <c r="Q130" i="107"/>
  <c r="P130" i="107"/>
  <c r="O130" i="107"/>
  <c r="H130" i="107"/>
  <c r="I130" i="107" s="1"/>
  <c r="S129" i="107"/>
  <c r="T129" i="107" s="1"/>
  <c r="R129" i="107"/>
  <c r="Q129" i="107"/>
  <c r="P129" i="107"/>
  <c r="O129" i="107"/>
  <c r="H129" i="107"/>
  <c r="I129" i="107" s="1"/>
  <c r="S128" i="107"/>
  <c r="T128" i="107" s="1"/>
  <c r="R128" i="107"/>
  <c r="Q128" i="107"/>
  <c r="P128" i="107"/>
  <c r="O128" i="107"/>
  <c r="H128" i="107"/>
  <c r="I128" i="107" s="1"/>
  <c r="S127" i="107"/>
  <c r="T127" i="107" s="1"/>
  <c r="R127" i="107"/>
  <c r="Q127" i="107"/>
  <c r="P127" i="107"/>
  <c r="O127" i="107"/>
  <c r="H127" i="107"/>
  <c r="I127" i="107" s="1"/>
  <c r="S126" i="107"/>
  <c r="T126" i="107" s="1"/>
  <c r="R126" i="107"/>
  <c r="Q126" i="107"/>
  <c r="P126" i="107"/>
  <c r="O126" i="107"/>
  <c r="H126" i="107"/>
  <c r="I126" i="107" s="1"/>
  <c r="S125" i="107"/>
  <c r="T125" i="107" s="1"/>
  <c r="R125" i="107"/>
  <c r="Q125" i="107"/>
  <c r="P125" i="107"/>
  <c r="O125" i="107"/>
  <c r="H125" i="107"/>
  <c r="I125" i="107" s="1"/>
  <c r="S124" i="107"/>
  <c r="T124" i="107" s="1"/>
  <c r="R124" i="107"/>
  <c r="Q124" i="107"/>
  <c r="P124" i="107"/>
  <c r="O124" i="107"/>
  <c r="H124" i="107"/>
  <c r="I124" i="107" s="1"/>
  <c r="S123" i="107"/>
  <c r="T123" i="107" s="1"/>
  <c r="R123" i="107"/>
  <c r="Q123" i="107"/>
  <c r="P123" i="107"/>
  <c r="O123" i="107"/>
  <c r="H123" i="107"/>
  <c r="I123" i="107" s="1"/>
  <c r="S122" i="107"/>
  <c r="T122" i="107" s="1"/>
  <c r="R122" i="107"/>
  <c r="Q122" i="107"/>
  <c r="P122" i="107"/>
  <c r="O122" i="107"/>
  <c r="H122" i="107"/>
  <c r="I122" i="107" s="1"/>
  <c r="S121" i="107"/>
  <c r="T121" i="107" s="1"/>
  <c r="R121" i="107"/>
  <c r="Q121" i="107"/>
  <c r="P121" i="107"/>
  <c r="O121" i="107"/>
  <c r="H121" i="107"/>
  <c r="I121" i="107" s="1"/>
  <c r="S120" i="107"/>
  <c r="T120" i="107" s="1"/>
  <c r="R120" i="107"/>
  <c r="Q120" i="107"/>
  <c r="P120" i="107"/>
  <c r="O120" i="107"/>
  <c r="H120" i="107"/>
  <c r="I120" i="107" s="1"/>
  <c r="S119" i="107"/>
  <c r="T119" i="107" s="1"/>
  <c r="R119" i="107"/>
  <c r="Q119" i="107"/>
  <c r="P119" i="107"/>
  <c r="O119" i="107"/>
  <c r="H119" i="107"/>
  <c r="I119" i="107" s="1"/>
  <c r="S118" i="107"/>
  <c r="T118" i="107" s="1"/>
  <c r="R118" i="107"/>
  <c r="Q118" i="107"/>
  <c r="P118" i="107"/>
  <c r="O118" i="107"/>
  <c r="H118" i="107"/>
  <c r="I118" i="107" s="1"/>
  <c r="S117" i="107"/>
  <c r="T117" i="107" s="1"/>
  <c r="R117" i="107"/>
  <c r="Q117" i="107"/>
  <c r="P117" i="107"/>
  <c r="O117" i="107"/>
  <c r="H117" i="107"/>
  <c r="I117" i="107" s="1"/>
  <c r="S116" i="107"/>
  <c r="T116" i="107" s="1"/>
  <c r="R116" i="107"/>
  <c r="Q116" i="107"/>
  <c r="P116" i="107"/>
  <c r="O116" i="107"/>
  <c r="H116" i="107"/>
  <c r="I116" i="107" s="1"/>
  <c r="S115" i="107"/>
  <c r="T115" i="107" s="1"/>
  <c r="R115" i="107"/>
  <c r="Q115" i="107"/>
  <c r="P115" i="107"/>
  <c r="O115" i="107"/>
  <c r="H115" i="107"/>
  <c r="I115" i="107" s="1"/>
  <c r="S114" i="107"/>
  <c r="T114" i="107" s="1"/>
  <c r="R114" i="107"/>
  <c r="Q114" i="107"/>
  <c r="P114" i="107"/>
  <c r="O114" i="107"/>
  <c r="H114" i="107"/>
  <c r="I114" i="107" s="1"/>
  <c r="S113" i="107"/>
  <c r="T113" i="107" s="1"/>
  <c r="R113" i="107"/>
  <c r="Q113" i="107"/>
  <c r="P113" i="107"/>
  <c r="O113" i="107"/>
  <c r="H113" i="107"/>
  <c r="I113" i="107" s="1"/>
  <c r="S112" i="107"/>
  <c r="T112" i="107" s="1"/>
  <c r="R112" i="107"/>
  <c r="Q112" i="107"/>
  <c r="P112" i="107"/>
  <c r="O112" i="107"/>
  <c r="H112" i="107"/>
  <c r="I112" i="107" s="1"/>
  <c r="S111" i="107"/>
  <c r="T111" i="107" s="1"/>
  <c r="R111" i="107"/>
  <c r="Q111" i="107"/>
  <c r="P111" i="107"/>
  <c r="O111" i="107"/>
  <c r="H111" i="107"/>
  <c r="I111" i="107" s="1"/>
  <c r="S110" i="107"/>
  <c r="T110" i="107" s="1"/>
  <c r="R110" i="107"/>
  <c r="Q110" i="107"/>
  <c r="P110" i="107"/>
  <c r="O110" i="107"/>
  <c r="H110" i="107"/>
  <c r="I110" i="107" s="1"/>
  <c r="S109" i="107"/>
  <c r="T109" i="107" s="1"/>
  <c r="R109" i="107"/>
  <c r="Q109" i="107"/>
  <c r="P109" i="107"/>
  <c r="O109" i="107"/>
  <c r="H109" i="107"/>
  <c r="I109" i="107" s="1"/>
  <c r="S108" i="107"/>
  <c r="T108" i="107" s="1"/>
  <c r="R108" i="107"/>
  <c r="Q108" i="107"/>
  <c r="P108" i="107"/>
  <c r="O108" i="107"/>
  <c r="H108" i="107"/>
  <c r="I108" i="107" s="1"/>
  <c r="S107" i="107"/>
  <c r="T107" i="107" s="1"/>
  <c r="R107" i="107"/>
  <c r="Q107" i="107"/>
  <c r="P107" i="107"/>
  <c r="O107" i="107"/>
  <c r="H107" i="107"/>
  <c r="I107" i="107" s="1"/>
  <c r="S106" i="107"/>
  <c r="T106" i="107" s="1"/>
  <c r="R106" i="107"/>
  <c r="Q106" i="107"/>
  <c r="P106" i="107"/>
  <c r="O106" i="107"/>
  <c r="H106" i="107"/>
  <c r="I106" i="107" s="1"/>
  <c r="S105" i="107"/>
  <c r="T105" i="107" s="1"/>
  <c r="R105" i="107"/>
  <c r="Q105" i="107"/>
  <c r="P105" i="107"/>
  <c r="O105" i="107"/>
  <c r="H105" i="107"/>
  <c r="I105" i="107" s="1"/>
  <c r="S104" i="107"/>
  <c r="T104" i="107" s="1"/>
  <c r="R104" i="107"/>
  <c r="Q104" i="107"/>
  <c r="P104" i="107"/>
  <c r="O104" i="107"/>
  <c r="H104" i="107"/>
  <c r="I104" i="107" s="1"/>
  <c r="S103" i="107"/>
  <c r="T103" i="107" s="1"/>
  <c r="R103" i="107"/>
  <c r="Q103" i="107"/>
  <c r="P103" i="107"/>
  <c r="O103" i="107"/>
  <c r="H103" i="107"/>
  <c r="I103" i="107" s="1"/>
  <c r="S102" i="107"/>
  <c r="T102" i="107" s="1"/>
  <c r="R102" i="107"/>
  <c r="Q102" i="107"/>
  <c r="P102" i="107"/>
  <c r="O102" i="107"/>
  <c r="H102" i="107"/>
  <c r="I102" i="107" s="1"/>
  <c r="S101" i="107"/>
  <c r="T101" i="107" s="1"/>
  <c r="R101" i="107"/>
  <c r="Q101" i="107"/>
  <c r="P101" i="107"/>
  <c r="O101" i="107"/>
  <c r="H101" i="107"/>
  <c r="I101" i="107" s="1"/>
  <c r="S100" i="107"/>
  <c r="T100" i="107" s="1"/>
  <c r="R100" i="107"/>
  <c r="Q100" i="107"/>
  <c r="P100" i="107"/>
  <c r="O100" i="107"/>
  <c r="H100" i="107"/>
  <c r="I100" i="107" s="1"/>
  <c r="S99" i="107"/>
  <c r="T99" i="107" s="1"/>
  <c r="R99" i="107"/>
  <c r="Q99" i="107"/>
  <c r="P99" i="107"/>
  <c r="O99" i="107"/>
  <c r="H99" i="107"/>
  <c r="I99" i="107" s="1"/>
  <c r="S98" i="107"/>
  <c r="T98" i="107" s="1"/>
  <c r="R98" i="107"/>
  <c r="Q98" i="107"/>
  <c r="P98" i="107"/>
  <c r="O98" i="107"/>
  <c r="H98" i="107"/>
  <c r="I98" i="107" s="1"/>
  <c r="S97" i="107"/>
  <c r="T97" i="107" s="1"/>
  <c r="R97" i="107"/>
  <c r="Q97" i="107"/>
  <c r="P97" i="107"/>
  <c r="O97" i="107"/>
  <c r="H97" i="107"/>
  <c r="I97" i="107" s="1"/>
  <c r="S96" i="107"/>
  <c r="T96" i="107" s="1"/>
  <c r="R96" i="107"/>
  <c r="Q96" i="107"/>
  <c r="P96" i="107"/>
  <c r="O96" i="107"/>
  <c r="H96" i="107"/>
  <c r="I96" i="107" s="1"/>
  <c r="S95" i="107"/>
  <c r="T95" i="107" s="1"/>
  <c r="R95" i="107"/>
  <c r="Q95" i="107"/>
  <c r="P95" i="107"/>
  <c r="O95" i="107"/>
  <c r="H95" i="107"/>
  <c r="I95" i="107" s="1"/>
  <c r="S94" i="107"/>
  <c r="T94" i="107" s="1"/>
  <c r="R94" i="107"/>
  <c r="Q94" i="107"/>
  <c r="P94" i="107"/>
  <c r="O94" i="107"/>
  <c r="H94" i="107"/>
  <c r="I94" i="107" s="1"/>
  <c r="S93" i="107"/>
  <c r="T93" i="107" s="1"/>
  <c r="R93" i="107"/>
  <c r="Q93" i="107"/>
  <c r="P93" i="107"/>
  <c r="O93" i="107"/>
  <c r="H93" i="107"/>
  <c r="I93" i="107" s="1"/>
  <c r="S92" i="107"/>
  <c r="T92" i="107" s="1"/>
  <c r="R92" i="107"/>
  <c r="Q92" i="107"/>
  <c r="P92" i="107"/>
  <c r="O92" i="107"/>
  <c r="H92" i="107"/>
  <c r="I92" i="107" s="1"/>
  <c r="S91" i="107"/>
  <c r="T91" i="107" s="1"/>
  <c r="R91" i="107"/>
  <c r="Q91" i="107"/>
  <c r="P91" i="107"/>
  <c r="O91" i="107"/>
  <c r="H91" i="107"/>
  <c r="I91" i="107" s="1"/>
  <c r="S90" i="107"/>
  <c r="T90" i="107" s="1"/>
  <c r="R90" i="107"/>
  <c r="Q90" i="107"/>
  <c r="P90" i="107"/>
  <c r="O90" i="107"/>
  <c r="H90" i="107"/>
  <c r="I90" i="107" s="1"/>
  <c r="S89" i="107"/>
  <c r="T89" i="107" s="1"/>
  <c r="R89" i="107"/>
  <c r="Q89" i="107"/>
  <c r="P89" i="107"/>
  <c r="O89" i="107"/>
  <c r="H89" i="107"/>
  <c r="I89" i="107" s="1"/>
  <c r="S88" i="107"/>
  <c r="T88" i="107" s="1"/>
  <c r="R88" i="107"/>
  <c r="Q88" i="107"/>
  <c r="P88" i="107"/>
  <c r="O88" i="107"/>
  <c r="H88" i="107"/>
  <c r="I88" i="107" s="1"/>
  <c r="S87" i="107"/>
  <c r="T87" i="107" s="1"/>
  <c r="R87" i="107"/>
  <c r="Q87" i="107"/>
  <c r="P87" i="107"/>
  <c r="O87" i="107"/>
  <c r="H87" i="107"/>
  <c r="I87" i="107" s="1"/>
  <c r="S86" i="107"/>
  <c r="T86" i="107" s="1"/>
  <c r="R86" i="107"/>
  <c r="Q86" i="107"/>
  <c r="P86" i="107"/>
  <c r="O86" i="107"/>
  <c r="H86" i="107"/>
  <c r="I86" i="107" s="1"/>
  <c r="S85" i="107"/>
  <c r="T85" i="107" s="1"/>
  <c r="R85" i="107"/>
  <c r="Q85" i="107"/>
  <c r="P85" i="107"/>
  <c r="O85" i="107"/>
  <c r="H85" i="107"/>
  <c r="I85" i="107" s="1"/>
  <c r="S84" i="107"/>
  <c r="T84" i="107" s="1"/>
  <c r="R84" i="107"/>
  <c r="Q84" i="107"/>
  <c r="P84" i="107"/>
  <c r="O84" i="107"/>
  <c r="H84" i="107"/>
  <c r="I84" i="107" s="1"/>
  <c r="S83" i="107"/>
  <c r="T83" i="107" s="1"/>
  <c r="R83" i="107"/>
  <c r="Q83" i="107"/>
  <c r="P83" i="107"/>
  <c r="O83" i="107"/>
  <c r="H83" i="107"/>
  <c r="I83" i="107" s="1"/>
  <c r="S82" i="107"/>
  <c r="T82" i="107" s="1"/>
  <c r="R82" i="107"/>
  <c r="Q82" i="107"/>
  <c r="P82" i="107"/>
  <c r="O82" i="107"/>
  <c r="H82" i="107"/>
  <c r="I82" i="107" s="1"/>
  <c r="S81" i="107"/>
  <c r="T81" i="107" s="1"/>
  <c r="R81" i="107"/>
  <c r="Q81" i="107"/>
  <c r="P81" i="107"/>
  <c r="O81" i="107"/>
  <c r="H81" i="107"/>
  <c r="I81" i="107" s="1"/>
  <c r="S80" i="107"/>
  <c r="T80" i="107" s="1"/>
  <c r="R80" i="107"/>
  <c r="Q80" i="107"/>
  <c r="P80" i="107"/>
  <c r="O80" i="107"/>
  <c r="H80" i="107"/>
  <c r="I80" i="107" s="1"/>
  <c r="S79" i="107"/>
  <c r="T79" i="107" s="1"/>
  <c r="R79" i="107"/>
  <c r="Q79" i="107"/>
  <c r="P79" i="107"/>
  <c r="O79" i="107"/>
  <c r="H79" i="107"/>
  <c r="I79" i="107" s="1"/>
  <c r="S78" i="107"/>
  <c r="T78" i="107" s="1"/>
  <c r="R78" i="107"/>
  <c r="Q78" i="107"/>
  <c r="P78" i="107"/>
  <c r="O78" i="107"/>
  <c r="H78" i="107"/>
  <c r="I78" i="107" s="1"/>
  <c r="S77" i="107"/>
  <c r="T77" i="107" s="1"/>
  <c r="R77" i="107"/>
  <c r="Q77" i="107"/>
  <c r="P77" i="107"/>
  <c r="O77" i="107"/>
  <c r="H77" i="107"/>
  <c r="I77" i="107" s="1"/>
  <c r="S76" i="107"/>
  <c r="T76" i="107" s="1"/>
  <c r="R76" i="107"/>
  <c r="Q76" i="107"/>
  <c r="P76" i="107"/>
  <c r="O76" i="107"/>
  <c r="H76" i="107"/>
  <c r="I76" i="107" s="1"/>
  <c r="S75" i="107"/>
  <c r="T75" i="107" s="1"/>
  <c r="R75" i="107"/>
  <c r="Q75" i="107"/>
  <c r="P75" i="107"/>
  <c r="O75" i="107"/>
  <c r="H75" i="107"/>
  <c r="I75" i="107" s="1"/>
  <c r="S74" i="107"/>
  <c r="T74" i="107" s="1"/>
  <c r="R74" i="107"/>
  <c r="Q74" i="107"/>
  <c r="P74" i="107"/>
  <c r="O74" i="107"/>
  <c r="H74" i="107"/>
  <c r="I74" i="107" s="1"/>
  <c r="S73" i="107"/>
  <c r="T73" i="107" s="1"/>
  <c r="R73" i="107"/>
  <c r="Q73" i="107"/>
  <c r="P73" i="107"/>
  <c r="O73" i="107"/>
  <c r="H73" i="107"/>
  <c r="I73" i="107" s="1"/>
  <c r="S72" i="107"/>
  <c r="T72" i="107" s="1"/>
  <c r="R72" i="107"/>
  <c r="Q72" i="107"/>
  <c r="P72" i="107"/>
  <c r="O72" i="107"/>
  <c r="H72" i="107"/>
  <c r="I72" i="107" s="1"/>
  <c r="S71" i="107"/>
  <c r="T71" i="107" s="1"/>
  <c r="R71" i="107"/>
  <c r="Q71" i="107"/>
  <c r="P71" i="107"/>
  <c r="O71" i="107"/>
  <c r="H71" i="107"/>
  <c r="I71" i="107" s="1"/>
  <c r="S70" i="107"/>
  <c r="T70" i="107" s="1"/>
  <c r="R70" i="107"/>
  <c r="Q70" i="107"/>
  <c r="P70" i="107"/>
  <c r="O70" i="107"/>
  <c r="H70" i="107"/>
  <c r="I70" i="107" s="1"/>
  <c r="S69" i="107"/>
  <c r="T69" i="107" s="1"/>
  <c r="R69" i="107"/>
  <c r="Q69" i="107"/>
  <c r="P69" i="107"/>
  <c r="O69" i="107"/>
  <c r="H69" i="107"/>
  <c r="I69" i="107" s="1"/>
  <c r="S68" i="107"/>
  <c r="T68" i="107" s="1"/>
  <c r="R68" i="107"/>
  <c r="Q68" i="107"/>
  <c r="P68" i="107"/>
  <c r="O68" i="107"/>
  <c r="H68" i="107"/>
  <c r="I68" i="107" s="1"/>
  <c r="S67" i="107"/>
  <c r="T67" i="107" s="1"/>
  <c r="R67" i="107"/>
  <c r="Q67" i="107"/>
  <c r="P67" i="107"/>
  <c r="O67" i="107"/>
  <c r="H67" i="107"/>
  <c r="I67" i="107" s="1"/>
  <c r="S66" i="107"/>
  <c r="T66" i="107" s="1"/>
  <c r="R66" i="107"/>
  <c r="Q66" i="107"/>
  <c r="P66" i="107"/>
  <c r="O66" i="107"/>
  <c r="H66" i="107"/>
  <c r="I66" i="107" s="1"/>
  <c r="S65" i="107"/>
  <c r="T65" i="107" s="1"/>
  <c r="R65" i="107"/>
  <c r="Q65" i="107"/>
  <c r="P65" i="107"/>
  <c r="O65" i="107"/>
  <c r="H65" i="107"/>
  <c r="I65" i="107" s="1"/>
  <c r="S64" i="107"/>
  <c r="T64" i="107" s="1"/>
  <c r="R64" i="107"/>
  <c r="Q64" i="107"/>
  <c r="P64" i="107"/>
  <c r="O64" i="107"/>
  <c r="H64" i="107"/>
  <c r="I64" i="107" s="1"/>
  <c r="S63" i="107"/>
  <c r="T63" i="107" s="1"/>
  <c r="R63" i="107"/>
  <c r="Q63" i="107"/>
  <c r="P63" i="107"/>
  <c r="O63" i="107"/>
  <c r="H63" i="107"/>
  <c r="I63" i="107" s="1"/>
  <c r="S62" i="107"/>
  <c r="T62" i="107" s="1"/>
  <c r="R62" i="107"/>
  <c r="Q62" i="107"/>
  <c r="P62" i="107"/>
  <c r="O62" i="107"/>
  <c r="H62" i="107"/>
  <c r="I62" i="107" s="1"/>
  <c r="S61" i="107"/>
  <c r="T61" i="107" s="1"/>
  <c r="R61" i="107"/>
  <c r="Q61" i="107"/>
  <c r="P61" i="107"/>
  <c r="O61" i="107"/>
  <c r="H61" i="107"/>
  <c r="I61" i="107" s="1"/>
  <c r="S60" i="107"/>
  <c r="T60" i="107" s="1"/>
  <c r="R60" i="107"/>
  <c r="Q60" i="107"/>
  <c r="P60" i="107"/>
  <c r="O60" i="107"/>
  <c r="H60" i="107"/>
  <c r="I60" i="107" s="1"/>
  <c r="S59" i="107"/>
  <c r="T59" i="107" s="1"/>
  <c r="R59" i="107"/>
  <c r="Q59" i="107"/>
  <c r="P59" i="107"/>
  <c r="O59" i="107"/>
  <c r="H59" i="107"/>
  <c r="I59" i="107" s="1"/>
  <c r="S58" i="107"/>
  <c r="T58" i="107" s="1"/>
  <c r="R58" i="107"/>
  <c r="Q58" i="107"/>
  <c r="P58" i="107"/>
  <c r="O58" i="107"/>
  <c r="H58" i="107"/>
  <c r="I58" i="107" s="1"/>
  <c r="S57" i="107"/>
  <c r="T57" i="107" s="1"/>
  <c r="R57" i="107"/>
  <c r="Q57" i="107"/>
  <c r="P57" i="107"/>
  <c r="O57" i="107"/>
  <c r="H57" i="107"/>
  <c r="I57" i="107" s="1"/>
  <c r="S56" i="107"/>
  <c r="T56" i="107" s="1"/>
  <c r="R56" i="107"/>
  <c r="Q56" i="107"/>
  <c r="P56" i="107"/>
  <c r="O56" i="107"/>
  <c r="H56" i="107"/>
  <c r="I56" i="107" s="1"/>
  <c r="S55" i="107"/>
  <c r="T55" i="107" s="1"/>
  <c r="R55" i="107"/>
  <c r="Q55" i="107"/>
  <c r="P55" i="107"/>
  <c r="O55" i="107"/>
  <c r="H55" i="107"/>
  <c r="I55" i="107" s="1"/>
  <c r="S54" i="107"/>
  <c r="T54" i="107" s="1"/>
  <c r="R54" i="107"/>
  <c r="Q54" i="107"/>
  <c r="P54" i="107"/>
  <c r="O54" i="107"/>
  <c r="H54" i="107"/>
  <c r="I54" i="107" s="1"/>
  <c r="S53" i="107"/>
  <c r="T53" i="107" s="1"/>
  <c r="R53" i="107"/>
  <c r="Q53" i="107"/>
  <c r="P53" i="107"/>
  <c r="O53" i="107"/>
  <c r="H53" i="107"/>
  <c r="I53" i="107" s="1"/>
  <c r="S52" i="107"/>
  <c r="T52" i="107" s="1"/>
  <c r="R52" i="107"/>
  <c r="Q52" i="107"/>
  <c r="P52" i="107"/>
  <c r="O52" i="107"/>
  <c r="H52" i="107"/>
  <c r="I52" i="107" s="1"/>
  <c r="S51" i="107"/>
  <c r="T51" i="107" s="1"/>
  <c r="R51" i="107"/>
  <c r="Q51" i="107"/>
  <c r="P51" i="107"/>
  <c r="O51" i="107"/>
  <c r="H51" i="107"/>
  <c r="I51" i="107" s="1"/>
  <c r="S50" i="107"/>
  <c r="T50" i="107" s="1"/>
  <c r="R50" i="107"/>
  <c r="Q50" i="107"/>
  <c r="P50" i="107"/>
  <c r="O50" i="107"/>
  <c r="H50" i="107"/>
  <c r="I50" i="107" s="1"/>
  <c r="S49" i="107"/>
  <c r="T49" i="107" s="1"/>
  <c r="R49" i="107"/>
  <c r="Q49" i="107"/>
  <c r="P49" i="107"/>
  <c r="O49" i="107"/>
  <c r="H49" i="107"/>
  <c r="I49" i="107" s="1"/>
  <c r="S48" i="107"/>
  <c r="T48" i="107" s="1"/>
  <c r="R48" i="107"/>
  <c r="Q48" i="107"/>
  <c r="P48" i="107"/>
  <c r="O48" i="107"/>
  <c r="H48" i="107"/>
  <c r="I48" i="107" s="1"/>
  <c r="S47" i="107"/>
  <c r="T47" i="107" s="1"/>
  <c r="R47" i="107"/>
  <c r="Q47" i="107"/>
  <c r="P47" i="107"/>
  <c r="O47" i="107"/>
  <c r="H47" i="107"/>
  <c r="I47" i="107" s="1"/>
  <c r="S46" i="107"/>
  <c r="T46" i="107" s="1"/>
  <c r="R46" i="107"/>
  <c r="Q46" i="107"/>
  <c r="P46" i="107"/>
  <c r="O46" i="107"/>
  <c r="H46" i="107"/>
  <c r="I46" i="107" s="1"/>
  <c r="S45" i="107"/>
  <c r="T45" i="107" s="1"/>
  <c r="R45" i="107"/>
  <c r="Q45" i="107"/>
  <c r="P45" i="107"/>
  <c r="O45" i="107"/>
  <c r="H45" i="107"/>
  <c r="I45" i="107" s="1"/>
  <c r="S44" i="107"/>
  <c r="T44" i="107" s="1"/>
  <c r="R44" i="107"/>
  <c r="Q44" i="107"/>
  <c r="P44" i="107"/>
  <c r="O44" i="107"/>
  <c r="H44" i="107"/>
  <c r="I44" i="107" s="1"/>
  <c r="S43" i="107"/>
  <c r="T43" i="107" s="1"/>
  <c r="R43" i="107"/>
  <c r="Q43" i="107"/>
  <c r="P43" i="107"/>
  <c r="O43" i="107"/>
  <c r="H43" i="107"/>
  <c r="I43" i="107" s="1"/>
  <c r="S42" i="107"/>
  <c r="T42" i="107" s="1"/>
  <c r="R42" i="107"/>
  <c r="Q42" i="107"/>
  <c r="P42" i="107"/>
  <c r="O42" i="107"/>
  <c r="H42" i="107"/>
  <c r="I42" i="107" s="1"/>
  <c r="S41" i="107"/>
  <c r="T41" i="107" s="1"/>
  <c r="R41" i="107"/>
  <c r="Q41" i="107"/>
  <c r="P41" i="107"/>
  <c r="O41" i="107"/>
  <c r="H41" i="107"/>
  <c r="I41" i="107" s="1"/>
  <c r="S40" i="107"/>
  <c r="T40" i="107" s="1"/>
  <c r="R40" i="107"/>
  <c r="Q40" i="107"/>
  <c r="P40" i="107"/>
  <c r="O40" i="107"/>
  <c r="H40" i="107"/>
  <c r="I40" i="107" s="1"/>
  <c r="S39" i="107"/>
  <c r="T39" i="107" s="1"/>
  <c r="R39" i="107"/>
  <c r="Q39" i="107"/>
  <c r="P39" i="107"/>
  <c r="O39" i="107"/>
  <c r="H39" i="107"/>
  <c r="I39" i="107" s="1"/>
  <c r="S38" i="107"/>
  <c r="T38" i="107" s="1"/>
  <c r="R38" i="107"/>
  <c r="Q38" i="107"/>
  <c r="P38" i="107"/>
  <c r="O38" i="107"/>
  <c r="H38" i="107"/>
  <c r="I38" i="107" s="1"/>
  <c r="S37" i="107"/>
  <c r="T37" i="107" s="1"/>
  <c r="R37" i="107"/>
  <c r="Q37" i="107"/>
  <c r="P37" i="107"/>
  <c r="O37" i="107"/>
  <c r="H37" i="107"/>
  <c r="I37" i="107" s="1"/>
  <c r="S36" i="107"/>
  <c r="T36" i="107" s="1"/>
  <c r="R36" i="107"/>
  <c r="Q36" i="107"/>
  <c r="P36" i="107"/>
  <c r="O36" i="107"/>
  <c r="H36" i="107"/>
  <c r="I36" i="107" s="1"/>
  <c r="S35" i="107"/>
  <c r="T35" i="107" s="1"/>
  <c r="R35" i="107"/>
  <c r="Q35" i="107"/>
  <c r="P35" i="107"/>
  <c r="O35" i="107"/>
  <c r="H35" i="107"/>
  <c r="I35" i="107" s="1"/>
  <c r="S34" i="107"/>
  <c r="T34" i="107" s="1"/>
  <c r="R34" i="107"/>
  <c r="Q34" i="107"/>
  <c r="P34" i="107"/>
  <c r="O34" i="107"/>
  <c r="H34" i="107"/>
  <c r="I34" i="107" s="1"/>
  <c r="S33" i="107"/>
  <c r="T33" i="107" s="1"/>
  <c r="R33" i="107"/>
  <c r="Q33" i="107"/>
  <c r="P33" i="107"/>
  <c r="O33" i="107"/>
  <c r="H33" i="107"/>
  <c r="I33" i="107" s="1"/>
  <c r="S32" i="107"/>
  <c r="T32" i="107" s="1"/>
  <c r="R32" i="107"/>
  <c r="Q32" i="107"/>
  <c r="P32" i="107"/>
  <c r="O32" i="107"/>
  <c r="H32" i="107"/>
  <c r="I32" i="107" s="1"/>
  <c r="S31" i="107"/>
  <c r="T31" i="107" s="1"/>
  <c r="R31" i="107"/>
  <c r="Q31" i="107"/>
  <c r="P31" i="107"/>
  <c r="O31" i="107"/>
  <c r="H31" i="107"/>
  <c r="I31" i="107" s="1"/>
  <c r="S30" i="107"/>
  <c r="T30" i="107" s="1"/>
  <c r="R30" i="107"/>
  <c r="Q30" i="107"/>
  <c r="P30" i="107"/>
  <c r="O30" i="107"/>
  <c r="H30" i="107"/>
  <c r="I30" i="107" s="1"/>
  <c r="S29" i="107"/>
  <c r="T29" i="107" s="1"/>
  <c r="R29" i="107"/>
  <c r="Q29" i="107"/>
  <c r="P29" i="107"/>
  <c r="O29" i="107"/>
  <c r="H29" i="107"/>
  <c r="I29" i="107" s="1"/>
  <c r="S28" i="107"/>
  <c r="T28" i="107" s="1"/>
  <c r="R28" i="107"/>
  <c r="Q28" i="107"/>
  <c r="P28" i="107"/>
  <c r="O28" i="107"/>
  <c r="H28" i="107"/>
  <c r="I28" i="107" s="1"/>
  <c r="S27" i="107"/>
  <c r="T27" i="107" s="1"/>
  <c r="R27" i="107"/>
  <c r="Q27" i="107"/>
  <c r="P27" i="107"/>
  <c r="O27" i="107"/>
  <c r="H27" i="107"/>
  <c r="I27" i="107" s="1"/>
  <c r="S26" i="107"/>
  <c r="T26" i="107" s="1"/>
  <c r="R26" i="107"/>
  <c r="Q26" i="107"/>
  <c r="P26" i="107"/>
  <c r="O26" i="107"/>
  <c r="H26" i="107"/>
  <c r="I26" i="107" s="1"/>
  <c r="S25" i="107"/>
  <c r="T25" i="107" s="1"/>
  <c r="R25" i="107"/>
  <c r="Q25" i="107"/>
  <c r="P25" i="107"/>
  <c r="O25" i="107"/>
  <c r="H25" i="107"/>
  <c r="I25" i="107" s="1"/>
  <c r="S24" i="107"/>
  <c r="T24" i="107" s="1"/>
  <c r="R24" i="107"/>
  <c r="Q24" i="107"/>
  <c r="P24" i="107"/>
  <c r="O24" i="107"/>
  <c r="H24" i="107"/>
  <c r="I24" i="107" s="1"/>
  <c r="S23" i="107"/>
  <c r="T23" i="107" s="1"/>
  <c r="R23" i="107"/>
  <c r="Q23" i="107"/>
  <c r="P23" i="107"/>
  <c r="O23" i="107"/>
  <c r="H23" i="107"/>
  <c r="I23" i="107" s="1"/>
  <c r="S22" i="107"/>
  <c r="T22" i="107" s="1"/>
  <c r="R22" i="107"/>
  <c r="Q22" i="107"/>
  <c r="P22" i="107"/>
  <c r="O22" i="107"/>
  <c r="H22" i="107"/>
  <c r="I22" i="107" s="1"/>
  <c r="S21" i="107"/>
  <c r="T21" i="107" s="1"/>
  <c r="R21" i="107"/>
  <c r="Q21" i="107"/>
  <c r="P21" i="107"/>
  <c r="O21" i="107"/>
  <c r="H21" i="107"/>
  <c r="I21" i="107" s="1"/>
  <c r="S20" i="107"/>
  <c r="T20" i="107" s="1"/>
  <c r="R20" i="107"/>
  <c r="Q20" i="107"/>
  <c r="P20" i="107"/>
  <c r="O20" i="107"/>
  <c r="H20" i="107"/>
  <c r="I20" i="107" s="1"/>
  <c r="S19" i="107"/>
  <c r="T19" i="107" s="1"/>
  <c r="R19" i="107"/>
  <c r="Q19" i="107"/>
  <c r="P19" i="107"/>
  <c r="O19" i="107"/>
  <c r="H19" i="107"/>
  <c r="I19" i="107" s="1"/>
  <c r="S18" i="107"/>
  <c r="T18" i="107" s="1"/>
  <c r="R18" i="107"/>
  <c r="Q18" i="107"/>
  <c r="P18" i="107"/>
  <c r="O18" i="107"/>
  <c r="H18" i="107"/>
  <c r="I18" i="107" s="1"/>
  <c r="S17" i="107"/>
  <c r="T17" i="107" s="1"/>
  <c r="R17" i="107"/>
  <c r="Q17" i="107"/>
  <c r="P17" i="107"/>
  <c r="O17" i="107"/>
  <c r="H17" i="107"/>
  <c r="I17" i="107" s="1"/>
  <c r="S16" i="107"/>
  <c r="T16" i="107" s="1"/>
  <c r="R16" i="107"/>
  <c r="Q16" i="107"/>
  <c r="P16" i="107"/>
  <c r="O16" i="107"/>
  <c r="H16" i="107"/>
  <c r="I16" i="107" s="1"/>
  <c r="Y15" i="107"/>
  <c r="Q15" i="107"/>
  <c r="O15" i="107"/>
  <c r="H15" i="107"/>
  <c r="I15" i="107" s="1"/>
  <c r="Y14" i="107"/>
  <c r="Q14" i="107"/>
  <c r="O14" i="107"/>
  <c r="H14" i="107"/>
  <c r="I14" i="107" s="1"/>
  <c r="Y13" i="107"/>
  <c r="P13" i="107"/>
  <c r="O13" i="107"/>
  <c r="H13" i="107"/>
  <c r="I13" i="107" s="1"/>
  <c r="Y12" i="107"/>
  <c r="S12" i="107"/>
  <c r="P12" i="107"/>
  <c r="O12" i="107"/>
  <c r="H12" i="107"/>
  <c r="I12" i="107" s="1"/>
  <c r="Y11" i="107"/>
  <c r="V11" i="107"/>
  <c r="S11" i="107"/>
  <c r="Q11" i="107"/>
  <c r="O11" i="107"/>
  <c r="H11" i="107"/>
  <c r="I11" i="107" s="1"/>
  <c r="Y10" i="107"/>
  <c r="V10" i="107"/>
  <c r="Q10" i="107"/>
  <c r="O10" i="107"/>
  <c r="H10" i="107"/>
  <c r="I10" i="107" s="1"/>
  <c r="Y9" i="107"/>
  <c r="V9" i="107"/>
  <c r="P9" i="107"/>
  <c r="O9" i="107"/>
  <c r="H9" i="107"/>
  <c r="I9" i="107" s="1"/>
  <c r="Y8" i="107"/>
  <c r="V8" i="107"/>
  <c r="Q8" i="107"/>
  <c r="O8" i="107"/>
  <c r="H8" i="107"/>
  <c r="I8" i="107" s="1"/>
  <c r="Y7" i="107"/>
  <c r="V7" i="107"/>
  <c r="Q7" i="107"/>
  <c r="O7" i="107"/>
  <c r="H7" i="107"/>
  <c r="I7" i="107" s="1"/>
  <c r="Y6" i="107"/>
  <c r="V6" i="107"/>
  <c r="Q6" i="107"/>
  <c r="O6" i="107"/>
  <c r="H6" i="107"/>
  <c r="I6" i="107" s="1"/>
  <c r="Y5" i="107"/>
  <c r="V5" i="107"/>
  <c r="Q5" i="107"/>
  <c r="O5" i="107"/>
  <c r="H5" i="107"/>
  <c r="I5" i="107" s="1"/>
  <c r="E12" i="106"/>
  <c r="E11" i="106"/>
  <c r="E10" i="106"/>
  <c r="E9" i="106"/>
  <c r="E8" i="106"/>
  <c r="E7" i="106"/>
  <c r="G5" i="106"/>
  <c r="F5" i="106"/>
  <c r="B33" i="105"/>
  <c r="B25" i="105"/>
  <c r="B53" i="105" s="1"/>
  <c r="E18" i="105"/>
  <c r="E17" i="105"/>
  <c r="E16" i="105"/>
  <c r="E15" i="105"/>
  <c r="E14" i="105"/>
  <c r="E19" i="105" s="1"/>
  <c r="C9" i="105"/>
  <c r="B8" i="104"/>
  <c r="L34" i="100"/>
  <c r="L33" i="100"/>
  <c r="L32" i="100"/>
  <c r="L31" i="100"/>
  <c r="L30" i="100"/>
  <c r="L29" i="100"/>
  <c r="L28" i="100"/>
  <c r="L27" i="100"/>
  <c r="L26" i="100"/>
  <c r="L25" i="100"/>
  <c r="L24" i="100"/>
  <c r="L23" i="100"/>
  <c r="L22" i="100"/>
  <c r="L21" i="100"/>
  <c r="L20" i="100"/>
  <c r="L19" i="100"/>
  <c r="L18" i="100"/>
  <c r="L17" i="100"/>
  <c r="L16" i="100"/>
  <c r="L15" i="100"/>
  <c r="L14" i="100"/>
  <c r="L13" i="100"/>
  <c r="L12" i="100"/>
  <c r="L11" i="100"/>
  <c r="L10" i="100"/>
  <c r="L9" i="100"/>
  <c r="L8" i="100"/>
  <c r="L7" i="100"/>
  <c r="L6" i="100"/>
  <c r="L5" i="100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B12" i="96"/>
  <c r="C12" i="96" s="1"/>
  <c r="B11" i="96"/>
  <c r="C11" i="96" s="1"/>
  <c r="B5" i="96"/>
  <c r="C5" i="96" s="1"/>
  <c r="B4" i="96"/>
  <c r="B106" i="91"/>
  <c r="C106" i="91" s="1"/>
  <c r="B104" i="91"/>
  <c r="B103" i="91"/>
  <c r="B101" i="91"/>
  <c r="B105" i="91" s="1"/>
  <c r="C105" i="91" s="1"/>
  <c r="B100" i="91"/>
  <c r="B102" i="91" s="1"/>
  <c r="B18" i="90"/>
  <c r="B17" i="90"/>
  <c r="B16" i="90"/>
  <c r="N104" i="80"/>
  <c r="L104" i="80"/>
  <c r="N103" i="80"/>
  <c r="L103" i="80"/>
  <c r="N102" i="80"/>
  <c r="L102" i="80"/>
  <c r="N101" i="80"/>
  <c r="L101" i="80"/>
  <c r="N100" i="80"/>
  <c r="L100" i="80"/>
  <c r="N99" i="80"/>
  <c r="L99" i="80"/>
  <c r="N98" i="80"/>
  <c r="L98" i="80"/>
  <c r="N97" i="80"/>
  <c r="L97" i="80"/>
  <c r="N96" i="80"/>
  <c r="L96" i="80"/>
  <c r="N95" i="80"/>
  <c r="L95" i="80"/>
  <c r="N94" i="80"/>
  <c r="L94" i="80"/>
  <c r="N93" i="80"/>
  <c r="L93" i="80"/>
  <c r="N92" i="80"/>
  <c r="L92" i="80"/>
  <c r="N91" i="80"/>
  <c r="L91" i="80"/>
  <c r="N90" i="80"/>
  <c r="L90" i="80"/>
  <c r="N89" i="80"/>
  <c r="L89" i="80"/>
  <c r="N88" i="80"/>
  <c r="L88" i="80"/>
  <c r="N87" i="80"/>
  <c r="L87" i="80"/>
  <c r="N86" i="80"/>
  <c r="L86" i="80"/>
  <c r="N85" i="80"/>
  <c r="L85" i="80"/>
  <c r="N84" i="80"/>
  <c r="L84" i="80"/>
  <c r="N83" i="80"/>
  <c r="L83" i="80"/>
  <c r="N82" i="80"/>
  <c r="L82" i="80"/>
  <c r="N81" i="80"/>
  <c r="L81" i="80"/>
  <c r="N80" i="80"/>
  <c r="L80" i="80"/>
  <c r="N79" i="80"/>
  <c r="L79" i="80"/>
  <c r="N78" i="80"/>
  <c r="L78" i="80"/>
  <c r="N77" i="80"/>
  <c r="L77" i="80"/>
  <c r="N76" i="80"/>
  <c r="L76" i="80"/>
  <c r="N75" i="80"/>
  <c r="L75" i="80"/>
  <c r="N74" i="80"/>
  <c r="L74" i="80"/>
  <c r="N73" i="80"/>
  <c r="L73" i="80"/>
  <c r="N72" i="80"/>
  <c r="L72" i="80"/>
  <c r="N71" i="80"/>
  <c r="L71" i="80"/>
  <c r="N70" i="80"/>
  <c r="L70" i="80"/>
  <c r="N69" i="80"/>
  <c r="L69" i="80"/>
  <c r="N68" i="80"/>
  <c r="L68" i="80"/>
  <c r="N67" i="80"/>
  <c r="L67" i="80"/>
  <c r="N66" i="80"/>
  <c r="L66" i="80"/>
  <c r="N65" i="80"/>
  <c r="L65" i="80"/>
  <c r="N64" i="80"/>
  <c r="L64" i="80"/>
  <c r="N63" i="80"/>
  <c r="L63" i="80"/>
  <c r="N62" i="80"/>
  <c r="L62" i="80"/>
  <c r="N61" i="80"/>
  <c r="L61" i="80"/>
  <c r="N60" i="80"/>
  <c r="L60" i="80"/>
  <c r="N59" i="80"/>
  <c r="L59" i="80"/>
  <c r="N58" i="80"/>
  <c r="L58" i="80"/>
  <c r="N57" i="80"/>
  <c r="L57" i="80"/>
  <c r="N56" i="80"/>
  <c r="L56" i="80"/>
  <c r="N55" i="80"/>
  <c r="L55" i="80"/>
  <c r="N54" i="80"/>
  <c r="L54" i="80"/>
  <c r="N53" i="80"/>
  <c r="L53" i="80"/>
  <c r="N52" i="80"/>
  <c r="L52" i="80"/>
  <c r="N51" i="80"/>
  <c r="L51" i="80"/>
  <c r="N50" i="80"/>
  <c r="L50" i="80"/>
  <c r="N49" i="80"/>
  <c r="L49" i="80"/>
  <c r="N48" i="80"/>
  <c r="L48" i="80"/>
  <c r="N47" i="80"/>
  <c r="L47" i="80"/>
  <c r="N46" i="80"/>
  <c r="L46" i="80"/>
  <c r="N45" i="80"/>
  <c r="L45" i="80"/>
  <c r="N44" i="80"/>
  <c r="L44" i="80"/>
  <c r="N43" i="80"/>
  <c r="L43" i="80"/>
  <c r="N42" i="80"/>
  <c r="L42" i="80"/>
  <c r="N41" i="80"/>
  <c r="L41" i="80"/>
  <c r="N40" i="80"/>
  <c r="L40" i="80"/>
  <c r="N39" i="80"/>
  <c r="L39" i="80"/>
  <c r="N38" i="80"/>
  <c r="L38" i="80"/>
  <c r="N37" i="80"/>
  <c r="L37" i="80"/>
  <c r="N36" i="80"/>
  <c r="L36" i="80"/>
  <c r="N35" i="80"/>
  <c r="L35" i="80"/>
  <c r="N34" i="80"/>
  <c r="L34" i="80"/>
  <c r="N33" i="80"/>
  <c r="L33" i="80"/>
  <c r="N32" i="80"/>
  <c r="L32" i="80"/>
  <c r="N31" i="80"/>
  <c r="L31" i="80"/>
  <c r="N30" i="80"/>
  <c r="L30" i="80"/>
  <c r="N29" i="80"/>
  <c r="L29" i="80"/>
  <c r="N28" i="80"/>
  <c r="L28" i="80"/>
  <c r="N27" i="80"/>
  <c r="L27" i="80"/>
  <c r="N26" i="80"/>
  <c r="L26" i="80"/>
  <c r="N25" i="80"/>
  <c r="L25" i="80"/>
  <c r="N24" i="80"/>
  <c r="L24" i="80"/>
  <c r="N23" i="80"/>
  <c r="L23" i="80"/>
  <c r="N22" i="80"/>
  <c r="L22" i="80"/>
  <c r="N21" i="80"/>
  <c r="L21" i="80"/>
  <c r="N20" i="80"/>
  <c r="L20" i="80"/>
  <c r="N19" i="80"/>
  <c r="L19" i="80"/>
  <c r="N18" i="80"/>
  <c r="L18" i="80"/>
  <c r="N17" i="80"/>
  <c r="L17" i="80"/>
  <c r="N16" i="80"/>
  <c r="L16" i="80"/>
  <c r="N15" i="80"/>
  <c r="L15" i="80"/>
  <c r="N14" i="80"/>
  <c r="L14" i="80"/>
  <c r="N13" i="80"/>
  <c r="L13" i="80"/>
  <c r="N12" i="80"/>
  <c r="L12" i="80"/>
  <c r="N11" i="80"/>
  <c r="L11" i="80"/>
  <c r="N10" i="80"/>
  <c r="L10" i="80"/>
  <c r="N9" i="80"/>
  <c r="L9" i="80"/>
  <c r="N8" i="80"/>
  <c r="L8" i="80"/>
  <c r="N7" i="80"/>
  <c r="L7" i="80"/>
  <c r="N6" i="80"/>
  <c r="L6" i="80"/>
  <c r="N5" i="80"/>
  <c r="L5" i="80"/>
  <c r="M204" i="73"/>
  <c r="L204" i="73"/>
  <c r="K204" i="73"/>
  <c r="H204" i="73"/>
  <c r="F204" i="73"/>
  <c r="E204" i="73"/>
  <c r="D204" i="73"/>
  <c r="C204" i="73"/>
  <c r="B204" i="73"/>
  <c r="A204" i="73"/>
  <c r="M203" i="73"/>
  <c r="L203" i="73"/>
  <c r="K203" i="73"/>
  <c r="H203" i="73"/>
  <c r="F203" i="73"/>
  <c r="E203" i="73"/>
  <c r="D203" i="73"/>
  <c r="C203" i="73"/>
  <c r="B203" i="73"/>
  <c r="A203" i="73"/>
  <c r="M202" i="73"/>
  <c r="L202" i="73"/>
  <c r="K202" i="73"/>
  <c r="H202" i="73"/>
  <c r="F202" i="73"/>
  <c r="E202" i="73"/>
  <c r="D202" i="73"/>
  <c r="C202" i="73"/>
  <c r="B202" i="73"/>
  <c r="A202" i="73"/>
  <c r="M201" i="73"/>
  <c r="L201" i="73"/>
  <c r="K201" i="73"/>
  <c r="H201" i="73"/>
  <c r="F201" i="73"/>
  <c r="E201" i="73"/>
  <c r="D201" i="73"/>
  <c r="C201" i="73"/>
  <c r="B201" i="73"/>
  <c r="A201" i="73"/>
  <c r="M200" i="73"/>
  <c r="L200" i="73"/>
  <c r="K200" i="73"/>
  <c r="H200" i="73"/>
  <c r="F200" i="73"/>
  <c r="E200" i="73"/>
  <c r="D200" i="73"/>
  <c r="C200" i="73"/>
  <c r="B200" i="73"/>
  <c r="A200" i="73"/>
  <c r="M199" i="73"/>
  <c r="L199" i="73"/>
  <c r="K199" i="73"/>
  <c r="H199" i="73"/>
  <c r="F199" i="73"/>
  <c r="E199" i="73"/>
  <c r="D199" i="73"/>
  <c r="C199" i="73"/>
  <c r="B199" i="73"/>
  <c r="A199" i="73"/>
  <c r="M198" i="73"/>
  <c r="L198" i="73"/>
  <c r="K198" i="73"/>
  <c r="H198" i="73"/>
  <c r="F198" i="73"/>
  <c r="E198" i="73"/>
  <c r="D198" i="73"/>
  <c r="C198" i="73"/>
  <c r="B198" i="73"/>
  <c r="A198" i="73"/>
  <c r="M197" i="73"/>
  <c r="L197" i="73"/>
  <c r="K197" i="73"/>
  <c r="H197" i="73"/>
  <c r="F197" i="73"/>
  <c r="E197" i="73"/>
  <c r="D197" i="73"/>
  <c r="C197" i="73"/>
  <c r="B197" i="73"/>
  <c r="A197" i="73"/>
  <c r="M196" i="73"/>
  <c r="L196" i="73"/>
  <c r="K196" i="73"/>
  <c r="H196" i="73"/>
  <c r="F196" i="73"/>
  <c r="E196" i="73"/>
  <c r="D196" i="73"/>
  <c r="C196" i="73"/>
  <c r="B196" i="73"/>
  <c r="A196" i="73"/>
  <c r="M195" i="73"/>
  <c r="L195" i="73"/>
  <c r="K195" i="73"/>
  <c r="H195" i="73"/>
  <c r="F195" i="73"/>
  <c r="E195" i="73"/>
  <c r="D195" i="73"/>
  <c r="C195" i="73"/>
  <c r="B195" i="73"/>
  <c r="A195" i="73"/>
  <c r="M194" i="73"/>
  <c r="L194" i="73"/>
  <c r="K194" i="73"/>
  <c r="H194" i="73"/>
  <c r="F194" i="73"/>
  <c r="E194" i="73"/>
  <c r="D194" i="73"/>
  <c r="C194" i="73"/>
  <c r="B194" i="73"/>
  <c r="A194" i="73"/>
  <c r="M193" i="73"/>
  <c r="L193" i="73"/>
  <c r="K193" i="73"/>
  <c r="H193" i="73"/>
  <c r="F193" i="73"/>
  <c r="E193" i="73"/>
  <c r="D193" i="73"/>
  <c r="C193" i="73"/>
  <c r="B193" i="73"/>
  <c r="A193" i="73"/>
  <c r="M192" i="73"/>
  <c r="L192" i="73"/>
  <c r="K192" i="73"/>
  <c r="H192" i="73"/>
  <c r="F192" i="73"/>
  <c r="E192" i="73"/>
  <c r="D192" i="73"/>
  <c r="C192" i="73"/>
  <c r="B192" i="73"/>
  <c r="A192" i="73"/>
  <c r="M191" i="73"/>
  <c r="L191" i="73"/>
  <c r="K191" i="73"/>
  <c r="H191" i="73"/>
  <c r="F191" i="73"/>
  <c r="E191" i="73"/>
  <c r="D191" i="73"/>
  <c r="C191" i="73"/>
  <c r="B191" i="73"/>
  <c r="A191" i="73"/>
  <c r="M190" i="73"/>
  <c r="L190" i="73"/>
  <c r="K190" i="73"/>
  <c r="H190" i="73"/>
  <c r="F190" i="73"/>
  <c r="E190" i="73"/>
  <c r="D190" i="73"/>
  <c r="C190" i="73"/>
  <c r="B190" i="73"/>
  <c r="A190" i="73"/>
  <c r="M189" i="73"/>
  <c r="L189" i="73"/>
  <c r="K189" i="73"/>
  <c r="H189" i="73"/>
  <c r="F189" i="73"/>
  <c r="E189" i="73"/>
  <c r="D189" i="73"/>
  <c r="C189" i="73"/>
  <c r="B189" i="73"/>
  <c r="A189" i="73"/>
  <c r="M188" i="73"/>
  <c r="L188" i="73"/>
  <c r="K188" i="73"/>
  <c r="H188" i="73"/>
  <c r="F188" i="73"/>
  <c r="E188" i="73"/>
  <c r="D188" i="73"/>
  <c r="C188" i="73"/>
  <c r="B188" i="73"/>
  <c r="A188" i="73"/>
  <c r="M187" i="73"/>
  <c r="L187" i="73"/>
  <c r="K187" i="73"/>
  <c r="H187" i="73"/>
  <c r="F187" i="73"/>
  <c r="E187" i="73"/>
  <c r="D187" i="73"/>
  <c r="C187" i="73"/>
  <c r="B187" i="73"/>
  <c r="A187" i="73"/>
  <c r="M186" i="73"/>
  <c r="L186" i="73"/>
  <c r="K186" i="73"/>
  <c r="H186" i="73"/>
  <c r="F186" i="73"/>
  <c r="E186" i="73"/>
  <c r="D186" i="73"/>
  <c r="C186" i="73"/>
  <c r="B186" i="73"/>
  <c r="A186" i="73"/>
  <c r="M185" i="73"/>
  <c r="L185" i="73"/>
  <c r="K185" i="73"/>
  <c r="H185" i="73"/>
  <c r="F185" i="73"/>
  <c r="E185" i="73"/>
  <c r="D185" i="73"/>
  <c r="C185" i="73"/>
  <c r="B185" i="73"/>
  <c r="A185" i="73"/>
  <c r="M184" i="73"/>
  <c r="L184" i="73"/>
  <c r="K184" i="73"/>
  <c r="H184" i="73"/>
  <c r="F184" i="73"/>
  <c r="E184" i="73"/>
  <c r="D184" i="73"/>
  <c r="C184" i="73"/>
  <c r="B184" i="73"/>
  <c r="A184" i="73"/>
  <c r="M183" i="73"/>
  <c r="L183" i="73"/>
  <c r="K183" i="73"/>
  <c r="H183" i="73"/>
  <c r="F183" i="73"/>
  <c r="E183" i="73"/>
  <c r="D183" i="73"/>
  <c r="C183" i="73"/>
  <c r="B183" i="73"/>
  <c r="A183" i="73"/>
  <c r="M182" i="73"/>
  <c r="L182" i="73"/>
  <c r="K182" i="73"/>
  <c r="H182" i="73"/>
  <c r="F182" i="73"/>
  <c r="E182" i="73"/>
  <c r="D182" i="73"/>
  <c r="C182" i="73"/>
  <c r="B182" i="73"/>
  <c r="A182" i="73"/>
  <c r="M181" i="73"/>
  <c r="L181" i="73"/>
  <c r="K181" i="73"/>
  <c r="H181" i="73"/>
  <c r="F181" i="73"/>
  <c r="E181" i="73"/>
  <c r="D181" i="73"/>
  <c r="C181" i="73"/>
  <c r="B181" i="73"/>
  <c r="A181" i="73"/>
  <c r="M180" i="73"/>
  <c r="L180" i="73"/>
  <c r="K180" i="73"/>
  <c r="H180" i="73"/>
  <c r="F180" i="73"/>
  <c r="E180" i="73"/>
  <c r="D180" i="73"/>
  <c r="C180" i="73"/>
  <c r="B180" i="73"/>
  <c r="A180" i="73"/>
  <c r="M179" i="73"/>
  <c r="L179" i="73"/>
  <c r="K179" i="73"/>
  <c r="H179" i="73"/>
  <c r="F179" i="73"/>
  <c r="E179" i="73"/>
  <c r="D179" i="73"/>
  <c r="C179" i="73"/>
  <c r="B179" i="73"/>
  <c r="A179" i="73"/>
  <c r="M178" i="73"/>
  <c r="L178" i="73"/>
  <c r="K178" i="73"/>
  <c r="H178" i="73"/>
  <c r="F178" i="73"/>
  <c r="E178" i="73"/>
  <c r="D178" i="73"/>
  <c r="C178" i="73"/>
  <c r="B178" i="73"/>
  <c r="A178" i="73"/>
  <c r="M177" i="73"/>
  <c r="L177" i="73"/>
  <c r="K177" i="73"/>
  <c r="H177" i="73"/>
  <c r="F177" i="73"/>
  <c r="E177" i="73"/>
  <c r="D177" i="73"/>
  <c r="C177" i="73"/>
  <c r="B177" i="73"/>
  <c r="A177" i="73"/>
  <c r="M176" i="73"/>
  <c r="L176" i="73"/>
  <c r="K176" i="73"/>
  <c r="H176" i="73"/>
  <c r="F176" i="73"/>
  <c r="E176" i="73"/>
  <c r="D176" i="73"/>
  <c r="C176" i="73"/>
  <c r="B176" i="73"/>
  <c r="A176" i="73"/>
  <c r="M175" i="73"/>
  <c r="L175" i="73"/>
  <c r="K175" i="73"/>
  <c r="H175" i="73"/>
  <c r="F175" i="73"/>
  <c r="E175" i="73"/>
  <c r="D175" i="73"/>
  <c r="C175" i="73"/>
  <c r="B175" i="73"/>
  <c r="A175" i="73"/>
  <c r="M174" i="73"/>
  <c r="L174" i="73"/>
  <c r="K174" i="73"/>
  <c r="H174" i="73"/>
  <c r="F174" i="73"/>
  <c r="E174" i="73"/>
  <c r="D174" i="73"/>
  <c r="C174" i="73"/>
  <c r="B174" i="73"/>
  <c r="A174" i="73"/>
  <c r="M173" i="73"/>
  <c r="L173" i="73"/>
  <c r="K173" i="73"/>
  <c r="H173" i="73"/>
  <c r="F173" i="73"/>
  <c r="E173" i="73"/>
  <c r="D173" i="73"/>
  <c r="C173" i="73"/>
  <c r="B173" i="73"/>
  <c r="A173" i="73"/>
  <c r="M172" i="73"/>
  <c r="L172" i="73"/>
  <c r="K172" i="73"/>
  <c r="H172" i="73"/>
  <c r="F172" i="73"/>
  <c r="E172" i="73"/>
  <c r="D172" i="73"/>
  <c r="C172" i="73"/>
  <c r="B172" i="73"/>
  <c r="A172" i="73"/>
  <c r="M171" i="73"/>
  <c r="L171" i="73"/>
  <c r="K171" i="73"/>
  <c r="H171" i="73"/>
  <c r="F171" i="73"/>
  <c r="E171" i="73"/>
  <c r="D171" i="73"/>
  <c r="C171" i="73"/>
  <c r="B171" i="73"/>
  <c r="A171" i="73"/>
  <c r="M170" i="73"/>
  <c r="L170" i="73"/>
  <c r="K170" i="73"/>
  <c r="H170" i="73"/>
  <c r="F170" i="73"/>
  <c r="E170" i="73"/>
  <c r="D170" i="73"/>
  <c r="C170" i="73"/>
  <c r="B170" i="73"/>
  <c r="A170" i="73"/>
  <c r="M169" i="73"/>
  <c r="L169" i="73"/>
  <c r="K169" i="73"/>
  <c r="H169" i="73"/>
  <c r="F169" i="73"/>
  <c r="E169" i="73"/>
  <c r="D169" i="73"/>
  <c r="C169" i="73"/>
  <c r="B169" i="73"/>
  <c r="A169" i="73"/>
  <c r="M168" i="73"/>
  <c r="L168" i="73"/>
  <c r="K168" i="73"/>
  <c r="H168" i="73"/>
  <c r="F168" i="73"/>
  <c r="E168" i="73"/>
  <c r="D168" i="73"/>
  <c r="C168" i="73"/>
  <c r="B168" i="73"/>
  <c r="A168" i="73"/>
  <c r="M167" i="73"/>
  <c r="L167" i="73"/>
  <c r="K167" i="73"/>
  <c r="H167" i="73"/>
  <c r="F167" i="73"/>
  <c r="E167" i="73"/>
  <c r="D167" i="73"/>
  <c r="C167" i="73"/>
  <c r="B167" i="73"/>
  <c r="A167" i="73"/>
  <c r="M166" i="73"/>
  <c r="L166" i="73"/>
  <c r="K166" i="73"/>
  <c r="H166" i="73"/>
  <c r="F166" i="73"/>
  <c r="E166" i="73"/>
  <c r="D166" i="73"/>
  <c r="C166" i="73"/>
  <c r="B166" i="73"/>
  <c r="A166" i="73"/>
  <c r="M165" i="73"/>
  <c r="L165" i="73"/>
  <c r="K165" i="73"/>
  <c r="H165" i="73"/>
  <c r="F165" i="73"/>
  <c r="E165" i="73"/>
  <c r="D165" i="73"/>
  <c r="C165" i="73"/>
  <c r="B165" i="73"/>
  <c r="A165" i="73"/>
  <c r="M164" i="73"/>
  <c r="L164" i="73"/>
  <c r="K164" i="73"/>
  <c r="H164" i="73"/>
  <c r="F164" i="73"/>
  <c r="E164" i="73"/>
  <c r="D164" i="73"/>
  <c r="C164" i="73"/>
  <c r="B164" i="73"/>
  <c r="A164" i="73"/>
  <c r="M163" i="73"/>
  <c r="L163" i="73"/>
  <c r="K163" i="73"/>
  <c r="H163" i="73"/>
  <c r="F163" i="73"/>
  <c r="E163" i="73"/>
  <c r="D163" i="73"/>
  <c r="C163" i="73"/>
  <c r="B163" i="73"/>
  <c r="A163" i="73"/>
  <c r="M162" i="73"/>
  <c r="L162" i="73"/>
  <c r="K162" i="73"/>
  <c r="H162" i="73"/>
  <c r="F162" i="73"/>
  <c r="E162" i="73"/>
  <c r="D162" i="73"/>
  <c r="C162" i="73"/>
  <c r="B162" i="73"/>
  <c r="A162" i="73"/>
  <c r="M161" i="73"/>
  <c r="L161" i="73"/>
  <c r="K161" i="73"/>
  <c r="H161" i="73"/>
  <c r="F161" i="73"/>
  <c r="E161" i="73"/>
  <c r="D161" i="73"/>
  <c r="C161" i="73"/>
  <c r="B161" i="73"/>
  <c r="A161" i="73"/>
  <c r="M160" i="73"/>
  <c r="L160" i="73"/>
  <c r="K160" i="73"/>
  <c r="H160" i="73"/>
  <c r="F160" i="73"/>
  <c r="E160" i="73"/>
  <c r="D160" i="73"/>
  <c r="C160" i="73"/>
  <c r="B160" i="73"/>
  <c r="A160" i="73"/>
  <c r="M159" i="73"/>
  <c r="L159" i="73"/>
  <c r="K159" i="73"/>
  <c r="H159" i="73"/>
  <c r="F159" i="73"/>
  <c r="E159" i="73"/>
  <c r="D159" i="73"/>
  <c r="C159" i="73"/>
  <c r="B159" i="73"/>
  <c r="A159" i="73"/>
  <c r="M158" i="73"/>
  <c r="L158" i="73"/>
  <c r="K158" i="73"/>
  <c r="H158" i="73"/>
  <c r="F158" i="73"/>
  <c r="E158" i="73"/>
  <c r="D158" i="73"/>
  <c r="C158" i="73"/>
  <c r="B158" i="73"/>
  <c r="A158" i="73"/>
  <c r="M157" i="73"/>
  <c r="L157" i="73"/>
  <c r="K157" i="73"/>
  <c r="H157" i="73"/>
  <c r="F157" i="73"/>
  <c r="E157" i="73"/>
  <c r="D157" i="73"/>
  <c r="C157" i="73"/>
  <c r="B157" i="73"/>
  <c r="A157" i="73"/>
  <c r="N156" i="73"/>
  <c r="M156" i="73"/>
  <c r="L156" i="73"/>
  <c r="K156" i="73"/>
  <c r="H156" i="73"/>
  <c r="F156" i="73"/>
  <c r="E156" i="73"/>
  <c r="D156" i="73"/>
  <c r="C156" i="73"/>
  <c r="B156" i="73"/>
  <c r="M155" i="73"/>
  <c r="L155" i="73"/>
  <c r="K155" i="73"/>
  <c r="H155" i="73"/>
  <c r="F155" i="73"/>
  <c r="E155" i="73"/>
  <c r="D155" i="73"/>
  <c r="C155" i="73"/>
  <c r="B155" i="73"/>
  <c r="A155" i="73"/>
  <c r="M154" i="73"/>
  <c r="L154" i="73"/>
  <c r="K154" i="73"/>
  <c r="H154" i="73"/>
  <c r="F154" i="73"/>
  <c r="E154" i="73"/>
  <c r="D154" i="73"/>
  <c r="C154" i="73"/>
  <c r="B154" i="73"/>
  <c r="A154" i="73"/>
  <c r="M153" i="73"/>
  <c r="L153" i="73"/>
  <c r="K153" i="73"/>
  <c r="H153" i="73"/>
  <c r="F153" i="73"/>
  <c r="E153" i="73"/>
  <c r="D153" i="73"/>
  <c r="C153" i="73"/>
  <c r="B153" i="73"/>
  <c r="A153" i="73"/>
  <c r="M152" i="73"/>
  <c r="L152" i="73"/>
  <c r="K152" i="73"/>
  <c r="H152" i="73"/>
  <c r="F152" i="73"/>
  <c r="E152" i="73"/>
  <c r="D152" i="73"/>
  <c r="C152" i="73"/>
  <c r="B152" i="73"/>
  <c r="A152" i="73"/>
  <c r="M151" i="73"/>
  <c r="L151" i="73"/>
  <c r="K151" i="73"/>
  <c r="H151" i="73"/>
  <c r="F151" i="73"/>
  <c r="E151" i="73"/>
  <c r="D151" i="73"/>
  <c r="C151" i="73"/>
  <c r="B151" i="73"/>
  <c r="A151" i="73"/>
  <c r="M150" i="73"/>
  <c r="L150" i="73"/>
  <c r="K150" i="73"/>
  <c r="H150" i="73"/>
  <c r="F150" i="73"/>
  <c r="E150" i="73"/>
  <c r="D150" i="73"/>
  <c r="C150" i="73"/>
  <c r="B150" i="73"/>
  <c r="A150" i="73"/>
  <c r="M149" i="73"/>
  <c r="L149" i="73"/>
  <c r="K149" i="73"/>
  <c r="H149" i="73"/>
  <c r="F149" i="73"/>
  <c r="E149" i="73"/>
  <c r="D149" i="73"/>
  <c r="C149" i="73"/>
  <c r="B149" i="73"/>
  <c r="A149" i="73"/>
  <c r="M148" i="73"/>
  <c r="L148" i="73"/>
  <c r="K148" i="73"/>
  <c r="H148" i="73"/>
  <c r="F148" i="73"/>
  <c r="E148" i="73"/>
  <c r="D148" i="73"/>
  <c r="C148" i="73"/>
  <c r="B148" i="73"/>
  <c r="A148" i="73"/>
  <c r="M147" i="73"/>
  <c r="L147" i="73"/>
  <c r="K147" i="73"/>
  <c r="H147" i="73"/>
  <c r="F147" i="73"/>
  <c r="E147" i="73"/>
  <c r="D147" i="73"/>
  <c r="C147" i="73"/>
  <c r="B147" i="73"/>
  <c r="A147" i="73"/>
  <c r="M146" i="73"/>
  <c r="L146" i="73"/>
  <c r="K146" i="73"/>
  <c r="H146" i="73"/>
  <c r="F146" i="73"/>
  <c r="E146" i="73"/>
  <c r="D146" i="73"/>
  <c r="C146" i="73"/>
  <c r="B146" i="73"/>
  <c r="A146" i="73"/>
  <c r="M145" i="73"/>
  <c r="L145" i="73"/>
  <c r="K145" i="73"/>
  <c r="H145" i="73"/>
  <c r="F145" i="73"/>
  <c r="E145" i="73"/>
  <c r="D145" i="73"/>
  <c r="C145" i="73"/>
  <c r="B145" i="73"/>
  <c r="A145" i="73"/>
  <c r="M144" i="73"/>
  <c r="L144" i="73"/>
  <c r="K144" i="73"/>
  <c r="H144" i="73"/>
  <c r="F144" i="73"/>
  <c r="E144" i="73"/>
  <c r="D144" i="73"/>
  <c r="C144" i="73"/>
  <c r="B144" i="73"/>
  <c r="A144" i="73"/>
  <c r="M143" i="73"/>
  <c r="L143" i="73"/>
  <c r="K143" i="73"/>
  <c r="H143" i="73"/>
  <c r="F143" i="73"/>
  <c r="E143" i="73"/>
  <c r="D143" i="73"/>
  <c r="C143" i="73"/>
  <c r="B143" i="73"/>
  <c r="A143" i="73"/>
  <c r="M142" i="73"/>
  <c r="L142" i="73"/>
  <c r="K142" i="73"/>
  <c r="H142" i="73"/>
  <c r="F142" i="73"/>
  <c r="E142" i="73"/>
  <c r="D142" i="73"/>
  <c r="C142" i="73"/>
  <c r="B142" i="73"/>
  <c r="A142" i="73"/>
  <c r="M141" i="73"/>
  <c r="L141" i="73"/>
  <c r="K141" i="73"/>
  <c r="H141" i="73"/>
  <c r="F141" i="73"/>
  <c r="E141" i="73"/>
  <c r="D141" i="73"/>
  <c r="C141" i="73"/>
  <c r="B141" i="73"/>
  <c r="A141" i="73"/>
  <c r="M140" i="73"/>
  <c r="L140" i="73"/>
  <c r="K140" i="73"/>
  <c r="H140" i="73"/>
  <c r="F140" i="73"/>
  <c r="E140" i="73"/>
  <c r="D140" i="73"/>
  <c r="C140" i="73"/>
  <c r="B140" i="73"/>
  <c r="A140" i="73"/>
  <c r="M139" i="73"/>
  <c r="L139" i="73"/>
  <c r="K139" i="73"/>
  <c r="H139" i="73"/>
  <c r="F139" i="73"/>
  <c r="E139" i="73"/>
  <c r="D139" i="73"/>
  <c r="C139" i="73"/>
  <c r="B139" i="73"/>
  <c r="A139" i="73"/>
  <c r="M138" i="73"/>
  <c r="L138" i="73"/>
  <c r="K138" i="73"/>
  <c r="H138" i="73"/>
  <c r="F138" i="73"/>
  <c r="E138" i="73"/>
  <c r="D138" i="73"/>
  <c r="C138" i="73"/>
  <c r="B138" i="73"/>
  <c r="A138" i="73"/>
  <c r="M137" i="73"/>
  <c r="L137" i="73"/>
  <c r="K137" i="73"/>
  <c r="H137" i="73"/>
  <c r="F137" i="73"/>
  <c r="E137" i="73"/>
  <c r="D137" i="73"/>
  <c r="C137" i="73"/>
  <c r="B137" i="73"/>
  <c r="A137" i="73"/>
  <c r="M136" i="73"/>
  <c r="L136" i="73"/>
  <c r="K136" i="73"/>
  <c r="H136" i="73"/>
  <c r="F136" i="73"/>
  <c r="E136" i="73"/>
  <c r="D136" i="73"/>
  <c r="C136" i="73"/>
  <c r="B136" i="73"/>
  <c r="A136" i="73"/>
  <c r="M135" i="73"/>
  <c r="L135" i="73"/>
  <c r="K135" i="73"/>
  <c r="H135" i="73"/>
  <c r="F135" i="73"/>
  <c r="E135" i="73"/>
  <c r="D135" i="73"/>
  <c r="C135" i="73"/>
  <c r="B135" i="73"/>
  <c r="A135" i="73"/>
  <c r="M134" i="73"/>
  <c r="L134" i="73"/>
  <c r="K134" i="73"/>
  <c r="H134" i="73"/>
  <c r="F134" i="73"/>
  <c r="E134" i="73"/>
  <c r="D134" i="73"/>
  <c r="C134" i="73"/>
  <c r="B134" i="73"/>
  <c r="A134" i="73"/>
  <c r="M133" i="73"/>
  <c r="L133" i="73"/>
  <c r="K133" i="73"/>
  <c r="H133" i="73"/>
  <c r="F133" i="73"/>
  <c r="E133" i="73"/>
  <c r="D133" i="73"/>
  <c r="C133" i="73"/>
  <c r="B133" i="73"/>
  <c r="A133" i="73"/>
  <c r="M132" i="73"/>
  <c r="L132" i="73"/>
  <c r="K132" i="73"/>
  <c r="H132" i="73"/>
  <c r="F132" i="73"/>
  <c r="E132" i="73"/>
  <c r="D132" i="73"/>
  <c r="C132" i="73"/>
  <c r="B132" i="73"/>
  <c r="A132" i="73"/>
  <c r="M131" i="73"/>
  <c r="L131" i="73"/>
  <c r="K131" i="73"/>
  <c r="H131" i="73"/>
  <c r="F131" i="73"/>
  <c r="E131" i="73"/>
  <c r="D131" i="73"/>
  <c r="C131" i="73"/>
  <c r="B131" i="73"/>
  <c r="A131" i="73"/>
  <c r="M130" i="73"/>
  <c r="L130" i="73"/>
  <c r="K130" i="73"/>
  <c r="H130" i="73"/>
  <c r="F130" i="73"/>
  <c r="E130" i="73"/>
  <c r="D130" i="73"/>
  <c r="C130" i="73"/>
  <c r="B130" i="73"/>
  <c r="A130" i="73"/>
  <c r="M129" i="73"/>
  <c r="L129" i="73"/>
  <c r="K129" i="73"/>
  <c r="H129" i="73"/>
  <c r="F129" i="73"/>
  <c r="E129" i="73"/>
  <c r="D129" i="73"/>
  <c r="C129" i="73"/>
  <c r="B129" i="73"/>
  <c r="A129" i="73"/>
  <c r="M128" i="73"/>
  <c r="L128" i="73"/>
  <c r="K128" i="73"/>
  <c r="H128" i="73"/>
  <c r="F128" i="73"/>
  <c r="E128" i="73"/>
  <c r="D128" i="73"/>
  <c r="C128" i="73"/>
  <c r="B128" i="73"/>
  <c r="A128" i="73"/>
  <c r="M127" i="73"/>
  <c r="L127" i="73"/>
  <c r="K127" i="73"/>
  <c r="H127" i="73"/>
  <c r="F127" i="73"/>
  <c r="E127" i="73"/>
  <c r="D127" i="73"/>
  <c r="C127" i="73"/>
  <c r="B127" i="73"/>
  <c r="A127" i="73"/>
  <c r="M126" i="73"/>
  <c r="L126" i="73"/>
  <c r="K126" i="73"/>
  <c r="H126" i="73"/>
  <c r="F126" i="73"/>
  <c r="E126" i="73"/>
  <c r="D126" i="73"/>
  <c r="C126" i="73"/>
  <c r="B126" i="73"/>
  <c r="A126" i="73"/>
  <c r="M125" i="73"/>
  <c r="L125" i="73"/>
  <c r="K125" i="73"/>
  <c r="H125" i="73"/>
  <c r="F125" i="73"/>
  <c r="E125" i="73"/>
  <c r="D125" i="73"/>
  <c r="C125" i="73"/>
  <c r="B125" i="73"/>
  <c r="A125" i="73"/>
  <c r="M124" i="73"/>
  <c r="L124" i="73"/>
  <c r="K124" i="73"/>
  <c r="H124" i="73"/>
  <c r="F124" i="73"/>
  <c r="E124" i="73"/>
  <c r="D124" i="73"/>
  <c r="C124" i="73"/>
  <c r="B124" i="73"/>
  <c r="A124" i="73"/>
  <c r="M123" i="73"/>
  <c r="L123" i="73"/>
  <c r="K123" i="73"/>
  <c r="H123" i="73"/>
  <c r="F123" i="73"/>
  <c r="E123" i="73"/>
  <c r="D123" i="73"/>
  <c r="C123" i="73"/>
  <c r="B123" i="73"/>
  <c r="A123" i="73"/>
  <c r="M122" i="73"/>
  <c r="L122" i="73"/>
  <c r="K122" i="73"/>
  <c r="H122" i="73"/>
  <c r="F122" i="73"/>
  <c r="E122" i="73"/>
  <c r="D122" i="73"/>
  <c r="C122" i="73"/>
  <c r="B122" i="73"/>
  <c r="A122" i="73"/>
  <c r="M121" i="73"/>
  <c r="L121" i="73"/>
  <c r="K121" i="73"/>
  <c r="H121" i="73"/>
  <c r="F121" i="73"/>
  <c r="E121" i="73"/>
  <c r="D121" i="73"/>
  <c r="C121" i="73"/>
  <c r="B121" i="73"/>
  <c r="A121" i="73"/>
  <c r="M120" i="73"/>
  <c r="L120" i="73"/>
  <c r="K120" i="73"/>
  <c r="H120" i="73"/>
  <c r="F120" i="73"/>
  <c r="E120" i="73"/>
  <c r="D120" i="73"/>
  <c r="C120" i="73"/>
  <c r="B120" i="73"/>
  <c r="A120" i="73"/>
  <c r="M119" i="73"/>
  <c r="L119" i="73"/>
  <c r="K119" i="73"/>
  <c r="H119" i="73"/>
  <c r="F119" i="73"/>
  <c r="E119" i="73"/>
  <c r="D119" i="73"/>
  <c r="C119" i="73"/>
  <c r="B119" i="73"/>
  <c r="A119" i="73"/>
  <c r="M118" i="73"/>
  <c r="L118" i="73"/>
  <c r="K118" i="73"/>
  <c r="H118" i="73"/>
  <c r="F118" i="73"/>
  <c r="E118" i="73"/>
  <c r="D118" i="73"/>
  <c r="C118" i="73"/>
  <c r="B118" i="73"/>
  <c r="A118" i="73"/>
  <c r="M117" i="73"/>
  <c r="L117" i="73"/>
  <c r="K117" i="73"/>
  <c r="H117" i="73"/>
  <c r="F117" i="73"/>
  <c r="E117" i="73"/>
  <c r="D117" i="73"/>
  <c r="C117" i="73"/>
  <c r="B117" i="73"/>
  <c r="A117" i="73"/>
  <c r="M116" i="73"/>
  <c r="L116" i="73"/>
  <c r="K116" i="73"/>
  <c r="H116" i="73"/>
  <c r="F116" i="73"/>
  <c r="E116" i="73"/>
  <c r="D116" i="73"/>
  <c r="C116" i="73"/>
  <c r="B116" i="73"/>
  <c r="A116" i="73"/>
  <c r="M115" i="73"/>
  <c r="L115" i="73"/>
  <c r="K115" i="73"/>
  <c r="H115" i="73"/>
  <c r="F115" i="73"/>
  <c r="E115" i="73"/>
  <c r="D115" i="73"/>
  <c r="C115" i="73"/>
  <c r="B115" i="73"/>
  <c r="A115" i="73"/>
  <c r="M114" i="73"/>
  <c r="L114" i="73"/>
  <c r="K114" i="73"/>
  <c r="H114" i="73"/>
  <c r="F114" i="73"/>
  <c r="E114" i="73"/>
  <c r="D114" i="73"/>
  <c r="C114" i="73"/>
  <c r="B114" i="73"/>
  <c r="A114" i="73"/>
  <c r="M113" i="73"/>
  <c r="L113" i="73"/>
  <c r="K113" i="73"/>
  <c r="H113" i="73"/>
  <c r="F113" i="73"/>
  <c r="E113" i="73"/>
  <c r="D113" i="73"/>
  <c r="C113" i="73"/>
  <c r="B113" i="73"/>
  <c r="A113" i="73"/>
  <c r="M112" i="73"/>
  <c r="L112" i="73"/>
  <c r="K112" i="73"/>
  <c r="H112" i="73"/>
  <c r="F112" i="73"/>
  <c r="E112" i="73"/>
  <c r="D112" i="73"/>
  <c r="C112" i="73"/>
  <c r="B112" i="73"/>
  <c r="A112" i="73"/>
  <c r="M111" i="73"/>
  <c r="L111" i="73"/>
  <c r="K111" i="73"/>
  <c r="H111" i="73"/>
  <c r="F111" i="73"/>
  <c r="E111" i="73"/>
  <c r="D111" i="73"/>
  <c r="C111" i="73"/>
  <c r="B111" i="73"/>
  <c r="A111" i="73"/>
  <c r="M110" i="73"/>
  <c r="L110" i="73"/>
  <c r="K110" i="73"/>
  <c r="H110" i="73"/>
  <c r="F110" i="73"/>
  <c r="E110" i="73"/>
  <c r="D110" i="73"/>
  <c r="C110" i="73"/>
  <c r="B110" i="73"/>
  <c r="A110" i="73"/>
  <c r="M109" i="73"/>
  <c r="L109" i="73"/>
  <c r="K109" i="73"/>
  <c r="H109" i="73"/>
  <c r="F109" i="73"/>
  <c r="E109" i="73"/>
  <c r="D109" i="73"/>
  <c r="C109" i="73"/>
  <c r="B109" i="73"/>
  <c r="A109" i="73"/>
  <c r="M108" i="73"/>
  <c r="L108" i="73"/>
  <c r="K108" i="73"/>
  <c r="H108" i="73"/>
  <c r="F108" i="73"/>
  <c r="E108" i="73"/>
  <c r="D108" i="73"/>
  <c r="C108" i="73"/>
  <c r="B108" i="73"/>
  <c r="A108" i="73"/>
  <c r="M107" i="73"/>
  <c r="L107" i="73"/>
  <c r="K107" i="73"/>
  <c r="H107" i="73"/>
  <c r="F107" i="73"/>
  <c r="E107" i="73"/>
  <c r="D107" i="73"/>
  <c r="C107" i="73"/>
  <c r="B107" i="73"/>
  <c r="A107" i="73"/>
  <c r="M106" i="73"/>
  <c r="L106" i="73"/>
  <c r="K106" i="73"/>
  <c r="H106" i="73"/>
  <c r="F106" i="73"/>
  <c r="E106" i="73"/>
  <c r="D106" i="73"/>
  <c r="C106" i="73"/>
  <c r="B106" i="73"/>
  <c r="A106" i="73"/>
  <c r="M105" i="73"/>
  <c r="L105" i="73"/>
  <c r="K105" i="73"/>
  <c r="H105" i="73"/>
  <c r="F105" i="73"/>
  <c r="E105" i="73"/>
  <c r="D105" i="73"/>
  <c r="C105" i="73"/>
  <c r="B105" i="73"/>
  <c r="A105" i="73"/>
  <c r="M104" i="73"/>
  <c r="L104" i="73"/>
  <c r="K104" i="73"/>
  <c r="H104" i="73"/>
  <c r="F104" i="73"/>
  <c r="E104" i="73"/>
  <c r="D104" i="73"/>
  <c r="C104" i="73"/>
  <c r="B104" i="73"/>
  <c r="A104" i="73"/>
  <c r="M103" i="73"/>
  <c r="L103" i="73"/>
  <c r="K103" i="73"/>
  <c r="H103" i="73"/>
  <c r="F103" i="73"/>
  <c r="E103" i="73"/>
  <c r="D103" i="73"/>
  <c r="C103" i="73"/>
  <c r="B103" i="73"/>
  <c r="A103" i="73"/>
  <c r="M102" i="73"/>
  <c r="L102" i="73"/>
  <c r="K102" i="73"/>
  <c r="H102" i="73"/>
  <c r="F102" i="73"/>
  <c r="E102" i="73"/>
  <c r="D102" i="73"/>
  <c r="C102" i="73"/>
  <c r="B102" i="73"/>
  <c r="A102" i="73"/>
  <c r="M101" i="73"/>
  <c r="L101" i="73"/>
  <c r="K101" i="73"/>
  <c r="H101" i="73"/>
  <c r="F101" i="73"/>
  <c r="E101" i="73"/>
  <c r="D101" i="73"/>
  <c r="C101" i="73"/>
  <c r="B101" i="73"/>
  <c r="A101" i="73"/>
  <c r="M100" i="73"/>
  <c r="L100" i="73"/>
  <c r="K100" i="73"/>
  <c r="H100" i="73"/>
  <c r="F100" i="73"/>
  <c r="E100" i="73"/>
  <c r="D100" i="73"/>
  <c r="C100" i="73"/>
  <c r="B100" i="73"/>
  <c r="A100" i="73"/>
  <c r="M99" i="73"/>
  <c r="L99" i="73"/>
  <c r="K99" i="73"/>
  <c r="H99" i="73"/>
  <c r="F99" i="73"/>
  <c r="E99" i="73"/>
  <c r="D99" i="73"/>
  <c r="C99" i="73"/>
  <c r="B99" i="73"/>
  <c r="A99" i="73"/>
  <c r="M98" i="73"/>
  <c r="L98" i="73"/>
  <c r="K98" i="73"/>
  <c r="H98" i="73"/>
  <c r="F98" i="73"/>
  <c r="E98" i="73"/>
  <c r="D98" i="73"/>
  <c r="C98" i="73"/>
  <c r="B98" i="73"/>
  <c r="A98" i="73"/>
  <c r="M97" i="73"/>
  <c r="L97" i="73"/>
  <c r="K97" i="73"/>
  <c r="H97" i="73"/>
  <c r="F97" i="73"/>
  <c r="E97" i="73"/>
  <c r="D97" i="73"/>
  <c r="C97" i="73"/>
  <c r="B97" i="73"/>
  <c r="A97" i="73"/>
  <c r="M96" i="73"/>
  <c r="L96" i="73"/>
  <c r="K96" i="73"/>
  <c r="H96" i="73"/>
  <c r="F96" i="73"/>
  <c r="E96" i="73"/>
  <c r="D96" i="73"/>
  <c r="C96" i="73"/>
  <c r="B96" i="73"/>
  <c r="A96" i="73"/>
  <c r="M95" i="73"/>
  <c r="L95" i="73"/>
  <c r="K95" i="73"/>
  <c r="H95" i="73"/>
  <c r="F95" i="73"/>
  <c r="E95" i="73"/>
  <c r="D95" i="73"/>
  <c r="C95" i="73"/>
  <c r="B95" i="73"/>
  <c r="A95" i="73"/>
  <c r="M94" i="73"/>
  <c r="L94" i="73"/>
  <c r="K94" i="73"/>
  <c r="H94" i="73"/>
  <c r="F94" i="73"/>
  <c r="E94" i="73"/>
  <c r="D94" i="73"/>
  <c r="C94" i="73"/>
  <c r="B94" i="73"/>
  <c r="A94" i="73"/>
  <c r="M93" i="73"/>
  <c r="L93" i="73"/>
  <c r="K93" i="73"/>
  <c r="H93" i="73"/>
  <c r="F93" i="73"/>
  <c r="E93" i="73"/>
  <c r="D93" i="73"/>
  <c r="C93" i="73"/>
  <c r="B93" i="73"/>
  <c r="A93" i="73"/>
  <c r="M92" i="73"/>
  <c r="L92" i="73"/>
  <c r="K92" i="73"/>
  <c r="H92" i="73"/>
  <c r="F92" i="73"/>
  <c r="E92" i="73"/>
  <c r="D92" i="73"/>
  <c r="C92" i="73"/>
  <c r="B92" i="73"/>
  <c r="A92" i="73"/>
  <c r="M91" i="73"/>
  <c r="L91" i="73"/>
  <c r="K91" i="73"/>
  <c r="H91" i="73"/>
  <c r="F91" i="73"/>
  <c r="E91" i="73"/>
  <c r="D91" i="73"/>
  <c r="C91" i="73"/>
  <c r="B91" i="73"/>
  <c r="A91" i="73"/>
  <c r="M90" i="73"/>
  <c r="L90" i="73"/>
  <c r="K90" i="73"/>
  <c r="H90" i="73"/>
  <c r="F90" i="73"/>
  <c r="E90" i="73"/>
  <c r="D90" i="73"/>
  <c r="C90" i="73"/>
  <c r="B90" i="73"/>
  <c r="A90" i="73"/>
  <c r="M89" i="73"/>
  <c r="L89" i="73"/>
  <c r="K89" i="73"/>
  <c r="H89" i="73"/>
  <c r="F89" i="73"/>
  <c r="E89" i="73"/>
  <c r="D89" i="73"/>
  <c r="C89" i="73"/>
  <c r="B89" i="73"/>
  <c r="A89" i="73"/>
  <c r="M88" i="73"/>
  <c r="L88" i="73"/>
  <c r="K88" i="73"/>
  <c r="H88" i="73"/>
  <c r="F88" i="73"/>
  <c r="E88" i="73"/>
  <c r="D88" i="73"/>
  <c r="C88" i="73"/>
  <c r="B88" i="73"/>
  <c r="A88" i="73"/>
  <c r="M87" i="73"/>
  <c r="L87" i="73"/>
  <c r="K87" i="73"/>
  <c r="H87" i="73"/>
  <c r="F87" i="73"/>
  <c r="E87" i="73"/>
  <c r="D87" i="73"/>
  <c r="C87" i="73"/>
  <c r="B87" i="73"/>
  <c r="A87" i="73"/>
  <c r="M86" i="73"/>
  <c r="L86" i="73"/>
  <c r="K86" i="73"/>
  <c r="H86" i="73"/>
  <c r="F86" i="73"/>
  <c r="E86" i="73"/>
  <c r="D86" i="73"/>
  <c r="C86" i="73"/>
  <c r="B86" i="73"/>
  <c r="A86" i="73"/>
  <c r="M85" i="73"/>
  <c r="L85" i="73"/>
  <c r="K85" i="73"/>
  <c r="H85" i="73"/>
  <c r="F85" i="73"/>
  <c r="E85" i="73"/>
  <c r="D85" i="73"/>
  <c r="C85" i="73"/>
  <c r="B85" i="73"/>
  <c r="A85" i="73"/>
  <c r="M84" i="73"/>
  <c r="L84" i="73"/>
  <c r="K84" i="73"/>
  <c r="H84" i="73"/>
  <c r="F84" i="73"/>
  <c r="E84" i="73"/>
  <c r="D84" i="73"/>
  <c r="C84" i="73"/>
  <c r="B84" i="73"/>
  <c r="A84" i="73"/>
  <c r="M83" i="73"/>
  <c r="L83" i="73"/>
  <c r="K83" i="73"/>
  <c r="H83" i="73"/>
  <c r="F83" i="73"/>
  <c r="E83" i="73"/>
  <c r="D83" i="73"/>
  <c r="C83" i="73"/>
  <c r="B83" i="73"/>
  <c r="A83" i="73"/>
  <c r="M82" i="73"/>
  <c r="L82" i="73"/>
  <c r="K82" i="73"/>
  <c r="H82" i="73"/>
  <c r="F82" i="73"/>
  <c r="E82" i="73"/>
  <c r="D82" i="73"/>
  <c r="C82" i="73"/>
  <c r="B82" i="73"/>
  <c r="A82" i="73"/>
  <c r="M81" i="73"/>
  <c r="L81" i="73"/>
  <c r="K81" i="73"/>
  <c r="H81" i="73"/>
  <c r="F81" i="73"/>
  <c r="E81" i="73"/>
  <c r="D81" i="73"/>
  <c r="C81" i="73"/>
  <c r="B81" i="73"/>
  <c r="A81" i="73"/>
  <c r="M80" i="73"/>
  <c r="L80" i="73"/>
  <c r="K80" i="73"/>
  <c r="H80" i="73"/>
  <c r="F80" i="73"/>
  <c r="E80" i="73"/>
  <c r="D80" i="73"/>
  <c r="C80" i="73"/>
  <c r="B80" i="73"/>
  <c r="A80" i="73"/>
  <c r="M79" i="73"/>
  <c r="L79" i="73"/>
  <c r="K79" i="73"/>
  <c r="H79" i="73"/>
  <c r="F79" i="73"/>
  <c r="E79" i="73"/>
  <c r="D79" i="73"/>
  <c r="C79" i="73"/>
  <c r="B79" i="73"/>
  <c r="A79" i="73"/>
  <c r="M78" i="73"/>
  <c r="L78" i="73"/>
  <c r="K78" i="73"/>
  <c r="H78" i="73"/>
  <c r="F78" i="73"/>
  <c r="E78" i="73"/>
  <c r="D78" i="73"/>
  <c r="C78" i="73"/>
  <c r="B78" i="73"/>
  <c r="A78" i="73"/>
  <c r="M77" i="73"/>
  <c r="L77" i="73"/>
  <c r="K77" i="73"/>
  <c r="H77" i="73"/>
  <c r="F77" i="73"/>
  <c r="E77" i="73"/>
  <c r="D77" i="73"/>
  <c r="C77" i="73"/>
  <c r="B77" i="73"/>
  <c r="A77" i="73"/>
  <c r="M76" i="73"/>
  <c r="L76" i="73"/>
  <c r="K76" i="73"/>
  <c r="H76" i="73"/>
  <c r="F76" i="73"/>
  <c r="E76" i="73"/>
  <c r="D76" i="73"/>
  <c r="C76" i="73"/>
  <c r="B76" i="73"/>
  <c r="A76" i="73"/>
  <c r="M75" i="73"/>
  <c r="L75" i="73"/>
  <c r="K75" i="73"/>
  <c r="H75" i="73"/>
  <c r="F75" i="73"/>
  <c r="E75" i="73"/>
  <c r="D75" i="73"/>
  <c r="C75" i="73"/>
  <c r="B75" i="73"/>
  <c r="A75" i="73"/>
  <c r="M74" i="73"/>
  <c r="L74" i="73"/>
  <c r="K74" i="73"/>
  <c r="H74" i="73"/>
  <c r="F74" i="73"/>
  <c r="E74" i="73"/>
  <c r="D74" i="73"/>
  <c r="C74" i="73"/>
  <c r="B74" i="73"/>
  <c r="A74" i="73"/>
  <c r="M73" i="73"/>
  <c r="L73" i="73"/>
  <c r="K73" i="73"/>
  <c r="H73" i="73"/>
  <c r="F73" i="73"/>
  <c r="E73" i="73"/>
  <c r="D73" i="73"/>
  <c r="C73" i="73"/>
  <c r="B73" i="73"/>
  <c r="A73" i="73"/>
  <c r="M72" i="73"/>
  <c r="L72" i="73"/>
  <c r="K72" i="73"/>
  <c r="H72" i="73"/>
  <c r="F72" i="73"/>
  <c r="E72" i="73"/>
  <c r="D72" i="73"/>
  <c r="C72" i="73"/>
  <c r="B72" i="73"/>
  <c r="A72" i="73"/>
  <c r="M71" i="73"/>
  <c r="L71" i="73"/>
  <c r="K71" i="73"/>
  <c r="H71" i="73"/>
  <c r="F71" i="73"/>
  <c r="E71" i="73"/>
  <c r="D71" i="73"/>
  <c r="C71" i="73"/>
  <c r="B71" i="73"/>
  <c r="A71" i="73"/>
  <c r="M70" i="73"/>
  <c r="L70" i="73"/>
  <c r="K70" i="73"/>
  <c r="H70" i="73"/>
  <c r="F70" i="73"/>
  <c r="E70" i="73"/>
  <c r="D70" i="73"/>
  <c r="C70" i="73"/>
  <c r="B70" i="73"/>
  <c r="A70" i="73"/>
  <c r="M69" i="73"/>
  <c r="L69" i="73"/>
  <c r="K69" i="73"/>
  <c r="H69" i="73"/>
  <c r="F69" i="73"/>
  <c r="E69" i="73"/>
  <c r="D69" i="73"/>
  <c r="C69" i="73"/>
  <c r="B69" i="73"/>
  <c r="A69" i="73"/>
  <c r="M68" i="73"/>
  <c r="L68" i="73"/>
  <c r="K68" i="73"/>
  <c r="H68" i="73"/>
  <c r="F68" i="73"/>
  <c r="E68" i="73"/>
  <c r="D68" i="73"/>
  <c r="C68" i="73"/>
  <c r="B68" i="73"/>
  <c r="A68" i="73"/>
  <c r="M67" i="73"/>
  <c r="L67" i="73"/>
  <c r="K67" i="73"/>
  <c r="H67" i="73"/>
  <c r="F67" i="73"/>
  <c r="E67" i="73"/>
  <c r="D67" i="73"/>
  <c r="C67" i="73"/>
  <c r="B67" i="73"/>
  <c r="A67" i="73"/>
  <c r="M66" i="73"/>
  <c r="L66" i="73"/>
  <c r="K66" i="73"/>
  <c r="H66" i="73"/>
  <c r="F66" i="73"/>
  <c r="E66" i="73"/>
  <c r="D66" i="73"/>
  <c r="C66" i="73"/>
  <c r="B66" i="73"/>
  <c r="A66" i="73"/>
  <c r="M65" i="73"/>
  <c r="L65" i="73"/>
  <c r="K65" i="73"/>
  <c r="H65" i="73"/>
  <c r="F65" i="73"/>
  <c r="E65" i="73"/>
  <c r="D65" i="73"/>
  <c r="C65" i="73"/>
  <c r="B65" i="73"/>
  <c r="A65" i="73"/>
  <c r="M64" i="73"/>
  <c r="L64" i="73"/>
  <c r="K64" i="73"/>
  <c r="H64" i="73"/>
  <c r="F64" i="73"/>
  <c r="E64" i="73"/>
  <c r="D64" i="73"/>
  <c r="C64" i="73"/>
  <c r="B64" i="73"/>
  <c r="A64" i="73"/>
  <c r="M63" i="73"/>
  <c r="L63" i="73"/>
  <c r="K63" i="73"/>
  <c r="H63" i="73"/>
  <c r="F63" i="73"/>
  <c r="E63" i="73"/>
  <c r="D63" i="73"/>
  <c r="C63" i="73"/>
  <c r="B63" i="73"/>
  <c r="A63" i="73"/>
  <c r="M62" i="73"/>
  <c r="L62" i="73"/>
  <c r="K62" i="73"/>
  <c r="H62" i="73"/>
  <c r="F62" i="73"/>
  <c r="E62" i="73"/>
  <c r="D62" i="73"/>
  <c r="C62" i="73"/>
  <c r="B62" i="73"/>
  <c r="A62" i="73"/>
  <c r="M61" i="73"/>
  <c r="L61" i="73"/>
  <c r="K61" i="73"/>
  <c r="H61" i="73"/>
  <c r="F61" i="73"/>
  <c r="E61" i="73"/>
  <c r="D61" i="73"/>
  <c r="C61" i="73"/>
  <c r="B61" i="73"/>
  <c r="A61" i="73"/>
  <c r="M60" i="73"/>
  <c r="L60" i="73"/>
  <c r="K60" i="73"/>
  <c r="H60" i="73"/>
  <c r="F60" i="73"/>
  <c r="E60" i="73"/>
  <c r="D60" i="73"/>
  <c r="C60" i="73"/>
  <c r="B60" i="73"/>
  <c r="A60" i="73"/>
  <c r="M59" i="73"/>
  <c r="L59" i="73"/>
  <c r="K59" i="73"/>
  <c r="H59" i="73"/>
  <c r="F59" i="73"/>
  <c r="E59" i="73"/>
  <c r="D59" i="73"/>
  <c r="C59" i="73"/>
  <c r="B59" i="73"/>
  <c r="A59" i="73"/>
  <c r="M58" i="73"/>
  <c r="L58" i="73"/>
  <c r="K58" i="73"/>
  <c r="H58" i="73"/>
  <c r="F58" i="73"/>
  <c r="E58" i="73"/>
  <c r="D58" i="73"/>
  <c r="C58" i="73"/>
  <c r="B58" i="73"/>
  <c r="A58" i="73"/>
  <c r="M57" i="73"/>
  <c r="L57" i="73"/>
  <c r="K57" i="73"/>
  <c r="H57" i="73"/>
  <c r="F57" i="73"/>
  <c r="E57" i="73"/>
  <c r="D57" i="73"/>
  <c r="C57" i="73"/>
  <c r="B57" i="73"/>
  <c r="A57" i="73"/>
  <c r="M56" i="73"/>
  <c r="L56" i="73"/>
  <c r="K56" i="73"/>
  <c r="H56" i="73"/>
  <c r="F56" i="73"/>
  <c r="E56" i="73"/>
  <c r="D56" i="73"/>
  <c r="C56" i="73"/>
  <c r="B56" i="73"/>
  <c r="A56" i="73"/>
  <c r="M55" i="73"/>
  <c r="L55" i="73"/>
  <c r="K55" i="73"/>
  <c r="H55" i="73"/>
  <c r="F55" i="73"/>
  <c r="E55" i="73"/>
  <c r="D55" i="73"/>
  <c r="C55" i="73"/>
  <c r="B55" i="73"/>
  <c r="A55" i="73"/>
  <c r="M54" i="73"/>
  <c r="L54" i="73"/>
  <c r="K54" i="73"/>
  <c r="H54" i="73"/>
  <c r="F54" i="73"/>
  <c r="E54" i="73"/>
  <c r="D54" i="73"/>
  <c r="C54" i="73"/>
  <c r="B54" i="73"/>
  <c r="A54" i="73"/>
  <c r="M53" i="73"/>
  <c r="L53" i="73"/>
  <c r="K53" i="73"/>
  <c r="H53" i="73"/>
  <c r="F53" i="73"/>
  <c r="E53" i="73"/>
  <c r="D53" i="73"/>
  <c r="C53" i="73"/>
  <c r="B53" i="73"/>
  <c r="A53" i="73"/>
  <c r="M52" i="73"/>
  <c r="L52" i="73"/>
  <c r="K52" i="73"/>
  <c r="H52" i="73"/>
  <c r="F52" i="73"/>
  <c r="E52" i="73"/>
  <c r="D52" i="73"/>
  <c r="C52" i="73"/>
  <c r="B52" i="73"/>
  <c r="A52" i="73"/>
  <c r="M51" i="73"/>
  <c r="L51" i="73"/>
  <c r="K51" i="73"/>
  <c r="H51" i="73"/>
  <c r="F51" i="73"/>
  <c r="E51" i="73"/>
  <c r="D51" i="73"/>
  <c r="C51" i="73"/>
  <c r="B51" i="73"/>
  <c r="A51" i="73"/>
  <c r="M50" i="73"/>
  <c r="L50" i="73"/>
  <c r="K50" i="73"/>
  <c r="H50" i="73"/>
  <c r="F50" i="73"/>
  <c r="E50" i="73"/>
  <c r="D50" i="73"/>
  <c r="C50" i="73"/>
  <c r="B50" i="73"/>
  <c r="A50" i="73"/>
  <c r="M49" i="73"/>
  <c r="L49" i="73"/>
  <c r="K49" i="73"/>
  <c r="H49" i="73"/>
  <c r="F49" i="73"/>
  <c r="E49" i="73"/>
  <c r="D49" i="73"/>
  <c r="C49" i="73"/>
  <c r="B49" i="73"/>
  <c r="A49" i="73"/>
  <c r="M48" i="73"/>
  <c r="L48" i="73"/>
  <c r="K48" i="73"/>
  <c r="H48" i="73"/>
  <c r="F48" i="73"/>
  <c r="E48" i="73"/>
  <c r="D48" i="73"/>
  <c r="C48" i="73"/>
  <c r="B48" i="73"/>
  <c r="A48" i="73"/>
  <c r="M47" i="73"/>
  <c r="L47" i="73"/>
  <c r="K47" i="73"/>
  <c r="H47" i="73"/>
  <c r="F47" i="73"/>
  <c r="E47" i="73"/>
  <c r="D47" i="73"/>
  <c r="C47" i="73"/>
  <c r="B47" i="73"/>
  <c r="A47" i="73"/>
  <c r="M46" i="73"/>
  <c r="L46" i="73"/>
  <c r="K46" i="73"/>
  <c r="H46" i="73"/>
  <c r="F46" i="73"/>
  <c r="E46" i="73"/>
  <c r="D46" i="73"/>
  <c r="C46" i="73"/>
  <c r="B46" i="73"/>
  <c r="A46" i="73"/>
  <c r="M45" i="73"/>
  <c r="L45" i="73"/>
  <c r="K45" i="73"/>
  <c r="H45" i="73"/>
  <c r="F45" i="73"/>
  <c r="E45" i="73"/>
  <c r="D45" i="73"/>
  <c r="C45" i="73"/>
  <c r="B45" i="73"/>
  <c r="A45" i="73"/>
  <c r="M44" i="73"/>
  <c r="L44" i="73"/>
  <c r="K44" i="73"/>
  <c r="H44" i="73"/>
  <c r="F44" i="73"/>
  <c r="E44" i="73"/>
  <c r="D44" i="73"/>
  <c r="C44" i="73"/>
  <c r="B44" i="73"/>
  <c r="A44" i="73"/>
  <c r="M43" i="73"/>
  <c r="L43" i="73"/>
  <c r="K43" i="73"/>
  <c r="H43" i="73"/>
  <c r="F43" i="73"/>
  <c r="E43" i="73"/>
  <c r="D43" i="73"/>
  <c r="C43" i="73"/>
  <c r="B43" i="73"/>
  <c r="A43" i="73"/>
  <c r="M42" i="73"/>
  <c r="L42" i="73"/>
  <c r="K42" i="73"/>
  <c r="H42" i="73"/>
  <c r="F42" i="73"/>
  <c r="E42" i="73"/>
  <c r="D42" i="73"/>
  <c r="C42" i="73"/>
  <c r="B42" i="73"/>
  <c r="A42" i="73"/>
  <c r="M41" i="73"/>
  <c r="L41" i="73"/>
  <c r="K41" i="73"/>
  <c r="H41" i="73"/>
  <c r="F41" i="73"/>
  <c r="E41" i="73"/>
  <c r="D41" i="73"/>
  <c r="C41" i="73"/>
  <c r="B41" i="73"/>
  <c r="A41" i="73"/>
  <c r="M40" i="73"/>
  <c r="L40" i="73"/>
  <c r="K40" i="73"/>
  <c r="H40" i="73"/>
  <c r="F40" i="73"/>
  <c r="E40" i="73"/>
  <c r="D40" i="73"/>
  <c r="C40" i="73"/>
  <c r="B40" i="73"/>
  <c r="A40" i="73"/>
  <c r="M39" i="73"/>
  <c r="L39" i="73"/>
  <c r="K39" i="73"/>
  <c r="H39" i="73"/>
  <c r="F39" i="73"/>
  <c r="E39" i="73"/>
  <c r="D39" i="73"/>
  <c r="C39" i="73"/>
  <c r="B39" i="73"/>
  <c r="A39" i="73"/>
  <c r="M38" i="73"/>
  <c r="L38" i="73"/>
  <c r="K38" i="73"/>
  <c r="H38" i="73"/>
  <c r="F38" i="73"/>
  <c r="E38" i="73"/>
  <c r="D38" i="73"/>
  <c r="C38" i="73"/>
  <c r="B38" i="73"/>
  <c r="A38" i="73"/>
  <c r="M37" i="73"/>
  <c r="L37" i="73"/>
  <c r="K37" i="73"/>
  <c r="H37" i="73"/>
  <c r="F37" i="73"/>
  <c r="E37" i="73"/>
  <c r="D37" i="73"/>
  <c r="C37" i="73"/>
  <c r="B37" i="73"/>
  <c r="A37" i="73"/>
  <c r="M36" i="73"/>
  <c r="L36" i="73"/>
  <c r="K36" i="73"/>
  <c r="H36" i="73"/>
  <c r="F36" i="73"/>
  <c r="E36" i="73"/>
  <c r="D36" i="73"/>
  <c r="C36" i="73"/>
  <c r="B36" i="73"/>
  <c r="A36" i="73"/>
  <c r="M35" i="73"/>
  <c r="L35" i="73"/>
  <c r="K35" i="73"/>
  <c r="H35" i="73"/>
  <c r="F35" i="73"/>
  <c r="E35" i="73"/>
  <c r="D35" i="73"/>
  <c r="C35" i="73"/>
  <c r="B35" i="73"/>
  <c r="A35" i="73"/>
  <c r="M34" i="73"/>
  <c r="L34" i="73"/>
  <c r="K34" i="73"/>
  <c r="H34" i="73"/>
  <c r="F34" i="73"/>
  <c r="E34" i="73"/>
  <c r="D34" i="73"/>
  <c r="C34" i="73"/>
  <c r="B34" i="73"/>
  <c r="A34" i="73"/>
  <c r="M33" i="73"/>
  <c r="L33" i="73"/>
  <c r="K33" i="73"/>
  <c r="H33" i="73"/>
  <c r="F33" i="73"/>
  <c r="E33" i="73"/>
  <c r="D33" i="73"/>
  <c r="C33" i="73"/>
  <c r="B33" i="73"/>
  <c r="A33" i="73"/>
  <c r="M32" i="73"/>
  <c r="L32" i="73"/>
  <c r="K32" i="73"/>
  <c r="H32" i="73"/>
  <c r="F32" i="73"/>
  <c r="E32" i="73"/>
  <c r="D32" i="73"/>
  <c r="C32" i="73"/>
  <c r="B32" i="73"/>
  <c r="A32" i="73"/>
  <c r="M31" i="73"/>
  <c r="L31" i="73"/>
  <c r="K31" i="73"/>
  <c r="H31" i="73"/>
  <c r="F31" i="73"/>
  <c r="E31" i="73"/>
  <c r="D31" i="73"/>
  <c r="C31" i="73"/>
  <c r="B31" i="73"/>
  <c r="A31" i="73"/>
  <c r="M30" i="73"/>
  <c r="L30" i="73"/>
  <c r="K30" i="73"/>
  <c r="H30" i="73"/>
  <c r="F30" i="73"/>
  <c r="E30" i="73"/>
  <c r="D30" i="73"/>
  <c r="C30" i="73"/>
  <c r="B30" i="73"/>
  <c r="A30" i="73"/>
  <c r="M29" i="73"/>
  <c r="L29" i="73"/>
  <c r="K29" i="73"/>
  <c r="H29" i="73"/>
  <c r="F29" i="73"/>
  <c r="E29" i="73"/>
  <c r="D29" i="73"/>
  <c r="C29" i="73"/>
  <c r="B29" i="73"/>
  <c r="A29" i="73"/>
  <c r="N28" i="73"/>
  <c r="M28" i="73"/>
  <c r="L28" i="73"/>
  <c r="K28" i="73"/>
  <c r="H28" i="73"/>
  <c r="F28" i="73"/>
  <c r="E28" i="73"/>
  <c r="D28" i="73"/>
  <c r="C28" i="73"/>
  <c r="B28" i="73"/>
  <c r="M27" i="73"/>
  <c r="L27" i="73"/>
  <c r="K27" i="73"/>
  <c r="H27" i="73"/>
  <c r="F27" i="73"/>
  <c r="E27" i="73"/>
  <c r="D27" i="73"/>
  <c r="C27" i="73"/>
  <c r="B27" i="73"/>
  <c r="M26" i="73"/>
  <c r="L26" i="73"/>
  <c r="K26" i="73"/>
  <c r="H26" i="73"/>
  <c r="F26" i="73"/>
  <c r="E26" i="73"/>
  <c r="D26" i="73"/>
  <c r="C26" i="73"/>
  <c r="B26" i="73"/>
  <c r="M25" i="73"/>
  <c r="L25" i="73"/>
  <c r="K25" i="73"/>
  <c r="H25" i="73"/>
  <c r="F25" i="73"/>
  <c r="E25" i="73"/>
  <c r="D25" i="73"/>
  <c r="C25" i="73"/>
  <c r="B25" i="73"/>
  <c r="M24" i="73"/>
  <c r="L24" i="73"/>
  <c r="K24" i="73"/>
  <c r="H24" i="73"/>
  <c r="F24" i="73"/>
  <c r="E24" i="73"/>
  <c r="D24" i="73"/>
  <c r="C24" i="73"/>
  <c r="B24" i="73"/>
  <c r="M23" i="73"/>
  <c r="L23" i="73"/>
  <c r="K23" i="73"/>
  <c r="H23" i="73"/>
  <c r="F23" i="73"/>
  <c r="E23" i="73"/>
  <c r="D23" i="73"/>
  <c r="C23" i="73"/>
  <c r="B23" i="73"/>
  <c r="M22" i="73"/>
  <c r="L22" i="73"/>
  <c r="K22" i="73"/>
  <c r="H22" i="73"/>
  <c r="F22" i="73"/>
  <c r="E22" i="73"/>
  <c r="D22" i="73"/>
  <c r="C22" i="73"/>
  <c r="B22" i="73"/>
  <c r="M21" i="73"/>
  <c r="L21" i="73"/>
  <c r="K21" i="73"/>
  <c r="H21" i="73"/>
  <c r="F21" i="73"/>
  <c r="E21" i="73"/>
  <c r="D21" i="73"/>
  <c r="C21" i="73"/>
  <c r="B21" i="73"/>
  <c r="M20" i="73"/>
  <c r="L20" i="73"/>
  <c r="K20" i="73"/>
  <c r="H20" i="73"/>
  <c r="F20" i="73"/>
  <c r="E20" i="73"/>
  <c r="D20" i="73"/>
  <c r="C20" i="73"/>
  <c r="B20" i="73"/>
  <c r="M19" i="73"/>
  <c r="L19" i="73"/>
  <c r="K19" i="73"/>
  <c r="H19" i="73"/>
  <c r="F19" i="73"/>
  <c r="E19" i="73"/>
  <c r="D19" i="73"/>
  <c r="C19" i="73"/>
  <c r="B19" i="73"/>
  <c r="M18" i="73"/>
  <c r="L18" i="73"/>
  <c r="K18" i="73"/>
  <c r="H18" i="73"/>
  <c r="F18" i="73"/>
  <c r="E18" i="73"/>
  <c r="D18" i="73"/>
  <c r="C18" i="73"/>
  <c r="B18" i="73"/>
  <c r="M17" i="73"/>
  <c r="L17" i="73"/>
  <c r="K17" i="73"/>
  <c r="H17" i="73"/>
  <c r="F17" i="73"/>
  <c r="E17" i="73"/>
  <c r="D17" i="73"/>
  <c r="C17" i="73"/>
  <c r="B17" i="73"/>
  <c r="M16" i="73"/>
  <c r="L16" i="73"/>
  <c r="K16" i="73"/>
  <c r="H16" i="73"/>
  <c r="F16" i="73"/>
  <c r="E16" i="73"/>
  <c r="D16" i="73"/>
  <c r="C16" i="73"/>
  <c r="B16" i="73"/>
  <c r="M15" i="73"/>
  <c r="L15" i="73"/>
  <c r="K15" i="73"/>
  <c r="H15" i="73"/>
  <c r="F15" i="73"/>
  <c r="E15" i="73"/>
  <c r="D15" i="73"/>
  <c r="C15" i="73"/>
  <c r="B15" i="73"/>
  <c r="M14" i="73"/>
  <c r="L14" i="73"/>
  <c r="K14" i="73"/>
  <c r="H14" i="73"/>
  <c r="F14" i="73"/>
  <c r="E14" i="73"/>
  <c r="D14" i="73"/>
  <c r="C14" i="73"/>
  <c r="B14" i="73"/>
  <c r="M13" i="73"/>
  <c r="L13" i="73"/>
  <c r="K13" i="73"/>
  <c r="H13" i="73"/>
  <c r="F13" i="73"/>
  <c r="E13" i="73"/>
  <c r="D13" i="73"/>
  <c r="C13" i="73"/>
  <c r="B13" i="73"/>
  <c r="M12" i="73"/>
  <c r="L12" i="73"/>
  <c r="K12" i="73"/>
  <c r="H12" i="73"/>
  <c r="F12" i="73"/>
  <c r="E12" i="73"/>
  <c r="D12" i="73"/>
  <c r="C12" i="73"/>
  <c r="B12" i="73"/>
  <c r="M11" i="73"/>
  <c r="L11" i="73"/>
  <c r="K11" i="73"/>
  <c r="H11" i="73"/>
  <c r="F11" i="73"/>
  <c r="E11" i="73"/>
  <c r="D11" i="73"/>
  <c r="C11" i="73"/>
  <c r="B11" i="73"/>
  <c r="M10" i="73"/>
  <c r="L10" i="73"/>
  <c r="K10" i="73"/>
  <c r="H10" i="73"/>
  <c r="F10" i="73"/>
  <c r="E10" i="73"/>
  <c r="D10" i="73"/>
  <c r="C10" i="73"/>
  <c r="B10" i="73"/>
  <c r="M9" i="73"/>
  <c r="L9" i="73"/>
  <c r="K9" i="73"/>
  <c r="H9" i="73"/>
  <c r="F9" i="73"/>
  <c r="E9" i="73"/>
  <c r="D9" i="73"/>
  <c r="C9" i="73"/>
  <c r="B9" i="73"/>
  <c r="M8" i="73"/>
  <c r="L8" i="73"/>
  <c r="K8" i="73"/>
  <c r="H8" i="73"/>
  <c r="F8" i="73"/>
  <c r="E8" i="73"/>
  <c r="D8" i="73"/>
  <c r="C8" i="73"/>
  <c r="B8" i="73"/>
  <c r="M7" i="73"/>
  <c r="L7" i="73"/>
  <c r="K7" i="73"/>
  <c r="H7" i="73"/>
  <c r="F7" i="73"/>
  <c r="E7" i="73"/>
  <c r="D7" i="73"/>
  <c r="C7" i="73"/>
  <c r="B7" i="73"/>
  <c r="M6" i="73"/>
  <c r="L6" i="73"/>
  <c r="K6" i="73"/>
  <c r="H6" i="73"/>
  <c r="F6" i="73"/>
  <c r="E6" i="73"/>
  <c r="D6" i="73"/>
  <c r="C6" i="73"/>
  <c r="B6" i="73"/>
  <c r="M5" i="73"/>
  <c r="L5" i="73"/>
  <c r="K5" i="73"/>
  <c r="H5" i="73"/>
  <c r="F5" i="73"/>
  <c r="E5" i="73"/>
  <c r="D5" i="73"/>
  <c r="C5" i="73"/>
  <c r="B5" i="73"/>
  <c r="A5" i="73"/>
  <c r="D202" i="72"/>
  <c r="A202" i="72"/>
  <c r="D201" i="72"/>
  <c r="A201" i="72"/>
  <c r="D200" i="72"/>
  <c r="A200" i="72"/>
  <c r="D199" i="72"/>
  <c r="A199" i="72"/>
  <c r="D198" i="72"/>
  <c r="A198" i="72"/>
  <c r="D197" i="72"/>
  <c r="A197" i="72"/>
  <c r="D196" i="72"/>
  <c r="A196" i="72"/>
  <c r="D195" i="72"/>
  <c r="A195" i="72"/>
  <c r="D194" i="72"/>
  <c r="A194" i="72"/>
  <c r="D193" i="72"/>
  <c r="A193" i="72"/>
  <c r="D192" i="72"/>
  <c r="A192" i="72"/>
  <c r="D191" i="72"/>
  <c r="A191" i="72"/>
  <c r="D190" i="72"/>
  <c r="A190" i="72"/>
  <c r="D189" i="72"/>
  <c r="A189" i="72"/>
  <c r="D188" i="72"/>
  <c r="A188" i="72"/>
  <c r="D187" i="72"/>
  <c r="A187" i="72"/>
  <c r="D186" i="72"/>
  <c r="A186" i="72"/>
  <c r="D185" i="72"/>
  <c r="A185" i="72"/>
  <c r="D184" i="72"/>
  <c r="A184" i="72"/>
  <c r="D183" i="72"/>
  <c r="A183" i="72"/>
  <c r="D182" i="72"/>
  <c r="A182" i="72"/>
  <c r="D181" i="72"/>
  <c r="A181" i="72"/>
  <c r="D180" i="72"/>
  <c r="A180" i="72"/>
  <c r="D179" i="72"/>
  <c r="A179" i="72"/>
  <c r="D178" i="72"/>
  <c r="A178" i="72"/>
  <c r="D177" i="72"/>
  <c r="A177" i="72"/>
  <c r="D176" i="72"/>
  <c r="A176" i="72"/>
  <c r="D175" i="72"/>
  <c r="A175" i="72"/>
  <c r="D174" i="72"/>
  <c r="A174" i="72"/>
  <c r="D173" i="72"/>
  <c r="A173" i="72"/>
  <c r="D172" i="72"/>
  <c r="A172" i="72"/>
  <c r="D171" i="72"/>
  <c r="A171" i="72"/>
  <c r="D170" i="72"/>
  <c r="A170" i="72"/>
  <c r="D169" i="72"/>
  <c r="A169" i="72"/>
  <c r="D168" i="72"/>
  <c r="A168" i="72"/>
  <c r="D167" i="72"/>
  <c r="A167" i="72"/>
  <c r="D166" i="72"/>
  <c r="A166" i="72"/>
  <c r="D165" i="72"/>
  <c r="A165" i="72"/>
  <c r="D164" i="72"/>
  <c r="A164" i="72"/>
  <c r="D163" i="72"/>
  <c r="A163" i="72"/>
  <c r="D162" i="72"/>
  <c r="A162" i="72"/>
  <c r="D161" i="72"/>
  <c r="A161" i="72"/>
  <c r="D160" i="72"/>
  <c r="A160" i="72"/>
  <c r="D159" i="72"/>
  <c r="A159" i="72"/>
  <c r="D158" i="72"/>
  <c r="A158" i="72"/>
  <c r="D157" i="72"/>
  <c r="A157" i="72"/>
  <c r="D156" i="72"/>
  <c r="A156" i="72"/>
  <c r="D155" i="72"/>
  <c r="A155" i="72"/>
  <c r="D154" i="72"/>
  <c r="A154" i="72"/>
  <c r="A156" i="73" s="1"/>
  <c r="D153" i="72"/>
  <c r="A153" i="72"/>
  <c r="D152" i="72"/>
  <c r="A152" i="72"/>
  <c r="D151" i="72"/>
  <c r="A151" i="72"/>
  <c r="D150" i="72"/>
  <c r="A150" i="72"/>
  <c r="D149" i="72"/>
  <c r="A149" i="72"/>
  <c r="D148" i="72"/>
  <c r="A148" i="72"/>
  <c r="D147" i="72"/>
  <c r="A147" i="72"/>
  <c r="D146" i="72"/>
  <c r="A146" i="72"/>
  <c r="D145" i="72"/>
  <c r="A145" i="72"/>
  <c r="D144" i="72"/>
  <c r="A144" i="72"/>
  <c r="D143" i="72"/>
  <c r="A143" i="72"/>
  <c r="D142" i="72"/>
  <c r="A142" i="72"/>
  <c r="D141" i="72"/>
  <c r="A141" i="72"/>
  <c r="D140" i="72"/>
  <c r="A140" i="72"/>
  <c r="D139" i="72"/>
  <c r="A139" i="72"/>
  <c r="D138" i="72"/>
  <c r="A138" i="72"/>
  <c r="D137" i="72"/>
  <c r="A137" i="72"/>
  <c r="D136" i="72"/>
  <c r="A136" i="72"/>
  <c r="D135" i="72"/>
  <c r="A135" i="72"/>
  <c r="D134" i="72"/>
  <c r="A134" i="72"/>
  <c r="D133" i="72"/>
  <c r="A133" i="72"/>
  <c r="D132" i="72"/>
  <c r="A132" i="72"/>
  <c r="D131" i="72"/>
  <c r="A131" i="72"/>
  <c r="D130" i="72"/>
  <c r="A130" i="72"/>
  <c r="D129" i="72"/>
  <c r="A129" i="72"/>
  <c r="D128" i="72"/>
  <c r="A128" i="72"/>
  <c r="D127" i="72"/>
  <c r="A127" i="72"/>
  <c r="D126" i="72"/>
  <c r="A126" i="72"/>
  <c r="D125" i="72"/>
  <c r="A125" i="72"/>
  <c r="D124" i="72"/>
  <c r="A124" i="72"/>
  <c r="D123" i="72"/>
  <c r="A123" i="72"/>
  <c r="D122" i="72"/>
  <c r="A122" i="72"/>
  <c r="D121" i="72"/>
  <c r="A121" i="72"/>
  <c r="D120" i="72"/>
  <c r="A120" i="72"/>
  <c r="D119" i="72"/>
  <c r="A119" i="72"/>
  <c r="D118" i="72"/>
  <c r="A118" i="72"/>
  <c r="D117" i="72"/>
  <c r="A117" i="72"/>
  <c r="D116" i="72"/>
  <c r="A116" i="72"/>
  <c r="D115" i="72"/>
  <c r="A115" i="72"/>
  <c r="D114" i="72"/>
  <c r="A114" i="72"/>
  <c r="D113" i="72"/>
  <c r="A113" i="72"/>
  <c r="D112" i="72"/>
  <c r="A112" i="72"/>
  <c r="D111" i="72"/>
  <c r="A111" i="72"/>
  <c r="D110" i="72"/>
  <c r="A110" i="72"/>
  <c r="D109" i="72"/>
  <c r="A109" i="72"/>
  <c r="D108" i="72"/>
  <c r="A108" i="72"/>
  <c r="D107" i="72"/>
  <c r="A107" i="72"/>
  <c r="D106" i="72"/>
  <c r="A106" i="72"/>
  <c r="D105" i="72"/>
  <c r="A105" i="72"/>
  <c r="D104" i="72"/>
  <c r="A104" i="72"/>
  <c r="D103" i="72"/>
  <c r="A103" i="72"/>
  <c r="D102" i="72"/>
  <c r="A102" i="72"/>
  <c r="D101" i="72"/>
  <c r="A101" i="72"/>
  <c r="D100" i="72"/>
  <c r="A100" i="72"/>
  <c r="D99" i="72"/>
  <c r="A99" i="72"/>
  <c r="D98" i="72"/>
  <c r="A98" i="72"/>
  <c r="D97" i="72"/>
  <c r="A97" i="72"/>
  <c r="D96" i="72"/>
  <c r="A96" i="72"/>
  <c r="D95" i="72"/>
  <c r="A95" i="72"/>
  <c r="D94" i="72"/>
  <c r="A94" i="72"/>
  <c r="D93" i="72"/>
  <c r="A93" i="72"/>
  <c r="D92" i="72"/>
  <c r="A92" i="72"/>
  <c r="D91" i="72"/>
  <c r="A91" i="72"/>
  <c r="D90" i="72"/>
  <c r="A90" i="72"/>
  <c r="D89" i="72"/>
  <c r="A89" i="72"/>
  <c r="D88" i="72"/>
  <c r="A88" i="72"/>
  <c r="D87" i="72"/>
  <c r="A87" i="72"/>
  <c r="D86" i="72"/>
  <c r="A86" i="72"/>
  <c r="D85" i="72"/>
  <c r="A85" i="72"/>
  <c r="D84" i="72"/>
  <c r="A84" i="72"/>
  <c r="D83" i="72"/>
  <c r="A83" i="72"/>
  <c r="D82" i="72"/>
  <c r="A82" i="72"/>
  <c r="D81" i="72"/>
  <c r="A81" i="72"/>
  <c r="D80" i="72"/>
  <c r="A80" i="72"/>
  <c r="D79" i="72"/>
  <c r="A79" i="72"/>
  <c r="D78" i="72"/>
  <c r="A78" i="72"/>
  <c r="D77" i="72"/>
  <c r="A77" i="72"/>
  <c r="D76" i="72"/>
  <c r="A76" i="72"/>
  <c r="D75" i="72"/>
  <c r="A75" i="72"/>
  <c r="D74" i="72"/>
  <c r="A74" i="72"/>
  <c r="D73" i="72"/>
  <c r="A73" i="72"/>
  <c r="D72" i="72"/>
  <c r="A72" i="72"/>
  <c r="D71" i="72"/>
  <c r="A71" i="72"/>
  <c r="D70" i="72"/>
  <c r="A70" i="72"/>
  <c r="D69" i="72"/>
  <c r="A69" i="72"/>
  <c r="D68" i="72"/>
  <c r="A68" i="72"/>
  <c r="D67" i="72"/>
  <c r="A67" i="72"/>
  <c r="D66" i="72"/>
  <c r="A66" i="72"/>
  <c r="D65" i="72"/>
  <c r="A65" i="72"/>
  <c r="D64" i="72"/>
  <c r="A64" i="72"/>
  <c r="D63" i="72"/>
  <c r="A63" i="72"/>
  <c r="D62" i="72"/>
  <c r="A62" i="72"/>
  <c r="D61" i="72"/>
  <c r="A61" i="72"/>
  <c r="D60" i="72"/>
  <c r="A60" i="72"/>
  <c r="D59" i="72"/>
  <c r="A59" i="72"/>
  <c r="D58" i="72"/>
  <c r="A58" i="72"/>
  <c r="D57" i="72"/>
  <c r="A57" i="72"/>
  <c r="D56" i="72"/>
  <c r="A56" i="72"/>
  <c r="D55" i="72"/>
  <c r="A55" i="72"/>
  <c r="D54" i="72"/>
  <c r="A54" i="72"/>
  <c r="D53" i="72"/>
  <c r="A53" i="72"/>
  <c r="D52" i="72"/>
  <c r="A52" i="72"/>
  <c r="D51" i="72"/>
  <c r="A51" i="72"/>
  <c r="D50" i="72"/>
  <c r="A50" i="72"/>
  <c r="D49" i="72"/>
  <c r="A49" i="72"/>
  <c r="D48" i="72"/>
  <c r="A48" i="72"/>
  <c r="D47" i="72"/>
  <c r="A47" i="72"/>
  <c r="D46" i="72"/>
  <c r="A46" i="72"/>
  <c r="D45" i="72"/>
  <c r="A45" i="72"/>
  <c r="D44" i="72"/>
  <c r="A44" i="72"/>
  <c r="D43" i="72"/>
  <c r="A43" i="72"/>
  <c r="D42" i="72"/>
  <c r="A42" i="72"/>
  <c r="D41" i="72"/>
  <c r="A41" i="72"/>
  <c r="D40" i="72"/>
  <c r="A40" i="72"/>
  <c r="D39" i="72"/>
  <c r="A39" i="72"/>
  <c r="D38" i="72"/>
  <c r="A38" i="72"/>
  <c r="D37" i="72"/>
  <c r="A37" i="72"/>
  <c r="D36" i="72"/>
  <c r="A36" i="72"/>
  <c r="D35" i="72"/>
  <c r="A35" i="72"/>
  <c r="D34" i="72"/>
  <c r="A34" i="72"/>
  <c r="D33" i="72"/>
  <c r="A33" i="72"/>
  <c r="D32" i="72"/>
  <c r="A32" i="72"/>
  <c r="D31" i="72"/>
  <c r="A31" i="72"/>
  <c r="D30" i="72"/>
  <c r="A30" i="72"/>
  <c r="D29" i="72"/>
  <c r="A29" i="72"/>
  <c r="D28" i="72"/>
  <c r="A28" i="72"/>
  <c r="D27" i="72"/>
  <c r="A27" i="72"/>
  <c r="D26" i="72"/>
  <c r="A26" i="72"/>
  <c r="A28" i="73" s="1"/>
  <c r="D25" i="72"/>
  <c r="A25" i="72"/>
  <c r="A27" i="73" s="1"/>
  <c r="D24" i="72"/>
  <c r="A24" i="72"/>
  <c r="A26" i="73" s="1"/>
  <c r="D23" i="72"/>
  <c r="A23" i="72"/>
  <c r="A25" i="73" s="1"/>
  <c r="D22" i="72"/>
  <c r="A22" i="72"/>
  <c r="A24" i="73" s="1"/>
  <c r="D21" i="72"/>
  <c r="A21" i="72"/>
  <c r="A23" i="73" s="1"/>
  <c r="D20" i="72"/>
  <c r="A20" i="72"/>
  <c r="A22" i="73" s="1"/>
  <c r="D19" i="72"/>
  <c r="A19" i="72"/>
  <c r="A21" i="73" s="1"/>
  <c r="D18" i="72"/>
  <c r="A18" i="72"/>
  <c r="A20" i="73" s="1"/>
  <c r="D17" i="72"/>
  <c r="A17" i="72"/>
  <c r="A19" i="73" s="1"/>
  <c r="D16" i="72"/>
  <c r="A16" i="72"/>
  <c r="A18" i="73" s="1"/>
  <c r="D15" i="72"/>
  <c r="A15" i="72"/>
  <c r="A17" i="73" s="1"/>
  <c r="D14" i="72"/>
  <c r="A14" i="72"/>
  <c r="A16" i="73" s="1"/>
  <c r="D13" i="72"/>
  <c r="A13" i="72"/>
  <c r="A15" i="73" s="1"/>
  <c r="D12" i="72"/>
  <c r="A12" i="72"/>
  <c r="A14" i="73" s="1"/>
  <c r="D11" i="72"/>
  <c r="A11" i="72"/>
  <c r="A13" i="73" s="1"/>
  <c r="D10" i="72"/>
  <c r="A10" i="72"/>
  <c r="A12" i="73" s="1"/>
  <c r="D9" i="72"/>
  <c r="A9" i="72"/>
  <c r="A11" i="73" s="1"/>
  <c r="D8" i="72"/>
  <c r="A8" i="72"/>
  <c r="A10" i="73" s="1"/>
  <c r="D7" i="72"/>
  <c r="A7" i="72"/>
  <c r="A9" i="73" s="1"/>
  <c r="D6" i="72"/>
  <c r="A6" i="72"/>
  <c r="A8" i="73" s="1"/>
  <c r="D5" i="72"/>
  <c r="A5" i="72"/>
  <c r="A7" i="73" s="1"/>
  <c r="D4" i="72"/>
  <c r="A4" i="72"/>
  <c r="A6" i="73" s="1"/>
  <c r="D3" i="72"/>
  <c r="B156" i="71"/>
  <c r="A156" i="71"/>
  <c r="A156" i="70"/>
  <c r="A155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P204" i="68"/>
  <c r="O204" i="68"/>
  <c r="N204" i="68"/>
  <c r="M204" i="68"/>
  <c r="L204" i="68"/>
  <c r="K204" i="68"/>
  <c r="J204" i="68"/>
  <c r="I204" i="68"/>
  <c r="H204" i="68"/>
  <c r="G204" i="68"/>
  <c r="F204" i="68"/>
  <c r="E204" i="68"/>
  <c r="D204" i="68"/>
  <c r="C204" i="68"/>
  <c r="B204" i="68"/>
  <c r="P203" i="68"/>
  <c r="O203" i="68"/>
  <c r="N203" i="68"/>
  <c r="M203" i="68"/>
  <c r="L203" i="68"/>
  <c r="K203" i="68"/>
  <c r="J203" i="68"/>
  <c r="I203" i="68"/>
  <c r="H203" i="68"/>
  <c r="G203" i="68"/>
  <c r="F203" i="68"/>
  <c r="E203" i="68"/>
  <c r="D203" i="68"/>
  <c r="C203" i="68"/>
  <c r="B203" i="68"/>
  <c r="P202" i="68"/>
  <c r="O202" i="68"/>
  <c r="N202" i="68"/>
  <c r="M202" i="68"/>
  <c r="L202" i="68"/>
  <c r="K202" i="68"/>
  <c r="J202" i="68"/>
  <c r="I202" i="68"/>
  <c r="H202" i="68"/>
  <c r="G202" i="68"/>
  <c r="F202" i="68"/>
  <c r="E202" i="68"/>
  <c r="D202" i="68"/>
  <c r="C202" i="68"/>
  <c r="B202" i="68"/>
  <c r="P201" i="68"/>
  <c r="O201" i="68"/>
  <c r="N201" i="68"/>
  <c r="M201" i="68"/>
  <c r="L201" i="68"/>
  <c r="K201" i="68"/>
  <c r="J201" i="68"/>
  <c r="I201" i="68"/>
  <c r="H201" i="68"/>
  <c r="G201" i="68"/>
  <c r="F201" i="68"/>
  <c r="E201" i="68"/>
  <c r="D201" i="68"/>
  <c r="C201" i="68"/>
  <c r="B201" i="68"/>
  <c r="P200" i="68"/>
  <c r="O200" i="68"/>
  <c r="N200" i="68"/>
  <c r="M200" i="68"/>
  <c r="L200" i="68"/>
  <c r="K200" i="68"/>
  <c r="J200" i="68"/>
  <c r="I200" i="68"/>
  <c r="H200" i="68"/>
  <c r="G200" i="68"/>
  <c r="F200" i="68"/>
  <c r="E200" i="68"/>
  <c r="D200" i="68"/>
  <c r="C200" i="68"/>
  <c r="B200" i="68"/>
  <c r="P199" i="68"/>
  <c r="O199" i="68"/>
  <c r="N199" i="68"/>
  <c r="M199" i="68"/>
  <c r="L199" i="68"/>
  <c r="K199" i="68"/>
  <c r="J199" i="68"/>
  <c r="I199" i="68"/>
  <c r="H199" i="68"/>
  <c r="G199" i="68"/>
  <c r="F199" i="68"/>
  <c r="E199" i="68"/>
  <c r="D199" i="68"/>
  <c r="C199" i="68"/>
  <c r="B199" i="68"/>
  <c r="P198" i="68"/>
  <c r="O198" i="68"/>
  <c r="N198" i="68"/>
  <c r="M198" i="68"/>
  <c r="L198" i="68"/>
  <c r="K198" i="68"/>
  <c r="J198" i="68"/>
  <c r="I198" i="68"/>
  <c r="H198" i="68"/>
  <c r="G198" i="68"/>
  <c r="F198" i="68"/>
  <c r="E198" i="68"/>
  <c r="D198" i="68"/>
  <c r="C198" i="68"/>
  <c r="B198" i="68"/>
  <c r="P197" i="68"/>
  <c r="O197" i="68"/>
  <c r="N197" i="68"/>
  <c r="M197" i="68"/>
  <c r="L197" i="68"/>
  <c r="K197" i="68"/>
  <c r="J197" i="68"/>
  <c r="I197" i="68"/>
  <c r="H197" i="68"/>
  <c r="G197" i="68"/>
  <c r="F197" i="68"/>
  <c r="E197" i="68"/>
  <c r="D197" i="68"/>
  <c r="C197" i="68"/>
  <c r="B197" i="68"/>
  <c r="P196" i="68"/>
  <c r="O196" i="68"/>
  <c r="N196" i="68"/>
  <c r="M196" i="68"/>
  <c r="L196" i="68"/>
  <c r="K196" i="68"/>
  <c r="J196" i="68"/>
  <c r="I196" i="68"/>
  <c r="H196" i="68"/>
  <c r="G196" i="68"/>
  <c r="F196" i="68"/>
  <c r="E196" i="68"/>
  <c r="D196" i="68"/>
  <c r="C196" i="68"/>
  <c r="B196" i="68"/>
  <c r="P195" i="68"/>
  <c r="O195" i="68"/>
  <c r="N195" i="68"/>
  <c r="M195" i="68"/>
  <c r="L195" i="68"/>
  <c r="K195" i="68"/>
  <c r="J195" i="68"/>
  <c r="I195" i="68"/>
  <c r="H195" i="68"/>
  <c r="G195" i="68"/>
  <c r="F195" i="68"/>
  <c r="E195" i="68"/>
  <c r="D195" i="68"/>
  <c r="C195" i="68"/>
  <c r="B195" i="68"/>
  <c r="P194" i="68"/>
  <c r="O194" i="68"/>
  <c r="N194" i="68"/>
  <c r="M194" i="68"/>
  <c r="L194" i="68"/>
  <c r="K194" i="68"/>
  <c r="J194" i="68"/>
  <c r="I194" i="68"/>
  <c r="H194" i="68"/>
  <c r="G194" i="68"/>
  <c r="F194" i="68"/>
  <c r="E194" i="68"/>
  <c r="D194" i="68"/>
  <c r="C194" i="68"/>
  <c r="B194" i="68"/>
  <c r="P193" i="68"/>
  <c r="O193" i="68"/>
  <c r="N193" i="68"/>
  <c r="M193" i="68"/>
  <c r="L193" i="68"/>
  <c r="K193" i="68"/>
  <c r="J193" i="68"/>
  <c r="I193" i="68"/>
  <c r="H193" i="68"/>
  <c r="G193" i="68"/>
  <c r="F193" i="68"/>
  <c r="E193" i="68"/>
  <c r="D193" i="68"/>
  <c r="C193" i="68"/>
  <c r="B193" i="68"/>
  <c r="P192" i="68"/>
  <c r="O192" i="68"/>
  <c r="N192" i="68"/>
  <c r="M192" i="68"/>
  <c r="L192" i="68"/>
  <c r="K192" i="68"/>
  <c r="J192" i="68"/>
  <c r="I192" i="68"/>
  <c r="H192" i="68"/>
  <c r="G192" i="68"/>
  <c r="F192" i="68"/>
  <c r="E192" i="68"/>
  <c r="D192" i="68"/>
  <c r="C192" i="68"/>
  <c r="B192" i="68"/>
  <c r="P191" i="68"/>
  <c r="O191" i="68"/>
  <c r="N191" i="68"/>
  <c r="M191" i="68"/>
  <c r="L191" i="68"/>
  <c r="K191" i="68"/>
  <c r="J191" i="68"/>
  <c r="I191" i="68"/>
  <c r="H191" i="68"/>
  <c r="G191" i="68"/>
  <c r="F191" i="68"/>
  <c r="E191" i="68"/>
  <c r="D191" i="68"/>
  <c r="C191" i="68"/>
  <c r="B191" i="68"/>
  <c r="P190" i="68"/>
  <c r="O190" i="68"/>
  <c r="N190" i="68"/>
  <c r="M190" i="68"/>
  <c r="L190" i="68"/>
  <c r="K190" i="68"/>
  <c r="J190" i="68"/>
  <c r="I190" i="68"/>
  <c r="H190" i="68"/>
  <c r="G190" i="68"/>
  <c r="F190" i="68"/>
  <c r="E190" i="68"/>
  <c r="D190" i="68"/>
  <c r="C190" i="68"/>
  <c r="B190" i="68"/>
  <c r="P189" i="68"/>
  <c r="O189" i="68"/>
  <c r="N189" i="68"/>
  <c r="M189" i="68"/>
  <c r="L189" i="68"/>
  <c r="K189" i="68"/>
  <c r="J189" i="68"/>
  <c r="I189" i="68"/>
  <c r="H189" i="68"/>
  <c r="G189" i="68"/>
  <c r="F189" i="68"/>
  <c r="E189" i="68"/>
  <c r="D189" i="68"/>
  <c r="C189" i="68"/>
  <c r="B189" i="68"/>
  <c r="P188" i="68"/>
  <c r="O188" i="68"/>
  <c r="N188" i="68"/>
  <c r="M188" i="68"/>
  <c r="L188" i="68"/>
  <c r="K188" i="68"/>
  <c r="J188" i="68"/>
  <c r="I188" i="68"/>
  <c r="H188" i="68"/>
  <c r="G188" i="68"/>
  <c r="F188" i="68"/>
  <c r="E188" i="68"/>
  <c r="D188" i="68"/>
  <c r="C188" i="68"/>
  <c r="B188" i="68"/>
  <c r="P187" i="68"/>
  <c r="O187" i="68"/>
  <c r="N187" i="68"/>
  <c r="M187" i="68"/>
  <c r="L187" i="68"/>
  <c r="K187" i="68"/>
  <c r="J187" i="68"/>
  <c r="I187" i="68"/>
  <c r="H187" i="68"/>
  <c r="G187" i="68"/>
  <c r="F187" i="68"/>
  <c r="E187" i="68"/>
  <c r="D187" i="68"/>
  <c r="C187" i="68"/>
  <c r="B187" i="68"/>
  <c r="P186" i="68"/>
  <c r="O186" i="68"/>
  <c r="N186" i="68"/>
  <c r="M186" i="68"/>
  <c r="L186" i="68"/>
  <c r="K186" i="68"/>
  <c r="J186" i="68"/>
  <c r="I186" i="68"/>
  <c r="H186" i="68"/>
  <c r="G186" i="68"/>
  <c r="F186" i="68"/>
  <c r="E186" i="68"/>
  <c r="D186" i="68"/>
  <c r="C186" i="68"/>
  <c r="B186" i="68"/>
  <c r="P185" i="68"/>
  <c r="O185" i="68"/>
  <c r="N185" i="68"/>
  <c r="M185" i="68"/>
  <c r="L185" i="68"/>
  <c r="K185" i="68"/>
  <c r="J185" i="68"/>
  <c r="I185" i="68"/>
  <c r="H185" i="68"/>
  <c r="G185" i="68"/>
  <c r="F185" i="68"/>
  <c r="E185" i="68"/>
  <c r="D185" i="68"/>
  <c r="C185" i="68"/>
  <c r="B185" i="68"/>
  <c r="P184" i="68"/>
  <c r="O184" i="68"/>
  <c r="N184" i="68"/>
  <c r="M184" i="68"/>
  <c r="L184" i="68"/>
  <c r="K184" i="68"/>
  <c r="J184" i="68"/>
  <c r="I184" i="68"/>
  <c r="H184" i="68"/>
  <c r="G184" i="68"/>
  <c r="F184" i="68"/>
  <c r="E184" i="68"/>
  <c r="D184" i="68"/>
  <c r="C184" i="68"/>
  <c r="B184" i="68"/>
  <c r="P183" i="68"/>
  <c r="O183" i="68"/>
  <c r="N183" i="68"/>
  <c r="M183" i="68"/>
  <c r="L183" i="68"/>
  <c r="K183" i="68"/>
  <c r="J183" i="68"/>
  <c r="I183" i="68"/>
  <c r="H183" i="68"/>
  <c r="G183" i="68"/>
  <c r="F183" i="68"/>
  <c r="E183" i="68"/>
  <c r="D183" i="68"/>
  <c r="C183" i="68"/>
  <c r="B183" i="68"/>
  <c r="P182" i="68"/>
  <c r="O182" i="68"/>
  <c r="N182" i="68"/>
  <c r="M182" i="68"/>
  <c r="L182" i="68"/>
  <c r="K182" i="68"/>
  <c r="J182" i="68"/>
  <c r="I182" i="68"/>
  <c r="H182" i="68"/>
  <c r="G182" i="68"/>
  <c r="F182" i="68"/>
  <c r="E182" i="68"/>
  <c r="D182" i="68"/>
  <c r="C182" i="68"/>
  <c r="B182" i="68"/>
  <c r="P181" i="68"/>
  <c r="O181" i="68"/>
  <c r="N181" i="68"/>
  <c r="M181" i="68"/>
  <c r="L181" i="68"/>
  <c r="K181" i="68"/>
  <c r="J181" i="68"/>
  <c r="I181" i="68"/>
  <c r="H181" i="68"/>
  <c r="G181" i="68"/>
  <c r="F181" i="68"/>
  <c r="E181" i="68"/>
  <c r="D181" i="68"/>
  <c r="C181" i="68"/>
  <c r="B181" i="68"/>
  <c r="P180" i="68"/>
  <c r="O180" i="68"/>
  <c r="N180" i="68"/>
  <c r="M180" i="68"/>
  <c r="L180" i="68"/>
  <c r="K180" i="68"/>
  <c r="J180" i="68"/>
  <c r="I180" i="68"/>
  <c r="H180" i="68"/>
  <c r="G180" i="68"/>
  <c r="F180" i="68"/>
  <c r="E180" i="68"/>
  <c r="D180" i="68"/>
  <c r="C180" i="68"/>
  <c r="B180" i="68"/>
  <c r="P179" i="68"/>
  <c r="O179" i="68"/>
  <c r="N179" i="68"/>
  <c r="M179" i="68"/>
  <c r="L179" i="68"/>
  <c r="K179" i="68"/>
  <c r="J179" i="68"/>
  <c r="I179" i="68"/>
  <c r="H179" i="68"/>
  <c r="G179" i="68"/>
  <c r="F179" i="68"/>
  <c r="E179" i="68"/>
  <c r="D179" i="68"/>
  <c r="C179" i="68"/>
  <c r="B179" i="68"/>
  <c r="P178" i="68"/>
  <c r="O178" i="68"/>
  <c r="N178" i="68"/>
  <c r="M178" i="68"/>
  <c r="L178" i="68"/>
  <c r="K178" i="68"/>
  <c r="J178" i="68"/>
  <c r="I178" i="68"/>
  <c r="H178" i="68"/>
  <c r="G178" i="68"/>
  <c r="F178" i="68"/>
  <c r="E178" i="68"/>
  <c r="D178" i="68"/>
  <c r="C178" i="68"/>
  <c r="B178" i="68"/>
  <c r="P177" i="68"/>
  <c r="O177" i="68"/>
  <c r="N177" i="68"/>
  <c r="M177" i="68"/>
  <c r="L177" i="68"/>
  <c r="K177" i="68"/>
  <c r="J177" i="68"/>
  <c r="I177" i="68"/>
  <c r="H177" i="68"/>
  <c r="G177" i="68"/>
  <c r="F177" i="68"/>
  <c r="E177" i="68"/>
  <c r="D177" i="68"/>
  <c r="C177" i="68"/>
  <c r="B177" i="68"/>
  <c r="P176" i="68"/>
  <c r="O176" i="68"/>
  <c r="N176" i="68"/>
  <c r="M176" i="68"/>
  <c r="L176" i="68"/>
  <c r="K176" i="68"/>
  <c r="J176" i="68"/>
  <c r="I176" i="68"/>
  <c r="H176" i="68"/>
  <c r="G176" i="68"/>
  <c r="F176" i="68"/>
  <c r="E176" i="68"/>
  <c r="D176" i="68"/>
  <c r="C176" i="68"/>
  <c r="B176" i="68"/>
  <c r="P175" i="68"/>
  <c r="O175" i="68"/>
  <c r="N175" i="68"/>
  <c r="M175" i="68"/>
  <c r="L175" i="68"/>
  <c r="K175" i="68"/>
  <c r="J175" i="68"/>
  <c r="I175" i="68"/>
  <c r="H175" i="68"/>
  <c r="G175" i="68"/>
  <c r="F175" i="68"/>
  <c r="E175" i="68"/>
  <c r="D175" i="68"/>
  <c r="C175" i="68"/>
  <c r="B175" i="68"/>
  <c r="P174" i="68"/>
  <c r="O174" i="68"/>
  <c r="N174" i="68"/>
  <c r="M174" i="68"/>
  <c r="L174" i="68"/>
  <c r="K174" i="68"/>
  <c r="J174" i="68"/>
  <c r="I174" i="68"/>
  <c r="H174" i="68"/>
  <c r="G174" i="68"/>
  <c r="F174" i="68"/>
  <c r="E174" i="68"/>
  <c r="D174" i="68"/>
  <c r="C174" i="68"/>
  <c r="B174" i="68"/>
  <c r="P173" i="68"/>
  <c r="O173" i="68"/>
  <c r="N173" i="68"/>
  <c r="M173" i="68"/>
  <c r="L173" i="68"/>
  <c r="K173" i="68"/>
  <c r="J173" i="68"/>
  <c r="I173" i="68"/>
  <c r="H173" i="68"/>
  <c r="G173" i="68"/>
  <c r="F173" i="68"/>
  <c r="E173" i="68"/>
  <c r="D173" i="68"/>
  <c r="C173" i="68"/>
  <c r="B173" i="68"/>
  <c r="P172" i="68"/>
  <c r="O172" i="68"/>
  <c r="N172" i="68"/>
  <c r="M172" i="68"/>
  <c r="L172" i="68"/>
  <c r="K172" i="68"/>
  <c r="J172" i="68"/>
  <c r="I172" i="68"/>
  <c r="H172" i="68"/>
  <c r="G172" i="68"/>
  <c r="F172" i="68"/>
  <c r="E172" i="68"/>
  <c r="D172" i="68"/>
  <c r="C172" i="68"/>
  <c r="B172" i="68"/>
  <c r="P171" i="68"/>
  <c r="O171" i="68"/>
  <c r="N171" i="68"/>
  <c r="M171" i="68"/>
  <c r="L171" i="68"/>
  <c r="K171" i="68"/>
  <c r="J171" i="68"/>
  <c r="I171" i="68"/>
  <c r="H171" i="68"/>
  <c r="G171" i="68"/>
  <c r="F171" i="68"/>
  <c r="E171" i="68"/>
  <c r="D171" i="68"/>
  <c r="C171" i="68"/>
  <c r="B171" i="68"/>
  <c r="P170" i="68"/>
  <c r="O170" i="68"/>
  <c r="N170" i="68"/>
  <c r="M170" i="68"/>
  <c r="L170" i="68"/>
  <c r="K170" i="68"/>
  <c r="J170" i="68"/>
  <c r="I170" i="68"/>
  <c r="H170" i="68"/>
  <c r="G170" i="68"/>
  <c r="F170" i="68"/>
  <c r="E170" i="68"/>
  <c r="D170" i="68"/>
  <c r="C170" i="68"/>
  <c r="B170" i="68"/>
  <c r="P169" i="68"/>
  <c r="O169" i="68"/>
  <c r="N169" i="68"/>
  <c r="M169" i="68"/>
  <c r="L169" i="68"/>
  <c r="K169" i="68"/>
  <c r="J169" i="68"/>
  <c r="I169" i="68"/>
  <c r="H169" i="68"/>
  <c r="G169" i="68"/>
  <c r="F169" i="68"/>
  <c r="E169" i="68"/>
  <c r="D169" i="68"/>
  <c r="C169" i="68"/>
  <c r="B169" i="68"/>
  <c r="P168" i="68"/>
  <c r="O168" i="68"/>
  <c r="N168" i="68"/>
  <c r="M168" i="68"/>
  <c r="L168" i="68"/>
  <c r="K168" i="68"/>
  <c r="J168" i="68"/>
  <c r="I168" i="68"/>
  <c r="H168" i="68"/>
  <c r="G168" i="68"/>
  <c r="F168" i="68"/>
  <c r="E168" i="68"/>
  <c r="D168" i="68"/>
  <c r="C168" i="68"/>
  <c r="B168" i="68"/>
  <c r="P167" i="68"/>
  <c r="O167" i="68"/>
  <c r="N167" i="68"/>
  <c r="M167" i="68"/>
  <c r="L167" i="68"/>
  <c r="K167" i="68"/>
  <c r="J167" i="68"/>
  <c r="I167" i="68"/>
  <c r="H167" i="68"/>
  <c r="G167" i="68"/>
  <c r="F167" i="68"/>
  <c r="E167" i="68"/>
  <c r="D167" i="68"/>
  <c r="C167" i="68"/>
  <c r="B167" i="68"/>
  <c r="P166" i="68"/>
  <c r="O166" i="68"/>
  <c r="N166" i="68"/>
  <c r="M166" i="68"/>
  <c r="L166" i="68"/>
  <c r="K166" i="68"/>
  <c r="J166" i="68"/>
  <c r="I166" i="68"/>
  <c r="H166" i="68"/>
  <c r="G166" i="68"/>
  <c r="F166" i="68"/>
  <c r="E166" i="68"/>
  <c r="D166" i="68"/>
  <c r="C166" i="68"/>
  <c r="B166" i="68"/>
  <c r="P165" i="68"/>
  <c r="O165" i="68"/>
  <c r="N165" i="68"/>
  <c r="M165" i="68"/>
  <c r="L165" i="68"/>
  <c r="K165" i="68"/>
  <c r="J165" i="68"/>
  <c r="I165" i="68"/>
  <c r="H165" i="68"/>
  <c r="G165" i="68"/>
  <c r="F165" i="68"/>
  <c r="E165" i="68"/>
  <c r="D165" i="68"/>
  <c r="C165" i="68"/>
  <c r="B165" i="68"/>
  <c r="P164" i="68"/>
  <c r="O164" i="68"/>
  <c r="N164" i="68"/>
  <c r="M164" i="68"/>
  <c r="L164" i="68"/>
  <c r="K164" i="68"/>
  <c r="J164" i="68"/>
  <c r="I164" i="68"/>
  <c r="H164" i="68"/>
  <c r="G164" i="68"/>
  <c r="F164" i="68"/>
  <c r="E164" i="68"/>
  <c r="D164" i="68"/>
  <c r="C164" i="68"/>
  <c r="B164" i="68"/>
  <c r="P163" i="68"/>
  <c r="O163" i="68"/>
  <c r="N163" i="68"/>
  <c r="M163" i="68"/>
  <c r="L163" i="68"/>
  <c r="K163" i="68"/>
  <c r="J163" i="68"/>
  <c r="I163" i="68"/>
  <c r="H163" i="68"/>
  <c r="G163" i="68"/>
  <c r="F163" i="68"/>
  <c r="E163" i="68"/>
  <c r="D163" i="68"/>
  <c r="C163" i="68"/>
  <c r="B163" i="68"/>
  <c r="P162" i="68"/>
  <c r="O162" i="68"/>
  <c r="N162" i="68"/>
  <c r="M162" i="68"/>
  <c r="L162" i="68"/>
  <c r="K162" i="68"/>
  <c r="J162" i="68"/>
  <c r="I162" i="68"/>
  <c r="H162" i="68"/>
  <c r="G162" i="68"/>
  <c r="F162" i="68"/>
  <c r="E162" i="68"/>
  <c r="D162" i="68"/>
  <c r="C162" i="68"/>
  <c r="B162" i="68"/>
  <c r="P161" i="68"/>
  <c r="O161" i="68"/>
  <c r="N161" i="68"/>
  <c r="M161" i="68"/>
  <c r="L161" i="68"/>
  <c r="K161" i="68"/>
  <c r="J161" i="68"/>
  <c r="I161" i="68"/>
  <c r="H161" i="68"/>
  <c r="G161" i="68"/>
  <c r="F161" i="68"/>
  <c r="E161" i="68"/>
  <c r="D161" i="68"/>
  <c r="C161" i="68"/>
  <c r="B161" i="68"/>
  <c r="P160" i="68"/>
  <c r="O160" i="68"/>
  <c r="N160" i="68"/>
  <c r="M160" i="68"/>
  <c r="L160" i="68"/>
  <c r="K160" i="68"/>
  <c r="J160" i="68"/>
  <c r="I160" i="68"/>
  <c r="H160" i="68"/>
  <c r="G160" i="68"/>
  <c r="F160" i="68"/>
  <c r="E160" i="68"/>
  <c r="D160" i="68"/>
  <c r="C160" i="68"/>
  <c r="B160" i="68"/>
  <c r="P159" i="68"/>
  <c r="O159" i="68"/>
  <c r="N159" i="68"/>
  <c r="M159" i="68"/>
  <c r="L159" i="68"/>
  <c r="K159" i="68"/>
  <c r="J159" i="68"/>
  <c r="I159" i="68"/>
  <c r="H159" i="68"/>
  <c r="G159" i="68"/>
  <c r="F159" i="68"/>
  <c r="E159" i="68"/>
  <c r="D159" i="68"/>
  <c r="C159" i="68"/>
  <c r="B159" i="68"/>
  <c r="P158" i="68"/>
  <c r="O158" i="68"/>
  <c r="N158" i="68"/>
  <c r="M158" i="68"/>
  <c r="L158" i="68"/>
  <c r="K158" i="68"/>
  <c r="J158" i="68"/>
  <c r="I158" i="68"/>
  <c r="H158" i="68"/>
  <c r="G158" i="68"/>
  <c r="F158" i="68"/>
  <c r="E158" i="68"/>
  <c r="D158" i="68"/>
  <c r="C158" i="68"/>
  <c r="B158" i="68"/>
  <c r="P157" i="68"/>
  <c r="O157" i="68"/>
  <c r="N157" i="68"/>
  <c r="M157" i="68"/>
  <c r="L157" i="68"/>
  <c r="K157" i="68"/>
  <c r="J157" i="68"/>
  <c r="I157" i="68"/>
  <c r="H157" i="68"/>
  <c r="G157" i="68"/>
  <c r="F157" i="68"/>
  <c r="E157" i="68"/>
  <c r="D157" i="68"/>
  <c r="C157" i="68"/>
  <c r="B157" i="68"/>
  <c r="P156" i="68"/>
  <c r="O156" i="68"/>
  <c r="N156" i="68"/>
  <c r="M156" i="68"/>
  <c r="L156" i="68"/>
  <c r="K156" i="68"/>
  <c r="J156" i="68"/>
  <c r="I156" i="68"/>
  <c r="H156" i="68"/>
  <c r="G156" i="68"/>
  <c r="F156" i="68"/>
  <c r="E156" i="68"/>
  <c r="D156" i="68"/>
  <c r="C156" i="68"/>
  <c r="B156" i="68"/>
  <c r="P155" i="68"/>
  <c r="O155" i="68"/>
  <c r="N155" i="68"/>
  <c r="M155" i="68"/>
  <c r="L155" i="68"/>
  <c r="K155" i="68"/>
  <c r="J155" i="68"/>
  <c r="I155" i="68"/>
  <c r="H155" i="68"/>
  <c r="G155" i="68"/>
  <c r="F155" i="68"/>
  <c r="E155" i="68"/>
  <c r="D155" i="68"/>
  <c r="C155" i="68"/>
  <c r="B155" i="68"/>
  <c r="P154" i="68"/>
  <c r="O154" i="68"/>
  <c r="N154" i="68"/>
  <c r="M154" i="68"/>
  <c r="L154" i="68"/>
  <c r="K154" i="68"/>
  <c r="J154" i="68"/>
  <c r="I154" i="68"/>
  <c r="H154" i="68"/>
  <c r="G154" i="68"/>
  <c r="F154" i="68"/>
  <c r="E154" i="68"/>
  <c r="D154" i="68"/>
  <c r="C154" i="68"/>
  <c r="B154" i="68"/>
  <c r="P153" i="68"/>
  <c r="O153" i="68"/>
  <c r="N153" i="68"/>
  <c r="M153" i="68"/>
  <c r="L153" i="68"/>
  <c r="K153" i="68"/>
  <c r="J153" i="68"/>
  <c r="I153" i="68"/>
  <c r="H153" i="68"/>
  <c r="G153" i="68"/>
  <c r="F153" i="68"/>
  <c r="E153" i="68"/>
  <c r="D153" i="68"/>
  <c r="C153" i="68"/>
  <c r="B153" i="68"/>
  <c r="P152" i="68"/>
  <c r="O152" i="68"/>
  <c r="N152" i="68"/>
  <c r="M152" i="68"/>
  <c r="L152" i="68"/>
  <c r="K152" i="68"/>
  <c r="J152" i="68"/>
  <c r="I152" i="68"/>
  <c r="H152" i="68"/>
  <c r="G152" i="68"/>
  <c r="F152" i="68"/>
  <c r="E152" i="68"/>
  <c r="D152" i="68"/>
  <c r="C152" i="68"/>
  <c r="B152" i="68"/>
  <c r="P151" i="68"/>
  <c r="O151" i="68"/>
  <c r="N151" i="68"/>
  <c r="M151" i="68"/>
  <c r="L151" i="68"/>
  <c r="K151" i="68"/>
  <c r="J151" i="68"/>
  <c r="I151" i="68"/>
  <c r="H151" i="68"/>
  <c r="G151" i="68"/>
  <c r="F151" i="68"/>
  <c r="E151" i="68"/>
  <c r="D151" i="68"/>
  <c r="C151" i="68"/>
  <c r="B151" i="68"/>
  <c r="P150" i="68"/>
  <c r="O150" i="68"/>
  <c r="N150" i="68"/>
  <c r="M150" i="68"/>
  <c r="L150" i="68"/>
  <c r="K150" i="68"/>
  <c r="J150" i="68"/>
  <c r="I150" i="68"/>
  <c r="H150" i="68"/>
  <c r="G150" i="68"/>
  <c r="F150" i="68"/>
  <c r="E150" i="68"/>
  <c r="D150" i="68"/>
  <c r="C150" i="68"/>
  <c r="B150" i="68"/>
  <c r="P149" i="68"/>
  <c r="O149" i="68"/>
  <c r="N149" i="68"/>
  <c r="M149" i="68"/>
  <c r="L149" i="68"/>
  <c r="K149" i="68"/>
  <c r="J149" i="68"/>
  <c r="I149" i="68"/>
  <c r="H149" i="68"/>
  <c r="G149" i="68"/>
  <c r="F149" i="68"/>
  <c r="E149" i="68"/>
  <c r="D149" i="68"/>
  <c r="C149" i="68"/>
  <c r="B149" i="68"/>
  <c r="P148" i="68"/>
  <c r="O148" i="68"/>
  <c r="N148" i="68"/>
  <c r="M148" i="68"/>
  <c r="L148" i="68"/>
  <c r="K148" i="68"/>
  <c r="J148" i="68"/>
  <c r="I148" i="68"/>
  <c r="H148" i="68"/>
  <c r="G148" i="68"/>
  <c r="F148" i="68"/>
  <c r="E148" i="68"/>
  <c r="D148" i="68"/>
  <c r="C148" i="68"/>
  <c r="B148" i="68"/>
  <c r="P147" i="68"/>
  <c r="O147" i="68"/>
  <c r="N147" i="68"/>
  <c r="M147" i="68"/>
  <c r="L147" i="68"/>
  <c r="K147" i="68"/>
  <c r="J147" i="68"/>
  <c r="I147" i="68"/>
  <c r="H147" i="68"/>
  <c r="G147" i="68"/>
  <c r="F147" i="68"/>
  <c r="E147" i="68"/>
  <c r="D147" i="68"/>
  <c r="C147" i="68"/>
  <c r="B147" i="68"/>
  <c r="P146" i="68"/>
  <c r="O146" i="68"/>
  <c r="N146" i="68"/>
  <c r="M146" i="68"/>
  <c r="L146" i="68"/>
  <c r="K146" i="68"/>
  <c r="J146" i="68"/>
  <c r="I146" i="68"/>
  <c r="H146" i="68"/>
  <c r="G146" i="68"/>
  <c r="F146" i="68"/>
  <c r="E146" i="68"/>
  <c r="D146" i="68"/>
  <c r="C146" i="68"/>
  <c r="B146" i="68"/>
  <c r="P145" i="68"/>
  <c r="O145" i="68"/>
  <c r="N145" i="68"/>
  <c r="M145" i="68"/>
  <c r="L145" i="68"/>
  <c r="K145" i="68"/>
  <c r="J145" i="68"/>
  <c r="I145" i="68"/>
  <c r="H145" i="68"/>
  <c r="G145" i="68"/>
  <c r="F145" i="68"/>
  <c r="E145" i="68"/>
  <c r="D145" i="68"/>
  <c r="C145" i="68"/>
  <c r="B145" i="68"/>
  <c r="P144" i="68"/>
  <c r="O144" i="68"/>
  <c r="N144" i="68"/>
  <c r="M144" i="68"/>
  <c r="L144" i="68"/>
  <c r="K144" i="68"/>
  <c r="J144" i="68"/>
  <c r="I144" i="68"/>
  <c r="H144" i="68"/>
  <c r="G144" i="68"/>
  <c r="F144" i="68"/>
  <c r="E144" i="68"/>
  <c r="D144" i="68"/>
  <c r="C144" i="68"/>
  <c r="B144" i="68"/>
  <c r="P143" i="68"/>
  <c r="O143" i="68"/>
  <c r="N143" i="68"/>
  <c r="M143" i="68"/>
  <c r="L143" i="68"/>
  <c r="K143" i="68"/>
  <c r="J143" i="68"/>
  <c r="I143" i="68"/>
  <c r="H143" i="68"/>
  <c r="G143" i="68"/>
  <c r="F143" i="68"/>
  <c r="E143" i="68"/>
  <c r="D143" i="68"/>
  <c r="C143" i="68"/>
  <c r="B143" i="68"/>
  <c r="P142" i="68"/>
  <c r="O142" i="68"/>
  <c r="N142" i="68"/>
  <c r="M142" i="68"/>
  <c r="L142" i="68"/>
  <c r="K142" i="68"/>
  <c r="J142" i="68"/>
  <c r="I142" i="68"/>
  <c r="H142" i="68"/>
  <c r="G142" i="68"/>
  <c r="F142" i="68"/>
  <c r="E142" i="68"/>
  <c r="D142" i="68"/>
  <c r="C142" i="68"/>
  <c r="B142" i="68"/>
  <c r="P141" i="68"/>
  <c r="O141" i="68"/>
  <c r="N141" i="68"/>
  <c r="M141" i="68"/>
  <c r="L141" i="68"/>
  <c r="K141" i="68"/>
  <c r="J141" i="68"/>
  <c r="I141" i="68"/>
  <c r="H141" i="68"/>
  <c r="G141" i="68"/>
  <c r="F141" i="68"/>
  <c r="E141" i="68"/>
  <c r="D141" i="68"/>
  <c r="C141" i="68"/>
  <c r="B141" i="68"/>
  <c r="P140" i="68"/>
  <c r="O140" i="68"/>
  <c r="N140" i="68"/>
  <c r="M140" i="68"/>
  <c r="L140" i="68"/>
  <c r="K140" i="68"/>
  <c r="J140" i="68"/>
  <c r="I140" i="68"/>
  <c r="H140" i="68"/>
  <c r="G140" i="68"/>
  <c r="F140" i="68"/>
  <c r="E140" i="68"/>
  <c r="D140" i="68"/>
  <c r="C140" i="68"/>
  <c r="B140" i="68"/>
  <c r="P139" i="68"/>
  <c r="O139" i="68"/>
  <c r="N139" i="68"/>
  <c r="M139" i="68"/>
  <c r="L139" i="68"/>
  <c r="K139" i="68"/>
  <c r="J139" i="68"/>
  <c r="I139" i="68"/>
  <c r="H139" i="68"/>
  <c r="G139" i="68"/>
  <c r="F139" i="68"/>
  <c r="E139" i="68"/>
  <c r="D139" i="68"/>
  <c r="C139" i="68"/>
  <c r="B139" i="68"/>
  <c r="P138" i="68"/>
  <c r="O138" i="68"/>
  <c r="N138" i="68"/>
  <c r="M138" i="68"/>
  <c r="L138" i="68"/>
  <c r="K138" i="68"/>
  <c r="J138" i="68"/>
  <c r="I138" i="68"/>
  <c r="H138" i="68"/>
  <c r="G138" i="68"/>
  <c r="F138" i="68"/>
  <c r="E138" i="68"/>
  <c r="D138" i="68"/>
  <c r="C138" i="68"/>
  <c r="B138" i="68"/>
  <c r="P137" i="68"/>
  <c r="O137" i="68"/>
  <c r="N137" i="68"/>
  <c r="M137" i="68"/>
  <c r="L137" i="68"/>
  <c r="K137" i="68"/>
  <c r="J137" i="68"/>
  <c r="I137" i="68"/>
  <c r="H137" i="68"/>
  <c r="G137" i="68"/>
  <c r="F137" i="68"/>
  <c r="E137" i="68"/>
  <c r="D137" i="68"/>
  <c r="C137" i="68"/>
  <c r="B137" i="68"/>
  <c r="P136" i="68"/>
  <c r="O136" i="68"/>
  <c r="N136" i="68"/>
  <c r="M136" i="68"/>
  <c r="L136" i="68"/>
  <c r="K136" i="68"/>
  <c r="J136" i="68"/>
  <c r="I136" i="68"/>
  <c r="H136" i="68"/>
  <c r="G136" i="68"/>
  <c r="F136" i="68"/>
  <c r="E136" i="68"/>
  <c r="D136" i="68"/>
  <c r="C136" i="68"/>
  <c r="B136" i="68"/>
  <c r="P135" i="68"/>
  <c r="O135" i="68"/>
  <c r="N135" i="68"/>
  <c r="M135" i="68"/>
  <c r="L135" i="68"/>
  <c r="K135" i="68"/>
  <c r="J135" i="68"/>
  <c r="I135" i="68"/>
  <c r="H135" i="68"/>
  <c r="G135" i="68"/>
  <c r="F135" i="68"/>
  <c r="E135" i="68"/>
  <c r="D135" i="68"/>
  <c r="C135" i="68"/>
  <c r="B135" i="68"/>
  <c r="P134" i="68"/>
  <c r="O134" i="68"/>
  <c r="N134" i="68"/>
  <c r="M134" i="68"/>
  <c r="L134" i="68"/>
  <c r="K134" i="68"/>
  <c r="J134" i="68"/>
  <c r="I134" i="68"/>
  <c r="H134" i="68"/>
  <c r="G134" i="68"/>
  <c r="F134" i="68"/>
  <c r="E134" i="68"/>
  <c r="D134" i="68"/>
  <c r="C134" i="68"/>
  <c r="B134" i="68"/>
  <c r="P133" i="68"/>
  <c r="O133" i="68"/>
  <c r="N133" i="68"/>
  <c r="M133" i="68"/>
  <c r="L133" i="68"/>
  <c r="K133" i="68"/>
  <c r="J133" i="68"/>
  <c r="I133" i="68"/>
  <c r="H133" i="68"/>
  <c r="G133" i="68"/>
  <c r="F133" i="68"/>
  <c r="E133" i="68"/>
  <c r="D133" i="68"/>
  <c r="C133" i="68"/>
  <c r="B133" i="68"/>
  <c r="P132" i="68"/>
  <c r="O132" i="68"/>
  <c r="N132" i="68"/>
  <c r="M132" i="68"/>
  <c r="L132" i="68"/>
  <c r="K132" i="68"/>
  <c r="J132" i="68"/>
  <c r="I132" i="68"/>
  <c r="H132" i="68"/>
  <c r="G132" i="68"/>
  <c r="F132" i="68"/>
  <c r="E132" i="68"/>
  <c r="D132" i="68"/>
  <c r="C132" i="68"/>
  <c r="B132" i="68"/>
  <c r="P131" i="68"/>
  <c r="O131" i="68"/>
  <c r="N131" i="68"/>
  <c r="M131" i="68"/>
  <c r="L131" i="68"/>
  <c r="K131" i="68"/>
  <c r="J131" i="68"/>
  <c r="I131" i="68"/>
  <c r="H131" i="68"/>
  <c r="G131" i="68"/>
  <c r="F131" i="68"/>
  <c r="E131" i="68"/>
  <c r="D131" i="68"/>
  <c r="C131" i="68"/>
  <c r="B131" i="68"/>
  <c r="P130" i="68"/>
  <c r="O130" i="68"/>
  <c r="N130" i="68"/>
  <c r="M130" i="68"/>
  <c r="L130" i="68"/>
  <c r="K130" i="68"/>
  <c r="J130" i="68"/>
  <c r="I130" i="68"/>
  <c r="H130" i="68"/>
  <c r="G130" i="68"/>
  <c r="F130" i="68"/>
  <c r="E130" i="68"/>
  <c r="D130" i="68"/>
  <c r="C130" i="68"/>
  <c r="B130" i="68"/>
  <c r="P129" i="68"/>
  <c r="O129" i="68"/>
  <c r="N129" i="68"/>
  <c r="M129" i="68"/>
  <c r="L129" i="68"/>
  <c r="K129" i="68"/>
  <c r="J129" i="68"/>
  <c r="I129" i="68"/>
  <c r="H129" i="68"/>
  <c r="G129" i="68"/>
  <c r="F129" i="68"/>
  <c r="E129" i="68"/>
  <c r="D129" i="68"/>
  <c r="C129" i="68"/>
  <c r="B129" i="68"/>
  <c r="P128" i="68"/>
  <c r="O128" i="68"/>
  <c r="N128" i="68"/>
  <c r="M128" i="68"/>
  <c r="L128" i="68"/>
  <c r="K128" i="68"/>
  <c r="J128" i="68"/>
  <c r="I128" i="68"/>
  <c r="H128" i="68"/>
  <c r="G128" i="68"/>
  <c r="F128" i="68"/>
  <c r="E128" i="68"/>
  <c r="D128" i="68"/>
  <c r="C128" i="68"/>
  <c r="B128" i="68"/>
  <c r="P127" i="68"/>
  <c r="O127" i="68"/>
  <c r="N127" i="68"/>
  <c r="M127" i="68"/>
  <c r="L127" i="68"/>
  <c r="K127" i="68"/>
  <c r="J127" i="68"/>
  <c r="I127" i="68"/>
  <c r="H127" i="68"/>
  <c r="G127" i="68"/>
  <c r="F127" i="68"/>
  <c r="E127" i="68"/>
  <c r="D127" i="68"/>
  <c r="C127" i="68"/>
  <c r="B127" i="68"/>
  <c r="P126" i="68"/>
  <c r="O126" i="68"/>
  <c r="N126" i="68"/>
  <c r="M126" i="68"/>
  <c r="L126" i="68"/>
  <c r="K126" i="68"/>
  <c r="J126" i="68"/>
  <c r="I126" i="68"/>
  <c r="H126" i="68"/>
  <c r="G126" i="68"/>
  <c r="F126" i="68"/>
  <c r="E126" i="68"/>
  <c r="D126" i="68"/>
  <c r="C126" i="68"/>
  <c r="B126" i="68"/>
  <c r="P125" i="68"/>
  <c r="O125" i="68"/>
  <c r="N125" i="68"/>
  <c r="M125" i="68"/>
  <c r="L125" i="68"/>
  <c r="K125" i="68"/>
  <c r="J125" i="68"/>
  <c r="I125" i="68"/>
  <c r="H125" i="68"/>
  <c r="G125" i="68"/>
  <c r="F125" i="68"/>
  <c r="E125" i="68"/>
  <c r="D125" i="68"/>
  <c r="C125" i="68"/>
  <c r="B125" i="68"/>
  <c r="P124" i="68"/>
  <c r="O124" i="68"/>
  <c r="N124" i="68"/>
  <c r="M124" i="68"/>
  <c r="L124" i="68"/>
  <c r="K124" i="68"/>
  <c r="J124" i="68"/>
  <c r="I124" i="68"/>
  <c r="H124" i="68"/>
  <c r="G124" i="68"/>
  <c r="F124" i="68"/>
  <c r="E124" i="68"/>
  <c r="D124" i="68"/>
  <c r="C124" i="68"/>
  <c r="B124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D123" i="68"/>
  <c r="C123" i="68"/>
  <c r="B123" i="68"/>
  <c r="P122" i="68"/>
  <c r="O122" i="68"/>
  <c r="N122" i="68"/>
  <c r="M122" i="68"/>
  <c r="L122" i="68"/>
  <c r="K122" i="68"/>
  <c r="J122" i="68"/>
  <c r="I122" i="68"/>
  <c r="H122" i="68"/>
  <c r="G122" i="68"/>
  <c r="F122" i="68"/>
  <c r="E122" i="68"/>
  <c r="D122" i="68"/>
  <c r="C122" i="68"/>
  <c r="B122" i="68"/>
  <c r="P121" i="68"/>
  <c r="O121" i="68"/>
  <c r="N121" i="68"/>
  <c r="M121" i="68"/>
  <c r="L121" i="68"/>
  <c r="K121" i="68"/>
  <c r="J121" i="68"/>
  <c r="I121" i="68"/>
  <c r="H121" i="68"/>
  <c r="G121" i="68"/>
  <c r="F121" i="68"/>
  <c r="E121" i="68"/>
  <c r="D121" i="68"/>
  <c r="C121" i="68"/>
  <c r="B121" i="68"/>
  <c r="P120" i="68"/>
  <c r="O120" i="68"/>
  <c r="N120" i="68"/>
  <c r="M120" i="68"/>
  <c r="L120" i="68"/>
  <c r="K120" i="68"/>
  <c r="J120" i="68"/>
  <c r="I120" i="68"/>
  <c r="H120" i="68"/>
  <c r="G120" i="68"/>
  <c r="F120" i="68"/>
  <c r="E120" i="68"/>
  <c r="D120" i="68"/>
  <c r="C120" i="68"/>
  <c r="B120" i="68"/>
  <c r="P119" i="68"/>
  <c r="O119" i="68"/>
  <c r="N119" i="68"/>
  <c r="M119" i="68"/>
  <c r="L119" i="68"/>
  <c r="K119" i="68"/>
  <c r="J119" i="68"/>
  <c r="I119" i="68"/>
  <c r="H119" i="68"/>
  <c r="G119" i="68"/>
  <c r="F119" i="68"/>
  <c r="E119" i="68"/>
  <c r="D119" i="68"/>
  <c r="C119" i="68"/>
  <c r="B119" i="68"/>
  <c r="P118" i="68"/>
  <c r="O118" i="68"/>
  <c r="N118" i="68"/>
  <c r="M118" i="68"/>
  <c r="L118" i="68"/>
  <c r="K118" i="68"/>
  <c r="J118" i="68"/>
  <c r="I118" i="68"/>
  <c r="H118" i="68"/>
  <c r="G118" i="68"/>
  <c r="F118" i="68"/>
  <c r="E118" i="68"/>
  <c r="D118" i="68"/>
  <c r="C118" i="68"/>
  <c r="B118" i="68"/>
  <c r="P117" i="68"/>
  <c r="O117" i="68"/>
  <c r="N117" i="68"/>
  <c r="M117" i="68"/>
  <c r="L117" i="68"/>
  <c r="K117" i="68"/>
  <c r="J117" i="68"/>
  <c r="I117" i="68"/>
  <c r="H117" i="68"/>
  <c r="G117" i="68"/>
  <c r="F117" i="68"/>
  <c r="E117" i="68"/>
  <c r="D117" i="68"/>
  <c r="C117" i="68"/>
  <c r="B117" i="68"/>
  <c r="P116" i="68"/>
  <c r="O116" i="68"/>
  <c r="N116" i="68"/>
  <c r="M116" i="68"/>
  <c r="L116" i="68"/>
  <c r="K116" i="68"/>
  <c r="J116" i="68"/>
  <c r="I116" i="68"/>
  <c r="H116" i="68"/>
  <c r="G116" i="68"/>
  <c r="F116" i="68"/>
  <c r="E116" i="68"/>
  <c r="D116" i="68"/>
  <c r="C116" i="68"/>
  <c r="B116" i="68"/>
  <c r="P115" i="68"/>
  <c r="O115" i="68"/>
  <c r="N115" i="68"/>
  <c r="M115" i="68"/>
  <c r="L115" i="68"/>
  <c r="K115" i="68"/>
  <c r="J115" i="68"/>
  <c r="I115" i="68"/>
  <c r="H115" i="68"/>
  <c r="G115" i="68"/>
  <c r="F115" i="68"/>
  <c r="E115" i="68"/>
  <c r="D115" i="68"/>
  <c r="C115" i="68"/>
  <c r="B115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C114" i="68"/>
  <c r="B114" i="68"/>
  <c r="P113" i="68"/>
  <c r="O113" i="68"/>
  <c r="N113" i="68"/>
  <c r="M113" i="68"/>
  <c r="L113" i="68"/>
  <c r="K113" i="68"/>
  <c r="J113" i="68"/>
  <c r="I113" i="68"/>
  <c r="H113" i="68"/>
  <c r="G113" i="68"/>
  <c r="F113" i="68"/>
  <c r="E113" i="68"/>
  <c r="D113" i="68"/>
  <c r="C113" i="68"/>
  <c r="B113" i="68"/>
  <c r="P112" i="68"/>
  <c r="O112" i="68"/>
  <c r="N112" i="68"/>
  <c r="M112" i="68"/>
  <c r="L112" i="68"/>
  <c r="K112" i="68"/>
  <c r="J112" i="68"/>
  <c r="I112" i="68"/>
  <c r="H112" i="68"/>
  <c r="G112" i="68"/>
  <c r="F112" i="68"/>
  <c r="E112" i="68"/>
  <c r="D112" i="68"/>
  <c r="C112" i="68"/>
  <c r="B112" i="68"/>
  <c r="P111" i="68"/>
  <c r="O111" i="68"/>
  <c r="N111" i="68"/>
  <c r="M111" i="68"/>
  <c r="L111" i="68"/>
  <c r="K111" i="68"/>
  <c r="J111" i="68"/>
  <c r="I111" i="68"/>
  <c r="H111" i="68"/>
  <c r="G111" i="68"/>
  <c r="F111" i="68"/>
  <c r="E111" i="68"/>
  <c r="D111" i="68"/>
  <c r="C111" i="68"/>
  <c r="B111" i="68"/>
  <c r="P110" i="68"/>
  <c r="O110" i="68"/>
  <c r="N110" i="68"/>
  <c r="M110" i="68"/>
  <c r="L110" i="68"/>
  <c r="K110" i="68"/>
  <c r="J110" i="68"/>
  <c r="I110" i="68"/>
  <c r="H110" i="68"/>
  <c r="G110" i="68"/>
  <c r="F110" i="68"/>
  <c r="E110" i="68"/>
  <c r="D110" i="68"/>
  <c r="C110" i="68"/>
  <c r="B110" i="68"/>
  <c r="P109" i="68"/>
  <c r="O109" i="68"/>
  <c r="N109" i="68"/>
  <c r="M109" i="68"/>
  <c r="L109" i="68"/>
  <c r="K109" i="68"/>
  <c r="J109" i="68"/>
  <c r="I109" i="68"/>
  <c r="H109" i="68"/>
  <c r="G109" i="68"/>
  <c r="F109" i="68"/>
  <c r="E109" i="68"/>
  <c r="D109" i="68"/>
  <c r="C109" i="68"/>
  <c r="B109" i="68"/>
  <c r="P108" i="68"/>
  <c r="O108" i="68"/>
  <c r="N108" i="68"/>
  <c r="M108" i="68"/>
  <c r="L108" i="68"/>
  <c r="K108" i="68"/>
  <c r="J108" i="68"/>
  <c r="I108" i="68"/>
  <c r="H108" i="68"/>
  <c r="G108" i="68"/>
  <c r="F108" i="68"/>
  <c r="E108" i="68"/>
  <c r="D108" i="68"/>
  <c r="C108" i="68"/>
  <c r="B108" i="68"/>
  <c r="P107" i="68"/>
  <c r="O107" i="68"/>
  <c r="N107" i="68"/>
  <c r="M107" i="68"/>
  <c r="L107" i="68"/>
  <c r="K107" i="68"/>
  <c r="J107" i="68"/>
  <c r="I107" i="68"/>
  <c r="H107" i="68"/>
  <c r="G107" i="68"/>
  <c r="F107" i="68"/>
  <c r="E107" i="68"/>
  <c r="D107" i="68"/>
  <c r="C107" i="68"/>
  <c r="B107" i="68"/>
  <c r="P106" i="68"/>
  <c r="O106" i="68"/>
  <c r="N106" i="68"/>
  <c r="M106" i="68"/>
  <c r="L106" i="68"/>
  <c r="K106" i="68"/>
  <c r="J106" i="68"/>
  <c r="I106" i="68"/>
  <c r="H106" i="68"/>
  <c r="G106" i="68"/>
  <c r="F106" i="68"/>
  <c r="E106" i="68"/>
  <c r="D106" i="68"/>
  <c r="C106" i="68"/>
  <c r="B106" i="68"/>
  <c r="P105" i="68"/>
  <c r="O105" i="68"/>
  <c r="N105" i="68"/>
  <c r="M105" i="68"/>
  <c r="L105" i="68"/>
  <c r="K105" i="68"/>
  <c r="J105" i="68"/>
  <c r="I105" i="68"/>
  <c r="H105" i="68"/>
  <c r="G105" i="68"/>
  <c r="F105" i="68"/>
  <c r="E105" i="68"/>
  <c r="D105" i="68"/>
  <c r="C105" i="68"/>
  <c r="B105" i="68"/>
  <c r="P104" i="68"/>
  <c r="O104" i="68"/>
  <c r="N104" i="68"/>
  <c r="M104" i="68"/>
  <c r="L104" i="68"/>
  <c r="K104" i="68"/>
  <c r="J104" i="68"/>
  <c r="I104" i="68"/>
  <c r="H104" i="68"/>
  <c r="G104" i="68"/>
  <c r="F104" i="68"/>
  <c r="E104" i="68"/>
  <c r="D104" i="68"/>
  <c r="C104" i="68"/>
  <c r="B104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P102" i="68"/>
  <c r="O102" i="68"/>
  <c r="N102" i="68"/>
  <c r="M102" i="68"/>
  <c r="L102" i="68"/>
  <c r="K102" i="68"/>
  <c r="J102" i="68"/>
  <c r="I102" i="68"/>
  <c r="H102" i="68"/>
  <c r="G102" i="68"/>
  <c r="F102" i="68"/>
  <c r="E102" i="68"/>
  <c r="D102" i="68"/>
  <c r="C102" i="68"/>
  <c r="B102" i="68"/>
  <c r="P101" i="68"/>
  <c r="O101" i="68"/>
  <c r="N101" i="68"/>
  <c r="M101" i="68"/>
  <c r="L101" i="68"/>
  <c r="K101" i="68"/>
  <c r="J101" i="68"/>
  <c r="I101" i="68"/>
  <c r="H101" i="68"/>
  <c r="G101" i="68"/>
  <c r="F101" i="68"/>
  <c r="E101" i="68"/>
  <c r="D101" i="68"/>
  <c r="C101" i="68"/>
  <c r="B101" i="68"/>
  <c r="P100" i="68"/>
  <c r="O100" i="68"/>
  <c r="N100" i="68"/>
  <c r="M100" i="68"/>
  <c r="L100" i="68"/>
  <c r="K100" i="68"/>
  <c r="J100" i="68"/>
  <c r="I100" i="68"/>
  <c r="H100" i="68"/>
  <c r="G100" i="68"/>
  <c r="F100" i="68"/>
  <c r="E100" i="68"/>
  <c r="D100" i="68"/>
  <c r="C100" i="68"/>
  <c r="B100" i="68"/>
  <c r="P99" i="68"/>
  <c r="O99" i="68"/>
  <c r="N99" i="68"/>
  <c r="M99" i="68"/>
  <c r="L99" i="68"/>
  <c r="K99" i="68"/>
  <c r="J99" i="68"/>
  <c r="I99" i="68"/>
  <c r="H99" i="68"/>
  <c r="G99" i="68"/>
  <c r="F99" i="68"/>
  <c r="E99" i="68"/>
  <c r="D99" i="68"/>
  <c r="C99" i="68"/>
  <c r="B99" i="68"/>
  <c r="P98" i="68"/>
  <c r="O98" i="68"/>
  <c r="N98" i="68"/>
  <c r="M98" i="68"/>
  <c r="L98" i="68"/>
  <c r="K98" i="68"/>
  <c r="J98" i="68"/>
  <c r="I98" i="68"/>
  <c r="H98" i="68"/>
  <c r="G98" i="68"/>
  <c r="F98" i="68"/>
  <c r="E98" i="68"/>
  <c r="D98" i="68"/>
  <c r="C98" i="68"/>
  <c r="B98" i="68"/>
  <c r="P97" i="68"/>
  <c r="O97" i="68"/>
  <c r="N97" i="68"/>
  <c r="M97" i="68"/>
  <c r="L97" i="68"/>
  <c r="K97" i="68"/>
  <c r="J97" i="68"/>
  <c r="I97" i="68"/>
  <c r="H97" i="68"/>
  <c r="G97" i="68"/>
  <c r="F97" i="68"/>
  <c r="E97" i="68"/>
  <c r="D97" i="68"/>
  <c r="C97" i="68"/>
  <c r="B97" i="68"/>
  <c r="P96" i="68"/>
  <c r="O96" i="68"/>
  <c r="N96" i="68"/>
  <c r="M96" i="68"/>
  <c r="L96" i="68"/>
  <c r="K96" i="68"/>
  <c r="J96" i="68"/>
  <c r="I96" i="68"/>
  <c r="H96" i="68"/>
  <c r="G96" i="68"/>
  <c r="F96" i="68"/>
  <c r="E96" i="68"/>
  <c r="D96" i="68"/>
  <c r="C96" i="68"/>
  <c r="B96" i="68"/>
  <c r="P95" i="68"/>
  <c r="O95" i="68"/>
  <c r="N95" i="68"/>
  <c r="M95" i="68"/>
  <c r="L95" i="68"/>
  <c r="K95" i="68"/>
  <c r="J95" i="68"/>
  <c r="I95" i="68"/>
  <c r="H95" i="68"/>
  <c r="G95" i="68"/>
  <c r="F95" i="68"/>
  <c r="E95" i="68"/>
  <c r="D95" i="68"/>
  <c r="C95" i="68"/>
  <c r="B95" i="68"/>
  <c r="P94" i="68"/>
  <c r="O94" i="68"/>
  <c r="N94" i="68"/>
  <c r="M94" i="68"/>
  <c r="L94" i="68"/>
  <c r="K94" i="68"/>
  <c r="J94" i="68"/>
  <c r="I94" i="68"/>
  <c r="H94" i="68"/>
  <c r="G94" i="68"/>
  <c r="F94" i="68"/>
  <c r="E94" i="68"/>
  <c r="D94" i="68"/>
  <c r="C94" i="68"/>
  <c r="B94" i="68"/>
  <c r="P93" i="68"/>
  <c r="O93" i="68"/>
  <c r="N93" i="68"/>
  <c r="M93" i="68"/>
  <c r="L93" i="68"/>
  <c r="K93" i="68"/>
  <c r="J93" i="68"/>
  <c r="I93" i="68"/>
  <c r="H93" i="68"/>
  <c r="G93" i="68"/>
  <c r="F93" i="68"/>
  <c r="E93" i="68"/>
  <c r="D93" i="68"/>
  <c r="C93" i="68"/>
  <c r="B93" i="68"/>
  <c r="P92" i="68"/>
  <c r="O92" i="68"/>
  <c r="N92" i="68"/>
  <c r="M92" i="68"/>
  <c r="L92" i="68"/>
  <c r="K92" i="68"/>
  <c r="J92" i="68"/>
  <c r="I92" i="68"/>
  <c r="H92" i="68"/>
  <c r="G92" i="68"/>
  <c r="F92" i="68"/>
  <c r="E92" i="68"/>
  <c r="D92" i="68"/>
  <c r="C92" i="68"/>
  <c r="B92" i="68"/>
  <c r="P91" i="68"/>
  <c r="O91" i="68"/>
  <c r="N91" i="68"/>
  <c r="M91" i="68"/>
  <c r="L91" i="68"/>
  <c r="K91" i="68"/>
  <c r="J91" i="68"/>
  <c r="I91" i="68"/>
  <c r="H91" i="68"/>
  <c r="G91" i="68"/>
  <c r="F91" i="68"/>
  <c r="E91" i="68"/>
  <c r="D91" i="68"/>
  <c r="C91" i="68"/>
  <c r="B91" i="68"/>
  <c r="P90" i="68"/>
  <c r="O90" i="68"/>
  <c r="N90" i="68"/>
  <c r="M90" i="68"/>
  <c r="L90" i="68"/>
  <c r="K90" i="68"/>
  <c r="J90" i="68"/>
  <c r="I90" i="68"/>
  <c r="H90" i="68"/>
  <c r="G90" i="68"/>
  <c r="F90" i="68"/>
  <c r="E90" i="68"/>
  <c r="D90" i="68"/>
  <c r="C90" i="68"/>
  <c r="B90" i="68"/>
  <c r="P89" i="68"/>
  <c r="O89" i="68"/>
  <c r="N89" i="68"/>
  <c r="M89" i="68"/>
  <c r="L89" i="68"/>
  <c r="K89" i="68"/>
  <c r="J89" i="68"/>
  <c r="I89" i="68"/>
  <c r="H89" i="68"/>
  <c r="G89" i="68"/>
  <c r="F89" i="68"/>
  <c r="E89" i="68"/>
  <c r="D89" i="68"/>
  <c r="C89" i="68"/>
  <c r="B89" i="68"/>
  <c r="P88" i="68"/>
  <c r="O88" i="68"/>
  <c r="N88" i="68"/>
  <c r="M88" i="68"/>
  <c r="L88" i="68"/>
  <c r="K88" i="68"/>
  <c r="J88" i="68"/>
  <c r="I88" i="68"/>
  <c r="H88" i="68"/>
  <c r="G88" i="68"/>
  <c r="F88" i="68"/>
  <c r="E88" i="68"/>
  <c r="D88" i="68"/>
  <c r="C88" i="68"/>
  <c r="B88" i="68"/>
  <c r="P87" i="68"/>
  <c r="O87" i="68"/>
  <c r="N87" i="68"/>
  <c r="M87" i="68"/>
  <c r="L87" i="68"/>
  <c r="K87" i="68"/>
  <c r="J87" i="68"/>
  <c r="I87" i="68"/>
  <c r="H87" i="68"/>
  <c r="G87" i="68"/>
  <c r="F87" i="68"/>
  <c r="E87" i="68"/>
  <c r="D87" i="68"/>
  <c r="C87" i="68"/>
  <c r="B87" i="68"/>
  <c r="P86" i="68"/>
  <c r="O86" i="68"/>
  <c r="N86" i="68"/>
  <c r="M86" i="68"/>
  <c r="L86" i="68"/>
  <c r="K86" i="68"/>
  <c r="J86" i="68"/>
  <c r="I86" i="68"/>
  <c r="H86" i="68"/>
  <c r="G86" i="68"/>
  <c r="F86" i="68"/>
  <c r="E86" i="68"/>
  <c r="D86" i="68"/>
  <c r="C86" i="68"/>
  <c r="B86" i="68"/>
  <c r="P85" i="68"/>
  <c r="O85" i="68"/>
  <c r="N85" i="68"/>
  <c r="M85" i="68"/>
  <c r="L85" i="68"/>
  <c r="K85" i="68"/>
  <c r="J85" i="68"/>
  <c r="I85" i="68"/>
  <c r="H85" i="68"/>
  <c r="G85" i="68"/>
  <c r="F85" i="68"/>
  <c r="E85" i="68"/>
  <c r="D85" i="68"/>
  <c r="C85" i="68"/>
  <c r="B85" i="68"/>
  <c r="P84" i="68"/>
  <c r="O84" i="68"/>
  <c r="N84" i="68"/>
  <c r="M84" i="68"/>
  <c r="L84" i="68"/>
  <c r="K84" i="68"/>
  <c r="J84" i="68"/>
  <c r="I84" i="68"/>
  <c r="H84" i="68"/>
  <c r="G84" i="68"/>
  <c r="F84" i="68"/>
  <c r="E84" i="68"/>
  <c r="D84" i="68"/>
  <c r="C84" i="68"/>
  <c r="B84" i="68"/>
  <c r="P83" i="68"/>
  <c r="O83" i="68"/>
  <c r="N83" i="68"/>
  <c r="M83" i="68"/>
  <c r="L83" i="68"/>
  <c r="K83" i="68"/>
  <c r="J83" i="68"/>
  <c r="I83" i="68"/>
  <c r="H83" i="68"/>
  <c r="G83" i="68"/>
  <c r="F83" i="68"/>
  <c r="E83" i="68"/>
  <c r="D83" i="68"/>
  <c r="C83" i="68"/>
  <c r="B83" i="68"/>
  <c r="P82" i="68"/>
  <c r="O82" i="68"/>
  <c r="N82" i="68"/>
  <c r="M82" i="68"/>
  <c r="L82" i="68"/>
  <c r="K82" i="68"/>
  <c r="J82" i="68"/>
  <c r="I82" i="68"/>
  <c r="H82" i="68"/>
  <c r="G82" i="68"/>
  <c r="F82" i="68"/>
  <c r="E82" i="68"/>
  <c r="D82" i="68"/>
  <c r="C82" i="68"/>
  <c r="B82" i="68"/>
  <c r="P81" i="68"/>
  <c r="O81" i="68"/>
  <c r="N81" i="68"/>
  <c r="M81" i="68"/>
  <c r="L81" i="68"/>
  <c r="K81" i="68"/>
  <c r="J81" i="68"/>
  <c r="I81" i="68"/>
  <c r="H81" i="68"/>
  <c r="G81" i="68"/>
  <c r="F81" i="68"/>
  <c r="E81" i="68"/>
  <c r="D81" i="68"/>
  <c r="C81" i="68"/>
  <c r="B81" i="68"/>
  <c r="P80" i="68"/>
  <c r="O80" i="68"/>
  <c r="N80" i="68"/>
  <c r="M80" i="68"/>
  <c r="L80" i="68"/>
  <c r="K80" i="68"/>
  <c r="J80" i="68"/>
  <c r="I80" i="68"/>
  <c r="H80" i="68"/>
  <c r="G80" i="68"/>
  <c r="F80" i="68"/>
  <c r="E80" i="68"/>
  <c r="D80" i="68"/>
  <c r="C80" i="68"/>
  <c r="B80" i="68"/>
  <c r="P79" i="68"/>
  <c r="O79" i="68"/>
  <c r="N79" i="68"/>
  <c r="M79" i="68"/>
  <c r="L79" i="68"/>
  <c r="K79" i="68"/>
  <c r="J79" i="68"/>
  <c r="I79" i="68"/>
  <c r="H79" i="68"/>
  <c r="G79" i="68"/>
  <c r="F79" i="68"/>
  <c r="E79" i="68"/>
  <c r="D79" i="68"/>
  <c r="C79" i="68"/>
  <c r="B79" i="68"/>
  <c r="P78" i="68"/>
  <c r="O78" i="68"/>
  <c r="N78" i="68"/>
  <c r="M78" i="68"/>
  <c r="L78" i="68"/>
  <c r="K78" i="68"/>
  <c r="J78" i="68"/>
  <c r="I78" i="68"/>
  <c r="H78" i="68"/>
  <c r="G78" i="68"/>
  <c r="F78" i="68"/>
  <c r="E78" i="68"/>
  <c r="D78" i="68"/>
  <c r="C78" i="68"/>
  <c r="B78" i="68"/>
  <c r="P77" i="68"/>
  <c r="O77" i="68"/>
  <c r="N77" i="68"/>
  <c r="M77" i="68"/>
  <c r="L77" i="68"/>
  <c r="K77" i="68"/>
  <c r="J77" i="68"/>
  <c r="I77" i="68"/>
  <c r="H77" i="68"/>
  <c r="G77" i="68"/>
  <c r="F77" i="68"/>
  <c r="E77" i="68"/>
  <c r="D77" i="68"/>
  <c r="C77" i="68"/>
  <c r="B77" i="68"/>
  <c r="P76" i="68"/>
  <c r="O76" i="68"/>
  <c r="N76" i="68"/>
  <c r="M76" i="68"/>
  <c r="L76" i="68"/>
  <c r="K76" i="68"/>
  <c r="J76" i="68"/>
  <c r="I76" i="68"/>
  <c r="H76" i="68"/>
  <c r="G76" i="68"/>
  <c r="F76" i="68"/>
  <c r="E76" i="68"/>
  <c r="D76" i="68"/>
  <c r="C76" i="68"/>
  <c r="B76" i="68"/>
  <c r="P75" i="68"/>
  <c r="O75" i="68"/>
  <c r="N75" i="68"/>
  <c r="M75" i="68"/>
  <c r="L75" i="68"/>
  <c r="K75" i="68"/>
  <c r="J75" i="68"/>
  <c r="I75" i="68"/>
  <c r="H75" i="68"/>
  <c r="G75" i="68"/>
  <c r="F75" i="68"/>
  <c r="E75" i="68"/>
  <c r="D75" i="68"/>
  <c r="C75" i="68"/>
  <c r="B75" i="68"/>
  <c r="P74" i="68"/>
  <c r="O74" i="68"/>
  <c r="N74" i="68"/>
  <c r="M74" i="68"/>
  <c r="L74" i="68"/>
  <c r="K74" i="68"/>
  <c r="J74" i="68"/>
  <c r="I74" i="68"/>
  <c r="H74" i="68"/>
  <c r="G74" i="68"/>
  <c r="F74" i="68"/>
  <c r="E74" i="68"/>
  <c r="D74" i="68"/>
  <c r="C74" i="68"/>
  <c r="B74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P72" i="68"/>
  <c r="O72" i="68"/>
  <c r="N72" i="68"/>
  <c r="M72" i="68"/>
  <c r="L72" i="68"/>
  <c r="K72" i="68"/>
  <c r="J72" i="68"/>
  <c r="I72" i="68"/>
  <c r="H72" i="68"/>
  <c r="G72" i="68"/>
  <c r="F72" i="68"/>
  <c r="E72" i="68"/>
  <c r="D72" i="68"/>
  <c r="C72" i="68"/>
  <c r="B72" i="68"/>
  <c r="P71" i="68"/>
  <c r="O71" i="68"/>
  <c r="N71" i="68"/>
  <c r="M71" i="68"/>
  <c r="L71" i="68"/>
  <c r="K71" i="68"/>
  <c r="J71" i="68"/>
  <c r="I71" i="68"/>
  <c r="H71" i="68"/>
  <c r="G71" i="68"/>
  <c r="F71" i="68"/>
  <c r="E71" i="68"/>
  <c r="D71" i="68"/>
  <c r="C71" i="68"/>
  <c r="B71" i="68"/>
  <c r="P70" i="68"/>
  <c r="O70" i="68"/>
  <c r="N70" i="68"/>
  <c r="M70" i="68"/>
  <c r="L70" i="68"/>
  <c r="K70" i="68"/>
  <c r="J70" i="68"/>
  <c r="I70" i="68"/>
  <c r="H70" i="68"/>
  <c r="G70" i="68"/>
  <c r="F70" i="68"/>
  <c r="E70" i="68"/>
  <c r="D70" i="68"/>
  <c r="C70" i="68"/>
  <c r="B70" i="68"/>
  <c r="P69" i="68"/>
  <c r="O69" i="68"/>
  <c r="N69" i="68"/>
  <c r="M69" i="68"/>
  <c r="L69" i="68"/>
  <c r="K69" i="68"/>
  <c r="J69" i="68"/>
  <c r="I69" i="68"/>
  <c r="H69" i="68"/>
  <c r="G69" i="68"/>
  <c r="F69" i="68"/>
  <c r="E69" i="68"/>
  <c r="D69" i="68"/>
  <c r="C69" i="68"/>
  <c r="B69" i="68"/>
  <c r="P68" i="68"/>
  <c r="O68" i="68"/>
  <c r="N68" i="68"/>
  <c r="M68" i="68"/>
  <c r="L68" i="68"/>
  <c r="K68" i="68"/>
  <c r="J68" i="68"/>
  <c r="I68" i="68"/>
  <c r="H68" i="68"/>
  <c r="G68" i="68"/>
  <c r="F68" i="68"/>
  <c r="E68" i="68"/>
  <c r="D68" i="68"/>
  <c r="C68" i="68"/>
  <c r="B68" i="68"/>
  <c r="P67" i="68"/>
  <c r="O67" i="68"/>
  <c r="N67" i="68"/>
  <c r="M67" i="68"/>
  <c r="L67" i="68"/>
  <c r="K67" i="68"/>
  <c r="J67" i="68"/>
  <c r="I67" i="68"/>
  <c r="H67" i="68"/>
  <c r="G67" i="68"/>
  <c r="F67" i="68"/>
  <c r="E67" i="68"/>
  <c r="D67" i="68"/>
  <c r="C67" i="68"/>
  <c r="B67" i="68"/>
  <c r="P66" i="68"/>
  <c r="O66" i="68"/>
  <c r="N66" i="68"/>
  <c r="M66" i="68"/>
  <c r="L66" i="68"/>
  <c r="K66" i="68"/>
  <c r="J66" i="68"/>
  <c r="I66" i="68"/>
  <c r="H66" i="68"/>
  <c r="G66" i="68"/>
  <c r="F66" i="68"/>
  <c r="E66" i="68"/>
  <c r="D66" i="68"/>
  <c r="C66" i="68"/>
  <c r="B66" i="68"/>
  <c r="P65" i="68"/>
  <c r="O65" i="68"/>
  <c r="N65" i="68"/>
  <c r="M65" i="68"/>
  <c r="L65" i="68"/>
  <c r="K65" i="68"/>
  <c r="J65" i="68"/>
  <c r="I65" i="68"/>
  <c r="H65" i="68"/>
  <c r="G65" i="68"/>
  <c r="F65" i="68"/>
  <c r="E65" i="68"/>
  <c r="D65" i="68"/>
  <c r="C65" i="68"/>
  <c r="B65" i="68"/>
  <c r="P64" i="68"/>
  <c r="O64" i="68"/>
  <c r="N64" i="68"/>
  <c r="M64" i="68"/>
  <c r="L64" i="68"/>
  <c r="K64" i="68"/>
  <c r="J64" i="68"/>
  <c r="I64" i="68"/>
  <c r="H64" i="68"/>
  <c r="G64" i="68"/>
  <c r="F64" i="68"/>
  <c r="E64" i="68"/>
  <c r="D64" i="68"/>
  <c r="C64" i="68"/>
  <c r="B64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P62" i="68"/>
  <c r="O62" i="68"/>
  <c r="N62" i="68"/>
  <c r="M62" i="68"/>
  <c r="L62" i="68"/>
  <c r="K62" i="68"/>
  <c r="J62" i="68"/>
  <c r="I62" i="68"/>
  <c r="H62" i="68"/>
  <c r="G62" i="68"/>
  <c r="F62" i="68"/>
  <c r="E62" i="68"/>
  <c r="D62" i="68"/>
  <c r="C62" i="68"/>
  <c r="B62" i="68"/>
  <c r="P61" i="68"/>
  <c r="O61" i="68"/>
  <c r="N61" i="68"/>
  <c r="M61" i="68"/>
  <c r="L61" i="68"/>
  <c r="K61" i="68"/>
  <c r="J61" i="68"/>
  <c r="I61" i="68"/>
  <c r="H61" i="68"/>
  <c r="G61" i="68"/>
  <c r="F61" i="68"/>
  <c r="E61" i="68"/>
  <c r="D61" i="68"/>
  <c r="C61" i="68"/>
  <c r="B61" i="68"/>
  <c r="P60" i="68"/>
  <c r="O60" i="68"/>
  <c r="N60" i="68"/>
  <c r="M60" i="68"/>
  <c r="L60" i="68"/>
  <c r="K60" i="68"/>
  <c r="J60" i="68"/>
  <c r="I60" i="68"/>
  <c r="H60" i="68"/>
  <c r="G60" i="68"/>
  <c r="F60" i="68"/>
  <c r="E60" i="68"/>
  <c r="D60" i="68"/>
  <c r="C60" i="68"/>
  <c r="B60" i="68"/>
  <c r="P59" i="68"/>
  <c r="O59" i="68"/>
  <c r="N59" i="68"/>
  <c r="M59" i="68"/>
  <c r="L59" i="68"/>
  <c r="K59" i="68"/>
  <c r="J59" i="68"/>
  <c r="I59" i="68"/>
  <c r="H59" i="68"/>
  <c r="G59" i="68"/>
  <c r="F59" i="68"/>
  <c r="E59" i="68"/>
  <c r="D59" i="68"/>
  <c r="C59" i="68"/>
  <c r="B59" i="68"/>
  <c r="P58" i="68"/>
  <c r="O58" i="68"/>
  <c r="N58" i="68"/>
  <c r="M58" i="68"/>
  <c r="L58" i="68"/>
  <c r="K58" i="68"/>
  <c r="J58" i="68"/>
  <c r="I58" i="68"/>
  <c r="H58" i="68"/>
  <c r="G58" i="68"/>
  <c r="F58" i="68"/>
  <c r="E58" i="68"/>
  <c r="D58" i="68"/>
  <c r="C58" i="68"/>
  <c r="B58" i="68"/>
  <c r="P57" i="68"/>
  <c r="O57" i="68"/>
  <c r="N57" i="68"/>
  <c r="M57" i="68"/>
  <c r="L57" i="68"/>
  <c r="K57" i="68"/>
  <c r="J57" i="68"/>
  <c r="I57" i="68"/>
  <c r="H57" i="68"/>
  <c r="G57" i="68"/>
  <c r="F57" i="68"/>
  <c r="E57" i="68"/>
  <c r="D57" i="68"/>
  <c r="C57" i="68"/>
  <c r="B57" i="68"/>
  <c r="P56" i="68"/>
  <c r="O56" i="68"/>
  <c r="N56" i="68"/>
  <c r="M56" i="68"/>
  <c r="L56" i="68"/>
  <c r="K56" i="68"/>
  <c r="J56" i="68"/>
  <c r="I56" i="68"/>
  <c r="H56" i="68"/>
  <c r="G56" i="68"/>
  <c r="F56" i="68"/>
  <c r="E56" i="68"/>
  <c r="D56" i="68"/>
  <c r="C56" i="68"/>
  <c r="B56" i="68"/>
  <c r="P55" i="68"/>
  <c r="O55" i="68"/>
  <c r="N55" i="68"/>
  <c r="M55" i="68"/>
  <c r="L55" i="68"/>
  <c r="K55" i="68"/>
  <c r="J55" i="68"/>
  <c r="I55" i="68"/>
  <c r="H55" i="68"/>
  <c r="G55" i="68"/>
  <c r="F55" i="68"/>
  <c r="E55" i="68"/>
  <c r="D55" i="68"/>
  <c r="C55" i="68"/>
  <c r="B55" i="68"/>
  <c r="P54" i="68"/>
  <c r="O54" i="68"/>
  <c r="N54" i="68"/>
  <c r="M54" i="68"/>
  <c r="L54" i="68"/>
  <c r="K54" i="68"/>
  <c r="J54" i="68"/>
  <c r="I54" i="68"/>
  <c r="H54" i="68"/>
  <c r="G54" i="68"/>
  <c r="F54" i="68"/>
  <c r="E54" i="68"/>
  <c r="D54" i="68"/>
  <c r="C54" i="68"/>
  <c r="B54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P52" i="68"/>
  <c r="O52" i="68"/>
  <c r="N52" i="68"/>
  <c r="M52" i="68"/>
  <c r="L52" i="68"/>
  <c r="K52" i="68"/>
  <c r="J52" i="68"/>
  <c r="I52" i="68"/>
  <c r="H52" i="68"/>
  <c r="G52" i="68"/>
  <c r="F52" i="68"/>
  <c r="E52" i="68"/>
  <c r="D52" i="68"/>
  <c r="C52" i="68"/>
  <c r="B52" i="68"/>
  <c r="P51" i="68"/>
  <c r="O51" i="68"/>
  <c r="N51" i="68"/>
  <c r="M51" i="68"/>
  <c r="L51" i="68"/>
  <c r="K51" i="68"/>
  <c r="J51" i="68"/>
  <c r="I51" i="68"/>
  <c r="H51" i="68"/>
  <c r="G51" i="68"/>
  <c r="F51" i="68"/>
  <c r="E51" i="68"/>
  <c r="D51" i="68"/>
  <c r="C51" i="68"/>
  <c r="B51" i="68"/>
  <c r="P50" i="68"/>
  <c r="O50" i="68"/>
  <c r="N50" i="68"/>
  <c r="M50" i="68"/>
  <c r="L50" i="68"/>
  <c r="K50" i="68"/>
  <c r="J50" i="68"/>
  <c r="I50" i="68"/>
  <c r="H50" i="68"/>
  <c r="G50" i="68"/>
  <c r="F50" i="68"/>
  <c r="E50" i="68"/>
  <c r="D50" i="68"/>
  <c r="C50" i="68"/>
  <c r="B50" i="68"/>
  <c r="P49" i="68"/>
  <c r="O49" i="68"/>
  <c r="N49" i="68"/>
  <c r="M49" i="68"/>
  <c r="L49" i="68"/>
  <c r="K49" i="68"/>
  <c r="J49" i="68"/>
  <c r="I49" i="68"/>
  <c r="H49" i="68"/>
  <c r="G49" i="68"/>
  <c r="F49" i="68"/>
  <c r="E49" i="68"/>
  <c r="D49" i="68"/>
  <c r="C49" i="68"/>
  <c r="B49" i="68"/>
  <c r="P48" i="68"/>
  <c r="O48" i="68"/>
  <c r="N48" i="68"/>
  <c r="M48" i="68"/>
  <c r="L48" i="68"/>
  <c r="K48" i="68"/>
  <c r="J48" i="68"/>
  <c r="I48" i="68"/>
  <c r="H48" i="68"/>
  <c r="G48" i="68"/>
  <c r="F48" i="68"/>
  <c r="E48" i="68"/>
  <c r="D48" i="68"/>
  <c r="C48" i="68"/>
  <c r="B48" i="68"/>
  <c r="P47" i="68"/>
  <c r="O47" i="68"/>
  <c r="N47" i="68"/>
  <c r="M47" i="68"/>
  <c r="L47" i="68"/>
  <c r="K47" i="68"/>
  <c r="J47" i="68"/>
  <c r="I47" i="68"/>
  <c r="H47" i="68"/>
  <c r="G47" i="68"/>
  <c r="F47" i="68"/>
  <c r="E47" i="68"/>
  <c r="D47" i="68"/>
  <c r="C47" i="68"/>
  <c r="B47" i="68"/>
  <c r="P46" i="68"/>
  <c r="O46" i="68"/>
  <c r="N46" i="68"/>
  <c r="M46" i="68"/>
  <c r="L46" i="68"/>
  <c r="K46" i="68"/>
  <c r="J46" i="68"/>
  <c r="I46" i="68"/>
  <c r="H46" i="68"/>
  <c r="G46" i="68"/>
  <c r="F46" i="68"/>
  <c r="E46" i="68"/>
  <c r="D46" i="68"/>
  <c r="C46" i="68"/>
  <c r="B46" i="68"/>
  <c r="P45" i="68"/>
  <c r="O45" i="68"/>
  <c r="N45" i="68"/>
  <c r="M45" i="68"/>
  <c r="L45" i="68"/>
  <c r="K45" i="68"/>
  <c r="J45" i="68"/>
  <c r="I45" i="68"/>
  <c r="H45" i="68"/>
  <c r="G45" i="68"/>
  <c r="F45" i="68"/>
  <c r="E45" i="68"/>
  <c r="D45" i="68"/>
  <c r="C45" i="68"/>
  <c r="B45" i="68"/>
  <c r="P44" i="68"/>
  <c r="O44" i="68"/>
  <c r="N44" i="68"/>
  <c r="M44" i="68"/>
  <c r="L44" i="68"/>
  <c r="K44" i="68"/>
  <c r="J44" i="68"/>
  <c r="I44" i="68"/>
  <c r="H44" i="68"/>
  <c r="G44" i="68"/>
  <c r="F44" i="68"/>
  <c r="E44" i="68"/>
  <c r="D44" i="68"/>
  <c r="C44" i="68"/>
  <c r="B44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P42" i="68"/>
  <c r="O42" i="68"/>
  <c r="N42" i="68"/>
  <c r="M42" i="68"/>
  <c r="L42" i="68"/>
  <c r="K42" i="68"/>
  <c r="J42" i="68"/>
  <c r="I42" i="68"/>
  <c r="H42" i="68"/>
  <c r="G42" i="68"/>
  <c r="F42" i="68"/>
  <c r="E42" i="68"/>
  <c r="D42" i="68"/>
  <c r="C42" i="68"/>
  <c r="B42" i="68"/>
  <c r="P41" i="68"/>
  <c r="O41" i="68"/>
  <c r="N41" i="68"/>
  <c r="M41" i="68"/>
  <c r="L41" i="68"/>
  <c r="K41" i="68"/>
  <c r="J41" i="68"/>
  <c r="I41" i="68"/>
  <c r="H41" i="68"/>
  <c r="G41" i="68"/>
  <c r="F41" i="68"/>
  <c r="E41" i="68"/>
  <c r="D41" i="68"/>
  <c r="C41" i="68"/>
  <c r="B41" i="68"/>
  <c r="P40" i="68"/>
  <c r="O40" i="68"/>
  <c r="N40" i="68"/>
  <c r="M40" i="68"/>
  <c r="L40" i="68"/>
  <c r="K40" i="68"/>
  <c r="J40" i="68"/>
  <c r="I40" i="68"/>
  <c r="H40" i="68"/>
  <c r="G40" i="68"/>
  <c r="F40" i="68"/>
  <c r="E40" i="68"/>
  <c r="D40" i="68"/>
  <c r="C40" i="68"/>
  <c r="B40" i="68"/>
  <c r="P39" i="68"/>
  <c r="O39" i="68"/>
  <c r="N39" i="68"/>
  <c r="M39" i="68"/>
  <c r="L39" i="68"/>
  <c r="K39" i="68"/>
  <c r="J39" i="68"/>
  <c r="I39" i="68"/>
  <c r="H39" i="68"/>
  <c r="G39" i="68"/>
  <c r="F39" i="68"/>
  <c r="E39" i="68"/>
  <c r="D39" i="68"/>
  <c r="C39" i="68"/>
  <c r="B39" i="68"/>
  <c r="P38" i="68"/>
  <c r="O38" i="68"/>
  <c r="N38" i="68"/>
  <c r="M38" i="68"/>
  <c r="L38" i="68"/>
  <c r="K38" i="68"/>
  <c r="J38" i="68"/>
  <c r="I38" i="68"/>
  <c r="H38" i="68"/>
  <c r="G38" i="68"/>
  <c r="F38" i="68"/>
  <c r="E38" i="68"/>
  <c r="D38" i="68"/>
  <c r="C38" i="68"/>
  <c r="B38" i="68"/>
  <c r="P37" i="68"/>
  <c r="O37" i="68"/>
  <c r="N37" i="68"/>
  <c r="M37" i="68"/>
  <c r="L37" i="68"/>
  <c r="K37" i="68"/>
  <c r="J37" i="68"/>
  <c r="I37" i="68"/>
  <c r="H37" i="68"/>
  <c r="G37" i="68"/>
  <c r="F37" i="68"/>
  <c r="E37" i="68"/>
  <c r="D37" i="68"/>
  <c r="C37" i="68"/>
  <c r="B37" i="68"/>
  <c r="P36" i="68"/>
  <c r="O36" i="68"/>
  <c r="N36" i="68"/>
  <c r="M36" i="68"/>
  <c r="L36" i="68"/>
  <c r="K36" i="68"/>
  <c r="J36" i="68"/>
  <c r="I36" i="68"/>
  <c r="H36" i="68"/>
  <c r="G36" i="68"/>
  <c r="F36" i="68"/>
  <c r="E36" i="68"/>
  <c r="D36" i="68"/>
  <c r="C36" i="68"/>
  <c r="B36" i="68"/>
  <c r="P35" i="68"/>
  <c r="O35" i="68"/>
  <c r="N35" i="68"/>
  <c r="M35" i="68"/>
  <c r="L35" i="68"/>
  <c r="K35" i="68"/>
  <c r="J35" i="68"/>
  <c r="I35" i="68"/>
  <c r="H35" i="68"/>
  <c r="G35" i="68"/>
  <c r="F35" i="68"/>
  <c r="E35" i="68"/>
  <c r="D35" i="68"/>
  <c r="C35" i="68"/>
  <c r="B35" i="68"/>
  <c r="P34" i="68"/>
  <c r="O34" i="68"/>
  <c r="N34" i="68"/>
  <c r="M34" i="68"/>
  <c r="L34" i="68"/>
  <c r="K34" i="68"/>
  <c r="J34" i="68"/>
  <c r="I34" i="68"/>
  <c r="H34" i="68"/>
  <c r="G34" i="68"/>
  <c r="F34" i="68"/>
  <c r="E34" i="68"/>
  <c r="D34" i="68"/>
  <c r="C34" i="68"/>
  <c r="B34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P32" i="68"/>
  <c r="O32" i="68"/>
  <c r="N32" i="68"/>
  <c r="M32" i="68"/>
  <c r="L32" i="68"/>
  <c r="K32" i="68"/>
  <c r="J32" i="68"/>
  <c r="I32" i="68"/>
  <c r="H32" i="68"/>
  <c r="G32" i="68"/>
  <c r="F32" i="68"/>
  <c r="E32" i="68"/>
  <c r="D32" i="68"/>
  <c r="C32" i="68"/>
  <c r="B32" i="68"/>
  <c r="P31" i="68"/>
  <c r="O31" i="68"/>
  <c r="N31" i="68"/>
  <c r="M31" i="68"/>
  <c r="L31" i="68"/>
  <c r="K31" i="68"/>
  <c r="J31" i="68"/>
  <c r="I31" i="68"/>
  <c r="H31" i="68"/>
  <c r="G31" i="68"/>
  <c r="F31" i="68"/>
  <c r="E31" i="68"/>
  <c r="D31" i="68"/>
  <c r="C31" i="68"/>
  <c r="B31" i="68"/>
  <c r="P30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C30" i="68"/>
  <c r="B30" i="68"/>
  <c r="P29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C29" i="68"/>
  <c r="B29" i="68"/>
  <c r="P28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C28" i="68"/>
  <c r="B28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C27" i="68"/>
  <c r="B27" i="68"/>
  <c r="P26" i="68"/>
  <c r="O26" i="68"/>
  <c r="N26" i="68"/>
  <c r="M26" i="68"/>
  <c r="L26" i="68"/>
  <c r="K26" i="68"/>
  <c r="J26" i="68"/>
  <c r="I26" i="68"/>
  <c r="H26" i="68"/>
  <c r="G26" i="68"/>
  <c r="F26" i="68"/>
  <c r="E26" i="68"/>
  <c r="D26" i="68"/>
  <c r="C26" i="68"/>
  <c r="B26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C25" i="68"/>
  <c r="B25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D24" i="68"/>
  <c r="C24" i="68"/>
  <c r="B24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P22" i="68"/>
  <c r="O22" i="68"/>
  <c r="N22" i="68"/>
  <c r="M22" i="68"/>
  <c r="L22" i="68"/>
  <c r="K22" i="68"/>
  <c r="J22" i="68"/>
  <c r="I22" i="68"/>
  <c r="H22" i="68"/>
  <c r="G22" i="68"/>
  <c r="F22" i="68"/>
  <c r="E22" i="68"/>
  <c r="D22" i="68"/>
  <c r="C22" i="68"/>
  <c r="B22" i="68"/>
  <c r="P21" i="68"/>
  <c r="O21" i="68"/>
  <c r="N21" i="68"/>
  <c r="M21" i="68"/>
  <c r="L21" i="68"/>
  <c r="K21" i="68"/>
  <c r="J21" i="68"/>
  <c r="I21" i="68"/>
  <c r="H21" i="68"/>
  <c r="G21" i="68"/>
  <c r="F21" i="68"/>
  <c r="E21" i="68"/>
  <c r="D21" i="68"/>
  <c r="C21" i="68"/>
  <c r="B21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C20" i="68"/>
  <c r="B20" i="68"/>
  <c r="P19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C19" i="68"/>
  <c r="B19" i="68"/>
  <c r="P18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C18" i="68"/>
  <c r="B18" i="68"/>
  <c r="P17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C17" i="68"/>
  <c r="B17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B16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C15" i="68"/>
  <c r="B15" i="68"/>
  <c r="P14" i="68"/>
  <c r="O14" i="68"/>
  <c r="N14" i="68"/>
  <c r="M14" i="68"/>
  <c r="L14" i="68"/>
  <c r="K14" i="68"/>
  <c r="J14" i="68"/>
  <c r="I14" i="68"/>
  <c r="H14" i="68"/>
  <c r="G14" i="68"/>
  <c r="F14" i="68"/>
  <c r="E14" i="68"/>
  <c r="D14" i="68"/>
  <c r="C14" i="68"/>
  <c r="B14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B12" i="68"/>
  <c r="P11" i="68"/>
  <c r="O11" i="68"/>
  <c r="N11" i="68"/>
  <c r="M11" i="68"/>
  <c r="L11" i="68"/>
  <c r="K11" i="68"/>
  <c r="J11" i="68"/>
  <c r="I11" i="68"/>
  <c r="H11" i="68"/>
  <c r="G11" i="68"/>
  <c r="F11" i="68"/>
  <c r="E11" i="68"/>
  <c r="D11" i="68"/>
  <c r="C11" i="68"/>
  <c r="B11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B10" i="68"/>
  <c r="P9" i="68"/>
  <c r="O9" i="68"/>
  <c r="N9" i="68"/>
  <c r="M9" i="68"/>
  <c r="L9" i="68"/>
  <c r="K9" i="68"/>
  <c r="J9" i="68"/>
  <c r="I9" i="68"/>
  <c r="H9" i="68"/>
  <c r="G9" i="68"/>
  <c r="F9" i="68"/>
  <c r="E9" i="68"/>
  <c r="D9" i="68"/>
  <c r="C9" i="68"/>
  <c r="B9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C8" i="68"/>
  <c r="B8" i="68"/>
  <c r="P7" i="68"/>
  <c r="O7" i="68"/>
  <c r="N7" i="68"/>
  <c r="M7" i="68"/>
  <c r="L7" i="68"/>
  <c r="K7" i="68"/>
  <c r="J7" i="68"/>
  <c r="I7" i="68"/>
  <c r="H7" i="68"/>
  <c r="G7" i="68"/>
  <c r="F7" i="68"/>
  <c r="E7" i="68"/>
  <c r="D7" i="68"/>
  <c r="C7" i="68"/>
  <c r="B7" i="68"/>
  <c r="P6" i="68"/>
  <c r="O6" i="68"/>
  <c r="N6" i="68"/>
  <c r="M6" i="68"/>
  <c r="L6" i="68"/>
  <c r="K6" i="68"/>
  <c r="J6" i="68"/>
  <c r="I6" i="68"/>
  <c r="H6" i="68"/>
  <c r="G6" i="68"/>
  <c r="F6" i="68"/>
  <c r="E6" i="68"/>
  <c r="D6" i="68"/>
  <c r="C6" i="68"/>
  <c r="B6" i="68"/>
  <c r="A5" i="68"/>
  <c r="G21" i="66"/>
  <c r="H21" i="66" s="1"/>
  <c r="G20" i="66"/>
  <c r="H20" i="66" s="1"/>
  <c r="G19" i="66"/>
  <c r="H19" i="66" s="1"/>
  <c r="E18" i="121" s="1"/>
  <c r="G18" i="66"/>
  <c r="H18" i="66" s="1"/>
  <c r="G17" i="66"/>
  <c r="H17" i="66" s="1"/>
  <c r="G16" i="66"/>
  <c r="H16" i="66" s="1"/>
  <c r="G15" i="66"/>
  <c r="H15" i="66" s="1"/>
  <c r="E17" i="121" s="1"/>
  <c r="G14" i="66"/>
  <c r="H14" i="66" s="1"/>
  <c r="G13" i="66"/>
  <c r="H13" i="66" s="1"/>
  <c r="G12" i="66"/>
  <c r="H12" i="66" s="1"/>
  <c r="G11" i="66"/>
  <c r="H11" i="66" s="1"/>
  <c r="G10" i="66"/>
  <c r="H10" i="66" s="1"/>
  <c r="E16" i="121" s="1"/>
  <c r="G9" i="66"/>
  <c r="H9" i="66" s="1"/>
  <c r="G8" i="66"/>
  <c r="H8" i="66" s="1"/>
  <c r="G7" i="66"/>
  <c r="H7" i="66" s="1"/>
  <c r="G6" i="66"/>
  <c r="H6" i="66" s="1"/>
  <c r="G5" i="66"/>
  <c r="H5" i="66" s="1"/>
  <c r="B7" i="65"/>
  <c r="F7" i="65" s="1"/>
  <c r="B6" i="65"/>
  <c r="F6" i="65" s="1"/>
  <c r="B5" i="65"/>
  <c r="F5" i="65" s="1"/>
  <c r="B4" i="65"/>
  <c r="F4" i="65" s="1"/>
  <c r="I28" i="64"/>
  <c r="I27" i="64"/>
  <c r="I26" i="64"/>
  <c r="I25" i="64"/>
  <c r="I24" i="64"/>
  <c r="I23" i="64"/>
  <c r="I22" i="64"/>
  <c r="I21" i="64"/>
  <c r="I20" i="64"/>
  <c r="I19" i="64"/>
  <c r="I18" i="64"/>
  <c r="I17" i="64"/>
  <c r="I16" i="64"/>
  <c r="I38" i="120" s="1"/>
  <c r="I15" i="64"/>
  <c r="I37" i="120" s="1"/>
  <c r="I14" i="64"/>
  <c r="I36" i="120" s="1"/>
  <c r="I13" i="64"/>
  <c r="I35" i="120" s="1"/>
  <c r="I12" i="64"/>
  <c r="I34" i="120" s="1"/>
  <c r="I11" i="64"/>
  <c r="I33" i="120" s="1"/>
  <c r="I10" i="64"/>
  <c r="I32" i="120" s="1"/>
  <c r="I9" i="64"/>
  <c r="I31" i="120" s="1"/>
  <c r="I8" i="64"/>
  <c r="I30" i="120" s="1"/>
  <c r="I7" i="64"/>
  <c r="I29" i="120" s="1"/>
  <c r="I6" i="64"/>
  <c r="I28" i="120" s="1"/>
  <c r="I5" i="64"/>
  <c r="I27" i="120" s="1"/>
  <c r="I4" i="64"/>
  <c r="I99" i="61"/>
  <c r="I98" i="61"/>
  <c r="I97" i="61"/>
  <c r="I96" i="61"/>
  <c r="I95" i="61"/>
  <c r="I94" i="61"/>
  <c r="I93" i="61"/>
  <c r="I92" i="61"/>
  <c r="I91" i="61"/>
  <c r="I90" i="61"/>
  <c r="I89" i="61"/>
  <c r="I88" i="61"/>
  <c r="I87" i="61"/>
  <c r="I86" i="61"/>
  <c r="I85" i="61"/>
  <c r="I84" i="61"/>
  <c r="I83" i="61"/>
  <c r="I82" i="61"/>
  <c r="I81" i="61"/>
  <c r="I80" i="61"/>
  <c r="I79" i="61"/>
  <c r="I78" i="61"/>
  <c r="I77" i="61"/>
  <c r="I76" i="61"/>
  <c r="I75" i="61"/>
  <c r="I74" i="61"/>
  <c r="I73" i="61"/>
  <c r="I72" i="61"/>
  <c r="I71" i="61"/>
  <c r="I70" i="61"/>
  <c r="I69" i="61"/>
  <c r="I68" i="61"/>
  <c r="I67" i="61"/>
  <c r="I66" i="61"/>
  <c r="I65" i="61"/>
  <c r="I64" i="61"/>
  <c r="I63" i="61"/>
  <c r="I62" i="61"/>
  <c r="I61" i="61"/>
  <c r="I60" i="61"/>
  <c r="I59" i="61"/>
  <c r="I58" i="61"/>
  <c r="I57" i="61"/>
  <c r="I56" i="61"/>
  <c r="I55" i="61"/>
  <c r="I54" i="61"/>
  <c r="I53" i="61"/>
  <c r="I52" i="61"/>
  <c r="I51" i="61"/>
  <c r="I50" i="61"/>
  <c r="I49" i="61"/>
  <c r="I48" i="61"/>
  <c r="I47" i="61"/>
  <c r="I46" i="61"/>
  <c r="I45" i="61"/>
  <c r="I44" i="61"/>
  <c r="I43" i="61"/>
  <c r="I42" i="61"/>
  <c r="I41" i="61"/>
  <c r="I40" i="61"/>
  <c r="I39" i="61"/>
  <c r="I38" i="61"/>
  <c r="I37" i="61"/>
  <c r="I36" i="61"/>
  <c r="I35" i="61"/>
  <c r="I34" i="61"/>
  <c r="I33" i="61"/>
  <c r="I32" i="61"/>
  <c r="I31" i="61"/>
  <c r="I30" i="61"/>
  <c r="I29" i="61"/>
  <c r="I28" i="61"/>
  <c r="I27" i="61"/>
  <c r="I26" i="61"/>
  <c r="I25" i="61"/>
  <c r="I24" i="61"/>
  <c r="I23" i="61"/>
  <c r="I22" i="61"/>
  <c r="I21" i="61"/>
  <c r="I20" i="61"/>
  <c r="I19" i="61"/>
  <c r="I18" i="61"/>
  <c r="I17" i="61"/>
  <c r="I16" i="61"/>
  <c r="I15" i="61"/>
  <c r="I14" i="61"/>
  <c r="I13" i="61"/>
  <c r="I12" i="61"/>
  <c r="I11" i="61"/>
  <c r="I10" i="61"/>
  <c r="I9" i="61"/>
  <c r="I8" i="61"/>
  <c r="I7" i="61"/>
  <c r="I6" i="61"/>
  <c r="I5" i="61"/>
  <c r="I4" i="61"/>
  <c r="C20" i="57"/>
  <c r="B20" i="57"/>
  <c r="C19" i="57"/>
  <c r="B19" i="57"/>
  <c r="C18" i="57"/>
  <c r="B18" i="57"/>
  <c r="C17" i="57"/>
  <c r="B17" i="57"/>
  <c r="B12" i="57"/>
  <c r="C11" i="57" s="1"/>
  <c r="B10" i="57"/>
  <c r="B9" i="57"/>
  <c r="B7" i="57"/>
  <c r="C7" i="57" s="1"/>
  <c r="B6" i="57"/>
  <c r="B5" i="57"/>
  <c r="K100" i="55"/>
  <c r="K99" i="55"/>
  <c r="K98" i="55"/>
  <c r="K97" i="55"/>
  <c r="K96" i="55"/>
  <c r="K95" i="55"/>
  <c r="K94" i="55"/>
  <c r="K93" i="55"/>
  <c r="K92" i="55"/>
  <c r="K91" i="55"/>
  <c r="K90" i="55"/>
  <c r="K89" i="55"/>
  <c r="K88" i="55"/>
  <c r="K87" i="55"/>
  <c r="K86" i="55"/>
  <c r="K85" i="55"/>
  <c r="K84" i="55"/>
  <c r="K83" i="55"/>
  <c r="K82" i="55"/>
  <c r="K81" i="55"/>
  <c r="K80" i="55"/>
  <c r="K79" i="55"/>
  <c r="K78" i="55"/>
  <c r="K77" i="55"/>
  <c r="K76" i="55"/>
  <c r="K75" i="55"/>
  <c r="K74" i="55"/>
  <c r="K73" i="55"/>
  <c r="K72" i="55"/>
  <c r="K71" i="55"/>
  <c r="K70" i="55"/>
  <c r="K69" i="55"/>
  <c r="K68" i="55"/>
  <c r="K67" i="55"/>
  <c r="K66" i="55"/>
  <c r="K65" i="55"/>
  <c r="K64" i="55"/>
  <c r="K63" i="55"/>
  <c r="K62" i="55"/>
  <c r="K61" i="55"/>
  <c r="K60" i="55"/>
  <c r="K59" i="55"/>
  <c r="K58" i="55"/>
  <c r="K57" i="55"/>
  <c r="K56" i="55"/>
  <c r="K55" i="55"/>
  <c r="K54" i="55"/>
  <c r="K53" i="55"/>
  <c r="K52" i="55"/>
  <c r="K51" i="55"/>
  <c r="K50" i="55"/>
  <c r="K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K18" i="55"/>
  <c r="K17" i="55"/>
  <c r="K16" i="55"/>
  <c r="K15" i="55"/>
  <c r="K14" i="55"/>
  <c r="K13" i="55"/>
  <c r="K12" i="55"/>
  <c r="K11" i="55"/>
  <c r="K10" i="55"/>
  <c r="K9" i="55"/>
  <c r="K8" i="55"/>
  <c r="K7" i="55"/>
  <c r="K6" i="55"/>
  <c r="K5" i="55"/>
  <c r="L24" i="54"/>
  <c r="M24" i="54" s="1"/>
  <c r="K24" i="54"/>
  <c r="L23" i="54"/>
  <c r="M23" i="54" s="1"/>
  <c r="K23" i="54"/>
  <c r="L22" i="54"/>
  <c r="M22" i="54" s="1"/>
  <c r="K22" i="54"/>
  <c r="L21" i="54"/>
  <c r="M21" i="54" s="1"/>
  <c r="K21" i="54"/>
  <c r="L20" i="54"/>
  <c r="M20" i="54" s="1"/>
  <c r="K20" i="54"/>
  <c r="L19" i="54"/>
  <c r="M19" i="54" s="1"/>
  <c r="K19" i="54"/>
  <c r="L18" i="54"/>
  <c r="M18" i="54" s="1"/>
  <c r="K18" i="54"/>
  <c r="C7" i="65" s="1"/>
  <c r="L17" i="54"/>
  <c r="M17" i="54" s="1"/>
  <c r="K17" i="54"/>
  <c r="L16" i="54"/>
  <c r="M16" i="54" s="1"/>
  <c r="K16" i="54"/>
  <c r="L15" i="54"/>
  <c r="M15" i="54" s="1"/>
  <c r="K15" i="54"/>
  <c r="L14" i="54"/>
  <c r="M14" i="54" s="1"/>
  <c r="K14" i="54"/>
  <c r="C6" i="65" s="1"/>
  <c r="L13" i="54"/>
  <c r="M13" i="54" s="1"/>
  <c r="K13" i="54"/>
  <c r="L12" i="54"/>
  <c r="M12" i="54" s="1"/>
  <c r="K12" i="54"/>
  <c r="L11" i="54"/>
  <c r="M11" i="54" s="1"/>
  <c r="K11" i="54"/>
  <c r="L10" i="54"/>
  <c r="M10" i="54" s="1"/>
  <c r="K10" i="54"/>
  <c r="L9" i="54"/>
  <c r="M9" i="54" s="1"/>
  <c r="K9" i="54"/>
  <c r="C5" i="65" s="1"/>
  <c r="L8" i="54"/>
  <c r="M8" i="54" s="1"/>
  <c r="K8" i="54"/>
  <c r="L7" i="54"/>
  <c r="M7" i="54" s="1"/>
  <c r="K7" i="54"/>
  <c r="L6" i="54"/>
  <c r="M6" i="54" s="1"/>
  <c r="K6" i="54"/>
  <c r="L5" i="54"/>
  <c r="M5" i="54" s="1"/>
  <c r="K5" i="54"/>
  <c r="C4" i="65" s="1"/>
  <c r="J8" i="53"/>
  <c r="K8" i="53" s="1"/>
  <c r="I8" i="53"/>
  <c r="H8" i="53"/>
  <c r="J7" i="53"/>
  <c r="K7" i="53" s="1"/>
  <c r="I7" i="53"/>
  <c r="H7" i="53"/>
  <c r="J6" i="53"/>
  <c r="K6" i="53" s="1"/>
  <c r="I6" i="53"/>
  <c r="H6" i="53"/>
  <c r="J5" i="53"/>
  <c r="K5" i="53" s="1"/>
  <c r="I5" i="53"/>
  <c r="H5" i="53"/>
  <c r="G15" i="52"/>
  <c r="F15" i="52"/>
  <c r="H15" i="52" s="1"/>
  <c r="I15" i="52" s="1"/>
  <c r="G14" i="52"/>
  <c r="F14" i="52"/>
  <c r="H14" i="52" s="1"/>
  <c r="I14" i="52" s="1"/>
  <c r="G13" i="52"/>
  <c r="F13" i="52"/>
  <c r="H13" i="52" s="1"/>
  <c r="I13" i="52" s="1"/>
  <c r="G12" i="52"/>
  <c r="F12" i="52"/>
  <c r="H12" i="52" s="1"/>
  <c r="I12" i="52" s="1"/>
  <c r="G11" i="52"/>
  <c r="F11" i="52"/>
  <c r="H11" i="52" s="1"/>
  <c r="I11" i="52" s="1"/>
  <c r="G10" i="52"/>
  <c r="F10" i="52"/>
  <c r="H10" i="52" s="1"/>
  <c r="I10" i="52" s="1"/>
  <c r="G9" i="52"/>
  <c r="F9" i="52"/>
  <c r="H9" i="52" s="1"/>
  <c r="I9" i="52" s="1"/>
  <c r="G8" i="52"/>
  <c r="F8" i="52"/>
  <c r="H8" i="52" s="1"/>
  <c r="I8" i="52" s="1"/>
  <c r="G7" i="52"/>
  <c r="F7" i="52"/>
  <c r="H7" i="52" s="1"/>
  <c r="I7" i="52" s="1"/>
  <c r="G6" i="52"/>
  <c r="F6" i="52"/>
  <c r="H6" i="52" s="1"/>
  <c r="I6" i="52" s="1"/>
  <c r="G5" i="52"/>
  <c r="F5" i="52"/>
  <c r="H5" i="52" s="1"/>
  <c r="I5" i="52" s="1"/>
  <c r="G4" i="52"/>
  <c r="F4" i="52"/>
  <c r="H4" i="52" s="1"/>
  <c r="I4" i="52" s="1"/>
  <c r="D20" i="51"/>
  <c r="E20" i="51" s="1"/>
  <c r="C20" i="51"/>
  <c r="B20" i="51"/>
  <c r="D19" i="51"/>
  <c r="E19" i="51" s="1"/>
  <c r="C19" i="51"/>
  <c r="B19" i="51"/>
  <c r="D17" i="51"/>
  <c r="E17" i="51" s="1"/>
  <c r="C17" i="51"/>
  <c r="B17" i="51"/>
  <c r="B8" i="51"/>
  <c r="B7" i="51"/>
  <c r="B9" i="51" s="1"/>
  <c r="B6" i="51"/>
  <c r="B5" i="51"/>
  <c r="H51" i="50"/>
  <c r="H50" i="50"/>
  <c r="H49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H5" i="50"/>
  <c r="H4" i="50"/>
  <c r="H7" i="49"/>
  <c r="G7" i="49"/>
  <c r="I7" i="49" s="1"/>
  <c r="J7" i="49" s="1"/>
  <c r="F7" i="49"/>
  <c r="H6" i="49"/>
  <c r="G6" i="49"/>
  <c r="I6" i="49" s="1"/>
  <c r="J6" i="49" s="1"/>
  <c r="F6" i="49"/>
  <c r="H5" i="49"/>
  <c r="G5" i="49"/>
  <c r="I5" i="49" s="1"/>
  <c r="J5" i="49" s="1"/>
  <c r="F5" i="49"/>
  <c r="H4" i="49"/>
  <c r="G4" i="49"/>
  <c r="I4" i="49" s="1"/>
  <c r="J4" i="49" s="1"/>
  <c r="F4" i="49"/>
  <c r="A27" i="48"/>
  <c r="A26" i="48"/>
  <c r="B25" i="48"/>
  <c r="A25" i="48"/>
  <c r="A24" i="48"/>
  <c r="A23" i="48"/>
  <c r="A22" i="48"/>
  <c r="A21" i="48"/>
  <c r="A20" i="48"/>
  <c r="B19" i="48"/>
  <c r="A19" i="48"/>
  <c r="A18" i="48"/>
  <c r="A17" i="48"/>
  <c r="A16" i="48"/>
  <c r="H8" i="48"/>
  <c r="G8" i="48"/>
  <c r="B8" i="48"/>
  <c r="H7" i="48"/>
  <c r="G7" i="48"/>
  <c r="B7" i="48"/>
  <c r="H6" i="48"/>
  <c r="G6" i="48"/>
  <c r="H5" i="48"/>
  <c r="G5" i="48"/>
  <c r="K24" i="47"/>
  <c r="K23" i="47"/>
  <c r="K22" i="47"/>
  <c r="K21" i="47"/>
  <c r="K20" i="47"/>
  <c r="I20" i="47"/>
  <c r="K19" i="47"/>
  <c r="K18" i="47"/>
  <c r="J6" i="48" s="1"/>
  <c r="K17" i="47"/>
  <c r="K16" i="47"/>
  <c r="J5" i="48" s="1"/>
  <c r="K15" i="47"/>
  <c r="J7" i="48" s="1"/>
  <c r="K14" i="47"/>
  <c r="K13" i="47"/>
  <c r="K12" i="47"/>
  <c r="K11" i="47"/>
  <c r="K10" i="47"/>
  <c r="K9" i="47"/>
  <c r="K8" i="47"/>
  <c r="K7" i="47"/>
  <c r="K6" i="47"/>
  <c r="K5" i="47"/>
  <c r="Q304" i="46"/>
  <c r="Q303" i="46"/>
  <c r="Q302" i="46"/>
  <c r="Q301" i="46"/>
  <c r="Q300" i="46"/>
  <c r="Q299" i="46"/>
  <c r="Q298" i="46"/>
  <c r="Q297" i="46"/>
  <c r="Q296" i="46"/>
  <c r="Q295" i="46"/>
  <c r="Q294" i="46"/>
  <c r="Q293" i="46"/>
  <c r="Q292" i="46"/>
  <c r="Q291" i="46"/>
  <c r="Q290" i="46"/>
  <c r="Q289" i="46"/>
  <c r="Q288" i="46"/>
  <c r="Q287" i="46"/>
  <c r="Q286" i="46"/>
  <c r="Q285" i="46"/>
  <c r="Q284" i="46"/>
  <c r="Q283" i="46"/>
  <c r="Q282" i="46"/>
  <c r="Q281" i="46"/>
  <c r="Q280" i="46"/>
  <c r="Q279" i="46"/>
  <c r="Q278" i="46"/>
  <c r="Q277" i="46"/>
  <c r="Q276" i="46"/>
  <c r="Q275" i="46"/>
  <c r="Q274" i="46"/>
  <c r="Q273" i="46"/>
  <c r="Q272" i="46"/>
  <c r="Q271" i="46"/>
  <c r="Q270" i="46"/>
  <c r="Q269" i="46"/>
  <c r="Q268" i="46"/>
  <c r="Q267" i="46"/>
  <c r="Q266" i="46"/>
  <c r="Q265" i="46"/>
  <c r="Q264" i="46"/>
  <c r="Q263" i="46"/>
  <c r="Q262" i="46"/>
  <c r="Q261" i="46"/>
  <c r="Q260" i="46"/>
  <c r="Q259" i="46"/>
  <c r="Q258" i="46"/>
  <c r="Q257" i="46"/>
  <c r="Q256" i="46"/>
  <c r="Q255" i="46"/>
  <c r="Q254" i="46"/>
  <c r="Q253" i="46"/>
  <c r="Q252" i="46"/>
  <c r="Q251" i="46"/>
  <c r="Q250" i="46"/>
  <c r="Q249" i="46"/>
  <c r="Q248" i="46"/>
  <c r="Q247" i="46"/>
  <c r="Q246" i="46"/>
  <c r="Q245" i="46"/>
  <c r="Q244" i="46"/>
  <c r="Q243" i="46"/>
  <c r="Q242" i="46"/>
  <c r="Q241" i="46"/>
  <c r="Q240" i="46"/>
  <c r="Q239" i="46"/>
  <c r="Q238" i="46"/>
  <c r="Q237" i="46"/>
  <c r="Q236" i="46"/>
  <c r="Q235" i="46"/>
  <c r="Q234" i="46"/>
  <c r="Q233" i="46"/>
  <c r="Q232" i="46"/>
  <c r="Q231" i="46"/>
  <c r="Q230" i="46"/>
  <c r="Q229" i="46"/>
  <c r="Q228" i="46"/>
  <c r="Q227" i="46"/>
  <c r="Q226" i="46"/>
  <c r="Q225" i="46"/>
  <c r="Q224" i="46"/>
  <c r="Q223" i="46"/>
  <c r="Q222" i="46"/>
  <c r="Q221" i="46"/>
  <c r="Q220" i="46"/>
  <c r="Q219" i="46"/>
  <c r="Q218" i="46"/>
  <c r="Q217" i="46"/>
  <c r="Q216" i="46"/>
  <c r="Q215" i="46"/>
  <c r="Q214" i="46"/>
  <c r="Q213" i="46"/>
  <c r="Q212" i="46"/>
  <c r="Q211" i="46"/>
  <c r="Q210" i="46"/>
  <c r="Q209" i="46"/>
  <c r="Q208" i="46"/>
  <c r="Q207" i="46"/>
  <c r="Q206" i="46"/>
  <c r="Q205" i="46"/>
  <c r="Q204" i="46"/>
  <c r="Q203" i="46"/>
  <c r="Q202" i="46"/>
  <c r="Q201" i="46"/>
  <c r="Q200" i="46"/>
  <c r="Q199" i="46"/>
  <c r="Q198" i="46"/>
  <c r="Q197" i="46"/>
  <c r="Q196" i="46"/>
  <c r="Q195" i="46"/>
  <c r="Q194" i="46"/>
  <c r="Q193" i="46"/>
  <c r="Q192" i="46"/>
  <c r="Q191" i="46"/>
  <c r="Q190" i="46"/>
  <c r="Q189" i="46"/>
  <c r="Q188" i="46"/>
  <c r="Q187" i="46"/>
  <c r="Q186" i="46"/>
  <c r="Q185" i="46"/>
  <c r="Q184" i="46"/>
  <c r="Q183" i="46"/>
  <c r="Q182" i="46"/>
  <c r="Q181" i="46"/>
  <c r="Q180" i="46"/>
  <c r="Q179" i="46"/>
  <c r="Q178" i="46"/>
  <c r="Q177" i="46"/>
  <c r="Q176" i="46"/>
  <c r="Q175" i="46"/>
  <c r="Q174" i="46"/>
  <c r="Q173" i="46"/>
  <c r="Q172" i="46"/>
  <c r="Q171" i="46"/>
  <c r="Q170" i="46"/>
  <c r="Q169" i="46"/>
  <c r="Q168" i="46"/>
  <c r="Q167" i="46"/>
  <c r="Q166" i="46"/>
  <c r="Q165" i="46"/>
  <c r="Q164" i="46"/>
  <c r="Q163" i="46"/>
  <c r="Q162" i="46"/>
  <c r="Q161" i="46"/>
  <c r="Q160" i="46"/>
  <c r="Q159" i="46"/>
  <c r="Q158" i="46"/>
  <c r="Q157" i="46"/>
  <c r="Q156" i="46"/>
  <c r="Q155" i="46"/>
  <c r="Q154" i="46"/>
  <c r="Q153" i="46"/>
  <c r="Q152" i="46"/>
  <c r="Q151" i="46"/>
  <c r="Q150" i="46"/>
  <c r="Q149" i="46"/>
  <c r="Q148" i="46"/>
  <c r="Q147" i="46"/>
  <c r="Q146" i="46"/>
  <c r="Q145" i="46"/>
  <c r="Q144" i="46"/>
  <c r="Q143" i="46"/>
  <c r="Q142" i="46"/>
  <c r="Q141" i="46"/>
  <c r="Q140" i="46"/>
  <c r="Q139" i="46"/>
  <c r="Q138" i="46"/>
  <c r="Q137" i="46"/>
  <c r="Q136" i="46"/>
  <c r="Q135" i="46"/>
  <c r="Q134" i="46"/>
  <c r="Q133" i="46"/>
  <c r="Q132" i="46"/>
  <c r="Q131" i="46"/>
  <c r="Q130" i="46"/>
  <c r="Q129" i="46"/>
  <c r="Q128" i="46"/>
  <c r="Q127" i="46"/>
  <c r="Q126" i="46"/>
  <c r="Q125" i="46"/>
  <c r="Q124" i="46"/>
  <c r="Q123" i="46"/>
  <c r="Q122" i="46"/>
  <c r="Q121" i="46"/>
  <c r="Q120" i="46"/>
  <c r="Q119" i="46"/>
  <c r="Q118" i="46"/>
  <c r="Q117" i="46"/>
  <c r="Q116" i="46"/>
  <c r="Q115" i="46"/>
  <c r="Q114" i="46"/>
  <c r="Q113" i="46"/>
  <c r="Q112" i="46"/>
  <c r="Q111" i="46"/>
  <c r="Q110" i="46"/>
  <c r="Q109" i="46"/>
  <c r="Q108" i="46"/>
  <c r="Q107" i="46"/>
  <c r="Q106" i="46"/>
  <c r="Q105" i="46"/>
  <c r="Q104" i="46"/>
  <c r="Q103" i="46"/>
  <c r="Q102" i="46"/>
  <c r="Q101" i="46"/>
  <c r="Q100" i="46"/>
  <c r="Q99" i="46"/>
  <c r="Q98" i="46"/>
  <c r="Q97" i="46"/>
  <c r="Q96" i="46"/>
  <c r="Q95" i="46"/>
  <c r="Q94" i="46"/>
  <c r="Q93" i="46"/>
  <c r="Q92" i="46"/>
  <c r="Q91" i="46"/>
  <c r="Q90" i="46"/>
  <c r="Q89" i="46"/>
  <c r="Q88" i="46"/>
  <c r="Q87" i="46"/>
  <c r="Q86" i="46"/>
  <c r="Q85" i="46"/>
  <c r="Q84" i="46"/>
  <c r="Q83" i="46"/>
  <c r="Q82" i="46"/>
  <c r="Q81" i="46"/>
  <c r="Q80" i="46"/>
  <c r="Q79" i="46"/>
  <c r="Q78" i="46"/>
  <c r="Q77" i="46"/>
  <c r="Q76" i="46"/>
  <c r="Q75" i="46"/>
  <c r="Q74" i="46"/>
  <c r="Q73" i="46"/>
  <c r="Q72" i="46"/>
  <c r="Q71" i="46"/>
  <c r="Q70" i="46"/>
  <c r="Q69" i="46"/>
  <c r="Q68" i="46"/>
  <c r="Q67" i="46"/>
  <c r="Q66" i="46"/>
  <c r="Q65" i="46"/>
  <c r="Q64" i="46"/>
  <c r="Q63" i="46"/>
  <c r="Q62" i="46"/>
  <c r="Q61" i="46"/>
  <c r="Q60" i="46"/>
  <c r="Q59" i="46"/>
  <c r="Q58" i="46"/>
  <c r="Q57" i="46"/>
  <c r="Q56" i="46"/>
  <c r="Q55" i="46"/>
  <c r="Q54" i="46"/>
  <c r="Q53" i="46"/>
  <c r="Q52" i="46"/>
  <c r="Q51" i="46"/>
  <c r="Q50" i="46"/>
  <c r="Q49" i="46"/>
  <c r="Q48" i="46"/>
  <c r="Q47" i="46"/>
  <c r="Q46" i="46"/>
  <c r="Q45" i="46"/>
  <c r="Q44" i="46"/>
  <c r="Q43" i="46"/>
  <c r="Q42" i="46"/>
  <c r="Q41" i="46"/>
  <c r="Q40" i="46"/>
  <c r="Q39" i="46"/>
  <c r="Q38" i="46"/>
  <c r="Q37" i="46"/>
  <c r="Q36" i="46"/>
  <c r="Q35" i="46"/>
  <c r="Q34" i="46"/>
  <c r="Q33" i="46"/>
  <c r="Q32" i="46"/>
  <c r="Q31" i="46"/>
  <c r="Q30" i="46"/>
  <c r="Q29" i="46"/>
  <c r="Q28" i="46"/>
  <c r="Q27" i="46"/>
  <c r="Q26" i="46"/>
  <c r="Q25" i="46"/>
  <c r="Q24" i="46"/>
  <c r="Q23" i="46"/>
  <c r="Q22" i="46"/>
  <c r="Q21" i="46"/>
  <c r="Q20" i="46"/>
  <c r="Q19" i="46"/>
  <c r="Q18" i="46"/>
  <c r="Q17" i="46"/>
  <c r="Q16" i="46"/>
  <c r="Q15" i="46"/>
  <c r="Q14" i="46"/>
  <c r="Q13" i="46"/>
  <c r="Q12" i="46"/>
  <c r="Q11" i="46"/>
  <c r="Q10" i="46"/>
  <c r="Q9" i="46"/>
  <c r="Q8" i="46"/>
  <c r="Q7" i="46"/>
  <c r="Q6" i="46"/>
  <c r="Q5" i="46"/>
  <c r="N52" i="45"/>
  <c r="L52" i="45"/>
  <c r="P52" i="45" s="1"/>
  <c r="J52" i="45"/>
  <c r="I52" i="45"/>
  <c r="O52" i="45" s="1"/>
  <c r="H52" i="45"/>
  <c r="N51" i="45"/>
  <c r="L51" i="45"/>
  <c r="I51" i="45"/>
  <c r="N50" i="45"/>
  <c r="L50" i="45"/>
  <c r="I50" i="45"/>
  <c r="O50" i="45" s="1"/>
  <c r="N49" i="45"/>
  <c r="L49" i="45"/>
  <c r="I49" i="45"/>
  <c r="O49" i="45" s="1"/>
  <c r="N48" i="45"/>
  <c r="L48" i="45"/>
  <c r="I48" i="45"/>
  <c r="N47" i="45"/>
  <c r="L47" i="45"/>
  <c r="I47" i="45"/>
  <c r="O47" i="45" s="1"/>
  <c r="N46" i="45"/>
  <c r="L46" i="45"/>
  <c r="I46" i="45"/>
  <c r="O46" i="45" s="1"/>
  <c r="N45" i="45"/>
  <c r="L45" i="45"/>
  <c r="I45" i="45"/>
  <c r="O45" i="45" s="1"/>
  <c r="N44" i="45"/>
  <c r="L44" i="45"/>
  <c r="I44" i="45"/>
  <c r="N43" i="45"/>
  <c r="L43" i="45"/>
  <c r="I43" i="45"/>
  <c r="N42" i="45"/>
  <c r="L42" i="45"/>
  <c r="I42" i="45"/>
  <c r="O42" i="45" s="1"/>
  <c r="N41" i="45"/>
  <c r="L41" i="45"/>
  <c r="I41" i="45"/>
  <c r="N40" i="45"/>
  <c r="L40" i="45"/>
  <c r="I40" i="45"/>
  <c r="N39" i="45"/>
  <c r="L39" i="45"/>
  <c r="I39" i="45"/>
  <c r="O39" i="45" s="1"/>
  <c r="N38" i="45"/>
  <c r="L38" i="45"/>
  <c r="I38" i="45"/>
  <c r="O38" i="45" s="1"/>
  <c r="N37" i="45"/>
  <c r="L37" i="45"/>
  <c r="I37" i="45"/>
  <c r="O37" i="45" s="1"/>
  <c r="N36" i="45"/>
  <c r="L36" i="45"/>
  <c r="I36" i="45"/>
  <c r="N35" i="45"/>
  <c r="L35" i="45"/>
  <c r="I35" i="45"/>
  <c r="O35" i="45" s="1"/>
  <c r="N34" i="45"/>
  <c r="L34" i="45"/>
  <c r="I34" i="45"/>
  <c r="O34" i="45" s="1"/>
  <c r="N33" i="45"/>
  <c r="L33" i="45"/>
  <c r="I33" i="45"/>
  <c r="O33" i="45" s="1"/>
  <c r="N32" i="45"/>
  <c r="L32" i="45"/>
  <c r="I32" i="45"/>
  <c r="N31" i="45"/>
  <c r="L31" i="45"/>
  <c r="I31" i="45"/>
  <c r="O31" i="45" s="1"/>
  <c r="N30" i="45"/>
  <c r="L30" i="45"/>
  <c r="I30" i="45"/>
  <c r="O30" i="45" s="1"/>
  <c r="N29" i="45"/>
  <c r="L29" i="45"/>
  <c r="I29" i="45"/>
  <c r="N28" i="45"/>
  <c r="L28" i="45"/>
  <c r="I28" i="45"/>
  <c r="N27" i="45"/>
  <c r="L27" i="45"/>
  <c r="I27" i="45"/>
  <c r="N26" i="45"/>
  <c r="L26" i="45"/>
  <c r="I26" i="45"/>
  <c r="N25" i="45"/>
  <c r="L25" i="45"/>
  <c r="I25" i="45"/>
  <c r="O25" i="45" s="1"/>
  <c r="N24" i="45"/>
  <c r="L24" i="45"/>
  <c r="I24" i="45"/>
  <c r="N23" i="45"/>
  <c r="L23" i="45"/>
  <c r="I23" i="45"/>
  <c r="N22" i="45"/>
  <c r="L22" i="45"/>
  <c r="I22" i="45"/>
  <c r="O22" i="45" s="1"/>
  <c r="N21" i="45"/>
  <c r="L21" i="45"/>
  <c r="I21" i="45"/>
  <c r="O21" i="45" s="1"/>
  <c r="N20" i="45"/>
  <c r="L20" i="45"/>
  <c r="I20" i="45"/>
  <c r="N19" i="45"/>
  <c r="L19" i="45"/>
  <c r="I19" i="45"/>
  <c r="N18" i="45"/>
  <c r="L18" i="45"/>
  <c r="I18" i="45"/>
  <c r="O18" i="45" s="1"/>
  <c r="N17" i="45"/>
  <c r="L17" i="45"/>
  <c r="I17" i="45"/>
  <c r="N16" i="45"/>
  <c r="L16" i="45"/>
  <c r="I16" i="45"/>
  <c r="N15" i="45"/>
  <c r="L15" i="45"/>
  <c r="I15" i="45"/>
  <c r="O15" i="45" s="1"/>
  <c r="N14" i="45"/>
  <c r="L14" i="45"/>
  <c r="I14" i="45"/>
  <c r="N13" i="45"/>
  <c r="L13" i="45"/>
  <c r="I13" i="45"/>
  <c r="O13" i="45" s="1"/>
  <c r="N12" i="45"/>
  <c r="L12" i="45"/>
  <c r="I12" i="45"/>
  <c r="O12" i="45" s="1"/>
  <c r="N11" i="45"/>
  <c r="L11" i="45"/>
  <c r="I11" i="45"/>
  <c r="N10" i="45"/>
  <c r="L10" i="45"/>
  <c r="I10" i="45"/>
  <c r="O10" i="45" s="1"/>
  <c r="N9" i="45"/>
  <c r="L9" i="45"/>
  <c r="I9" i="45"/>
  <c r="O9" i="45" s="1"/>
  <c r="N8" i="45"/>
  <c r="L8" i="45"/>
  <c r="I8" i="45"/>
  <c r="O8" i="45" s="1"/>
  <c r="N7" i="45"/>
  <c r="L7" i="45"/>
  <c r="I7" i="45"/>
  <c r="N6" i="45"/>
  <c r="L6" i="45"/>
  <c r="I6" i="45"/>
  <c r="O6" i="45" s="1"/>
  <c r="N5" i="45"/>
  <c r="L5" i="45"/>
  <c r="I5" i="45"/>
  <c r="I19" i="44"/>
  <c r="J19" i="44" s="1"/>
  <c r="H19" i="44"/>
  <c r="I18" i="44"/>
  <c r="J18" i="44" s="1"/>
  <c r="H18" i="44"/>
  <c r="I17" i="44"/>
  <c r="J17" i="44" s="1"/>
  <c r="H17" i="44"/>
  <c r="I16" i="44"/>
  <c r="J16" i="44" s="1"/>
  <c r="H16" i="44"/>
  <c r="I5" i="44"/>
  <c r="E5" i="44"/>
  <c r="C5" i="44"/>
  <c r="A5" i="44"/>
  <c r="A29" i="39"/>
  <c r="A28" i="39"/>
  <c r="A27" i="39"/>
  <c r="A26" i="39"/>
  <c r="A25" i="39"/>
  <c r="A24" i="39"/>
  <c r="A21" i="39"/>
  <c r="A20" i="39"/>
  <c r="N5" i="39"/>
  <c r="H54" i="38"/>
  <c r="H53" i="38"/>
  <c r="H52" i="38"/>
  <c r="H51" i="38"/>
  <c r="H50" i="38"/>
  <c r="H49" i="38"/>
  <c r="H48" i="38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J31" i="38"/>
  <c r="H31" i="38"/>
  <c r="J30" i="38"/>
  <c r="H30" i="38"/>
  <c r="J29" i="38"/>
  <c r="H29" i="38"/>
  <c r="J28" i="38"/>
  <c r="H28" i="38"/>
  <c r="J27" i="38"/>
  <c r="H27" i="38"/>
  <c r="J26" i="38"/>
  <c r="H26" i="38"/>
  <c r="J25" i="38"/>
  <c r="H25" i="38"/>
  <c r="J24" i="38"/>
  <c r="H24" i="38"/>
  <c r="J15" i="38"/>
  <c r="J14" i="38"/>
  <c r="J13" i="38"/>
  <c r="J12" i="38"/>
  <c r="J11" i="38"/>
  <c r="J10" i="38"/>
  <c r="G8" i="37"/>
  <c r="E8" i="37"/>
  <c r="C8" i="37"/>
  <c r="A8" i="37"/>
  <c r="G5" i="37"/>
  <c r="E5" i="37"/>
  <c r="C5" i="37"/>
  <c r="A5" i="37"/>
  <c r="B9" i="35"/>
  <c r="D9" i="35" s="1"/>
  <c r="H9" i="35" s="1"/>
  <c r="C8" i="35"/>
  <c r="E8" i="35" s="1"/>
  <c r="I8" i="35" s="1"/>
  <c r="C7" i="35"/>
  <c r="E7" i="35" s="1"/>
  <c r="G7" i="35" s="1"/>
  <c r="G11" i="35" s="1"/>
  <c r="B7" i="35"/>
  <c r="D7" i="35" s="1"/>
  <c r="C6" i="35"/>
  <c r="E6" i="35" s="1"/>
  <c r="B6" i="35"/>
  <c r="D6" i="35" s="1"/>
  <c r="F6" i="35" s="1"/>
  <c r="C5" i="35"/>
  <c r="B5" i="35"/>
  <c r="E12" i="34"/>
  <c r="E11" i="34"/>
  <c r="E10" i="34"/>
  <c r="E9" i="34"/>
  <c r="E8" i="34"/>
  <c r="E7" i="34"/>
  <c r="G5" i="34"/>
  <c r="F5" i="34"/>
  <c r="B5" i="34"/>
  <c r="E5" i="34" s="1"/>
  <c r="H5" i="34" s="1"/>
  <c r="G12" i="33"/>
  <c r="F12" i="33"/>
  <c r="H12" i="33" s="1"/>
  <c r="E12" i="33"/>
  <c r="G11" i="33"/>
  <c r="F11" i="33"/>
  <c r="H11" i="33" s="1"/>
  <c r="E11" i="33"/>
  <c r="G10" i="33"/>
  <c r="F10" i="33"/>
  <c r="H10" i="33" s="1"/>
  <c r="E10" i="33"/>
  <c r="G9" i="33"/>
  <c r="F9" i="33"/>
  <c r="H9" i="33" s="1"/>
  <c r="E9" i="33"/>
  <c r="G8" i="33"/>
  <c r="F8" i="33"/>
  <c r="H8" i="33" s="1"/>
  <c r="E8" i="33"/>
  <c r="G7" i="33"/>
  <c r="F7" i="33"/>
  <c r="H7" i="33" s="1"/>
  <c r="E7" i="33"/>
  <c r="E6" i="33"/>
  <c r="G5" i="33"/>
  <c r="F5" i="33"/>
  <c r="H5" i="33" s="1"/>
  <c r="E5" i="33"/>
  <c r="S204" i="32"/>
  <c r="R204" i="32"/>
  <c r="Q204" i="32"/>
  <c r="P204" i="32"/>
  <c r="O204" i="32"/>
  <c r="N204" i="32"/>
  <c r="M204" i="32"/>
  <c r="K204" i="32"/>
  <c r="J204" i="32"/>
  <c r="I204" i="32"/>
  <c r="H204" i="32"/>
  <c r="G204" i="32"/>
  <c r="L204" i="32" s="1"/>
  <c r="F204" i="32"/>
  <c r="E204" i="32"/>
  <c r="S203" i="32"/>
  <c r="R203" i="32"/>
  <c r="Q203" i="32"/>
  <c r="P203" i="32"/>
  <c r="O203" i="32"/>
  <c r="N203" i="32"/>
  <c r="M203" i="32"/>
  <c r="K203" i="32"/>
  <c r="J203" i="32"/>
  <c r="I203" i="32"/>
  <c r="H203" i="32"/>
  <c r="G203" i="32"/>
  <c r="L203" i="32" s="1"/>
  <c r="F203" i="32"/>
  <c r="E203" i="32"/>
  <c r="S202" i="32"/>
  <c r="R202" i="32"/>
  <c r="Q202" i="32"/>
  <c r="P202" i="32"/>
  <c r="O202" i="32"/>
  <c r="N202" i="32"/>
  <c r="M202" i="32"/>
  <c r="K202" i="32"/>
  <c r="J202" i="32"/>
  <c r="I202" i="32"/>
  <c r="H202" i="32"/>
  <c r="G202" i="32"/>
  <c r="L202" i="32" s="1"/>
  <c r="F202" i="32"/>
  <c r="E202" i="32"/>
  <c r="S201" i="32"/>
  <c r="R201" i="32"/>
  <c r="Q201" i="32"/>
  <c r="P201" i="32"/>
  <c r="O201" i="32"/>
  <c r="N201" i="32"/>
  <c r="M201" i="32"/>
  <c r="K201" i="32"/>
  <c r="J201" i="32"/>
  <c r="I201" i="32"/>
  <c r="H201" i="32"/>
  <c r="G201" i="32"/>
  <c r="L201" i="32" s="1"/>
  <c r="F201" i="32"/>
  <c r="E201" i="32"/>
  <c r="S200" i="32"/>
  <c r="R200" i="32"/>
  <c r="Q200" i="32"/>
  <c r="P200" i="32"/>
  <c r="O200" i="32"/>
  <c r="N200" i="32"/>
  <c r="M200" i="32"/>
  <c r="K200" i="32"/>
  <c r="J200" i="32"/>
  <c r="I200" i="32"/>
  <c r="H200" i="32"/>
  <c r="G200" i="32"/>
  <c r="L200" i="32" s="1"/>
  <c r="F200" i="32"/>
  <c r="E200" i="32"/>
  <c r="S199" i="32"/>
  <c r="R199" i="32"/>
  <c r="Q199" i="32"/>
  <c r="P199" i="32"/>
  <c r="O199" i="32"/>
  <c r="N199" i="32"/>
  <c r="M199" i="32"/>
  <c r="K199" i="32"/>
  <c r="J199" i="32"/>
  <c r="I199" i="32"/>
  <c r="H199" i="32"/>
  <c r="G199" i="32"/>
  <c r="L199" i="32" s="1"/>
  <c r="F199" i="32"/>
  <c r="E199" i="32"/>
  <c r="S198" i="32"/>
  <c r="R198" i="32"/>
  <c r="Q198" i="32"/>
  <c r="P198" i="32"/>
  <c r="O198" i="32"/>
  <c r="N198" i="32"/>
  <c r="M198" i="32"/>
  <c r="K198" i="32"/>
  <c r="J198" i="32"/>
  <c r="I198" i="32"/>
  <c r="H198" i="32"/>
  <c r="G198" i="32"/>
  <c r="L198" i="32" s="1"/>
  <c r="F198" i="32"/>
  <c r="E198" i="32"/>
  <c r="S197" i="32"/>
  <c r="R197" i="32"/>
  <c r="Q197" i="32"/>
  <c r="P197" i="32"/>
  <c r="O197" i="32"/>
  <c r="N197" i="32"/>
  <c r="M197" i="32"/>
  <c r="K197" i="32"/>
  <c r="J197" i="32"/>
  <c r="I197" i="32"/>
  <c r="H197" i="32"/>
  <c r="G197" i="32"/>
  <c r="L197" i="32" s="1"/>
  <c r="F197" i="32"/>
  <c r="E197" i="32"/>
  <c r="S196" i="32"/>
  <c r="R196" i="32"/>
  <c r="Q196" i="32"/>
  <c r="P196" i="32"/>
  <c r="O196" i="32"/>
  <c r="N196" i="32"/>
  <c r="M196" i="32"/>
  <c r="K196" i="32"/>
  <c r="J196" i="32"/>
  <c r="I196" i="32"/>
  <c r="H196" i="32"/>
  <c r="G196" i="32"/>
  <c r="L196" i="32" s="1"/>
  <c r="F196" i="32"/>
  <c r="E196" i="32"/>
  <c r="S195" i="32"/>
  <c r="R195" i="32"/>
  <c r="Q195" i="32"/>
  <c r="P195" i="32"/>
  <c r="O195" i="32"/>
  <c r="N195" i="32"/>
  <c r="M195" i="32"/>
  <c r="K195" i="32"/>
  <c r="J195" i="32"/>
  <c r="I195" i="32"/>
  <c r="H195" i="32"/>
  <c r="G195" i="32"/>
  <c r="L195" i="32" s="1"/>
  <c r="F195" i="32"/>
  <c r="E195" i="32"/>
  <c r="S194" i="32"/>
  <c r="R194" i="32"/>
  <c r="Q194" i="32"/>
  <c r="P194" i="32"/>
  <c r="O194" i="32"/>
  <c r="N194" i="32"/>
  <c r="M194" i="32"/>
  <c r="K194" i="32"/>
  <c r="J194" i="32"/>
  <c r="I194" i="32"/>
  <c r="H194" i="32"/>
  <c r="G194" i="32"/>
  <c r="L194" i="32" s="1"/>
  <c r="F194" i="32"/>
  <c r="E194" i="32"/>
  <c r="S193" i="32"/>
  <c r="R193" i="32"/>
  <c r="Q193" i="32"/>
  <c r="P193" i="32"/>
  <c r="O193" i="32"/>
  <c r="N193" i="32"/>
  <c r="M193" i="32"/>
  <c r="K193" i="32"/>
  <c r="J193" i="32"/>
  <c r="I193" i="32"/>
  <c r="H193" i="32"/>
  <c r="G193" i="32"/>
  <c r="L193" i="32" s="1"/>
  <c r="F193" i="32"/>
  <c r="E193" i="32"/>
  <c r="S192" i="32"/>
  <c r="R192" i="32"/>
  <c r="Q192" i="32"/>
  <c r="P192" i="32"/>
  <c r="O192" i="32"/>
  <c r="N192" i="32"/>
  <c r="M192" i="32"/>
  <c r="K192" i="32"/>
  <c r="J192" i="32"/>
  <c r="I192" i="32"/>
  <c r="H192" i="32"/>
  <c r="G192" i="32"/>
  <c r="L192" i="32" s="1"/>
  <c r="F192" i="32"/>
  <c r="E192" i="32"/>
  <c r="S191" i="32"/>
  <c r="R191" i="32"/>
  <c r="Q191" i="32"/>
  <c r="P191" i="32"/>
  <c r="O191" i="32"/>
  <c r="N191" i="32"/>
  <c r="M191" i="32"/>
  <c r="K191" i="32"/>
  <c r="J191" i="32"/>
  <c r="I191" i="32"/>
  <c r="H191" i="32"/>
  <c r="G191" i="32"/>
  <c r="L191" i="32" s="1"/>
  <c r="F191" i="32"/>
  <c r="E191" i="32"/>
  <c r="S190" i="32"/>
  <c r="R190" i="32"/>
  <c r="Q190" i="32"/>
  <c r="P190" i="32"/>
  <c r="O190" i="32"/>
  <c r="N190" i="32"/>
  <c r="M190" i="32"/>
  <c r="K190" i="32"/>
  <c r="J190" i="32"/>
  <c r="I190" i="32"/>
  <c r="H190" i="32"/>
  <c r="G190" i="32"/>
  <c r="L190" i="32" s="1"/>
  <c r="F190" i="32"/>
  <c r="E190" i="32"/>
  <c r="S189" i="32"/>
  <c r="R189" i="32"/>
  <c r="Q189" i="32"/>
  <c r="P189" i="32"/>
  <c r="O189" i="32"/>
  <c r="N189" i="32"/>
  <c r="M189" i="32"/>
  <c r="K189" i="32"/>
  <c r="J189" i="32"/>
  <c r="I189" i="32"/>
  <c r="H189" i="32"/>
  <c r="G189" i="32"/>
  <c r="L189" i="32" s="1"/>
  <c r="F189" i="32"/>
  <c r="E189" i="32"/>
  <c r="S188" i="32"/>
  <c r="R188" i="32"/>
  <c r="Q188" i="32"/>
  <c r="P188" i="32"/>
  <c r="O188" i="32"/>
  <c r="N188" i="32"/>
  <c r="M188" i="32"/>
  <c r="K188" i="32"/>
  <c r="J188" i="32"/>
  <c r="I188" i="32"/>
  <c r="H188" i="32"/>
  <c r="G188" i="32"/>
  <c r="L188" i="32" s="1"/>
  <c r="F188" i="32"/>
  <c r="E188" i="32"/>
  <c r="S187" i="32"/>
  <c r="R187" i="32"/>
  <c r="Q187" i="32"/>
  <c r="P187" i="32"/>
  <c r="O187" i="32"/>
  <c r="N187" i="32"/>
  <c r="M187" i="32"/>
  <c r="K187" i="32"/>
  <c r="J187" i="32"/>
  <c r="I187" i="32"/>
  <c r="H187" i="32"/>
  <c r="G187" i="32"/>
  <c r="L187" i="32" s="1"/>
  <c r="F187" i="32"/>
  <c r="E187" i="32"/>
  <c r="S186" i="32"/>
  <c r="R186" i="32"/>
  <c r="Q186" i="32"/>
  <c r="P186" i="32"/>
  <c r="O186" i="32"/>
  <c r="N186" i="32"/>
  <c r="M186" i="32"/>
  <c r="K186" i="32"/>
  <c r="J186" i="32"/>
  <c r="I186" i="32"/>
  <c r="H186" i="32"/>
  <c r="G186" i="32"/>
  <c r="L186" i="32" s="1"/>
  <c r="F186" i="32"/>
  <c r="E186" i="32"/>
  <c r="S185" i="32"/>
  <c r="R185" i="32"/>
  <c r="Q185" i="32"/>
  <c r="P185" i="32"/>
  <c r="O185" i="32"/>
  <c r="N185" i="32"/>
  <c r="M185" i="32"/>
  <c r="K185" i="32"/>
  <c r="J185" i="32"/>
  <c r="I185" i="32"/>
  <c r="H185" i="32"/>
  <c r="G185" i="32"/>
  <c r="L185" i="32" s="1"/>
  <c r="F185" i="32"/>
  <c r="E185" i="32"/>
  <c r="S184" i="32"/>
  <c r="R184" i="32"/>
  <c r="Q184" i="32"/>
  <c r="P184" i="32"/>
  <c r="O184" i="32"/>
  <c r="N184" i="32"/>
  <c r="M184" i="32"/>
  <c r="K184" i="32"/>
  <c r="J184" i="32"/>
  <c r="I184" i="32"/>
  <c r="H184" i="32"/>
  <c r="G184" i="32"/>
  <c r="L184" i="32" s="1"/>
  <c r="F184" i="32"/>
  <c r="E184" i="32"/>
  <c r="S183" i="32"/>
  <c r="R183" i="32"/>
  <c r="Q183" i="32"/>
  <c r="P183" i="32"/>
  <c r="O183" i="32"/>
  <c r="N183" i="32"/>
  <c r="M183" i="32"/>
  <c r="K183" i="32"/>
  <c r="J183" i="32"/>
  <c r="I183" i="32"/>
  <c r="H183" i="32"/>
  <c r="G183" i="32"/>
  <c r="L183" i="32" s="1"/>
  <c r="F183" i="32"/>
  <c r="E183" i="32"/>
  <c r="S182" i="32"/>
  <c r="R182" i="32"/>
  <c r="Q182" i="32"/>
  <c r="P182" i="32"/>
  <c r="O182" i="32"/>
  <c r="N182" i="32"/>
  <c r="M182" i="32"/>
  <c r="K182" i="32"/>
  <c r="J182" i="32"/>
  <c r="I182" i="32"/>
  <c r="H182" i="32"/>
  <c r="G182" i="32"/>
  <c r="L182" i="32" s="1"/>
  <c r="F182" i="32"/>
  <c r="E182" i="32"/>
  <c r="S181" i="32"/>
  <c r="R181" i="32"/>
  <c r="Q181" i="32"/>
  <c r="P181" i="32"/>
  <c r="O181" i="32"/>
  <c r="N181" i="32"/>
  <c r="M181" i="32"/>
  <c r="K181" i="32"/>
  <c r="J181" i="32"/>
  <c r="I181" i="32"/>
  <c r="H181" i="32"/>
  <c r="G181" i="32"/>
  <c r="L181" i="32" s="1"/>
  <c r="F181" i="32"/>
  <c r="E181" i="32"/>
  <c r="S180" i="32"/>
  <c r="R180" i="32"/>
  <c r="Q180" i="32"/>
  <c r="P180" i="32"/>
  <c r="O180" i="32"/>
  <c r="N180" i="32"/>
  <c r="M180" i="32"/>
  <c r="K180" i="32"/>
  <c r="J180" i="32"/>
  <c r="I180" i="32"/>
  <c r="H180" i="32"/>
  <c r="G180" i="32"/>
  <c r="L180" i="32" s="1"/>
  <c r="F180" i="32"/>
  <c r="E180" i="32"/>
  <c r="S179" i="32"/>
  <c r="R179" i="32"/>
  <c r="Q179" i="32"/>
  <c r="P179" i="32"/>
  <c r="O179" i="32"/>
  <c r="N179" i="32"/>
  <c r="M179" i="32"/>
  <c r="K179" i="32"/>
  <c r="J179" i="32"/>
  <c r="I179" i="32"/>
  <c r="H179" i="32"/>
  <c r="G179" i="32"/>
  <c r="L179" i="32" s="1"/>
  <c r="F179" i="32"/>
  <c r="E179" i="32"/>
  <c r="S178" i="32"/>
  <c r="R178" i="32"/>
  <c r="Q178" i="32"/>
  <c r="P178" i="32"/>
  <c r="O178" i="32"/>
  <c r="N178" i="32"/>
  <c r="M178" i="32"/>
  <c r="K178" i="32"/>
  <c r="J178" i="32"/>
  <c r="I178" i="32"/>
  <c r="H178" i="32"/>
  <c r="G178" i="32"/>
  <c r="L178" i="32" s="1"/>
  <c r="F178" i="32"/>
  <c r="E178" i="32"/>
  <c r="S177" i="32"/>
  <c r="R177" i="32"/>
  <c r="Q177" i="32"/>
  <c r="P177" i="32"/>
  <c r="O177" i="32"/>
  <c r="N177" i="32"/>
  <c r="M177" i="32"/>
  <c r="K177" i="32"/>
  <c r="J177" i="32"/>
  <c r="I177" i="32"/>
  <c r="H177" i="32"/>
  <c r="G177" i="32"/>
  <c r="L177" i="32" s="1"/>
  <c r="F177" i="32"/>
  <c r="E177" i="32"/>
  <c r="S176" i="32"/>
  <c r="R176" i="32"/>
  <c r="Q176" i="32"/>
  <c r="P176" i="32"/>
  <c r="O176" i="32"/>
  <c r="N176" i="32"/>
  <c r="M176" i="32"/>
  <c r="K176" i="32"/>
  <c r="J176" i="32"/>
  <c r="I176" i="32"/>
  <c r="H176" i="32"/>
  <c r="G176" i="32"/>
  <c r="L176" i="32" s="1"/>
  <c r="F176" i="32"/>
  <c r="E176" i="32"/>
  <c r="S175" i="32"/>
  <c r="R175" i="32"/>
  <c r="Q175" i="32"/>
  <c r="P175" i="32"/>
  <c r="O175" i="32"/>
  <c r="N175" i="32"/>
  <c r="M175" i="32"/>
  <c r="K175" i="32"/>
  <c r="J175" i="32"/>
  <c r="I175" i="32"/>
  <c r="H175" i="32"/>
  <c r="G175" i="32"/>
  <c r="L175" i="32" s="1"/>
  <c r="F175" i="32"/>
  <c r="E175" i="32"/>
  <c r="S174" i="32"/>
  <c r="R174" i="32"/>
  <c r="Q174" i="32"/>
  <c r="P174" i="32"/>
  <c r="O174" i="32"/>
  <c r="N174" i="32"/>
  <c r="M174" i="32"/>
  <c r="K174" i="32"/>
  <c r="J174" i="32"/>
  <c r="I174" i="32"/>
  <c r="H174" i="32"/>
  <c r="G174" i="32"/>
  <c r="L174" i="32" s="1"/>
  <c r="F174" i="32"/>
  <c r="E174" i="32"/>
  <c r="S173" i="32"/>
  <c r="R173" i="32"/>
  <c r="Q173" i="32"/>
  <c r="P173" i="32"/>
  <c r="O173" i="32"/>
  <c r="N173" i="32"/>
  <c r="M173" i="32"/>
  <c r="K173" i="32"/>
  <c r="J173" i="32"/>
  <c r="I173" i="32"/>
  <c r="H173" i="32"/>
  <c r="G173" i="32"/>
  <c r="L173" i="32" s="1"/>
  <c r="F173" i="32"/>
  <c r="E173" i="32"/>
  <c r="S172" i="32"/>
  <c r="R172" i="32"/>
  <c r="Q172" i="32"/>
  <c r="P172" i="32"/>
  <c r="O172" i="32"/>
  <c r="N172" i="32"/>
  <c r="M172" i="32"/>
  <c r="K172" i="32"/>
  <c r="J172" i="32"/>
  <c r="I172" i="32"/>
  <c r="H172" i="32"/>
  <c r="G172" i="32"/>
  <c r="L172" i="32" s="1"/>
  <c r="F172" i="32"/>
  <c r="E172" i="32"/>
  <c r="S171" i="32"/>
  <c r="R171" i="32"/>
  <c r="Q171" i="32"/>
  <c r="P171" i="32"/>
  <c r="O171" i="32"/>
  <c r="N171" i="32"/>
  <c r="M171" i="32"/>
  <c r="K171" i="32"/>
  <c r="J171" i="32"/>
  <c r="I171" i="32"/>
  <c r="H171" i="32"/>
  <c r="G171" i="32"/>
  <c r="L171" i="32" s="1"/>
  <c r="F171" i="32"/>
  <c r="E171" i="32"/>
  <c r="S170" i="32"/>
  <c r="R170" i="32"/>
  <c r="Q170" i="32"/>
  <c r="P170" i="32"/>
  <c r="O170" i="32"/>
  <c r="N170" i="32"/>
  <c r="M170" i="32"/>
  <c r="K170" i="32"/>
  <c r="J170" i="32"/>
  <c r="I170" i="32"/>
  <c r="H170" i="32"/>
  <c r="G170" i="32"/>
  <c r="L170" i="32" s="1"/>
  <c r="F170" i="32"/>
  <c r="E170" i="32"/>
  <c r="S169" i="32"/>
  <c r="R169" i="32"/>
  <c r="Q169" i="32"/>
  <c r="P169" i="32"/>
  <c r="O169" i="32"/>
  <c r="N169" i="32"/>
  <c r="M169" i="32"/>
  <c r="K169" i="32"/>
  <c r="J169" i="32"/>
  <c r="I169" i="32"/>
  <c r="H169" i="32"/>
  <c r="G169" i="32"/>
  <c r="L169" i="32" s="1"/>
  <c r="F169" i="32"/>
  <c r="E169" i="32"/>
  <c r="S168" i="32"/>
  <c r="R168" i="32"/>
  <c r="Q168" i="32"/>
  <c r="P168" i="32"/>
  <c r="O168" i="32"/>
  <c r="N168" i="32"/>
  <c r="M168" i="32"/>
  <c r="K168" i="32"/>
  <c r="J168" i="32"/>
  <c r="I168" i="32"/>
  <c r="H168" i="32"/>
  <c r="G168" i="32"/>
  <c r="L168" i="32" s="1"/>
  <c r="F168" i="32"/>
  <c r="E168" i="32"/>
  <c r="S167" i="32"/>
  <c r="R167" i="32"/>
  <c r="Q167" i="32"/>
  <c r="P167" i="32"/>
  <c r="O167" i="32"/>
  <c r="N167" i="32"/>
  <c r="M167" i="32"/>
  <c r="K167" i="32"/>
  <c r="J167" i="32"/>
  <c r="I167" i="32"/>
  <c r="H167" i="32"/>
  <c r="G167" i="32"/>
  <c r="L167" i="32" s="1"/>
  <c r="F167" i="32"/>
  <c r="E167" i="32"/>
  <c r="S166" i="32"/>
  <c r="R166" i="32"/>
  <c r="Q166" i="32"/>
  <c r="P166" i="32"/>
  <c r="O166" i="32"/>
  <c r="N166" i="32"/>
  <c r="M166" i="32"/>
  <c r="K166" i="32"/>
  <c r="J166" i="32"/>
  <c r="I166" i="32"/>
  <c r="H166" i="32"/>
  <c r="G166" i="32"/>
  <c r="L166" i="32" s="1"/>
  <c r="F166" i="32"/>
  <c r="E166" i="32"/>
  <c r="S165" i="32"/>
  <c r="R165" i="32"/>
  <c r="Q165" i="32"/>
  <c r="P165" i="32"/>
  <c r="O165" i="32"/>
  <c r="N165" i="32"/>
  <c r="M165" i="32"/>
  <c r="K165" i="32"/>
  <c r="J165" i="32"/>
  <c r="I165" i="32"/>
  <c r="H165" i="32"/>
  <c r="G165" i="32"/>
  <c r="L165" i="32" s="1"/>
  <c r="F165" i="32"/>
  <c r="E165" i="32"/>
  <c r="S164" i="32"/>
  <c r="R164" i="32"/>
  <c r="Q164" i="32"/>
  <c r="P164" i="32"/>
  <c r="O164" i="32"/>
  <c r="N164" i="32"/>
  <c r="M164" i="32"/>
  <c r="K164" i="32"/>
  <c r="J164" i="32"/>
  <c r="I164" i="32"/>
  <c r="H164" i="32"/>
  <c r="G164" i="32"/>
  <c r="L164" i="32" s="1"/>
  <c r="F164" i="32"/>
  <c r="E164" i="32"/>
  <c r="S163" i="32"/>
  <c r="R163" i="32"/>
  <c r="Q163" i="32"/>
  <c r="P163" i="32"/>
  <c r="O163" i="32"/>
  <c r="N163" i="32"/>
  <c r="M163" i="32"/>
  <c r="K163" i="32"/>
  <c r="J163" i="32"/>
  <c r="I163" i="32"/>
  <c r="H163" i="32"/>
  <c r="G163" i="32"/>
  <c r="L163" i="32" s="1"/>
  <c r="F163" i="32"/>
  <c r="E163" i="32"/>
  <c r="S162" i="32"/>
  <c r="R162" i="32"/>
  <c r="Q162" i="32"/>
  <c r="P162" i="32"/>
  <c r="O162" i="32"/>
  <c r="N162" i="32"/>
  <c r="M162" i="32"/>
  <c r="K162" i="32"/>
  <c r="J162" i="32"/>
  <c r="I162" i="32"/>
  <c r="H162" i="32"/>
  <c r="G162" i="32"/>
  <c r="L162" i="32" s="1"/>
  <c r="F162" i="32"/>
  <c r="E162" i="32"/>
  <c r="S161" i="32"/>
  <c r="R161" i="32"/>
  <c r="Q161" i="32"/>
  <c r="P161" i="32"/>
  <c r="O161" i="32"/>
  <c r="N161" i="32"/>
  <c r="M161" i="32"/>
  <c r="K161" i="32"/>
  <c r="J161" i="32"/>
  <c r="I161" i="32"/>
  <c r="H161" i="32"/>
  <c r="G161" i="32"/>
  <c r="L161" i="32" s="1"/>
  <c r="F161" i="32"/>
  <c r="E161" i="32"/>
  <c r="S160" i="32"/>
  <c r="R160" i="32"/>
  <c r="Q160" i="32"/>
  <c r="P160" i="32"/>
  <c r="O160" i="32"/>
  <c r="N160" i="32"/>
  <c r="M160" i="32"/>
  <c r="K160" i="32"/>
  <c r="J160" i="32"/>
  <c r="I160" i="32"/>
  <c r="H160" i="32"/>
  <c r="G160" i="32"/>
  <c r="L160" i="32" s="1"/>
  <c r="F160" i="32"/>
  <c r="E160" i="32"/>
  <c r="S159" i="32"/>
  <c r="R159" i="32"/>
  <c r="Q159" i="32"/>
  <c r="P159" i="32"/>
  <c r="O159" i="32"/>
  <c r="N159" i="32"/>
  <c r="M159" i="32"/>
  <c r="K159" i="32"/>
  <c r="J159" i="32"/>
  <c r="I159" i="32"/>
  <c r="H159" i="32"/>
  <c r="G159" i="32"/>
  <c r="L159" i="32" s="1"/>
  <c r="F159" i="32"/>
  <c r="E159" i="32"/>
  <c r="S158" i="32"/>
  <c r="R158" i="32"/>
  <c r="Q158" i="32"/>
  <c r="P158" i="32"/>
  <c r="O158" i="32"/>
  <c r="N158" i="32"/>
  <c r="M158" i="32"/>
  <c r="K158" i="32"/>
  <c r="J158" i="32"/>
  <c r="I158" i="32"/>
  <c r="H158" i="32"/>
  <c r="G158" i="32"/>
  <c r="L158" i="32" s="1"/>
  <c r="F158" i="32"/>
  <c r="E158" i="32"/>
  <c r="S157" i="32"/>
  <c r="R157" i="32"/>
  <c r="Q157" i="32"/>
  <c r="P157" i="32"/>
  <c r="O157" i="32"/>
  <c r="N157" i="32"/>
  <c r="M157" i="32"/>
  <c r="K157" i="32"/>
  <c r="J157" i="32"/>
  <c r="I157" i="32"/>
  <c r="H157" i="32"/>
  <c r="G157" i="32"/>
  <c r="L157" i="32" s="1"/>
  <c r="F157" i="32"/>
  <c r="E157" i="32"/>
  <c r="S156" i="32"/>
  <c r="R156" i="32"/>
  <c r="Q156" i="32"/>
  <c r="P156" i="32"/>
  <c r="O156" i="32"/>
  <c r="N156" i="32"/>
  <c r="M156" i="32"/>
  <c r="K156" i="32"/>
  <c r="J156" i="32"/>
  <c r="I156" i="32"/>
  <c r="H156" i="32"/>
  <c r="G156" i="32"/>
  <c r="L156" i="32" s="1"/>
  <c r="F156" i="32"/>
  <c r="E156" i="32"/>
  <c r="S155" i="32"/>
  <c r="R155" i="32"/>
  <c r="Q155" i="32"/>
  <c r="P155" i="32"/>
  <c r="O155" i="32"/>
  <c r="N155" i="32"/>
  <c r="M155" i="32"/>
  <c r="K155" i="32"/>
  <c r="J155" i="32"/>
  <c r="I155" i="32"/>
  <c r="H155" i="32"/>
  <c r="G155" i="32"/>
  <c r="L155" i="32" s="1"/>
  <c r="F155" i="32"/>
  <c r="E155" i="32"/>
  <c r="S154" i="32"/>
  <c r="R154" i="32"/>
  <c r="Q154" i="32"/>
  <c r="P154" i="32"/>
  <c r="O154" i="32"/>
  <c r="N154" i="32"/>
  <c r="M154" i="32"/>
  <c r="K154" i="32"/>
  <c r="J154" i="32"/>
  <c r="I154" i="32"/>
  <c r="H154" i="32"/>
  <c r="G154" i="32"/>
  <c r="L154" i="32" s="1"/>
  <c r="F154" i="32"/>
  <c r="E154" i="32"/>
  <c r="S153" i="32"/>
  <c r="R153" i="32"/>
  <c r="Q153" i="32"/>
  <c r="P153" i="32"/>
  <c r="O153" i="32"/>
  <c r="N153" i="32"/>
  <c r="M153" i="32"/>
  <c r="K153" i="32"/>
  <c r="J153" i="32"/>
  <c r="I153" i="32"/>
  <c r="H153" i="32"/>
  <c r="G153" i="32"/>
  <c r="L153" i="32" s="1"/>
  <c r="F153" i="32"/>
  <c r="E153" i="32"/>
  <c r="S152" i="32"/>
  <c r="R152" i="32"/>
  <c r="Q152" i="32"/>
  <c r="P152" i="32"/>
  <c r="O152" i="32"/>
  <c r="N152" i="32"/>
  <c r="M152" i="32"/>
  <c r="K152" i="32"/>
  <c r="J152" i="32"/>
  <c r="I152" i="32"/>
  <c r="H152" i="32"/>
  <c r="G152" i="32"/>
  <c r="L152" i="32" s="1"/>
  <c r="F152" i="32"/>
  <c r="E152" i="32"/>
  <c r="S151" i="32"/>
  <c r="R151" i="32"/>
  <c r="Q151" i="32"/>
  <c r="P151" i="32"/>
  <c r="O151" i="32"/>
  <c r="N151" i="32"/>
  <c r="M151" i="32"/>
  <c r="K151" i="32"/>
  <c r="J151" i="32"/>
  <c r="I151" i="32"/>
  <c r="H151" i="32"/>
  <c r="G151" i="32"/>
  <c r="L151" i="32" s="1"/>
  <c r="F151" i="32"/>
  <c r="E151" i="32"/>
  <c r="S150" i="32"/>
  <c r="R150" i="32"/>
  <c r="Q150" i="32"/>
  <c r="P150" i="32"/>
  <c r="O150" i="32"/>
  <c r="N150" i="32"/>
  <c r="M150" i="32"/>
  <c r="K150" i="32"/>
  <c r="J150" i="32"/>
  <c r="I150" i="32"/>
  <c r="H150" i="32"/>
  <c r="G150" i="32"/>
  <c r="L150" i="32" s="1"/>
  <c r="F150" i="32"/>
  <c r="E150" i="32"/>
  <c r="S149" i="32"/>
  <c r="R149" i="32"/>
  <c r="Q149" i="32"/>
  <c r="P149" i="32"/>
  <c r="O149" i="32"/>
  <c r="N149" i="32"/>
  <c r="M149" i="32"/>
  <c r="K149" i="32"/>
  <c r="J149" i="32"/>
  <c r="I149" i="32"/>
  <c r="H149" i="32"/>
  <c r="G149" i="32"/>
  <c r="L149" i="32" s="1"/>
  <c r="F149" i="32"/>
  <c r="E149" i="32"/>
  <c r="S148" i="32"/>
  <c r="R148" i="32"/>
  <c r="Q148" i="32"/>
  <c r="P148" i="32"/>
  <c r="O148" i="32"/>
  <c r="N148" i="32"/>
  <c r="M148" i="32"/>
  <c r="K148" i="32"/>
  <c r="J148" i="32"/>
  <c r="I148" i="32"/>
  <c r="H148" i="32"/>
  <c r="G148" i="32"/>
  <c r="L148" i="32" s="1"/>
  <c r="F148" i="32"/>
  <c r="E148" i="32"/>
  <c r="S147" i="32"/>
  <c r="R147" i="32"/>
  <c r="Q147" i="32"/>
  <c r="P147" i="32"/>
  <c r="O147" i="32"/>
  <c r="N147" i="32"/>
  <c r="M147" i="32"/>
  <c r="K147" i="32"/>
  <c r="J147" i="32"/>
  <c r="I147" i="32"/>
  <c r="H147" i="32"/>
  <c r="G147" i="32"/>
  <c r="L147" i="32" s="1"/>
  <c r="F147" i="32"/>
  <c r="E147" i="32"/>
  <c r="S146" i="32"/>
  <c r="R146" i="32"/>
  <c r="Q146" i="32"/>
  <c r="P146" i="32"/>
  <c r="O146" i="32"/>
  <c r="N146" i="32"/>
  <c r="M146" i="32"/>
  <c r="K146" i="32"/>
  <c r="J146" i="32"/>
  <c r="I146" i="32"/>
  <c r="H146" i="32"/>
  <c r="G146" i="32"/>
  <c r="L146" i="32" s="1"/>
  <c r="F146" i="32"/>
  <c r="E146" i="32"/>
  <c r="S145" i="32"/>
  <c r="R145" i="32"/>
  <c r="Q145" i="32"/>
  <c r="P145" i="32"/>
  <c r="O145" i="32"/>
  <c r="N145" i="32"/>
  <c r="M145" i="32"/>
  <c r="K145" i="32"/>
  <c r="J145" i="32"/>
  <c r="I145" i="32"/>
  <c r="H145" i="32"/>
  <c r="G145" i="32"/>
  <c r="L145" i="32" s="1"/>
  <c r="F145" i="32"/>
  <c r="E145" i="32"/>
  <c r="S144" i="32"/>
  <c r="R144" i="32"/>
  <c r="Q144" i="32"/>
  <c r="P144" i="32"/>
  <c r="O144" i="32"/>
  <c r="N144" i="32"/>
  <c r="M144" i="32"/>
  <c r="K144" i="32"/>
  <c r="J144" i="32"/>
  <c r="I144" i="32"/>
  <c r="H144" i="32"/>
  <c r="G144" i="32"/>
  <c r="L144" i="32" s="1"/>
  <c r="F144" i="32"/>
  <c r="E144" i="32"/>
  <c r="S143" i="32"/>
  <c r="R143" i="32"/>
  <c r="Q143" i="32"/>
  <c r="P143" i="32"/>
  <c r="O143" i="32"/>
  <c r="N143" i="32"/>
  <c r="M143" i="32"/>
  <c r="K143" i="32"/>
  <c r="J143" i="32"/>
  <c r="I143" i="32"/>
  <c r="H143" i="32"/>
  <c r="G143" i="32"/>
  <c r="L143" i="32" s="1"/>
  <c r="F143" i="32"/>
  <c r="E143" i="32"/>
  <c r="S142" i="32"/>
  <c r="R142" i="32"/>
  <c r="Q142" i="32"/>
  <c r="P142" i="32"/>
  <c r="O142" i="32"/>
  <c r="N142" i="32"/>
  <c r="M142" i="32"/>
  <c r="K142" i="32"/>
  <c r="J142" i="32"/>
  <c r="I142" i="32"/>
  <c r="H142" i="32"/>
  <c r="G142" i="32"/>
  <c r="L142" i="32" s="1"/>
  <c r="F142" i="32"/>
  <c r="E142" i="32"/>
  <c r="S141" i="32"/>
  <c r="R141" i="32"/>
  <c r="Q141" i="32"/>
  <c r="P141" i="32"/>
  <c r="O141" i="32"/>
  <c r="N141" i="32"/>
  <c r="M141" i="32"/>
  <c r="K141" i="32"/>
  <c r="J141" i="32"/>
  <c r="I141" i="32"/>
  <c r="H141" i="32"/>
  <c r="G141" i="32"/>
  <c r="L141" i="32" s="1"/>
  <c r="F141" i="32"/>
  <c r="E141" i="32"/>
  <c r="S140" i="32"/>
  <c r="R140" i="32"/>
  <c r="Q140" i="32"/>
  <c r="P140" i="32"/>
  <c r="O140" i="32"/>
  <c r="N140" i="32"/>
  <c r="M140" i="32"/>
  <c r="K140" i="32"/>
  <c r="J140" i="32"/>
  <c r="I140" i="32"/>
  <c r="H140" i="32"/>
  <c r="G140" i="32"/>
  <c r="L140" i="32" s="1"/>
  <c r="F140" i="32"/>
  <c r="E140" i="32"/>
  <c r="S139" i="32"/>
  <c r="R139" i="32"/>
  <c r="Q139" i="32"/>
  <c r="P139" i="32"/>
  <c r="O139" i="32"/>
  <c r="N139" i="32"/>
  <c r="M139" i="32"/>
  <c r="K139" i="32"/>
  <c r="J139" i="32"/>
  <c r="I139" i="32"/>
  <c r="H139" i="32"/>
  <c r="G139" i="32"/>
  <c r="L139" i="32" s="1"/>
  <c r="F139" i="32"/>
  <c r="E139" i="32"/>
  <c r="S138" i="32"/>
  <c r="R138" i="32"/>
  <c r="Q138" i="32"/>
  <c r="P138" i="32"/>
  <c r="O138" i="32"/>
  <c r="N138" i="32"/>
  <c r="M138" i="32"/>
  <c r="K138" i="32"/>
  <c r="J138" i="32"/>
  <c r="I138" i="32"/>
  <c r="H138" i="32"/>
  <c r="G138" i="32"/>
  <c r="L138" i="32" s="1"/>
  <c r="F138" i="32"/>
  <c r="E138" i="32"/>
  <c r="S137" i="32"/>
  <c r="R137" i="32"/>
  <c r="Q137" i="32"/>
  <c r="P137" i="32"/>
  <c r="O137" i="32"/>
  <c r="N137" i="32"/>
  <c r="M137" i="32"/>
  <c r="K137" i="32"/>
  <c r="J137" i="32"/>
  <c r="I137" i="32"/>
  <c r="H137" i="32"/>
  <c r="G137" i="32"/>
  <c r="L137" i="32" s="1"/>
  <c r="F137" i="32"/>
  <c r="E137" i="32"/>
  <c r="S136" i="32"/>
  <c r="R136" i="32"/>
  <c r="Q136" i="32"/>
  <c r="P136" i="32"/>
  <c r="O136" i="32"/>
  <c r="N136" i="32"/>
  <c r="M136" i="32"/>
  <c r="K136" i="32"/>
  <c r="J136" i="32"/>
  <c r="I136" i="32"/>
  <c r="H136" i="32"/>
  <c r="G136" i="32"/>
  <c r="L136" i="32" s="1"/>
  <c r="F136" i="32"/>
  <c r="E136" i="32"/>
  <c r="S135" i="32"/>
  <c r="R135" i="32"/>
  <c r="Q135" i="32"/>
  <c r="P135" i="32"/>
  <c r="O135" i="32"/>
  <c r="N135" i="32"/>
  <c r="M135" i="32"/>
  <c r="K135" i="32"/>
  <c r="J135" i="32"/>
  <c r="I135" i="32"/>
  <c r="H135" i="32"/>
  <c r="G135" i="32"/>
  <c r="L135" i="32" s="1"/>
  <c r="F135" i="32"/>
  <c r="E135" i="32"/>
  <c r="S134" i="32"/>
  <c r="R134" i="32"/>
  <c r="Q134" i="32"/>
  <c r="P134" i="32"/>
  <c r="O134" i="32"/>
  <c r="N134" i="32"/>
  <c r="M134" i="32"/>
  <c r="K134" i="32"/>
  <c r="J134" i="32"/>
  <c r="I134" i="32"/>
  <c r="H134" i="32"/>
  <c r="G134" i="32"/>
  <c r="L134" i="32" s="1"/>
  <c r="F134" i="32"/>
  <c r="E134" i="32"/>
  <c r="S133" i="32"/>
  <c r="R133" i="32"/>
  <c r="Q133" i="32"/>
  <c r="P133" i="32"/>
  <c r="O133" i="32"/>
  <c r="N133" i="32"/>
  <c r="M133" i="32"/>
  <c r="K133" i="32"/>
  <c r="J133" i="32"/>
  <c r="I133" i="32"/>
  <c r="H133" i="32"/>
  <c r="G133" i="32"/>
  <c r="L133" i="32" s="1"/>
  <c r="F133" i="32"/>
  <c r="E133" i="32"/>
  <c r="S132" i="32"/>
  <c r="R132" i="32"/>
  <c r="Q132" i="32"/>
  <c r="P132" i="32"/>
  <c r="O132" i="32"/>
  <c r="N132" i="32"/>
  <c r="M132" i="32"/>
  <c r="K132" i="32"/>
  <c r="J132" i="32"/>
  <c r="I132" i="32"/>
  <c r="H132" i="32"/>
  <c r="G132" i="32"/>
  <c r="L132" i="32" s="1"/>
  <c r="F132" i="32"/>
  <c r="E132" i="32"/>
  <c r="S131" i="32"/>
  <c r="R131" i="32"/>
  <c r="Q131" i="32"/>
  <c r="P131" i="32"/>
  <c r="O131" i="32"/>
  <c r="N131" i="32"/>
  <c r="M131" i="32"/>
  <c r="K131" i="32"/>
  <c r="J131" i="32"/>
  <c r="I131" i="32"/>
  <c r="H131" i="32"/>
  <c r="G131" i="32"/>
  <c r="L131" i="32" s="1"/>
  <c r="F131" i="32"/>
  <c r="E131" i="32"/>
  <c r="S130" i="32"/>
  <c r="R130" i="32"/>
  <c r="Q130" i="32"/>
  <c r="P130" i="32"/>
  <c r="O130" i="32"/>
  <c r="N130" i="32"/>
  <c r="M130" i="32"/>
  <c r="K130" i="32"/>
  <c r="J130" i="32"/>
  <c r="I130" i="32"/>
  <c r="H130" i="32"/>
  <c r="G130" i="32"/>
  <c r="L130" i="32" s="1"/>
  <c r="F130" i="32"/>
  <c r="E130" i="32"/>
  <c r="S129" i="32"/>
  <c r="R129" i="32"/>
  <c r="Q129" i="32"/>
  <c r="P129" i="32"/>
  <c r="O129" i="32"/>
  <c r="N129" i="32"/>
  <c r="M129" i="32"/>
  <c r="K129" i="32"/>
  <c r="J129" i="32"/>
  <c r="I129" i="32"/>
  <c r="H129" i="32"/>
  <c r="G129" i="32"/>
  <c r="L129" i="32" s="1"/>
  <c r="F129" i="32"/>
  <c r="E129" i="32"/>
  <c r="S128" i="32"/>
  <c r="R128" i="32"/>
  <c r="Q128" i="32"/>
  <c r="P128" i="32"/>
  <c r="O128" i="32"/>
  <c r="N128" i="32"/>
  <c r="M128" i="32"/>
  <c r="K128" i="32"/>
  <c r="J128" i="32"/>
  <c r="I128" i="32"/>
  <c r="H128" i="32"/>
  <c r="G128" i="32"/>
  <c r="L128" i="32" s="1"/>
  <c r="F128" i="32"/>
  <c r="E128" i="32"/>
  <c r="S127" i="32"/>
  <c r="R127" i="32"/>
  <c r="Q127" i="32"/>
  <c r="P127" i="32"/>
  <c r="O127" i="32"/>
  <c r="N127" i="32"/>
  <c r="M127" i="32"/>
  <c r="K127" i="32"/>
  <c r="J127" i="32"/>
  <c r="I127" i="32"/>
  <c r="H127" i="32"/>
  <c r="G127" i="32"/>
  <c r="L127" i="32" s="1"/>
  <c r="F127" i="32"/>
  <c r="E127" i="32"/>
  <c r="S126" i="32"/>
  <c r="R126" i="32"/>
  <c r="Q126" i="32"/>
  <c r="P126" i="32"/>
  <c r="O126" i="32"/>
  <c r="N126" i="32"/>
  <c r="M126" i="32"/>
  <c r="K126" i="32"/>
  <c r="J126" i="32"/>
  <c r="I126" i="32"/>
  <c r="H126" i="32"/>
  <c r="G126" i="32"/>
  <c r="L126" i="32" s="1"/>
  <c r="F126" i="32"/>
  <c r="E126" i="32"/>
  <c r="S125" i="32"/>
  <c r="R125" i="32"/>
  <c r="Q125" i="32"/>
  <c r="P125" i="32"/>
  <c r="O125" i="32"/>
  <c r="N125" i="32"/>
  <c r="M125" i="32"/>
  <c r="K125" i="32"/>
  <c r="J125" i="32"/>
  <c r="I125" i="32"/>
  <c r="H125" i="32"/>
  <c r="G125" i="32"/>
  <c r="L125" i="32" s="1"/>
  <c r="F125" i="32"/>
  <c r="E125" i="32"/>
  <c r="S124" i="32"/>
  <c r="R124" i="32"/>
  <c r="Q124" i="32"/>
  <c r="P124" i="32"/>
  <c r="O124" i="32"/>
  <c r="N124" i="32"/>
  <c r="M124" i="32"/>
  <c r="K124" i="32"/>
  <c r="J124" i="32"/>
  <c r="I124" i="32"/>
  <c r="H124" i="32"/>
  <c r="G124" i="32"/>
  <c r="L124" i="32" s="1"/>
  <c r="F124" i="32"/>
  <c r="E124" i="32"/>
  <c r="S123" i="32"/>
  <c r="R123" i="32"/>
  <c r="Q123" i="32"/>
  <c r="P123" i="32"/>
  <c r="O123" i="32"/>
  <c r="N123" i="32"/>
  <c r="M123" i="32"/>
  <c r="K123" i="32"/>
  <c r="J123" i="32"/>
  <c r="I123" i="32"/>
  <c r="H123" i="32"/>
  <c r="G123" i="32"/>
  <c r="L123" i="32" s="1"/>
  <c r="F123" i="32"/>
  <c r="E123" i="32"/>
  <c r="S122" i="32"/>
  <c r="R122" i="32"/>
  <c r="Q122" i="32"/>
  <c r="P122" i="32"/>
  <c r="O122" i="32"/>
  <c r="N122" i="32"/>
  <c r="M122" i="32"/>
  <c r="K122" i="32"/>
  <c r="J122" i="32"/>
  <c r="I122" i="32"/>
  <c r="H122" i="32"/>
  <c r="G122" i="32"/>
  <c r="L122" i="32" s="1"/>
  <c r="F122" i="32"/>
  <c r="E122" i="32"/>
  <c r="S121" i="32"/>
  <c r="R121" i="32"/>
  <c r="Q121" i="32"/>
  <c r="P121" i="32"/>
  <c r="O121" i="32"/>
  <c r="N121" i="32"/>
  <c r="M121" i="32"/>
  <c r="K121" i="32"/>
  <c r="J121" i="32"/>
  <c r="I121" i="32"/>
  <c r="H121" i="32"/>
  <c r="G121" i="32"/>
  <c r="L121" i="32" s="1"/>
  <c r="F121" i="32"/>
  <c r="E121" i="32"/>
  <c r="S120" i="32"/>
  <c r="R120" i="32"/>
  <c r="Q120" i="32"/>
  <c r="P120" i="32"/>
  <c r="O120" i="32"/>
  <c r="N120" i="32"/>
  <c r="M120" i="32"/>
  <c r="K120" i="32"/>
  <c r="J120" i="32"/>
  <c r="I120" i="32"/>
  <c r="H120" i="32"/>
  <c r="G120" i="32"/>
  <c r="L120" i="32" s="1"/>
  <c r="F120" i="32"/>
  <c r="E120" i="32"/>
  <c r="S119" i="32"/>
  <c r="R119" i="32"/>
  <c r="Q119" i="32"/>
  <c r="P119" i="32"/>
  <c r="O119" i="32"/>
  <c r="N119" i="32"/>
  <c r="M119" i="32"/>
  <c r="K119" i="32"/>
  <c r="J119" i="32"/>
  <c r="I119" i="32"/>
  <c r="H119" i="32"/>
  <c r="G119" i="32"/>
  <c r="L119" i="32" s="1"/>
  <c r="F119" i="32"/>
  <c r="E119" i="32"/>
  <c r="S118" i="32"/>
  <c r="R118" i="32"/>
  <c r="Q118" i="32"/>
  <c r="P118" i="32"/>
  <c r="O118" i="32"/>
  <c r="N118" i="32"/>
  <c r="M118" i="32"/>
  <c r="K118" i="32"/>
  <c r="J118" i="32"/>
  <c r="I118" i="32"/>
  <c r="H118" i="32"/>
  <c r="G118" i="32"/>
  <c r="L118" i="32" s="1"/>
  <c r="F118" i="32"/>
  <c r="E118" i="32"/>
  <c r="S117" i="32"/>
  <c r="R117" i="32"/>
  <c r="Q117" i="32"/>
  <c r="P117" i="32"/>
  <c r="O117" i="32"/>
  <c r="N117" i="32"/>
  <c r="M117" i="32"/>
  <c r="K117" i="32"/>
  <c r="J117" i="32"/>
  <c r="I117" i="32"/>
  <c r="H117" i="32"/>
  <c r="G117" i="32"/>
  <c r="L117" i="32" s="1"/>
  <c r="F117" i="32"/>
  <c r="E117" i="32"/>
  <c r="S116" i="32"/>
  <c r="R116" i="32"/>
  <c r="Q116" i="32"/>
  <c r="P116" i="32"/>
  <c r="O116" i="32"/>
  <c r="N116" i="32"/>
  <c r="M116" i="32"/>
  <c r="K116" i="32"/>
  <c r="J116" i="32"/>
  <c r="I116" i="32"/>
  <c r="H116" i="32"/>
  <c r="G116" i="32"/>
  <c r="L116" i="32" s="1"/>
  <c r="F116" i="32"/>
  <c r="E116" i="32"/>
  <c r="S115" i="32"/>
  <c r="R115" i="32"/>
  <c r="Q115" i="32"/>
  <c r="P115" i="32"/>
  <c r="O115" i="32"/>
  <c r="N115" i="32"/>
  <c r="M115" i="32"/>
  <c r="K115" i="32"/>
  <c r="J115" i="32"/>
  <c r="I115" i="32"/>
  <c r="H115" i="32"/>
  <c r="G115" i="32"/>
  <c r="L115" i="32" s="1"/>
  <c r="F115" i="32"/>
  <c r="E115" i="32"/>
  <c r="S114" i="32"/>
  <c r="R114" i="32"/>
  <c r="Q114" i="32"/>
  <c r="P114" i="32"/>
  <c r="O114" i="32"/>
  <c r="N114" i="32"/>
  <c r="M114" i="32"/>
  <c r="K114" i="32"/>
  <c r="J114" i="32"/>
  <c r="I114" i="32"/>
  <c r="H114" i="32"/>
  <c r="G114" i="32"/>
  <c r="L114" i="32" s="1"/>
  <c r="F114" i="32"/>
  <c r="E114" i="32"/>
  <c r="S113" i="32"/>
  <c r="R113" i="32"/>
  <c r="Q113" i="32"/>
  <c r="P113" i="32"/>
  <c r="O113" i="32"/>
  <c r="N113" i="32"/>
  <c r="M113" i="32"/>
  <c r="K113" i="32"/>
  <c r="J113" i="32"/>
  <c r="I113" i="32"/>
  <c r="H113" i="32"/>
  <c r="G113" i="32"/>
  <c r="L113" i="32" s="1"/>
  <c r="F113" i="32"/>
  <c r="E113" i="32"/>
  <c r="S112" i="32"/>
  <c r="R112" i="32"/>
  <c r="Q112" i="32"/>
  <c r="P112" i="32"/>
  <c r="O112" i="32"/>
  <c r="N112" i="32"/>
  <c r="M112" i="32"/>
  <c r="K112" i="32"/>
  <c r="J112" i="32"/>
  <c r="I112" i="32"/>
  <c r="H112" i="32"/>
  <c r="G112" i="32"/>
  <c r="L112" i="32" s="1"/>
  <c r="F112" i="32"/>
  <c r="E112" i="32"/>
  <c r="S111" i="32"/>
  <c r="R111" i="32"/>
  <c r="Q111" i="32"/>
  <c r="P111" i="32"/>
  <c r="O111" i="32"/>
  <c r="N111" i="32"/>
  <c r="M111" i="32"/>
  <c r="K111" i="32"/>
  <c r="J111" i="32"/>
  <c r="I111" i="32"/>
  <c r="H111" i="32"/>
  <c r="G111" i="32"/>
  <c r="L111" i="32" s="1"/>
  <c r="F111" i="32"/>
  <c r="E111" i="32"/>
  <c r="S110" i="32"/>
  <c r="R110" i="32"/>
  <c r="Q110" i="32"/>
  <c r="P110" i="32"/>
  <c r="O110" i="32"/>
  <c r="N110" i="32"/>
  <c r="M110" i="32"/>
  <c r="K110" i="32"/>
  <c r="J110" i="32"/>
  <c r="I110" i="32"/>
  <c r="H110" i="32"/>
  <c r="G110" i="32"/>
  <c r="L110" i="32" s="1"/>
  <c r="F110" i="32"/>
  <c r="E110" i="32"/>
  <c r="S109" i="32"/>
  <c r="R109" i="32"/>
  <c r="Q109" i="32"/>
  <c r="P109" i="32"/>
  <c r="O109" i="32"/>
  <c r="N109" i="32"/>
  <c r="M109" i="32"/>
  <c r="K109" i="32"/>
  <c r="J109" i="32"/>
  <c r="I109" i="32"/>
  <c r="H109" i="32"/>
  <c r="G109" i="32"/>
  <c r="L109" i="32" s="1"/>
  <c r="F109" i="32"/>
  <c r="E109" i="32"/>
  <c r="S108" i="32"/>
  <c r="R108" i="32"/>
  <c r="Q108" i="32"/>
  <c r="P108" i="32"/>
  <c r="O108" i="32"/>
  <c r="N108" i="32"/>
  <c r="M108" i="32"/>
  <c r="K108" i="32"/>
  <c r="J108" i="32"/>
  <c r="I108" i="32"/>
  <c r="H108" i="32"/>
  <c r="G108" i="32"/>
  <c r="L108" i="32" s="1"/>
  <c r="F108" i="32"/>
  <c r="E108" i="32"/>
  <c r="S107" i="32"/>
  <c r="R107" i="32"/>
  <c r="Q107" i="32"/>
  <c r="P107" i="32"/>
  <c r="O107" i="32"/>
  <c r="N107" i="32"/>
  <c r="M107" i="32"/>
  <c r="K107" i="32"/>
  <c r="J107" i="32"/>
  <c r="I107" i="32"/>
  <c r="H107" i="32"/>
  <c r="G107" i="32"/>
  <c r="L107" i="32" s="1"/>
  <c r="F107" i="32"/>
  <c r="E107" i="32"/>
  <c r="S106" i="32"/>
  <c r="R106" i="32"/>
  <c r="Q106" i="32"/>
  <c r="P106" i="32"/>
  <c r="O106" i="32"/>
  <c r="N106" i="32"/>
  <c r="M106" i="32"/>
  <c r="K106" i="32"/>
  <c r="J106" i="32"/>
  <c r="I106" i="32"/>
  <c r="H106" i="32"/>
  <c r="G106" i="32"/>
  <c r="L106" i="32" s="1"/>
  <c r="F106" i="32"/>
  <c r="E106" i="32"/>
  <c r="S105" i="32"/>
  <c r="R105" i="32"/>
  <c r="Q105" i="32"/>
  <c r="P105" i="32"/>
  <c r="O105" i="32"/>
  <c r="N105" i="32"/>
  <c r="M105" i="32"/>
  <c r="K105" i="32"/>
  <c r="J105" i="32"/>
  <c r="I105" i="32"/>
  <c r="H105" i="32"/>
  <c r="G105" i="32"/>
  <c r="L105" i="32" s="1"/>
  <c r="F105" i="32"/>
  <c r="E105" i="32"/>
  <c r="S104" i="32"/>
  <c r="R104" i="32"/>
  <c r="Q104" i="32"/>
  <c r="P104" i="32"/>
  <c r="O104" i="32"/>
  <c r="N104" i="32"/>
  <c r="M104" i="32"/>
  <c r="K104" i="32"/>
  <c r="J104" i="32"/>
  <c r="I104" i="32"/>
  <c r="H104" i="32"/>
  <c r="G104" i="32"/>
  <c r="L104" i="32" s="1"/>
  <c r="F104" i="32"/>
  <c r="E104" i="32"/>
  <c r="S103" i="32"/>
  <c r="R103" i="32"/>
  <c r="Q103" i="32"/>
  <c r="P103" i="32"/>
  <c r="O103" i="32"/>
  <c r="N103" i="32"/>
  <c r="M103" i="32"/>
  <c r="K103" i="32"/>
  <c r="J103" i="32"/>
  <c r="I103" i="32"/>
  <c r="H103" i="32"/>
  <c r="G103" i="32"/>
  <c r="L103" i="32" s="1"/>
  <c r="F103" i="32"/>
  <c r="E103" i="32"/>
  <c r="S102" i="32"/>
  <c r="R102" i="32"/>
  <c r="Q102" i="32"/>
  <c r="P102" i="32"/>
  <c r="O102" i="32"/>
  <c r="N102" i="32"/>
  <c r="M102" i="32"/>
  <c r="K102" i="32"/>
  <c r="J102" i="32"/>
  <c r="I102" i="32"/>
  <c r="H102" i="32"/>
  <c r="G102" i="32"/>
  <c r="L102" i="32" s="1"/>
  <c r="F102" i="32"/>
  <c r="E102" i="32"/>
  <c r="S101" i="32"/>
  <c r="R101" i="32"/>
  <c r="Q101" i="32"/>
  <c r="P101" i="32"/>
  <c r="O101" i="32"/>
  <c r="N101" i="32"/>
  <c r="M101" i="32"/>
  <c r="K101" i="32"/>
  <c r="J101" i="32"/>
  <c r="I101" i="32"/>
  <c r="H101" i="32"/>
  <c r="G101" i="32"/>
  <c r="L101" i="32" s="1"/>
  <c r="F101" i="32"/>
  <c r="E101" i="32"/>
  <c r="S100" i="32"/>
  <c r="R100" i="32"/>
  <c r="Q100" i="32"/>
  <c r="P100" i="32"/>
  <c r="O100" i="32"/>
  <c r="N100" i="32"/>
  <c r="M100" i="32"/>
  <c r="K100" i="32"/>
  <c r="J100" i="32"/>
  <c r="I100" i="32"/>
  <c r="H100" i="32"/>
  <c r="G100" i="32"/>
  <c r="L100" i="32" s="1"/>
  <c r="F100" i="32"/>
  <c r="E100" i="32"/>
  <c r="S99" i="32"/>
  <c r="R99" i="32"/>
  <c r="Q99" i="32"/>
  <c r="P99" i="32"/>
  <c r="O99" i="32"/>
  <c r="N99" i="32"/>
  <c r="M99" i="32"/>
  <c r="K99" i="32"/>
  <c r="J99" i="32"/>
  <c r="I99" i="32"/>
  <c r="H99" i="32"/>
  <c r="G99" i="32"/>
  <c r="L99" i="32" s="1"/>
  <c r="F99" i="32"/>
  <c r="E99" i="32"/>
  <c r="S98" i="32"/>
  <c r="R98" i="32"/>
  <c r="Q98" i="32"/>
  <c r="P98" i="32"/>
  <c r="O98" i="32"/>
  <c r="N98" i="32"/>
  <c r="M98" i="32"/>
  <c r="K98" i="32"/>
  <c r="J98" i="32"/>
  <c r="I98" i="32"/>
  <c r="H98" i="32"/>
  <c r="G98" i="32"/>
  <c r="L98" i="32" s="1"/>
  <c r="F98" i="32"/>
  <c r="E98" i="32"/>
  <c r="S97" i="32"/>
  <c r="R97" i="32"/>
  <c r="Q97" i="32"/>
  <c r="P97" i="32"/>
  <c r="O97" i="32"/>
  <c r="N97" i="32"/>
  <c r="M97" i="32"/>
  <c r="K97" i="32"/>
  <c r="J97" i="32"/>
  <c r="I97" i="32"/>
  <c r="H97" i="32"/>
  <c r="G97" i="32"/>
  <c r="L97" i="32" s="1"/>
  <c r="F97" i="32"/>
  <c r="E97" i="32"/>
  <c r="S96" i="32"/>
  <c r="R96" i="32"/>
  <c r="Q96" i="32"/>
  <c r="P96" i="32"/>
  <c r="O96" i="32"/>
  <c r="N96" i="32"/>
  <c r="M96" i="32"/>
  <c r="K96" i="32"/>
  <c r="J96" i="32"/>
  <c r="I96" i="32"/>
  <c r="H96" i="32"/>
  <c r="G96" i="32"/>
  <c r="L96" i="32" s="1"/>
  <c r="F96" i="32"/>
  <c r="E96" i="32"/>
  <c r="S95" i="32"/>
  <c r="R95" i="32"/>
  <c r="Q95" i="32"/>
  <c r="P95" i="32"/>
  <c r="O95" i="32"/>
  <c r="N95" i="32"/>
  <c r="M95" i="32"/>
  <c r="K95" i="32"/>
  <c r="J95" i="32"/>
  <c r="I95" i="32"/>
  <c r="H95" i="32"/>
  <c r="G95" i="32"/>
  <c r="L95" i="32" s="1"/>
  <c r="F95" i="32"/>
  <c r="E95" i="32"/>
  <c r="S94" i="32"/>
  <c r="R94" i="32"/>
  <c r="Q94" i="32"/>
  <c r="P94" i="32"/>
  <c r="O94" i="32"/>
  <c r="N94" i="32"/>
  <c r="M94" i="32"/>
  <c r="K94" i="32"/>
  <c r="J94" i="32"/>
  <c r="I94" i="32"/>
  <c r="H94" i="32"/>
  <c r="G94" i="32"/>
  <c r="L94" i="32" s="1"/>
  <c r="F94" i="32"/>
  <c r="E94" i="32"/>
  <c r="S93" i="32"/>
  <c r="R93" i="32"/>
  <c r="Q93" i="32"/>
  <c r="P93" i="32"/>
  <c r="O93" i="32"/>
  <c r="N93" i="32"/>
  <c r="M93" i="32"/>
  <c r="K93" i="32"/>
  <c r="J93" i="32"/>
  <c r="I93" i="32"/>
  <c r="H93" i="32"/>
  <c r="G93" i="32"/>
  <c r="L93" i="32" s="1"/>
  <c r="F93" i="32"/>
  <c r="E93" i="32"/>
  <c r="S92" i="32"/>
  <c r="R92" i="32"/>
  <c r="Q92" i="32"/>
  <c r="P92" i="32"/>
  <c r="O92" i="32"/>
  <c r="N92" i="32"/>
  <c r="M92" i="32"/>
  <c r="K92" i="32"/>
  <c r="J92" i="32"/>
  <c r="I92" i="32"/>
  <c r="H92" i="32"/>
  <c r="G92" i="32"/>
  <c r="L92" i="32" s="1"/>
  <c r="F92" i="32"/>
  <c r="E92" i="32"/>
  <c r="S91" i="32"/>
  <c r="R91" i="32"/>
  <c r="Q91" i="32"/>
  <c r="P91" i="32"/>
  <c r="O91" i="32"/>
  <c r="N91" i="32"/>
  <c r="M91" i="32"/>
  <c r="K91" i="32"/>
  <c r="J91" i="32"/>
  <c r="I91" i="32"/>
  <c r="H91" i="32"/>
  <c r="G91" i="32"/>
  <c r="L91" i="32" s="1"/>
  <c r="F91" i="32"/>
  <c r="E91" i="32"/>
  <c r="S90" i="32"/>
  <c r="R90" i="32"/>
  <c r="Q90" i="32"/>
  <c r="P90" i="32"/>
  <c r="O90" i="32"/>
  <c r="N90" i="32"/>
  <c r="M90" i="32"/>
  <c r="K90" i="32"/>
  <c r="J90" i="32"/>
  <c r="I90" i="32"/>
  <c r="H90" i="32"/>
  <c r="G90" i="32"/>
  <c r="L90" i="32" s="1"/>
  <c r="F90" i="32"/>
  <c r="E90" i="32"/>
  <c r="S89" i="32"/>
  <c r="R89" i="32"/>
  <c r="Q89" i="32"/>
  <c r="P89" i="32"/>
  <c r="O89" i="32"/>
  <c r="N89" i="32"/>
  <c r="M89" i="32"/>
  <c r="K89" i="32"/>
  <c r="J89" i="32"/>
  <c r="I89" i="32"/>
  <c r="H89" i="32"/>
  <c r="G89" i="32"/>
  <c r="L89" i="32" s="1"/>
  <c r="F89" i="32"/>
  <c r="E89" i="32"/>
  <c r="S88" i="32"/>
  <c r="R88" i="32"/>
  <c r="Q88" i="32"/>
  <c r="P88" i="32"/>
  <c r="O88" i="32"/>
  <c r="N88" i="32"/>
  <c r="M88" i="32"/>
  <c r="K88" i="32"/>
  <c r="J88" i="32"/>
  <c r="I88" i="32"/>
  <c r="H88" i="32"/>
  <c r="G88" i="32"/>
  <c r="L88" i="32" s="1"/>
  <c r="F88" i="32"/>
  <c r="E88" i="32"/>
  <c r="S87" i="32"/>
  <c r="R87" i="32"/>
  <c r="Q87" i="32"/>
  <c r="P87" i="32"/>
  <c r="O87" i="32"/>
  <c r="N87" i="32"/>
  <c r="M87" i="32"/>
  <c r="K87" i="32"/>
  <c r="J87" i="32"/>
  <c r="I87" i="32"/>
  <c r="H87" i="32"/>
  <c r="G87" i="32"/>
  <c r="L87" i="32" s="1"/>
  <c r="F87" i="32"/>
  <c r="E87" i="32"/>
  <c r="S86" i="32"/>
  <c r="R86" i="32"/>
  <c r="Q86" i="32"/>
  <c r="P86" i="32"/>
  <c r="O86" i="32"/>
  <c r="N86" i="32"/>
  <c r="M86" i="32"/>
  <c r="K86" i="32"/>
  <c r="J86" i="32"/>
  <c r="I86" i="32"/>
  <c r="H86" i="32"/>
  <c r="G86" i="32"/>
  <c r="L86" i="32" s="1"/>
  <c r="F86" i="32"/>
  <c r="E86" i="32"/>
  <c r="S85" i="32"/>
  <c r="R85" i="32"/>
  <c r="Q85" i="32"/>
  <c r="P85" i="32"/>
  <c r="O85" i="32"/>
  <c r="N85" i="32"/>
  <c r="M85" i="32"/>
  <c r="K85" i="32"/>
  <c r="J85" i="32"/>
  <c r="I85" i="32"/>
  <c r="H85" i="32"/>
  <c r="G85" i="32"/>
  <c r="L85" i="32" s="1"/>
  <c r="F85" i="32"/>
  <c r="E85" i="32"/>
  <c r="S84" i="32"/>
  <c r="R84" i="32"/>
  <c r="Q84" i="32"/>
  <c r="P84" i="32"/>
  <c r="O84" i="32"/>
  <c r="N84" i="32"/>
  <c r="M84" i="32"/>
  <c r="K84" i="32"/>
  <c r="J84" i="32"/>
  <c r="I84" i="32"/>
  <c r="H84" i="32"/>
  <c r="G84" i="32"/>
  <c r="L84" i="32" s="1"/>
  <c r="F84" i="32"/>
  <c r="E84" i="32"/>
  <c r="S83" i="32"/>
  <c r="R83" i="32"/>
  <c r="Q83" i="32"/>
  <c r="P83" i="32"/>
  <c r="O83" i="32"/>
  <c r="N83" i="32"/>
  <c r="M83" i="32"/>
  <c r="K83" i="32"/>
  <c r="J83" i="32"/>
  <c r="I83" i="32"/>
  <c r="H83" i="32"/>
  <c r="G83" i="32"/>
  <c r="L83" i="32" s="1"/>
  <c r="F83" i="32"/>
  <c r="E83" i="32"/>
  <c r="S82" i="32"/>
  <c r="R82" i="32"/>
  <c r="Q82" i="32"/>
  <c r="P82" i="32"/>
  <c r="O82" i="32"/>
  <c r="N82" i="32"/>
  <c r="M82" i="32"/>
  <c r="K82" i="32"/>
  <c r="J82" i="32"/>
  <c r="I82" i="32"/>
  <c r="H82" i="32"/>
  <c r="G82" i="32"/>
  <c r="L82" i="32" s="1"/>
  <c r="F82" i="32"/>
  <c r="E82" i="32"/>
  <c r="S81" i="32"/>
  <c r="R81" i="32"/>
  <c r="Q81" i="32"/>
  <c r="P81" i="32"/>
  <c r="O81" i="32"/>
  <c r="N81" i="32"/>
  <c r="M81" i="32"/>
  <c r="K81" i="32"/>
  <c r="J81" i="32"/>
  <c r="I81" i="32"/>
  <c r="H81" i="32"/>
  <c r="G81" i="32"/>
  <c r="L81" i="32" s="1"/>
  <c r="F81" i="32"/>
  <c r="E81" i="32"/>
  <c r="S80" i="32"/>
  <c r="R80" i="32"/>
  <c r="Q80" i="32"/>
  <c r="P80" i="32"/>
  <c r="O80" i="32"/>
  <c r="N80" i="32"/>
  <c r="M80" i="32"/>
  <c r="K80" i="32"/>
  <c r="J80" i="32"/>
  <c r="I80" i="32"/>
  <c r="H80" i="32"/>
  <c r="G80" i="32"/>
  <c r="L80" i="32" s="1"/>
  <c r="F80" i="32"/>
  <c r="E80" i="32"/>
  <c r="S79" i="32"/>
  <c r="R79" i="32"/>
  <c r="Q79" i="32"/>
  <c r="P79" i="32"/>
  <c r="O79" i="32"/>
  <c r="N79" i="32"/>
  <c r="M79" i="32"/>
  <c r="K79" i="32"/>
  <c r="J79" i="32"/>
  <c r="I79" i="32"/>
  <c r="H79" i="32"/>
  <c r="G79" i="32"/>
  <c r="L79" i="32" s="1"/>
  <c r="F79" i="32"/>
  <c r="E79" i="32"/>
  <c r="S78" i="32"/>
  <c r="R78" i="32"/>
  <c r="Q78" i="32"/>
  <c r="P78" i="32"/>
  <c r="O78" i="32"/>
  <c r="N78" i="32"/>
  <c r="M78" i="32"/>
  <c r="K78" i="32"/>
  <c r="J78" i="32"/>
  <c r="I78" i="32"/>
  <c r="H78" i="32"/>
  <c r="G78" i="32"/>
  <c r="L78" i="32" s="1"/>
  <c r="F78" i="32"/>
  <c r="E78" i="32"/>
  <c r="S77" i="32"/>
  <c r="R77" i="32"/>
  <c r="Q77" i="32"/>
  <c r="P77" i="32"/>
  <c r="O77" i="32"/>
  <c r="N77" i="32"/>
  <c r="M77" i="32"/>
  <c r="K77" i="32"/>
  <c r="J77" i="32"/>
  <c r="I77" i="32"/>
  <c r="H77" i="32"/>
  <c r="G77" i="32"/>
  <c r="L77" i="32" s="1"/>
  <c r="F77" i="32"/>
  <c r="E77" i="32"/>
  <c r="S76" i="32"/>
  <c r="R76" i="32"/>
  <c r="Q76" i="32"/>
  <c r="P76" i="32"/>
  <c r="O76" i="32"/>
  <c r="N76" i="32"/>
  <c r="M76" i="32"/>
  <c r="K76" i="32"/>
  <c r="J76" i="32"/>
  <c r="I76" i="32"/>
  <c r="H76" i="32"/>
  <c r="G76" i="32"/>
  <c r="L76" i="32" s="1"/>
  <c r="F76" i="32"/>
  <c r="E76" i="32"/>
  <c r="S75" i="32"/>
  <c r="R75" i="32"/>
  <c r="Q75" i="32"/>
  <c r="P75" i="32"/>
  <c r="O75" i="32"/>
  <c r="N75" i="32"/>
  <c r="M75" i="32"/>
  <c r="K75" i="32"/>
  <c r="J75" i="32"/>
  <c r="I75" i="32"/>
  <c r="H75" i="32"/>
  <c r="G75" i="32"/>
  <c r="L75" i="32" s="1"/>
  <c r="F75" i="32"/>
  <c r="E75" i="32"/>
  <c r="S74" i="32"/>
  <c r="R74" i="32"/>
  <c r="Q74" i="32"/>
  <c r="P74" i="32"/>
  <c r="O74" i="32"/>
  <c r="N74" i="32"/>
  <c r="M74" i="32"/>
  <c r="K74" i="32"/>
  <c r="J74" i="32"/>
  <c r="I74" i="32"/>
  <c r="H74" i="32"/>
  <c r="G74" i="32"/>
  <c r="L74" i="32" s="1"/>
  <c r="F74" i="32"/>
  <c r="E74" i="32"/>
  <c r="S73" i="32"/>
  <c r="R73" i="32"/>
  <c r="Q73" i="32"/>
  <c r="P73" i="32"/>
  <c r="O73" i="32"/>
  <c r="N73" i="32"/>
  <c r="M73" i="32"/>
  <c r="K73" i="32"/>
  <c r="J73" i="32"/>
  <c r="I73" i="32"/>
  <c r="H73" i="32"/>
  <c r="G73" i="32"/>
  <c r="L73" i="32" s="1"/>
  <c r="F73" i="32"/>
  <c r="E73" i="32"/>
  <c r="S72" i="32"/>
  <c r="R72" i="32"/>
  <c r="Q72" i="32"/>
  <c r="P72" i="32"/>
  <c r="O72" i="32"/>
  <c r="N72" i="32"/>
  <c r="M72" i="32"/>
  <c r="K72" i="32"/>
  <c r="J72" i="32"/>
  <c r="I72" i="32"/>
  <c r="H72" i="32"/>
  <c r="G72" i="32"/>
  <c r="L72" i="32" s="1"/>
  <c r="F72" i="32"/>
  <c r="E72" i="32"/>
  <c r="S71" i="32"/>
  <c r="R71" i="32"/>
  <c r="Q71" i="32"/>
  <c r="P71" i="32"/>
  <c r="O71" i="32"/>
  <c r="N71" i="32"/>
  <c r="M71" i="32"/>
  <c r="K71" i="32"/>
  <c r="J71" i="32"/>
  <c r="I71" i="32"/>
  <c r="H71" i="32"/>
  <c r="G71" i="32"/>
  <c r="L71" i="32" s="1"/>
  <c r="F71" i="32"/>
  <c r="E71" i="32"/>
  <c r="S70" i="32"/>
  <c r="R70" i="32"/>
  <c r="Q70" i="32"/>
  <c r="P70" i="32"/>
  <c r="O70" i="32"/>
  <c r="N70" i="32"/>
  <c r="M70" i="32"/>
  <c r="K70" i="32"/>
  <c r="J70" i="32"/>
  <c r="I70" i="32"/>
  <c r="H70" i="32"/>
  <c r="G70" i="32"/>
  <c r="L70" i="32" s="1"/>
  <c r="F70" i="32"/>
  <c r="E70" i="32"/>
  <c r="S69" i="32"/>
  <c r="R69" i="32"/>
  <c r="Q69" i="32"/>
  <c r="P69" i="32"/>
  <c r="O69" i="32"/>
  <c r="N69" i="32"/>
  <c r="M69" i="32"/>
  <c r="K69" i="32"/>
  <c r="J69" i="32"/>
  <c r="I69" i="32"/>
  <c r="H69" i="32"/>
  <c r="G69" i="32"/>
  <c r="L69" i="32" s="1"/>
  <c r="F69" i="32"/>
  <c r="E69" i="32"/>
  <c r="S68" i="32"/>
  <c r="R68" i="32"/>
  <c r="Q68" i="32"/>
  <c r="P68" i="32"/>
  <c r="O68" i="32"/>
  <c r="N68" i="32"/>
  <c r="M68" i="32"/>
  <c r="K68" i="32"/>
  <c r="J68" i="32"/>
  <c r="I68" i="32"/>
  <c r="H68" i="32"/>
  <c r="G68" i="32"/>
  <c r="L68" i="32" s="1"/>
  <c r="F68" i="32"/>
  <c r="E68" i="32"/>
  <c r="S67" i="32"/>
  <c r="R67" i="32"/>
  <c r="Q67" i="32"/>
  <c r="P67" i="32"/>
  <c r="O67" i="32"/>
  <c r="N67" i="32"/>
  <c r="M67" i="32"/>
  <c r="K67" i="32"/>
  <c r="J67" i="32"/>
  <c r="I67" i="32"/>
  <c r="H67" i="32"/>
  <c r="G67" i="32"/>
  <c r="L67" i="32" s="1"/>
  <c r="F67" i="32"/>
  <c r="E67" i="32"/>
  <c r="S66" i="32"/>
  <c r="R66" i="32"/>
  <c r="Q66" i="32"/>
  <c r="P66" i="32"/>
  <c r="O66" i="32"/>
  <c r="N66" i="32"/>
  <c r="M66" i="32"/>
  <c r="K66" i="32"/>
  <c r="J66" i="32"/>
  <c r="I66" i="32"/>
  <c r="H66" i="32"/>
  <c r="G66" i="32"/>
  <c r="L66" i="32" s="1"/>
  <c r="F66" i="32"/>
  <c r="E66" i="32"/>
  <c r="S65" i="32"/>
  <c r="R65" i="32"/>
  <c r="Q65" i="32"/>
  <c r="P65" i="32"/>
  <c r="O65" i="32"/>
  <c r="N65" i="32"/>
  <c r="M65" i="32"/>
  <c r="K65" i="32"/>
  <c r="J65" i="32"/>
  <c r="I65" i="32"/>
  <c r="H65" i="32"/>
  <c r="G65" i="32"/>
  <c r="L65" i="32" s="1"/>
  <c r="F65" i="32"/>
  <c r="E65" i="32"/>
  <c r="S64" i="32"/>
  <c r="R64" i="32"/>
  <c r="Q64" i="32"/>
  <c r="P64" i="32"/>
  <c r="O64" i="32"/>
  <c r="N64" i="32"/>
  <c r="M64" i="32"/>
  <c r="K64" i="32"/>
  <c r="J64" i="32"/>
  <c r="I64" i="32"/>
  <c r="H64" i="32"/>
  <c r="G64" i="32"/>
  <c r="L64" i="32" s="1"/>
  <c r="F64" i="32"/>
  <c r="E64" i="32"/>
  <c r="S63" i="32"/>
  <c r="R63" i="32"/>
  <c r="Q63" i="32"/>
  <c r="P63" i="32"/>
  <c r="O63" i="32"/>
  <c r="N63" i="32"/>
  <c r="M63" i="32"/>
  <c r="K63" i="32"/>
  <c r="J63" i="32"/>
  <c r="I63" i="32"/>
  <c r="H63" i="32"/>
  <c r="G63" i="32"/>
  <c r="L63" i="32" s="1"/>
  <c r="F63" i="32"/>
  <c r="E63" i="32"/>
  <c r="S62" i="32"/>
  <c r="R62" i="32"/>
  <c r="Q62" i="32"/>
  <c r="P62" i="32"/>
  <c r="O62" i="32"/>
  <c r="N62" i="32"/>
  <c r="M62" i="32"/>
  <c r="K62" i="32"/>
  <c r="J62" i="32"/>
  <c r="I62" i="32"/>
  <c r="H62" i="32"/>
  <c r="G62" i="32"/>
  <c r="L62" i="32" s="1"/>
  <c r="F62" i="32"/>
  <c r="E62" i="32"/>
  <c r="S61" i="32"/>
  <c r="R61" i="32"/>
  <c r="Q61" i="32"/>
  <c r="P61" i="32"/>
  <c r="O61" i="32"/>
  <c r="N61" i="32"/>
  <c r="M61" i="32"/>
  <c r="K61" i="32"/>
  <c r="J61" i="32"/>
  <c r="I61" i="32"/>
  <c r="H61" i="32"/>
  <c r="G61" i="32"/>
  <c r="L61" i="32" s="1"/>
  <c r="F61" i="32"/>
  <c r="E61" i="32"/>
  <c r="S60" i="32"/>
  <c r="R60" i="32"/>
  <c r="Q60" i="32"/>
  <c r="P60" i="32"/>
  <c r="O60" i="32"/>
  <c r="N60" i="32"/>
  <c r="M60" i="32"/>
  <c r="K60" i="32"/>
  <c r="J60" i="32"/>
  <c r="I60" i="32"/>
  <c r="H60" i="32"/>
  <c r="G60" i="32"/>
  <c r="L60" i="32" s="1"/>
  <c r="F60" i="32"/>
  <c r="E60" i="32"/>
  <c r="S59" i="32"/>
  <c r="R59" i="32"/>
  <c r="Q59" i="32"/>
  <c r="P59" i="32"/>
  <c r="O59" i="32"/>
  <c r="N59" i="32"/>
  <c r="M59" i="32"/>
  <c r="K59" i="32"/>
  <c r="J59" i="32"/>
  <c r="I59" i="32"/>
  <c r="H59" i="32"/>
  <c r="G59" i="32"/>
  <c r="L59" i="32" s="1"/>
  <c r="F59" i="32"/>
  <c r="E59" i="32"/>
  <c r="S58" i="32"/>
  <c r="R58" i="32"/>
  <c r="Q58" i="32"/>
  <c r="P58" i="32"/>
  <c r="O58" i="32"/>
  <c r="N58" i="32"/>
  <c r="M58" i="32"/>
  <c r="K58" i="32"/>
  <c r="J58" i="32"/>
  <c r="I58" i="32"/>
  <c r="H58" i="32"/>
  <c r="G58" i="32"/>
  <c r="L58" i="32" s="1"/>
  <c r="F58" i="32"/>
  <c r="E58" i="32"/>
  <c r="S57" i="32"/>
  <c r="R57" i="32"/>
  <c r="Q57" i="32"/>
  <c r="P57" i="32"/>
  <c r="O57" i="32"/>
  <c r="N57" i="32"/>
  <c r="M57" i="32"/>
  <c r="K57" i="32"/>
  <c r="J57" i="32"/>
  <c r="I57" i="32"/>
  <c r="H57" i="32"/>
  <c r="G57" i="32"/>
  <c r="L57" i="32" s="1"/>
  <c r="F57" i="32"/>
  <c r="E57" i="32"/>
  <c r="S56" i="32"/>
  <c r="R56" i="32"/>
  <c r="Q56" i="32"/>
  <c r="P56" i="32"/>
  <c r="O56" i="32"/>
  <c r="N56" i="32"/>
  <c r="M56" i="32"/>
  <c r="K56" i="32"/>
  <c r="J56" i="32"/>
  <c r="I56" i="32"/>
  <c r="H56" i="32"/>
  <c r="G56" i="32"/>
  <c r="L56" i="32" s="1"/>
  <c r="F56" i="32"/>
  <c r="E56" i="32"/>
  <c r="S55" i="32"/>
  <c r="R55" i="32"/>
  <c r="Q55" i="32"/>
  <c r="P55" i="32"/>
  <c r="O55" i="32"/>
  <c r="N55" i="32"/>
  <c r="M55" i="32"/>
  <c r="K55" i="32"/>
  <c r="J55" i="32"/>
  <c r="I55" i="32"/>
  <c r="H55" i="32"/>
  <c r="G55" i="32"/>
  <c r="L55" i="32" s="1"/>
  <c r="F55" i="32"/>
  <c r="E55" i="32"/>
  <c r="S54" i="32"/>
  <c r="R54" i="32"/>
  <c r="Q54" i="32"/>
  <c r="P54" i="32"/>
  <c r="O54" i="32"/>
  <c r="N54" i="32"/>
  <c r="M54" i="32"/>
  <c r="K54" i="32"/>
  <c r="J54" i="32"/>
  <c r="I54" i="32"/>
  <c r="H54" i="32"/>
  <c r="G54" i="32"/>
  <c r="L54" i="32" s="1"/>
  <c r="F54" i="32"/>
  <c r="E54" i="32"/>
  <c r="S53" i="32"/>
  <c r="R53" i="32"/>
  <c r="Q53" i="32"/>
  <c r="P53" i="32"/>
  <c r="O53" i="32"/>
  <c r="N53" i="32"/>
  <c r="M53" i="32"/>
  <c r="K53" i="32"/>
  <c r="J53" i="32"/>
  <c r="I53" i="32"/>
  <c r="H53" i="32"/>
  <c r="G53" i="32"/>
  <c r="L53" i="32" s="1"/>
  <c r="F53" i="32"/>
  <c r="E53" i="32"/>
  <c r="S52" i="32"/>
  <c r="R52" i="32"/>
  <c r="Q52" i="32"/>
  <c r="P52" i="32"/>
  <c r="O52" i="32"/>
  <c r="N52" i="32"/>
  <c r="M52" i="32"/>
  <c r="K52" i="32"/>
  <c r="J52" i="32"/>
  <c r="I52" i="32"/>
  <c r="H52" i="32"/>
  <c r="G52" i="32"/>
  <c r="L52" i="32" s="1"/>
  <c r="F52" i="32"/>
  <c r="E52" i="32"/>
  <c r="S51" i="32"/>
  <c r="R51" i="32"/>
  <c r="Q51" i="32"/>
  <c r="P51" i="32"/>
  <c r="O51" i="32"/>
  <c r="N51" i="32"/>
  <c r="M51" i="32"/>
  <c r="K51" i="32"/>
  <c r="J51" i="32"/>
  <c r="I51" i="32"/>
  <c r="H51" i="32"/>
  <c r="G51" i="32"/>
  <c r="L51" i="32" s="1"/>
  <c r="F51" i="32"/>
  <c r="E51" i="32"/>
  <c r="S50" i="32"/>
  <c r="R50" i="32"/>
  <c r="Q50" i="32"/>
  <c r="P50" i="32"/>
  <c r="O50" i="32"/>
  <c r="N50" i="32"/>
  <c r="M50" i="32"/>
  <c r="K50" i="32"/>
  <c r="J50" i="32"/>
  <c r="I50" i="32"/>
  <c r="H50" i="32"/>
  <c r="G50" i="32"/>
  <c r="L50" i="32" s="1"/>
  <c r="F50" i="32"/>
  <c r="E50" i="32"/>
  <c r="S49" i="32"/>
  <c r="R49" i="32"/>
  <c r="Q49" i="32"/>
  <c r="P49" i="32"/>
  <c r="O49" i="32"/>
  <c r="N49" i="32"/>
  <c r="M49" i="32"/>
  <c r="K49" i="32"/>
  <c r="J49" i="32"/>
  <c r="I49" i="32"/>
  <c r="H49" i="32"/>
  <c r="G49" i="32"/>
  <c r="L49" i="32" s="1"/>
  <c r="F49" i="32"/>
  <c r="E49" i="32"/>
  <c r="S48" i="32"/>
  <c r="R48" i="32"/>
  <c r="Q48" i="32"/>
  <c r="P48" i="32"/>
  <c r="O48" i="32"/>
  <c r="N48" i="32"/>
  <c r="M48" i="32"/>
  <c r="K48" i="32"/>
  <c r="J48" i="32"/>
  <c r="I48" i="32"/>
  <c r="H48" i="32"/>
  <c r="G48" i="32"/>
  <c r="L48" i="32" s="1"/>
  <c r="F48" i="32"/>
  <c r="E48" i="32"/>
  <c r="S47" i="32"/>
  <c r="R47" i="32"/>
  <c r="Q47" i="32"/>
  <c r="P47" i="32"/>
  <c r="O47" i="32"/>
  <c r="N47" i="32"/>
  <c r="M47" i="32"/>
  <c r="K47" i="32"/>
  <c r="J47" i="32"/>
  <c r="I47" i="32"/>
  <c r="H47" i="32"/>
  <c r="G47" i="32"/>
  <c r="L47" i="32" s="1"/>
  <c r="F47" i="32"/>
  <c r="E47" i="32"/>
  <c r="S46" i="32"/>
  <c r="R46" i="32"/>
  <c r="Q46" i="32"/>
  <c r="P46" i="32"/>
  <c r="O46" i="32"/>
  <c r="N46" i="32"/>
  <c r="M46" i="32"/>
  <c r="K46" i="32"/>
  <c r="J46" i="32"/>
  <c r="I46" i="32"/>
  <c r="H46" i="32"/>
  <c r="G46" i="32"/>
  <c r="L46" i="32" s="1"/>
  <c r="F46" i="32"/>
  <c r="E46" i="32"/>
  <c r="S45" i="32"/>
  <c r="R45" i="32"/>
  <c r="Q45" i="32"/>
  <c r="P45" i="32"/>
  <c r="O45" i="32"/>
  <c r="N45" i="32"/>
  <c r="M45" i="32"/>
  <c r="K45" i="32"/>
  <c r="J45" i="32"/>
  <c r="I45" i="32"/>
  <c r="H45" i="32"/>
  <c r="G45" i="32"/>
  <c r="L45" i="32" s="1"/>
  <c r="F45" i="32"/>
  <c r="E45" i="32"/>
  <c r="S44" i="32"/>
  <c r="R44" i="32"/>
  <c r="Q44" i="32"/>
  <c r="P44" i="32"/>
  <c r="O44" i="32"/>
  <c r="N44" i="32"/>
  <c r="M44" i="32"/>
  <c r="K44" i="32"/>
  <c r="J44" i="32"/>
  <c r="I44" i="32"/>
  <c r="H44" i="32"/>
  <c r="G44" i="32"/>
  <c r="L44" i="32" s="1"/>
  <c r="F44" i="32"/>
  <c r="E44" i="32"/>
  <c r="S43" i="32"/>
  <c r="R43" i="32"/>
  <c r="Q43" i="32"/>
  <c r="P43" i="32"/>
  <c r="O43" i="32"/>
  <c r="N43" i="32"/>
  <c r="M43" i="32"/>
  <c r="K43" i="32"/>
  <c r="J43" i="32"/>
  <c r="I43" i="32"/>
  <c r="H43" i="32"/>
  <c r="G43" i="32"/>
  <c r="L43" i="32" s="1"/>
  <c r="F43" i="32"/>
  <c r="E43" i="32"/>
  <c r="S42" i="32"/>
  <c r="R42" i="32"/>
  <c r="Q42" i="32"/>
  <c r="P42" i="32"/>
  <c r="O42" i="32"/>
  <c r="N42" i="32"/>
  <c r="M42" i="32"/>
  <c r="K42" i="32"/>
  <c r="J42" i="32"/>
  <c r="I42" i="32"/>
  <c r="H42" i="32"/>
  <c r="G42" i="32"/>
  <c r="L42" i="32" s="1"/>
  <c r="F42" i="32"/>
  <c r="E42" i="32"/>
  <c r="S41" i="32"/>
  <c r="R41" i="32"/>
  <c r="Q41" i="32"/>
  <c r="P41" i="32"/>
  <c r="O41" i="32"/>
  <c r="N41" i="32"/>
  <c r="M41" i="32"/>
  <c r="K41" i="32"/>
  <c r="J41" i="32"/>
  <c r="I41" i="32"/>
  <c r="H41" i="32"/>
  <c r="G41" i="32"/>
  <c r="L41" i="32" s="1"/>
  <c r="F41" i="32"/>
  <c r="E41" i="32"/>
  <c r="S40" i="32"/>
  <c r="R40" i="32"/>
  <c r="Q40" i="32"/>
  <c r="P40" i="32"/>
  <c r="O40" i="32"/>
  <c r="N40" i="32"/>
  <c r="M40" i="32"/>
  <c r="K40" i="32"/>
  <c r="J40" i="32"/>
  <c r="I40" i="32"/>
  <c r="H40" i="32"/>
  <c r="G40" i="32"/>
  <c r="L40" i="32" s="1"/>
  <c r="F40" i="32"/>
  <c r="E40" i="32"/>
  <c r="S39" i="32"/>
  <c r="R39" i="32"/>
  <c r="Q39" i="32"/>
  <c r="P39" i="32"/>
  <c r="O39" i="32"/>
  <c r="N39" i="32"/>
  <c r="M39" i="32"/>
  <c r="K39" i="32"/>
  <c r="J39" i="32"/>
  <c r="I39" i="32"/>
  <c r="H39" i="32"/>
  <c r="G39" i="32"/>
  <c r="L39" i="32" s="1"/>
  <c r="F39" i="32"/>
  <c r="E39" i="32"/>
  <c r="S38" i="32"/>
  <c r="R38" i="32"/>
  <c r="Q38" i="32"/>
  <c r="P38" i="32"/>
  <c r="O38" i="32"/>
  <c r="N38" i="32"/>
  <c r="M38" i="32"/>
  <c r="K38" i="32"/>
  <c r="J38" i="32"/>
  <c r="I38" i="32"/>
  <c r="H38" i="32"/>
  <c r="G38" i="32"/>
  <c r="L38" i="32" s="1"/>
  <c r="F38" i="32"/>
  <c r="E38" i="32"/>
  <c r="S37" i="32"/>
  <c r="R37" i="32"/>
  <c r="Q37" i="32"/>
  <c r="P37" i="32"/>
  <c r="O37" i="32"/>
  <c r="N37" i="32"/>
  <c r="M37" i="32"/>
  <c r="K37" i="32"/>
  <c r="J37" i="32"/>
  <c r="I37" i="32"/>
  <c r="H37" i="32"/>
  <c r="G37" i="32"/>
  <c r="L37" i="32" s="1"/>
  <c r="F37" i="32"/>
  <c r="E37" i="32"/>
  <c r="S36" i="32"/>
  <c r="R36" i="32"/>
  <c r="Q36" i="32"/>
  <c r="P36" i="32"/>
  <c r="O36" i="32"/>
  <c r="N36" i="32"/>
  <c r="M36" i="32"/>
  <c r="K36" i="32"/>
  <c r="J36" i="32"/>
  <c r="I36" i="32"/>
  <c r="H36" i="32"/>
  <c r="G36" i="32"/>
  <c r="L36" i="32" s="1"/>
  <c r="F36" i="32"/>
  <c r="E36" i="32"/>
  <c r="S35" i="32"/>
  <c r="R35" i="32"/>
  <c r="Q35" i="32"/>
  <c r="P35" i="32"/>
  <c r="O35" i="32"/>
  <c r="N35" i="32"/>
  <c r="M35" i="32"/>
  <c r="K35" i="32"/>
  <c r="J35" i="32"/>
  <c r="I35" i="32"/>
  <c r="H35" i="32"/>
  <c r="G35" i="32"/>
  <c r="L35" i="32" s="1"/>
  <c r="F35" i="32"/>
  <c r="E35" i="32"/>
  <c r="S34" i="32"/>
  <c r="R34" i="32"/>
  <c r="Q34" i="32"/>
  <c r="P34" i="32"/>
  <c r="O34" i="32"/>
  <c r="N34" i="32"/>
  <c r="M34" i="32"/>
  <c r="K34" i="32"/>
  <c r="J34" i="32"/>
  <c r="I34" i="32"/>
  <c r="H34" i="32"/>
  <c r="G34" i="32"/>
  <c r="L34" i="32" s="1"/>
  <c r="F34" i="32"/>
  <c r="E34" i="32"/>
  <c r="S33" i="32"/>
  <c r="R33" i="32"/>
  <c r="Q33" i="32"/>
  <c r="P33" i="32"/>
  <c r="O33" i="32"/>
  <c r="N33" i="32"/>
  <c r="M33" i="32"/>
  <c r="K33" i="32"/>
  <c r="J33" i="32"/>
  <c r="I33" i="32"/>
  <c r="H33" i="32"/>
  <c r="G33" i="32"/>
  <c r="L33" i="32" s="1"/>
  <c r="F33" i="32"/>
  <c r="E33" i="32"/>
  <c r="S32" i="32"/>
  <c r="R32" i="32"/>
  <c r="Q32" i="32"/>
  <c r="P32" i="32"/>
  <c r="O32" i="32"/>
  <c r="N32" i="32"/>
  <c r="M32" i="32"/>
  <c r="K32" i="32"/>
  <c r="J32" i="32"/>
  <c r="I32" i="32"/>
  <c r="H32" i="32"/>
  <c r="G32" i="32"/>
  <c r="L32" i="32" s="1"/>
  <c r="F32" i="32"/>
  <c r="E32" i="32"/>
  <c r="S31" i="32"/>
  <c r="R31" i="32"/>
  <c r="Q31" i="32"/>
  <c r="P31" i="32"/>
  <c r="O31" i="32"/>
  <c r="N31" i="32"/>
  <c r="M31" i="32"/>
  <c r="K31" i="32"/>
  <c r="J31" i="32"/>
  <c r="I31" i="32"/>
  <c r="H31" i="32"/>
  <c r="G31" i="32"/>
  <c r="L31" i="32" s="1"/>
  <c r="F31" i="32"/>
  <c r="E31" i="32"/>
  <c r="S30" i="32"/>
  <c r="R30" i="32"/>
  <c r="Q30" i="32"/>
  <c r="P30" i="32"/>
  <c r="O30" i="32"/>
  <c r="N30" i="32"/>
  <c r="M30" i="32"/>
  <c r="K30" i="32"/>
  <c r="J30" i="32"/>
  <c r="I30" i="32"/>
  <c r="H30" i="32"/>
  <c r="G30" i="32"/>
  <c r="L30" i="32" s="1"/>
  <c r="F30" i="32"/>
  <c r="E30" i="32"/>
  <c r="S29" i="32"/>
  <c r="R29" i="32"/>
  <c r="Q29" i="32"/>
  <c r="P29" i="32"/>
  <c r="O29" i="32"/>
  <c r="N29" i="32"/>
  <c r="M29" i="32"/>
  <c r="K29" i="32"/>
  <c r="J29" i="32"/>
  <c r="I29" i="32"/>
  <c r="H29" i="32"/>
  <c r="G29" i="32"/>
  <c r="L29" i="32" s="1"/>
  <c r="F29" i="32"/>
  <c r="E29" i="32"/>
  <c r="S28" i="32"/>
  <c r="R28" i="32"/>
  <c r="Q28" i="32"/>
  <c r="P28" i="32"/>
  <c r="O28" i="32"/>
  <c r="N28" i="32"/>
  <c r="M28" i="32"/>
  <c r="K28" i="32"/>
  <c r="J28" i="32"/>
  <c r="I28" i="32"/>
  <c r="H28" i="32"/>
  <c r="G28" i="32"/>
  <c r="L28" i="32" s="1"/>
  <c r="F28" i="32"/>
  <c r="E28" i="32"/>
  <c r="S27" i="32"/>
  <c r="R27" i="32"/>
  <c r="Q27" i="32"/>
  <c r="P27" i="32"/>
  <c r="O27" i="32"/>
  <c r="N27" i="32"/>
  <c r="M27" i="32"/>
  <c r="K27" i="32"/>
  <c r="J27" i="32"/>
  <c r="I27" i="32"/>
  <c r="H27" i="32"/>
  <c r="G27" i="32"/>
  <c r="L27" i="32" s="1"/>
  <c r="F27" i="32"/>
  <c r="E27" i="32"/>
  <c r="S26" i="32"/>
  <c r="R26" i="32"/>
  <c r="Q26" i="32"/>
  <c r="P26" i="32"/>
  <c r="O26" i="32"/>
  <c r="N26" i="32"/>
  <c r="M26" i="32"/>
  <c r="K26" i="32"/>
  <c r="J26" i="32"/>
  <c r="I26" i="32"/>
  <c r="H26" i="32"/>
  <c r="G26" i="32"/>
  <c r="L26" i="32" s="1"/>
  <c r="F26" i="32"/>
  <c r="E26" i="32"/>
  <c r="S25" i="32"/>
  <c r="R25" i="32"/>
  <c r="Q25" i="32"/>
  <c r="P25" i="32"/>
  <c r="O25" i="32"/>
  <c r="N25" i="32"/>
  <c r="M25" i="32"/>
  <c r="K25" i="32"/>
  <c r="J25" i="32"/>
  <c r="I25" i="32"/>
  <c r="H25" i="32"/>
  <c r="G25" i="32"/>
  <c r="L25" i="32" s="1"/>
  <c r="F25" i="32"/>
  <c r="E25" i="32"/>
  <c r="S24" i="32"/>
  <c r="R24" i="32"/>
  <c r="Q24" i="32"/>
  <c r="P24" i="32"/>
  <c r="O24" i="32"/>
  <c r="N24" i="32"/>
  <c r="M24" i="32"/>
  <c r="K24" i="32"/>
  <c r="J24" i="32"/>
  <c r="I24" i="32"/>
  <c r="H24" i="32"/>
  <c r="G24" i="32"/>
  <c r="L24" i="32" s="1"/>
  <c r="F24" i="32"/>
  <c r="E24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S22" i="32"/>
  <c r="R22" i="32"/>
  <c r="Q22" i="32"/>
  <c r="P22" i="32"/>
  <c r="O22" i="32"/>
  <c r="N22" i="32"/>
  <c r="M22" i="32"/>
  <c r="K22" i="32"/>
  <c r="J22" i="32"/>
  <c r="I22" i="32"/>
  <c r="H22" i="32"/>
  <c r="G22" i="32"/>
  <c r="L22" i="32" s="1"/>
  <c r="F22" i="32"/>
  <c r="E22" i="32"/>
  <c r="S21" i="32"/>
  <c r="R21" i="32"/>
  <c r="Q21" i="32"/>
  <c r="P21" i="32"/>
  <c r="O21" i="32"/>
  <c r="N21" i="32"/>
  <c r="M21" i="32"/>
  <c r="K21" i="32"/>
  <c r="J21" i="32"/>
  <c r="I21" i="32"/>
  <c r="H21" i="32"/>
  <c r="G21" i="32"/>
  <c r="L21" i="32" s="1"/>
  <c r="F21" i="32"/>
  <c r="E21" i="32"/>
  <c r="S20" i="32"/>
  <c r="R20" i="32"/>
  <c r="Q20" i="32"/>
  <c r="P20" i="32"/>
  <c r="O20" i="32"/>
  <c r="N20" i="32"/>
  <c r="M20" i="32"/>
  <c r="K20" i="32"/>
  <c r="J20" i="32"/>
  <c r="I20" i="32"/>
  <c r="H20" i="32"/>
  <c r="G20" i="32"/>
  <c r="L20" i="32" s="1"/>
  <c r="F20" i="32"/>
  <c r="E20" i="32"/>
  <c r="S19" i="32"/>
  <c r="R19" i="32"/>
  <c r="Q19" i="32"/>
  <c r="P19" i="32"/>
  <c r="O19" i="32"/>
  <c r="N19" i="32"/>
  <c r="M19" i="32"/>
  <c r="K19" i="32"/>
  <c r="J19" i="32"/>
  <c r="I19" i="32"/>
  <c r="H19" i="32"/>
  <c r="G19" i="32"/>
  <c r="L19" i="32" s="1"/>
  <c r="F19" i="32"/>
  <c r="E19" i="32"/>
  <c r="S18" i="32"/>
  <c r="R18" i="32"/>
  <c r="Q18" i="32"/>
  <c r="P18" i="32"/>
  <c r="O18" i="32"/>
  <c r="N18" i="32"/>
  <c r="M18" i="32"/>
  <c r="K18" i="32"/>
  <c r="J18" i="32"/>
  <c r="I18" i="32"/>
  <c r="H18" i="32"/>
  <c r="G18" i="32"/>
  <c r="L18" i="32" s="1"/>
  <c r="F18" i="32"/>
  <c r="E18" i="32"/>
  <c r="S17" i="32"/>
  <c r="R17" i="32"/>
  <c r="Q17" i="32"/>
  <c r="P17" i="32"/>
  <c r="O17" i="32"/>
  <c r="N17" i="32"/>
  <c r="M17" i="32"/>
  <c r="K17" i="32"/>
  <c r="J17" i="32"/>
  <c r="I17" i="32"/>
  <c r="H17" i="32"/>
  <c r="G17" i="32"/>
  <c r="L17" i="32" s="1"/>
  <c r="F17" i="32"/>
  <c r="E17" i="32"/>
  <c r="S16" i="32"/>
  <c r="R16" i="32"/>
  <c r="Q16" i="32"/>
  <c r="P16" i="32"/>
  <c r="O16" i="32"/>
  <c r="N16" i="32"/>
  <c r="M16" i="32"/>
  <c r="K16" i="32"/>
  <c r="J16" i="32"/>
  <c r="I16" i="32"/>
  <c r="H16" i="32"/>
  <c r="G16" i="32"/>
  <c r="L16" i="32" s="1"/>
  <c r="F16" i="32"/>
  <c r="E16" i="32"/>
  <c r="S15" i="32"/>
  <c r="R15" i="32"/>
  <c r="Q15" i="32"/>
  <c r="P15" i="32"/>
  <c r="O15" i="32"/>
  <c r="N15" i="32"/>
  <c r="M15" i="32"/>
  <c r="K15" i="32"/>
  <c r="J15" i="32"/>
  <c r="I15" i="32"/>
  <c r="H15" i="32"/>
  <c r="G15" i="32"/>
  <c r="L15" i="32" s="1"/>
  <c r="F15" i="32"/>
  <c r="E15" i="32"/>
  <c r="S14" i="32"/>
  <c r="R14" i="32"/>
  <c r="Q14" i="32"/>
  <c r="P14" i="32"/>
  <c r="O14" i="32"/>
  <c r="N14" i="32"/>
  <c r="M14" i="32"/>
  <c r="K14" i="32"/>
  <c r="J14" i="32"/>
  <c r="I14" i="32"/>
  <c r="H14" i="32"/>
  <c r="G14" i="32"/>
  <c r="L14" i="32" s="1"/>
  <c r="F14" i="32"/>
  <c r="E14" i="32"/>
  <c r="S13" i="32"/>
  <c r="R13" i="32"/>
  <c r="Q13" i="32"/>
  <c r="P13" i="32"/>
  <c r="O13" i="32"/>
  <c r="N13" i="32"/>
  <c r="M13" i="32"/>
  <c r="K13" i="32"/>
  <c r="J13" i="32"/>
  <c r="I13" i="32"/>
  <c r="H13" i="32"/>
  <c r="G13" i="32"/>
  <c r="L13" i="32" s="1"/>
  <c r="F13" i="32"/>
  <c r="E13" i="32"/>
  <c r="S12" i="32"/>
  <c r="R12" i="32"/>
  <c r="Q12" i="32"/>
  <c r="P12" i="32"/>
  <c r="O12" i="32"/>
  <c r="N12" i="32"/>
  <c r="M12" i="32"/>
  <c r="K12" i="32"/>
  <c r="J12" i="32"/>
  <c r="I12" i="32"/>
  <c r="H12" i="32"/>
  <c r="G12" i="32"/>
  <c r="L12" i="32" s="1"/>
  <c r="F12" i="32"/>
  <c r="E12" i="32"/>
  <c r="S11" i="32"/>
  <c r="R11" i="32"/>
  <c r="Q11" i="32"/>
  <c r="P11" i="32"/>
  <c r="O11" i="32"/>
  <c r="N11" i="32"/>
  <c r="M11" i="32"/>
  <c r="K11" i="32"/>
  <c r="J11" i="32"/>
  <c r="I11" i="32"/>
  <c r="H11" i="32"/>
  <c r="G11" i="32"/>
  <c r="L11" i="32" s="1"/>
  <c r="F11" i="32"/>
  <c r="E11" i="32"/>
  <c r="S10" i="32"/>
  <c r="R10" i="32"/>
  <c r="Q10" i="32"/>
  <c r="P10" i="32"/>
  <c r="O10" i="32"/>
  <c r="N10" i="32"/>
  <c r="M10" i="32"/>
  <c r="K10" i="32"/>
  <c r="J10" i="32"/>
  <c r="I10" i="32"/>
  <c r="H10" i="32"/>
  <c r="G10" i="32"/>
  <c r="L10" i="32" s="1"/>
  <c r="F10" i="32"/>
  <c r="E10" i="32"/>
  <c r="S9" i="32"/>
  <c r="R9" i="32"/>
  <c r="Q9" i="32"/>
  <c r="O9" i="32"/>
  <c r="N9" i="32"/>
  <c r="M9" i="32"/>
  <c r="H9" i="32"/>
  <c r="F9" i="32"/>
  <c r="E9" i="32"/>
  <c r="G9" i="32" s="1"/>
  <c r="S8" i="32"/>
  <c r="R8" i="32"/>
  <c r="Q8" i="32"/>
  <c r="O8" i="32"/>
  <c r="N8" i="32"/>
  <c r="M8" i="32"/>
  <c r="H8" i="32"/>
  <c r="F8" i="32"/>
  <c r="E8" i="32"/>
  <c r="G8" i="32" s="1"/>
  <c r="S7" i="32"/>
  <c r="R7" i="32"/>
  <c r="Q7" i="32"/>
  <c r="O7" i="32"/>
  <c r="N7" i="32"/>
  <c r="M7" i="32"/>
  <c r="H7" i="32"/>
  <c r="F7" i="32"/>
  <c r="E7" i="32"/>
  <c r="G7" i="32" s="1"/>
  <c r="S6" i="32"/>
  <c r="R6" i="32"/>
  <c r="Q6" i="32"/>
  <c r="O6" i="32"/>
  <c r="N6" i="32"/>
  <c r="M6" i="32"/>
  <c r="H6" i="32"/>
  <c r="F6" i="32"/>
  <c r="E6" i="32"/>
  <c r="G6" i="32" s="1"/>
  <c r="S5" i="32"/>
  <c r="R5" i="32"/>
  <c r="Q5" i="32"/>
  <c r="O5" i="32"/>
  <c r="N5" i="32"/>
  <c r="M5" i="32"/>
  <c r="H5" i="32"/>
  <c r="F5" i="32"/>
  <c r="E5" i="32"/>
  <c r="G5" i="32" s="1"/>
  <c r="B22" i="31"/>
  <c r="B40" i="30"/>
  <c r="B13" i="30"/>
  <c r="B6" i="30"/>
  <c r="A21" i="29"/>
  <c r="A20" i="29"/>
  <c r="A19" i="29"/>
  <c r="A18" i="29"/>
  <c r="A17" i="29"/>
  <c r="A16" i="29"/>
  <c r="E10" i="29"/>
  <c r="D10" i="29"/>
  <c r="E9" i="29"/>
  <c r="D9" i="29"/>
  <c r="E8" i="29"/>
  <c r="D8" i="29"/>
  <c r="E7" i="29"/>
  <c r="D7" i="29"/>
  <c r="E6" i="29"/>
  <c r="D6" i="29"/>
  <c r="E5" i="29"/>
  <c r="D5" i="29"/>
  <c r="O10" i="28"/>
  <c r="M10" i="28"/>
  <c r="I10" i="28"/>
  <c r="E21" i="29" s="1"/>
  <c r="H10" i="28"/>
  <c r="D21" i="29" s="1"/>
  <c r="G10" i="28"/>
  <c r="C21" i="29" s="1"/>
  <c r="E10" i="28"/>
  <c r="F10" i="28" s="1"/>
  <c r="J10" i="28" s="1"/>
  <c r="D10" i="28"/>
  <c r="B21" i="29" s="1"/>
  <c r="O9" i="28"/>
  <c r="M9" i="28"/>
  <c r="J9" i="28"/>
  <c r="I9" i="28"/>
  <c r="E20" i="29" s="1"/>
  <c r="H9" i="28"/>
  <c r="D20" i="29" s="1"/>
  <c r="G9" i="28"/>
  <c r="C20" i="29" s="1"/>
  <c r="E9" i="28"/>
  <c r="F9" i="28" s="1"/>
  <c r="D9" i="28"/>
  <c r="B20" i="29" s="1"/>
  <c r="O8" i="28"/>
  <c r="M8" i="28"/>
  <c r="J8" i="28"/>
  <c r="I8" i="28"/>
  <c r="E19" i="29" s="1"/>
  <c r="H8" i="28"/>
  <c r="D19" i="29" s="1"/>
  <c r="G8" i="28"/>
  <c r="C19" i="29" s="1"/>
  <c r="E8" i="28"/>
  <c r="F8" i="28" s="1"/>
  <c r="D8" i="28"/>
  <c r="B19" i="29" s="1"/>
  <c r="O7" i="28"/>
  <c r="M7" i="28"/>
  <c r="J7" i="28"/>
  <c r="I7" i="28"/>
  <c r="E18" i="29" s="1"/>
  <c r="H7" i="28"/>
  <c r="D18" i="29" s="1"/>
  <c r="G7" i="28"/>
  <c r="C18" i="29" s="1"/>
  <c r="E7" i="28"/>
  <c r="F7" i="28" s="1"/>
  <c r="D7" i="28"/>
  <c r="B18" i="29" s="1"/>
  <c r="O6" i="28"/>
  <c r="M6" i="28"/>
  <c r="H6" i="28"/>
  <c r="E6" i="28"/>
  <c r="D6" i="28"/>
  <c r="B17" i="29" s="1"/>
  <c r="O5" i="28"/>
  <c r="B11" i="29" s="1"/>
  <c r="M5" i="28"/>
  <c r="H5" i="28"/>
  <c r="E5" i="28"/>
  <c r="D5" i="28"/>
  <c r="B16" i="29" s="1"/>
  <c r="L100" i="27"/>
  <c r="L99" i="27"/>
  <c r="L98" i="27"/>
  <c r="L97" i="27"/>
  <c r="L96" i="27"/>
  <c r="L95" i="27"/>
  <c r="L94" i="27"/>
  <c r="L93" i="27"/>
  <c r="L92" i="27"/>
  <c r="L91" i="27"/>
  <c r="L90" i="27"/>
  <c r="L89" i="27"/>
  <c r="L88" i="27"/>
  <c r="L87" i="27"/>
  <c r="L86" i="27"/>
  <c r="L85" i="27"/>
  <c r="L84" i="27"/>
  <c r="L83" i="27"/>
  <c r="L82" i="27"/>
  <c r="L81" i="27"/>
  <c r="L80" i="27"/>
  <c r="L79" i="27"/>
  <c r="L78" i="27"/>
  <c r="L77" i="27"/>
  <c r="L76" i="27"/>
  <c r="L75" i="27"/>
  <c r="L74" i="27"/>
  <c r="L73" i="27"/>
  <c r="L72" i="27"/>
  <c r="L71" i="27"/>
  <c r="L70" i="27"/>
  <c r="L69" i="27"/>
  <c r="L68" i="27"/>
  <c r="L67" i="27"/>
  <c r="L66" i="27"/>
  <c r="L65" i="27"/>
  <c r="L64" i="27"/>
  <c r="L63" i="27"/>
  <c r="L62" i="27"/>
  <c r="L61" i="27"/>
  <c r="L60" i="27"/>
  <c r="L59" i="27"/>
  <c r="L58" i="27"/>
  <c r="L57" i="27"/>
  <c r="L56" i="27"/>
  <c r="L55" i="27"/>
  <c r="L54" i="27"/>
  <c r="L53" i="27"/>
  <c r="L52" i="27"/>
  <c r="L51" i="27"/>
  <c r="L50" i="27"/>
  <c r="L49" i="27"/>
  <c r="L48" i="27"/>
  <c r="L47" i="27"/>
  <c r="L46" i="27"/>
  <c r="L45" i="27"/>
  <c r="L44" i="27"/>
  <c r="L43" i="27"/>
  <c r="L42" i="27"/>
  <c r="L41" i="27"/>
  <c r="L40" i="27"/>
  <c r="L39" i="27"/>
  <c r="L38" i="27"/>
  <c r="L37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Q204" i="26"/>
  <c r="I204" i="26"/>
  <c r="Q203" i="26"/>
  <c r="I203" i="26"/>
  <c r="Q202" i="26"/>
  <c r="I202" i="26"/>
  <c r="Q201" i="26"/>
  <c r="I201" i="26"/>
  <c r="Q200" i="26"/>
  <c r="I200" i="26"/>
  <c r="Q199" i="26"/>
  <c r="I199" i="26"/>
  <c r="Q198" i="26"/>
  <c r="I198" i="26"/>
  <c r="Q197" i="26"/>
  <c r="I197" i="26"/>
  <c r="Q196" i="26"/>
  <c r="I196" i="26"/>
  <c r="Q195" i="26"/>
  <c r="I195" i="26"/>
  <c r="Q194" i="26"/>
  <c r="I194" i="26"/>
  <c r="Q193" i="26"/>
  <c r="I193" i="26"/>
  <c r="Q192" i="26"/>
  <c r="I192" i="26"/>
  <c r="Q191" i="26"/>
  <c r="I191" i="26"/>
  <c r="Q190" i="26"/>
  <c r="I190" i="26"/>
  <c r="Q189" i="26"/>
  <c r="I189" i="26"/>
  <c r="Q188" i="26"/>
  <c r="I188" i="26"/>
  <c r="Q187" i="26"/>
  <c r="I187" i="26"/>
  <c r="Q186" i="26"/>
  <c r="I186" i="26"/>
  <c r="Q185" i="26"/>
  <c r="I185" i="26"/>
  <c r="Q184" i="26"/>
  <c r="I184" i="26"/>
  <c r="Q183" i="26"/>
  <c r="I183" i="26"/>
  <c r="Q182" i="26"/>
  <c r="I182" i="26"/>
  <c r="Q181" i="26"/>
  <c r="I181" i="26"/>
  <c r="Q180" i="26"/>
  <c r="I180" i="26"/>
  <c r="Q179" i="26"/>
  <c r="I179" i="26"/>
  <c r="Q178" i="26"/>
  <c r="I178" i="26"/>
  <c r="Q177" i="26"/>
  <c r="I177" i="26"/>
  <c r="Q176" i="26"/>
  <c r="I176" i="26"/>
  <c r="Q175" i="26"/>
  <c r="I175" i="26"/>
  <c r="Q174" i="26"/>
  <c r="I174" i="26"/>
  <c r="Q173" i="26"/>
  <c r="I173" i="26"/>
  <c r="Q172" i="26"/>
  <c r="I172" i="26"/>
  <c r="Q171" i="26"/>
  <c r="I171" i="26"/>
  <c r="Q170" i="26"/>
  <c r="I170" i="26"/>
  <c r="Q169" i="26"/>
  <c r="I169" i="26"/>
  <c r="Q168" i="26"/>
  <c r="I168" i="26"/>
  <c r="Q167" i="26"/>
  <c r="I167" i="26"/>
  <c r="Q166" i="26"/>
  <c r="I166" i="26"/>
  <c r="Q165" i="26"/>
  <c r="I165" i="26"/>
  <c r="Q164" i="26"/>
  <c r="I164" i="26"/>
  <c r="Q163" i="26"/>
  <c r="I163" i="26"/>
  <c r="Q162" i="26"/>
  <c r="I162" i="26"/>
  <c r="Q161" i="26"/>
  <c r="I161" i="26"/>
  <c r="Q160" i="26"/>
  <c r="I160" i="26"/>
  <c r="Q159" i="26"/>
  <c r="I159" i="26"/>
  <c r="Q158" i="26"/>
  <c r="I158" i="26"/>
  <c r="Q157" i="26"/>
  <c r="I157" i="26"/>
  <c r="Q156" i="26"/>
  <c r="I156" i="26"/>
  <c r="Q155" i="26"/>
  <c r="I155" i="26"/>
  <c r="Q154" i="26"/>
  <c r="I154" i="26"/>
  <c r="Q153" i="26"/>
  <c r="I153" i="26"/>
  <c r="Q152" i="26"/>
  <c r="I152" i="26"/>
  <c r="Q151" i="26"/>
  <c r="I151" i="26"/>
  <c r="Q150" i="26"/>
  <c r="I150" i="26"/>
  <c r="Q149" i="26"/>
  <c r="I149" i="26"/>
  <c r="Q148" i="26"/>
  <c r="I148" i="26"/>
  <c r="Q147" i="26"/>
  <c r="I147" i="26"/>
  <c r="Q146" i="26"/>
  <c r="I146" i="26"/>
  <c r="Q145" i="26"/>
  <c r="I145" i="26"/>
  <c r="Q144" i="26"/>
  <c r="I144" i="26"/>
  <c r="Q143" i="26"/>
  <c r="I143" i="26"/>
  <c r="Q142" i="26"/>
  <c r="I142" i="26"/>
  <c r="Q141" i="26"/>
  <c r="I141" i="26"/>
  <c r="Q140" i="26"/>
  <c r="I140" i="26"/>
  <c r="Q139" i="26"/>
  <c r="I139" i="26"/>
  <c r="Q138" i="26"/>
  <c r="I138" i="26"/>
  <c r="Q137" i="26"/>
  <c r="I137" i="26"/>
  <c r="Q136" i="26"/>
  <c r="I136" i="26"/>
  <c r="Q135" i="26"/>
  <c r="I135" i="26"/>
  <c r="Q134" i="26"/>
  <c r="I134" i="26"/>
  <c r="Q133" i="26"/>
  <c r="I133" i="26"/>
  <c r="Q132" i="26"/>
  <c r="I132" i="26"/>
  <c r="Q131" i="26"/>
  <c r="I131" i="26"/>
  <c r="Q130" i="26"/>
  <c r="I130" i="26"/>
  <c r="Q129" i="26"/>
  <c r="I129" i="26"/>
  <c r="Q128" i="26"/>
  <c r="I128" i="26"/>
  <c r="Q127" i="26"/>
  <c r="I127" i="26"/>
  <c r="Q126" i="26"/>
  <c r="I126" i="26"/>
  <c r="Q125" i="26"/>
  <c r="I125" i="26"/>
  <c r="Q124" i="26"/>
  <c r="I124" i="26"/>
  <c r="Q123" i="26"/>
  <c r="I123" i="26"/>
  <c r="Q122" i="26"/>
  <c r="I122" i="26"/>
  <c r="Q121" i="26"/>
  <c r="I121" i="26"/>
  <c r="Q120" i="26"/>
  <c r="I120" i="26"/>
  <c r="Q119" i="26"/>
  <c r="I119" i="26"/>
  <c r="Q118" i="26"/>
  <c r="I118" i="26"/>
  <c r="Q117" i="26"/>
  <c r="I117" i="26"/>
  <c r="Q116" i="26"/>
  <c r="I116" i="26"/>
  <c r="Q115" i="26"/>
  <c r="I115" i="26"/>
  <c r="Q114" i="26"/>
  <c r="I114" i="26"/>
  <c r="Q113" i="26"/>
  <c r="I113" i="26"/>
  <c r="Q112" i="26"/>
  <c r="I112" i="26"/>
  <c r="Q111" i="26"/>
  <c r="I111" i="26"/>
  <c r="Q110" i="26"/>
  <c r="I110" i="26"/>
  <c r="Q109" i="26"/>
  <c r="I109" i="26"/>
  <c r="Q108" i="26"/>
  <c r="I108" i="26"/>
  <c r="Q107" i="26"/>
  <c r="I107" i="26"/>
  <c r="Q106" i="26"/>
  <c r="I106" i="26"/>
  <c r="Q105" i="26"/>
  <c r="I105" i="26"/>
  <c r="Q104" i="26"/>
  <c r="I104" i="26"/>
  <c r="Q103" i="26"/>
  <c r="I103" i="26"/>
  <c r="Q102" i="26"/>
  <c r="I102" i="26"/>
  <c r="Q101" i="26"/>
  <c r="I101" i="26"/>
  <c r="Q100" i="26"/>
  <c r="I100" i="26"/>
  <c r="Q99" i="26"/>
  <c r="I99" i="26"/>
  <c r="Q98" i="26"/>
  <c r="I98" i="26"/>
  <c r="Q97" i="26"/>
  <c r="I97" i="26"/>
  <c r="Q96" i="26"/>
  <c r="I96" i="26"/>
  <c r="Q95" i="26"/>
  <c r="I95" i="26"/>
  <c r="Q94" i="26"/>
  <c r="I94" i="26"/>
  <c r="Q93" i="26"/>
  <c r="I93" i="26"/>
  <c r="Q92" i="26"/>
  <c r="I92" i="26"/>
  <c r="Q91" i="26"/>
  <c r="I91" i="26"/>
  <c r="Q90" i="26"/>
  <c r="I90" i="26"/>
  <c r="Q89" i="26"/>
  <c r="I89" i="26"/>
  <c r="Q88" i="26"/>
  <c r="I88" i="26"/>
  <c r="Q87" i="26"/>
  <c r="I87" i="26"/>
  <c r="Q86" i="26"/>
  <c r="I86" i="26"/>
  <c r="Q85" i="26"/>
  <c r="I85" i="26"/>
  <c r="Q84" i="26"/>
  <c r="I84" i="26"/>
  <c r="Q83" i="26"/>
  <c r="I83" i="26"/>
  <c r="Q82" i="26"/>
  <c r="I82" i="26"/>
  <c r="Q81" i="26"/>
  <c r="I81" i="26"/>
  <c r="Q80" i="26"/>
  <c r="I80" i="26"/>
  <c r="Q79" i="26"/>
  <c r="I79" i="26"/>
  <c r="Q78" i="26"/>
  <c r="I78" i="26"/>
  <c r="Q77" i="26"/>
  <c r="I77" i="26"/>
  <c r="Q76" i="26"/>
  <c r="I76" i="26"/>
  <c r="Q75" i="26"/>
  <c r="I75" i="26"/>
  <c r="Q74" i="26"/>
  <c r="I74" i="26"/>
  <c r="Q73" i="26"/>
  <c r="I73" i="26"/>
  <c r="Q72" i="26"/>
  <c r="I72" i="26"/>
  <c r="Q71" i="26"/>
  <c r="I71" i="26"/>
  <c r="Q70" i="26"/>
  <c r="I70" i="26"/>
  <c r="Q69" i="26"/>
  <c r="I69" i="26"/>
  <c r="Q68" i="26"/>
  <c r="I68" i="26"/>
  <c r="Q67" i="26"/>
  <c r="I67" i="26"/>
  <c r="Q66" i="26"/>
  <c r="I66" i="26"/>
  <c r="Q65" i="26"/>
  <c r="I65" i="26"/>
  <c r="Q64" i="26"/>
  <c r="I64" i="26"/>
  <c r="Q63" i="26"/>
  <c r="I63" i="26"/>
  <c r="Q62" i="26"/>
  <c r="I62" i="26"/>
  <c r="Q61" i="26"/>
  <c r="I61" i="26"/>
  <c r="Q60" i="26"/>
  <c r="I60" i="26"/>
  <c r="Q59" i="26"/>
  <c r="I59" i="26"/>
  <c r="Q58" i="26"/>
  <c r="I58" i="26"/>
  <c r="Q57" i="26"/>
  <c r="I57" i="26"/>
  <c r="Q56" i="26"/>
  <c r="I56" i="26"/>
  <c r="Q55" i="26"/>
  <c r="I55" i="26"/>
  <c r="Q54" i="26"/>
  <c r="I54" i="26"/>
  <c r="Q53" i="26"/>
  <c r="I53" i="26"/>
  <c r="Q52" i="26"/>
  <c r="I52" i="26"/>
  <c r="Q51" i="26"/>
  <c r="I51" i="26"/>
  <c r="Q50" i="26"/>
  <c r="I50" i="26"/>
  <c r="Q49" i="26"/>
  <c r="I49" i="26"/>
  <c r="Q48" i="26"/>
  <c r="I48" i="26"/>
  <c r="Q47" i="26"/>
  <c r="I47" i="26"/>
  <c r="Q46" i="26"/>
  <c r="I46" i="26"/>
  <c r="Q45" i="26"/>
  <c r="I45" i="26"/>
  <c r="Q44" i="26"/>
  <c r="I44" i="26"/>
  <c r="Q43" i="26"/>
  <c r="I43" i="26"/>
  <c r="Q42" i="26"/>
  <c r="I42" i="26"/>
  <c r="Q41" i="26"/>
  <c r="I41" i="26"/>
  <c r="Q40" i="26"/>
  <c r="I40" i="26"/>
  <c r="Q39" i="26"/>
  <c r="I39" i="26"/>
  <c r="Q38" i="26"/>
  <c r="I38" i="26"/>
  <c r="Q37" i="26"/>
  <c r="I37" i="26"/>
  <c r="Q36" i="26"/>
  <c r="I36" i="26"/>
  <c r="Q35" i="26"/>
  <c r="I35" i="26"/>
  <c r="Q34" i="26"/>
  <c r="I34" i="26"/>
  <c r="Q33" i="26"/>
  <c r="I33" i="26"/>
  <c r="Q32" i="26"/>
  <c r="I32" i="26"/>
  <c r="Q31" i="26"/>
  <c r="I31" i="26"/>
  <c r="Q30" i="26"/>
  <c r="I30" i="26"/>
  <c r="Q29" i="26"/>
  <c r="I29" i="26"/>
  <c r="Q28" i="26"/>
  <c r="I28" i="26"/>
  <c r="Q27" i="26"/>
  <c r="I27" i="26"/>
  <c r="Q26" i="26"/>
  <c r="I26" i="26"/>
  <c r="Q25" i="26"/>
  <c r="I25" i="26"/>
  <c r="Q24" i="26"/>
  <c r="I24" i="26"/>
  <c r="Q23" i="26"/>
  <c r="I23" i="26"/>
  <c r="Q22" i="26"/>
  <c r="I22" i="26"/>
  <c r="Q21" i="26"/>
  <c r="I21" i="26"/>
  <c r="Q20" i="26"/>
  <c r="I20" i="26"/>
  <c r="Q19" i="26"/>
  <c r="I19" i="26"/>
  <c r="Q18" i="26"/>
  <c r="I18" i="26"/>
  <c r="Q17" i="26"/>
  <c r="I17" i="26"/>
  <c r="Q16" i="26"/>
  <c r="I16" i="26"/>
  <c r="Q15" i="26"/>
  <c r="I15" i="26"/>
  <c r="Q14" i="26"/>
  <c r="I14" i="26"/>
  <c r="Q13" i="26"/>
  <c r="I13" i="26"/>
  <c r="Q12" i="26"/>
  <c r="I12" i="26"/>
  <c r="Q11" i="26"/>
  <c r="I11" i="26"/>
  <c r="Q10" i="26"/>
  <c r="I10" i="26"/>
  <c r="Q9" i="26"/>
  <c r="I9" i="26"/>
  <c r="I9" i="32" s="1"/>
  <c r="Q8" i="26"/>
  <c r="I8" i="26"/>
  <c r="I8" i="32" s="1"/>
  <c r="Q7" i="26"/>
  <c r="I7" i="26"/>
  <c r="I7" i="32" s="1"/>
  <c r="Q6" i="26"/>
  <c r="I6" i="26"/>
  <c r="I6" i="32" s="1"/>
  <c r="Q5" i="26"/>
  <c r="I5" i="26"/>
  <c r="I5" i="32" s="1"/>
  <c r="V5" i="32" s="1"/>
  <c r="R203" i="25"/>
  <c r="N203" i="25"/>
  <c r="M203" i="25"/>
  <c r="L203" i="25"/>
  <c r="I203" i="25"/>
  <c r="R202" i="25"/>
  <c r="N202" i="25"/>
  <c r="M202" i="25"/>
  <c r="L202" i="25"/>
  <c r="I202" i="25"/>
  <c r="R201" i="25"/>
  <c r="N201" i="25"/>
  <c r="M201" i="25"/>
  <c r="L201" i="25"/>
  <c r="I201" i="25"/>
  <c r="R200" i="25"/>
  <c r="N200" i="25"/>
  <c r="M200" i="25"/>
  <c r="L200" i="25"/>
  <c r="I200" i="25"/>
  <c r="R199" i="25"/>
  <c r="N199" i="25"/>
  <c r="M199" i="25"/>
  <c r="L199" i="25"/>
  <c r="I199" i="25"/>
  <c r="R198" i="25"/>
  <c r="N198" i="25"/>
  <c r="M198" i="25"/>
  <c r="L198" i="25"/>
  <c r="I198" i="25"/>
  <c r="R197" i="25"/>
  <c r="N197" i="25"/>
  <c r="M197" i="25"/>
  <c r="L197" i="25"/>
  <c r="I197" i="25"/>
  <c r="R196" i="25"/>
  <c r="N196" i="25"/>
  <c r="M196" i="25"/>
  <c r="L196" i="25"/>
  <c r="I196" i="25"/>
  <c r="R195" i="25"/>
  <c r="N195" i="25"/>
  <c r="M195" i="25"/>
  <c r="L195" i="25"/>
  <c r="I195" i="25"/>
  <c r="R194" i="25"/>
  <c r="N194" i="25"/>
  <c r="M194" i="25"/>
  <c r="L194" i="25"/>
  <c r="I194" i="25"/>
  <c r="R193" i="25"/>
  <c r="N193" i="25"/>
  <c r="M193" i="25"/>
  <c r="L193" i="25"/>
  <c r="I193" i="25"/>
  <c r="R192" i="25"/>
  <c r="N192" i="25"/>
  <c r="M192" i="25"/>
  <c r="L192" i="25"/>
  <c r="I192" i="25"/>
  <c r="R191" i="25"/>
  <c r="N191" i="25"/>
  <c r="M191" i="25"/>
  <c r="L191" i="25"/>
  <c r="I191" i="25"/>
  <c r="R190" i="25"/>
  <c r="N190" i="25"/>
  <c r="M190" i="25"/>
  <c r="L190" i="25"/>
  <c r="I190" i="25"/>
  <c r="R189" i="25"/>
  <c r="N189" i="25"/>
  <c r="M189" i="25"/>
  <c r="L189" i="25"/>
  <c r="I189" i="25"/>
  <c r="R188" i="25"/>
  <c r="N188" i="25"/>
  <c r="M188" i="25"/>
  <c r="L188" i="25"/>
  <c r="I188" i="25"/>
  <c r="R187" i="25"/>
  <c r="N187" i="25"/>
  <c r="M187" i="25"/>
  <c r="L187" i="25"/>
  <c r="I187" i="25"/>
  <c r="R186" i="25"/>
  <c r="N186" i="25"/>
  <c r="M186" i="25"/>
  <c r="L186" i="25"/>
  <c r="I186" i="25"/>
  <c r="R185" i="25"/>
  <c r="N185" i="25"/>
  <c r="M185" i="25"/>
  <c r="L185" i="25"/>
  <c r="I185" i="25"/>
  <c r="R184" i="25"/>
  <c r="N184" i="25"/>
  <c r="M184" i="25"/>
  <c r="L184" i="25"/>
  <c r="I184" i="25"/>
  <c r="R183" i="25"/>
  <c r="N183" i="25"/>
  <c r="M183" i="25"/>
  <c r="L183" i="25"/>
  <c r="I183" i="25"/>
  <c r="R182" i="25"/>
  <c r="N182" i="25"/>
  <c r="M182" i="25"/>
  <c r="L182" i="25"/>
  <c r="I182" i="25"/>
  <c r="R181" i="25"/>
  <c r="N181" i="25"/>
  <c r="M181" i="25"/>
  <c r="L181" i="25"/>
  <c r="I181" i="25"/>
  <c r="R180" i="25"/>
  <c r="N180" i="25"/>
  <c r="M180" i="25"/>
  <c r="L180" i="25"/>
  <c r="I180" i="25"/>
  <c r="R179" i="25"/>
  <c r="N179" i="25"/>
  <c r="M179" i="25"/>
  <c r="L179" i="25"/>
  <c r="I179" i="25"/>
  <c r="R178" i="25"/>
  <c r="N178" i="25"/>
  <c r="M178" i="25"/>
  <c r="L178" i="25"/>
  <c r="I178" i="25"/>
  <c r="R177" i="25"/>
  <c r="N177" i="25"/>
  <c r="M177" i="25"/>
  <c r="L177" i="25"/>
  <c r="I177" i="25"/>
  <c r="R176" i="25"/>
  <c r="N176" i="25"/>
  <c r="M176" i="25"/>
  <c r="L176" i="25"/>
  <c r="I176" i="25"/>
  <c r="R175" i="25"/>
  <c r="N175" i="25"/>
  <c r="M175" i="25"/>
  <c r="L175" i="25"/>
  <c r="I175" i="25"/>
  <c r="R174" i="25"/>
  <c r="N174" i="25"/>
  <c r="M174" i="25"/>
  <c r="L174" i="25"/>
  <c r="I174" i="25"/>
  <c r="R173" i="25"/>
  <c r="N173" i="25"/>
  <c r="M173" i="25"/>
  <c r="L173" i="25"/>
  <c r="I173" i="25"/>
  <c r="R172" i="25"/>
  <c r="N172" i="25"/>
  <c r="M172" i="25"/>
  <c r="L172" i="25"/>
  <c r="I172" i="25"/>
  <c r="R171" i="25"/>
  <c r="N171" i="25"/>
  <c r="M171" i="25"/>
  <c r="L171" i="25"/>
  <c r="I171" i="25"/>
  <c r="R170" i="25"/>
  <c r="N170" i="25"/>
  <c r="M170" i="25"/>
  <c r="L170" i="25"/>
  <c r="I170" i="25"/>
  <c r="R169" i="25"/>
  <c r="N169" i="25"/>
  <c r="M169" i="25"/>
  <c r="L169" i="25"/>
  <c r="I169" i="25"/>
  <c r="R168" i="25"/>
  <c r="N168" i="25"/>
  <c r="M168" i="25"/>
  <c r="L168" i="25"/>
  <c r="I168" i="25"/>
  <c r="R167" i="25"/>
  <c r="N167" i="25"/>
  <c r="M167" i="25"/>
  <c r="L167" i="25"/>
  <c r="I167" i="25"/>
  <c r="R166" i="25"/>
  <c r="N166" i="25"/>
  <c r="M166" i="25"/>
  <c r="L166" i="25"/>
  <c r="I166" i="25"/>
  <c r="R165" i="25"/>
  <c r="N165" i="25"/>
  <c r="M165" i="25"/>
  <c r="L165" i="25"/>
  <c r="I165" i="25"/>
  <c r="R164" i="25"/>
  <c r="N164" i="25"/>
  <c r="M164" i="25"/>
  <c r="L164" i="25"/>
  <c r="I164" i="25"/>
  <c r="R163" i="25"/>
  <c r="N163" i="25"/>
  <c r="M163" i="25"/>
  <c r="L163" i="25"/>
  <c r="I163" i="25"/>
  <c r="R162" i="25"/>
  <c r="N162" i="25"/>
  <c r="M162" i="25"/>
  <c r="L162" i="25"/>
  <c r="I162" i="25"/>
  <c r="R161" i="25"/>
  <c r="N161" i="25"/>
  <c r="M161" i="25"/>
  <c r="L161" i="25"/>
  <c r="I161" i="25"/>
  <c r="R160" i="25"/>
  <c r="N160" i="25"/>
  <c r="M160" i="25"/>
  <c r="L160" i="25"/>
  <c r="I160" i="25"/>
  <c r="R159" i="25"/>
  <c r="N159" i="25"/>
  <c r="M159" i="25"/>
  <c r="L159" i="25"/>
  <c r="I159" i="25"/>
  <c r="R158" i="25"/>
  <c r="N158" i="25"/>
  <c r="M158" i="25"/>
  <c r="L158" i="25"/>
  <c r="I158" i="25"/>
  <c r="R157" i="25"/>
  <c r="N157" i="25"/>
  <c r="M157" i="25"/>
  <c r="L157" i="25"/>
  <c r="I157" i="25"/>
  <c r="R156" i="25"/>
  <c r="N156" i="25"/>
  <c r="M156" i="25"/>
  <c r="L156" i="25"/>
  <c r="I156" i="25"/>
  <c r="R155" i="25"/>
  <c r="N155" i="25"/>
  <c r="M155" i="25"/>
  <c r="L155" i="25"/>
  <c r="I155" i="25"/>
  <c r="R154" i="25"/>
  <c r="N154" i="25"/>
  <c r="M154" i="25"/>
  <c r="L154" i="25"/>
  <c r="I154" i="25"/>
  <c r="R153" i="25"/>
  <c r="N153" i="25"/>
  <c r="M153" i="25"/>
  <c r="L153" i="25"/>
  <c r="I153" i="25"/>
  <c r="R152" i="25"/>
  <c r="N152" i="25"/>
  <c r="M152" i="25"/>
  <c r="L152" i="25"/>
  <c r="I152" i="25"/>
  <c r="R151" i="25"/>
  <c r="N151" i="25"/>
  <c r="M151" i="25"/>
  <c r="L151" i="25"/>
  <c r="I151" i="25"/>
  <c r="R150" i="25"/>
  <c r="N150" i="25"/>
  <c r="M150" i="25"/>
  <c r="L150" i="25"/>
  <c r="I150" i="25"/>
  <c r="R149" i="25"/>
  <c r="N149" i="25"/>
  <c r="M149" i="25"/>
  <c r="L149" i="25"/>
  <c r="I149" i="25"/>
  <c r="R148" i="25"/>
  <c r="N148" i="25"/>
  <c r="M148" i="25"/>
  <c r="L148" i="25"/>
  <c r="I148" i="25"/>
  <c r="R147" i="25"/>
  <c r="N147" i="25"/>
  <c r="M147" i="25"/>
  <c r="L147" i="25"/>
  <c r="I147" i="25"/>
  <c r="R146" i="25"/>
  <c r="N146" i="25"/>
  <c r="M146" i="25"/>
  <c r="L146" i="25"/>
  <c r="I146" i="25"/>
  <c r="R145" i="25"/>
  <c r="N145" i="25"/>
  <c r="M145" i="25"/>
  <c r="L145" i="25"/>
  <c r="I145" i="25"/>
  <c r="R144" i="25"/>
  <c r="N144" i="25"/>
  <c r="M144" i="25"/>
  <c r="L144" i="25"/>
  <c r="I144" i="25"/>
  <c r="R143" i="25"/>
  <c r="N143" i="25"/>
  <c r="M143" i="25"/>
  <c r="L143" i="25"/>
  <c r="I143" i="25"/>
  <c r="R142" i="25"/>
  <c r="N142" i="25"/>
  <c r="M142" i="25"/>
  <c r="L142" i="25"/>
  <c r="I142" i="25"/>
  <c r="R141" i="25"/>
  <c r="N141" i="25"/>
  <c r="M141" i="25"/>
  <c r="L141" i="25"/>
  <c r="I141" i="25"/>
  <c r="R140" i="25"/>
  <c r="N140" i="25"/>
  <c r="M140" i="25"/>
  <c r="L140" i="25"/>
  <c r="I140" i="25"/>
  <c r="R139" i="25"/>
  <c r="N139" i="25"/>
  <c r="M139" i="25"/>
  <c r="L139" i="25"/>
  <c r="I139" i="25"/>
  <c r="R138" i="25"/>
  <c r="N138" i="25"/>
  <c r="M138" i="25"/>
  <c r="L138" i="25"/>
  <c r="I138" i="25"/>
  <c r="R137" i="25"/>
  <c r="N137" i="25"/>
  <c r="M137" i="25"/>
  <c r="L137" i="25"/>
  <c r="I137" i="25"/>
  <c r="R136" i="25"/>
  <c r="N136" i="25"/>
  <c r="M136" i="25"/>
  <c r="L136" i="25"/>
  <c r="I136" i="25"/>
  <c r="R135" i="25"/>
  <c r="N135" i="25"/>
  <c r="M135" i="25"/>
  <c r="L135" i="25"/>
  <c r="I135" i="25"/>
  <c r="R134" i="25"/>
  <c r="N134" i="25"/>
  <c r="M134" i="25"/>
  <c r="L134" i="25"/>
  <c r="I134" i="25"/>
  <c r="R133" i="25"/>
  <c r="N133" i="25"/>
  <c r="M133" i="25"/>
  <c r="L133" i="25"/>
  <c r="I133" i="25"/>
  <c r="R132" i="25"/>
  <c r="N132" i="25"/>
  <c r="M132" i="25"/>
  <c r="L132" i="25"/>
  <c r="I132" i="25"/>
  <c r="R131" i="25"/>
  <c r="N131" i="25"/>
  <c r="M131" i="25"/>
  <c r="L131" i="25"/>
  <c r="I131" i="25"/>
  <c r="R130" i="25"/>
  <c r="N130" i="25"/>
  <c r="M130" i="25"/>
  <c r="L130" i="25"/>
  <c r="I130" i="25"/>
  <c r="R129" i="25"/>
  <c r="N129" i="25"/>
  <c r="M129" i="25"/>
  <c r="L129" i="25"/>
  <c r="I129" i="25"/>
  <c r="R128" i="25"/>
  <c r="N128" i="25"/>
  <c r="M128" i="25"/>
  <c r="L128" i="25"/>
  <c r="I128" i="25"/>
  <c r="R127" i="25"/>
  <c r="N127" i="25"/>
  <c r="M127" i="25"/>
  <c r="L127" i="25"/>
  <c r="I127" i="25"/>
  <c r="R126" i="25"/>
  <c r="N126" i="25"/>
  <c r="M126" i="25"/>
  <c r="L126" i="25"/>
  <c r="I126" i="25"/>
  <c r="R125" i="25"/>
  <c r="N125" i="25"/>
  <c r="M125" i="25"/>
  <c r="L125" i="25"/>
  <c r="I125" i="25"/>
  <c r="R124" i="25"/>
  <c r="N124" i="25"/>
  <c r="M124" i="25"/>
  <c r="L124" i="25"/>
  <c r="I124" i="25"/>
  <c r="R123" i="25"/>
  <c r="N123" i="25"/>
  <c r="M123" i="25"/>
  <c r="L123" i="25"/>
  <c r="I123" i="25"/>
  <c r="R122" i="25"/>
  <c r="N122" i="25"/>
  <c r="M122" i="25"/>
  <c r="L122" i="25"/>
  <c r="I122" i="25"/>
  <c r="R121" i="25"/>
  <c r="N121" i="25"/>
  <c r="M121" i="25"/>
  <c r="L121" i="25"/>
  <c r="I121" i="25"/>
  <c r="R120" i="25"/>
  <c r="N120" i="25"/>
  <c r="M120" i="25"/>
  <c r="L120" i="25"/>
  <c r="I120" i="25"/>
  <c r="R119" i="25"/>
  <c r="N119" i="25"/>
  <c r="M119" i="25"/>
  <c r="L119" i="25"/>
  <c r="I119" i="25"/>
  <c r="R118" i="25"/>
  <c r="N118" i="25"/>
  <c r="M118" i="25"/>
  <c r="L118" i="25"/>
  <c r="I118" i="25"/>
  <c r="R117" i="25"/>
  <c r="N117" i="25"/>
  <c r="M117" i="25"/>
  <c r="L117" i="25"/>
  <c r="I117" i="25"/>
  <c r="R116" i="25"/>
  <c r="N116" i="25"/>
  <c r="M116" i="25"/>
  <c r="L116" i="25"/>
  <c r="I116" i="25"/>
  <c r="R115" i="25"/>
  <c r="N115" i="25"/>
  <c r="M115" i="25"/>
  <c r="L115" i="25"/>
  <c r="I115" i="25"/>
  <c r="R114" i="25"/>
  <c r="N114" i="25"/>
  <c r="M114" i="25"/>
  <c r="L114" i="25"/>
  <c r="I114" i="25"/>
  <c r="R113" i="25"/>
  <c r="N113" i="25"/>
  <c r="M113" i="25"/>
  <c r="L113" i="25"/>
  <c r="I113" i="25"/>
  <c r="R112" i="25"/>
  <c r="N112" i="25"/>
  <c r="M112" i="25"/>
  <c r="L112" i="25"/>
  <c r="I112" i="25"/>
  <c r="R111" i="25"/>
  <c r="N111" i="25"/>
  <c r="M111" i="25"/>
  <c r="L111" i="25"/>
  <c r="I111" i="25"/>
  <c r="R110" i="25"/>
  <c r="N110" i="25"/>
  <c r="M110" i="25"/>
  <c r="L110" i="25"/>
  <c r="I110" i="25"/>
  <c r="R109" i="25"/>
  <c r="N109" i="25"/>
  <c r="M109" i="25"/>
  <c r="L109" i="25"/>
  <c r="I109" i="25"/>
  <c r="R108" i="25"/>
  <c r="N108" i="25"/>
  <c r="M108" i="25"/>
  <c r="L108" i="25"/>
  <c r="I108" i="25"/>
  <c r="R107" i="25"/>
  <c r="N107" i="25"/>
  <c r="M107" i="25"/>
  <c r="L107" i="25"/>
  <c r="I107" i="25"/>
  <c r="R106" i="25"/>
  <c r="N106" i="25"/>
  <c r="M106" i="25"/>
  <c r="L106" i="25"/>
  <c r="I106" i="25"/>
  <c r="R105" i="25"/>
  <c r="N105" i="25"/>
  <c r="M105" i="25"/>
  <c r="L105" i="25"/>
  <c r="I105" i="25"/>
  <c r="R104" i="25"/>
  <c r="N104" i="25"/>
  <c r="M104" i="25"/>
  <c r="L104" i="25"/>
  <c r="I104" i="25"/>
  <c r="R103" i="25"/>
  <c r="N103" i="25"/>
  <c r="M103" i="25"/>
  <c r="L103" i="25"/>
  <c r="I103" i="25"/>
  <c r="R102" i="25"/>
  <c r="N102" i="25"/>
  <c r="M102" i="25"/>
  <c r="L102" i="25"/>
  <c r="I102" i="25"/>
  <c r="R101" i="25"/>
  <c r="N101" i="25"/>
  <c r="M101" i="25"/>
  <c r="L101" i="25"/>
  <c r="I101" i="25"/>
  <c r="R100" i="25"/>
  <c r="N100" i="25"/>
  <c r="M100" i="25"/>
  <c r="L100" i="25"/>
  <c r="I100" i="25"/>
  <c r="R99" i="25"/>
  <c r="N99" i="25"/>
  <c r="M99" i="25"/>
  <c r="L99" i="25"/>
  <c r="I99" i="25"/>
  <c r="R98" i="25"/>
  <c r="N98" i="25"/>
  <c r="M98" i="25"/>
  <c r="L98" i="25"/>
  <c r="I98" i="25"/>
  <c r="R97" i="25"/>
  <c r="N97" i="25"/>
  <c r="M97" i="25"/>
  <c r="L97" i="25"/>
  <c r="I97" i="25"/>
  <c r="R96" i="25"/>
  <c r="N96" i="25"/>
  <c r="M96" i="25"/>
  <c r="L96" i="25"/>
  <c r="I96" i="25"/>
  <c r="R95" i="25"/>
  <c r="N95" i="25"/>
  <c r="M95" i="25"/>
  <c r="L95" i="25"/>
  <c r="I95" i="25"/>
  <c r="R94" i="25"/>
  <c r="N94" i="25"/>
  <c r="M94" i="25"/>
  <c r="L94" i="25"/>
  <c r="I94" i="25"/>
  <c r="R93" i="25"/>
  <c r="N93" i="25"/>
  <c r="M93" i="25"/>
  <c r="L93" i="25"/>
  <c r="I93" i="25"/>
  <c r="R92" i="25"/>
  <c r="N92" i="25"/>
  <c r="M92" i="25"/>
  <c r="L92" i="25"/>
  <c r="I92" i="25"/>
  <c r="R91" i="25"/>
  <c r="N91" i="25"/>
  <c r="M91" i="25"/>
  <c r="L91" i="25"/>
  <c r="I91" i="25"/>
  <c r="R90" i="25"/>
  <c r="N90" i="25"/>
  <c r="M90" i="25"/>
  <c r="L90" i="25"/>
  <c r="I90" i="25"/>
  <c r="R89" i="25"/>
  <c r="N89" i="25"/>
  <c r="M89" i="25"/>
  <c r="L89" i="25"/>
  <c r="I89" i="25"/>
  <c r="R88" i="25"/>
  <c r="N88" i="25"/>
  <c r="M88" i="25"/>
  <c r="L88" i="25"/>
  <c r="I88" i="25"/>
  <c r="R87" i="25"/>
  <c r="N87" i="25"/>
  <c r="M87" i="25"/>
  <c r="L87" i="25"/>
  <c r="I87" i="25"/>
  <c r="R86" i="25"/>
  <c r="N86" i="25"/>
  <c r="M86" i="25"/>
  <c r="L86" i="25"/>
  <c r="I86" i="25"/>
  <c r="R85" i="25"/>
  <c r="N85" i="25"/>
  <c r="M85" i="25"/>
  <c r="L85" i="25"/>
  <c r="I85" i="25"/>
  <c r="R84" i="25"/>
  <c r="N84" i="25"/>
  <c r="M84" i="25"/>
  <c r="L84" i="25"/>
  <c r="I84" i="25"/>
  <c r="R83" i="25"/>
  <c r="N83" i="25"/>
  <c r="M83" i="25"/>
  <c r="L83" i="25"/>
  <c r="I83" i="25"/>
  <c r="R82" i="25"/>
  <c r="N82" i="25"/>
  <c r="M82" i="25"/>
  <c r="L82" i="25"/>
  <c r="I82" i="25"/>
  <c r="R81" i="25"/>
  <c r="N81" i="25"/>
  <c r="M81" i="25"/>
  <c r="L81" i="25"/>
  <c r="I81" i="25"/>
  <c r="R80" i="25"/>
  <c r="N80" i="25"/>
  <c r="M80" i="25"/>
  <c r="L80" i="25"/>
  <c r="I80" i="25"/>
  <c r="R79" i="25"/>
  <c r="N79" i="25"/>
  <c r="M79" i="25"/>
  <c r="L79" i="25"/>
  <c r="I79" i="25"/>
  <c r="R78" i="25"/>
  <c r="N78" i="25"/>
  <c r="M78" i="25"/>
  <c r="L78" i="25"/>
  <c r="I78" i="25"/>
  <c r="R77" i="25"/>
  <c r="N77" i="25"/>
  <c r="M77" i="25"/>
  <c r="L77" i="25"/>
  <c r="I77" i="25"/>
  <c r="R76" i="25"/>
  <c r="N76" i="25"/>
  <c r="M76" i="25"/>
  <c r="L76" i="25"/>
  <c r="I76" i="25"/>
  <c r="R75" i="25"/>
  <c r="N75" i="25"/>
  <c r="M75" i="25"/>
  <c r="L75" i="25"/>
  <c r="I75" i="25"/>
  <c r="R74" i="25"/>
  <c r="N74" i="25"/>
  <c r="M74" i="25"/>
  <c r="L74" i="25"/>
  <c r="I74" i="25"/>
  <c r="R73" i="25"/>
  <c r="N73" i="25"/>
  <c r="M73" i="25"/>
  <c r="L73" i="25"/>
  <c r="I73" i="25"/>
  <c r="R72" i="25"/>
  <c r="N72" i="25"/>
  <c r="M72" i="25"/>
  <c r="L72" i="25"/>
  <c r="I72" i="25"/>
  <c r="R71" i="25"/>
  <c r="N71" i="25"/>
  <c r="M71" i="25"/>
  <c r="L71" i="25"/>
  <c r="I71" i="25"/>
  <c r="R70" i="25"/>
  <c r="N70" i="25"/>
  <c r="M70" i="25"/>
  <c r="L70" i="25"/>
  <c r="I70" i="25"/>
  <c r="R69" i="25"/>
  <c r="N69" i="25"/>
  <c r="M69" i="25"/>
  <c r="L69" i="25"/>
  <c r="I69" i="25"/>
  <c r="R68" i="25"/>
  <c r="N68" i="25"/>
  <c r="M68" i="25"/>
  <c r="L68" i="25"/>
  <c r="I68" i="25"/>
  <c r="R67" i="25"/>
  <c r="N67" i="25"/>
  <c r="M67" i="25"/>
  <c r="L67" i="25"/>
  <c r="I67" i="25"/>
  <c r="R66" i="25"/>
  <c r="N66" i="25"/>
  <c r="M66" i="25"/>
  <c r="L66" i="25"/>
  <c r="I66" i="25"/>
  <c r="R65" i="25"/>
  <c r="N65" i="25"/>
  <c r="M65" i="25"/>
  <c r="L65" i="25"/>
  <c r="I65" i="25"/>
  <c r="R64" i="25"/>
  <c r="N64" i="25"/>
  <c r="M64" i="25"/>
  <c r="L64" i="25"/>
  <c r="I64" i="25"/>
  <c r="R63" i="25"/>
  <c r="N63" i="25"/>
  <c r="M63" i="25"/>
  <c r="L63" i="25"/>
  <c r="I63" i="25"/>
  <c r="R62" i="25"/>
  <c r="N62" i="25"/>
  <c r="M62" i="25"/>
  <c r="L62" i="25"/>
  <c r="I62" i="25"/>
  <c r="R61" i="25"/>
  <c r="N61" i="25"/>
  <c r="M61" i="25"/>
  <c r="L61" i="25"/>
  <c r="I61" i="25"/>
  <c r="R60" i="25"/>
  <c r="N60" i="25"/>
  <c r="M60" i="25"/>
  <c r="L60" i="25"/>
  <c r="I60" i="25"/>
  <c r="R59" i="25"/>
  <c r="N59" i="25"/>
  <c r="M59" i="25"/>
  <c r="L59" i="25"/>
  <c r="I59" i="25"/>
  <c r="R58" i="25"/>
  <c r="N58" i="25"/>
  <c r="M58" i="25"/>
  <c r="L58" i="25"/>
  <c r="I58" i="25"/>
  <c r="R57" i="25"/>
  <c r="N57" i="25"/>
  <c r="M57" i="25"/>
  <c r="L57" i="25"/>
  <c r="I57" i="25"/>
  <c r="R56" i="25"/>
  <c r="N56" i="25"/>
  <c r="M56" i="25"/>
  <c r="L56" i="25"/>
  <c r="I56" i="25"/>
  <c r="R55" i="25"/>
  <c r="N55" i="25"/>
  <c r="M55" i="25"/>
  <c r="L55" i="25"/>
  <c r="I55" i="25"/>
  <c r="R54" i="25"/>
  <c r="N54" i="25"/>
  <c r="M54" i="25"/>
  <c r="L54" i="25"/>
  <c r="I54" i="25"/>
  <c r="R53" i="25"/>
  <c r="N53" i="25"/>
  <c r="M53" i="25"/>
  <c r="L53" i="25"/>
  <c r="I53" i="25"/>
  <c r="R52" i="25"/>
  <c r="N52" i="25"/>
  <c r="M52" i="25"/>
  <c r="L52" i="25"/>
  <c r="I52" i="25"/>
  <c r="R51" i="25"/>
  <c r="N51" i="25"/>
  <c r="M51" i="25"/>
  <c r="L51" i="25"/>
  <c r="I51" i="25"/>
  <c r="R50" i="25"/>
  <c r="N50" i="25"/>
  <c r="M50" i="25"/>
  <c r="L50" i="25"/>
  <c r="I50" i="25"/>
  <c r="R49" i="25"/>
  <c r="N49" i="25"/>
  <c r="M49" i="25"/>
  <c r="L49" i="25"/>
  <c r="I49" i="25"/>
  <c r="R48" i="25"/>
  <c r="N48" i="25"/>
  <c r="M48" i="25"/>
  <c r="L48" i="25"/>
  <c r="I48" i="25"/>
  <c r="R47" i="25"/>
  <c r="N47" i="25"/>
  <c r="M47" i="25"/>
  <c r="L47" i="25"/>
  <c r="I47" i="25"/>
  <c r="R46" i="25"/>
  <c r="N46" i="25"/>
  <c r="M46" i="25"/>
  <c r="L46" i="25"/>
  <c r="I46" i="25"/>
  <c r="R45" i="25"/>
  <c r="N45" i="25"/>
  <c r="M45" i="25"/>
  <c r="L45" i="25"/>
  <c r="B11" i="31" s="1"/>
  <c r="I45" i="25"/>
  <c r="R44" i="25"/>
  <c r="N44" i="25"/>
  <c r="M44" i="25"/>
  <c r="L44" i="25"/>
  <c r="I44" i="25"/>
  <c r="R43" i="25"/>
  <c r="N43" i="25"/>
  <c r="M43" i="25"/>
  <c r="L43" i="25"/>
  <c r="I43" i="25"/>
  <c r="R42" i="25"/>
  <c r="N42" i="25"/>
  <c r="M42" i="25"/>
  <c r="L42" i="25"/>
  <c r="I42" i="25"/>
  <c r="R41" i="25"/>
  <c r="N41" i="25"/>
  <c r="M41" i="25"/>
  <c r="L41" i="25"/>
  <c r="I41" i="25"/>
  <c r="R40" i="25"/>
  <c r="N40" i="25"/>
  <c r="M40" i="25"/>
  <c r="L40" i="25"/>
  <c r="I40" i="25"/>
  <c r="R39" i="25"/>
  <c r="N39" i="25"/>
  <c r="M39" i="25"/>
  <c r="L39" i="25"/>
  <c r="I39" i="25"/>
  <c r="R38" i="25"/>
  <c r="N38" i="25"/>
  <c r="M38" i="25"/>
  <c r="L38" i="25"/>
  <c r="I38" i="25"/>
  <c r="R37" i="25"/>
  <c r="N37" i="25"/>
  <c r="M37" i="25"/>
  <c r="L37" i="25"/>
  <c r="I37" i="25"/>
  <c r="R36" i="25"/>
  <c r="N36" i="25"/>
  <c r="M36" i="25"/>
  <c r="L36" i="25"/>
  <c r="I36" i="25"/>
  <c r="R35" i="25"/>
  <c r="N35" i="25"/>
  <c r="M35" i="25"/>
  <c r="L35" i="25"/>
  <c r="I35" i="25"/>
  <c r="R34" i="25"/>
  <c r="N34" i="25"/>
  <c r="M34" i="25"/>
  <c r="L34" i="25"/>
  <c r="I34" i="25"/>
  <c r="R33" i="25"/>
  <c r="N33" i="25"/>
  <c r="M33" i="25"/>
  <c r="L33" i="25"/>
  <c r="I33" i="25"/>
  <c r="R32" i="25"/>
  <c r="N32" i="25"/>
  <c r="M32" i="25"/>
  <c r="L32" i="25"/>
  <c r="I32" i="25"/>
  <c r="R31" i="25"/>
  <c r="N31" i="25"/>
  <c r="M31" i="25"/>
  <c r="L31" i="25"/>
  <c r="I31" i="25"/>
  <c r="R30" i="25"/>
  <c r="N30" i="25"/>
  <c r="M30" i="25"/>
  <c r="L30" i="25"/>
  <c r="I30" i="25"/>
  <c r="R29" i="25"/>
  <c r="N29" i="25"/>
  <c r="M29" i="25"/>
  <c r="L29" i="25"/>
  <c r="I29" i="25"/>
  <c r="R28" i="25"/>
  <c r="N28" i="25"/>
  <c r="M28" i="25"/>
  <c r="L28" i="25"/>
  <c r="I28" i="25"/>
  <c r="R27" i="25"/>
  <c r="N27" i="25"/>
  <c r="M27" i="25"/>
  <c r="L27" i="25"/>
  <c r="I27" i="25"/>
  <c r="R26" i="25"/>
  <c r="N26" i="25"/>
  <c r="M26" i="25"/>
  <c r="L26" i="25"/>
  <c r="I26" i="25"/>
  <c r="R25" i="25"/>
  <c r="N25" i="25"/>
  <c r="M25" i="25"/>
  <c r="L25" i="25"/>
  <c r="I25" i="25"/>
  <c r="R24" i="25"/>
  <c r="N24" i="25"/>
  <c r="M24" i="25"/>
  <c r="L24" i="25"/>
  <c r="I24" i="25"/>
  <c r="R23" i="25"/>
  <c r="N23" i="25"/>
  <c r="M23" i="25"/>
  <c r="L23" i="25"/>
  <c r="I23" i="25"/>
  <c r="R22" i="25"/>
  <c r="N22" i="25"/>
  <c r="M22" i="25"/>
  <c r="L22" i="25"/>
  <c r="I22" i="25"/>
  <c r="R21" i="25"/>
  <c r="N21" i="25"/>
  <c r="M21" i="25"/>
  <c r="L21" i="25"/>
  <c r="I21" i="25"/>
  <c r="F21" i="25"/>
  <c r="R20" i="25"/>
  <c r="N20" i="25"/>
  <c r="M20" i="25"/>
  <c r="L20" i="25"/>
  <c r="I20" i="25"/>
  <c r="F20" i="25"/>
  <c r="R19" i="25"/>
  <c r="N19" i="25"/>
  <c r="M19" i="25"/>
  <c r="L19" i="25"/>
  <c r="I19" i="25"/>
  <c r="R18" i="25"/>
  <c r="N18" i="25"/>
  <c r="M18" i="25"/>
  <c r="L18" i="25"/>
  <c r="I18" i="25"/>
  <c r="R17" i="25"/>
  <c r="N17" i="25"/>
  <c r="M17" i="25"/>
  <c r="L17" i="25"/>
  <c r="I17" i="25"/>
  <c r="R16" i="25"/>
  <c r="N16" i="25"/>
  <c r="M16" i="25"/>
  <c r="L16" i="25"/>
  <c r="I16" i="25"/>
  <c r="R15" i="25"/>
  <c r="N15" i="25"/>
  <c r="M15" i="25"/>
  <c r="L15" i="25"/>
  <c r="I15" i="25"/>
  <c r="R14" i="25"/>
  <c r="N14" i="25"/>
  <c r="M14" i="25"/>
  <c r="L14" i="25"/>
  <c r="I14" i="25"/>
  <c r="R13" i="25"/>
  <c r="N13" i="25"/>
  <c r="M13" i="25"/>
  <c r="L13" i="25"/>
  <c r="I13" i="25"/>
  <c r="R12" i="25"/>
  <c r="N12" i="25"/>
  <c r="M12" i="25"/>
  <c r="L12" i="25"/>
  <c r="I12" i="25"/>
  <c r="R11" i="25"/>
  <c r="N11" i="25"/>
  <c r="M11" i="25"/>
  <c r="L11" i="25"/>
  <c r="I11" i="25"/>
  <c r="R10" i="25"/>
  <c r="N10" i="25"/>
  <c r="M10" i="25"/>
  <c r="L10" i="25"/>
  <c r="I10" i="25"/>
  <c r="F10" i="25"/>
  <c r="R9" i="25"/>
  <c r="N9" i="25"/>
  <c r="M9" i="25"/>
  <c r="L9" i="25"/>
  <c r="I9" i="25"/>
  <c r="F9" i="25"/>
  <c r="R8" i="25"/>
  <c r="N8" i="25"/>
  <c r="M8" i="25"/>
  <c r="L8" i="25"/>
  <c r="I8" i="25"/>
  <c r="F8" i="25"/>
  <c r="R7" i="25"/>
  <c r="N7" i="25"/>
  <c r="M7" i="25"/>
  <c r="L7" i="25"/>
  <c r="I7" i="25"/>
  <c r="F7" i="25"/>
  <c r="R6" i="25"/>
  <c r="N6" i="25"/>
  <c r="M6" i="25"/>
  <c r="L6" i="25"/>
  <c r="I6" i="25"/>
  <c r="F6" i="25"/>
  <c r="R5" i="25"/>
  <c r="N5" i="25"/>
  <c r="M5" i="25"/>
  <c r="L5" i="25"/>
  <c r="I5" i="25"/>
  <c r="F5" i="25"/>
  <c r="J204" i="24"/>
  <c r="H204" i="24"/>
  <c r="J203" i="24"/>
  <c r="H203" i="24"/>
  <c r="J202" i="24"/>
  <c r="H202" i="24"/>
  <c r="J201" i="24"/>
  <c r="H201" i="24"/>
  <c r="J200" i="24"/>
  <c r="H200" i="24"/>
  <c r="J199" i="24"/>
  <c r="H199" i="24"/>
  <c r="J198" i="24"/>
  <c r="H198" i="24"/>
  <c r="J197" i="24"/>
  <c r="H197" i="24"/>
  <c r="J196" i="24"/>
  <c r="H196" i="24"/>
  <c r="J195" i="24"/>
  <c r="H195" i="24"/>
  <c r="J194" i="24"/>
  <c r="H194" i="24"/>
  <c r="J193" i="24"/>
  <c r="H193" i="24"/>
  <c r="J192" i="24"/>
  <c r="H192" i="24"/>
  <c r="J191" i="24"/>
  <c r="H191" i="24"/>
  <c r="J190" i="24"/>
  <c r="H190" i="24"/>
  <c r="J189" i="24"/>
  <c r="H189" i="24"/>
  <c r="J188" i="24"/>
  <c r="H188" i="24"/>
  <c r="J187" i="24"/>
  <c r="H187" i="24"/>
  <c r="J186" i="24"/>
  <c r="H186" i="24"/>
  <c r="J185" i="24"/>
  <c r="H185" i="24"/>
  <c r="J184" i="24"/>
  <c r="H184" i="24"/>
  <c r="J183" i="24"/>
  <c r="H183" i="24"/>
  <c r="J182" i="24"/>
  <c r="H182" i="24"/>
  <c r="J181" i="24"/>
  <c r="H181" i="24"/>
  <c r="J180" i="24"/>
  <c r="H180" i="24"/>
  <c r="J179" i="24"/>
  <c r="H179" i="24"/>
  <c r="J178" i="24"/>
  <c r="H178" i="24"/>
  <c r="J177" i="24"/>
  <c r="H177" i="24"/>
  <c r="J176" i="24"/>
  <c r="H176" i="24"/>
  <c r="J175" i="24"/>
  <c r="H175" i="24"/>
  <c r="J174" i="24"/>
  <c r="H174" i="24"/>
  <c r="J173" i="24"/>
  <c r="H173" i="24"/>
  <c r="J172" i="24"/>
  <c r="H172" i="24"/>
  <c r="J171" i="24"/>
  <c r="H171" i="24"/>
  <c r="J170" i="24"/>
  <c r="H170" i="24"/>
  <c r="J169" i="24"/>
  <c r="H169" i="24"/>
  <c r="J168" i="24"/>
  <c r="H168" i="24"/>
  <c r="J167" i="24"/>
  <c r="H167" i="24"/>
  <c r="J166" i="24"/>
  <c r="H166" i="24"/>
  <c r="J165" i="24"/>
  <c r="H165" i="24"/>
  <c r="J164" i="24"/>
  <c r="H164" i="24"/>
  <c r="J163" i="24"/>
  <c r="H163" i="24"/>
  <c r="J162" i="24"/>
  <c r="H162" i="24"/>
  <c r="J161" i="24"/>
  <c r="H161" i="24"/>
  <c r="J160" i="24"/>
  <c r="H160" i="24"/>
  <c r="J159" i="24"/>
  <c r="H159" i="24"/>
  <c r="J158" i="24"/>
  <c r="H158" i="24"/>
  <c r="J157" i="24"/>
  <c r="H157" i="24"/>
  <c r="J156" i="24"/>
  <c r="H156" i="24"/>
  <c r="J155" i="24"/>
  <c r="H155" i="24"/>
  <c r="J154" i="24"/>
  <c r="H154" i="24"/>
  <c r="J153" i="24"/>
  <c r="H153" i="24"/>
  <c r="J152" i="24"/>
  <c r="H152" i="24"/>
  <c r="J151" i="24"/>
  <c r="H151" i="24"/>
  <c r="J150" i="24"/>
  <c r="H150" i="24"/>
  <c r="J149" i="24"/>
  <c r="H149" i="24"/>
  <c r="J148" i="24"/>
  <c r="H148" i="24"/>
  <c r="J147" i="24"/>
  <c r="H147" i="24"/>
  <c r="J146" i="24"/>
  <c r="H146" i="24"/>
  <c r="J145" i="24"/>
  <c r="H145" i="24"/>
  <c r="J144" i="24"/>
  <c r="H144" i="24"/>
  <c r="J143" i="24"/>
  <c r="H143" i="24"/>
  <c r="J142" i="24"/>
  <c r="H142" i="24"/>
  <c r="J141" i="24"/>
  <c r="H141" i="24"/>
  <c r="J140" i="24"/>
  <c r="H140" i="24"/>
  <c r="J139" i="24"/>
  <c r="H139" i="24"/>
  <c r="J138" i="24"/>
  <c r="H138" i="24"/>
  <c r="J137" i="24"/>
  <c r="H137" i="24"/>
  <c r="J136" i="24"/>
  <c r="H136" i="24"/>
  <c r="J135" i="24"/>
  <c r="H135" i="24"/>
  <c r="J134" i="24"/>
  <c r="H134" i="24"/>
  <c r="J133" i="24"/>
  <c r="H133" i="24"/>
  <c r="J132" i="24"/>
  <c r="H132" i="24"/>
  <c r="J131" i="24"/>
  <c r="H131" i="24"/>
  <c r="J130" i="24"/>
  <c r="H130" i="24"/>
  <c r="J129" i="24"/>
  <c r="H129" i="24"/>
  <c r="J128" i="24"/>
  <c r="H128" i="24"/>
  <c r="J127" i="24"/>
  <c r="H127" i="24"/>
  <c r="J126" i="24"/>
  <c r="H126" i="24"/>
  <c r="J125" i="24"/>
  <c r="H125" i="24"/>
  <c r="J124" i="24"/>
  <c r="H124" i="24"/>
  <c r="J123" i="24"/>
  <c r="H123" i="24"/>
  <c r="J122" i="24"/>
  <c r="H122" i="24"/>
  <c r="J121" i="24"/>
  <c r="H121" i="24"/>
  <c r="J120" i="24"/>
  <c r="H120" i="24"/>
  <c r="J119" i="24"/>
  <c r="H119" i="24"/>
  <c r="J118" i="24"/>
  <c r="H118" i="24"/>
  <c r="J117" i="24"/>
  <c r="H117" i="24"/>
  <c r="J116" i="24"/>
  <c r="H116" i="24"/>
  <c r="J115" i="24"/>
  <c r="H115" i="24"/>
  <c r="J114" i="24"/>
  <c r="H114" i="24"/>
  <c r="J113" i="24"/>
  <c r="H113" i="24"/>
  <c r="J112" i="24"/>
  <c r="H112" i="24"/>
  <c r="J111" i="24"/>
  <c r="H111" i="24"/>
  <c r="J110" i="24"/>
  <c r="H110" i="24"/>
  <c r="J109" i="24"/>
  <c r="H109" i="24"/>
  <c r="J108" i="24"/>
  <c r="H108" i="24"/>
  <c r="J107" i="24"/>
  <c r="H107" i="24"/>
  <c r="J106" i="24"/>
  <c r="H106" i="24"/>
  <c r="J105" i="24"/>
  <c r="H105" i="24"/>
  <c r="J104" i="24"/>
  <c r="H104" i="24"/>
  <c r="J103" i="24"/>
  <c r="H103" i="24"/>
  <c r="J102" i="24"/>
  <c r="H102" i="24"/>
  <c r="J101" i="24"/>
  <c r="H101" i="24"/>
  <c r="J100" i="24"/>
  <c r="H100" i="24"/>
  <c r="J99" i="24"/>
  <c r="H99" i="24"/>
  <c r="J98" i="24"/>
  <c r="H98" i="24"/>
  <c r="J97" i="24"/>
  <c r="H97" i="24"/>
  <c r="J96" i="24"/>
  <c r="H96" i="24"/>
  <c r="J95" i="24"/>
  <c r="H95" i="24"/>
  <c r="J94" i="24"/>
  <c r="H94" i="24"/>
  <c r="J93" i="24"/>
  <c r="H93" i="24"/>
  <c r="J92" i="24"/>
  <c r="H92" i="24"/>
  <c r="J91" i="24"/>
  <c r="H91" i="24"/>
  <c r="J90" i="24"/>
  <c r="H90" i="24"/>
  <c r="J89" i="24"/>
  <c r="H89" i="24"/>
  <c r="J88" i="24"/>
  <c r="H88" i="24"/>
  <c r="J87" i="24"/>
  <c r="H87" i="24"/>
  <c r="J86" i="24"/>
  <c r="H86" i="24"/>
  <c r="J85" i="24"/>
  <c r="H85" i="24"/>
  <c r="J84" i="24"/>
  <c r="H84" i="24"/>
  <c r="J83" i="24"/>
  <c r="H83" i="24"/>
  <c r="J82" i="24"/>
  <c r="H82" i="24"/>
  <c r="J81" i="24"/>
  <c r="H81" i="24"/>
  <c r="J80" i="24"/>
  <c r="H80" i="24"/>
  <c r="J79" i="24"/>
  <c r="H79" i="24"/>
  <c r="J78" i="24"/>
  <c r="H78" i="24"/>
  <c r="J77" i="24"/>
  <c r="H77" i="24"/>
  <c r="J76" i="24"/>
  <c r="H76" i="24"/>
  <c r="J75" i="24"/>
  <c r="H75" i="24"/>
  <c r="J74" i="24"/>
  <c r="H74" i="24"/>
  <c r="J73" i="24"/>
  <c r="H73" i="24"/>
  <c r="J72" i="24"/>
  <c r="H72" i="24"/>
  <c r="J71" i="24"/>
  <c r="H71" i="24"/>
  <c r="J70" i="24"/>
  <c r="H70" i="24"/>
  <c r="J69" i="24"/>
  <c r="H69" i="24"/>
  <c r="J68" i="24"/>
  <c r="H68" i="24"/>
  <c r="J67" i="24"/>
  <c r="H67" i="24"/>
  <c r="J66" i="24"/>
  <c r="H66" i="24"/>
  <c r="J65" i="24"/>
  <c r="H65" i="24"/>
  <c r="J64" i="24"/>
  <c r="H64" i="24"/>
  <c r="J63" i="24"/>
  <c r="H63" i="24"/>
  <c r="J62" i="24"/>
  <c r="H62" i="24"/>
  <c r="J61" i="24"/>
  <c r="H61" i="24"/>
  <c r="J60" i="24"/>
  <c r="H60" i="24"/>
  <c r="J59" i="24"/>
  <c r="H59" i="24"/>
  <c r="J58" i="24"/>
  <c r="H58" i="24"/>
  <c r="J57" i="24"/>
  <c r="H57" i="24"/>
  <c r="J56" i="24"/>
  <c r="H56" i="24"/>
  <c r="J55" i="24"/>
  <c r="H55" i="24"/>
  <c r="J54" i="24"/>
  <c r="H54" i="24"/>
  <c r="J53" i="24"/>
  <c r="H53" i="24"/>
  <c r="J52" i="24"/>
  <c r="H52" i="24"/>
  <c r="J51" i="24"/>
  <c r="H51" i="24"/>
  <c r="J50" i="24"/>
  <c r="H50" i="24"/>
  <c r="G50" i="24"/>
  <c r="J49" i="24"/>
  <c r="H49" i="24"/>
  <c r="G49" i="24"/>
  <c r="J48" i="24"/>
  <c r="H48" i="24"/>
  <c r="G48" i="24"/>
  <c r="J47" i="24"/>
  <c r="H47" i="24"/>
  <c r="G47" i="24"/>
  <c r="J46" i="24"/>
  <c r="H46" i="24"/>
  <c r="G46" i="24"/>
  <c r="J45" i="24"/>
  <c r="H45" i="24"/>
  <c r="G45" i="24"/>
  <c r="J44" i="24"/>
  <c r="H44" i="24"/>
  <c r="G44" i="24"/>
  <c r="J43" i="24"/>
  <c r="H43" i="24"/>
  <c r="G43" i="24"/>
  <c r="J42" i="24"/>
  <c r="H42" i="24"/>
  <c r="G42" i="24"/>
  <c r="J41" i="24"/>
  <c r="H41" i="24"/>
  <c r="G41" i="24"/>
  <c r="J40" i="24"/>
  <c r="H40" i="24"/>
  <c r="G40" i="24"/>
  <c r="J39" i="24"/>
  <c r="H39" i="24"/>
  <c r="G39" i="24"/>
  <c r="J38" i="24"/>
  <c r="H38" i="24"/>
  <c r="G38" i="24"/>
  <c r="J37" i="24"/>
  <c r="H37" i="24"/>
  <c r="G37" i="24"/>
  <c r="J36" i="24"/>
  <c r="H36" i="24"/>
  <c r="G36" i="24"/>
  <c r="J35" i="24"/>
  <c r="H35" i="24"/>
  <c r="G35" i="24"/>
  <c r="J34" i="24"/>
  <c r="H34" i="24"/>
  <c r="G34" i="24"/>
  <c r="J33" i="24"/>
  <c r="H33" i="24"/>
  <c r="G33" i="24"/>
  <c r="J32" i="24"/>
  <c r="H32" i="24"/>
  <c r="G32" i="24"/>
  <c r="J31" i="24"/>
  <c r="H31" i="24"/>
  <c r="G31" i="24"/>
  <c r="J30" i="24"/>
  <c r="H30" i="24"/>
  <c r="G30" i="24"/>
  <c r="J29" i="24"/>
  <c r="H29" i="24"/>
  <c r="G29" i="24"/>
  <c r="J28" i="24"/>
  <c r="H28" i="24"/>
  <c r="G28" i="24"/>
  <c r="J27" i="24"/>
  <c r="H27" i="24"/>
  <c r="G27" i="24"/>
  <c r="J26" i="24"/>
  <c r="H26" i="24"/>
  <c r="G26" i="24"/>
  <c r="J25" i="24"/>
  <c r="H25" i="24"/>
  <c r="G25" i="24"/>
  <c r="J24" i="24"/>
  <c r="H24" i="24"/>
  <c r="G24" i="24"/>
  <c r="J23" i="24"/>
  <c r="H23" i="24"/>
  <c r="G23" i="24"/>
  <c r="J22" i="24"/>
  <c r="H22" i="24"/>
  <c r="G22" i="24"/>
  <c r="J21" i="24"/>
  <c r="H21" i="24"/>
  <c r="G21" i="24"/>
  <c r="J20" i="24"/>
  <c r="H20" i="24"/>
  <c r="G20" i="24"/>
  <c r="J19" i="24"/>
  <c r="H19" i="24"/>
  <c r="G19" i="24"/>
  <c r="J18" i="24"/>
  <c r="H18" i="24"/>
  <c r="G18" i="24"/>
  <c r="J17" i="24"/>
  <c r="H17" i="24"/>
  <c r="G17" i="24"/>
  <c r="G16" i="24"/>
  <c r="H16" i="24" s="1"/>
  <c r="G15" i="24"/>
  <c r="H15" i="24" s="1"/>
  <c r="G14" i="24"/>
  <c r="H14" i="24" s="1"/>
  <c r="G13" i="24"/>
  <c r="H13" i="24" s="1"/>
  <c r="G12" i="24"/>
  <c r="H12" i="24" s="1"/>
  <c r="J12" i="24" s="1"/>
  <c r="G11" i="24"/>
  <c r="H11" i="24" s="1"/>
  <c r="J11" i="24" s="1"/>
  <c r="G10" i="24"/>
  <c r="H10" i="24" s="1"/>
  <c r="G9" i="24"/>
  <c r="H9" i="24" s="1"/>
  <c r="J9" i="24" s="1"/>
  <c r="G8" i="24"/>
  <c r="H8" i="24" s="1"/>
  <c r="J8" i="24" s="1"/>
  <c r="O7" i="24"/>
  <c r="G7" i="24"/>
  <c r="H7" i="24" s="1"/>
  <c r="J7" i="24" s="1"/>
  <c r="O6" i="24"/>
  <c r="G6" i="24"/>
  <c r="H6" i="24" s="1"/>
  <c r="J6" i="24" s="1"/>
  <c r="O5" i="24"/>
  <c r="G5" i="24"/>
  <c r="H5" i="24" s="1"/>
  <c r="I403" i="23"/>
  <c r="G403" i="23"/>
  <c r="I402" i="23"/>
  <c r="G402" i="23"/>
  <c r="I401" i="23"/>
  <c r="G401" i="23"/>
  <c r="I400" i="23"/>
  <c r="G400" i="23"/>
  <c r="I399" i="23"/>
  <c r="G399" i="23"/>
  <c r="I398" i="23"/>
  <c r="G398" i="23"/>
  <c r="I397" i="23"/>
  <c r="G397" i="23"/>
  <c r="I396" i="23"/>
  <c r="G396" i="23"/>
  <c r="I395" i="23"/>
  <c r="G395" i="23"/>
  <c r="I394" i="23"/>
  <c r="G394" i="23"/>
  <c r="I393" i="23"/>
  <c r="G393" i="23"/>
  <c r="I392" i="23"/>
  <c r="G392" i="23"/>
  <c r="I391" i="23"/>
  <c r="G391" i="23"/>
  <c r="I390" i="23"/>
  <c r="G390" i="23"/>
  <c r="I389" i="23"/>
  <c r="G389" i="23"/>
  <c r="I388" i="23"/>
  <c r="G388" i="23"/>
  <c r="I387" i="23"/>
  <c r="G387" i="23"/>
  <c r="I386" i="23"/>
  <c r="G386" i="23"/>
  <c r="I385" i="23"/>
  <c r="G385" i="23"/>
  <c r="I384" i="23"/>
  <c r="G384" i="23"/>
  <c r="I383" i="23"/>
  <c r="G383" i="23"/>
  <c r="I382" i="23"/>
  <c r="G382" i="23"/>
  <c r="I381" i="23"/>
  <c r="G381" i="23"/>
  <c r="I380" i="23"/>
  <c r="G380" i="23"/>
  <c r="I379" i="23"/>
  <c r="G379" i="23"/>
  <c r="I378" i="23"/>
  <c r="G378" i="23"/>
  <c r="I377" i="23"/>
  <c r="G377" i="23"/>
  <c r="I376" i="23"/>
  <c r="G376" i="23"/>
  <c r="I375" i="23"/>
  <c r="G375" i="23"/>
  <c r="I374" i="23"/>
  <c r="G374" i="23"/>
  <c r="I373" i="23"/>
  <c r="G373" i="23"/>
  <c r="I372" i="23"/>
  <c r="G372" i="23"/>
  <c r="I371" i="23"/>
  <c r="G371" i="23"/>
  <c r="I370" i="23"/>
  <c r="G370" i="23"/>
  <c r="I369" i="23"/>
  <c r="G369" i="23"/>
  <c r="I368" i="23"/>
  <c r="G368" i="23"/>
  <c r="I367" i="23"/>
  <c r="G367" i="23"/>
  <c r="I366" i="23"/>
  <c r="G366" i="23"/>
  <c r="I365" i="23"/>
  <c r="G365" i="23"/>
  <c r="I364" i="23"/>
  <c r="G364" i="23"/>
  <c r="I363" i="23"/>
  <c r="G363" i="23"/>
  <c r="I362" i="23"/>
  <c r="G362" i="23"/>
  <c r="I361" i="23"/>
  <c r="G361" i="23"/>
  <c r="I360" i="23"/>
  <c r="G360" i="23"/>
  <c r="I359" i="23"/>
  <c r="G359" i="23"/>
  <c r="I358" i="23"/>
  <c r="G358" i="23"/>
  <c r="I357" i="23"/>
  <c r="G357" i="23"/>
  <c r="I356" i="23"/>
  <c r="G356" i="23"/>
  <c r="I355" i="23"/>
  <c r="G355" i="23"/>
  <c r="I354" i="23"/>
  <c r="G354" i="23"/>
  <c r="I353" i="23"/>
  <c r="G353" i="23"/>
  <c r="I352" i="23"/>
  <c r="G352" i="23"/>
  <c r="I351" i="23"/>
  <c r="G351" i="23"/>
  <c r="I350" i="23"/>
  <c r="G350" i="23"/>
  <c r="I349" i="23"/>
  <c r="G349" i="23"/>
  <c r="I348" i="23"/>
  <c r="G348" i="23"/>
  <c r="I347" i="23"/>
  <c r="G347" i="23"/>
  <c r="I346" i="23"/>
  <c r="G346" i="23"/>
  <c r="I345" i="23"/>
  <c r="G345" i="23"/>
  <c r="I344" i="23"/>
  <c r="G344" i="23"/>
  <c r="I343" i="23"/>
  <c r="G343" i="23"/>
  <c r="I342" i="23"/>
  <c r="G342" i="23"/>
  <c r="I341" i="23"/>
  <c r="G341" i="23"/>
  <c r="I340" i="23"/>
  <c r="G340" i="23"/>
  <c r="I339" i="23"/>
  <c r="G339" i="23"/>
  <c r="I338" i="23"/>
  <c r="G338" i="23"/>
  <c r="I337" i="23"/>
  <c r="G337" i="23"/>
  <c r="I336" i="23"/>
  <c r="G336" i="23"/>
  <c r="I335" i="23"/>
  <c r="G335" i="23"/>
  <c r="I334" i="23"/>
  <c r="G334" i="23"/>
  <c r="I333" i="23"/>
  <c r="G333" i="23"/>
  <c r="I332" i="23"/>
  <c r="G332" i="23"/>
  <c r="I331" i="23"/>
  <c r="G331" i="23"/>
  <c r="I330" i="23"/>
  <c r="G330" i="23"/>
  <c r="I329" i="23"/>
  <c r="G329" i="23"/>
  <c r="I328" i="23"/>
  <c r="G328" i="23"/>
  <c r="I327" i="23"/>
  <c r="G327" i="23"/>
  <c r="I326" i="23"/>
  <c r="G326" i="23"/>
  <c r="I325" i="23"/>
  <c r="G325" i="23"/>
  <c r="I324" i="23"/>
  <c r="G324" i="23"/>
  <c r="I323" i="23"/>
  <c r="G323" i="23"/>
  <c r="I322" i="23"/>
  <c r="G322" i="23"/>
  <c r="I321" i="23"/>
  <c r="G321" i="23"/>
  <c r="I320" i="23"/>
  <c r="G320" i="23"/>
  <c r="I319" i="23"/>
  <c r="G319" i="23"/>
  <c r="I318" i="23"/>
  <c r="G318" i="23"/>
  <c r="I317" i="23"/>
  <c r="G317" i="23"/>
  <c r="I316" i="23"/>
  <c r="G316" i="23"/>
  <c r="I315" i="23"/>
  <c r="G315" i="23"/>
  <c r="I314" i="23"/>
  <c r="G314" i="23"/>
  <c r="I313" i="23"/>
  <c r="G313" i="23"/>
  <c r="I312" i="23"/>
  <c r="G312" i="23"/>
  <c r="I311" i="23"/>
  <c r="G311" i="23"/>
  <c r="I310" i="23"/>
  <c r="G310" i="23"/>
  <c r="I309" i="23"/>
  <c r="G309" i="23"/>
  <c r="I308" i="23"/>
  <c r="G308" i="23"/>
  <c r="I307" i="23"/>
  <c r="G307" i="23"/>
  <c r="I306" i="23"/>
  <c r="G306" i="23"/>
  <c r="I305" i="23"/>
  <c r="G305" i="23"/>
  <c r="I304" i="23"/>
  <c r="G304" i="23"/>
  <c r="I303" i="23"/>
  <c r="G303" i="23"/>
  <c r="I302" i="23"/>
  <c r="G302" i="23"/>
  <c r="I301" i="23"/>
  <c r="G301" i="23"/>
  <c r="I300" i="23"/>
  <c r="G300" i="23"/>
  <c r="I299" i="23"/>
  <c r="G299" i="23"/>
  <c r="I298" i="23"/>
  <c r="G298" i="23"/>
  <c r="I297" i="23"/>
  <c r="G297" i="23"/>
  <c r="I296" i="23"/>
  <c r="G296" i="23"/>
  <c r="I295" i="23"/>
  <c r="G295" i="23"/>
  <c r="I294" i="23"/>
  <c r="G294" i="23"/>
  <c r="I293" i="23"/>
  <c r="G293" i="23"/>
  <c r="I292" i="23"/>
  <c r="G292" i="23"/>
  <c r="I291" i="23"/>
  <c r="G291" i="23"/>
  <c r="I290" i="23"/>
  <c r="G290" i="23"/>
  <c r="I289" i="23"/>
  <c r="G289" i="23"/>
  <c r="I288" i="23"/>
  <c r="G288" i="23"/>
  <c r="I287" i="23"/>
  <c r="G287" i="23"/>
  <c r="I286" i="23"/>
  <c r="G286" i="23"/>
  <c r="I285" i="23"/>
  <c r="G285" i="23"/>
  <c r="I284" i="23"/>
  <c r="G284" i="23"/>
  <c r="I283" i="23"/>
  <c r="G283" i="23"/>
  <c r="I282" i="23"/>
  <c r="G282" i="23"/>
  <c r="I281" i="23"/>
  <c r="G281" i="23"/>
  <c r="I280" i="23"/>
  <c r="G280" i="23"/>
  <c r="I279" i="23"/>
  <c r="G279" i="23"/>
  <c r="I278" i="23"/>
  <c r="G278" i="23"/>
  <c r="I277" i="23"/>
  <c r="G277" i="23"/>
  <c r="I276" i="23"/>
  <c r="G276" i="23"/>
  <c r="I275" i="23"/>
  <c r="G275" i="23"/>
  <c r="I274" i="23"/>
  <c r="G274" i="23"/>
  <c r="I273" i="23"/>
  <c r="G273" i="23"/>
  <c r="I272" i="23"/>
  <c r="G272" i="23"/>
  <c r="I271" i="23"/>
  <c r="G271" i="23"/>
  <c r="I270" i="23"/>
  <c r="G270" i="23"/>
  <c r="I269" i="23"/>
  <c r="G269" i="23"/>
  <c r="I268" i="23"/>
  <c r="G268" i="23"/>
  <c r="I267" i="23"/>
  <c r="G267" i="23"/>
  <c r="I266" i="23"/>
  <c r="G266" i="23"/>
  <c r="I265" i="23"/>
  <c r="G265" i="23"/>
  <c r="I264" i="23"/>
  <c r="G264" i="23"/>
  <c r="I263" i="23"/>
  <c r="G263" i="23"/>
  <c r="I262" i="23"/>
  <c r="G262" i="23"/>
  <c r="I261" i="23"/>
  <c r="G261" i="23"/>
  <c r="I260" i="23"/>
  <c r="G260" i="23"/>
  <c r="I259" i="23"/>
  <c r="G259" i="23"/>
  <c r="I258" i="23"/>
  <c r="G258" i="23"/>
  <c r="I257" i="23"/>
  <c r="G257" i="23"/>
  <c r="I256" i="23"/>
  <c r="G256" i="23"/>
  <c r="I255" i="23"/>
  <c r="G255" i="23"/>
  <c r="I254" i="23"/>
  <c r="G254" i="23"/>
  <c r="I253" i="23"/>
  <c r="G253" i="23"/>
  <c r="I252" i="23"/>
  <c r="G252" i="23"/>
  <c r="I251" i="23"/>
  <c r="G251" i="23"/>
  <c r="I250" i="23"/>
  <c r="G250" i="23"/>
  <c r="I249" i="23"/>
  <c r="G249" i="23"/>
  <c r="I248" i="23"/>
  <c r="G248" i="23"/>
  <c r="I247" i="23"/>
  <c r="G247" i="23"/>
  <c r="I246" i="23"/>
  <c r="G246" i="23"/>
  <c r="I245" i="23"/>
  <c r="G245" i="23"/>
  <c r="I244" i="23"/>
  <c r="G244" i="23"/>
  <c r="I243" i="23"/>
  <c r="G243" i="23"/>
  <c r="I242" i="23"/>
  <c r="G242" i="23"/>
  <c r="I241" i="23"/>
  <c r="G241" i="23"/>
  <c r="I240" i="23"/>
  <c r="G240" i="23"/>
  <c r="I239" i="23"/>
  <c r="G239" i="23"/>
  <c r="I238" i="23"/>
  <c r="G238" i="23"/>
  <c r="I237" i="23"/>
  <c r="G237" i="23"/>
  <c r="I236" i="23"/>
  <c r="G236" i="23"/>
  <c r="I235" i="23"/>
  <c r="G235" i="23"/>
  <c r="I234" i="23"/>
  <c r="G234" i="23"/>
  <c r="I233" i="23"/>
  <c r="G233" i="23"/>
  <c r="I232" i="23"/>
  <c r="G232" i="23"/>
  <c r="I231" i="23"/>
  <c r="G231" i="23"/>
  <c r="I230" i="23"/>
  <c r="G230" i="23"/>
  <c r="I229" i="23"/>
  <c r="G229" i="23"/>
  <c r="I228" i="23"/>
  <c r="G228" i="23"/>
  <c r="I227" i="23"/>
  <c r="G227" i="23"/>
  <c r="I226" i="23"/>
  <c r="G226" i="23"/>
  <c r="I225" i="23"/>
  <c r="G225" i="23"/>
  <c r="I224" i="23"/>
  <c r="G224" i="23"/>
  <c r="I223" i="23"/>
  <c r="G223" i="23"/>
  <c r="I222" i="23"/>
  <c r="G222" i="23"/>
  <c r="I221" i="23"/>
  <c r="G221" i="23"/>
  <c r="I220" i="23"/>
  <c r="G220" i="23"/>
  <c r="I219" i="23"/>
  <c r="G219" i="23"/>
  <c r="I218" i="23"/>
  <c r="G218" i="23"/>
  <c r="I217" i="23"/>
  <c r="G217" i="23"/>
  <c r="I216" i="23"/>
  <c r="G216" i="23"/>
  <c r="I215" i="23"/>
  <c r="G215" i="23"/>
  <c r="I214" i="23"/>
  <c r="G214" i="23"/>
  <c r="I213" i="23"/>
  <c r="G213" i="23"/>
  <c r="I212" i="23"/>
  <c r="G212" i="23"/>
  <c r="I211" i="23"/>
  <c r="G211" i="23"/>
  <c r="I210" i="23"/>
  <c r="G210" i="23"/>
  <c r="I209" i="23"/>
  <c r="G209" i="23"/>
  <c r="I208" i="23"/>
  <c r="G208" i="23"/>
  <c r="I207" i="23"/>
  <c r="G207" i="23"/>
  <c r="I206" i="23"/>
  <c r="G206" i="23"/>
  <c r="I205" i="23"/>
  <c r="G205" i="23"/>
  <c r="I204" i="23"/>
  <c r="G204" i="23"/>
  <c r="I203" i="23"/>
  <c r="G203" i="23"/>
  <c r="I202" i="23"/>
  <c r="G202" i="23"/>
  <c r="I201" i="23"/>
  <c r="G201" i="23"/>
  <c r="I200" i="23"/>
  <c r="G200" i="23"/>
  <c r="I199" i="23"/>
  <c r="G199" i="23"/>
  <c r="I198" i="23"/>
  <c r="G198" i="23"/>
  <c r="I197" i="23"/>
  <c r="G197" i="23"/>
  <c r="I196" i="23"/>
  <c r="G196" i="23"/>
  <c r="I195" i="23"/>
  <c r="G195" i="23"/>
  <c r="I194" i="23"/>
  <c r="G194" i="23"/>
  <c r="I193" i="23"/>
  <c r="G193" i="23"/>
  <c r="I192" i="23"/>
  <c r="G192" i="23"/>
  <c r="I191" i="23"/>
  <c r="G191" i="23"/>
  <c r="I190" i="23"/>
  <c r="G190" i="23"/>
  <c r="I189" i="23"/>
  <c r="G189" i="23"/>
  <c r="I188" i="23"/>
  <c r="G188" i="23"/>
  <c r="I187" i="23"/>
  <c r="G187" i="23"/>
  <c r="I186" i="23"/>
  <c r="G186" i="23"/>
  <c r="I185" i="23"/>
  <c r="G185" i="23"/>
  <c r="I184" i="23"/>
  <c r="G184" i="23"/>
  <c r="I183" i="23"/>
  <c r="G183" i="23"/>
  <c r="I182" i="23"/>
  <c r="G182" i="23"/>
  <c r="I181" i="23"/>
  <c r="G181" i="23"/>
  <c r="I180" i="23"/>
  <c r="G180" i="23"/>
  <c r="I179" i="23"/>
  <c r="G179" i="23"/>
  <c r="I178" i="23"/>
  <c r="G178" i="23"/>
  <c r="I177" i="23"/>
  <c r="G177" i="23"/>
  <c r="I176" i="23"/>
  <c r="G176" i="23"/>
  <c r="I175" i="23"/>
  <c r="G175" i="23"/>
  <c r="I174" i="23"/>
  <c r="G174" i="23"/>
  <c r="I173" i="23"/>
  <c r="G173" i="23"/>
  <c r="I172" i="23"/>
  <c r="G172" i="23"/>
  <c r="I171" i="23"/>
  <c r="G171" i="23"/>
  <c r="I170" i="23"/>
  <c r="G170" i="23"/>
  <c r="I169" i="23"/>
  <c r="G169" i="23"/>
  <c r="I168" i="23"/>
  <c r="G168" i="23"/>
  <c r="I167" i="23"/>
  <c r="G167" i="23"/>
  <c r="I166" i="23"/>
  <c r="G166" i="23"/>
  <c r="I165" i="23"/>
  <c r="G165" i="23"/>
  <c r="I164" i="23"/>
  <c r="G164" i="23"/>
  <c r="I163" i="23"/>
  <c r="G163" i="23"/>
  <c r="I162" i="23"/>
  <c r="G162" i="23"/>
  <c r="I161" i="23"/>
  <c r="G161" i="23"/>
  <c r="I160" i="23"/>
  <c r="G160" i="23"/>
  <c r="I159" i="23"/>
  <c r="G159" i="23"/>
  <c r="I158" i="23"/>
  <c r="G158" i="23"/>
  <c r="I157" i="23"/>
  <c r="G157" i="23"/>
  <c r="I156" i="23"/>
  <c r="G156" i="23"/>
  <c r="I155" i="23"/>
  <c r="G155" i="23"/>
  <c r="I154" i="23"/>
  <c r="G154" i="23"/>
  <c r="I153" i="23"/>
  <c r="G153" i="23"/>
  <c r="I152" i="23"/>
  <c r="G152" i="23"/>
  <c r="I151" i="23"/>
  <c r="G151" i="23"/>
  <c r="I150" i="23"/>
  <c r="G150" i="23"/>
  <c r="I149" i="23"/>
  <c r="G149" i="23"/>
  <c r="I148" i="23"/>
  <c r="G148" i="23"/>
  <c r="I147" i="23"/>
  <c r="G147" i="23"/>
  <c r="I146" i="23"/>
  <c r="G146" i="23"/>
  <c r="I145" i="23"/>
  <c r="G145" i="23"/>
  <c r="I144" i="23"/>
  <c r="G144" i="23"/>
  <c r="I143" i="23"/>
  <c r="G143" i="23"/>
  <c r="I142" i="23"/>
  <c r="G142" i="23"/>
  <c r="I141" i="23"/>
  <c r="G141" i="23"/>
  <c r="I140" i="23"/>
  <c r="G140" i="23"/>
  <c r="I139" i="23"/>
  <c r="G139" i="23"/>
  <c r="I138" i="23"/>
  <c r="G138" i="23"/>
  <c r="I137" i="23"/>
  <c r="G137" i="23"/>
  <c r="I136" i="23"/>
  <c r="G136" i="23"/>
  <c r="I135" i="23"/>
  <c r="G135" i="23"/>
  <c r="I134" i="23"/>
  <c r="G134" i="23"/>
  <c r="I133" i="23"/>
  <c r="G133" i="23"/>
  <c r="I132" i="23"/>
  <c r="G132" i="23"/>
  <c r="I131" i="23"/>
  <c r="G131" i="23"/>
  <c r="I130" i="23"/>
  <c r="G130" i="23"/>
  <c r="I129" i="23"/>
  <c r="G129" i="23"/>
  <c r="I128" i="23"/>
  <c r="G128" i="23"/>
  <c r="I127" i="23"/>
  <c r="G127" i="23"/>
  <c r="I126" i="23"/>
  <c r="G126" i="23"/>
  <c r="I125" i="23"/>
  <c r="G125" i="23"/>
  <c r="I124" i="23"/>
  <c r="G124" i="23"/>
  <c r="I123" i="23"/>
  <c r="G123" i="23"/>
  <c r="I122" i="23"/>
  <c r="G122" i="23"/>
  <c r="I121" i="23"/>
  <c r="G121" i="23"/>
  <c r="I120" i="23"/>
  <c r="G120" i="23"/>
  <c r="I119" i="23"/>
  <c r="G119" i="23"/>
  <c r="I118" i="23"/>
  <c r="G118" i="23"/>
  <c r="I117" i="23"/>
  <c r="G117" i="23"/>
  <c r="I116" i="23"/>
  <c r="G116" i="23"/>
  <c r="I115" i="23"/>
  <c r="G115" i="23"/>
  <c r="I114" i="23"/>
  <c r="G114" i="23"/>
  <c r="I113" i="23"/>
  <c r="G113" i="23"/>
  <c r="I112" i="23"/>
  <c r="G112" i="23"/>
  <c r="I111" i="23"/>
  <c r="G111" i="23"/>
  <c r="I110" i="23"/>
  <c r="G110" i="23"/>
  <c r="I109" i="23"/>
  <c r="G109" i="23"/>
  <c r="I108" i="23"/>
  <c r="G108" i="23"/>
  <c r="I107" i="23"/>
  <c r="G107" i="23"/>
  <c r="I106" i="23"/>
  <c r="G106" i="23"/>
  <c r="I105" i="23"/>
  <c r="G105" i="23"/>
  <c r="I104" i="23"/>
  <c r="G104" i="23"/>
  <c r="I103" i="23"/>
  <c r="G103" i="23"/>
  <c r="I102" i="23"/>
  <c r="G102" i="23"/>
  <c r="I101" i="23"/>
  <c r="G101" i="23"/>
  <c r="I100" i="23"/>
  <c r="G100" i="23"/>
  <c r="I99" i="23"/>
  <c r="J99" i="23" s="1"/>
  <c r="B28" i="113" s="1"/>
  <c r="C28" i="113" s="1"/>
  <c r="G99" i="23"/>
  <c r="I98" i="23"/>
  <c r="G98" i="23"/>
  <c r="I97" i="23"/>
  <c r="G97" i="23"/>
  <c r="I96" i="23"/>
  <c r="G96" i="23"/>
  <c r="I95" i="23"/>
  <c r="G95" i="23"/>
  <c r="I94" i="23"/>
  <c r="G94" i="23"/>
  <c r="I93" i="23"/>
  <c r="G93" i="23"/>
  <c r="I92" i="23"/>
  <c r="G92" i="23"/>
  <c r="I91" i="23"/>
  <c r="G91" i="23"/>
  <c r="I90" i="23"/>
  <c r="G90" i="23"/>
  <c r="I89" i="23"/>
  <c r="G89" i="23"/>
  <c r="I88" i="23"/>
  <c r="G88" i="23"/>
  <c r="I87" i="23"/>
  <c r="G87" i="23"/>
  <c r="I86" i="23"/>
  <c r="G86" i="23"/>
  <c r="I85" i="23"/>
  <c r="G85" i="23"/>
  <c r="I84" i="23"/>
  <c r="G84" i="23"/>
  <c r="I83" i="23"/>
  <c r="G83" i="23"/>
  <c r="I82" i="23"/>
  <c r="G82" i="23"/>
  <c r="I81" i="23"/>
  <c r="G81" i="23"/>
  <c r="I80" i="23"/>
  <c r="G80" i="23"/>
  <c r="I79" i="23"/>
  <c r="G79" i="23"/>
  <c r="I78" i="23"/>
  <c r="G78" i="23"/>
  <c r="I77" i="23"/>
  <c r="G77" i="23"/>
  <c r="I76" i="23"/>
  <c r="G76" i="23"/>
  <c r="I75" i="23"/>
  <c r="G75" i="23"/>
  <c r="I74" i="23"/>
  <c r="G74" i="23"/>
  <c r="I73" i="23"/>
  <c r="G73" i="23"/>
  <c r="I72" i="23"/>
  <c r="G72" i="23"/>
  <c r="I71" i="23"/>
  <c r="G71" i="23"/>
  <c r="I70" i="23"/>
  <c r="G70" i="23"/>
  <c r="I69" i="23"/>
  <c r="G69" i="23"/>
  <c r="I68" i="23"/>
  <c r="G68" i="23"/>
  <c r="I67" i="23"/>
  <c r="G67" i="23"/>
  <c r="I66" i="23"/>
  <c r="G66" i="23"/>
  <c r="I65" i="23"/>
  <c r="G65" i="23"/>
  <c r="I64" i="23"/>
  <c r="G64" i="23"/>
  <c r="I63" i="23"/>
  <c r="G63" i="23"/>
  <c r="I62" i="23"/>
  <c r="G62" i="23"/>
  <c r="I61" i="23"/>
  <c r="G61" i="23"/>
  <c r="I60" i="23"/>
  <c r="G60" i="23"/>
  <c r="I59" i="23"/>
  <c r="G59" i="23"/>
  <c r="I58" i="23"/>
  <c r="G58" i="23"/>
  <c r="I57" i="23"/>
  <c r="G57" i="23"/>
  <c r="I56" i="23"/>
  <c r="G56" i="23"/>
  <c r="I55" i="23"/>
  <c r="G55" i="23"/>
  <c r="I54" i="23"/>
  <c r="G54" i="23"/>
  <c r="I53" i="23"/>
  <c r="G53" i="23"/>
  <c r="I52" i="23"/>
  <c r="G52" i="23"/>
  <c r="I51" i="23"/>
  <c r="G51" i="23"/>
  <c r="I50" i="23"/>
  <c r="G50" i="23"/>
  <c r="I49" i="23"/>
  <c r="G49" i="23"/>
  <c r="I48" i="23"/>
  <c r="G48" i="23"/>
  <c r="I47" i="23"/>
  <c r="G47" i="23"/>
  <c r="I46" i="23"/>
  <c r="G46" i="23"/>
  <c r="I45" i="23"/>
  <c r="G45" i="23"/>
  <c r="I44" i="23"/>
  <c r="G44" i="23"/>
  <c r="I43" i="23"/>
  <c r="G43" i="23"/>
  <c r="I42" i="23"/>
  <c r="G42" i="23"/>
  <c r="I41" i="23"/>
  <c r="G41" i="23"/>
  <c r="I40" i="23"/>
  <c r="G40" i="23"/>
  <c r="I39" i="23"/>
  <c r="G39" i="23"/>
  <c r="I38" i="23"/>
  <c r="G38" i="23"/>
  <c r="I37" i="23"/>
  <c r="G37" i="23"/>
  <c r="I36" i="23"/>
  <c r="G36" i="23"/>
  <c r="I35" i="23"/>
  <c r="G35" i="23"/>
  <c r="I34" i="23"/>
  <c r="G34" i="23"/>
  <c r="I33" i="23"/>
  <c r="G33" i="23"/>
  <c r="I32" i="23"/>
  <c r="G32" i="23"/>
  <c r="I31" i="23"/>
  <c r="G31" i="23"/>
  <c r="I30" i="23"/>
  <c r="G30" i="23"/>
  <c r="I29" i="23"/>
  <c r="G29" i="23"/>
  <c r="I28" i="23"/>
  <c r="G28" i="23"/>
  <c r="I27" i="23"/>
  <c r="G27" i="23"/>
  <c r="I26" i="23"/>
  <c r="G26" i="23"/>
  <c r="I25" i="23"/>
  <c r="G25" i="23"/>
  <c r="I24" i="23"/>
  <c r="G24" i="23"/>
  <c r="I23" i="23"/>
  <c r="G23" i="23"/>
  <c r="I22" i="23"/>
  <c r="G22" i="23"/>
  <c r="I21" i="23"/>
  <c r="G21" i="23"/>
  <c r="I20" i="23"/>
  <c r="G20" i="23"/>
  <c r="I19" i="23"/>
  <c r="G19" i="23"/>
  <c r="I18" i="23"/>
  <c r="G18" i="23"/>
  <c r="I17" i="23"/>
  <c r="G17" i="23"/>
  <c r="I16" i="23"/>
  <c r="G16" i="23"/>
  <c r="I15" i="23"/>
  <c r="G15" i="23"/>
  <c r="I14" i="23"/>
  <c r="G14" i="23"/>
  <c r="I13" i="23"/>
  <c r="G13" i="23"/>
  <c r="I12" i="23"/>
  <c r="G12" i="23"/>
  <c r="I11" i="23"/>
  <c r="G11" i="23"/>
  <c r="I10" i="23"/>
  <c r="G10" i="23"/>
  <c r="I9" i="23"/>
  <c r="G9" i="23"/>
  <c r="I8" i="23"/>
  <c r="G8" i="23"/>
  <c r="I7" i="23"/>
  <c r="G7" i="23"/>
  <c r="I6" i="23"/>
  <c r="G6" i="23"/>
  <c r="I5" i="23"/>
  <c r="G5" i="23"/>
  <c r="K204" i="22"/>
  <c r="H204" i="22"/>
  <c r="G204" i="22"/>
  <c r="F204" i="22"/>
  <c r="E204" i="22"/>
  <c r="D204" i="22"/>
  <c r="K203" i="22"/>
  <c r="H203" i="22"/>
  <c r="G203" i="22"/>
  <c r="F203" i="22"/>
  <c r="E203" i="22"/>
  <c r="D203" i="22"/>
  <c r="K202" i="22"/>
  <c r="H202" i="22"/>
  <c r="G202" i="22"/>
  <c r="F202" i="22"/>
  <c r="E202" i="22"/>
  <c r="D202" i="22"/>
  <c r="K201" i="22"/>
  <c r="H201" i="22"/>
  <c r="G201" i="22"/>
  <c r="F201" i="22"/>
  <c r="E201" i="22"/>
  <c r="D201" i="22"/>
  <c r="K200" i="22"/>
  <c r="H200" i="22"/>
  <c r="G200" i="22"/>
  <c r="F200" i="22"/>
  <c r="E200" i="22"/>
  <c r="D200" i="22"/>
  <c r="K199" i="22"/>
  <c r="H199" i="22"/>
  <c r="G199" i="22"/>
  <c r="F199" i="22"/>
  <c r="E199" i="22"/>
  <c r="D199" i="22"/>
  <c r="K198" i="22"/>
  <c r="H198" i="22"/>
  <c r="G198" i="22"/>
  <c r="F198" i="22"/>
  <c r="E198" i="22"/>
  <c r="D198" i="22"/>
  <c r="K197" i="22"/>
  <c r="H197" i="22"/>
  <c r="G197" i="22"/>
  <c r="F197" i="22"/>
  <c r="E197" i="22"/>
  <c r="D197" i="22"/>
  <c r="K196" i="22"/>
  <c r="H196" i="22"/>
  <c r="G196" i="22"/>
  <c r="F196" i="22"/>
  <c r="E196" i="22"/>
  <c r="D196" i="22"/>
  <c r="K195" i="22"/>
  <c r="H195" i="22"/>
  <c r="G195" i="22"/>
  <c r="F195" i="22"/>
  <c r="E195" i="22"/>
  <c r="D195" i="22"/>
  <c r="K194" i="22"/>
  <c r="H194" i="22"/>
  <c r="G194" i="22"/>
  <c r="F194" i="22"/>
  <c r="E194" i="22"/>
  <c r="D194" i="22"/>
  <c r="K193" i="22"/>
  <c r="H193" i="22"/>
  <c r="G193" i="22"/>
  <c r="F193" i="22"/>
  <c r="E193" i="22"/>
  <c r="D193" i="22"/>
  <c r="K192" i="22"/>
  <c r="H192" i="22"/>
  <c r="G192" i="22"/>
  <c r="F192" i="22"/>
  <c r="E192" i="22"/>
  <c r="D192" i="22"/>
  <c r="K191" i="22"/>
  <c r="H191" i="22"/>
  <c r="G191" i="22"/>
  <c r="F191" i="22"/>
  <c r="E191" i="22"/>
  <c r="D191" i="22"/>
  <c r="K190" i="22"/>
  <c r="H190" i="22"/>
  <c r="G190" i="22"/>
  <c r="F190" i="22"/>
  <c r="E190" i="22"/>
  <c r="D190" i="22"/>
  <c r="K189" i="22"/>
  <c r="H189" i="22"/>
  <c r="G189" i="22"/>
  <c r="F189" i="22"/>
  <c r="E189" i="22"/>
  <c r="D189" i="22"/>
  <c r="K188" i="22"/>
  <c r="H188" i="22"/>
  <c r="G188" i="22"/>
  <c r="F188" i="22"/>
  <c r="E188" i="22"/>
  <c r="D188" i="22"/>
  <c r="K187" i="22"/>
  <c r="H187" i="22"/>
  <c r="G187" i="22"/>
  <c r="F187" i="22"/>
  <c r="E187" i="22"/>
  <c r="D187" i="22"/>
  <c r="K186" i="22"/>
  <c r="H186" i="22"/>
  <c r="G186" i="22"/>
  <c r="F186" i="22"/>
  <c r="E186" i="22"/>
  <c r="D186" i="22"/>
  <c r="K185" i="22"/>
  <c r="H185" i="22"/>
  <c r="G185" i="22"/>
  <c r="F185" i="22"/>
  <c r="E185" i="22"/>
  <c r="D185" i="22"/>
  <c r="K184" i="22"/>
  <c r="H184" i="22"/>
  <c r="G184" i="22"/>
  <c r="F184" i="22"/>
  <c r="E184" i="22"/>
  <c r="D184" i="22"/>
  <c r="K183" i="22"/>
  <c r="H183" i="22"/>
  <c r="G183" i="22"/>
  <c r="F183" i="22"/>
  <c r="E183" i="22"/>
  <c r="D183" i="22"/>
  <c r="K182" i="22"/>
  <c r="H182" i="22"/>
  <c r="G182" i="22"/>
  <c r="F182" i="22"/>
  <c r="E182" i="22"/>
  <c r="D182" i="22"/>
  <c r="K181" i="22"/>
  <c r="H181" i="22"/>
  <c r="G181" i="22"/>
  <c r="F181" i="22"/>
  <c r="E181" i="22"/>
  <c r="D181" i="22"/>
  <c r="K180" i="22"/>
  <c r="H180" i="22"/>
  <c r="G180" i="22"/>
  <c r="F180" i="22"/>
  <c r="E180" i="22"/>
  <c r="D180" i="22"/>
  <c r="K179" i="22"/>
  <c r="H179" i="22"/>
  <c r="G179" i="22"/>
  <c r="F179" i="22"/>
  <c r="E179" i="22"/>
  <c r="D179" i="22"/>
  <c r="K178" i="22"/>
  <c r="H178" i="22"/>
  <c r="G178" i="22"/>
  <c r="F178" i="22"/>
  <c r="E178" i="22"/>
  <c r="D178" i="22"/>
  <c r="K177" i="22"/>
  <c r="H177" i="22"/>
  <c r="G177" i="22"/>
  <c r="F177" i="22"/>
  <c r="E177" i="22"/>
  <c r="D177" i="22"/>
  <c r="K176" i="22"/>
  <c r="H176" i="22"/>
  <c r="G176" i="22"/>
  <c r="F176" i="22"/>
  <c r="E176" i="22"/>
  <c r="D176" i="22"/>
  <c r="K175" i="22"/>
  <c r="H175" i="22"/>
  <c r="G175" i="22"/>
  <c r="F175" i="22"/>
  <c r="E175" i="22"/>
  <c r="D175" i="22"/>
  <c r="K174" i="22"/>
  <c r="H174" i="22"/>
  <c r="G174" i="22"/>
  <c r="F174" i="22"/>
  <c r="E174" i="22"/>
  <c r="D174" i="22"/>
  <c r="K173" i="22"/>
  <c r="H173" i="22"/>
  <c r="G173" i="22"/>
  <c r="F173" i="22"/>
  <c r="E173" i="22"/>
  <c r="D173" i="22"/>
  <c r="K172" i="22"/>
  <c r="H172" i="22"/>
  <c r="G172" i="22"/>
  <c r="F172" i="22"/>
  <c r="E172" i="22"/>
  <c r="D172" i="22"/>
  <c r="K171" i="22"/>
  <c r="H171" i="22"/>
  <c r="G171" i="22"/>
  <c r="F171" i="22"/>
  <c r="E171" i="22"/>
  <c r="D171" i="22"/>
  <c r="K170" i="22"/>
  <c r="H170" i="22"/>
  <c r="G170" i="22"/>
  <c r="F170" i="22"/>
  <c r="E170" i="22"/>
  <c r="D170" i="22"/>
  <c r="K169" i="22"/>
  <c r="H169" i="22"/>
  <c r="G169" i="22"/>
  <c r="F169" i="22"/>
  <c r="E169" i="22"/>
  <c r="D169" i="22"/>
  <c r="K168" i="22"/>
  <c r="H168" i="22"/>
  <c r="G168" i="22"/>
  <c r="F168" i="22"/>
  <c r="E168" i="22"/>
  <c r="D168" i="22"/>
  <c r="K167" i="22"/>
  <c r="H167" i="22"/>
  <c r="G167" i="22"/>
  <c r="F167" i="22"/>
  <c r="E167" i="22"/>
  <c r="D167" i="22"/>
  <c r="K166" i="22"/>
  <c r="H166" i="22"/>
  <c r="G166" i="22"/>
  <c r="F166" i="22"/>
  <c r="E166" i="22"/>
  <c r="D166" i="22"/>
  <c r="K165" i="22"/>
  <c r="H165" i="22"/>
  <c r="G165" i="22"/>
  <c r="F165" i="22"/>
  <c r="E165" i="22"/>
  <c r="D165" i="22"/>
  <c r="K164" i="22"/>
  <c r="H164" i="22"/>
  <c r="G164" i="22"/>
  <c r="F164" i="22"/>
  <c r="E164" i="22"/>
  <c r="D164" i="22"/>
  <c r="K163" i="22"/>
  <c r="H163" i="22"/>
  <c r="G163" i="22"/>
  <c r="F163" i="22"/>
  <c r="E163" i="22"/>
  <c r="D163" i="22"/>
  <c r="K162" i="22"/>
  <c r="H162" i="22"/>
  <c r="G162" i="22"/>
  <c r="F162" i="22"/>
  <c r="E162" i="22"/>
  <c r="D162" i="22"/>
  <c r="K161" i="22"/>
  <c r="H161" i="22"/>
  <c r="G161" i="22"/>
  <c r="F161" i="22"/>
  <c r="E161" i="22"/>
  <c r="D161" i="22"/>
  <c r="K160" i="22"/>
  <c r="H160" i="22"/>
  <c r="G160" i="22"/>
  <c r="F160" i="22"/>
  <c r="E160" i="22"/>
  <c r="D160" i="22"/>
  <c r="K159" i="22"/>
  <c r="H159" i="22"/>
  <c r="G159" i="22"/>
  <c r="F159" i="22"/>
  <c r="E159" i="22"/>
  <c r="D159" i="22"/>
  <c r="K158" i="22"/>
  <c r="H158" i="22"/>
  <c r="G158" i="22"/>
  <c r="F158" i="22"/>
  <c r="E158" i="22"/>
  <c r="D158" i="22"/>
  <c r="K157" i="22"/>
  <c r="H157" i="22"/>
  <c r="G157" i="22"/>
  <c r="F157" i="22"/>
  <c r="E157" i="22"/>
  <c r="D157" i="22"/>
  <c r="K156" i="22"/>
  <c r="H156" i="22"/>
  <c r="G156" i="22"/>
  <c r="F156" i="22"/>
  <c r="E156" i="22"/>
  <c r="D156" i="22"/>
  <c r="K155" i="22"/>
  <c r="H155" i="22"/>
  <c r="G155" i="22"/>
  <c r="F155" i="22"/>
  <c r="E155" i="22"/>
  <c r="D155" i="22"/>
  <c r="K154" i="22"/>
  <c r="H154" i="22"/>
  <c r="G154" i="22"/>
  <c r="F154" i="22"/>
  <c r="E154" i="22"/>
  <c r="D154" i="22"/>
  <c r="K153" i="22"/>
  <c r="H153" i="22"/>
  <c r="G153" i="22"/>
  <c r="F153" i="22"/>
  <c r="E153" i="22"/>
  <c r="D153" i="22"/>
  <c r="K152" i="22"/>
  <c r="H152" i="22"/>
  <c r="G152" i="22"/>
  <c r="F152" i="22"/>
  <c r="E152" i="22"/>
  <c r="D152" i="22"/>
  <c r="K151" i="22"/>
  <c r="H151" i="22"/>
  <c r="G151" i="22"/>
  <c r="F151" i="22"/>
  <c r="E151" i="22"/>
  <c r="D151" i="22"/>
  <c r="K150" i="22"/>
  <c r="H150" i="22"/>
  <c r="G150" i="22"/>
  <c r="F150" i="22"/>
  <c r="E150" i="22"/>
  <c r="D150" i="22"/>
  <c r="K149" i="22"/>
  <c r="H149" i="22"/>
  <c r="G149" i="22"/>
  <c r="F149" i="22"/>
  <c r="E149" i="22"/>
  <c r="D149" i="22"/>
  <c r="K148" i="22"/>
  <c r="H148" i="22"/>
  <c r="G148" i="22"/>
  <c r="F148" i="22"/>
  <c r="E148" i="22"/>
  <c r="D148" i="22"/>
  <c r="K147" i="22"/>
  <c r="H147" i="22"/>
  <c r="G147" i="22"/>
  <c r="F147" i="22"/>
  <c r="E147" i="22"/>
  <c r="D147" i="22"/>
  <c r="K146" i="22"/>
  <c r="H146" i="22"/>
  <c r="G146" i="22"/>
  <c r="F146" i="22"/>
  <c r="E146" i="22"/>
  <c r="D146" i="22"/>
  <c r="K145" i="22"/>
  <c r="H145" i="22"/>
  <c r="G145" i="22"/>
  <c r="F145" i="22"/>
  <c r="E145" i="22"/>
  <c r="D145" i="22"/>
  <c r="K144" i="22"/>
  <c r="H144" i="22"/>
  <c r="G144" i="22"/>
  <c r="F144" i="22"/>
  <c r="E144" i="22"/>
  <c r="D144" i="22"/>
  <c r="K143" i="22"/>
  <c r="H143" i="22"/>
  <c r="G143" i="22"/>
  <c r="F143" i="22"/>
  <c r="E143" i="22"/>
  <c r="D143" i="22"/>
  <c r="K142" i="22"/>
  <c r="H142" i="22"/>
  <c r="G142" i="22"/>
  <c r="F142" i="22"/>
  <c r="E142" i="22"/>
  <c r="D142" i="22"/>
  <c r="K141" i="22"/>
  <c r="H141" i="22"/>
  <c r="G141" i="22"/>
  <c r="F141" i="22"/>
  <c r="E141" i="22"/>
  <c r="D141" i="22"/>
  <c r="K140" i="22"/>
  <c r="H140" i="22"/>
  <c r="G140" i="22"/>
  <c r="F140" i="22"/>
  <c r="E140" i="22"/>
  <c r="D140" i="22"/>
  <c r="K139" i="22"/>
  <c r="H139" i="22"/>
  <c r="G139" i="22"/>
  <c r="F139" i="22"/>
  <c r="E139" i="22"/>
  <c r="D139" i="22"/>
  <c r="K138" i="22"/>
  <c r="H138" i="22"/>
  <c r="G138" i="22"/>
  <c r="F138" i="22"/>
  <c r="E138" i="22"/>
  <c r="D138" i="22"/>
  <c r="K137" i="22"/>
  <c r="H137" i="22"/>
  <c r="G137" i="22"/>
  <c r="F137" i="22"/>
  <c r="E137" i="22"/>
  <c r="D137" i="22"/>
  <c r="K136" i="22"/>
  <c r="H136" i="22"/>
  <c r="G136" i="22"/>
  <c r="F136" i="22"/>
  <c r="E136" i="22"/>
  <c r="D136" i="22"/>
  <c r="K135" i="22"/>
  <c r="H135" i="22"/>
  <c r="G135" i="22"/>
  <c r="F135" i="22"/>
  <c r="E135" i="22"/>
  <c r="D135" i="22"/>
  <c r="K134" i="22"/>
  <c r="H134" i="22"/>
  <c r="G134" i="22"/>
  <c r="F134" i="22"/>
  <c r="E134" i="22"/>
  <c r="D134" i="22"/>
  <c r="K133" i="22"/>
  <c r="H133" i="22"/>
  <c r="G133" i="22"/>
  <c r="F133" i="22"/>
  <c r="E133" i="22"/>
  <c r="D133" i="22"/>
  <c r="K132" i="22"/>
  <c r="H132" i="22"/>
  <c r="G132" i="22"/>
  <c r="F132" i="22"/>
  <c r="E132" i="22"/>
  <c r="D132" i="22"/>
  <c r="K131" i="22"/>
  <c r="H131" i="22"/>
  <c r="G131" i="22"/>
  <c r="F131" i="22"/>
  <c r="E131" i="22"/>
  <c r="D131" i="22"/>
  <c r="K130" i="22"/>
  <c r="H130" i="22"/>
  <c r="G130" i="22"/>
  <c r="F130" i="22"/>
  <c r="E130" i="22"/>
  <c r="D130" i="22"/>
  <c r="K129" i="22"/>
  <c r="H129" i="22"/>
  <c r="G129" i="22"/>
  <c r="F129" i="22"/>
  <c r="E129" i="22"/>
  <c r="D129" i="22"/>
  <c r="K128" i="22"/>
  <c r="H128" i="22"/>
  <c r="G128" i="22"/>
  <c r="F128" i="22"/>
  <c r="E128" i="22"/>
  <c r="D128" i="22"/>
  <c r="K127" i="22"/>
  <c r="H127" i="22"/>
  <c r="G127" i="22"/>
  <c r="F127" i="22"/>
  <c r="E127" i="22"/>
  <c r="D127" i="22"/>
  <c r="K126" i="22"/>
  <c r="H126" i="22"/>
  <c r="G126" i="22"/>
  <c r="F126" i="22"/>
  <c r="E126" i="22"/>
  <c r="D126" i="22"/>
  <c r="K125" i="22"/>
  <c r="H125" i="22"/>
  <c r="G125" i="22"/>
  <c r="F125" i="22"/>
  <c r="E125" i="22"/>
  <c r="D125" i="22"/>
  <c r="K124" i="22"/>
  <c r="H124" i="22"/>
  <c r="G124" i="22"/>
  <c r="F124" i="22"/>
  <c r="E124" i="22"/>
  <c r="D124" i="22"/>
  <c r="K123" i="22"/>
  <c r="H123" i="22"/>
  <c r="G123" i="22"/>
  <c r="F123" i="22"/>
  <c r="E123" i="22"/>
  <c r="D123" i="22"/>
  <c r="K122" i="22"/>
  <c r="H122" i="22"/>
  <c r="G122" i="22"/>
  <c r="F122" i="22"/>
  <c r="E122" i="22"/>
  <c r="D122" i="22"/>
  <c r="K121" i="22"/>
  <c r="H121" i="22"/>
  <c r="G121" i="22"/>
  <c r="F121" i="22"/>
  <c r="E121" i="22"/>
  <c r="D121" i="22"/>
  <c r="K120" i="22"/>
  <c r="H120" i="22"/>
  <c r="G120" i="22"/>
  <c r="F120" i="22"/>
  <c r="E120" i="22"/>
  <c r="D120" i="22"/>
  <c r="K119" i="22"/>
  <c r="H119" i="22"/>
  <c r="G119" i="22"/>
  <c r="F119" i="22"/>
  <c r="E119" i="22"/>
  <c r="D119" i="22"/>
  <c r="K118" i="22"/>
  <c r="H118" i="22"/>
  <c r="G118" i="22"/>
  <c r="F118" i="22"/>
  <c r="E118" i="22"/>
  <c r="D118" i="22"/>
  <c r="K117" i="22"/>
  <c r="H117" i="22"/>
  <c r="G117" i="22"/>
  <c r="F117" i="22"/>
  <c r="E117" i="22"/>
  <c r="D117" i="22"/>
  <c r="K116" i="22"/>
  <c r="H116" i="22"/>
  <c r="G116" i="22"/>
  <c r="F116" i="22"/>
  <c r="E116" i="22"/>
  <c r="D116" i="22"/>
  <c r="K115" i="22"/>
  <c r="H115" i="22"/>
  <c r="G115" i="22"/>
  <c r="F115" i="22"/>
  <c r="E115" i="22"/>
  <c r="D115" i="22"/>
  <c r="K114" i="22"/>
  <c r="H114" i="22"/>
  <c r="G114" i="22"/>
  <c r="F114" i="22"/>
  <c r="E114" i="22"/>
  <c r="D114" i="22"/>
  <c r="K113" i="22"/>
  <c r="H113" i="22"/>
  <c r="G113" i="22"/>
  <c r="F113" i="22"/>
  <c r="E113" i="22"/>
  <c r="D113" i="22"/>
  <c r="K112" i="22"/>
  <c r="H112" i="22"/>
  <c r="G112" i="22"/>
  <c r="F112" i="22"/>
  <c r="E112" i="22"/>
  <c r="D112" i="22"/>
  <c r="K111" i="22"/>
  <c r="H111" i="22"/>
  <c r="G111" i="22"/>
  <c r="F111" i="22"/>
  <c r="E111" i="22"/>
  <c r="D111" i="22"/>
  <c r="K110" i="22"/>
  <c r="H110" i="22"/>
  <c r="G110" i="22"/>
  <c r="F110" i="22"/>
  <c r="E110" i="22"/>
  <c r="D110" i="22"/>
  <c r="K109" i="22"/>
  <c r="H109" i="22"/>
  <c r="G109" i="22"/>
  <c r="F109" i="22"/>
  <c r="E109" i="22"/>
  <c r="D109" i="22"/>
  <c r="K108" i="22"/>
  <c r="H108" i="22"/>
  <c r="G108" i="22"/>
  <c r="F108" i="22"/>
  <c r="E108" i="22"/>
  <c r="D108" i="22"/>
  <c r="K107" i="22"/>
  <c r="H107" i="22"/>
  <c r="G107" i="22"/>
  <c r="F107" i="22"/>
  <c r="E107" i="22"/>
  <c r="D107" i="22"/>
  <c r="K106" i="22"/>
  <c r="H106" i="22"/>
  <c r="G106" i="22"/>
  <c r="F106" i="22"/>
  <c r="E106" i="22"/>
  <c r="D106" i="22"/>
  <c r="K105" i="22"/>
  <c r="H105" i="22"/>
  <c r="G105" i="22"/>
  <c r="F105" i="22"/>
  <c r="E105" i="22"/>
  <c r="D105" i="22"/>
  <c r="K104" i="22"/>
  <c r="H104" i="22"/>
  <c r="G104" i="22"/>
  <c r="F104" i="22"/>
  <c r="E104" i="22"/>
  <c r="D104" i="22"/>
  <c r="K103" i="22"/>
  <c r="H103" i="22"/>
  <c r="G103" i="22"/>
  <c r="F103" i="22"/>
  <c r="E103" i="22"/>
  <c r="D103" i="22"/>
  <c r="K102" i="22"/>
  <c r="H102" i="22"/>
  <c r="G102" i="22"/>
  <c r="F102" i="22"/>
  <c r="E102" i="22"/>
  <c r="D102" i="22"/>
  <c r="K101" i="22"/>
  <c r="H101" i="22"/>
  <c r="G101" i="22"/>
  <c r="F101" i="22"/>
  <c r="E101" i="22"/>
  <c r="D101" i="22"/>
  <c r="K100" i="22"/>
  <c r="H100" i="22"/>
  <c r="G100" i="22"/>
  <c r="F100" i="22"/>
  <c r="E100" i="22"/>
  <c r="D100" i="22"/>
  <c r="K99" i="22"/>
  <c r="H99" i="22"/>
  <c r="G99" i="22"/>
  <c r="F99" i="22"/>
  <c r="E99" i="22"/>
  <c r="D99" i="22"/>
  <c r="K98" i="22"/>
  <c r="H98" i="22"/>
  <c r="G98" i="22"/>
  <c r="F98" i="22"/>
  <c r="E98" i="22"/>
  <c r="D98" i="22"/>
  <c r="K97" i="22"/>
  <c r="H97" i="22"/>
  <c r="G97" i="22"/>
  <c r="F97" i="22"/>
  <c r="E97" i="22"/>
  <c r="D97" i="22"/>
  <c r="K96" i="22"/>
  <c r="H96" i="22"/>
  <c r="G96" i="22"/>
  <c r="F96" i="22"/>
  <c r="E96" i="22"/>
  <c r="D96" i="22"/>
  <c r="K95" i="22"/>
  <c r="H95" i="22"/>
  <c r="G95" i="22"/>
  <c r="F95" i="22"/>
  <c r="E95" i="22"/>
  <c r="D95" i="22"/>
  <c r="K94" i="22"/>
  <c r="H94" i="22"/>
  <c r="G94" i="22"/>
  <c r="F94" i="22"/>
  <c r="E94" i="22"/>
  <c r="D94" i="22"/>
  <c r="K93" i="22"/>
  <c r="H93" i="22"/>
  <c r="G93" i="22"/>
  <c r="F93" i="22"/>
  <c r="E93" i="22"/>
  <c r="D93" i="22"/>
  <c r="K92" i="22"/>
  <c r="H92" i="22"/>
  <c r="G92" i="22"/>
  <c r="F92" i="22"/>
  <c r="E92" i="22"/>
  <c r="D92" i="22"/>
  <c r="K91" i="22"/>
  <c r="H91" i="22"/>
  <c r="G91" i="22"/>
  <c r="F91" i="22"/>
  <c r="E91" i="22"/>
  <c r="D91" i="22"/>
  <c r="K90" i="22"/>
  <c r="H90" i="22"/>
  <c r="G90" i="22"/>
  <c r="F90" i="22"/>
  <c r="E90" i="22"/>
  <c r="D90" i="22"/>
  <c r="K89" i="22"/>
  <c r="H89" i="22"/>
  <c r="G89" i="22"/>
  <c r="F89" i="22"/>
  <c r="E89" i="22"/>
  <c r="D89" i="22"/>
  <c r="K88" i="22"/>
  <c r="H88" i="22"/>
  <c r="G88" i="22"/>
  <c r="F88" i="22"/>
  <c r="E88" i="22"/>
  <c r="D88" i="22"/>
  <c r="K87" i="22"/>
  <c r="H87" i="22"/>
  <c r="G87" i="22"/>
  <c r="F87" i="22"/>
  <c r="E87" i="22"/>
  <c r="D87" i="22"/>
  <c r="K86" i="22"/>
  <c r="H86" i="22"/>
  <c r="G86" i="22"/>
  <c r="F86" i="22"/>
  <c r="E86" i="22"/>
  <c r="D86" i="22"/>
  <c r="K85" i="22"/>
  <c r="H85" i="22"/>
  <c r="G85" i="22"/>
  <c r="F85" i="22"/>
  <c r="E85" i="22"/>
  <c r="D85" i="22"/>
  <c r="K84" i="22"/>
  <c r="H84" i="22"/>
  <c r="G84" i="22"/>
  <c r="F84" i="22"/>
  <c r="E84" i="22"/>
  <c r="D84" i="22"/>
  <c r="K83" i="22"/>
  <c r="H83" i="22"/>
  <c r="G83" i="22"/>
  <c r="F83" i="22"/>
  <c r="E83" i="22"/>
  <c r="D83" i="22"/>
  <c r="K82" i="22"/>
  <c r="H82" i="22"/>
  <c r="G82" i="22"/>
  <c r="F82" i="22"/>
  <c r="E82" i="22"/>
  <c r="D82" i="22"/>
  <c r="K81" i="22"/>
  <c r="H81" i="22"/>
  <c r="G81" i="22"/>
  <c r="F81" i="22"/>
  <c r="E81" i="22"/>
  <c r="D81" i="22"/>
  <c r="K80" i="22"/>
  <c r="H80" i="22"/>
  <c r="G80" i="22"/>
  <c r="F80" i="22"/>
  <c r="E80" i="22"/>
  <c r="D80" i="22"/>
  <c r="K79" i="22"/>
  <c r="H79" i="22"/>
  <c r="G79" i="22"/>
  <c r="F79" i="22"/>
  <c r="E79" i="22"/>
  <c r="D79" i="22"/>
  <c r="K78" i="22"/>
  <c r="H78" i="22"/>
  <c r="G78" i="22"/>
  <c r="F78" i="22"/>
  <c r="E78" i="22"/>
  <c r="D78" i="22"/>
  <c r="K77" i="22"/>
  <c r="H77" i="22"/>
  <c r="G77" i="22"/>
  <c r="F77" i="22"/>
  <c r="E77" i="22"/>
  <c r="D77" i="22"/>
  <c r="K76" i="22"/>
  <c r="H76" i="22"/>
  <c r="G76" i="22"/>
  <c r="F76" i="22"/>
  <c r="E76" i="22"/>
  <c r="D76" i="22"/>
  <c r="K75" i="22"/>
  <c r="H75" i="22"/>
  <c r="G75" i="22"/>
  <c r="F75" i="22"/>
  <c r="E75" i="22"/>
  <c r="D75" i="22"/>
  <c r="K74" i="22"/>
  <c r="H74" i="22"/>
  <c r="G74" i="22"/>
  <c r="F74" i="22"/>
  <c r="E74" i="22"/>
  <c r="D74" i="22"/>
  <c r="K73" i="22"/>
  <c r="H73" i="22"/>
  <c r="G73" i="22"/>
  <c r="F73" i="22"/>
  <c r="E73" i="22"/>
  <c r="D73" i="22"/>
  <c r="K72" i="22"/>
  <c r="H72" i="22"/>
  <c r="G72" i="22"/>
  <c r="F72" i="22"/>
  <c r="E72" i="22"/>
  <c r="D72" i="22"/>
  <c r="K71" i="22"/>
  <c r="H71" i="22"/>
  <c r="G71" i="22"/>
  <c r="F71" i="22"/>
  <c r="E71" i="22"/>
  <c r="D71" i="22"/>
  <c r="K70" i="22"/>
  <c r="H70" i="22"/>
  <c r="G70" i="22"/>
  <c r="F70" i="22"/>
  <c r="E70" i="22"/>
  <c r="D70" i="22"/>
  <c r="K69" i="22"/>
  <c r="H69" i="22"/>
  <c r="G69" i="22"/>
  <c r="F69" i="22"/>
  <c r="E69" i="22"/>
  <c r="D69" i="22"/>
  <c r="K68" i="22"/>
  <c r="H68" i="22"/>
  <c r="G68" i="22"/>
  <c r="F68" i="22"/>
  <c r="E68" i="22"/>
  <c r="D68" i="22"/>
  <c r="K67" i="22"/>
  <c r="H67" i="22"/>
  <c r="G67" i="22"/>
  <c r="F67" i="22"/>
  <c r="E67" i="22"/>
  <c r="D67" i="22"/>
  <c r="K66" i="22"/>
  <c r="H66" i="22"/>
  <c r="G66" i="22"/>
  <c r="F66" i="22"/>
  <c r="E66" i="22"/>
  <c r="D66" i="22"/>
  <c r="K65" i="22"/>
  <c r="H65" i="22"/>
  <c r="G65" i="22"/>
  <c r="F65" i="22"/>
  <c r="E65" i="22"/>
  <c r="D65" i="22"/>
  <c r="K64" i="22"/>
  <c r="H64" i="22"/>
  <c r="G64" i="22"/>
  <c r="F64" i="22"/>
  <c r="E64" i="22"/>
  <c r="D64" i="22"/>
  <c r="K63" i="22"/>
  <c r="H63" i="22"/>
  <c r="G63" i="22"/>
  <c r="F63" i="22"/>
  <c r="E63" i="22"/>
  <c r="D63" i="22"/>
  <c r="K62" i="22"/>
  <c r="H62" i="22"/>
  <c r="G62" i="22"/>
  <c r="F62" i="22"/>
  <c r="E62" i="22"/>
  <c r="D62" i="22"/>
  <c r="K61" i="22"/>
  <c r="H61" i="22"/>
  <c r="G61" i="22"/>
  <c r="F61" i="22"/>
  <c r="E61" i="22"/>
  <c r="D61" i="22"/>
  <c r="K60" i="22"/>
  <c r="H60" i="22"/>
  <c r="G60" i="22"/>
  <c r="F60" i="22"/>
  <c r="E60" i="22"/>
  <c r="D60" i="22"/>
  <c r="K59" i="22"/>
  <c r="H59" i="22"/>
  <c r="G59" i="22"/>
  <c r="F59" i="22"/>
  <c r="E59" i="22"/>
  <c r="D59" i="22"/>
  <c r="K58" i="22"/>
  <c r="H58" i="22"/>
  <c r="G58" i="22"/>
  <c r="F58" i="22"/>
  <c r="E58" i="22"/>
  <c r="D58" i="22"/>
  <c r="K57" i="22"/>
  <c r="H57" i="22"/>
  <c r="G57" i="22"/>
  <c r="F57" i="22"/>
  <c r="E57" i="22"/>
  <c r="D57" i="22"/>
  <c r="K56" i="22"/>
  <c r="H56" i="22"/>
  <c r="G56" i="22"/>
  <c r="F56" i="22"/>
  <c r="E56" i="22"/>
  <c r="D56" i="22"/>
  <c r="K55" i="22"/>
  <c r="H55" i="22"/>
  <c r="G55" i="22"/>
  <c r="F55" i="22"/>
  <c r="E55" i="22"/>
  <c r="D55" i="22"/>
  <c r="K54" i="22"/>
  <c r="H54" i="22"/>
  <c r="G54" i="22"/>
  <c r="F54" i="22"/>
  <c r="E54" i="22"/>
  <c r="D54" i="22"/>
  <c r="K53" i="22"/>
  <c r="H53" i="22"/>
  <c r="G53" i="22"/>
  <c r="F53" i="22"/>
  <c r="E53" i="22"/>
  <c r="D53" i="22"/>
  <c r="K52" i="22"/>
  <c r="H52" i="22"/>
  <c r="G52" i="22"/>
  <c r="F52" i="22"/>
  <c r="E52" i="22"/>
  <c r="D52" i="22"/>
  <c r="K51" i="22"/>
  <c r="H51" i="22"/>
  <c r="G51" i="22"/>
  <c r="F51" i="22"/>
  <c r="E51" i="22"/>
  <c r="D51" i="22"/>
  <c r="K50" i="22"/>
  <c r="H50" i="22"/>
  <c r="G50" i="22"/>
  <c r="F50" i="22"/>
  <c r="E50" i="22"/>
  <c r="D50" i="22"/>
  <c r="K49" i="22"/>
  <c r="H49" i="22"/>
  <c r="G49" i="22"/>
  <c r="F49" i="22"/>
  <c r="E49" i="22"/>
  <c r="D49" i="22"/>
  <c r="K48" i="22"/>
  <c r="H48" i="22"/>
  <c r="G48" i="22"/>
  <c r="F48" i="22"/>
  <c r="E48" i="22"/>
  <c r="D48" i="22"/>
  <c r="K47" i="22"/>
  <c r="H47" i="22"/>
  <c r="G47" i="22"/>
  <c r="F47" i="22"/>
  <c r="E47" i="22"/>
  <c r="D47" i="22"/>
  <c r="K46" i="22"/>
  <c r="H46" i="22"/>
  <c r="G46" i="22"/>
  <c r="F46" i="22"/>
  <c r="E46" i="22"/>
  <c r="D46" i="22"/>
  <c r="K45" i="22"/>
  <c r="H45" i="22"/>
  <c r="G45" i="22"/>
  <c r="F45" i="22"/>
  <c r="E45" i="22"/>
  <c r="D45" i="22"/>
  <c r="K44" i="22"/>
  <c r="H44" i="22"/>
  <c r="G44" i="22"/>
  <c r="F44" i="22"/>
  <c r="E44" i="22"/>
  <c r="D44" i="22"/>
  <c r="K43" i="22"/>
  <c r="H43" i="22"/>
  <c r="G43" i="22"/>
  <c r="F43" i="22"/>
  <c r="E43" i="22"/>
  <c r="D43" i="22"/>
  <c r="K42" i="22"/>
  <c r="H42" i="22"/>
  <c r="G42" i="22"/>
  <c r="F42" i="22"/>
  <c r="E42" i="22"/>
  <c r="D42" i="22"/>
  <c r="K41" i="22"/>
  <c r="H41" i="22"/>
  <c r="G41" i="22"/>
  <c r="F41" i="22"/>
  <c r="E41" i="22"/>
  <c r="D41" i="22"/>
  <c r="K40" i="22"/>
  <c r="H40" i="22"/>
  <c r="G40" i="22"/>
  <c r="F40" i="22"/>
  <c r="E40" i="22"/>
  <c r="D40" i="22"/>
  <c r="K39" i="22"/>
  <c r="H39" i="22"/>
  <c r="G39" i="22"/>
  <c r="F39" i="22"/>
  <c r="E39" i="22"/>
  <c r="D39" i="22"/>
  <c r="K38" i="22"/>
  <c r="H38" i="22"/>
  <c r="G38" i="22"/>
  <c r="F38" i="22"/>
  <c r="E38" i="22"/>
  <c r="D38" i="22"/>
  <c r="K37" i="22"/>
  <c r="H37" i="22"/>
  <c r="G37" i="22"/>
  <c r="F37" i="22"/>
  <c r="E37" i="22"/>
  <c r="D37" i="22"/>
  <c r="K36" i="22"/>
  <c r="H36" i="22"/>
  <c r="G36" i="22"/>
  <c r="F36" i="22"/>
  <c r="E36" i="22"/>
  <c r="D36" i="22"/>
  <c r="K35" i="22"/>
  <c r="H35" i="22"/>
  <c r="G35" i="22"/>
  <c r="F35" i="22"/>
  <c r="E35" i="22"/>
  <c r="D35" i="22"/>
  <c r="K34" i="22"/>
  <c r="H34" i="22"/>
  <c r="G34" i="22"/>
  <c r="F34" i="22"/>
  <c r="E34" i="22"/>
  <c r="D34" i="22"/>
  <c r="K33" i="22"/>
  <c r="H33" i="22"/>
  <c r="G33" i="22"/>
  <c r="F33" i="22"/>
  <c r="E33" i="22"/>
  <c r="D33" i="22"/>
  <c r="K32" i="22"/>
  <c r="H32" i="22"/>
  <c r="G32" i="22"/>
  <c r="F32" i="22"/>
  <c r="E32" i="22"/>
  <c r="D32" i="22"/>
  <c r="K31" i="22"/>
  <c r="H31" i="22"/>
  <c r="G31" i="22"/>
  <c r="F31" i="22"/>
  <c r="E31" i="22"/>
  <c r="D31" i="22"/>
  <c r="K30" i="22"/>
  <c r="H30" i="22"/>
  <c r="G30" i="22"/>
  <c r="F30" i="22"/>
  <c r="E30" i="22"/>
  <c r="D30" i="22"/>
  <c r="K29" i="22"/>
  <c r="H29" i="22"/>
  <c r="G29" i="22"/>
  <c r="F29" i="22"/>
  <c r="E29" i="22"/>
  <c r="D29" i="22"/>
  <c r="K28" i="22"/>
  <c r="H28" i="22"/>
  <c r="G28" i="22"/>
  <c r="F28" i="22"/>
  <c r="E28" i="22"/>
  <c r="D28" i="22"/>
  <c r="K27" i="22"/>
  <c r="H27" i="22"/>
  <c r="G27" i="22"/>
  <c r="F27" i="22"/>
  <c r="E27" i="22"/>
  <c r="D27" i="22"/>
  <c r="K26" i="22"/>
  <c r="H26" i="22"/>
  <c r="G26" i="22"/>
  <c r="F26" i="22"/>
  <c r="E26" i="22"/>
  <c r="D26" i="22"/>
  <c r="K25" i="22"/>
  <c r="H25" i="22"/>
  <c r="G25" i="22"/>
  <c r="F25" i="22"/>
  <c r="E25" i="22"/>
  <c r="D25" i="22"/>
  <c r="K24" i="22"/>
  <c r="H24" i="22"/>
  <c r="G24" i="22"/>
  <c r="F24" i="22"/>
  <c r="E24" i="22"/>
  <c r="D24" i="22"/>
  <c r="K23" i="22"/>
  <c r="H23" i="22"/>
  <c r="G23" i="22"/>
  <c r="F23" i="22"/>
  <c r="E23" i="22"/>
  <c r="D23" i="22"/>
  <c r="K22" i="22"/>
  <c r="H22" i="22"/>
  <c r="G22" i="22"/>
  <c r="F22" i="22"/>
  <c r="E22" i="22"/>
  <c r="D22" i="22"/>
  <c r="K21" i="22"/>
  <c r="H21" i="22"/>
  <c r="G21" i="22"/>
  <c r="F21" i="22"/>
  <c r="E21" i="22"/>
  <c r="D21" i="22"/>
  <c r="K20" i="22"/>
  <c r="H20" i="22"/>
  <c r="G20" i="22"/>
  <c r="F20" i="22"/>
  <c r="E20" i="22"/>
  <c r="D20" i="22"/>
  <c r="K19" i="22"/>
  <c r="H19" i="22"/>
  <c r="G19" i="22"/>
  <c r="F19" i="22"/>
  <c r="E19" i="22"/>
  <c r="D19" i="22"/>
  <c r="K18" i="22"/>
  <c r="H18" i="22"/>
  <c r="G18" i="22"/>
  <c r="F18" i="22"/>
  <c r="E18" i="22"/>
  <c r="D18" i="22"/>
  <c r="K17" i="22"/>
  <c r="H17" i="22"/>
  <c r="G17" i="22"/>
  <c r="F17" i="22"/>
  <c r="E17" i="22"/>
  <c r="D17" i="22"/>
  <c r="K16" i="22"/>
  <c r="H16" i="22"/>
  <c r="G16" i="22"/>
  <c r="F16" i="22"/>
  <c r="E16" i="22"/>
  <c r="D16" i="22"/>
  <c r="K15" i="22"/>
  <c r="H15" i="22"/>
  <c r="G15" i="22"/>
  <c r="F15" i="22"/>
  <c r="E15" i="22"/>
  <c r="D15" i="22"/>
  <c r="K14" i="22"/>
  <c r="H14" i="22"/>
  <c r="G14" i="22"/>
  <c r="F14" i="22"/>
  <c r="E14" i="22"/>
  <c r="D14" i="22"/>
  <c r="K13" i="22"/>
  <c r="H13" i="22"/>
  <c r="G13" i="22"/>
  <c r="F13" i="22"/>
  <c r="E13" i="22"/>
  <c r="D13" i="22"/>
  <c r="K12" i="22"/>
  <c r="H12" i="22"/>
  <c r="G12" i="22"/>
  <c r="F12" i="22"/>
  <c r="E12" i="22"/>
  <c r="D12" i="22"/>
  <c r="K11" i="22"/>
  <c r="H11" i="22"/>
  <c r="G11" i="22"/>
  <c r="F11" i="22"/>
  <c r="E11" i="22"/>
  <c r="D11" i="22"/>
  <c r="N10" i="22"/>
  <c r="K10" i="22"/>
  <c r="H10" i="22"/>
  <c r="G10" i="22"/>
  <c r="F10" i="22"/>
  <c r="E10" i="22"/>
  <c r="D10" i="22"/>
  <c r="K9" i="22"/>
  <c r="H9" i="22"/>
  <c r="G9" i="22"/>
  <c r="F9" i="22"/>
  <c r="E9" i="22"/>
  <c r="D9" i="22"/>
  <c r="K8" i="22"/>
  <c r="H8" i="22"/>
  <c r="G8" i="22"/>
  <c r="F8" i="22"/>
  <c r="E8" i="22"/>
  <c r="D8" i="22"/>
  <c r="K7" i="22"/>
  <c r="H7" i="22"/>
  <c r="G7" i="22"/>
  <c r="F7" i="22"/>
  <c r="E7" i="22"/>
  <c r="D7" i="22"/>
  <c r="K6" i="22"/>
  <c r="H6" i="22"/>
  <c r="G6" i="22"/>
  <c r="F6" i="22"/>
  <c r="E6" i="22"/>
  <c r="D6" i="22"/>
  <c r="K5" i="22"/>
  <c r="H5" i="22"/>
  <c r="G5" i="22"/>
  <c r="F5" i="22"/>
  <c r="E5" i="22"/>
  <c r="D5" i="22"/>
  <c r="G7" i="21"/>
  <c r="E5" i="21"/>
  <c r="G5" i="21" s="1"/>
  <c r="M12" i="19"/>
  <c r="J12" i="19"/>
  <c r="I12" i="19"/>
  <c r="G12" i="19"/>
  <c r="F12" i="19"/>
  <c r="E12" i="19"/>
  <c r="D12" i="19"/>
  <c r="M11" i="19"/>
  <c r="J11" i="19"/>
  <c r="I11" i="19"/>
  <c r="G11" i="19"/>
  <c r="F11" i="19"/>
  <c r="E11" i="19"/>
  <c r="D11" i="19"/>
  <c r="M10" i="19"/>
  <c r="J10" i="19"/>
  <c r="I10" i="19"/>
  <c r="G10" i="19"/>
  <c r="F10" i="19"/>
  <c r="E10" i="19"/>
  <c r="D10" i="19"/>
  <c r="M9" i="19"/>
  <c r="J9" i="19"/>
  <c r="I9" i="19"/>
  <c r="G9" i="19"/>
  <c r="F9" i="19"/>
  <c r="E9" i="19"/>
  <c r="D9" i="19"/>
  <c r="M8" i="19"/>
  <c r="J8" i="19"/>
  <c r="I8" i="19"/>
  <c r="G8" i="19"/>
  <c r="F8" i="19"/>
  <c r="E8" i="19"/>
  <c r="D8" i="19"/>
  <c r="M7" i="19"/>
  <c r="J7" i="19"/>
  <c r="I7" i="19"/>
  <c r="G7" i="19"/>
  <c r="F7" i="19"/>
  <c r="E7" i="19"/>
  <c r="D7" i="19"/>
  <c r="J6" i="19"/>
  <c r="I6" i="19"/>
  <c r="G6" i="19"/>
  <c r="E6" i="19"/>
  <c r="J5" i="19"/>
  <c r="I5" i="19"/>
  <c r="G5" i="19"/>
  <c r="F31" i="18"/>
  <c r="E31" i="18"/>
  <c r="F16" i="18"/>
  <c r="E16" i="18"/>
  <c r="F15" i="18"/>
  <c r="E15" i="18"/>
  <c r="F14" i="18"/>
  <c r="E14" i="18"/>
  <c r="F13" i="18"/>
  <c r="E13" i="18"/>
  <c r="F12" i="18"/>
  <c r="E12" i="18"/>
  <c r="F11" i="18"/>
  <c r="E11" i="18"/>
  <c r="F10" i="18"/>
  <c r="E10" i="18"/>
  <c r="F9" i="18"/>
  <c r="E9" i="18"/>
  <c r="F8" i="18"/>
  <c r="E8" i="18"/>
  <c r="F7" i="18"/>
  <c r="E7" i="18"/>
  <c r="F6" i="18"/>
  <c r="E6" i="18"/>
  <c r="F5" i="18"/>
  <c r="E5" i="18"/>
  <c r="B6" i="17"/>
  <c r="C17" i="15"/>
  <c r="C16" i="15"/>
  <c r="B6" i="15"/>
  <c r="B6" i="14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N360" i="13"/>
  <c r="M360" i="13"/>
  <c r="L360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N232" i="13"/>
  <c r="M232" i="13"/>
  <c r="L232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N104" i="13"/>
  <c r="M104" i="13"/>
  <c r="L104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J182" i="12"/>
  <c r="K181" i="12"/>
  <c r="J181" i="12"/>
  <c r="K180" i="12"/>
  <c r="J180" i="12"/>
  <c r="K179" i="12"/>
  <c r="J179" i="12"/>
  <c r="K178" i="12"/>
  <c r="J178" i="12"/>
  <c r="K177" i="12"/>
  <c r="J177" i="12"/>
  <c r="K176" i="12"/>
  <c r="J176" i="12"/>
  <c r="K175" i="12"/>
  <c r="J175" i="12"/>
  <c r="K174" i="12"/>
  <c r="J174" i="12"/>
  <c r="K173" i="12"/>
  <c r="J173" i="12"/>
  <c r="K172" i="12"/>
  <c r="J172" i="12"/>
  <c r="K171" i="12"/>
  <c r="J171" i="12"/>
  <c r="K170" i="12"/>
  <c r="J170" i="12"/>
  <c r="K169" i="12"/>
  <c r="J169" i="12"/>
  <c r="K168" i="12"/>
  <c r="J168" i="12"/>
  <c r="K167" i="12"/>
  <c r="J167" i="12"/>
  <c r="K166" i="12"/>
  <c r="J166" i="12"/>
  <c r="K165" i="12"/>
  <c r="J165" i="12"/>
  <c r="K164" i="12"/>
  <c r="J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K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K23" i="12"/>
  <c r="J23" i="12"/>
  <c r="K22" i="12"/>
  <c r="J22" i="12"/>
  <c r="K21" i="12"/>
  <c r="J21" i="12"/>
  <c r="K20" i="12"/>
  <c r="J20" i="12"/>
  <c r="K19" i="12"/>
  <c r="J19" i="12"/>
  <c r="K18" i="12"/>
  <c r="J18" i="12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K8" i="12"/>
  <c r="J8" i="12"/>
  <c r="K7" i="12"/>
  <c r="J7" i="12"/>
  <c r="K6" i="12"/>
  <c r="J6" i="12"/>
  <c r="K5" i="12"/>
  <c r="E13" i="5"/>
  <c r="F13" i="5" s="1"/>
  <c r="G13" i="5" s="1"/>
  <c r="E12" i="5"/>
  <c r="F12" i="5" s="1"/>
  <c r="G12" i="5" s="1"/>
  <c r="E10" i="5"/>
  <c r="F10" i="5" s="1"/>
  <c r="G10" i="5" s="1"/>
  <c r="E8" i="5"/>
  <c r="F8" i="5" s="1"/>
  <c r="G8" i="5" s="1"/>
  <c r="E7" i="5"/>
  <c r="F7" i="5" s="1"/>
  <c r="G7" i="5" s="1"/>
  <c r="E6" i="5"/>
  <c r="F6" i="5" s="1"/>
  <c r="G6" i="5" s="1"/>
  <c r="D13" i="122" l="1"/>
  <c r="E18" i="119"/>
  <c r="D13" i="120"/>
  <c r="C13" i="122"/>
  <c r="C13" i="120"/>
  <c r="B13" i="120"/>
  <c r="B13" i="122"/>
  <c r="E17" i="119"/>
  <c r="D12" i="122"/>
  <c r="D12" i="120"/>
  <c r="C12" i="122"/>
  <c r="C12" i="120"/>
  <c r="B12" i="122"/>
  <c r="B12" i="120"/>
  <c r="E5" i="120"/>
  <c r="E5" i="122"/>
  <c r="K5" i="122"/>
  <c r="K5" i="120"/>
  <c r="J17" i="118"/>
  <c r="G18" i="121"/>
  <c r="H18" i="121" s="1"/>
  <c r="I18" i="121" s="1"/>
  <c r="J13" i="118"/>
  <c r="G17" i="121"/>
  <c r="H17" i="121" s="1"/>
  <c r="I17" i="121" s="1"/>
  <c r="J9" i="118"/>
  <c r="G16" i="121"/>
  <c r="H16" i="121" s="1"/>
  <c r="I16" i="121" s="1"/>
  <c r="J5" i="118"/>
  <c r="G15" i="121"/>
  <c r="H15" i="121" s="1"/>
  <c r="I15" i="121" s="1"/>
  <c r="N12" i="112"/>
  <c r="M12" i="112"/>
  <c r="N11" i="112"/>
  <c r="M11" i="112"/>
  <c r="N10" i="112"/>
  <c r="M10" i="112"/>
  <c r="M9" i="112"/>
  <c r="N9" i="112"/>
  <c r="M7" i="112"/>
  <c r="R10" i="112" s="1"/>
  <c r="N7" i="112"/>
  <c r="B5" i="106"/>
  <c r="E5" i="106" s="1"/>
  <c r="H5" i="106" s="1"/>
  <c r="B26" i="108"/>
  <c r="E5" i="19"/>
  <c r="B9" i="111"/>
  <c r="B8" i="111"/>
  <c r="D5" i="19"/>
  <c r="R15" i="107"/>
  <c r="P15" i="107"/>
  <c r="S15" i="107"/>
  <c r="T15" i="107" s="1"/>
  <c r="S14" i="107"/>
  <c r="P14" i="107"/>
  <c r="R14" i="107"/>
  <c r="Q13" i="107"/>
  <c r="R13" i="107"/>
  <c r="S13" i="107"/>
  <c r="T13" i="107" s="1"/>
  <c r="R12" i="107"/>
  <c r="T12" i="107" s="1"/>
  <c r="Q12" i="107"/>
  <c r="P11" i="107"/>
  <c r="R11" i="107"/>
  <c r="T11" i="107" s="1"/>
  <c r="R10" i="107"/>
  <c r="S10" i="107"/>
  <c r="X10" i="107"/>
  <c r="P10" i="107"/>
  <c r="S9" i="107"/>
  <c r="R9" i="107"/>
  <c r="Q9" i="107"/>
  <c r="N7" i="107" s="1"/>
  <c r="X9" i="107"/>
  <c r="X8" i="107"/>
  <c r="S8" i="107"/>
  <c r="R8" i="107"/>
  <c r="P8" i="107"/>
  <c r="P7" i="107"/>
  <c r="X7" i="107"/>
  <c r="S7" i="107"/>
  <c r="R7" i="107"/>
  <c r="X6" i="107"/>
  <c r="P6" i="107"/>
  <c r="R6" i="107"/>
  <c r="S6" i="107"/>
  <c r="P5" i="107"/>
  <c r="N6" i="107" s="1"/>
  <c r="X5" i="107"/>
  <c r="S5" i="107"/>
  <c r="R5" i="107"/>
  <c r="F12" i="106"/>
  <c r="G12" i="106" s="1"/>
  <c r="H12" i="106"/>
  <c r="F11" i="106"/>
  <c r="G11" i="106" s="1"/>
  <c r="H11" i="106"/>
  <c r="F10" i="106"/>
  <c r="G10" i="106" s="1"/>
  <c r="H10" i="106"/>
  <c r="F9" i="106"/>
  <c r="G9" i="106" s="1"/>
  <c r="H9" i="106"/>
  <c r="F8" i="106"/>
  <c r="G8" i="106" s="1"/>
  <c r="H8" i="106"/>
  <c r="B52" i="105"/>
  <c r="N5" i="107"/>
  <c r="B54" i="105"/>
  <c r="B51" i="105"/>
  <c r="N34" i="100"/>
  <c r="M34" i="100"/>
  <c r="N33" i="100"/>
  <c r="M33" i="100"/>
  <c r="N32" i="100"/>
  <c r="M32" i="100"/>
  <c r="N31" i="100"/>
  <c r="M31" i="100"/>
  <c r="N30" i="100"/>
  <c r="M30" i="100"/>
  <c r="N29" i="100"/>
  <c r="M29" i="100"/>
  <c r="M28" i="100"/>
  <c r="N28" i="100"/>
  <c r="M27" i="100"/>
  <c r="N27" i="100"/>
  <c r="N26" i="100"/>
  <c r="M26" i="100"/>
  <c r="M25" i="100"/>
  <c r="N25" i="100"/>
  <c r="N24" i="100"/>
  <c r="M24" i="100"/>
  <c r="M23" i="100"/>
  <c r="N23" i="100"/>
  <c r="M22" i="100"/>
  <c r="N22" i="100"/>
  <c r="M21" i="100"/>
  <c r="N21" i="100"/>
  <c r="N20" i="100"/>
  <c r="M20" i="100"/>
  <c r="N19" i="100"/>
  <c r="M19" i="100"/>
  <c r="N18" i="100"/>
  <c r="M18" i="100"/>
  <c r="M17" i="100"/>
  <c r="N17" i="100"/>
  <c r="N16" i="100"/>
  <c r="M16" i="100"/>
  <c r="N15" i="100"/>
  <c r="M15" i="100"/>
  <c r="M14" i="100"/>
  <c r="N14" i="100"/>
  <c r="N13" i="100"/>
  <c r="M13" i="100"/>
  <c r="N12" i="100"/>
  <c r="M12" i="100"/>
  <c r="N11" i="100"/>
  <c r="M11" i="100"/>
  <c r="N10" i="100"/>
  <c r="M10" i="100"/>
  <c r="N9" i="100"/>
  <c r="M9" i="100"/>
  <c r="N8" i="100"/>
  <c r="M8" i="100"/>
  <c r="M7" i="100"/>
  <c r="N7" i="100"/>
  <c r="N6" i="100"/>
  <c r="M6" i="100"/>
  <c r="N5" i="100"/>
  <c r="M5" i="100"/>
  <c r="G10" i="98"/>
  <c r="I10" i="98"/>
  <c r="I9" i="98"/>
  <c r="G9" i="98"/>
  <c r="I8" i="98"/>
  <c r="G8" i="98"/>
  <c r="I7" i="98"/>
  <c r="G7" i="98"/>
  <c r="I6" i="98"/>
  <c r="G6" i="98"/>
  <c r="I5" i="98"/>
  <c r="G5" i="98"/>
  <c r="I4" i="98"/>
  <c r="G4" i="98"/>
  <c r="C4" i="96"/>
  <c r="G204" i="73"/>
  <c r="A204" i="70"/>
  <c r="N204" i="73"/>
  <c r="J204" i="73"/>
  <c r="I204" i="73"/>
  <c r="G203" i="73"/>
  <c r="I203" i="73"/>
  <c r="N203" i="73"/>
  <c r="A203" i="70"/>
  <c r="J203" i="73"/>
  <c r="A202" i="70"/>
  <c r="N202" i="73"/>
  <c r="G202" i="73"/>
  <c r="I202" i="73"/>
  <c r="J202" i="73"/>
  <c r="A201" i="70"/>
  <c r="G201" i="73"/>
  <c r="I201" i="73"/>
  <c r="J201" i="73"/>
  <c r="N201" i="73"/>
  <c r="N200" i="73"/>
  <c r="A200" i="70"/>
  <c r="G200" i="73"/>
  <c r="I200" i="73"/>
  <c r="J200" i="73"/>
  <c r="G199" i="73"/>
  <c r="A199" i="70"/>
  <c r="N199" i="73"/>
  <c r="J199" i="73"/>
  <c r="I199" i="73"/>
  <c r="A198" i="70"/>
  <c r="N198" i="73"/>
  <c r="J198" i="73"/>
  <c r="I198" i="73"/>
  <c r="G198" i="73"/>
  <c r="J197" i="73"/>
  <c r="N197" i="73"/>
  <c r="G197" i="73"/>
  <c r="I197" i="73"/>
  <c r="A197" i="70"/>
  <c r="G196" i="73"/>
  <c r="N196" i="73"/>
  <c r="A196" i="70"/>
  <c r="J196" i="73"/>
  <c r="I196" i="73"/>
  <c r="G195" i="73"/>
  <c r="I195" i="73"/>
  <c r="N195" i="73"/>
  <c r="A195" i="70"/>
  <c r="J195" i="73"/>
  <c r="G194" i="73"/>
  <c r="A194" i="70"/>
  <c r="N194" i="73"/>
  <c r="J194" i="73"/>
  <c r="I194" i="73"/>
  <c r="I193" i="73"/>
  <c r="G193" i="73"/>
  <c r="A193" i="70"/>
  <c r="N193" i="73"/>
  <c r="J193" i="73"/>
  <c r="A192" i="70"/>
  <c r="J192" i="73"/>
  <c r="I192" i="73"/>
  <c r="G192" i="73"/>
  <c r="N192" i="73"/>
  <c r="N191" i="73"/>
  <c r="J191" i="73"/>
  <c r="I191" i="73"/>
  <c r="G191" i="73"/>
  <c r="A191" i="70"/>
  <c r="G190" i="73"/>
  <c r="I190" i="73"/>
  <c r="J190" i="73"/>
  <c r="N190" i="73"/>
  <c r="A190" i="70"/>
  <c r="I189" i="73"/>
  <c r="G189" i="73"/>
  <c r="A189" i="70"/>
  <c r="J189" i="73"/>
  <c r="N189" i="73"/>
  <c r="G188" i="73"/>
  <c r="I188" i="73"/>
  <c r="J188" i="73"/>
  <c r="N188" i="73"/>
  <c r="A188" i="70"/>
  <c r="I187" i="73"/>
  <c r="G187" i="73"/>
  <c r="A187" i="70"/>
  <c r="J187" i="73"/>
  <c r="N187" i="73"/>
  <c r="J186" i="73"/>
  <c r="I186" i="73"/>
  <c r="A186" i="70"/>
  <c r="N186" i="73"/>
  <c r="G186" i="73"/>
  <c r="J185" i="73"/>
  <c r="A185" i="70"/>
  <c r="G185" i="73"/>
  <c r="I185" i="73"/>
  <c r="N185" i="73"/>
  <c r="I184" i="73"/>
  <c r="G184" i="73"/>
  <c r="N184" i="73"/>
  <c r="J184" i="73"/>
  <c r="A184" i="70"/>
  <c r="A183" i="70"/>
  <c r="I183" i="73"/>
  <c r="J183" i="73"/>
  <c r="G183" i="73"/>
  <c r="N183" i="73"/>
  <c r="A182" i="70"/>
  <c r="G182" i="73"/>
  <c r="I182" i="73"/>
  <c r="J182" i="73"/>
  <c r="N182" i="73"/>
  <c r="A181" i="70"/>
  <c r="I181" i="73"/>
  <c r="G181" i="73"/>
  <c r="N181" i="73"/>
  <c r="J181" i="73"/>
  <c r="A180" i="70"/>
  <c r="G180" i="73"/>
  <c r="N180" i="73"/>
  <c r="J180" i="73"/>
  <c r="I180" i="73"/>
  <c r="I179" i="73"/>
  <c r="G179" i="73"/>
  <c r="N179" i="73"/>
  <c r="J179" i="73"/>
  <c r="A179" i="70"/>
  <c r="J178" i="73"/>
  <c r="G178" i="73"/>
  <c r="I178" i="73"/>
  <c r="N178" i="73"/>
  <c r="A178" i="70"/>
  <c r="G177" i="73"/>
  <c r="I177" i="73"/>
  <c r="J177" i="73"/>
  <c r="N177" i="73"/>
  <c r="A177" i="70"/>
  <c r="J176" i="73"/>
  <c r="N176" i="73"/>
  <c r="G176" i="73"/>
  <c r="I176" i="73"/>
  <c r="A176" i="70"/>
  <c r="J175" i="73"/>
  <c r="A175" i="70"/>
  <c r="N175" i="73"/>
  <c r="G175" i="73"/>
  <c r="I175" i="73"/>
  <c r="I174" i="73"/>
  <c r="G174" i="73"/>
  <c r="A174" i="70"/>
  <c r="N174" i="73"/>
  <c r="J174" i="73"/>
  <c r="N173" i="73"/>
  <c r="J173" i="73"/>
  <c r="A173" i="70"/>
  <c r="I173" i="73"/>
  <c r="G173" i="73"/>
  <c r="A172" i="70"/>
  <c r="N172" i="73"/>
  <c r="J172" i="73"/>
  <c r="I172" i="73"/>
  <c r="G172" i="73"/>
  <c r="A171" i="70"/>
  <c r="N171" i="73"/>
  <c r="J171" i="73"/>
  <c r="I171" i="73"/>
  <c r="G171" i="73"/>
  <c r="A170" i="70"/>
  <c r="N170" i="73"/>
  <c r="J170" i="73"/>
  <c r="I170" i="73"/>
  <c r="G170" i="73"/>
  <c r="A169" i="70"/>
  <c r="N169" i="73"/>
  <c r="J169" i="73"/>
  <c r="I169" i="73"/>
  <c r="G169" i="73"/>
  <c r="A168" i="70"/>
  <c r="N168" i="73"/>
  <c r="J168" i="73"/>
  <c r="I168" i="73"/>
  <c r="G168" i="73"/>
  <c r="A167" i="70"/>
  <c r="N167" i="73"/>
  <c r="J167" i="73"/>
  <c r="I167" i="73"/>
  <c r="G167" i="73"/>
  <c r="A166" i="70"/>
  <c r="N166" i="73"/>
  <c r="J166" i="73"/>
  <c r="I166" i="73"/>
  <c r="G166" i="73"/>
  <c r="I165" i="73"/>
  <c r="N165" i="73"/>
  <c r="A165" i="70"/>
  <c r="G165" i="73"/>
  <c r="J165" i="73"/>
  <c r="G164" i="73"/>
  <c r="I164" i="73"/>
  <c r="J164" i="73"/>
  <c r="N164" i="73"/>
  <c r="A164" i="70"/>
  <c r="G163" i="73"/>
  <c r="A163" i="70"/>
  <c r="I163" i="73"/>
  <c r="J163" i="73"/>
  <c r="N163" i="73"/>
  <c r="A162" i="70"/>
  <c r="G162" i="73"/>
  <c r="I162" i="73"/>
  <c r="J162" i="73"/>
  <c r="N162" i="73"/>
  <c r="A161" i="70"/>
  <c r="N161" i="73"/>
  <c r="J161" i="73"/>
  <c r="I161" i="73"/>
  <c r="G161" i="73"/>
  <c r="A160" i="70"/>
  <c r="G160" i="73"/>
  <c r="N160" i="73"/>
  <c r="J160" i="73"/>
  <c r="I160" i="73"/>
  <c r="A159" i="70"/>
  <c r="N159" i="73"/>
  <c r="J159" i="73"/>
  <c r="I159" i="73"/>
  <c r="G159" i="73"/>
  <c r="I158" i="73"/>
  <c r="N158" i="73"/>
  <c r="J158" i="73"/>
  <c r="G158" i="73"/>
  <c r="A158" i="70"/>
  <c r="N157" i="73"/>
  <c r="J157" i="73"/>
  <c r="I157" i="73"/>
  <c r="G157" i="73"/>
  <c r="A157" i="70"/>
  <c r="G156" i="73"/>
  <c r="I156" i="73"/>
  <c r="J156" i="73"/>
  <c r="I155" i="73"/>
  <c r="J155" i="73"/>
  <c r="N155" i="73"/>
  <c r="G155" i="73"/>
  <c r="I154" i="73"/>
  <c r="G154" i="73"/>
  <c r="N154" i="73"/>
  <c r="J154" i="73"/>
  <c r="A154" i="70"/>
  <c r="N153" i="73"/>
  <c r="J153" i="73"/>
  <c r="I153" i="73"/>
  <c r="G153" i="73"/>
  <c r="A153" i="70"/>
  <c r="N152" i="73"/>
  <c r="J152" i="73"/>
  <c r="I152" i="73"/>
  <c r="G152" i="73"/>
  <c r="A152" i="70"/>
  <c r="N151" i="73"/>
  <c r="J151" i="73"/>
  <c r="I151" i="73"/>
  <c r="G151" i="73"/>
  <c r="A151" i="70"/>
  <c r="N150" i="73"/>
  <c r="J150" i="73"/>
  <c r="I150" i="73"/>
  <c r="G150" i="73"/>
  <c r="A150" i="70"/>
  <c r="A149" i="70"/>
  <c r="N149" i="73"/>
  <c r="J149" i="73"/>
  <c r="I149" i="73"/>
  <c r="G149" i="73"/>
  <c r="J148" i="73"/>
  <c r="A148" i="70"/>
  <c r="N148" i="73"/>
  <c r="I148" i="73"/>
  <c r="G148" i="73"/>
  <c r="A147" i="70"/>
  <c r="I147" i="73"/>
  <c r="J147" i="73"/>
  <c r="N147" i="73"/>
  <c r="G147" i="73"/>
  <c r="G146" i="73"/>
  <c r="N146" i="73"/>
  <c r="J146" i="73"/>
  <c r="I146" i="73"/>
  <c r="A146" i="70"/>
  <c r="N145" i="73"/>
  <c r="I145" i="73"/>
  <c r="G145" i="73"/>
  <c r="J145" i="73"/>
  <c r="A145" i="70"/>
  <c r="N144" i="73"/>
  <c r="G144" i="73"/>
  <c r="I144" i="73"/>
  <c r="J144" i="73"/>
  <c r="A144" i="70"/>
  <c r="A143" i="70"/>
  <c r="N143" i="73"/>
  <c r="G143" i="73"/>
  <c r="I143" i="73"/>
  <c r="J143" i="73"/>
  <c r="N142" i="73"/>
  <c r="I142" i="73"/>
  <c r="G142" i="73"/>
  <c r="J142" i="73"/>
  <c r="A142" i="70"/>
  <c r="I141" i="73"/>
  <c r="G141" i="73"/>
  <c r="N141" i="73"/>
  <c r="A141" i="70"/>
  <c r="J141" i="73"/>
  <c r="N140" i="73"/>
  <c r="A140" i="70"/>
  <c r="I140" i="73"/>
  <c r="J140" i="73"/>
  <c r="G140" i="73"/>
  <c r="N139" i="73"/>
  <c r="J139" i="73"/>
  <c r="I139" i="73"/>
  <c r="G139" i="73"/>
  <c r="A139" i="70"/>
  <c r="A138" i="70"/>
  <c r="G138" i="73"/>
  <c r="I138" i="73"/>
  <c r="J138" i="73"/>
  <c r="N138" i="73"/>
  <c r="J137" i="73"/>
  <c r="I137" i="73"/>
  <c r="G137" i="73"/>
  <c r="A137" i="70"/>
  <c r="N137" i="73"/>
  <c r="N136" i="73"/>
  <c r="J136" i="73"/>
  <c r="I136" i="73"/>
  <c r="G136" i="73"/>
  <c r="A136" i="70"/>
  <c r="N135" i="73"/>
  <c r="J135" i="73"/>
  <c r="I135" i="73"/>
  <c r="G135" i="73"/>
  <c r="A135" i="70"/>
  <c r="N134" i="73"/>
  <c r="J134" i="73"/>
  <c r="I134" i="73"/>
  <c r="G134" i="73"/>
  <c r="A134" i="70"/>
  <c r="N133" i="73"/>
  <c r="J133" i="73"/>
  <c r="I133" i="73"/>
  <c r="G133" i="73"/>
  <c r="A133" i="70"/>
  <c r="A132" i="70"/>
  <c r="N132" i="73"/>
  <c r="J132" i="73"/>
  <c r="I132" i="73"/>
  <c r="G132" i="73"/>
  <c r="I131" i="73"/>
  <c r="A131" i="70"/>
  <c r="G131" i="73"/>
  <c r="N131" i="73"/>
  <c r="J131" i="73"/>
  <c r="A130" i="70"/>
  <c r="I130" i="73"/>
  <c r="J130" i="73"/>
  <c r="N130" i="73"/>
  <c r="G130" i="73"/>
  <c r="A129" i="70"/>
  <c r="J129" i="73"/>
  <c r="N129" i="73"/>
  <c r="I129" i="73"/>
  <c r="G129" i="73"/>
  <c r="N128" i="73"/>
  <c r="A128" i="70"/>
  <c r="J128" i="73"/>
  <c r="I128" i="73"/>
  <c r="G128" i="73"/>
  <c r="N127" i="73"/>
  <c r="J127" i="73"/>
  <c r="I127" i="73"/>
  <c r="G127" i="73"/>
  <c r="A127" i="70"/>
  <c r="I126" i="73"/>
  <c r="A126" i="70"/>
  <c r="G126" i="73"/>
  <c r="N126" i="73"/>
  <c r="J126" i="73"/>
  <c r="I125" i="73"/>
  <c r="G125" i="73"/>
  <c r="A125" i="70"/>
  <c r="J125" i="73"/>
  <c r="N125" i="73"/>
  <c r="N124" i="73"/>
  <c r="J124" i="73"/>
  <c r="G124" i="73"/>
  <c r="I124" i="73"/>
  <c r="A124" i="70"/>
  <c r="N123" i="73"/>
  <c r="J123" i="73"/>
  <c r="A123" i="70"/>
  <c r="I123" i="73"/>
  <c r="G123" i="73"/>
  <c r="A122" i="70"/>
  <c r="N122" i="73"/>
  <c r="J122" i="73"/>
  <c r="I122" i="73"/>
  <c r="G122" i="73"/>
  <c r="J121" i="73"/>
  <c r="A121" i="70"/>
  <c r="N121" i="73"/>
  <c r="G121" i="73"/>
  <c r="I121" i="73"/>
  <c r="I120" i="73"/>
  <c r="G120" i="73"/>
  <c r="A120" i="70"/>
  <c r="J120" i="73"/>
  <c r="N120" i="73"/>
  <c r="G119" i="73"/>
  <c r="A119" i="70"/>
  <c r="N119" i="73"/>
  <c r="J119" i="73"/>
  <c r="I119" i="73"/>
  <c r="N118" i="73"/>
  <c r="J118" i="73"/>
  <c r="G118" i="73"/>
  <c r="I118" i="73"/>
  <c r="A118" i="70"/>
  <c r="G117" i="73"/>
  <c r="N117" i="73"/>
  <c r="J117" i="73"/>
  <c r="I117" i="73"/>
  <c r="A117" i="70"/>
  <c r="I116" i="73"/>
  <c r="G116" i="73"/>
  <c r="N116" i="73"/>
  <c r="J116" i="73"/>
  <c r="A116" i="70"/>
  <c r="N115" i="73"/>
  <c r="J115" i="73"/>
  <c r="I115" i="73"/>
  <c r="G115" i="73"/>
  <c r="A115" i="70"/>
  <c r="N114" i="73"/>
  <c r="J114" i="73"/>
  <c r="I114" i="73"/>
  <c r="A114" i="70"/>
  <c r="G114" i="73"/>
  <c r="G113" i="73"/>
  <c r="A113" i="70"/>
  <c r="I113" i="73"/>
  <c r="J113" i="73"/>
  <c r="N113" i="73"/>
  <c r="G112" i="73"/>
  <c r="I112" i="73"/>
  <c r="A112" i="70"/>
  <c r="N112" i="73"/>
  <c r="J112" i="73"/>
  <c r="N111" i="73"/>
  <c r="J111" i="73"/>
  <c r="A111" i="70"/>
  <c r="G111" i="73"/>
  <c r="I111" i="73"/>
  <c r="A110" i="70"/>
  <c r="I110" i="73"/>
  <c r="G110" i="73"/>
  <c r="J110" i="73"/>
  <c r="N110" i="73"/>
  <c r="J109" i="73"/>
  <c r="I109" i="73"/>
  <c r="A109" i="70"/>
  <c r="N109" i="73"/>
  <c r="G109" i="73"/>
  <c r="N108" i="73"/>
  <c r="A108" i="70"/>
  <c r="G108" i="73"/>
  <c r="I108" i="73"/>
  <c r="J108" i="73"/>
  <c r="J107" i="73"/>
  <c r="G107" i="73"/>
  <c r="I107" i="73"/>
  <c r="A107" i="70"/>
  <c r="N107" i="73"/>
  <c r="G106" i="73"/>
  <c r="I106" i="73"/>
  <c r="J106" i="73"/>
  <c r="N106" i="73"/>
  <c r="A106" i="70"/>
  <c r="A105" i="70"/>
  <c r="J105" i="73"/>
  <c r="N105" i="73"/>
  <c r="I105" i="73"/>
  <c r="G105" i="73"/>
  <c r="A104" i="70"/>
  <c r="N104" i="73"/>
  <c r="J104" i="73"/>
  <c r="I104" i="73"/>
  <c r="G104" i="73"/>
  <c r="I103" i="73"/>
  <c r="G103" i="73"/>
  <c r="A103" i="70"/>
  <c r="N103" i="73"/>
  <c r="J103" i="73"/>
  <c r="A102" i="70"/>
  <c r="N102" i="73"/>
  <c r="J102" i="73"/>
  <c r="I102" i="73"/>
  <c r="G102" i="73"/>
  <c r="A101" i="70"/>
  <c r="N101" i="73"/>
  <c r="J101" i="73"/>
  <c r="I101" i="73"/>
  <c r="G101" i="73"/>
  <c r="A100" i="70"/>
  <c r="N100" i="73"/>
  <c r="J100" i="73"/>
  <c r="I100" i="73"/>
  <c r="G100" i="73"/>
  <c r="N99" i="73"/>
  <c r="J99" i="73"/>
  <c r="I99" i="73"/>
  <c r="A99" i="70"/>
  <c r="G99" i="73"/>
  <c r="N98" i="73"/>
  <c r="A98" i="70"/>
  <c r="G98" i="73"/>
  <c r="I98" i="73"/>
  <c r="J98" i="73"/>
  <c r="N97" i="73"/>
  <c r="I97" i="73"/>
  <c r="G97" i="73"/>
  <c r="J97" i="73"/>
  <c r="A97" i="70"/>
  <c r="G96" i="73"/>
  <c r="N96" i="73"/>
  <c r="J96" i="73"/>
  <c r="I96" i="73"/>
  <c r="A96" i="70"/>
  <c r="N95" i="73"/>
  <c r="I95" i="73"/>
  <c r="J95" i="73"/>
  <c r="G95" i="73"/>
  <c r="A95" i="70"/>
  <c r="J94" i="73"/>
  <c r="I94" i="73"/>
  <c r="G94" i="73"/>
  <c r="A94" i="70"/>
  <c r="N94" i="73"/>
  <c r="G93" i="73"/>
  <c r="N93" i="73"/>
  <c r="J93" i="73"/>
  <c r="I93" i="73"/>
  <c r="A93" i="70"/>
  <c r="N92" i="73"/>
  <c r="J92" i="73"/>
  <c r="I92" i="73"/>
  <c r="G92" i="73"/>
  <c r="A92" i="70"/>
  <c r="J91" i="73"/>
  <c r="A91" i="70"/>
  <c r="N91" i="73"/>
  <c r="I91" i="73"/>
  <c r="G91" i="73"/>
  <c r="G90" i="73"/>
  <c r="A90" i="70"/>
  <c r="N90" i="73"/>
  <c r="I90" i="73"/>
  <c r="J90" i="73"/>
  <c r="G89" i="73"/>
  <c r="I89" i="73"/>
  <c r="J89" i="73"/>
  <c r="N89" i="73"/>
  <c r="A89" i="70"/>
  <c r="J88" i="73"/>
  <c r="I88" i="73"/>
  <c r="G88" i="73"/>
  <c r="A88" i="70"/>
  <c r="N88" i="73"/>
  <c r="I87" i="73"/>
  <c r="G87" i="73"/>
  <c r="N87" i="73"/>
  <c r="A87" i="70"/>
  <c r="J87" i="73"/>
  <c r="G86" i="73"/>
  <c r="A86" i="70"/>
  <c r="I86" i="73"/>
  <c r="J86" i="73"/>
  <c r="N86" i="73"/>
  <c r="I85" i="73"/>
  <c r="G85" i="73"/>
  <c r="J85" i="73"/>
  <c r="A85" i="70"/>
  <c r="N85" i="73"/>
  <c r="A84" i="70"/>
  <c r="N84" i="73"/>
  <c r="J84" i="73"/>
  <c r="I84" i="73"/>
  <c r="G84" i="73"/>
  <c r="A83" i="70"/>
  <c r="N83" i="73"/>
  <c r="J83" i="73"/>
  <c r="I83" i="73"/>
  <c r="G83" i="73"/>
  <c r="J82" i="73"/>
  <c r="I82" i="73"/>
  <c r="G82" i="73"/>
  <c r="N82" i="73"/>
  <c r="A82" i="70"/>
  <c r="J81" i="73"/>
  <c r="I81" i="73"/>
  <c r="N81" i="73"/>
  <c r="A81" i="70"/>
  <c r="G81" i="73"/>
  <c r="G80" i="73"/>
  <c r="A80" i="70"/>
  <c r="N80" i="73"/>
  <c r="I80" i="73"/>
  <c r="J80" i="73"/>
  <c r="J79" i="73"/>
  <c r="N79" i="73"/>
  <c r="A79" i="70"/>
  <c r="G79" i="73"/>
  <c r="I79" i="73"/>
  <c r="I78" i="73"/>
  <c r="G78" i="73"/>
  <c r="A78" i="70"/>
  <c r="N78" i="73"/>
  <c r="J78" i="73"/>
  <c r="I77" i="73"/>
  <c r="J77" i="73"/>
  <c r="A77" i="70"/>
  <c r="G77" i="73"/>
  <c r="N77" i="73"/>
  <c r="G76" i="73"/>
  <c r="I76" i="73"/>
  <c r="J76" i="73"/>
  <c r="N76" i="73"/>
  <c r="A76" i="70"/>
  <c r="G75" i="73"/>
  <c r="I75" i="73"/>
  <c r="N75" i="73"/>
  <c r="A75" i="70"/>
  <c r="J75" i="73"/>
  <c r="J74" i="73"/>
  <c r="N74" i="73"/>
  <c r="G74" i="73"/>
  <c r="I74" i="73"/>
  <c r="A74" i="70"/>
  <c r="N73" i="73"/>
  <c r="J73" i="73"/>
  <c r="I73" i="73"/>
  <c r="A73" i="70"/>
  <c r="G73" i="73"/>
  <c r="N72" i="73"/>
  <c r="J72" i="73"/>
  <c r="I72" i="73"/>
  <c r="G72" i="73"/>
  <c r="A72" i="70"/>
  <c r="I71" i="73"/>
  <c r="N71" i="73"/>
  <c r="J71" i="73"/>
  <c r="G71" i="73"/>
  <c r="A71" i="70"/>
  <c r="G70" i="73"/>
  <c r="N70" i="73"/>
  <c r="J70" i="73"/>
  <c r="I70" i="73"/>
  <c r="A70" i="70"/>
  <c r="N69" i="73"/>
  <c r="J69" i="73"/>
  <c r="G69" i="73"/>
  <c r="I69" i="73"/>
  <c r="A69" i="70"/>
  <c r="G68" i="73"/>
  <c r="N68" i="73"/>
  <c r="J68" i="73"/>
  <c r="I68" i="73"/>
  <c r="A68" i="70"/>
  <c r="I67" i="73"/>
  <c r="N67" i="73"/>
  <c r="A67" i="70"/>
  <c r="J67" i="73"/>
  <c r="G67" i="73"/>
  <c r="N66" i="73"/>
  <c r="J66" i="73"/>
  <c r="G66" i="73"/>
  <c r="I66" i="73"/>
  <c r="A66" i="70"/>
  <c r="G65" i="73"/>
  <c r="A65" i="70"/>
  <c r="I65" i="73"/>
  <c r="J65" i="73"/>
  <c r="N65" i="73"/>
  <c r="G64" i="73"/>
  <c r="I64" i="73"/>
  <c r="J64" i="73"/>
  <c r="N64" i="73"/>
  <c r="A64" i="70"/>
  <c r="A63" i="70"/>
  <c r="G63" i="73"/>
  <c r="I63" i="73"/>
  <c r="J63" i="73"/>
  <c r="N63" i="73"/>
  <c r="J62" i="73"/>
  <c r="G62" i="73"/>
  <c r="I62" i="73"/>
  <c r="N62" i="73"/>
  <c r="A62" i="70"/>
  <c r="G61" i="73"/>
  <c r="J61" i="73"/>
  <c r="N61" i="73"/>
  <c r="A61" i="70"/>
  <c r="I61" i="73"/>
  <c r="N60" i="73"/>
  <c r="A60" i="70"/>
  <c r="I60" i="73"/>
  <c r="J60" i="73"/>
  <c r="G60" i="73"/>
  <c r="A59" i="70"/>
  <c r="G59" i="73"/>
  <c r="I59" i="73"/>
  <c r="N59" i="73"/>
  <c r="J59" i="73"/>
  <c r="I58" i="73"/>
  <c r="G58" i="73"/>
  <c r="N58" i="73"/>
  <c r="A58" i="70"/>
  <c r="J58" i="73"/>
  <c r="G57" i="73"/>
  <c r="I57" i="73"/>
  <c r="N57" i="73"/>
  <c r="J57" i="73"/>
  <c r="A57" i="70"/>
  <c r="J56" i="73"/>
  <c r="N56" i="73"/>
  <c r="A56" i="70"/>
  <c r="G56" i="73"/>
  <c r="I56" i="73"/>
  <c r="A55" i="70"/>
  <c r="G55" i="73"/>
  <c r="I55" i="73"/>
  <c r="J55" i="73"/>
  <c r="N55" i="73"/>
  <c r="A54" i="70"/>
  <c r="G54" i="73"/>
  <c r="I54" i="73"/>
  <c r="J54" i="73"/>
  <c r="N54" i="73"/>
  <c r="A53" i="70"/>
  <c r="G53" i="73"/>
  <c r="I53" i="73"/>
  <c r="J53" i="73"/>
  <c r="N53" i="73"/>
  <c r="G52" i="73"/>
  <c r="J52" i="73"/>
  <c r="N52" i="73"/>
  <c r="I52" i="73"/>
  <c r="A52" i="70"/>
  <c r="I51" i="73"/>
  <c r="A51" i="70"/>
  <c r="N51" i="73"/>
  <c r="J51" i="73"/>
  <c r="G51" i="73"/>
  <c r="N50" i="73"/>
  <c r="A50" i="70"/>
  <c r="G50" i="73"/>
  <c r="I50" i="73"/>
  <c r="J50" i="73"/>
  <c r="A49" i="70"/>
  <c r="J49" i="73"/>
  <c r="N49" i="73"/>
  <c r="G49" i="73"/>
  <c r="I49" i="73"/>
  <c r="I48" i="73"/>
  <c r="A48" i="70"/>
  <c r="J48" i="73"/>
  <c r="N48" i="73"/>
  <c r="G48" i="73"/>
  <c r="J47" i="73"/>
  <c r="A47" i="70"/>
  <c r="N47" i="73"/>
  <c r="G47" i="73"/>
  <c r="I47" i="73"/>
  <c r="N46" i="73"/>
  <c r="J46" i="73"/>
  <c r="I46" i="73"/>
  <c r="A46" i="70"/>
  <c r="G46" i="73"/>
  <c r="A45" i="70"/>
  <c r="N45" i="73"/>
  <c r="J45" i="73"/>
  <c r="I45" i="73"/>
  <c r="G45" i="73"/>
  <c r="G44" i="73"/>
  <c r="A44" i="70"/>
  <c r="J44" i="73"/>
  <c r="I44" i="73"/>
  <c r="N44" i="73"/>
  <c r="N43" i="73"/>
  <c r="A43" i="70"/>
  <c r="J43" i="73"/>
  <c r="I43" i="73"/>
  <c r="G43" i="73"/>
  <c r="A42" i="70"/>
  <c r="J42" i="73"/>
  <c r="N42" i="73"/>
  <c r="I42" i="73"/>
  <c r="G42" i="73"/>
  <c r="A41" i="70"/>
  <c r="N41" i="73"/>
  <c r="J41" i="73"/>
  <c r="I41" i="73"/>
  <c r="G41" i="73"/>
  <c r="G40" i="73"/>
  <c r="I40" i="73"/>
  <c r="J40" i="73"/>
  <c r="A40" i="70"/>
  <c r="N40" i="73"/>
  <c r="I39" i="73"/>
  <c r="J39" i="73"/>
  <c r="N39" i="73"/>
  <c r="G39" i="73"/>
  <c r="A39" i="70"/>
  <c r="G38" i="73"/>
  <c r="I38" i="73"/>
  <c r="J38" i="73"/>
  <c r="N38" i="73"/>
  <c r="A38" i="70"/>
  <c r="J37" i="73"/>
  <c r="N37" i="73"/>
  <c r="A37" i="70"/>
  <c r="G37" i="73"/>
  <c r="I37" i="73"/>
  <c r="N36" i="73"/>
  <c r="A36" i="70"/>
  <c r="G36" i="73"/>
  <c r="I36" i="73"/>
  <c r="J36" i="73"/>
  <c r="G35" i="73"/>
  <c r="A35" i="70"/>
  <c r="N35" i="73"/>
  <c r="J35" i="73"/>
  <c r="I35" i="73"/>
  <c r="G34" i="73"/>
  <c r="A34" i="70"/>
  <c r="I34" i="73"/>
  <c r="J34" i="73"/>
  <c r="N34" i="73"/>
  <c r="A33" i="70"/>
  <c r="G33" i="73"/>
  <c r="I33" i="73"/>
  <c r="J33" i="73"/>
  <c r="N33" i="73"/>
  <c r="A32" i="70"/>
  <c r="N32" i="73"/>
  <c r="G32" i="73"/>
  <c r="I32" i="73"/>
  <c r="J32" i="73"/>
  <c r="G31" i="73"/>
  <c r="A31" i="70"/>
  <c r="N31" i="73"/>
  <c r="J31" i="73"/>
  <c r="I31" i="73"/>
  <c r="G30" i="73"/>
  <c r="J30" i="73"/>
  <c r="I30" i="73"/>
  <c r="N30" i="73"/>
  <c r="A30" i="70"/>
  <c r="I29" i="73"/>
  <c r="J29" i="73"/>
  <c r="N29" i="73"/>
  <c r="A29" i="70"/>
  <c r="G29" i="73"/>
  <c r="J28" i="73"/>
  <c r="G28" i="73"/>
  <c r="I28" i="73"/>
  <c r="N27" i="73"/>
  <c r="J27" i="73"/>
  <c r="I27" i="73"/>
  <c r="G27" i="73"/>
  <c r="G26" i="73"/>
  <c r="I26" i="73"/>
  <c r="J26" i="73"/>
  <c r="N26" i="73"/>
  <c r="J25" i="73"/>
  <c r="N25" i="73"/>
  <c r="I25" i="73"/>
  <c r="G25" i="73"/>
  <c r="J24" i="73"/>
  <c r="G24" i="73"/>
  <c r="N24" i="73"/>
  <c r="I24" i="73"/>
  <c r="N23" i="73"/>
  <c r="G23" i="73"/>
  <c r="I23" i="73"/>
  <c r="J23" i="73"/>
  <c r="G22" i="73"/>
  <c r="I22" i="73"/>
  <c r="J22" i="73"/>
  <c r="N22" i="73"/>
  <c r="I21" i="73"/>
  <c r="G21" i="73"/>
  <c r="J21" i="73"/>
  <c r="N21" i="73"/>
  <c r="I20" i="73"/>
  <c r="J20" i="73"/>
  <c r="N20" i="73"/>
  <c r="G20" i="73"/>
  <c r="N19" i="73"/>
  <c r="J19" i="73"/>
  <c r="I19" i="73"/>
  <c r="G19" i="73"/>
  <c r="N18" i="73"/>
  <c r="J18" i="73"/>
  <c r="G18" i="73"/>
  <c r="I18" i="73"/>
  <c r="G17" i="73"/>
  <c r="N17" i="73"/>
  <c r="J17" i="73"/>
  <c r="I17" i="73"/>
  <c r="N16" i="73"/>
  <c r="J16" i="73"/>
  <c r="I16" i="73"/>
  <c r="G16" i="73"/>
  <c r="N15" i="73"/>
  <c r="J15" i="73"/>
  <c r="I15" i="73"/>
  <c r="G15" i="73"/>
  <c r="N14" i="73"/>
  <c r="J14" i="73"/>
  <c r="I14" i="73"/>
  <c r="G14" i="73"/>
  <c r="N13" i="73"/>
  <c r="J13" i="73"/>
  <c r="I13" i="73"/>
  <c r="G13" i="73"/>
  <c r="N12" i="73"/>
  <c r="J12" i="73"/>
  <c r="I12" i="73"/>
  <c r="G12" i="73"/>
  <c r="N11" i="73"/>
  <c r="J11" i="73"/>
  <c r="I11" i="73"/>
  <c r="G11" i="73"/>
  <c r="J10" i="73"/>
  <c r="I10" i="73"/>
  <c r="G10" i="73"/>
  <c r="N10" i="73"/>
  <c r="I9" i="73"/>
  <c r="G9" i="73"/>
  <c r="N9" i="73"/>
  <c r="J9" i="73"/>
  <c r="G8" i="73"/>
  <c r="N8" i="73"/>
  <c r="J8" i="73"/>
  <c r="I8" i="73"/>
  <c r="N7" i="73"/>
  <c r="J7" i="73"/>
  <c r="G7" i="73"/>
  <c r="I7" i="73"/>
  <c r="I6" i="73"/>
  <c r="G6" i="73"/>
  <c r="N6" i="73"/>
  <c r="J6" i="73"/>
  <c r="J5" i="73"/>
  <c r="I5" i="73"/>
  <c r="G5" i="73"/>
  <c r="N5" i="73"/>
  <c r="H156" i="71"/>
  <c r="I156" i="71"/>
  <c r="K156" i="71"/>
  <c r="D156" i="71"/>
  <c r="J156" i="71"/>
  <c r="C156" i="71"/>
  <c r="E156" i="71"/>
  <c r="F156" i="71"/>
  <c r="G156" i="71"/>
  <c r="L156" i="70"/>
  <c r="M156" i="70"/>
  <c r="J156" i="70"/>
  <c r="I156" i="70"/>
  <c r="H156" i="70"/>
  <c r="G156" i="70"/>
  <c r="F156" i="70"/>
  <c r="E156" i="70"/>
  <c r="K156" i="70"/>
  <c r="D156" i="70"/>
  <c r="C156" i="70"/>
  <c r="B156" i="70"/>
  <c r="M155" i="70"/>
  <c r="B155" i="70"/>
  <c r="D155" i="70"/>
  <c r="E155" i="70"/>
  <c r="F155" i="70"/>
  <c r="G155" i="70"/>
  <c r="H155" i="70"/>
  <c r="I155" i="70"/>
  <c r="K155" i="70"/>
  <c r="C155" i="70"/>
  <c r="L155" i="70"/>
  <c r="A155" i="71"/>
  <c r="B155" i="71"/>
  <c r="J155" i="70"/>
  <c r="K28" i="70"/>
  <c r="A28" i="71"/>
  <c r="J28" i="70"/>
  <c r="H28" i="70"/>
  <c r="F28" i="70"/>
  <c r="I28" i="70"/>
  <c r="E28" i="70"/>
  <c r="D28" i="70"/>
  <c r="B28" i="70"/>
  <c r="B28" i="71"/>
  <c r="M28" i="70"/>
  <c r="B27" i="70"/>
  <c r="B27" i="71"/>
  <c r="A27" i="71"/>
  <c r="H27" i="70"/>
  <c r="M27" i="70"/>
  <c r="K27" i="70"/>
  <c r="J27" i="70"/>
  <c r="I27" i="70"/>
  <c r="F27" i="70"/>
  <c r="E27" i="70"/>
  <c r="D27" i="70"/>
  <c r="A26" i="71"/>
  <c r="B26" i="71"/>
  <c r="F26" i="70"/>
  <c r="H26" i="70"/>
  <c r="E26" i="70"/>
  <c r="I26" i="70"/>
  <c r="J26" i="70"/>
  <c r="K26" i="70"/>
  <c r="B26" i="70"/>
  <c r="D26" i="70"/>
  <c r="M26" i="70"/>
  <c r="A25" i="71"/>
  <c r="F25" i="70"/>
  <c r="H25" i="70"/>
  <c r="I25" i="70"/>
  <c r="E25" i="70"/>
  <c r="K25" i="70"/>
  <c r="M25" i="70"/>
  <c r="B25" i="70"/>
  <c r="D25" i="70"/>
  <c r="B25" i="71"/>
  <c r="J25" i="70"/>
  <c r="M24" i="70"/>
  <c r="H24" i="70"/>
  <c r="I24" i="70"/>
  <c r="K24" i="70"/>
  <c r="F24" i="70"/>
  <c r="B24" i="70"/>
  <c r="J24" i="70"/>
  <c r="D24" i="70"/>
  <c r="B24" i="71"/>
  <c r="A24" i="71"/>
  <c r="E24" i="70"/>
  <c r="H23" i="70"/>
  <c r="M23" i="70"/>
  <c r="A23" i="71"/>
  <c r="D23" i="70"/>
  <c r="B23" i="70"/>
  <c r="I23" i="70"/>
  <c r="K23" i="70"/>
  <c r="E23" i="70"/>
  <c r="J23" i="70"/>
  <c r="B23" i="71"/>
  <c r="F23" i="70"/>
  <c r="A22" i="71"/>
  <c r="M22" i="70"/>
  <c r="K22" i="70"/>
  <c r="J22" i="70"/>
  <c r="I22" i="70"/>
  <c r="H22" i="70"/>
  <c r="F22" i="70"/>
  <c r="E22" i="70"/>
  <c r="D22" i="70"/>
  <c r="B22" i="70"/>
  <c r="B22" i="71"/>
  <c r="E21" i="70"/>
  <c r="B21" i="71"/>
  <c r="J21" i="70"/>
  <c r="I21" i="70"/>
  <c r="H21" i="70"/>
  <c r="K21" i="70"/>
  <c r="F21" i="70"/>
  <c r="A21" i="71"/>
  <c r="M21" i="70"/>
  <c r="D21" i="70"/>
  <c r="B21" i="70"/>
  <c r="E20" i="70"/>
  <c r="A20" i="71"/>
  <c r="B20" i="71"/>
  <c r="F20" i="70"/>
  <c r="H20" i="70"/>
  <c r="B20" i="70"/>
  <c r="D20" i="70"/>
  <c r="I20" i="70"/>
  <c r="J20" i="70"/>
  <c r="M20" i="70"/>
  <c r="K20" i="70"/>
  <c r="F19" i="70"/>
  <c r="H19" i="70"/>
  <c r="I19" i="70"/>
  <c r="J19" i="70"/>
  <c r="K19" i="70"/>
  <c r="B19" i="71"/>
  <c r="E19" i="70"/>
  <c r="A19" i="71"/>
  <c r="M19" i="70"/>
  <c r="B19" i="70"/>
  <c r="D19" i="70"/>
  <c r="M18" i="70"/>
  <c r="F18" i="70"/>
  <c r="E18" i="70"/>
  <c r="B18" i="71"/>
  <c r="A18" i="71"/>
  <c r="H18" i="70"/>
  <c r="B18" i="70"/>
  <c r="J18" i="70"/>
  <c r="K18" i="70"/>
  <c r="D18" i="70"/>
  <c r="I18" i="70"/>
  <c r="I17" i="70"/>
  <c r="J17" i="70"/>
  <c r="M17" i="70"/>
  <c r="A17" i="71"/>
  <c r="B17" i="71"/>
  <c r="K17" i="70"/>
  <c r="B17" i="70"/>
  <c r="D17" i="70"/>
  <c r="E17" i="70"/>
  <c r="F17" i="70"/>
  <c r="H17" i="70"/>
  <c r="B16" i="71"/>
  <c r="M16" i="70"/>
  <c r="I16" i="70"/>
  <c r="J16" i="70"/>
  <c r="K16" i="70"/>
  <c r="H16" i="70"/>
  <c r="B16" i="70"/>
  <c r="D16" i="70"/>
  <c r="E16" i="70"/>
  <c r="F16" i="70"/>
  <c r="A16" i="71"/>
  <c r="H15" i="70"/>
  <c r="D15" i="70"/>
  <c r="E15" i="70"/>
  <c r="F15" i="70"/>
  <c r="B15" i="70"/>
  <c r="I15" i="70"/>
  <c r="J15" i="70"/>
  <c r="K15" i="70"/>
  <c r="M15" i="70"/>
  <c r="B15" i="71"/>
  <c r="A15" i="71"/>
  <c r="M14" i="70"/>
  <c r="B14" i="70"/>
  <c r="D14" i="70"/>
  <c r="E14" i="70"/>
  <c r="F14" i="70"/>
  <c r="H14" i="70"/>
  <c r="I14" i="70"/>
  <c r="A14" i="71"/>
  <c r="B14" i="71"/>
  <c r="J14" i="70"/>
  <c r="K14" i="70"/>
  <c r="J13" i="70"/>
  <c r="E13" i="70"/>
  <c r="D13" i="70"/>
  <c r="B13" i="70"/>
  <c r="I13" i="70"/>
  <c r="H13" i="70"/>
  <c r="B13" i="71"/>
  <c r="K13" i="70"/>
  <c r="A13" i="71"/>
  <c r="M13" i="70"/>
  <c r="F13" i="70"/>
  <c r="B12" i="71"/>
  <c r="M12" i="70"/>
  <c r="K12" i="70"/>
  <c r="J12" i="70"/>
  <c r="I12" i="70"/>
  <c r="H12" i="70"/>
  <c r="F12" i="70"/>
  <c r="E12" i="70"/>
  <c r="D12" i="70"/>
  <c r="B12" i="70"/>
  <c r="A12" i="71"/>
  <c r="D11" i="70"/>
  <c r="M11" i="70"/>
  <c r="E11" i="70"/>
  <c r="A11" i="71"/>
  <c r="K11" i="70"/>
  <c r="J11" i="70"/>
  <c r="B11" i="70"/>
  <c r="I11" i="70"/>
  <c r="B11" i="71"/>
  <c r="H11" i="70"/>
  <c r="F11" i="70"/>
  <c r="I10" i="70"/>
  <c r="J10" i="70"/>
  <c r="K10" i="70"/>
  <c r="A10" i="71"/>
  <c r="B10" i="71"/>
  <c r="M10" i="70"/>
  <c r="B10" i="70"/>
  <c r="D10" i="70"/>
  <c r="E10" i="70"/>
  <c r="F10" i="70"/>
  <c r="H10" i="70"/>
  <c r="H9" i="70"/>
  <c r="F9" i="70"/>
  <c r="E9" i="70"/>
  <c r="A9" i="71"/>
  <c r="K9" i="70"/>
  <c r="J9" i="70"/>
  <c r="B9" i="70"/>
  <c r="D9" i="70"/>
  <c r="M9" i="70"/>
  <c r="B9" i="71"/>
  <c r="I9" i="70"/>
  <c r="M8" i="70"/>
  <c r="K8" i="70"/>
  <c r="J8" i="70"/>
  <c r="I8" i="70"/>
  <c r="H8" i="70"/>
  <c r="F8" i="70"/>
  <c r="E8" i="70"/>
  <c r="D8" i="70"/>
  <c r="B8" i="70"/>
  <c r="B8" i="71"/>
  <c r="A8" i="71"/>
  <c r="M7" i="70"/>
  <c r="K7" i="70"/>
  <c r="J7" i="70"/>
  <c r="I7" i="70"/>
  <c r="H7" i="70"/>
  <c r="F7" i="70"/>
  <c r="E7" i="70"/>
  <c r="D7" i="70"/>
  <c r="A7" i="71"/>
  <c r="B7" i="70"/>
  <c r="B7" i="71"/>
  <c r="B6" i="71"/>
  <c r="A6" i="71"/>
  <c r="F6" i="70"/>
  <c r="B6" i="70"/>
  <c r="D6" i="70"/>
  <c r="E6" i="70"/>
  <c r="H6" i="70"/>
  <c r="I6" i="70"/>
  <c r="J6" i="70"/>
  <c r="K6" i="70"/>
  <c r="M6" i="70"/>
  <c r="E5" i="70"/>
  <c r="B5" i="71"/>
  <c r="A5" i="71"/>
  <c r="B5" i="70"/>
  <c r="F5" i="70"/>
  <c r="H5" i="70"/>
  <c r="I5" i="70"/>
  <c r="J5" i="70"/>
  <c r="K5" i="70"/>
  <c r="M5" i="70"/>
  <c r="D5" i="70"/>
  <c r="G5" i="68"/>
  <c r="E5" i="68"/>
  <c r="C5" i="68"/>
  <c r="F5" i="68"/>
  <c r="B5" i="68"/>
  <c r="K5" i="68"/>
  <c r="B210" i="68" s="1"/>
  <c r="N5" i="68"/>
  <c r="O5" i="68"/>
  <c r="D5" i="68"/>
  <c r="P5" i="68"/>
  <c r="M5" i="68"/>
  <c r="J5" i="68"/>
  <c r="B209" i="68" s="1"/>
  <c r="H5" i="68"/>
  <c r="L5" i="68"/>
  <c r="I5" i="68"/>
  <c r="E15" i="121"/>
  <c r="E9" i="121"/>
  <c r="I38" i="122"/>
  <c r="I35" i="121"/>
  <c r="I34" i="121"/>
  <c r="I37" i="122"/>
  <c r="I36" i="122"/>
  <c r="I33" i="121"/>
  <c r="I32" i="121"/>
  <c r="I35" i="122"/>
  <c r="I31" i="121"/>
  <c r="I34" i="122"/>
  <c r="I30" i="121"/>
  <c r="I33" i="122"/>
  <c r="I29" i="121"/>
  <c r="I32" i="122"/>
  <c r="I31" i="122"/>
  <c r="I28" i="121"/>
  <c r="I30" i="122"/>
  <c r="I27" i="121"/>
  <c r="I26" i="121"/>
  <c r="I29" i="122"/>
  <c r="I25" i="121"/>
  <c r="I28" i="122"/>
  <c r="I24" i="121"/>
  <c r="I27" i="122"/>
  <c r="E7" i="65"/>
  <c r="G7" i="65" s="1"/>
  <c r="E6" i="65"/>
  <c r="G6" i="65" s="1"/>
  <c r="E5" i="65"/>
  <c r="G5" i="65"/>
  <c r="B8" i="57"/>
  <c r="C8" i="57" s="1"/>
  <c r="B11" i="119"/>
  <c r="B10" i="119"/>
  <c r="G5" i="44"/>
  <c r="B10" i="51"/>
  <c r="B11" i="51"/>
  <c r="E4" i="65"/>
  <c r="G4" i="65"/>
  <c r="B12" i="119"/>
  <c r="B12" i="51"/>
  <c r="C27" i="48"/>
  <c r="F27" i="48"/>
  <c r="E27" i="48"/>
  <c r="B27" i="48"/>
  <c r="E26" i="48"/>
  <c r="B26" i="48"/>
  <c r="C26" i="48"/>
  <c r="F26" i="48"/>
  <c r="F25" i="48"/>
  <c r="C25" i="48"/>
  <c r="E25" i="48"/>
  <c r="G24" i="48"/>
  <c r="H24" i="48"/>
  <c r="C24" i="48"/>
  <c r="E24" i="48"/>
  <c r="F24" i="48"/>
  <c r="B24" i="48"/>
  <c r="E23" i="48"/>
  <c r="F23" i="48"/>
  <c r="B23" i="48"/>
  <c r="C23" i="48"/>
  <c r="E22" i="48"/>
  <c r="C22" i="48"/>
  <c r="B22" i="48"/>
  <c r="F22" i="48"/>
  <c r="H21" i="48"/>
  <c r="G21" i="48"/>
  <c r="F21" i="48"/>
  <c r="E21" i="48"/>
  <c r="C21" i="48"/>
  <c r="B21" i="48"/>
  <c r="C20" i="48"/>
  <c r="F20" i="48"/>
  <c r="E20" i="48"/>
  <c r="B20" i="48"/>
  <c r="H20" i="48"/>
  <c r="G20" i="48"/>
  <c r="C19" i="48"/>
  <c r="F19" i="48"/>
  <c r="E19" i="48"/>
  <c r="C18" i="48"/>
  <c r="F18" i="48"/>
  <c r="E18" i="48"/>
  <c r="B18" i="48"/>
  <c r="G17" i="48"/>
  <c r="H17" i="48"/>
  <c r="B17" i="48"/>
  <c r="C17" i="48"/>
  <c r="E17" i="48"/>
  <c r="F17" i="48"/>
  <c r="C16" i="48"/>
  <c r="E16" i="48"/>
  <c r="B16" i="48"/>
  <c r="G16" i="48"/>
  <c r="H16" i="48"/>
  <c r="F16" i="48"/>
  <c r="M20" i="47"/>
  <c r="L20" i="47"/>
  <c r="H20" i="47"/>
  <c r="J8" i="48"/>
  <c r="B11" i="48"/>
  <c r="J51" i="45"/>
  <c r="H51" i="45"/>
  <c r="P51" i="45"/>
  <c r="I18" i="47"/>
  <c r="O51" i="45"/>
  <c r="P50" i="45"/>
  <c r="J50" i="45"/>
  <c r="H50" i="45"/>
  <c r="J49" i="45"/>
  <c r="P49" i="45"/>
  <c r="H49" i="45"/>
  <c r="P48" i="45"/>
  <c r="J48" i="45"/>
  <c r="H48" i="45"/>
  <c r="I13" i="47"/>
  <c r="O48" i="45"/>
  <c r="H47" i="45"/>
  <c r="J47" i="45"/>
  <c r="P47" i="45"/>
  <c r="P46" i="45"/>
  <c r="H46" i="45"/>
  <c r="J46" i="45"/>
  <c r="H45" i="45"/>
  <c r="P45" i="45"/>
  <c r="J45" i="45"/>
  <c r="H44" i="45"/>
  <c r="J44" i="45"/>
  <c r="P44" i="45"/>
  <c r="I8" i="47"/>
  <c r="O44" i="45"/>
  <c r="P43" i="45"/>
  <c r="J43" i="45"/>
  <c r="H43" i="45"/>
  <c r="O43" i="45"/>
  <c r="I5" i="47"/>
  <c r="J42" i="45"/>
  <c r="H42" i="45"/>
  <c r="P42" i="45"/>
  <c r="H41" i="45"/>
  <c r="J41" i="45"/>
  <c r="F6" i="48" s="1"/>
  <c r="P41" i="45"/>
  <c r="E6" i="48"/>
  <c r="O41" i="45"/>
  <c r="J40" i="45"/>
  <c r="P40" i="45"/>
  <c r="H40" i="45"/>
  <c r="I24" i="47"/>
  <c r="O40" i="45"/>
  <c r="I23" i="47"/>
  <c r="P39" i="45"/>
  <c r="J39" i="45"/>
  <c r="H39" i="45"/>
  <c r="H38" i="45"/>
  <c r="J38" i="45"/>
  <c r="P38" i="45"/>
  <c r="P37" i="45"/>
  <c r="H37" i="45"/>
  <c r="J37" i="45"/>
  <c r="P36" i="45"/>
  <c r="J36" i="45"/>
  <c r="H36" i="45"/>
  <c r="O36" i="45"/>
  <c r="I15" i="47"/>
  <c r="P35" i="45"/>
  <c r="H35" i="45"/>
  <c r="J35" i="45"/>
  <c r="J34" i="45"/>
  <c r="H34" i="45"/>
  <c r="P34" i="45"/>
  <c r="P33" i="45"/>
  <c r="J33" i="45"/>
  <c r="H33" i="45"/>
  <c r="J32" i="45"/>
  <c r="P32" i="45" s="1"/>
  <c r="H32" i="45"/>
  <c r="O32" i="45"/>
  <c r="I10" i="47"/>
  <c r="J31" i="45"/>
  <c r="P31" i="45"/>
  <c r="H31" i="45"/>
  <c r="P30" i="45"/>
  <c r="H30" i="45"/>
  <c r="J30" i="45"/>
  <c r="P29" i="45"/>
  <c r="H29" i="45"/>
  <c r="J29" i="45"/>
  <c r="F7" i="48" s="1"/>
  <c r="O29" i="45"/>
  <c r="E7" i="48"/>
  <c r="H28" i="45"/>
  <c r="J28" i="45"/>
  <c r="P28" i="45"/>
  <c r="I22" i="47"/>
  <c r="O28" i="45"/>
  <c r="P27" i="45"/>
  <c r="H27" i="45"/>
  <c r="J27" i="45"/>
  <c r="O27" i="45"/>
  <c r="I19" i="47"/>
  <c r="P26" i="45"/>
  <c r="J26" i="45"/>
  <c r="H26" i="45"/>
  <c r="O26" i="45"/>
  <c r="I17" i="47"/>
  <c r="J25" i="45"/>
  <c r="H25" i="45"/>
  <c r="P25" i="45"/>
  <c r="P24" i="45"/>
  <c r="J24" i="45"/>
  <c r="H24" i="45"/>
  <c r="O24" i="45"/>
  <c r="I14" i="47"/>
  <c r="H23" i="45"/>
  <c r="J23" i="45"/>
  <c r="P23" i="45"/>
  <c r="O23" i="45"/>
  <c r="I12" i="47"/>
  <c r="P22" i="45"/>
  <c r="H22" i="45"/>
  <c r="J22" i="45"/>
  <c r="J21" i="45"/>
  <c r="H21" i="45"/>
  <c r="P21" i="45"/>
  <c r="J20" i="45"/>
  <c r="H20" i="45"/>
  <c r="P20" i="45"/>
  <c r="I9" i="47"/>
  <c r="O20" i="45"/>
  <c r="P19" i="45"/>
  <c r="H19" i="45"/>
  <c r="J19" i="45"/>
  <c r="O19" i="45"/>
  <c r="I7" i="47"/>
  <c r="H18" i="45"/>
  <c r="J18" i="45"/>
  <c r="P18" i="45"/>
  <c r="P17" i="45"/>
  <c r="J17" i="45"/>
  <c r="F8" i="48" s="1"/>
  <c r="H17" i="45"/>
  <c r="O17" i="45"/>
  <c r="E8" i="48"/>
  <c r="H16" i="45"/>
  <c r="P16" i="45"/>
  <c r="J16" i="45"/>
  <c r="D27" i="48" s="1"/>
  <c r="I21" i="47"/>
  <c r="O16" i="45"/>
  <c r="P15" i="45"/>
  <c r="J15" i="45"/>
  <c r="D26" i="48" s="1"/>
  <c r="H15" i="45"/>
  <c r="H14" i="45"/>
  <c r="J14" i="45"/>
  <c r="D25" i="48" s="1"/>
  <c r="P14" i="45"/>
  <c r="O14" i="45"/>
  <c r="I16" i="47"/>
  <c r="J13" i="45"/>
  <c r="D24" i="48" s="1"/>
  <c r="P13" i="45"/>
  <c r="H13" i="45"/>
  <c r="H12" i="45"/>
  <c r="J12" i="45"/>
  <c r="D23" i="48" s="1"/>
  <c r="P12" i="45"/>
  <c r="H11" i="45"/>
  <c r="J11" i="45"/>
  <c r="D22" i="48" s="1"/>
  <c r="P11" i="45"/>
  <c r="I11" i="47"/>
  <c r="O11" i="45"/>
  <c r="P10" i="45"/>
  <c r="H10" i="45"/>
  <c r="J10" i="45"/>
  <c r="D21" i="48" s="1"/>
  <c r="P9" i="45"/>
  <c r="H9" i="45"/>
  <c r="J9" i="45"/>
  <c r="D20" i="48" s="1"/>
  <c r="H8" i="45"/>
  <c r="J8" i="45"/>
  <c r="D19" i="48" s="1"/>
  <c r="P8" i="45"/>
  <c r="J7" i="45"/>
  <c r="D18" i="48" s="1"/>
  <c r="H7" i="45"/>
  <c r="P7" i="45"/>
  <c r="O7" i="45"/>
  <c r="I6" i="47"/>
  <c r="H6" i="45"/>
  <c r="J6" i="45"/>
  <c r="D17" i="48" s="1"/>
  <c r="P6" i="45"/>
  <c r="H5" i="45"/>
  <c r="J5" i="45"/>
  <c r="D16" i="48" s="1"/>
  <c r="P5" i="45"/>
  <c r="B5" i="48"/>
  <c r="E5" i="48"/>
  <c r="O5" i="45"/>
  <c r="A22" i="39"/>
  <c r="A23" i="39"/>
  <c r="H10" i="35"/>
  <c r="H11" i="35"/>
  <c r="I10" i="35"/>
  <c r="I11" i="35"/>
  <c r="C11" i="35"/>
  <c r="E5" i="35"/>
  <c r="E11" i="35" s="1"/>
  <c r="B11" i="35"/>
  <c r="D5" i="35"/>
  <c r="F12" i="34"/>
  <c r="G12" i="34" s="1"/>
  <c r="H12" i="34"/>
  <c r="F11" i="34"/>
  <c r="F10" i="34"/>
  <c r="F9" i="34"/>
  <c r="F8" i="34"/>
  <c r="L7" i="32"/>
  <c r="P7" i="32"/>
  <c r="V4" i="32"/>
  <c r="W4" i="32" s="1"/>
  <c r="B5" i="104"/>
  <c r="G40" i="30"/>
  <c r="H40" i="30" s="1"/>
  <c r="D6" i="30"/>
  <c r="K10" i="28"/>
  <c r="N10" i="28"/>
  <c r="F10" i="29"/>
  <c r="F21" i="29"/>
  <c r="F9" i="29"/>
  <c r="K9" i="28"/>
  <c r="N9" i="28"/>
  <c r="F20" i="29"/>
  <c r="F8" i="29"/>
  <c r="K8" i="28"/>
  <c r="F19" i="29"/>
  <c r="N8" i="28"/>
  <c r="F7" i="29"/>
  <c r="K7" i="28"/>
  <c r="F18" i="29"/>
  <c r="N7" i="28"/>
  <c r="I6" i="28"/>
  <c r="D17" i="29"/>
  <c r="G6" i="28"/>
  <c r="C17" i="29" s="1"/>
  <c r="F6" i="28"/>
  <c r="D16" i="29"/>
  <c r="I5" i="28"/>
  <c r="G5" i="28"/>
  <c r="C16" i="29" s="1"/>
  <c r="F5" i="28"/>
  <c r="B6" i="29" s="1"/>
  <c r="W5" i="32"/>
  <c r="V6" i="32"/>
  <c r="G6" i="33"/>
  <c r="B6" i="104"/>
  <c r="B7" i="104"/>
  <c r="E6" i="21"/>
  <c r="G6" i="21" s="1"/>
  <c r="J5" i="24"/>
  <c r="O8" i="24"/>
  <c r="B10" i="31"/>
  <c r="B7" i="96"/>
  <c r="C5" i="19"/>
  <c r="C6" i="19"/>
  <c r="C7" i="19"/>
  <c r="C8" i="19"/>
  <c r="C9" i="19"/>
  <c r="C10" i="19"/>
  <c r="C11" i="19"/>
  <c r="C12" i="19"/>
  <c r="L5" i="23"/>
  <c r="L6" i="23"/>
  <c r="L7" i="23"/>
  <c r="L8" i="23" s="1"/>
  <c r="L12" i="23"/>
  <c r="L13" i="23"/>
  <c r="L14" i="23"/>
  <c r="L15" i="23"/>
  <c r="L16" i="23"/>
  <c r="L17" i="23"/>
  <c r="L18" i="23"/>
  <c r="L19" i="23"/>
  <c r="L20" i="23"/>
  <c r="L24" i="23"/>
  <c r="L25" i="23"/>
  <c r="L26" i="23"/>
  <c r="L27" i="23"/>
  <c r="L28" i="23"/>
  <c r="L32" i="23"/>
  <c r="L33" i="23"/>
  <c r="L34" i="23"/>
  <c r="B9" i="31"/>
  <c r="B8" i="31"/>
  <c r="B12" i="31" s="1"/>
  <c r="B6" i="19"/>
  <c r="B8" i="19"/>
  <c r="B7" i="19"/>
  <c r="B6" i="96"/>
  <c r="B11" i="19"/>
  <c r="B9" i="19"/>
  <c r="B12" i="19"/>
  <c r="B10" i="19"/>
  <c r="B5" i="19"/>
  <c r="N30" i="22"/>
  <c r="N29" i="22"/>
  <c r="N18" i="22"/>
  <c r="N19" i="22"/>
  <c r="N24" i="22"/>
  <c r="N25" i="22"/>
  <c r="N26" i="22"/>
  <c r="N27" i="22"/>
  <c r="N28" i="22"/>
  <c r="N5" i="22"/>
  <c r="N11" i="22" s="1"/>
  <c r="N6" i="22"/>
  <c r="N7" i="22"/>
  <c r="N8" i="22"/>
  <c r="N9" i="22"/>
  <c r="N15" i="22"/>
  <c r="N23" i="22"/>
  <c r="N16" i="22"/>
  <c r="N17" i="22"/>
  <c r="B11" i="21"/>
  <c r="B6" i="34"/>
  <c r="B6" i="106"/>
  <c r="D17" i="15"/>
  <c r="J17" i="15"/>
  <c r="I17" i="15"/>
  <c r="J16" i="15"/>
  <c r="I16" i="15"/>
  <c r="D16" i="15"/>
  <c r="B7" i="15"/>
  <c r="C15" i="15"/>
  <c r="B12" i="17"/>
  <c r="G12" i="17" s="1"/>
  <c r="C14" i="15"/>
  <c r="C13" i="15"/>
  <c r="C12" i="15"/>
  <c r="C11" i="15"/>
  <c r="B8" i="15"/>
  <c r="B14" i="14"/>
  <c r="B11" i="14"/>
  <c r="B7" i="14"/>
  <c r="B15" i="14"/>
  <c r="B8" i="14"/>
  <c r="B13" i="14"/>
  <c r="B12" i="14"/>
  <c r="K403" i="13"/>
  <c r="M403" i="13"/>
  <c r="D403" i="13"/>
  <c r="J403" i="13"/>
  <c r="I403" i="13"/>
  <c r="H403" i="13"/>
  <c r="N403" i="13"/>
  <c r="G403" i="13"/>
  <c r="F403" i="13"/>
  <c r="E403" i="13"/>
  <c r="C403" i="13"/>
  <c r="B403" i="13"/>
  <c r="L403" i="13"/>
  <c r="L402" i="13"/>
  <c r="M402" i="13"/>
  <c r="N402" i="13"/>
  <c r="D402" i="13"/>
  <c r="G402" i="13"/>
  <c r="I402" i="13"/>
  <c r="J402" i="13"/>
  <c r="K402" i="13"/>
  <c r="H402" i="13"/>
  <c r="F402" i="13"/>
  <c r="E402" i="13"/>
  <c r="C402" i="13"/>
  <c r="B402" i="13"/>
  <c r="N401" i="13"/>
  <c r="H401" i="13"/>
  <c r="B401" i="13"/>
  <c r="C401" i="13"/>
  <c r="D401" i="13"/>
  <c r="E401" i="13"/>
  <c r="F401" i="13"/>
  <c r="G401" i="13"/>
  <c r="I401" i="13"/>
  <c r="J401" i="13"/>
  <c r="K401" i="13"/>
  <c r="L401" i="13"/>
  <c r="M401" i="13"/>
  <c r="L400" i="13"/>
  <c r="F400" i="13"/>
  <c r="J400" i="13"/>
  <c r="I400" i="13"/>
  <c r="G400" i="13"/>
  <c r="H400" i="13"/>
  <c r="N400" i="13"/>
  <c r="B400" i="13"/>
  <c r="C400" i="13"/>
  <c r="D400" i="13"/>
  <c r="E400" i="13"/>
  <c r="M400" i="13"/>
  <c r="K400" i="13"/>
  <c r="H399" i="13"/>
  <c r="G399" i="13"/>
  <c r="F399" i="13"/>
  <c r="E399" i="13"/>
  <c r="D399" i="13"/>
  <c r="B399" i="13"/>
  <c r="J399" i="13"/>
  <c r="C399" i="13"/>
  <c r="I399" i="13"/>
  <c r="N399" i="13"/>
  <c r="M399" i="13"/>
  <c r="L399" i="13"/>
  <c r="K399" i="13"/>
  <c r="H398" i="13"/>
  <c r="I398" i="13"/>
  <c r="J398" i="13"/>
  <c r="K398" i="13"/>
  <c r="B398" i="13"/>
  <c r="M398" i="13"/>
  <c r="N398" i="13"/>
  <c r="C398" i="13"/>
  <c r="D398" i="13"/>
  <c r="E398" i="13"/>
  <c r="F398" i="13"/>
  <c r="G398" i="13"/>
  <c r="L398" i="13"/>
  <c r="N397" i="13"/>
  <c r="E397" i="13"/>
  <c r="B397" i="13"/>
  <c r="C397" i="13"/>
  <c r="D397" i="13"/>
  <c r="F397" i="13"/>
  <c r="G397" i="13"/>
  <c r="H397" i="13"/>
  <c r="I397" i="13"/>
  <c r="J397" i="13"/>
  <c r="K397" i="13"/>
  <c r="L397" i="13"/>
  <c r="M397" i="13"/>
  <c r="M396" i="13"/>
  <c r="L396" i="13"/>
  <c r="K396" i="13"/>
  <c r="J396" i="13"/>
  <c r="I396" i="13"/>
  <c r="H396" i="13"/>
  <c r="G396" i="13"/>
  <c r="F396" i="13"/>
  <c r="E396" i="13"/>
  <c r="D396" i="13"/>
  <c r="C396" i="13"/>
  <c r="B396" i="13"/>
  <c r="N396" i="13"/>
  <c r="N395" i="13"/>
  <c r="M395" i="13"/>
  <c r="L395" i="13"/>
  <c r="K395" i="13"/>
  <c r="B395" i="13"/>
  <c r="C395" i="13"/>
  <c r="D395" i="13"/>
  <c r="E395" i="13"/>
  <c r="F395" i="13"/>
  <c r="G395" i="13"/>
  <c r="H395" i="13"/>
  <c r="I395" i="13"/>
  <c r="J395" i="13"/>
  <c r="M394" i="13"/>
  <c r="B394" i="13"/>
  <c r="N394" i="13"/>
  <c r="D394" i="13"/>
  <c r="E394" i="13"/>
  <c r="F394" i="13"/>
  <c r="G394" i="13"/>
  <c r="H394" i="13"/>
  <c r="I394" i="13"/>
  <c r="J394" i="13"/>
  <c r="K394" i="13"/>
  <c r="L394" i="13"/>
  <c r="C394" i="13"/>
  <c r="M393" i="13"/>
  <c r="L393" i="13"/>
  <c r="K393" i="13"/>
  <c r="J393" i="13"/>
  <c r="I393" i="13"/>
  <c r="H393" i="13"/>
  <c r="G393" i="13"/>
  <c r="F393" i="13"/>
  <c r="E393" i="13"/>
  <c r="D393" i="13"/>
  <c r="C393" i="13"/>
  <c r="B393" i="13"/>
  <c r="N393" i="13"/>
  <c r="N392" i="13"/>
  <c r="M392" i="13"/>
  <c r="L392" i="13"/>
  <c r="K392" i="13"/>
  <c r="J392" i="13"/>
  <c r="I392" i="13"/>
  <c r="H392" i="13"/>
  <c r="G392" i="13"/>
  <c r="F392" i="13"/>
  <c r="E392" i="13"/>
  <c r="D392" i="13"/>
  <c r="C392" i="13"/>
  <c r="B392" i="13"/>
  <c r="N391" i="13"/>
  <c r="M391" i="13"/>
  <c r="L391" i="13"/>
  <c r="K391" i="13"/>
  <c r="J391" i="13"/>
  <c r="I391" i="13"/>
  <c r="H391" i="13"/>
  <c r="G391" i="13"/>
  <c r="F391" i="13"/>
  <c r="E391" i="13"/>
  <c r="D391" i="13"/>
  <c r="C391" i="13"/>
  <c r="B391" i="13"/>
  <c r="N390" i="13"/>
  <c r="M390" i="13"/>
  <c r="L390" i="13"/>
  <c r="K390" i="13"/>
  <c r="J390" i="13"/>
  <c r="D390" i="13"/>
  <c r="B390" i="13"/>
  <c r="C390" i="13"/>
  <c r="I390" i="13"/>
  <c r="E390" i="13"/>
  <c r="F390" i="13"/>
  <c r="G390" i="13"/>
  <c r="H390" i="13"/>
  <c r="K389" i="13"/>
  <c r="I389" i="13"/>
  <c r="L389" i="13"/>
  <c r="M389" i="13"/>
  <c r="N389" i="13"/>
  <c r="J389" i="13"/>
  <c r="H389" i="13"/>
  <c r="G389" i="13"/>
  <c r="F389" i="13"/>
  <c r="E389" i="13"/>
  <c r="D389" i="13"/>
  <c r="C389" i="13"/>
  <c r="B389" i="13"/>
  <c r="H388" i="13"/>
  <c r="N388" i="13"/>
  <c r="M388" i="13"/>
  <c r="L388" i="13"/>
  <c r="K388" i="13"/>
  <c r="J388" i="13"/>
  <c r="I388" i="13"/>
  <c r="G388" i="13"/>
  <c r="F388" i="13"/>
  <c r="E388" i="13"/>
  <c r="D388" i="13"/>
  <c r="C388" i="13"/>
  <c r="B388" i="13"/>
  <c r="F387" i="13"/>
  <c r="G387" i="13"/>
  <c r="B387" i="13"/>
  <c r="C387" i="13"/>
  <c r="D387" i="13"/>
  <c r="E387" i="13"/>
  <c r="H387" i="13"/>
  <c r="I387" i="13"/>
  <c r="N387" i="13"/>
  <c r="M387" i="13"/>
  <c r="L387" i="13"/>
  <c r="K387" i="13"/>
  <c r="J387" i="13"/>
  <c r="B386" i="13"/>
  <c r="H386" i="13"/>
  <c r="G386" i="13"/>
  <c r="F386" i="13"/>
  <c r="E386" i="13"/>
  <c r="D386" i="13"/>
  <c r="C386" i="13"/>
  <c r="J386" i="13"/>
  <c r="K386" i="13"/>
  <c r="L386" i="13"/>
  <c r="I386" i="13"/>
  <c r="M386" i="13"/>
  <c r="N386" i="13"/>
  <c r="N385" i="13"/>
  <c r="M385" i="13"/>
  <c r="L385" i="13"/>
  <c r="K385" i="13"/>
  <c r="J385" i="13"/>
  <c r="I385" i="13"/>
  <c r="H385" i="13"/>
  <c r="G385" i="13"/>
  <c r="F385" i="13"/>
  <c r="E385" i="13"/>
  <c r="B385" i="13"/>
  <c r="C385" i="13"/>
  <c r="D385" i="13"/>
  <c r="N384" i="13"/>
  <c r="M384" i="13"/>
  <c r="L384" i="13"/>
  <c r="K384" i="13"/>
  <c r="J384" i="13"/>
  <c r="I384" i="13"/>
  <c r="H384" i="13"/>
  <c r="G384" i="13"/>
  <c r="F384" i="13"/>
  <c r="E384" i="13"/>
  <c r="D384" i="13"/>
  <c r="C384" i="13"/>
  <c r="B384" i="13"/>
  <c r="N383" i="13"/>
  <c r="M383" i="13"/>
  <c r="L383" i="13"/>
  <c r="K383" i="13"/>
  <c r="J383" i="13"/>
  <c r="I383" i="13"/>
  <c r="H383" i="13"/>
  <c r="G383" i="13"/>
  <c r="F383" i="13"/>
  <c r="E383" i="13"/>
  <c r="D383" i="13"/>
  <c r="C383" i="13"/>
  <c r="B383" i="13"/>
  <c r="N382" i="13"/>
  <c r="M382" i="13"/>
  <c r="L382" i="13"/>
  <c r="K382" i="13"/>
  <c r="J382" i="13"/>
  <c r="I382" i="13"/>
  <c r="H382" i="13"/>
  <c r="G382" i="13"/>
  <c r="F382" i="13"/>
  <c r="E382" i="13"/>
  <c r="D382" i="13"/>
  <c r="C382" i="13"/>
  <c r="B382" i="13"/>
  <c r="B381" i="13"/>
  <c r="N381" i="13"/>
  <c r="M381" i="13"/>
  <c r="L381" i="13"/>
  <c r="K381" i="13"/>
  <c r="J381" i="13"/>
  <c r="I381" i="13"/>
  <c r="H381" i="13"/>
  <c r="G381" i="13"/>
  <c r="F381" i="13"/>
  <c r="E381" i="13"/>
  <c r="D381" i="13"/>
  <c r="C381" i="13"/>
  <c r="B380" i="13"/>
  <c r="N380" i="13"/>
  <c r="M380" i="13"/>
  <c r="L380" i="13"/>
  <c r="K380" i="13"/>
  <c r="J380" i="13"/>
  <c r="I380" i="13"/>
  <c r="H380" i="13"/>
  <c r="G380" i="13"/>
  <c r="F380" i="13"/>
  <c r="E380" i="13"/>
  <c r="D380" i="13"/>
  <c r="C380" i="13"/>
  <c r="J379" i="13"/>
  <c r="M379" i="13"/>
  <c r="L379" i="13"/>
  <c r="K379" i="13"/>
  <c r="I379" i="13"/>
  <c r="H379" i="13"/>
  <c r="G379" i="13"/>
  <c r="F379" i="13"/>
  <c r="E379" i="13"/>
  <c r="D379" i="13"/>
  <c r="C379" i="13"/>
  <c r="B379" i="13"/>
  <c r="N379" i="13"/>
  <c r="N378" i="13"/>
  <c r="M378" i="13"/>
  <c r="L378" i="13"/>
  <c r="K378" i="13"/>
  <c r="J378" i="13"/>
  <c r="I378" i="13"/>
  <c r="H378" i="13"/>
  <c r="G378" i="13"/>
  <c r="F378" i="13"/>
  <c r="B378" i="13"/>
  <c r="E378" i="13"/>
  <c r="D378" i="13"/>
  <c r="C378" i="13"/>
  <c r="L377" i="13"/>
  <c r="F377" i="13"/>
  <c r="D377" i="13"/>
  <c r="C377" i="13"/>
  <c r="B377" i="13"/>
  <c r="G377" i="13"/>
  <c r="E377" i="13"/>
  <c r="M377" i="13"/>
  <c r="N377" i="13"/>
  <c r="K377" i="13"/>
  <c r="J377" i="13"/>
  <c r="I377" i="13"/>
  <c r="H377" i="13"/>
  <c r="N376" i="13"/>
  <c r="L376" i="13"/>
  <c r="K376" i="13"/>
  <c r="J376" i="13"/>
  <c r="I376" i="13"/>
  <c r="H376" i="13"/>
  <c r="M376" i="13"/>
  <c r="F376" i="13"/>
  <c r="E376" i="13"/>
  <c r="D376" i="13"/>
  <c r="C376" i="13"/>
  <c r="B376" i="13"/>
  <c r="G376" i="13"/>
  <c r="F375" i="13"/>
  <c r="B375" i="13"/>
  <c r="D375" i="13"/>
  <c r="E375" i="13"/>
  <c r="G375" i="13"/>
  <c r="H375" i="13"/>
  <c r="I375" i="13"/>
  <c r="J375" i="13"/>
  <c r="K375" i="13"/>
  <c r="L375" i="13"/>
  <c r="M375" i="13"/>
  <c r="N375" i="13"/>
  <c r="C375" i="13"/>
  <c r="M374" i="13"/>
  <c r="B374" i="13"/>
  <c r="C374" i="13"/>
  <c r="D374" i="13"/>
  <c r="E374" i="13"/>
  <c r="F374" i="13"/>
  <c r="G374" i="13"/>
  <c r="H374" i="13"/>
  <c r="I374" i="13"/>
  <c r="J374" i="13"/>
  <c r="K374" i="13"/>
  <c r="L374" i="13"/>
  <c r="N374" i="13"/>
  <c r="N373" i="13"/>
  <c r="M373" i="13"/>
  <c r="J373" i="13"/>
  <c r="L373" i="13"/>
  <c r="B373" i="13"/>
  <c r="C373" i="13"/>
  <c r="K373" i="13"/>
  <c r="D373" i="13"/>
  <c r="E373" i="13"/>
  <c r="F373" i="13"/>
  <c r="G373" i="13"/>
  <c r="H373" i="13"/>
  <c r="I373" i="13"/>
  <c r="N372" i="13"/>
  <c r="L372" i="13"/>
  <c r="J372" i="13"/>
  <c r="I372" i="13"/>
  <c r="H372" i="13"/>
  <c r="G372" i="13"/>
  <c r="F372" i="13"/>
  <c r="E372" i="13"/>
  <c r="D372" i="13"/>
  <c r="C372" i="13"/>
  <c r="M372" i="13"/>
  <c r="B372" i="13"/>
  <c r="K372" i="13"/>
  <c r="L371" i="13"/>
  <c r="K371" i="13"/>
  <c r="J371" i="13"/>
  <c r="I371" i="13"/>
  <c r="H371" i="13"/>
  <c r="G371" i="13"/>
  <c r="F371" i="13"/>
  <c r="B371" i="13"/>
  <c r="D371" i="13"/>
  <c r="E371" i="13"/>
  <c r="N371" i="13"/>
  <c r="C371" i="13"/>
  <c r="M371" i="13"/>
  <c r="N370" i="13"/>
  <c r="I370" i="13"/>
  <c r="M370" i="13"/>
  <c r="L370" i="13"/>
  <c r="K370" i="13"/>
  <c r="J370" i="13"/>
  <c r="G370" i="13"/>
  <c r="F370" i="13"/>
  <c r="E370" i="13"/>
  <c r="D370" i="13"/>
  <c r="C370" i="13"/>
  <c r="B370" i="13"/>
  <c r="H370" i="13"/>
  <c r="M369" i="13"/>
  <c r="L369" i="13"/>
  <c r="K369" i="13"/>
  <c r="I369" i="13"/>
  <c r="H369" i="13"/>
  <c r="G369" i="13"/>
  <c r="F369" i="13"/>
  <c r="E369" i="13"/>
  <c r="D369" i="13"/>
  <c r="C369" i="13"/>
  <c r="B369" i="13"/>
  <c r="J369" i="13"/>
  <c r="N369" i="13"/>
  <c r="E368" i="13"/>
  <c r="D368" i="13"/>
  <c r="F368" i="13"/>
  <c r="G368" i="13"/>
  <c r="H368" i="13"/>
  <c r="I368" i="13"/>
  <c r="J368" i="13"/>
  <c r="L368" i="13"/>
  <c r="C368" i="13"/>
  <c r="N368" i="13"/>
  <c r="M368" i="13"/>
  <c r="B368" i="13"/>
  <c r="K368" i="13"/>
  <c r="M367" i="13"/>
  <c r="L367" i="13"/>
  <c r="K367" i="13"/>
  <c r="J367" i="13"/>
  <c r="I367" i="13"/>
  <c r="H367" i="13"/>
  <c r="G367" i="13"/>
  <c r="F367" i="13"/>
  <c r="E367" i="13"/>
  <c r="D367" i="13"/>
  <c r="C367" i="13"/>
  <c r="B367" i="13"/>
  <c r="N367" i="13"/>
  <c r="I366" i="13"/>
  <c r="J366" i="13"/>
  <c r="K366" i="13"/>
  <c r="L366" i="13"/>
  <c r="M366" i="13"/>
  <c r="N366" i="13"/>
  <c r="B366" i="13"/>
  <c r="C366" i="13"/>
  <c r="D366" i="13"/>
  <c r="E366" i="13"/>
  <c r="F366" i="13"/>
  <c r="G366" i="13"/>
  <c r="H366" i="13"/>
  <c r="M365" i="13"/>
  <c r="L365" i="13"/>
  <c r="K365" i="13"/>
  <c r="N365" i="13"/>
  <c r="J365" i="13"/>
  <c r="I365" i="13"/>
  <c r="H365" i="13"/>
  <c r="G365" i="13"/>
  <c r="F365" i="13"/>
  <c r="E365" i="13"/>
  <c r="D365" i="13"/>
  <c r="C365" i="13"/>
  <c r="B365" i="13"/>
  <c r="B364" i="13"/>
  <c r="C364" i="13"/>
  <c r="D364" i="13"/>
  <c r="E364" i="13"/>
  <c r="K364" i="13"/>
  <c r="I364" i="13"/>
  <c r="F364" i="13"/>
  <c r="H364" i="13"/>
  <c r="G364" i="13"/>
  <c r="J364" i="13"/>
  <c r="N364" i="13"/>
  <c r="L364" i="13"/>
  <c r="M364" i="13"/>
  <c r="I363" i="13"/>
  <c r="B363" i="13"/>
  <c r="C363" i="13"/>
  <c r="D363" i="13"/>
  <c r="E363" i="13"/>
  <c r="H363" i="13"/>
  <c r="G363" i="13"/>
  <c r="F363" i="13"/>
  <c r="N363" i="13"/>
  <c r="M363" i="13"/>
  <c r="L363" i="13"/>
  <c r="K363" i="13"/>
  <c r="J363" i="13"/>
  <c r="G362" i="13"/>
  <c r="C362" i="13"/>
  <c r="K362" i="13"/>
  <c r="N362" i="13"/>
  <c r="M362" i="13"/>
  <c r="L362" i="13"/>
  <c r="J362" i="13"/>
  <c r="I362" i="13"/>
  <c r="H362" i="13"/>
  <c r="F362" i="13"/>
  <c r="E362" i="13"/>
  <c r="D362" i="13"/>
  <c r="B362" i="13"/>
  <c r="H361" i="13"/>
  <c r="C361" i="13"/>
  <c r="I361" i="13"/>
  <c r="K361" i="13"/>
  <c r="L361" i="13"/>
  <c r="M361" i="13"/>
  <c r="N361" i="13"/>
  <c r="B361" i="13"/>
  <c r="J361" i="13"/>
  <c r="D361" i="13"/>
  <c r="E361" i="13"/>
  <c r="F361" i="13"/>
  <c r="G361" i="13"/>
  <c r="E360" i="13"/>
  <c r="K360" i="13"/>
  <c r="D360" i="13"/>
  <c r="C360" i="13"/>
  <c r="B360" i="13"/>
  <c r="H360" i="13"/>
  <c r="J360" i="13"/>
  <c r="I360" i="13"/>
  <c r="G360" i="13"/>
  <c r="F360" i="13"/>
  <c r="G359" i="13"/>
  <c r="C359" i="13"/>
  <c r="I359" i="13"/>
  <c r="J359" i="13"/>
  <c r="L359" i="13"/>
  <c r="M359" i="13"/>
  <c r="N359" i="13"/>
  <c r="B359" i="13"/>
  <c r="D359" i="13"/>
  <c r="E359" i="13"/>
  <c r="F359" i="13"/>
  <c r="K359" i="13"/>
  <c r="H359" i="13"/>
  <c r="L358" i="13"/>
  <c r="K358" i="13"/>
  <c r="J358" i="13"/>
  <c r="B358" i="13"/>
  <c r="I358" i="13"/>
  <c r="H358" i="13"/>
  <c r="G358" i="13"/>
  <c r="F358" i="13"/>
  <c r="E358" i="13"/>
  <c r="D358" i="13"/>
  <c r="C358" i="13"/>
  <c r="M358" i="13"/>
  <c r="N358" i="13"/>
  <c r="B357" i="13"/>
  <c r="C357" i="13"/>
  <c r="D357" i="13"/>
  <c r="E357" i="13"/>
  <c r="F357" i="13"/>
  <c r="H357" i="13"/>
  <c r="G357" i="13"/>
  <c r="N357" i="13"/>
  <c r="I357" i="13"/>
  <c r="J357" i="13"/>
  <c r="K357" i="13"/>
  <c r="L357" i="13"/>
  <c r="M357" i="13"/>
  <c r="E356" i="13"/>
  <c r="F356" i="13"/>
  <c r="G356" i="13"/>
  <c r="H356" i="13"/>
  <c r="C356" i="13"/>
  <c r="D356" i="13"/>
  <c r="M356" i="13"/>
  <c r="B356" i="13"/>
  <c r="N356" i="13"/>
  <c r="L356" i="13"/>
  <c r="K356" i="13"/>
  <c r="J356" i="13"/>
  <c r="I356" i="13"/>
  <c r="C355" i="13"/>
  <c r="K355" i="13"/>
  <c r="N355" i="13"/>
  <c r="M355" i="13"/>
  <c r="L355" i="13"/>
  <c r="D355" i="13"/>
  <c r="J355" i="13"/>
  <c r="I355" i="13"/>
  <c r="H355" i="13"/>
  <c r="G355" i="13"/>
  <c r="F355" i="13"/>
  <c r="B355" i="13"/>
  <c r="E355" i="13"/>
  <c r="N354" i="13"/>
  <c r="E354" i="13"/>
  <c r="B354" i="13"/>
  <c r="C354" i="13"/>
  <c r="D354" i="13"/>
  <c r="F354" i="13"/>
  <c r="G354" i="13"/>
  <c r="H354" i="13"/>
  <c r="I354" i="13"/>
  <c r="J354" i="13"/>
  <c r="K354" i="13"/>
  <c r="L354" i="13"/>
  <c r="M354" i="13"/>
  <c r="K353" i="13"/>
  <c r="E353" i="13"/>
  <c r="D353" i="13"/>
  <c r="C353" i="13"/>
  <c r="N353" i="13"/>
  <c r="L353" i="13"/>
  <c r="B353" i="13"/>
  <c r="M353" i="13"/>
  <c r="J353" i="13"/>
  <c r="I353" i="13"/>
  <c r="H353" i="13"/>
  <c r="G353" i="13"/>
  <c r="F353" i="13"/>
  <c r="K352" i="13"/>
  <c r="C352" i="13"/>
  <c r="B352" i="13"/>
  <c r="M352" i="13"/>
  <c r="L352" i="13"/>
  <c r="N352" i="13"/>
  <c r="J352" i="13"/>
  <c r="I352" i="13"/>
  <c r="H352" i="13"/>
  <c r="G352" i="13"/>
  <c r="F352" i="13"/>
  <c r="E352" i="13"/>
  <c r="D352" i="13"/>
  <c r="F351" i="13"/>
  <c r="B351" i="13"/>
  <c r="C351" i="13"/>
  <c r="D351" i="13"/>
  <c r="E351" i="13"/>
  <c r="G351" i="13"/>
  <c r="H351" i="13"/>
  <c r="I351" i="13"/>
  <c r="J351" i="13"/>
  <c r="K351" i="13"/>
  <c r="L351" i="13"/>
  <c r="M351" i="13"/>
  <c r="N351" i="13"/>
  <c r="I350" i="13"/>
  <c r="N350" i="13"/>
  <c r="M350" i="13"/>
  <c r="L350" i="13"/>
  <c r="K350" i="13"/>
  <c r="J350" i="13"/>
  <c r="H350" i="13"/>
  <c r="G350" i="13"/>
  <c r="F350" i="13"/>
  <c r="E350" i="13"/>
  <c r="D350" i="13"/>
  <c r="C350" i="13"/>
  <c r="B350" i="13"/>
  <c r="D349" i="13"/>
  <c r="C349" i="13"/>
  <c r="B349" i="13"/>
  <c r="N349" i="13"/>
  <c r="L349" i="13"/>
  <c r="K349" i="13"/>
  <c r="J349" i="13"/>
  <c r="I349" i="13"/>
  <c r="H349" i="13"/>
  <c r="G349" i="13"/>
  <c r="F349" i="13"/>
  <c r="E349" i="13"/>
  <c r="M349" i="13"/>
  <c r="F348" i="13"/>
  <c r="E348" i="13"/>
  <c r="K348" i="13"/>
  <c r="B348" i="13"/>
  <c r="D348" i="13"/>
  <c r="N348" i="13"/>
  <c r="M348" i="13"/>
  <c r="L348" i="13"/>
  <c r="J348" i="13"/>
  <c r="I348" i="13"/>
  <c r="H348" i="13"/>
  <c r="G348" i="13"/>
  <c r="C348" i="13"/>
  <c r="H347" i="13"/>
  <c r="I347" i="13"/>
  <c r="J347" i="13"/>
  <c r="K347" i="13"/>
  <c r="L347" i="13"/>
  <c r="M347" i="13"/>
  <c r="N347" i="13"/>
  <c r="E347" i="13"/>
  <c r="B347" i="13"/>
  <c r="C347" i="13"/>
  <c r="D347" i="13"/>
  <c r="F347" i="13"/>
  <c r="G347" i="13"/>
  <c r="D346" i="13"/>
  <c r="B346" i="13"/>
  <c r="K346" i="13"/>
  <c r="E346" i="13"/>
  <c r="F346" i="13"/>
  <c r="G346" i="13"/>
  <c r="H346" i="13"/>
  <c r="I346" i="13"/>
  <c r="J346" i="13"/>
  <c r="L346" i="13"/>
  <c r="M346" i="13"/>
  <c r="N346" i="13"/>
  <c r="C346" i="13"/>
  <c r="J345" i="13"/>
  <c r="K345" i="13"/>
  <c r="L345" i="13"/>
  <c r="M345" i="13"/>
  <c r="N345" i="13"/>
  <c r="E345" i="13"/>
  <c r="F345" i="13"/>
  <c r="G345" i="13"/>
  <c r="H345" i="13"/>
  <c r="I345" i="13"/>
  <c r="C345" i="13"/>
  <c r="D345" i="13"/>
  <c r="B345" i="13"/>
  <c r="I344" i="13"/>
  <c r="J344" i="13"/>
  <c r="K344" i="13"/>
  <c r="L344" i="13"/>
  <c r="M344" i="13"/>
  <c r="N344" i="13"/>
  <c r="F344" i="13"/>
  <c r="B344" i="13"/>
  <c r="C344" i="13"/>
  <c r="D344" i="13"/>
  <c r="E344" i="13"/>
  <c r="G344" i="13"/>
  <c r="H344" i="13"/>
  <c r="L343" i="13"/>
  <c r="C343" i="13"/>
  <c r="N343" i="13"/>
  <c r="H343" i="13"/>
  <c r="G343" i="13"/>
  <c r="F343" i="13"/>
  <c r="M343" i="13"/>
  <c r="E343" i="13"/>
  <c r="D343" i="13"/>
  <c r="B343" i="13"/>
  <c r="J343" i="13"/>
  <c r="I343" i="13"/>
  <c r="K343" i="13"/>
  <c r="L342" i="13"/>
  <c r="N342" i="13"/>
  <c r="M342" i="13"/>
  <c r="B342" i="13"/>
  <c r="C342" i="13"/>
  <c r="D342" i="13"/>
  <c r="E342" i="13"/>
  <c r="F342" i="13"/>
  <c r="G342" i="13"/>
  <c r="H342" i="13"/>
  <c r="I342" i="13"/>
  <c r="J342" i="13"/>
  <c r="K342" i="13"/>
  <c r="J341" i="13"/>
  <c r="K341" i="13"/>
  <c r="L341" i="13"/>
  <c r="M341" i="13"/>
  <c r="N341" i="13"/>
  <c r="F341" i="13"/>
  <c r="I341" i="13"/>
  <c r="B341" i="13"/>
  <c r="C341" i="13"/>
  <c r="D341" i="13"/>
  <c r="E341" i="13"/>
  <c r="G341" i="13"/>
  <c r="H341" i="13"/>
  <c r="B340" i="13"/>
  <c r="H340" i="13"/>
  <c r="N340" i="13"/>
  <c r="M340" i="13"/>
  <c r="L340" i="13"/>
  <c r="K340" i="13"/>
  <c r="J340" i="13"/>
  <c r="I340" i="13"/>
  <c r="G340" i="13"/>
  <c r="F340" i="13"/>
  <c r="E340" i="13"/>
  <c r="D340" i="13"/>
  <c r="C340" i="13"/>
  <c r="H339" i="13"/>
  <c r="N339" i="13"/>
  <c r="M339" i="13"/>
  <c r="L339" i="13"/>
  <c r="K339" i="13"/>
  <c r="J339" i="13"/>
  <c r="I339" i="13"/>
  <c r="G339" i="13"/>
  <c r="B339" i="13"/>
  <c r="C339" i="13"/>
  <c r="D339" i="13"/>
  <c r="E339" i="13"/>
  <c r="F339" i="13"/>
  <c r="H338" i="13"/>
  <c r="I338" i="13"/>
  <c r="J338" i="13"/>
  <c r="K338" i="13"/>
  <c r="L338" i="13"/>
  <c r="M338" i="13"/>
  <c r="N338" i="13"/>
  <c r="C338" i="13"/>
  <c r="D338" i="13"/>
  <c r="E338" i="13"/>
  <c r="B338" i="13"/>
  <c r="G338" i="13"/>
  <c r="F338" i="13"/>
  <c r="H337" i="13"/>
  <c r="I337" i="13"/>
  <c r="J337" i="13"/>
  <c r="L337" i="13"/>
  <c r="M337" i="13"/>
  <c r="N337" i="13"/>
  <c r="K337" i="13"/>
  <c r="B337" i="13"/>
  <c r="C337" i="13"/>
  <c r="D337" i="13"/>
  <c r="E337" i="13"/>
  <c r="F337" i="13"/>
  <c r="G337" i="13"/>
  <c r="H336" i="13"/>
  <c r="I336" i="13"/>
  <c r="J336" i="13"/>
  <c r="K336" i="13"/>
  <c r="L336" i="13"/>
  <c r="M336" i="13"/>
  <c r="N336" i="13"/>
  <c r="C336" i="13"/>
  <c r="D336" i="13"/>
  <c r="E336" i="13"/>
  <c r="F336" i="13"/>
  <c r="G336" i="13"/>
  <c r="B336" i="13"/>
  <c r="L335" i="13"/>
  <c r="K335" i="13"/>
  <c r="J335" i="13"/>
  <c r="I335" i="13"/>
  <c r="H335" i="13"/>
  <c r="G335" i="13"/>
  <c r="M335" i="13"/>
  <c r="C335" i="13"/>
  <c r="D335" i="13"/>
  <c r="F335" i="13"/>
  <c r="E335" i="13"/>
  <c r="B335" i="13"/>
  <c r="N335" i="13"/>
  <c r="L334" i="13"/>
  <c r="K334" i="13"/>
  <c r="J334" i="13"/>
  <c r="I334" i="13"/>
  <c r="H334" i="13"/>
  <c r="G334" i="13"/>
  <c r="F334" i="13"/>
  <c r="E334" i="13"/>
  <c r="D334" i="13"/>
  <c r="B334" i="13"/>
  <c r="N334" i="13"/>
  <c r="M334" i="13"/>
  <c r="C334" i="13"/>
  <c r="K333" i="13"/>
  <c r="L333" i="13"/>
  <c r="M333" i="13"/>
  <c r="N333" i="13"/>
  <c r="B333" i="13"/>
  <c r="C333" i="13"/>
  <c r="D333" i="13"/>
  <c r="E333" i="13"/>
  <c r="F333" i="13"/>
  <c r="G333" i="13"/>
  <c r="H333" i="13"/>
  <c r="I333" i="13"/>
  <c r="J333" i="13"/>
  <c r="M332" i="13"/>
  <c r="F332" i="13"/>
  <c r="D332" i="13"/>
  <c r="N332" i="13"/>
  <c r="L332" i="13"/>
  <c r="G332" i="13"/>
  <c r="K332" i="13"/>
  <c r="H332" i="13"/>
  <c r="I332" i="13"/>
  <c r="J332" i="13"/>
  <c r="B332" i="13"/>
  <c r="C332" i="13"/>
  <c r="E332" i="13"/>
  <c r="C331" i="13"/>
  <c r="B331" i="13"/>
  <c r="D331" i="13"/>
  <c r="E331" i="13"/>
  <c r="F331" i="13"/>
  <c r="G331" i="13"/>
  <c r="H331" i="13"/>
  <c r="I331" i="13"/>
  <c r="J331" i="13"/>
  <c r="K331" i="13"/>
  <c r="L331" i="13"/>
  <c r="M331" i="13"/>
  <c r="N331" i="13"/>
  <c r="K330" i="13"/>
  <c r="N330" i="13"/>
  <c r="J330" i="13"/>
  <c r="M330" i="13"/>
  <c r="L330" i="13"/>
  <c r="H330" i="13"/>
  <c r="I330" i="13"/>
  <c r="F330" i="13"/>
  <c r="G330" i="13"/>
  <c r="E330" i="13"/>
  <c r="D330" i="13"/>
  <c r="B330" i="13"/>
  <c r="C330" i="13"/>
  <c r="E329" i="13"/>
  <c r="C329" i="13"/>
  <c r="B329" i="13"/>
  <c r="D329" i="13"/>
  <c r="N329" i="13"/>
  <c r="M329" i="13"/>
  <c r="L329" i="13"/>
  <c r="K329" i="13"/>
  <c r="J329" i="13"/>
  <c r="I329" i="13"/>
  <c r="H329" i="13"/>
  <c r="G329" i="13"/>
  <c r="F329" i="13"/>
  <c r="I328" i="13"/>
  <c r="J328" i="13"/>
  <c r="K328" i="13"/>
  <c r="L328" i="13"/>
  <c r="M328" i="13"/>
  <c r="N328" i="13"/>
  <c r="C328" i="13"/>
  <c r="B328" i="13"/>
  <c r="D328" i="13"/>
  <c r="E328" i="13"/>
  <c r="F328" i="13"/>
  <c r="G328" i="13"/>
  <c r="H328" i="13"/>
  <c r="D327" i="13"/>
  <c r="B327" i="13"/>
  <c r="C327" i="13"/>
  <c r="E327" i="13"/>
  <c r="F327" i="13"/>
  <c r="G327" i="13"/>
  <c r="H327" i="13"/>
  <c r="I327" i="13"/>
  <c r="J327" i="13"/>
  <c r="K327" i="13"/>
  <c r="L327" i="13"/>
  <c r="M327" i="13"/>
  <c r="N327" i="13"/>
  <c r="K326" i="13"/>
  <c r="J326" i="13"/>
  <c r="I326" i="13"/>
  <c r="H326" i="13"/>
  <c r="G326" i="13"/>
  <c r="L326" i="13"/>
  <c r="D326" i="13"/>
  <c r="M326" i="13"/>
  <c r="B326" i="13"/>
  <c r="C326" i="13"/>
  <c r="N326" i="13"/>
  <c r="E326" i="13"/>
  <c r="F326" i="13"/>
  <c r="G325" i="13"/>
  <c r="D325" i="13"/>
  <c r="E325" i="13"/>
  <c r="N325" i="13"/>
  <c r="F325" i="13"/>
  <c r="H325" i="13"/>
  <c r="I325" i="13"/>
  <c r="J325" i="13"/>
  <c r="K325" i="13"/>
  <c r="L325" i="13"/>
  <c r="B325" i="13"/>
  <c r="C325" i="13"/>
  <c r="M325" i="13"/>
  <c r="J324" i="13"/>
  <c r="C324" i="13"/>
  <c r="B324" i="13"/>
  <c r="N324" i="13"/>
  <c r="L324" i="13"/>
  <c r="H324" i="13"/>
  <c r="I324" i="13"/>
  <c r="K324" i="13"/>
  <c r="D324" i="13"/>
  <c r="M324" i="13"/>
  <c r="G324" i="13"/>
  <c r="F324" i="13"/>
  <c r="E324" i="13"/>
  <c r="E323" i="13"/>
  <c r="D323" i="13"/>
  <c r="C323" i="13"/>
  <c r="B323" i="13"/>
  <c r="N323" i="13"/>
  <c r="M323" i="13"/>
  <c r="L323" i="13"/>
  <c r="K323" i="13"/>
  <c r="J323" i="13"/>
  <c r="I323" i="13"/>
  <c r="H323" i="13"/>
  <c r="G323" i="13"/>
  <c r="F323" i="13"/>
  <c r="J322" i="13"/>
  <c r="N322" i="13"/>
  <c r="L322" i="13"/>
  <c r="K322" i="13"/>
  <c r="M322" i="13"/>
  <c r="H322" i="13"/>
  <c r="I322" i="13"/>
  <c r="G322" i="13"/>
  <c r="F322" i="13"/>
  <c r="E322" i="13"/>
  <c r="D322" i="13"/>
  <c r="C322" i="13"/>
  <c r="B322" i="13"/>
  <c r="D321" i="13"/>
  <c r="E321" i="13"/>
  <c r="F321" i="13"/>
  <c r="G321" i="13"/>
  <c r="H321" i="13"/>
  <c r="I321" i="13"/>
  <c r="N321" i="13"/>
  <c r="M321" i="13"/>
  <c r="L321" i="13"/>
  <c r="K321" i="13"/>
  <c r="B321" i="13"/>
  <c r="J321" i="13"/>
  <c r="C321" i="13"/>
  <c r="N320" i="13"/>
  <c r="M320" i="13"/>
  <c r="L320" i="13"/>
  <c r="K320" i="13"/>
  <c r="J320" i="13"/>
  <c r="I320" i="13"/>
  <c r="H320" i="13"/>
  <c r="G320" i="13"/>
  <c r="F320" i="13"/>
  <c r="E320" i="13"/>
  <c r="D320" i="13"/>
  <c r="C320" i="13"/>
  <c r="B320" i="13"/>
  <c r="D319" i="13"/>
  <c r="C319" i="13"/>
  <c r="B319" i="13"/>
  <c r="M319" i="13"/>
  <c r="E319" i="13"/>
  <c r="N319" i="13"/>
  <c r="L319" i="13"/>
  <c r="K319" i="13"/>
  <c r="J319" i="13"/>
  <c r="I319" i="13"/>
  <c r="H319" i="13"/>
  <c r="G319" i="13"/>
  <c r="F319" i="13"/>
  <c r="K318" i="13"/>
  <c r="L318" i="13"/>
  <c r="M318" i="13"/>
  <c r="B318" i="13"/>
  <c r="J318" i="13"/>
  <c r="C318" i="13"/>
  <c r="D318" i="13"/>
  <c r="E318" i="13"/>
  <c r="F318" i="13"/>
  <c r="G318" i="13"/>
  <c r="H318" i="13"/>
  <c r="I318" i="13"/>
  <c r="N318" i="13"/>
  <c r="H317" i="13"/>
  <c r="I317" i="13"/>
  <c r="J317" i="13"/>
  <c r="K317" i="13"/>
  <c r="L317" i="13"/>
  <c r="N317" i="13"/>
  <c r="M317" i="13"/>
  <c r="B317" i="13"/>
  <c r="C317" i="13"/>
  <c r="D317" i="13"/>
  <c r="E317" i="13"/>
  <c r="F317" i="13"/>
  <c r="G317" i="13"/>
  <c r="K316" i="13"/>
  <c r="D316" i="13"/>
  <c r="E316" i="13"/>
  <c r="F316" i="13"/>
  <c r="G316" i="13"/>
  <c r="H316" i="13"/>
  <c r="N316" i="13"/>
  <c r="M316" i="13"/>
  <c r="L316" i="13"/>
  <c r="B316" i="13"/>
  <c r="C316" i="13"/>
  <c r="J316" i="13"/>
  <c r="I316" i="13"/>
  <c r="I315" i="13"/>
  <c r="J315" i="13"/>
  <c r="K315" i="13"/>
  <c r="L315" i="13"/>
  <c r="M315" i="13"/>
  <c r="N315" i="13"/>
  <c r="F315" i="13"/>
  <c r="G315" i="13"/>
  <c r="H315" i="13"/>
  <c r="B315" i="13"/>
  <c r="C315" i="13"/>
  <c r="D315" i="13"/>
  <c r="E315" i="13"/>
  <c r="G314" i="13"/>
  <c r="H314" i="13"/>
  <c r="I314" i="13"/>
  <c r="J314" i="13"/>
  <c r="K314" i="13"/>
  <c r="B314" i="13"/>
  <c r="C314" i="13"/>
  <c r="N314" i="13"/>
  <c r="M314" i="13"/>
  <c r="D314" i="13"/>
  <c r="E314" i="13"/>
  <c r="F314" i="13"/>
  <c r="L314" i="13"/>
  <c r="B313" i="13"/>
  <c r="J313" i="13"/>
  <c r="N313" i="13"/>
  <c r="M313" i="13"/>
  <c r="L313" i="13"/>
  <c r="K313" i="13"/>
  <c r="I313" i="13"/>
  <c r="H313" i="13"/>
  <c r="G313" i="13"/>
  <c r="F313" i="13"/>
  <c r="E313" i="13"/>
  <c r="D313" i="13"/>
  <c r="C313" i="13"/>
  <c r="N312" i="13"/>
  <c r="M312" i="13"/>
  <c r="L312" i="13"/>
  <c r="K312" i="13"/>
  <c r="J312" i="13"/>
  <c r="I312" i="13"/>
  <c r="H312" i="13"/>
  <c r="G312" i="13"/>
  <c r="F312" i="13"/>
  <c r="E312" i="13"/>
  <c r="D312" i="13"/>
  <c r="C312" i="13"/>
  <c r="B312" i="13"/>
  <c r="G311" i="13"/>
  <c r="F311" i="13"/>
  <c r="H311" i="13"/>
  <c r="E311" i="13"/>
  <c r="D311" i="13"/>
  <c r="C311" i="13"/>
  <c r="B311" i="13"/>
  <c r="I311" i="13"/>
  <c r="N311" i="13"/>
  <c r="M311" i="13"/>
  <c r="L311" i="13"/>
  <c r="K311" i="13"/>
  <c r="J311" i="13"/>
  <c r="E310" i="13"/>
  <c r="N310" i="13"/>
  <c r="M310" i="13"/>
  <c r="L310" i="13"/>
  <c r="K310" i="13"/>
  <c r="J310" i="13"/>
  <c r="I310" i="13"/>
  <c r="H310" i="13"/>
  <c r="G310" i="13"/>
  <c r="F310" i="13"/>
  <c r="D310" i="13"/>
  <c r="C310" i="13"/>
  <c r="B310" i="13"/>
  <c r="C309" i="13"/>
  <c r="N309" i="13"/>
  <c r="M309" i="13"/>
  <c r="K309" i="13"/>
  <c r="J309" i="13"/>
  <c r="I309" i="13"/>
  <c r="H309" i="13"/>
  <c r="G309" i="13"/>
  <c r="F309" i="13"/>
  <c r="E309" i="13"/>
  <c r="D309" i="13"/>
  <c r="L309" i="13"/>
  <c r="B309" i="13"/>
  <c r="B308" i="13"/>
  <c r="F308" i="13"/>
  <c r="N308" i="13"/>
  <c r="M308" i="13"/>
  <c r="L308" i="13"/>
  <c r="K308" i="13"/>
  <c r="J308" i="13"/>
  <c r="I308" i="13"/>
  <c r="H308" i="13"/>
  <c r="G308" i="13"/>
  <c r="E308" i="13"/>
  <c r="D308" i="13"/>
  <c r="C308" i="13"/>
  <c r="J307" i="13"/>
  <c r="C307" i="13"/>
  <c r="B307" i="13"/>
  <c r="E307" i="13"/>
  <c r="K307" i="13"/>
  <c r="L307" i="13"/>
  <c r="M307" i="13"/>
  <c r="F307" i="13"/>
  <c r="G307" i="13"/>
  <c r="H307" i="13"/>
  <c r="I307" i="13"/>
  <c r="D307" i="13"/>
  <c r="N307" i="13"/>
  <c r="M306" i="13"/>
  <c r="B306" i="13"/>
  <c r="C306" i="13"/>
  <c r="D306" i="13"/>
  <c r="E306" i="13"/>
  <c r="F306" i="13"/>
  <c r="G306" i="13"/>
  <c r="H306" i="13"/>
  <c r="I306" i="13"/>
  <c r="J306" i="13"/>
  <c r="L306" i="13"/>
  <c r="N306" i="13"/>
  <c r="K306" i="13"/>
  <c r="C305" i="13"/>
  <c r="L305" i="13"/>
  <c r="M305" i="13"/>
  <c r="B305" i="13"/>
  <c r="N305" i="13"/>
  <c r="K305" i="13"/>
  <c r="J305" i="13"/>
  <c r="I305" i="13"/>
  <c r="H305" i="13"/>
  <c r="G305" i="13"/>
  <c r="F305" i="13"/>
  <c r="E305" i="13"/>
  <c r="D305" i="13"/>
  <c r="F304" i="13"/>
  <c r="H304" i="13"/>
  <c r="B304" i="13"/>
  <c r="N304" i="13"/>
  <c r="M304" i="13"/>
  <c r="L304" i="13"/>
  <c r="K304" i="13"/>
  <c r="J304" i="13"/>
  <c r="C304" i="13"/>
  <c r="D304" i="13"/>
  <c r="E304" i="13"/>
  <c r="G304" i="13"/>
  <c r="I304" i="13"/>
  <c r="N303" i="13"/>
  <c r="M303" i="13"/>
  <c r="K303" i="13"/>
  <c r="J303" i="13"/>
  <c r="I303" i="13"/>
  <c r="H303" i="13"/>
  <c r="G303" i="13"/>
  <c r="F303" i="13"/>
  <c r="E303" i="13"/>
  <c r="D303" i="13"/>
  <c r="C303" i="13"/>
  <c r="B303" i="13"/>
  <c r="L303" i="13"/>
  <c r="M302" i="13"/>
  <c r="L302" i="13"/>
  <c r="K302" i="13"/>
  <c r="J302" i="13"/>
  <c r="I302" i="13"/>
  <c r="H302" i="13"/>
  <c r="G302" i="13"/>
  <c r="E302" i="13"/>
  <c r="D302" i="13"/>
  <c r="C302" i="13"/>
  <c r="B302" i="13"/>
  <c r="N302" i="13"/>
  <c r="F302" i="13"/>
  <c r="G301" i="13"/>
  <c r="H301" i="13"/>
  <c r="I301" i="13"/>
  <c r="J301" i="13"/>
  <c r="K301" i="13"/>
  <c r="L301" i="13"/>
  <c r="M301" i="13"/>
  <c r="N301" i="13"/>
  <c r="B301" i="13"/>
  <c r="C301" i="13"/>
  <c r="D301" i="13"/>
  <c r="E301" i="13"/>
  <c r="F301" i="13"/>
  <c r="E300" i="13"/>
  <c r="N300" i="13"/>
  <c r="D300" i="13"/>
  <c r="C300" i="13"/>
  <c r="B300" i="13"/>
  <c r="F300" i="13"/>
  <c r="G300" i="13"/>
  <c r="H300" i="13"/>
  <c r="I300" i="13"/>
  <c r="J300" i="13"/>
  <c r="K300" i="13"/>
  <c r="L300" i="13"/>
  <c r="M300" i="13"/>
  <c r="M299" i="13"/>
  <c r="L299" i="13"/>
  <c r="K299" i="13"/>
  <c r="J299" i="13"/>
  <c r="I299" i="13"/>
  <c r="H299" i="13"/>
  <c r="G299" i="13"/>
  <c r="F299" i="13"/>
  <c r="E299" i="13"/>
  <c r="C299" i="13"/>
  <c r="B299" i="13"/>
  <c r="D299" i="13"/>
  <c r="N299" i="13"/>
  <c r="N298" i="13"/>
  <c r="M298" i="13"/>
  <c r="L298" i="13"/>
  <c r="K298" i="13"/>
  <c r="J298" i="13"/>
  <c r="I298" i="13"/>
  <c r="E298" i="13"/>
  <c r="H298" i="13"/>
  <c r="G298" i="13"/>
  <c r="F298" i="13"/>
  <c r="D298" i="13"/>
  <c r="C298" i="13"/>
  <c r="B298" i="13"/>
  <c r="B297" i="13"/>
  <c r="C297" i="13"/>
  <c r="D297" i="13"/>
  <c r="E297" i="13"/>
  <c r="F297" i="13"/>
  <c r="G297" i="13"/>
  <c r="H297" i="13"/>
  <c r="I297" i="13"/>
  <c r="J297" i="13"/>
  <c r="K297" i="13"/>
  <c r="L297" i="13"/>
  <c r="M297" i="13"/>
  <c r="N297" i="13"/>
  <c r="N296" i="13"/>
  <c r="B296" i="13"/>
  <c r="C296" i="13"/>
  <c r="L296" i="13"/>
  <c r="D296" i="13"/>
  <c r="E296" i="13"/>
  <c r="F296" i="13"/>
  <c r="G296" i="13"/>
  <c r="H296" i="13"/>
  <c r="M296" i="13"/>
  <c r="I296" i="13"/>
  <c r="J296" i="13"/>
  <c r="K296" i="13"/>
  <c r="B295" i="13"/>
  <c r="H295" i="13"/>
  <c r="N295" i="13"/>
  <c r="M295" i="13"/>
  <c r="L295" i="13"/>
  <c r="K295" i="13"/>
  <c r="J295" i="13"/>
  <c r="I295" i="13"/>
  <c r="G295" i="13"/>
  <c r="F295" i="13"/>
  <c r="E295" i="13"/>
  <c r="D295" i="13"/>
  <c r="C295" i="13"/>
  <c r="F294" i="13"/>
  <c r="D294" i="13"/>
  <c r="J294" i="13"/>
  <c r="I294" i="13"/>
  <c r="K294" i="13"/>
  <c r="L294" i="13"/>
  <c r="M294" i="13"/>
  <c r="N294" i="13"/>
  <c r="H294" i="13"/>
  <c r="G294" i="13"/>
  <c r="B294" i="13"/>
  <c r="C294" i="13"/>
  <c r="E294" i="13"/>
  <c r="D293" i="13"/>
  <c r="C293" i="13"/>
  <c r="B293" i="13"/>
  <c r="F293" i="13"/>
  <c r="M293" i="13"/>
  <c r="H293" i="13"/>
  <c r="I293" i="13"/>
  <c r="J293" i="13"/>
  <c r="G293" i="13"/>
  <c r="K293" i="13"/>
  <c r="L293" i="13"/>
  <c r="N293" i="13"/>
  <c r="E293" i="13"/>
  <c r="G292" i="13"/>
  <c r="C292" i="13"/>
  <c r="D292" i="13"/>
  <c r="E292" i="13"/>
  <c r="F292" i="13"/>
  <c r="H292" i="13"/>
  <c r="I292" i="13"/>
  <c r="J292" i="13"/>
  <c r="K292" i="13"/>
  <c r="L292" i="13"/>
  <c r="N292" i="13"/>
  <c r="B292" i="13"/>
  <c r="M292" i="13"/>
  <c r="K291" i="13"/>
  <c r="F291" i="13"/>
  <c r="G291" i="13"/>
  <c r="H291" i="13"/>
  <c r="B291" i="13"/>
  <c r="C291" i="13"/>
  <c r="I291" i="13"/>
  <c r="D291" i="13"/>
  <c r="L291" i="13"/>
  <c r="M291" i="13"/>
  <c r="N291" i="13"/>
  <c r="E291" i="13"/>
  <c r="J291" i="13"/>
  <c r="N290" i="13"/>
  <c r="M290" i="13"/>
  <c r="L290" i="13"/>
  <c r="J290" i="13"/>
  <c r="I290" i="13"/>
  <c r="H290" i="13"/>
  <c r="G290" i="13"/>
  <c r="K290" i="13"/>
  <c r="F290" i="13"/>
  <c r="E290" i="13"/>
  <c r="D290" i="13"/>
  <c r="C290" i="13"/>
  <c r="B290" i="13"/>
  <c r="I289" i="13"/>
  <c r="N289" i="13"/>
  <c r="M289" i="13"/>
  <c r="L289" i="13"/>
  <c r="K289" i="13"/>
  <c r="J289" i="13"/>
  <c r="B289" i="13"/>
  <c r="D289" i="13"/>
  <c r="C289" i="13"/>
  <c r="G289" i="13"/>
  <c r="H289" i="13"/>
  <c r="E289" i="13"/>
  <c r="F289" i="13"/>
  <c r="D288" i="13"/>
  <c r="G288" i="13"/>
  <c r="F288" i="13"/>
  <c r="B288" i="13"/>
  <c r="C288" i="13"/>
  <c r="E288" i="13"/>
  <c r="J288" i="13"/>
  <c r="N288" i="13"/>
  <c r="M288" i="13"/>
  <c r="L288" i="13"/>
  <c r="K288" i="13"/>
  <c r="H288" i="13"/>
  <c r="I288" i="13"/>
  <c r="I287" i="13"/>
  <c r="K287" i="13"/>
  <c r="B287" i="13"/>
  <c r="C287" i="13"/>
  <c r="D287" i="13"/>
  <c r="E287" i="13"/>
  <c r="F287" i="13"/>
  <c r="G287" i="13"/>
  <c r="N287" i="13"/>
  <c r="H287" i="13"/>
  <c r="J287" i="13"/>
  <c r="L287" i="13"/>
  <c r="M287" i="13"/>
  <c r="H286" i="13"/>
  <c r="E286" i="13"/>
  <c r="D286" i="13"/>
  <c r="C286" i="13"/>
  <c r="B286" i="13"/>
  <c r="K286" i="13"/>
  <c r="N286" i="13"/>
  <c r="M286" i="13"/>
  <c r="J286" i="13"/>
  <c r="I286" i="13"/>
  <c r="L286" i="13"/>
  <c r="G286" i="13"/>
  <c r="F286" i="13"/>
  <c r="H285" i="13"/>
  <c r="G285" i="13"/>
  <c r="M285" i="13"/>
  <c r="E285" i="13"/>
  <c r="N285" i="13"/>
  <c r="F285" i="13"/>
  <c r="C285" i="13"/>
  <c r="B285" i="13"/>
  <c r="L285" i="13"/>
  <c r="D285" i="13"/>
  <c r="K285" i="13"/>
  <c r="J285" i="13"/>
  <c r="I285" i="13"/>
  <c r="M284" i="13"/>
  <c r="D284" i="13"/>
  <c r="E284" i="13"/>
  <c r="K284" i="13"/>
  <c r="G284" i="13"/>
  <c r="H284" i="13"/>
  <c r="N284" i="13"/>
  <c r="I284" i="13"/>
  <c r="J284" i="13"/>
  <c r="L284" i="13"/>
  <c r="B284" i="13"/>
  <c r="C284" i="13"/>
  <c r="F284" i="13"/>
  <c r="C283" i="13"/>
  <c r="D283" i="13"/>
  <c r="E283" i="13"/>
  <c r="F283" i="13"/>
  <c r="G283" i="13"/>
  <c r="H283" i="13"/>
  <c r="I283" i="13"/>
  <c r="J283" i="13"/>
  <c r="K283" i="13"/>
  <c r="B283" i="13"/>
  <c r="L283" i="13"/>
  <c r="M283" i="13"/>
  <c r="N283" i="13"/>
  <c r="M282" i="13"/>
  <c r="B282" i="13"/>
  <c r="C282" i="13"/>
  <c r="D282" i="13"/>
  <c r="F282" i="13"/>
  <c r="G282" i="13"/>
  <c r="E282" i="13"/>
  <c r="N282" i="13"/>
  <c r="H282" i="13"/>
  <c r="I282" i="13"/>
  <c r="J282" i="13"/>
  <c r="K282" i="13"/>
  <c r="L282" i="13"/>
  <c r="I281" i="13"/>
  <c r="K281" i="13"/>
  <c r="J281" i="13"/>
  <c r="F281" i="13"/>
  <c r="H281" i="13"/>
  <c r="G281" i="13"/>
  <c r="E281" i="13"/>
  <c r="D281" i="13"/>
  <c r="C281" i="13"/>
  <c r="B281" i="13"/>
  <c r="N281" i="13"/>
  <c r="M281" i="13"/>
  <c r="L281" i="13"/>
  <c r="E280" i="13"/>
  <c r="N280" i="13"/>
  <c r="J280" i="13"/>
  <c r="I280" i="13"/>
  <c r="G280" i="13"/>
  <c r="C280" i="13"/>
  <c r="F280" i="13"/>
  <c r="B280" i="13"/>
  <c r="D280" i="13"/>
  <c r="H280" i="13"/>
  <c r="M280" i="13"/>
  <c r="L280" i="13"/>
  <c r="K280" i="13"/>
  <c r="B279" i="13"/>
  <c r="D279" i="13"/>
  <c r="G279" i="13"/>
  <c r="N279" i="13"/>
  <c r="M279" i="13"/>
  <c r="L279" i="13"/>
  <c r="K279" i="13"/>
  <c r="J279" i="13"/>
  <c r="I279" i="13"/>
  <c r="C279" i="13"/>
  <c r="H279" i="13"/>
  <c r="F279" i="13"/>
  <c r="E279" i="13"/>
  <c r="D278" i="13"/>
  <c r="E278" i="13"/>
  <c r="F278" i="13"/>
  <c r="G278" i="13"/>
  <c r="H278" i="13"/>
  <c r="J278" i="13"/>
  <c r="I278" i="13"/>
  <c r="N278" i="13"/>
  <c r="M278" i="13"/>
  <c r="L278" i="13"/>
  <c r="K278" i="13"/>
  <c r="B278" i="13"/>
  <c r="C278" i="13"/>
  <c r="E277" i="13"/>
  <c r="J277" i="13"/>
  <c r="I277" i="13"/>
  <c r="N277" i="13"/>
  <c r="G277" i="13"/>
  <c r="F277" i="13"/>
  <c r="M277" i="13"/>
  <c r="C277" i="13"/>
  <c r="B277" i="13"/>
  <c r="H277" i="13"/>
  <c r="D277" i="13"/>
  <c r="L277" i="13"/>
  <c r="K277" i="13"/>
  <c r="B276" i="13"/>
  <c r="C276" i="13"/>
  <c r="D276" i="13"/>
  <c r="E276" i="13"/>
  <c r="F276" i="13"/>
  <c r="G276" i="13"/>
  <c r="H276" i="13"/>
  <c r="I276" i="13"/>
  <c r="J276" i="13"/>
  <c r="K276" i="13"/>
  <c r="N276" i="13"/>
  <c r="M276" i="13"/>
  <c r="L276" i="13"/>
  <c r="E275" i="13"/>
  <c r="N275" i="13"/>
  <c r="M275" i="13"/>
  <c r="J275" i="13"/>
  <c r="I275" i="13"/>
  <c r="H275" i="13"/>
  <c r="G275" i="13"/>
  <c r="F275" i="13"/>
  <c r="D275" i="13"/>
  <c r="C275" i="13"/>
  <c r="B275" i="13"/>
  <c r="L275" i="13"/>
  <c r="K275" i="13"/>
  <c r="F274" i="13"/>
  <c r="B274" i="13"/>
  <c r="C274" i="13"/>
  <c r="D274" i="13"/>
  <c r="E274" i="13"/>
  <c r="G274" i="13"/>
  <c r="H274" i="13"/>
  <c r="I274" i="13"/>
  <c r="J274" i="13"/>
  <c r="K274" i="13"/>
  <c r="L274" i="13"/>
  <c r="M274" i="13"/>
  <c r="N274" i="13"/>
  <c r="L273" i="13"/>
  <c r="M273" i="13"/>
  <c r="N273" i="13"/>
  <c r="D273" i="13"/>
  <c r="E273" i="13"/>
  <c r="F273" i="13"/>
  <c r="H273" i="13"/>
  <c r="I273" i="13"/>
  <c r="J273" i="13"/>
  <c r="G273" i="13"/>
  <c r="B273" i="13"/>
  <c r="C273" i="13"/>
  <c r="K273" i="13"/>
  <c r="D272" i="13"/>
  <c r="C272" i="13"/>
  <c r="B272" i="13"/>
  <c r="F272" i="13"/>
  <c r="H272" i="13"/>
  <c r="G272" i="13"/>
  <c r="E272" i="13"/>
  <c r="N272" i="13"/>
  <c r="I272" i="13"/>
  <c r="J272" i="13"/>
  <c r="K272" i="13"/>
  <c r="L272" i="13"/>
  <c r="M272" i="13"/>
  <c r="H271" i="13"/>
  <c r="I271" i="13"/>
  <c r="K271" i="13"/>
  <c r="L271" i="13"/>
  <c r="M271" i="13"/>
  <c r="N271" i="13"/>
  <c r="J271" i="13"/>
  <c r="B271" i="13"/>
  <c r="C271" i="13"/>
  <c r="D271" i="13"/>
  <c r="E271" i="13"/>
  <c r="F271" i="13"/>
  <c r="G271" i="13"/>
  <c r="M270" i="13"/>
  <c r="N270" i="13"/>
  <c r="L270" i="13"/>
  <c r="K270" i="13"/>
  <c r="J270" i="13"/>
  <c r="I270" i="13"/>
  <c r="H270" i="13"/>
  <c r="G270" i="13"/>
  <c r="F270" i="13"/>
  <c r="D270" i="13"/>
  <c r="C270" i="13"/>
  <c r="B270" i="13"/>
  <c r="E270" i="13"/>
  <c r="J269" i="13"/>
  <c r="E269" i="13"/>
  <c r="D269" i="13"/>
  <c r="C269" i="13"/>
  <c r="G269" i="13"/>
  <c r="N269" i="13"/>
  <c r="M269" i="13"/>
  <c r="L269" i="13"/>
  <c r="K269" i="13"/>
  <c r="I269" i="13"/>
  <c r="H269" i="13"/>
  <c r="B269" i="13"/>
  <c r="F269" i="13"/>
  <c r="B268" i="13"/>
  <c r="C268" i="13"/>
  <c r="D268" i="13"/>
  <c r="E268" i="13"/>
  <c r="F268" i="13"/>
  <c r="G268" i="13"/>
  <c r="H268" i="13"/>
  <c r="J268" i="13"/>
  <c r="K268" i="13"/>
  <c r="L268" i="13"/>
  <c r="M268" i="13"/>
  <c r="N268" i="13"/>
  <c r="I268" i="13"/>
  <c r="F267" i="13"/>
  <c r="B267" i="13"/>
  <c r="C267" i="13"/>
  <c r="D267" i="13"/>
  <c r="M267" i="13"/>
  <c r="N267" i="13"/>
  <c r="L267" i="13"/>
  <c r="K267" i="13"/>
  <c r="J267" i="13"/>
  <c r="I267" i="13"/>
  <c r="H267" i="13"/>
  <c r="G267" i="13"/>
  <c r="E267" i="13"/>
  <c r="B266" i="13"/>
  <c r="G266" i="13"/>
  <c r="C266" i="13"/>
  <c r="D266" i="13"/>
  <c r="E266" i="13"/>
  <c r="F266" i="13"/>
  <c r="H266" i="13"/>
  <c r="I266" i="13"/>
  <c r="J266" i="13"/>
  <c r="K266" i="13"/>
  <c r="L266" i="13"/>
  <c r="M266" i="13"/>
  <c r="N266" i="13"/>
  <c r="C265" i="13"/>
  <c r="D265" i="13"/>
  <c r="E265" i="13"/>
  <c r="F265" i="13"/>
  <c r="G265" i="13"/>
  <c r="H265" i="13"/>
  <c r="I265" i="13"/>
  <c r="J265" i="13"/>
  <c r="K265" i="13"/>
  <c r="M265" i="13"/>
  <c r="N265" i="13"/>
  <c r="L265" i="13"/>
  <c r="B265" i="13"/>
  <c r="J264" i="13"/>
  <c r="I264" i="13"/>
  <c r="C264" i="13"/>
  <c r="D264" i="13"/>
  <c r="E264" i="13"/>
  <c r="F264" i="13"/>
  <c r="H264" i="13"/>
  <c r="G264" i="13"/>
  <c r="B264" i="13"/>
  <c r="N264" i="13"/>
  <c r="M264" i="13"/>
  <c r="L264" i="13"/>
  <c r="K264" i="13"/>
  <c r="J263" i="13"/>
  <c r="I263" i="13"/>
  <c r="B263" i="13"/>
  <c r="C263" i="13"/>
  <c r="D263" i="13"/>
  <c r="E263" i="13"/>
  <c r="F263" i="13"/>
  <c r="G263" i="13"/>
  <c r="K263" i="13"/>
  <c r="L263" i="13"/>
  <c r="H263" i="13"/>
  <c r="M263" i="13"/>
  <c r="N263" i="13"/>
  <c r="B262" i="13"/>
  <c r="D262" i="13"/>
  <c r="C262" i="13"/>
  <c r="E262" i="13"/>
  <c r="F262" i="13"/>
  <c r="G262" i="13"/>
  <c r="H262" i="13"/>
  <c r="J262" i="13"/>
  <c r="K262" i="13"/>
  <c r="L262" i="13"/>
  <c r="M262" i="13"/>
  <c r="N262" i="13"/>
  <c r="I262" i="13"/>
  <c r="N261" i="13"/>
  <c r="M261" i="13"/>
  <c r="L261" i="13"/>
  <c r="K261" i="13"/>
  <c r="I261" i="13"/>
  <c r="H261" i="13"/>
  <c r="B261" i="13"/>
  <c r="J261" i="13"/>
  <c r="C261" i="13"/>
  <c r="D261" i="13"/>
  <c r="E261" i="13"/>
  <c r="F261" i="13"/>
  <c r="G261" i="13"/>
  <c r="G260" i="13"/>
  <c r="N260" i="13"/>
  <c r="M260" i="13"/>
  <c r="K260" i="13"/>
  <c r="J260" i="13"/>
  <c r="I260" i="13"/>
  <c r="F260" i="13"/>
  <c r="E260" i="13"/>
  <c r="D260" i="13"/>
  <c r="C260" i="13"/>
  <c r="B260" i="13"/>
  <c r="L260" i="13"/>
  <c r="H260" i="13"/>
  <c r="H259" i="13"/>
  <c r="L259" i="13"/>
  <c r="K259" i="13"/>
  <c r="J259" i="13"/>
  <c r="I259" i="13"/>
  <c r="B259" i="13"/>
  <c r="M259" i="13"/>
  <c r="D259" i="13"/>
  <c r="E259" i="13"/>
  <c r="C259" i="13"/>
  <c r="F259" i="13"/>
  <c r="N259" i="13"/>
  <c r="G259" i="13"/>
  <c r="M258" i="13"/>
  <c r="N258" i="13"/>
  <c r="K258" i="13"/>
  <c r="B258" i="13"/>
  <c r="I258" i="13"/>
  <c r="H258" i="13"/>
  <c r="G258" i="13"/>
  <c r="J258" i="13"/>
  <c r="F258" i="13"/>
  <c r="E258" i="13"/>
  <c r="D258" i="13"/>
  <c r="C258" i="13"/>
  <c r="L258" i="13"/>
  <c r="G257" i="13"/>
  <c r="L257" i="13"/>
  <c r="D257" i="13"/>
  <c r="B257" i="13"/>
  <c r="C257" i="13"/>
  <c r="F257" i="13"/>
  <c r="E257" i="13"/>
  <c r="H257" i="13"/>
  <c r="K257" i="13"/>
  <c r="I257" i="13"/>
  <c r="J257" i="13"/>
  <c r="N257" i="13"/>
  <c r="M257" i="13"/>
  <c r="G256" i="13"/>
  <c r="F256" i="13"/>
  <c r="N256" i="13"/>
  <c r="M256" i="13"/>
  <c r="L256" i="13"/>
  <c r="K256" i="13"/>
  <c r="J256" i="13"/>
  <c r="I256" i="13"/>
  <c r="H256" i="13"/>
  <c r="E256" i="13"/>
  <c r="D256" i="13"/>
  <c r="C256" i="13"/>
  <c r="B256" i="13"/>
  <c r="F255" i="13"/>
  <c r="E255" i="13"/>
  <c r="D255" i="13"/>
  <c r="C255" i="13"/>
  <c r="B255" i="13"/>
  <c r="G255" i="13"/>
  <c r="I255" i="13"/>
  <c r="J255" i="13"/>
  <c r="K255" i="13"/>
  <c r="L255" i="13"/>
  <c r="H255" i="13"/>
  <c r="N255" i="13"/>
  <c r="M255" i="13"/>
  <c r="N254" i="13"/>
  <c r="M254" i="13"/>
  <c r="B254" i="13"/>
  <c r="L254" i="13"/>
  <c r="G254" i="13"/>
  <c r="I254" i="13"/>
  <c r="C254" i="13"/>
  <c r="K254" i="13"/>
  <c r="E254" i="13"/>
  <c r="F254" i="13"/>
  <c r="D254" i="13"/>
  <c r="J254" i="13"/>
  <c r="H254" i="13"/>
  <c r="H253" i="13"/>
  <c r="J253" i="13"/>
  <c r="K253" i="13"/>
  <c r="L253" i="13"/>
  <c r="M253" i="13"/>
  <c r="N253" i="13"/>
  <c r="I253" i="13"/>
  <c r="B253" i="13"/>
  <c r="C253" i="13"/>
  <c r="D253" i="13"/>
  <c r="E253" i="13"/>
  <c r="F253" i="13"/>
  <c r="G253" i="13"/>
  <c r="M252" i="13"/>
  <c r="J252" i="13"/>
  <c r="I252" i="13"/>
  <c r="H252" i="13"/>
  <c r="G252" i="13"/>
  <c r="F252" i="13"/>
  <c r="E252" i="13"/>
  <c r="D252" i="13"/>
  <c r="C252" i="13"/>
  <c r="B252" i="13"/>
  <c r="K252" i="13"/>
  <c r="N252" i="13"/>
  <c r="L252" i="13"/>
  <c r="C251" i="13"/>
  <c r="N251" i="13"/>
  <c r="M251" i="13"/>
  <c r="L251" i="13"/>
  <c r="K251" i="13"/>
  <c r="J251" i="13"/>
  <c r="I251" i="13"/>
  <c r="H251" i="13"/>
  <c r="G251" i="13"/>
  <c r="F251" i="13"/>
  <c r="E251" i="13"/>
  <c r="D251" i="13"/>
  <c r="B251" i="13"/>
  <c r="K250" i="13"/>
  <c r="J250" i="13"/>
  <c r="I250" i="13"/>
  <c r="H250" i="13"/>
  <c r="G250" i="13"/>
  <c r="F250" i="13"/>
  <c r="D250" i="13"/>
  <c r="E250" i="13"/>
  <c r="C250" i="13"/>
  <c r="B250" i="13"/>
  <c r="N250" i="13"/>
  <c r="M250" i="13"/>
  <c r="L250" i="13"/>
  <c r="E249" i="13"/>
  <c r="N249" i="13"/>
  <c r="M249" i="13"/>
  <c r="L249" i="13"/>
  <c r="K249" i="13"/>
  <c r="J249" i="13"/>
  <c r="D249" i="13"/>
  <c r="I249" i="13"/>
  <c r="H249" i="13"/>
  <c r="G249" i="13"/>
  <c r="F249" i="13"/>
  <c r="C249" i="13"/>
  <c r="B249" i="13"/>
  <c r="G248" i="13"/>
  <c r="B248" i="13"/>
  <c r="C248" i="13"/>
  <c r="D248" i="13"/>
  <c r="E248" i="13"/>
  <c r="F248" i="13"/>
  <c r="H248" i="13"/>
  <c r="I248" i="13"/>
  <c r="N248" i="13"/>
  <c r="M248" i="13"/>
  <c r="L248" i="13"/>
  <c r="K248" i="13"/>
  <c r="J248" i="13"/>
  <c r="J247" i="13"/>
  <c r="L247" i="13"/>
  <c r="M247" i="13"/>
  <c r="N247" i="13"/>
  <c r="K247" i="13"/>
  <c r="B247" i="13"/>
  <c r="C247" i="13"/>
  <c r="D247" i="13"/>
  <c r="E247" i="13"/>
  <c r="F247" i="13"/>
  <c r="G247" i="13"/>
  <c r="H247" i="13"/>
  <c r="I247" i="13"/>
  <c r="L246" i="13"/>
  <c r="B246" i="13"/>
  <c r="C246" i="13"/>
  <c r="D246" i="13"/>
  <c r="F246" i="13"/>
  <c r="G246" i="13"/>
  <c r="H246" i="13"/>
  <c r="M246" i="13"/>
  <c r="K246" i="13"/>
  <c r="I246" i="13"/>
  <c r="J246" i="13"/>
  <c r="N246" i="13"/>
  <c r="E246" i="13"/>
  <c r="D245" i="13"/>
  <c r="E245" i="13"/>
  <c r="F245" i="13"/>
  <c r="G245" i="13"/>
  <c r="H245" i="13"/>
  <c r="I245" i="13"/>
  <c r="J245" i="13"/>
  <c r="K245" i="13"/>
  <c r="L245" i="13"/>
  <c r="N245" i="13"/>
  <c r="M245" i="13"/>
  <c r="B245" i="13"/>
  <c r="C245" i="13"/>
  <c r="M244" i="13"/>
  <c r="N244" i="13"/>
  <c r="L244" i="13"/>
  <c r="K244" i="13"/>
  <c r="J244" i="13"/>
  <c r="I244" i="13"/>
  <c r="H244" i="13"/>
  <c r="G244" i="13"/>
  <c r="F244" i="13"/>
  <c r="E244" i="13"/>
  <c r="D244" i="13"/>
  <c r="C244" i="13"/>
  <c r="B244" i="13"/>
  <c r="B243" i="13"/>
  <c r="C243" i="13"/>
  <c r="D243" i="13"/>
  <c r="I243" i="13"/>
  <c r="E243" i="13"/>
  <c r="F243" i="13"/>
  <c r="G243" i="13"/>
  <c r="H243" i="13"/>
  <c r="M243" i="13"/>
  <c r="L243" i="13"/>
  <c r="K243" i="13"/>
  <c r="J243" i="13"/>
  <c r="N243" i="13"/>
  <c r="N242" i="13"/>
  <c r="M242" i="13"/>
  <c r="B242" i="13"/>
  <c r="C242" i="13"/>
  <c r="D242" i="13"/>
  <c r="E242" i="13"/>
  <c r="F242" i="13"/>
  <c r="G242" i="13"/>
  <c r="H242" i="13"/>
  <c r="I242" i="13"/>
  <c r="J242" i="13"/>
  <c r="K242" i="13"/>
  <c r="L242" i="13"/>
  <c r="F241" i="13"/>
  <c r="N241" i="13"/>
  <c r="M241" i="13"/>
  <c r="L241" i="13"/>
  <c r="K241" i="13"/>
  <c r="J241" i="13"/>
  <c r="I241" i="13"/>
  <c r="H241" i="13"/>
  <c r="G241" i="13"/>
  <c r="E241" i="13"/>
  <c r="D241" i="13"/>
  <c r="C241" i="13"/>
  <c r="B241" i="13"/>
  <c r="D240" i="13"/>
  <c r="G240" i="13"/>
  <c r="F240" i="13"/>
  <c r="E240" i="13"/>
  <c r="L240" i="13"/>
  <c r="C240" i="13"/>
  <c r="K240" i="13"/>
  <c r="B240" i="13"/>
  <c r="J240" i="13"/>
  <c r="I240" i="13"/>
  <c r="H240" i="13"/>
  <c r="N240" i="13"/>
  <c r="M240" i="13"/>
  <c r="B239" i="13"/>
  <c r="C239" i="13"/>
  <c r="D239" i="13"/>
  <c r="E239" i="13"/>
  <c r="F239" i="13"/>
  <c r="G239" i="13"/>
  <c r="H239" i="13"/>
  <c r="J239" i="13"/>
  <c r="K239" i="13"/>
  <c r="L239" i="13"/>
  <c r="M239" i="13"/>
  <c r="I239" i="13"/>
  <c r="N239" i="13"/>
  <c r="B238" i="13"/>
  <c r="N238" i="13"/>
  <c r="C238" i="13"/>
  <c r="G238" i="13"/>
  <c r="F238" i="13"/>
  <c r="J238" i="13"/>
  <c r="D238" i="13"/>
  <c r="M238" i="13"/>
  <c r="L238" i="13"/>
  <c r="K238" i="13"/>
  <c r="I238" i="13"/>
  <c r="H238" i="13"/>
  <c r="E238" i="13"/>
  <c r="M237" i="13"/>
  <c r="L237" i="13"/>
  <c r="K237" i="13"/>
  <c r="I237" i="13"/>
  <c r="H237" i="13"/>
  <c r="G237" i="13"/>
  <c r="F237" i="13"/>
  <c r="E237" i="13"/>
  <c r="D237" i="13"/>
  <c r="C237" i="13"/>
  <c r="B237" i="13"/>
  <c r="J237" i="13"/>
  <c r="N237" i="13"/>
  <c r="G236" i="13"/>
  <c r="D236" i="13"/>
  <c r="C236" i="13"/>
  <c r="F236" i="13"/>
  <c r="H236" i="13"/>
  <c r="I236" i="13"/>
  <c r="K236" i="13"/>
  <c r="L236" i="13"/>
  <c r="M236" i="13"/>
  <c r="N236" i="13"/>
  <c r="B236" i="13"/>
  <c r="J236" i="13"/>
  <c r="E236" i="13"/>
  <c r="G235" i="13"/>
  <c r="F235" i="13"/>
  <c r="C235" i="13"/>
  <c r="E235" i="13"/>
  <c r="D235" i="13"/>
  <c r="B235" i="13"/>
  <c r="N235" i="13"/>
  <c r="M235" i="13"/>
  <c r="L235" i="13"/>
  <c r="K235" i="13"/>
  <c r="J235" i="13"/>
  <c r="I235" i="13"/>
  <c r="H235" i="13"/>
  <c r="K234" i="13"/>
  <c r="L234" i="13"/>
  <c r="M234" i="13"/>
  <c r="N234" i="13"/>
  <c r="H234" i="13"/>
  <c r="B234" i="13"/>
  <c r="C234" i="13"/>
  <c r="D234" i="13"/>
  <c r="E234" i="13"/>
  <c r="F234" i="13"/>
  <c r="G234" i="13"/>
  <c r="I234" i="13"/>
  <c r="J234" i="13"/>
  <c r="F233" i="13"/>
  <c r="K233" i="13"/>
  <c r="J233" i="13"/>
  <c r="I233" i="13"/>
  <c r="H233" i="13"/>
  <c r="G233" i="13"/>
  <c r="B233" i="13"/>
  <c r="C233" i="13"/>
  <c r="D233" i="13"/>
  <c r="E233" i="13"/>
  <c r="N233" i="13"/>
  <c r="M233" i="13"/>
  <c r="L233" i="13"/>
  <c r="G232" i="13"/>
  <c r="B232" i="13"/>
  <c r="H232" i="13"/>
  <c r="I232" i="13"/>
  <c r="J232" i="13"/>
  <c r="K232" i="13"/>
  <c r="C232" i="13"/>
  <c r="D232" i="13"/>
  <c r="E232" i="13"/>
  <c r="F232" i="13"/>
  <c r="F231" i="13"/>
  <c r="E231" i="13"/>
  <c r="D231" i="13"/>
  <c r="L231" i="13"/>
  <c r="H231" i="13"/>
  <c r="I231" i="13"/>
  <c r="J231" i="13"/>
  <c r="K231" i="13"/>
  <c r="N231" i="13"/>
  <c r="B231" i="13"/>
  <c r="C231" i="13"/>
  <c r="M231" i="13"/>
  <c r="G231" i="13"/>
  <c r="B230" i="13"/>
  <c r="C230" i="13"/>
  <c r="D230" i="13"/>
  <c r="E230" i="13"/>
  <c r="N230" i="13"/>
  <c r="M230" i="13"/>
  <c r="L230" i="13"/>
  <c r="K230" i="13"/>
  <c r="J230" i="13"/>
  <c r="I230" i="13"/>
  <c r="H230" i="13"/>
  <c r="G230" i="13"/>
  <c r="F230" i="13"/>
  <c r="I229" i="13"/>
  <c r="D229" i="13"/>
  <c r="C229" i="13"/>
  <c r="M229" i="13"/>
  <c r="L229" i="13"/>
  <c r="K229" i="13"/>
  <c r="J229" i="13"/>
  <c r="B229" i="13"/>
  <c r="N229" i="13"/>
  <c r="H229" i="13"/>
  <c r="G229" i="13"/>
  <c r="F229" i="13"/>
  <c r="E229" i="13"/>
  <c r="C228" i="13"/>
  <c r="B228" i="13"/>
  <c r="J228" i="13"/>
  <c r="N228" i="13"/>
  <c r="I228" i="13"/>
  <c r="M228" i="13"/>
  <c r="L228" i="13"/>
  <c r="K228" i="13"/>
  <c r="H228" i="13"/>
  <c r="G228" i="13"/>
  <c r="F228" i="13"/>
  <c r="E228" i="13"/>
  <c r="D228" i="13"/>
  <c r="I227" i="13"/>
  <c r="C227" i="13"/>
  <c r="B227" i="13"/>
  <c r="N227" i="13"/>
  <c r="M227" i="13"/>
  <c r="L227" i="13"/>
  <c r="K227" i="13"/>
  <c r="J227" i="13"/>
  <c r="H227" i="13"/>
  <c r="F227" i="13"/>
  <c r="E227" i="13"/>
  <c r="D227" i="13"/>
  <c r="G227" i="13"/>
  <c r="I226" i="13"/>
  <c r="K226" i="13"/>
  <c r="L226" i="13"/>
  <c r="N226" i="13"/>
  <c r="M226" i="13"/>
  <c r="H226" i="13"/>
  <c r="J226" i="13"/>
  <c r="F226" i="13"/>
  <c r="E226" i="13"/>
  <c r="D226" i="13"/>
  <c r="C226" i="13"/>
  <c r="B226" i="13"/>
  <c r="G226" i="13"/>
  <c r="M225" i="13"/>
  <c r="L225" i="13"/>
  <c r="K225" i="13"/>
  <c r="J225" i="13"/>
  <c r="N225" i="13"/>
  <c r="H225" i="13"/>
  <c r="G225" i="13"/>
  <c r="F225" i="13"/>
  <c r="E225" i="13"/>
  <c r="D225" i="13"/>
  <c r="C225" i="13"/>
  <c r="B225" i="13"/>
  <c r="I225" i="13"/>
  <c r="N224" i="13"/>
  <c r="M224" i="13"/>
  <c r="L224" i="13"/>
  <c r="K224" i="13"/>
  <c r="J224" i="13"/>
  <c r="I224" i="13"/>
  <c r="G224" i="13"/>
  <c r="F224" i="13"/>
  <c r="E224" i="13"/>
  <c r="D224" i="13"/>
  <c r="C224" i="13"/>
  <c r="B224" i="13"/>
  <c r="H224" i="13"/>
  <c r="B223" i="13"/>
  <c r="C223" i="13"/>
  <c r="D223" i="13"/>
  <c r="E223" i="13"/>
  <c r="F223" i="13"/>
  <c r="G223" i="13"/>
  <c r="H223" i="13"/>
  <c r="I223" i="13"/>
  <c r="J223" i="13"/>
  <c r="K223" i="13"/>
  <c r="L223" i="13"/>
  <c r="M223" i="13"/>
  <c r="N223" i="13"/>
  <c r="M222" i="13"/>
  <c r="N222" i="13"/>
  <c r="F222" i="13"/>
  <c r="E222" i="13"/>
  <c r="D222" i="13"/>
  <c r="C222" i="13"/>
  <c r="B222" i="13"/>
  <c r="L222" i="13"/>
  <c r="K222" i="13"/>
  <c r="J222" i="13"/>
  <c r="I222" i="13"/>
  <c r="H222" i="13"/>
  <c r="G222" i="13"/>
  <c r="I221" i="13"/>
  <c r="J221" i="13"/>
  <c r="K221" i="13"/>
  <c r="L221" i="13"/>
  <c r="M221" i="13"/>
  <c r="N221" i="13"/>
  <c r="G221" i="13"/>
  <c r="B221" i="13"/>
  <c r="C221" i="13"/>
  <c r="D221" i="13"/>
  <c r="E221" i="13"/>
  <c r="F221" i="13"/>
  <c r="H221" i="13"/>
  <c r="J220" i="13"/>
  <c r="I220" i="13"/>
  <c r="H220" i="13"/>
  <c r="G220" i="13"/>
  <c r="F220" i="13"/>
  <c r="E220" i="13"/>
  <c r="B220" i="13"/>
  <c r="L220" i="13"/>
  <c r="C220" i="13"/>
  <c r="N220" i="13"/>
  <c r="M220" i="13"/>
  <c r="K220" i="13"/>
  <c r="D220" i="13"/>
  <c r="C219" i="13"/>
  <c r="D219" i="13"/>
  <c r="E219" i="13"/>
  <c r="F219" i="13"/>
  <c r="N219" i="13"/>
  <c r="M219" i="13"/>
  <c r="L219" i="13"/>
  <c r="K219" i="13"/>
  <c r="J219" i="13"/>
  <c r="I219" i="13"/>
  <c r="H219" i="13"/>
  <c r="B219" i="13"/>
  <c r="G219" i="13"/>
  <c r="I218" i="13"/>
  <c r="H218" i="13"/>
  <c r="G218" i="13"/>
  <c r="F218" i="13"/>
  <c r="E218" i="13"/>
  <c r="D218" i="13"/>
  <c r="C218" i="13"/>
  <c r="B218" i="13"/>
  <c r="N218" i="13"/>
  <c r="M218" i="13"/>
  <c r="L218" i="13"/>
  <c r="K218" i="13"/>
  <c r="J218" i="13"/>
  <c r="D217" i="13"/>
  <c r="K217" i="13"/>
  <c r="J217" i="13"/>
  <c r="N217" i="13"/>
  <c r="I217" i="13"/>
  <c r="H217" i="13"/>
  <c r="G217" i="13"/>
  <c r="F217" i="13"/>
  <c r="E217" i="13"/>
  <c r="M217" i="13"/>
  <c r="C217" i="13"/>
  <c r="B217" i="13"/>
  <c r="L217" i="13"/>
  <c r="N216" i="13"/>
  <c r="M216" i="13"/>
  <c r="L216" i="13"/>
  <c r="K216" i="13"/>
  <c r="J216" i="13"/>
  <c r="I216" i="13"/>
  <c r="H216" i="13"/>
  <c r="F216" i="13"/>
  <c r="E216" i="13"/>
  <c r="D216" i="13"/>
  <c r="C216" i="13"/>
  <c r="B216" i="13"/>
  <c r="G216" i="13"/>
  <c r="M215" i="13"/>
  <c r="H215" i="13"/>
  <c r="K215" i="13"/>
  <c r="I215" i="13"/>
  <c r="G215" i="13"/>
  <c r="F215" i="13"/>
  <c r="E215" i="13"/>
  <c r="D215" i="13"/>
  <c r="N215" i="13"/>
  <c r="J215" i="13"/>
  <c r="C215" i="13"/>
  <c r="L215" i="13"/>
  <c r="B215" i="13"/>
  <c r="N214" i="13"/>
  <c r="M214" i="13"/>
  <c r="D214" i="13"/>
  <c r="L214" i="13"/>
  <c r="K214" i="13"/>
  <c r="J214" i="13"/>
  <c r="I214" i="13"/>
  <c r="H214" i="13"/>
  <c r="G214" i="13"/>
  <c r="F214" i="13"/>
  <c r="E214" i="13"/>
  <c r="C214" i="13"/>
  <c r="B214" i="13"/>
  <c r="B213" i="13"/>
  <c r="C213" i="13"/>
  <c r="D213" i="13"/>
  <c r="E213" i="13"/>
  <c r="F213" i="13"/>
  <c r="G213" i="13"/>
  <c r="H213" i="13"/>
  <c r="I213" i="13"/>
  <c r="K213" i="13"/>
  <c r="L213" i="13"/>
  <c r="M213" i="13"/>
  <c r="N213" i="13"/>
  <c r="J213" i="13"/>
  <c r="N212" i="13"/>
  <c r="G212" i="13"/>
  <c r="C212" i="13"/>
  <c r="D212" i="13"/>
  <c r="E212" i="13"/>
  <c r="F212" i="13"/>
  <c r="H212" i="13"/>
  <c r="J212" i="13"/>
  <c r="K212" i="13"/>
  <c r="I212" i="13"/>
  <c r="L212" i="13"/>
  <c r="B212" i="13"/>
  <c r="M212" i="13"/>
  <c r="C211" i="13"/>
  <c r="N211" i="13"/>
  <c r="M211" i="13"/>
  <c r="L211" i="13"/>
  <c r="K211" i="13"/>
  <c r="J211" i="13"/>
  <c r="I211" i="13"/>
  <c r="H211" i="13"/>
  <c r="G211" i="13"/>
  <c r="F211" i="13"/>
  <c r="E211" i="13"/>
  <c r="D211" i="13"/>
  <c r="B211" i="13"/>
  <c r="J210" i="13"/>
  <c r="K210" i="13"/>
  <c r="L210" i="13"/>
  <c r="M210" i="13"/>
  <c r="C210" i="13"/>
  <c r="N210" i="13"/>
  <c r="D210" i="13"/>
  <c r="E210" i="13"/>
  <c r="F210" i="13"/>
  <c r="G210" i="13"/>
  <c r="H210" i="13"/>
  <c r="I210" i="13"/>
  <c r="B210" i="13"/>
  <c r="J209" i="13"/>
  <c r="I209" i="13"/>
  <c r="H209" i="13"/>
  <c r="G209" i="13"/>
  <c r="E209" i="13"/>
  <c r="N209" i="13"/>
  <c r="M209" i="13"/>
  <c r="L209" i="13"/>
  <c r="K209" i="13"/>
  <c r="F209" i="13"/>
  <c r="D209" i="13"/>
  <c r="C209" i="13"/>
  <c r="B209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G207" i="13"/>
  <c r="B207" i="13"/>
  <c r="C207" i="13"/>
  <c r="D207" i="13"/>
  <c r="E207" i="13"/>
  <c r="F207" i="13"/>
  <c r="H207" i="13"/>
  <c r="I207" i="13"/>
  <c r="J207" i="13"/>
  <c r="K207" i="13"/>
  <c r="L207" i="13"/>
  <c r="M207" i="13"/>
  <c r="N207" i="13"/>
  <c r="G206" i="13"/>
  <c r="B206" i="13"/>
  <c r="C206" i="13"/>
  <c r="D206" i="13"/>
  <c r="E206" i="13"/>
  <c r="F206" i="13"/>
  <c r="M206" i="13"/>
  <c r="H206" i="13"/>
  <c r="I206" i="13"/>
  <c r="J206" i="13"/>
  <c r="K206" i="13"/>
  <c r="L206" i="13"/>
  <c r="N206" i="13"/>
  <c r="N205" i="13"/>
  <c r="B205" i="13"/>
  <c r="C205" i="13"/>
  <c r="D205" i="13"/>
  <c r="E205" i="13"/>
  <c r="F205" i="13"/>
  <c r="M205" i="13"/>
  <c r="G205" i="13"/>
  <c r="H205" i="13"/>
  <c r="I205" i="13"/>
  <c r="J205" i="13"/>
  <c r="K205" i="13"/>
  <c r="L205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B204" i="13"/>
  <c r="N203" i="13"/>
  <c r="M203" i="13"/>
  <c r="L203" i="13"/>
  <c r="K203" i="13"/>
  <c r="J203" i="13"/>
  <c r="F203" i="13"/>
  <c r="E203" i="13"/>
  <c r="D203" i="13"/>
  <c r="C203" i="13"/>
  <c r="B203" i="13"/>
  <c r="I203" i="13"/>
  <c r="H203" i="13"/>
  <c r="G203" i="13"/>
  <c r="I202" i="13"/>
  <c r="J202" i="13"/>
  <c r="K202" i="13"/>
  <c r="L202" i="13"/>
  <c r="M202" i="13"/>
  <c r="N202" i="13"/>
  <c r="H202" i="13"/>
  <c r="B202" i="13"/>
  <c r="C202" i="13"/>
  <c r="D202" i="13"/>
  <c r="E202" i="13"/>
  <c r="F202" i="13"/>
  <c r="G202" i="13"/>
  <c r="E201" i="13"/>
  <c r="F201" i="13"/>
  <c r="K201" i="13"/>
  <c r="G201" i="13"/>
  <c r="N201" i="13"/>
  <c r="M201" i="13"/>
  <c r="J201" i="13"/>
  <c r="L201" i="13"/>
  <c r="H201" i="13"/>
  <c r="I201" i="13"/>
  <c r="B201" i="13"/>
  <c r="C201" i="13"/>
  <c r="D201" i="13"/>
  <c r="D200" i="13"/>
  <c r="C200" i="13"/>
  <c r="B200" i="13"/>
  <c r="E200" i="13"/>
  <c r="F200" i="13"/>
  <c r="G200" i="13"/>
  <c r="H200" i="13"/>
  <c r="I200" i="13"/>
  <c r="J200" i="13"/>
  <c r="K200" i="13"/>
  <c r="L200" i="13"/>
  <c r="M200" i="13"/>
  <c r="N200" i="13"/>
  <c r="D199" i="13"/>
  <c r="E199" i="13"/>
  <c r="F199" i="13"/>
  <c r="G199" i="13"/>
  <c r="H199" i="13"/>
  <c r="I199" i="13"/>
  <c r="C199" i="13"/>
  <c r="J199" i="13"/>
  <c r="L199" i="13"/>
  <c r="M199" i="13"/>
  <c r="N199" i="13"/>
  <c r="B199" i="13"/>
  <c r="K199" i="13"/>
  <c r="C198" i="13"/>
  <c r="D198" i="13"/>
  <c r="B198" i="13"/>
  <c r="G198" i="13"/>
  <c r="F198" i="13"/>
  <c r="E198" i="13"/>
  <c r="N198" i="13"/>
  <c r="L198" i="13"/>
  <c r="K198" i="13"/>
  <c r="J198" i="13"/>
  <c r="I198" i="13"/>
  <c r="H198" i="13"/>
  <c r="M198" i="13"/>
  <c r="N197" i="13"/>
  <c r="L197" i="13"/>
  <c r="K197" i="13"/>
  <c r="J197" i="13"/>
  <c r="I197" i="13"/>
  <c r="H197" i="13"/>
  <c r="G197" i="13"/>
  <c r="F197" i="13"/>
  <c r="E197" i="13"/>
  <c r="D197" i="13"/>
  <c r="C197" i="13"/>
  <c r="B197" i="13"/>
  <c r="M197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N194" i="13"/>
  <c r="D194" i="13"/>
  <c r="C194" i="13"/>
  <c r="B194" i="13"/>
  <c r="M194" i="13"/>
  <c r="L194" i="13"/>
  <c r="K194" i="13"/>
  <c r="J194" i="13"/>
  <c r="I194" i="13"/>
  <c r="H194" i="13"/>
  <c r="G194" i="13"/>
  <c r="F194" i="13"/>
  <c r="E194" i="13"/>
  <c r="D193" i="13"/>
  <c r="B193" i="13"/>
  <c r="C193" i="13"/>
  <c r="E193" i="13"/>
  <c r="F193" i="13"/>
  <c r="G193" i="13"/>
  <c r="H193" i="13"/>
  <c r="I193" i="13"/>
  <c r="J193" i="13"/>
  <c r="K193" i="13"/>
  <c r="L193" i="13"/>
  <c r="M193" i="13"/>
  <c r="N193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N192" i="13"/>
  <c r="N191" i="13"/>
  <c r="L191" i="13"/>
  <c r="K191" i="13"/>
  <c r="J191" i="13"/>
  <c r="I191" i="13"/>
  <c r="H191" i="13"/>
  <c r="G191" i="13"/>
  <c r="F191" i="13"/>
  <c r="E191" i="13"/>
  <c r="D191" i="13"/>
  <c r="C191" i="13"/>
  <c r="B191" i="13"/>
  <c r="M191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N190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N189" i="13"/>
  <c r="M188" i="13"/>
  <c r="N188" i="13"/>
  <c r="E188" i="13"/>
  <c r="B188" i="13"/>
  <c r="C188" i="13"/>
  <c r="D188" i="13"/>
  <c r="F188" i="13"/>
  <c r="G188" i="13"/>
  <c r="H188" i="13"/>
  <c r="I188" i="13"/>
  <c r="J188" i="13"/>
  <c r="K188" i="13"/>
  <c r="L188" i="13"/>
  <c r="J187" i="13"/>
  <c r="K187" i="13"/>
  <c r="M187" i="13"/>
  <c r="N187" i="13"/>
  <c r="E187" i="13"/>
  <c r="I187" i="13"/>
  <c r="H187" i="13"/>
  <c r="G187" i="13"/>
  <c r="F187" i="13"/>
  <c r="D187" i="13"/>
  <c r="C187" i="13"/>
  <c r="B187" i="13"/>
  <c r="L187" i="13"/>
  <c r="F186" i="13"/>
  <c r="E186" i="13"/>
  <c r="D186" i="13"/>
  <c r="C186" i="13"/>
  <c r="B186" i="13"/>
  <c r="M186" i="13"/>
  <c r="L186" i="13"/>
  <c r="K186" i="13"/>
  <c r="J186" i="13"/>
  <c r="I186" i="13"/>
  <c r="H186" i="13"/>
  <c r="G186" i="13"/>
  <c r="N186" i="13"/>
  <c r="M185" i="13"/>
  <c r="L185" i="13"/>
  <c r="K185" i="13"/>
  <c r="J185" i="13"/>
  <c r="H185" i="13"/>
  <c r="I185" i="13"/>
  <c r="G185" i="13"/>
  <c r="F185" i="13"/>
  <c r="N185" i="13"/>
  <c r="E185" i="13"/>
  <c r="D185" i="13"/>
  <c r="C185" i="13"/>
  <c r="B185" i="13"/>
  <c r="L184" i="13"/>
  <c r="K184" i="13"/>
  <c r="J184" i="13"/>
  <c r="I184" i="13"/>
  <c r="H184" i="13"/>
  <c r="N184" i="13"/>
  <c r="F184" i="13"/>
  <c r="E184" i="13"/>
  <c r="D184" i="13"/>
  <c r="G184" i="13"/>
  <c r="C184" i="13"/>
  <c r="B184" i="13"/>
  <c r="M184" i="13"/>
  <c r="N183" i="13"/>
  <c r="M183" i="13"/>
  <c r="L183" i="13"/>
  <c r="K183" i="13"/>
  <c r="J183" i="13"/>
  <c r="I183" i="13"/>
  <c r="G183" i="13"/>
  <c r="F183" i="13"/>
  <c r="E183" i="13"/>
  <c r="D183" i="13"/>
  <c r="C183" i="13"/>
  <c r="B183" i="13"/>
  <c r="H183" i="13"/>
  <c r="B182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E181" i="13"/>
  <c r="F181" i="13"/>
  <c r="G181" i="13"/>
  <c r="H181" i="13"/>
  <c r="N181" i="13"/>
  <c r="I181" i="13"/>
  <c r="J181" i="13"/>
  <c r="K181" i="13"/>
  <c r="L181" i="13"/>
  <c r="M181" i="13"/>
  <c r="B181" i="13"/>
  <c r="C181" i="13"/>
  <c r="D181" i="13"/>
  <c r="E180" i="13"/>
  <c r="D180" i="13"/>
  <c r="I180" i="13"/>
  <c r="B180" i="13"/>
  <c r="J180" i="13"/>
  <c r="K180" i="13"/>
  <c r="L180" i="13"/>
  <c r="M180" i="13"/>
  <c r="N180" i="13"/>
  <c r="C180" i="13"/>
  <c r="H180" i="13"/>
  <c r="G180" i="13"/>
  <c r="F180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D178" i="13"/>
  <c r="C178" i="13"/>
  <c r="B178" i="13"/>
  <c r="E178" i="13"/>
  <c r="N178" i="13"/>
  <c r="L178" i="13"/>
  <c r="K178" i="13"/>
  <c r="J178" i="13"/>
  <c r="I178" i="13"/>
  <c r="H178" i="13"/>
  <c r="M178" i="13"/>
  <c r="G178" i="13"/>
  <c r="F178" i="13"/>
  <c r="J177" i="13"/>
  <c r="K177" i="13"/>
  <c r="L177" i="13"/>
  <c r="M177" i="13"/>
  <c r="N177" i="13"/>
  <c r="B177" i="13"/>
  <c r="C177" i="13"/>
  <c r="D177" i="13"/>
  <c r="E177" i="13"/>
  <c r="F177" i="13"/>
  <c r="G177" i="13"/>
  <c r="H177" i="13"/>
  <c r="I177" i="13"/>
  <c r="K176" i="13"/>
  <c r="N176" i="13"/>
  <c r="M176" i="13"/>
  <c r="L176" i="13"/>
  <c r="H176" i="13"/>
  <c r="J176" i="13"/>
  <c r="I176" i="13"/>
  <c r="G176" i="13"/>
  <c r="F176" i="13"/>
  <c r="E176" i="13"/>
  <c r="D176" i="13"/>
  <c r="C176" i="13"/>
  <c r="B176" i="13"/>
  <c r="F175" i="13"/>
  <c r="E175" i="13"/>
  <c r="B175" i="13"/>
  <c r="C175" i="13"/>
  <c r="D175" i="13"/>
  <c r="N175" i="13"/>
  <c r="M175" i="13"/>
  <c r="L175" i="13"/>
  <c r="K175" i="13"/>
  <c r="J175" i="13"/>
  <c r="I175" i="13"/>
  <c r="H175" i="13"/>
  <c r="G175" i="13"/>
  <c r="F174" i="13"/>
  <c r="E174" i="13"/>
  <c r="D174" i="13"/>
  <c r="C174" i="13"/>
  <c r="B174" i="13"/>
  <c r="N174" i="13"/>
  <c r="M174" i="13"/>
  <c r="L174" i="13"/>
  <c r="K174" i="13"/>
  <c r="J174" i="13"/>
  <c r="I174" i="13"/>
  <c r="H174" i="13"/>
  <c r="G174" i="13"/>
  <c r="B173" i="13"/>
  <c r="M173" i="13"/>
  <c r="L173" i="13"/>
  <c r="K173" i="13"/>
  <c r="J173" i="13"/>
  <c r="N173" i="13"/>
  <c r="I173" i="13"/>
  <c r="H173" i="13"/>
  <c r="G173" i="13"/>
  <c r="F173" i="13"/>
  <c r="D173" i="13"/>
  <c r="E173" i="13"/>
  <c r="C173" i="13"/>
  <c r="K172" i="13"/>
  <c r="L172" i="13"/>
  <c r="M172" i="13"/>
  <c r="J172" i="13"/>
  <c r="B172" i="13"/>
  <c r="C172" i="13"/>
  <c r="D172" i="13"/>
  <c r="E172" i="13"/>
  <c r="F172" i="13"/>
  <c r="G172" i="13"/>
  <c r="H172" i="13"/>
  <c r="I172" i="13"/>
  <c r="N172" i="13"/>
  <c r="N171" i="13"/>
  <c r="M171" i="13"/>
  <c r="L171" i="13"/>
  <c r="K171" i="13"/>
  <c r="J171" i="13"/>
  <c r="H171" i="13"/>
  <c r="G171" i="13"/>
  <c r="F171" i="13"/>
  <c r="E171" i="13"/>
  <c r="D171" i="13"/>
  <c r="C171" i="13"/>
  <c r="B171" i="13"/>
  <c r="I171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B162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B161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B160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B159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B158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B157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B155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B154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B153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B152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B151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N149" i="13"/>
  <c r="M149" i="13"/>
  <c r="L149" i="13"/>
  <c r="K149" i="13"/>
  <c r="E149" i="13"/>
  <c r="H149" i="13"/>
  <c r="D149" i="13"/>
  <c r="C149" i="13"/>
  <c r="J149" i="13"/>
  <c r="I149" i="13"/>
  <c r="G149" i="13"/>
  <c r="B149" i="13"/>
  <c r="F149" i="13"/>
  <c r="I148" i="13"/>
  <c r="J148" i="13"/>
  <c r="K148" i="13"/>
  <c r="L148" i="13"/>
  <c r="N148" i="13"/>
  <c r="B148" i="13"/>
  <c r="M148" i="13"/>
  <c r="C148" i="13"/>
  <c r="D148" i="13"/>
  <c r="E148" i="13"/>
  <c r="F148" i="13"/>
  <c r="G148" i="13"/>
  <c r="H148" i="13"/>
  <c r="N147" i="13"/>
  <c r="B147" i="13"/>
  <c r="C147" i="13"/>
  <c r="D147" i="13"/>
  <c r="E147" i="13"/>
  <c r="F147" i="13"/>
  <c r="G147" i="13"/>
  <c r="H147" i="13"/>
  <c r="I147" i="13"/>
  <c r="K147" i="13"/>
  <c r="L147" i="13"/>
  <c r="J147" i="13"/>
  <c r="M147" i="13"/>
  <c r="N146" i="13"/>
  <c r="M146" i="13"/>
  <c r="L146" i="13"/>
  <c r="K146" i="13"/>
  <c r="I146" i="13"/>
  <c r="H146" i="13"/>
  <c r="G146" i="13"/>
  <c r="F146" i="13"/>
  <c r="E146" i="13"/>
  <c r="D146" i="13"/>
  <c r="C146" i="13"/>
  <c r="J146" i="13"/>
  <c r="B146" i="13"/>
  <c r="B145" i="13"/>
  <c r="H145" i="13"/>
  <c r="C145" i="13"/>
  <c r="D145" i="13"/>
  <c r="E145" i="13"/>
  <c r="G145" i="13"/>
  <c r="J145" i="13"/>
  <c r="N145" i="13"/>
  <c r="M145" i="13"/>
  <c r="L145" i="13"/>
  <c r="K145" i="13"/>
  <c r="I145" i="13"/>
  <c r="F145" i="13"/>
  <c r="H144" i="13"/>
  <c r="F144" i="13"/>
  <c r="E144" i="13"/>
  <c r="D144" i="13"/>
  <c r="C144" i="13"/>
  <c r="B144" i="13"/>
  <c r="G144" i="13"/>
  <c r="N144" i="13"/>
  <c r="M144" i="13"/>
  <c r="L144" i="13"/>
  <c r="K144" i="13"/>
  <c r="J144" i="13"/>
  <c r="I144" i="13"/>
  <c r="N143" i="13"/>
  <c r="H143" i="13"/>
  <c r="J143" i="13"/>
  <c r="K143" i="13"/>
  <c r="L143" i="13"/>
  <c r="M143" i="13"/>
  <c r="I143" i="13"/>
  <c r="G143" i="13"/>
  <c r="F143" i="13"/>
  <c r="E143" i="13"/>
  <c r="D143" i="13"/>
  <c r="C143" i="13"/>
  <c r="B143" i="13"/>
  <c r="I142" i="13"/>
  <c r="F142" i="13"/>
  <c r="E142" i="13"/>
  <c r="M142" i="13"/>
  <c r="B142" i="13"/>
  <c r="G142" i="13"/>
  <c r="C142" i="13"/>
  <c r="D142" i="13"/>
  <c r="H142" i="13"/>
  <c r="N142" i="13"/>
  <c r="L142" i="13"/>
  <c r="K142" i="13"/>
  <c r="J142" i="13"/>
  <c r="J141" i="13"/>
  <c r="L141" i="13"/>
  <c r="M141" i="13"/>
  <c r="B141" i="13"/>
  <c r="C141" i="13"/>
  <c r="K141" i="13"/>
  <c r="E141" i="13"/>
  <c r="F141" i="13"/>
  <c r="N141" i="13"/>
  <c r="G141" i="13"/>
  <c r="H141" i="13"/>
  <c r="I141" i="13"/>
  <c r="D141" i="13"/>
  <c r="C140" i="13"/>
  <c r="D140" i="13"/>
  <c r="E140" i="13"/>
  <c r="F140" i="13"/>
  <c r="H140" i="13"/>
  <c r="I140" i="13"/>
  <c r="J140" i="13"/>
  <c r="K140" i="13"/>
  <c r="L140" i="13"/>
  <c r="M140" i="13"/>
  <c r="N140" i="13"/>
  <c r="G140" i="13"/>
  <c r="B140" i="13"/>
  <c r="E139" i="13"/>
  <c r="B139" i="13"/>
  <c r="C139" i="13"/>
  <c r="D139" i="13"/>
  <c r="N139" i="13"/>
  <c r="F139" i="13"/>
  <c r="G139" i="13"/>
  <c r="H139" i="13"/>
  <c r="I139" i="13"/>
  <c r="J139" i="13"/>
  <c r="K139" i="13"/>
  <c r="L139" i="13"/>
  <c r="M139" i="13"/>
  <c r="N138" i="13"/>
  <c r="F138" i="13"/>
  <c r="B138" i="13"/>
  <c r="C138" i="13"/>
  <c r="D138" i="13"/>
  <c r="E138" i="13"/>
  <c r="G138" i="13"/>
  <c r="I138" i="13"/>
  <c r="J138" i="13"/>
  <c r="K138" i="13"/>
  <c r="L138" i="13"/>
  <c r="M138" i="13"/>
  <c r="H138" i="13"/>
  <c r="G137" i="13"/>
  <c r="N137" i="13"/>
  <c r="M137" i="13"/>
  <c r="L137" i="13"/>
  <c r="K137" i="13"/>
  <c r="J137" i="13"/>
  <c r="I137" i="13"/>
  <c r="H137" i="13"/>
  <c r="F137" i="13"/>
  <c r="E137" i="13"/>
  <c r="D137" i="13"/>
  <c r="C137" i="13"/>
  <c r="B137" i="13"/>
  <c r="B136" i="13"/>
  <c r="D136" i="13"/>
  <c r="N136" i="13"/>
  <c r="M136" i="13"/>
  <c r="L136" i="13"/>
  <c r="I136" i="13"/>
  <c r="J136" i="13"/>
  <c r="K136" i="13"/>
  <c r="H136" i="13"/>
  <c r="G136" i="13"/>
  <c r="F136" i="13"/>
  <c r="E136" i="13"/>
  <c r="C136" i="13"/>
  <c r="J135" i="13"/>
  <c r="E135" i="13"/>
  <c r="D135" i="13"/>
  <c r="C135" i="13"/>
  <c r="B135" i="13"/>
  <c r="F135" i="13"/>
  <c r="G135" i="13"/>
  <c r="H135" i="13"/>
  <c r="I135" i="13"/>
  <c r="K135" i="13"/>
  <c r="L135" i="13"/>
  <c r="M135" i="13"/>
  <c r="N135" i="13"/>
  <c r="D134" i="13"/>
  <c r="B134" i="13"/>
  <c r="C134" i="13"/>
  <c r="E134" i="13"/>
  <c r="F134" i="13"/>
  <c r="N134" i="13"/>
  <c r="M134" i="13"/>
  <c r="L134" i="13"/>
  <c r="K134" i="13"/>
  <c r="I134" i="13"/>
  <c r="H134" i="13"/>
  <c r="G134" i="13"/>
  <c r="J134" i="13"/>
  <c r="C133" i="13"/>
  <c r="B133" i="13"/>
  <c r="N133" i="13"/>
  <c r="D133" i="13"/>
  <c r="E133" i="13"/>
  <c r="F133" i="13"/>
  <c r="G133" i="13"/>
  <c r="L133" i="13"/>
  <c r="H133" i="13"/>
  <c r="I133" i="13"/>
  <c r="J133" i="13"/>
  <c r="K133" i="13"/>
  <c r="M133" i="13"/>
  <c r="J132" i="13"/>
  <c r="K132" i="13"/>
  <c r="L132" i="13"/>
  <c r="M132" i="13"/>
  <c r="C132" i="13"/>
  <c r="N132" i="13"/>
  <c r="B132" i="13"/>
  <c r="D132" i="13"/>
  <c r="I132" i="13"/>
  <c r="E132" i="13"/>
  <c r="F132" i="13"/>
  <c r="G132" i="13"/>
  <c r="H132" i="13"/>
  <c r="L131" i="13"/>
  <c r="D131" i="13"/>
  <c r="G131" i="13"/>
  <c r="H131" i="13"/>
  <c r="I131" i="13"/>
  <c r="J131" i="13"/>
  <c r="N131" i="13"/>
  <c r="M131" i="13"/>
  <c r="K131" i="13"/>
  <c r="B131" i="13"/>
  <c r="C131" i="13"/>
  <c r="E131" i="13"/>
  <c r="F131" i="13"/>
  <c r="G130" i="13"/>
  <c r="H130" i="13"/>
  <c r="J130" i="13"/>
  <c r="K130" i="13"/>
  <c r="L130" i="13"/>
  <c r="N130" i="13"/>
  <c r="M130" i="13"/>
  <c r="I130" i="13"/>
  <c r="B130" i="13"/>
  <c r="C130" i="13"/>
  <c r="D130" i="13"/>
  <c r="E130" i="13"/>
  <c r="F130" i="13"/>
  <c r="H129" i="13"/>
  <c r="G129" i="13"/>
  <c r="F129" i="13"/>
  <c r="E129" i="13"/>
  <c r="D129" i="13"/>
  <c r="K129" i="13"/>
  <c r="L129" i="13"/>
  <c r="M129" i="13"/>
  <c r="N129" i="13"/>
  <c r="C129" i="13"/>
  <c r="B129" i="13"/>
  <c r="J129" i="13"/>
  <c r="I129" i="13"/>
  <c r="N128" i="13"/>
  <c r="M128" i="13"/>
  <c r="L128" i="13"/>
  <c r="K128" i="13"/>
  <c r="J128" i="13"/>
  <c r="H128" i="13"/>
  <c r="G128" i="13"/>
  <c r="F128" i="13"/>
  <c r="E128" i="13"/>
  <c r="D128" i="13"/>
  <c r="C128" i="13"/>
  <c r="B128" i="13"/>
  <c r="I128" i="13"/>
  <c r="M127" i="13"/>
  <c r="K127" i="13"/>
  <c r="F127" i="13"/>
  <c r="N127" i="13"/>
  <c r="B127" i="13"/>
  <c r="D127" i="13"/>
  <c r="L127" i="13"/>
  <c r="J127" i="13"/>
  <c r="C127" i="13"/>
  <c r="I127" i="13"/>
  <c r="H127" i="13"/>
  <c r="G127" i="13"/>
  <c r="E127" i="13"/>
  <c r="E126" i="13"/>
  <c r="L126" i="13"/>
  <c r="B126" i="13"/>
  <c r="C126" i="13"/>
  <c r="D126" i="13"/>
  <c r="F126" i="13"/>
  <c r="G126" i="13"/>
  <c r="H126" i="13"/>
  <c r="I126" i="13"/>
  <c r="J126" i="13"/>
  <c r="K126" i="13"/>
  <c r="M126" i="13"/>
  <c r="N126" i="13"/>
  <c r="M125" i="13"/>
  <c r="N125" i="13"/>
  <c r="C125" i="13"/>
  <c r="B125" i="13"/>
  <c r="D125" i="13"/>
  <c r="H125" i="13"/>
  <c r="G125" i="13"/>
  <c r="F125" i="13"/>
  <c r="I125" i="13"/>
  <c r="J125" i="13"/>
  <c r="K125" i="13"/>
  <c r="E125" i="13"/>
  <c r="L125" i="13"/>
  <c r="H124" i="13"/>
  <c r="D124" i="13"/>
  <c r="I124" i="13"/>
  <c r="F124" i="13"/>
  <c r="N124" i="13"/>
  <c r="M124" i="13"/>
  <c r="L124" i="13"/>
  <c r="C124" i="13"/>
  <c r="J124" i="13"/>
  <c r="G124" i="13"/>
  <c r="B124" i="13"/>
  <c r="E124" i="13"/>
  <c r="K124" i="13"/>
  <c r="G123" i="13"/>
  <c r="F123" i="13"/>
  <c r="D123" i="13"/>
  <c r="C123" i="13"/>
  <c r="B123" i="13"/>
  <c r="E123" i="13"/>
  <c r="N123" i="13"/>
  <c r="M123" i="13"/>
  <c r="L123" i="13"/>
  <c r="K123" i="13"/>
  <c r="J123" i="13"/>
  <c r="I123" i="13"/>
  <c r="H123" i="13"/>
  <c r="E122" i="13"/>
  <c r="B122" i="13"/>
  <c r="D122" i="13"/>
  <c r="J122" i="13"/>
  <c r="K122" i="13"/>
  <c r="L122" i="13"/>
  <c r="C122" i="13"/>
  <c r="M122" i="13"/>
  <c r="N122" i="13"/>
  <c r="F122" i="13"/>
  <c r="I122" i="13"/>
  <c r="H122" i="13"/>
  <c r="G122" i="13"/>
  <c r="H121" i="13"/>
  <c r="G121" i="13"/>
  <c r="N121" i="13"/>
  <c r="M121" i="13"/>
  <c r="L121" i="13"/>
  <c r="F121" i="13"/>
  <c r="K121" i="13"/>
  <c r="J121" i="13"/>
  <c r="E121" i="13"/>
  <c r="D121" i="13"/>
  <c r="I121" i="13"/>
  <c r="C121" i="13"/>
  <c r="B121" i="13"/>
  <c r="C120" i="13"/>
  <c r="L120" i="13"/>
  <c r="M120" i="13"/>
  <c r="N120" i="13"/>
  <c r="K120" i="13"/>
  <c r="D120" i="13"/>
  <c r="B120" i="13"/>
  <c r="E120" i="13"/>
  <c r="F120" i="13"/>
  <c r="G120" i="13"/>
  <c r="H120" i="13"/>
  <c r="I120" i="13"/>
  <c r="J120" i="13"/>
  <c r="G119" i="13"/>
  <c r="F119" i="13"/>
  <c r="E119" i="13"/>
  <c r="D119" i="13"/>
  <c r="C119" i="13"/>
  <c r="B119" i="13"/>
  <c r="L119" i="13"/>
  <c r="N119" i="13"/>
  <c r="M119" i="13"/>
  <c r="K119" i="13"/>
  <c r="J119" i="13"/>
  <c r="I119" i="13"/>
  <c r="H119" i="13"/>
  <c r="E118" i="13"/>
  <c r="D118" i="13"/>
  <c r="C118" i="13"/>
  <c r="B118" i="13"/>
  <c r="M118" i="13"/>
  <c r="N118" i="13"/>
  <c r="K118" i="13"/>
  <c r="L118" i="13"/>
  <c r="J118" i="13"/>
  <c r="I118" i="13"/>
  <c r="H118" i="13"/>
  <c r="G118" i="13"/>
  <c r="F118" i="13"/>
  <c r="N117" i="13"/>
  <c r="M117" i="13"/>
  <c r="L117" i="13"/>
  <c r="K117" i="13"/>
  <c r="J117" i="13"/>
  <c r="I117" i="13"/>
  <c r="H117" i="13"/>
  <c r="G117" i="13"/>
  <c r="F117" i="13"/>
  <c r="D117" i="13"/>
  <c r="C117" i="13"/>
  <c r="B117" i="13"/>
  <c r="E117" i="13"/>
  <c r="E116" i="13"/>
  <c r="N116" i="13"/>
  <c r="C116" i="13"/>
  <c r="B116" i="13"/>
  <c r="M116" i="13"/>
  <c r="L116" i="13"/>
  <c r="K116" i="13"/>
  <c r="J116" i="13"/>
  <c r="I116" i="13"/>
  <c r="H116" i="13"/>
  <c r="G116" i="13"/>
  <c r="F116" i="13"/>
  <c r="D116" i="13"/>
  <c r="J115" i="13"/>
  <c r="K115" i="13"/>
  <c r="L115" i="13"/>
  <c r="M115" i="13"/>
  <c r="N115" i="13"/>
  <c r="B115" i="13"/>
  <c r="C115" i="13"/>
  <c r="D115" i="13"/>
  <c r="E115" i="13"/>
  <c r="F115" i="13"/>
  <c r="G115" i="13"/>
  <c r="H115" i="13"/>
  <c r="I115" i="13"/>
  <c r="F114" i="13"/>
  <c r="E114" i="13"/>
  <c r="D114" i="13"/>
  <c r="C114" i="13"/>
  <c r="B114" i="13"/>
  <c r="I114" i="13"/>
  <c r="J114" i="13"/>
  <c r="K114" i="13"/>
  <c r="N114" i="13"/>
  <c r="L114" i="13"/>
  <c r="M114" i="13"/>
  <c r="G114" i="13"/>
  <c r="H114" i="13"/>
  <c r="M113" i="13"/>
  <c r="L113" i="13"/>
  <c r="K113" i="13"/>
  <c r="J113" i="13"/>
  <c r="N113" i="13"/>
  <c r="I113" i="13"/>
  <c r="H113" i="13"/>
  <c r="G113" i="13"/>
  <c r="F113" i="13"/>
  <c r="E113" i="13"/>
  <c r="D113" i="13"/>
  <c r="C113" i="13"/>
  <c r="B113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N111" i="13"/>
  <c r="D111" i="13"/>
  <c r="C111" i="13"/>
  <c r="B111" i="13"/>
  <c r="J111" i="13"/>
  <c r="K111" i="13"/>
  <c r="M111" i="13"/>
  <c r="L111" i="13"/>
  <c r="F111" i="13"/>
  <c r="E111" i="13"/>
  <c r="G111" i="13"/>
  <c r="H111" i="13"/>
  <c r="I111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C108" i="13"/>
  <c r="B108" i="13"/>
  <c r="I108" i="13"/>
  <c r="J108" i="13"/>
  <c r="H108" i="13"/>
  <c r="G108" i="13"/>
  <c r="F108" i="13"/>
  <c r="E108" i="13"/>
  <c r="D108" i="13"/>
  <c r="N108" i="13"/>
  <c r="M108" i="13"/>
  <c r="L108" i="13"/>
  <c r="K108" i="13"/>
  <c r="C107" i="13"/>
  <c r="D107" i="13"/>
  <c r="E107" i="13"/>
  <c r="G107" i="13"/>
  <c r="H107" i="13"/>
  <c r="L107" i="13"/>
  <c r="F107" i="13"/>
  <c r="I107" i="13"/>
  <c r="J107" i="13"/>
  <c r="K107" i="13"/>
  <c r="N107" i="13"/>
  <c r="M107" i="13"/>
  <c r="B107" i="13"/>
  <c r="M106" i="13"/>
  <c r="L106" i="13"/>
  <c r="K106" i="13"/>
  <c r="J106" i="13"/>
  <c r="D106" i="13"/>
  <c r="I106" i="13"/>
  <c r="G106" i="13"/>
  <c r="F106" i="13"/>
  <c r="E106" i="13"/>
  <c r="C106" i="13"/>
  <c r="B106" i="13"/>
  <c r="H106" i="13"/>
  <c r="N106" i="13"/>
  <c r="N105" i="13"/>
  <c r="M105" i="13"/>
  <c r="L105" i="13"/>
  <c r="K105" i="13"/>
  <c r="J105" i="13"/>
  <c r="H105" i="13"/>
  <c r="F105" i="13"/>
  <c r="E105" i="13"/>
  <c r="D105" i="13"/>
  <c r="I105" i="13"/>
  <c r="G105" i="13"/>
  <c r="B105" i="13"/>
  <c r="C105" i="13"/>
  <c r="D104" i="13"/>
  <c r="I104" i="13"/>
  <c r="H104" i="13"/>
  <c r="G104" i="13"/>
  <c r="J104" i="13"/>
  <c r="E104" i="13"/>
  <c r="F104" i="13"/>
  <c r="K104" i="13"/>
  <c r="C104" i="13"/>
  <c r="B104" i="13"/>
  <c r="J103" i="13"/>
  <c r="I103" i="13"/>
  <c r="H103" i="13"/>
  <c r="G103" i="13"/>
  <c r="F103" i="13"/>
  <c r="E103" i="13"/>
  <c r="C103" i="13"/>
  <c r="B103" i="13"/>
  <c r="D103" i="13"/>
  <c r="N103" i="13"/>
  <c r="M103" i="13"/>
  <c r="L103" i="13"/>
  <c r="K103" i="13"/>
  <c r="K102" i="13"/>
  <c r="J102" i="13"/>
  <c r="H102" i="13"/>
  <c r="G102" i="13"/>
  <c r="F102" i="13"/>
  <c r="M102" i="13"/>
  <c r="L102" i="13"/>
  <c r="N102" i="13"/>
  <c r="I102" i="13"/>
  <c r="E102" i="13"/>
  <c r="D102" i="13"/>
  <c r="C102" i="13"/>
  <c r="B102" i="13"/>
  <c r="G101" i="13"/>
  <c r="F101" i="13"/>
  <c r="E101" i="13"/>
  <c r="D101" i="13"/>
  <c r="C101" i="13"/>
  <c r="B101" i="13"/>
  <c r="N101" i="13"/>
  <c r="M101" i="13"/>
  <c r="L101" i="13"/>
  <c r="K101" i="13"/>
  <c r="J101" i="13"/>
  <c r="I101" i="13"/>
  <c r="H101" i="13"/>
  <c r="M100" i="13"/>
  <c r="N100" i="13"/>
  <c r="E100" i="13"/>
  <c r="I100" i="13"/>
  <c r="C100" i="13"/>
  <c r="G100" i="13"/>
  <c r="D100" i="13"/>
  <c r="B100" i="13"/>
  <c r="H100" i="13"/>
  <c r="J100" i="13"/>
  <c r="K100" i="13"/>
  <c r="L100" i="13"/>
  <c r="F100" i="13"/>
  <c r="G99" i="13"/>
  <c r="H99" i="13"/>
  <c r="I99" i="13"/>
  <c r="J99" i="13"/>
  <c r="K99" i="13"/>
  <c r="L99" i="13"/>
  <c r="M99" i="13"/>
  <c r="N99" i="13"/>
  <c r="B99" i="13"/>
  <c r="C99" i="13"/>
  <c r="D99" i="13"/>
  <c r="E99" i="13"/>
  <c r="F99" i="13"/>
  <c r="L98" i="13"/>
  <c r="J98" i="13"/>
  <c r="I98" i="13"/>
  <c r="H98" i="13"/>
  <c r="G98" i="13"/>
  <c r="E98" i="13"/>
  <c r="D98" i="13"/>
  <c r="C98" i="13"/>
  <c r="B98" i="13"/>
  <c r="N98" i="13"/>
  <c r="K98" i="13"/>
  <c r="M98" i="13"/>
  <c r="F98" i="13"/>
  <c r="C97" i="13"/>
  <c r="D97" i="13"/>
  <c r="E97" i="13"/>
  <c r="F97" i="13"/>
  <c r="G97" i="13"/>
  <c r="I97" i="13"/>
  <c r="J97" i="13"/>
  <c r="M97" i="13"/>
  <c r="N97" i="13"/>
  <c r="L97" i="13"/>
  <c r="K97" i="13"/>
  <c r="B97" i="13"/>
  <c r="H97" i="13"/>
  <c r="C96" i="13"/>
  <c r="B96" i="13"/>
  <c r="N96" i="13"/>
  <c r="M96" i="13"/>
  <c r="L96" i="13"/>
  <c r="K96" i="13"/>
  <c r="J96" i="13"/>
  <c r="I96" i="13"/>
  <c r="H96" i="13"/>
  <c r="G96" i="13"/>
  <c r="F96" i="13"/>
  <c r="E96" i="13"/>
  <c r="D96" i="13"/>
  <c r="M95" i="13"/>
  <c r="E95" i="13"/>
  <c r="N95" i="13"/>
  <c r="I95" i="13"/>
  <c r="J95" i="13"/>
  <c r="B95" i="13"/>
  <c r="K95" i="13"/>
  <c r="C95" i="13"/>
  <c r="D95" i="13"/>
  <c r="F95" i="13"/>
  <c r="G95" i="13"/>
  <c r="L95" i="13"/>
  <c r="H95" i="13"/>
  <c r="L94" i="13"/>
  <c r="F94" i="13"/>
  <c r="B94" i="13"/>
  <c r="C94" i="13"/>
  <c r="D94" i="13"/>
  <c r="E94" i="13"/>
  <c r="G94" i="13"/>
  <c r="H94" i="13"/>
  <c r="I94" i="13"/>
  <c r="J94" i="13"/>
  <c r="K94" i="13"/>
  <c r="M94" i="13"/>
  <c r="N94" i="13"/>
  <c r="H93" i="13"/>
  <c r="G93" i="13"/>
  <c r="F93" i="13"/>
  <c r="E93" i="13"/>
  <c r="C93" i="13"/>
  <c r="B93" i="13"/>
  <c r="L93" i="13"/>
  <c r="M93" i="13"/>
  <c r="D93" i="13"/>
  <c r="I93" i="13"/>
  <c r="J93" i="13"/>
  <c r="K93" i="13"/>
  <c r="N93" i="13"/>
  <c r="N92" i="13"/>
  <c r="M92" i="13"/>
  <c r="L92" i="13"/>
  <c r="K92" i="13"/>
  <c r="G92" i="13"/>
  <c r="H92" i="13"/>
  <c r="C92" i="13"/>
  <c r="D92" i="13"/>
  <c r="J92" i="13"/>
  <c r="I92" i="13"/>
  <c r="E92" i="13"/>
  <c r="F92" i="13"/>
  <c r="B92" i="13"/>
  <c r="G91" i="13"/>
  <c r="H91" i="13"/>
  <c r="J91" i="13"/>
  <c r="K91" i="13"/>
  <c r="M91" i="13"/>
  <c r="N91" i="13"/>
  <c r="B91" i="13"/>
  <c r="I91" i="13"/>
  <c r="L91" i="13"/>
  <c r="C91" i="13"/>
  <c r="D91" i="13"/>
  <c r="E91" i="13"/>
  <c r="F91" i="13"/>
  <c r="B90" i="13"/>
  <c r="C90" i="13"/>
  <c r="N90" i="13"/>
  <c r="M90" i="13"/>
  <c r="L90" i="13"/>
  <c r="K90" i="13"/>
  <c r="J90" i="13"/>
  <c r="I90" i="13"/>
  <c r="H90" i="13"/>
  <c r="G90" i="13"/>
  <c r="F90" i="13"/>
  <c r="E90" i="13"/>
  <c r="D90" i="13"/>
  <c r="G89" i="13"/>
  <c r="H89" i="13"/>
  <c r="I89" i="13"/>
  <c r="J89" i="13"/>
  <c r="K89" i="13"/>
  <c r="E89" i="13"/>
  <c r="L89" i="13"/>
  <c r="M89" i="13"/>
  <c r="N89" i="13"/>
  <c r="B89" i="13"/>
  <c r="C89" i="13"/>
  <c r="D89" i="13"/>
  <c r="F89" i="13"/>
  <c r="G88" i="13"/>
  <c r="N88" i="13"/>
  <c r="M88" i="13"/>
  <c r="L88" i="13"/>
  <c r="K88" i="13"/>
  <c r="J88" i="13"/>
  <c r="I88" i="13"/>
  <c r="H88" i="13"/>
  <c r="F88" i="13"/>
  <c r="E88" i="13"/>
  <c r="D88" i="13"/>
  <c r="C88" i="13"/>
  <c r="B88" i="13"/>
  <c r="N87" i="13"/>
  <c r="M87" i="13"/>
  <c r="L87" i="13"/>
  <c r="K87" i="13"/>
  <c r="J87" i="13"/>
  <c r="I87" i="13"/>
  <c r="H87" i="13"/>
  <c r="G87" i="13"/>
  <c r="E87" i="13"/>
  <c r="F87" i="13"/>
  <c r="D87" i="13"/>
  <c r="C87" i="13"/>
  <c r="B87" i="13"/>
  <c r="B86" i="13"/>
  <c r="K86" i="13"/>
  <c r="F86" i="13"/>
  <c r="N86" i="13"/>
  <c r="M86" i="13"/>
  <c r="L86" i="13"/>
  <c r="J86" i="13"/>
  <c r="I86" i="13"/>
  <c r="H86" i="13"/>
  <c r="G86" i="13"/>
  <c r="E86" i="13"/>
  <c r="D86" i="13"/>
  <c r="C86" i="13"/>
  <c r="E85" i="13"/>
  <c r="N85" i="13"/>
  <c r="B85" i="13"/>
  <c r="C85" i="13"/>
  <c r="D85" i="13"/>
  <c r="F85" i="13"/>
  <c r="G85" i="13"/>
  <c r="H85" i="13"/>
  <c r="I85" i="13"/>
  <c r="J85" i="13"/>
  <c r="K85" i="13"/>
  <c r="L85" i="13"/>
  <c r="M85" i="13"/>
  <c r="E84" i="13"/>
  <c r="B84" i="13"/>
  <c r="M84" i="13"/>
  <c r="K84" i="13"/>
  <c r="J84" i="13"/>
  <c r="I84" i="13"/>
  <c r="H84" i="13"/>
  <c r="G84" i="13"/>
  <c r="F84" i="13"/>
  <c r="N84" i="13"/>
  <c r="L84" i="13"/>
  <c r="D84" i="13"/>
  <c r="C84" i="13"/>
  <c r="B83" i="13"/>
  <c r="C83" i="13"/>
  <c r="N83" i="13"/>
  <c r="M83" i="13"/>
  <c r="L83" i="13"/>
  <c r="K83" i="13"/>
  <c r="J83" i="13"/>
  <c r="I83" i="13"/>
  <c r="H83" i="13"/>
  <c r="G83" i="13"/>
  <c r="F83" i="13"/>
  <c r="E83" i="13"/>
  <c r="D83" i="13"/>
  <c r="B82" i="13"/>
  <c r="C82" i="13"/>
  <c r="M82" i="13"/>
  <c r="N82" i="13"/>
  <c r="K82" i="13"/>
  <c r="J82" i="13"/>
  <c r="I82" i="13"/>
  <c r="H82" i="13"/>
  <c r="G82" i="13"/>
  <c r="F82" i="13"/>
  <c r="E82" i="13"/>
  <c r="D82" i="13"/>
  <c r="L82" i="13"/>
  <c r="C81" i="13"/>
  <c r="B81" i="13"/>
  <c r="N81" i="13"/>
  <c r="M81" i="13"/>
  <c r="L81" i="13"/>
  <c r="K81" i="13"/>
  <c r="J81" i="13"/>
  <c r="I81" i="13"/>
  <c r="H81" i="13"/>
  <c r="G81" i="13"/>
  <c r="F81" i="13"/>
  <c r="E81" i="13"/>
  <c r="D81" i="13"/>
  <c r="I80" i="13"/>
  <c r="J80" i="13"/>
  <c r="N80" i="13"/>
  <c r="M80" i="13"/>
  <c r="L80" i="13"/>
  <c r="K80" i="13"/>
  <c r="H80" i="13"/>
  <c r="G80" i="13"/>
  <c r="F80" i="13"/>
  <c r="E80" i="13"/>
  <c r="C80" i="13"/>
  <c r="B80" i="13"/>
  <c r="D80" i="13"/>
  <c r="D79" i="13"/>
  <c r="C79" i="13"/>
  <c r="M79" i="13"/>
  <c r="N79" i="13"/>
  <c r="B79" i="13"/>
  <c r="L79" i="13"/>
  <c r="K79" i="13"/>
  <c r="J79" i="13"/>
  <c r="I79" i="13"/>
  <c r="H79" i="13"/>
  <c r="G79" i="13"/>
  <c r="F79" i="13"/>
  <c r="E79" i="13"/>
  <c r="D78" i="13"/>
  <c r="C78" i="13"/>
  <c r="B78" i="13"/>
  <c r="M78" i="13"/>
  <c r="N78" i="13"/>
  <c r="L78" i="13"/>
  <c r="K78" i="13"/>
  <c r="J78" i="13"/>
  <c r="I78" i="13"/>
  <c r="H78" i="13"/>
  <c r="G78" i="13"/>
  <c r="F78" i="13"/>
  <c r="E78" i="13"/>
  <c r="N77" i="13"/>
  <c r="M77" i="13"/>
  <c r="L77" i="13"/>
  <c r="K77" i="13"/>
  <c r="J77" i="13"/>
  <c r="I77" i="13"/>
  <c r="H77" i="13"/>
  <c r="G77" i="13"/>
  <c r="E77" i="13"/>
  <c r="D77" i="13"/>
  <c r="C77" i="13"/>
  <c r="B77" i="13"/>
  <c r="F77" i="13"/>
  <c r="C76" i="13"/>
  <c r="B76" i="13"/>
  <c r="D76" i="13"/>
  <c r="N76" i="13"/>
  <c r="M76" i="13"/>
  <c r="L76" i="13"/>
  <c r="K76" i="13"/>
  <c r="J76" i="13"/>
  <c r="I76" i="13"/>
  <c r="H76" i="13"/>
  <c r="G76" i="13"/>
  <c r="F76" i="13"/>
  <c r="E76" i="13"/>
  <c r="C75" i="13"/>
  <c r="B75" i="13"/>
  <c r="K75" i="13"/>
  <c r="L75" i="13"/>
  <c r="M75" i="13"/>
  <c r="N75" i="13"/>
  <c r="D75" i="13"/>
  <c r="E75" i="13"/>
  <c r="F75" i="13"/>
  <c r="G75" i="13"/>
  <c r="H75" i="13"/>
  <c r="I75" i="13"/>
  <c r="J75" i="13"/>
  <c r="N74" i="13"/>
  <c r="D74" i="13"/>
  <c r="E74" i="13"/>
  <c r="F74" i="13"/>
  <c r="G74" i="13"/>
  <c r="H74" i="13"/>
  <c r="I74" i="13"/>
  <c r="K74" i="13"/>
  <c r="J74" i="13"/>
  <c r="M74" i="13"/>
  <c r="L74" i="13"/>
  <c r="B74" i="13"/>
  <c r="C74" i="13"/>
  <c r="N73" i="13"/>
  <c r="M73" i="13"/>
  <c r="B73" i="13"/>
  <c r="I73" i="13"/>
  <c r="C73" i="13"/>
  <c r="L73" i="13"/>
  <c r="D73" i="13"/>
  <c r="E73" i="13"/>
  <c r="F73" i="13"/>
  <c r="G73" i="13"/>
  <c r="H73" i="13"/>
  <c r="J73" i="13"/>
  <c r="K73" i="13"/>
  <c r="G72" i="13"/>
  <c r="J72" i="13"/>
  <c r="M72" i="13"/>
  <c r="H72" i="13"/>
  <c r="D72" i="13"/>
  <c r="I72" i="13"/>
  <c r="L72" i="13"/>
  <c r="B72" i="13"/>
  <c r="C72" i="13"/>
  <c r="K72" i="13"/>
  <c r="E72" i="13"/>
  <c r="N72" i="13"/>
  <c r="F72" i="13"/>
  <c r="I71" i="13"/>
  <c r="C71" i="13"/>
  <c r="B71" i="13"/>
  <c r="E71" i="13"/>
  <c r="F71" i="13"/>
  <c r="G71" i="13"/>
  <c r="H71" i="13"/>
  <c r="J71" i="13"/>
  <c r="K71" i="13"/>
  <c r="D71" i="13"/>
  <c r="L71" i="13"/>
  <c r="M71" i="13"/>
  <c r="N71" i="13"/>
  <c r="I70" i="13"/>
  <c r="N70" i="13"/>
  <c r="M70" i="13"/>
  <c r="L70" i="13"/>
  <c r="K70" i="13"/>
  <c r="J70" i="13"/>
  <c r="B70" i="13"/>
  <c r="C70" i="13"/>
  <c r="D70" i="13"/>
  <c r="E70" i="13"/>
  <c r="F70" i="13"/>
  <c r="G70" i="13"/>
  <c r="H70" i="13"/>
  <c r="N69" i="13"/>
  <c r="M69" i="13"/>
  <c r="L69" i="13"/>
  <c r="K69" i="13"/>
  <c r="I69" i="13"/>
  <c r="H69" i="13"/>
  <c r="G69" i="13"/>
  <c r="F69" i="13"/>
  <c r="E69" i="13"/>
  <c r="D69" i="13"/>
  <c r="C69" i="13"/>
  <c r="B69" i="13"/>
  <c r="J69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G64" i="13"/>
  <c r="F64" i="13"/>
  <c r="E64" i="13"/>
  <c r="D64" i="13"/>
  <c r="K64" i="13" s="1"/>
  <c r="C64" i="13"/>
  <c r="B64" i="13"/>
  <c r="G63" i="13"/>
  <c r="F63" i="13"/>
  <c r="E63" i="13"/>
  <c r="D63" i="13"/>
  <c r="K63" i="13" s="1"/>
  <c r="C63" i="13"/>
  <c r="B63" i="13"/>
  <c r="G62" i="13"/>
  <c r="F62" i="13"/>
  <c r="E62" i="13"/>
  <c r="D62" i="13"/>
  <c r="K62" i="13" s="1"/>
  <c r="C62" i="13"/>
  <c r="B62" i="13"/>
  <c r="G61" i="13"/>
  <c r="F61" i="13"/>
  <c r="E61" i="13"/>
  <c r="D61" i="13"/>
  <c r="K61" i="13" s="1"/>
  <c r="C61" i="13"/>
  <c r="B61" i="13"/>
  <c r="G60" i="13"/>
  <c r="F60" i="13"/>
  <c r="E60" i="13"/>
  <c r="D60" i="13"/>
  <c r="K60" i="13" s="1"/>
  <c r="C60" i="13"/>
  <c r="B60" i="13"/>
  <c r="G59" i="13"/>
  <c r="F59" i="13"/>
  <c r="E59" i="13"/>
  <c r="D59" i="13"/>
  <c r="K59" i="13" s="1"/>
  <c r="C59" i="13"/>
  <c r="B59" i="13"/>
  <c r="D58" i="13"/>
  <c r="B58" i="13"/>
  <c r="C58" i="13"/>
  <c r="E58" i="13"/>
  <c r="F58" i="13"/>
  <c r="G58" i="13"/>
  <c r="H58" i="13"/>
  <c r="I58" i="13"/>
  <c r="J58" i="13"/>
  <c r="K58" i="13"/>
  <c r="E57" i="13"/>
  <c r="D57" i="13"/>
  <c r="C57" i="13"/>
  <c r="B57" i="13"/>
  <c r="G57" i="13"/>
  <c r="J57" i="13"/>
  <c r="K57" i="13"/>
  <c r="F57" i="13"/>
  <c r="H57" i="13" s="1"/>
  <c r="E56" i="13"/>
  <c r="B56" i="13"/>
  <c r="J56" i="13" s="1"/>
  <c r="C56" i="13"/>
  <c r="D56" i="13"/>
  <c r="K56" i="13" s="1"/>
  <c r="F56" i="13"/>
  <c r="G56" i="13"/>
  <c r="H56" i="13"/>
  <c r="D55" i="13"/>
  <c r="B55" i="13"/>
  <c r="K55" i="13"/>
  <c r="C55" i="13"/>
  <c r="J55" i="13"/>
  <c r="G55" i="13"/>
  <c r="F55" i="13"/>
  <c r="E55" i="13"/>
  <c r="H55" i="13" s="1"/>
  <c r="F54" i="13"/>
  <c r="B54" i="13"/>
  <c r="C54" i="13"/>
  <c r="D54" i="13"/>
  <c r="E54" i="13"/>
  <c r="G54" i="13"/>
  <c r="H54" i="13"/>
  <c r="N54" i="13" s="1"/>
  <c r="I54" i="13"/>
  <c r="J54" i="13"/>
  <c r="K54" i="13"/>
  <c r="L54" i="13"/>
  <c r="M54" i="13"/>
  <c r="B53" i="13"/>
  <c r="D53" i="13"/>
  <c r="E53" i="13"/>
  <c r="F53" i="13"/>
  <c r="G53" i="13"/>
  <c r="C53" i="13"/>
  <c r="H53" i="13" s="1"/>
  <c r="J53" i="13"/>
  <c r="K53" i="13"/>
  <c r="B52" i="13"/>
  <c r="D52" i="13"/>
  <c r="E52" i="13"/>
  <c r="F52" i="13"/>
  <c r="J52" i="13"/>
  <c r="G52" i="13"/>
  <c r="C52" i="13"/>
  <c r="H52" i="13" s="1"/>
  <c r="K52" i="13"/>
  <c r="G51" i="13"/>
  <c r="F51" i="13"/>
  <c r="E51" i="13"/>
  <c r="D51" i="13"/>
  <c r="K51" i="13" s="1"/>
  <c r="B51" i="13"/>
  <c r="C51" i="13"/>
  <c r="B50" i="13"/>
  <c r="C50" i="13"/>
  <c r="J50" i="13"/>
  <c r="G50" i="13"/>
  <c r="F50" i="13"/>
  <c r="E50" i="13"/>
  <c r="D50" i="13"/>
  <c r="B49" i="13"/>
  <c r="D49" i="13"/>
  <c r="E49" i="13"/>
  <c r="F49" i="13"/>
  <c r="G49" i="13"/>
  <c r="J49" i="13"/>
  <c r="K49" i="13"/>
  <c r="C49" i="13"/>
  <c r="H49" i="13" s="1"/>
  <c r="B48" i="13"/>
  <c r="C48" i="13"/>
  <c r="D48" i="13"/>
  <c r="E48" i="13"/>
  <c r="F48" i="13"/>
  <c r="G48" i="13"/>
  <c r="H48" i="13"/>
  <c r="L48" i="13" s="1"/>
  <c r="I48" i="13"/>
  <c r="J48" i="13"/>
  <c r="K48" i="13"/>
  <c r="N48" i="13"/>
  <c r="M48" i="13"/>
  <c r="C47" i="13"/>
  <c r="B47" i="13"/>
  <c r="J47" i="13"/>
  <c r="G47" i="13"/>
  <c r="F47" i="13"/>
  <c r="E47" i="13"/>
  <c r="D47" i="13"/>
  <c r="B46" i="13"/>
  <c r="G46" i="13"/>
  <c r="F46" i="13"/>
  <c r="E46" i="13"/>
  <c r="D46" i="13"/>
  <c r="K46" i="13" s="1"/>
  <c r="C46" i="13"/>
  <c r="F45" i="13"/>
  <c r="B45" i="13"/>
  <c r="C45" i="13"/>
  <c r="D45" i="13"/>
  <c r="K45" i="13" s="1"/>
  <c r="E45" i="13"/>
  <c r="G45" i="13"/>
  <c r="H45" i="13"/>
  <c r="I45" i="13"/>
  <c r="N45" i="13"/>
  <c r="J45" i="13"/>
  <c r="E44" i="13"/>
  <c r="B44" i="13"/>
  <c r="J44" i="13" s="1"/>
  <c r="C44" i="13"/>
  <c r="D44" i="13"/>
  <c r="K44" i="13" s="1"/>
  <c r="F44" i="13"/>
  <c r="G44" i="13"/>
  <c r="H44" i="13"/>
  <c r="I44" i="13"/>
  <c r="M44" i="13"/>
  <c r="B43" i="13"/>
  <c r="C43" i="13"/>
  <c r="D43" i="13"/>
  <c r="E43" i="13"/>
  <c r="F43" i="13"/>
  <c r="H43" i="13"/>
  <c r="I43" i="13"/>
  <c r="J43" i="13"/>
  <c r="K43" i="13"/>
  <c r="M43" i="13"/>
  <c r="N43" i="13"/>
  <c r="G43" i="13"/>
  <c r="L43" i="13"/>
  <c r="F42" i="13"/>
  <c r="C42" i="13"/>
  <c r="G42" i="13"/>
  <c r="E42" i="13"/>
  <c r="D42" i="13"/>
  <c r="K42" i="13" s="1"/>
  <c r="B42" i="13"/>
  <c r="C41" i="13"/>
  <c r="B41" i="13"/>
  <c r="D41" i="13"/>
  <c r="K41" i="13" s="1"/>
  <c r="E41" i="13"/>
  <c r="F41" i="13"/>
  <c r="G41" i="13"/>
  <c r="H41" i="13"/>
  <c r="I41" i="13"/>
  <c r="J41" i="13"/>
  <c r="L41" i="13"/>
  <c r="M41" i="13"/>
  <c r="N41" i="13"/>
  <c r="G40" i="13"/>
  <c r="F40" i="13"/>
  <c r="E40" i="13"/>
  <c r="D40" i="13"/>
  <c r="K40" i="13" s="1"/>
  <c r="B40" i="13"/>
  <c r="C40" i="13"/>
  <c r="D39" i="13"/>
  <c r="G39" i="13"/>
  <c r="B39" i="13"/>
  <c r="C39" i="13"/>
  <c r="E39" i="13"/>
  <c r="F39" i="13"/>
  <c r="H39" i="13"/>
  <c r="M39" i="13" s="1"/>
  <c r="I39" i="13"/>
  <c r="J39" i="13"/>
  <c r="K39" i="13"/>
  <c r="L39" i="13"/>
  <c r="N39" i="13"/>
  <c r="G38" i="13"/>
  <c r="F38" i="13"/>
  <c r="E38" i="13"/>
  <c r="D38" i="13"/>
  <c r="K38" i="13" s="1"/>
  <c r="C38" i="13"/>
  <c r="B38" i="13"/>
  <c r="C37" i="13"/>
  <c r="D37" i="13"/>
  <c r="E37" i="13"/>
  <c r="G37" i="13"/>
  <c r="K37" i="13"/>
  <c r="B37" i="13"/>
  <c r="F37" i="13"/>
  <c r="C36" i="13"/>
  <c r="B36" i="13"/>
  <c r="J36" i="13"/>
  <c r="G36" i="13"/>
  <c r="F36" i="13"/>
  <c r="E36" i="13"/>
  <c r="D36" i="13"/>
  <c r="B35" i="13"/>
  <c r="C35" i="13"/>
  <c r="D35" i="13"/>
  <c r="K35" i="13" s="1"/>
  <c r="E35" i="13"/>
  <c r="F35" i="13"/>
  <c r="G35" i="13"/>
  <c r="G34" i="13"/>
  <c r="F34" i="13"/>
  <c r="B34" i="13"/>
  <c r="J34" i="13" s="1"/>
  <c r="C34" i="13"/>
  <c r="H34" i="13" s="1"/>
  <c r="D34" i="13"/>
  <c r="K34" i="13" s="1"/>
  <c r="E34" i="13"/>
  <c r="F33" i="13"/>
  <c r="G33" i="13"/>
  <c r="B33" i="13"/>
  <c r="J33" i="13" s="1"/>
  <c r="C33" i="13"/>
  <c r="D33" i="13"/>
  <c r="K33" i="13" s="1"/>
  <c r="E33" i="13"/>
  <c r="H33" i="13"/>
  <c r="G32" i="13"/>
  <c r="B32" i="13"/>
  <c r="C32" i="13"/>
  <c r="D32" i="13"/>
  <c r="E32" i="13"/>
  <c r="F32" i="13"/>
  <c r="H32" i="13"/>
  <c r="I32" i="13"/>
  <c r="J32" i="13"/>
  <c r="K32" i="13"/>
  <c r="M32" i="13"/>
  <c r="N32" i="13"/>
  <c r="L32" i="13"/>
  <c r="B31" i="13"/>
  <c r="C31" i="13"/>
  <c r="D31" i="13"/>
  <c r="E31" i="13"/>
  <c r="F31" i="13"/>
  <c r="H31" i="13"/>
  <c r="I31" i="13" s="1"/>
  <c r="G31" i="13"/>
  <c r="N31" i="13"/>
  <c r="M31" i="13"/>
  <c r="L31" i="13"/>
  <c r="K31" i="13"/>
  <c r="J31" i="13"/>
  <c r="C30" i="13"/>
  <c r="B30" i="13"/>
  <c r="G30" i="13"/>
  <c r="D30" i="13"/>
  <c r="E30" i="13"/>
  <c r="F30" i="13"/>
  <c r="H30" i="13"/>
  <c r="I30" i="13"/>
  <c r="J30" i="13"/>
  <c r="K30" i="13"/>
  <c r="L30" i="13"/>
  <c r="M30" i="13"/>
  <c r="N30" i="13"/>
  <c r="F29" i="13"/>
  <c r="G29" i="13"/>
  <c r="C29" i="13"/>
  <c r="E29" i="13"/>
  <c r="B29" i="13"/>
  <c r="D29" i="13"/>
  <c r="K29" i="13" s="1"/>
  <c r="B28" i="13"/>
  <c r="C28" i="13"/>
  <c r="D28" i="13"/>
  <c r="E28" i="13"/>
  <c r="F28" i="13"/>
  <c r="H28" i="13"/>
  <c r="I28" i="13"/>
  <c r="J28" i="13"/>
  <c r="G28" i="13"/>
  <c r="L28" i="13"/>
  <c r="M28" i="13"/>
  <c r="N28" i="13"/>
  <c r="K28" i="13"/>
  <c r="G27" i="13"/>
  <c r="F27" i="13"/>
  <c r="E27" i="13"/>
  <c r="D27" i="13"/>
  <c r="K27" i="13" s="1"/>
  <c r="C27" i="13"/>
  <c r="B27" i="13"/>
  <c r="J27" i="13" s="1"/>
  <c r="H27" i="13"/>
  <c r="G26" i="13"/>
  <c r="F26" i="13"/>
  <c r="E26" i="13"/>
  <c r="D26" i="13"/>
  <c r="K26" i="13" s="1"/>
  <c r="C26" i="13"/>
  <c r="B26" i="13"/>
  <c r="G25" i="13"/>
  <c r="F25" i="13"/>
  <c r="E25" i="13"/>
  <c r="D25" i="13"/>
  <c r="K25" i="13" s="1"/>
  <c r="C25" i="13"/>
  <c r="B25" i="13"/>
  <c r="G24" i="13"/>
  <c r="F24" i="13"/>
  <c r="E24" i="13"/>
  <c r="D24" i="13"/>
  <c r="K24" i="13" s="1"/>
  <c r="C24" i="13"/>
  <c r="B24" i="13"/>
  <c r="B23" i="13"/>
  <c r="C23" i="13"/>
  <c r="D23" i="13"/>
  <c r="E23" i="13"/>
  <c r="F23" i="13"/>
  <c r="G23" i="13"/>
  <c r="H23" i="13"/>
  <c r="N23" i="13" s="1"/>
  <c r="I23" i="13"/>
  <c r="J23" i="13"/>
  <c r="K23" i="13"/>
  <c r="L23" i="13"/>
  <c r="M23" i="13"/>
  <c r="G22" i="13"/>
  <c r="F22" i="13"/>
  <c r="E22" i="13"/>
  <c r="D22" i="13"/>
  <c r="K22" i="13" s="1"/>
  <c r="C22" i="13"/>
  <c r="B22" i="13"/>
  <c r="D21" i="13"/>
  <c r="K21" i="13" s="1"/>
  <c r="E21" i="13"/>
  <c r="F21" i="13"/>
  <c r="G21" i="13"/>
  <c r="C21" i="13"/>
  <c r="B21" i="13"/>
  <c r="B20" i="13"/>
  <c r="C20" i="13"/>
  <c r="D20" i="13"/>
  <c r="E20" i="13"/>
  <c r="F20" i="13"/>
  <c r="G20" i="13"/>
  <c r="H20" i="13"/>
  <c r="I20" i="13" s="1"/>
  <c r="J20" i="13"/>
  <c r="K20" i="13"/>
  <c r="L20" i="13"/>
  <c r="M20" i="13"/>
  <c r="N20" i="13"/>
  <c r="G19" i="13"/>
  <c r="F19" i="13"/>
  <c r="E19" i="13"/>
  <c r="D19" i="13"/>
  <c r="K19" i="13" s="1"/>
  <c r="C19" i="13"/>
  <c r="B19" i="13"/>
  <c r="H19" i="13"/>
  <c r="J19" i="13"/>
  <c r="M19" i="13"/>
  <c r="N19" i="13"/>
  <c r="G18" i="13"/>
  <c r="F18" i="13"/>
  <c r="E18" i="13"/>
  <c r="D18" i="13"/>
  <c r="K18" i="13" s="1"/>
  <c r="C18" i="13"/>
  <c r="B18" i="13"/>
  <c r="E17" i="13"/>
  <c r="G17" i="13"/>
  <c r="F17" i="13"/>
  <c r="B17" i="13"/>
  <c r="C17" i="13"/>
  <c r="D17" i="13"/>
  <c r="K17" i="13" s="1"/>
  <c r="B16" i="13"/>
  <c r="J16" i="13" s="1"/>
  <c r="C16" i="13"/>
  <c r="D16" i="13"/>
  <c r="K16" i="13" s="1"/>
  <c r="E16" i="13"/>
  <c r="F16" i="13"/>
  <c r="G16" i="13"/>
  <c r="H16" i="13"/>
  <c r="C15" i="13"/>
  <c r="E15" i="13"/>
  <c r="F15" i="13"/>
  <c r="D15" i="13"/>
  <c r="K15" i="13"/>
  <c r="G15" i="13"/>
  <c r="B15" i="13"/>
  <c r="H15" i="13" s="1"/>
  <c r="J15" i="13"/>
  <c r="C14" i="13"/>
  <c r="B14" i="13"/>
  <c r="J14" i="13"/>
  <c r="G14" i="13"/>
  <c r="F14" i="13"/>
  <c r="E14" i="13"/>
  <c r="D14" i="13"/>
  <c r="F13" i="13"/>
  <c r="E13" i="13"/>
  <c r="D13" i="13"/>
  <c r="C13" i="13"/>
  <c r="B13" i="13"/>
  <c r="J13" i="13"/>
  <c r="K13" i="13"/>
  <c r="G13" i="13"/>
  <c r="H13" i="13"/>
  <c r="C12" i="13"/>
  <c r="B12" i="13"/>
  <c r="J12" i="13" s="1"/>
  <c r="D12" i="13"/>
  <c r="E12" i="13"/>
  <c r="F12" i="13"/>
  <c r="K12" i="13"/>
  <c r="G12" i="13"/>
  <c r="H12" i="13"/>
  <c r="I12" i="13"/>
  <c r="D11" i="13"/>
  <c r="K11" i="13" s="1"/>
  <c r="B11" i="13"/>
  <c r="E11" i="13"/>
  <c r="F11" i="13"/>
  <c r="G11" i="13"/>
  <c r="C11" i="13"/>
  <c r="H11" i="13" s="1"/>
  <c r="J11" i="13"/>
  <c r="B10" i="13"/>
  <c r="C10" i="13"/>
  <c r="D10" i="13"/>
  <c r="E10" i="13"/>
  <c r="F10" i="13"/>
  <c r="G10" i="13"/>
  <c r="H10" i="13"/>
  <c r="I10" i="13"/>
  <c r="N10" i="13"/>
  <c r="M10" i="13"/>
  <c r="L10" i="13"/>
  <c r="K10" i="13"/>
  <c r="J10" i="13"/>
  <c r="G9" i="13"/>
  <c r="F9" i="13"/>
  <c r="D9" i="13"/>
  <c r="K9" i="13" s="1"/>
  <c r="C9" i="13"/>
  <c r="B9" i="13"/>
  <c r="E9" i="13"/>
  <c r="C8" i="13"/>
  <c r="B8" i="13"/>
  <c r="D8" i="13"/>
  <c r="K8" i="13" s="1"/>
  <c r="J8" i="13"/>
  <c r="F8" i="13"/>
  <c r="G8" i="13"/>
  <c r="E8" i="13"/>
  <c r="H8" i="13" s="1"/>
  <c r="G7" i="13"/>
  <c r="C7" i="13"/>
  <c r="B7" i="13"/>
  <c r="D7" i="13"/>
  <c r="K7" i="13" s="1"/>
  <c r="E7" i="13"/>
  <c r="F7" i="13"/>
  <c r="G6" i="13"/>
  <c r="F6" i="13"/>
  <c r="E6" i="13"/>
  <c r="D6" i="13"/>
  <c r="K6" i="13" s="1"/>
  <c r="C6" i="13"/>
  <c r="B6" i="13"/>
  <c r="G5" i="13"/>
  <c r="B5" i="13"/>
  <c r="C5" i="13"/>
  <c r="D5" i="13"/>
  <c r="K5" i="13" s="1"/>
  <c r="E5" i="13"/>
  <c r="F5" i="13"/>
  <c r="J9" i="32"/>
  <c r="J8" i="32"/>
  <c r="J7" i="32"/>
  <c r="K7" i="32" s="1"/>
  <c r="J6" i="32"/>
  <c r="J5" i="32"/>
  <c r="B10" i="111" l="1"/>
  <c r="B27" i="108"/>
  <c r="B28" i="108" s="1"/>
  <c r="F5" i="19"/>
  <c r="B7" i="114"/>
  <c r="B7" i="113"/>
  <c r="B7" i="115"/>
  <c r="T10" i="107"/>
  <c r="W10" i="107"/>
  <c r="T9" i="107"/>
  <c r="W9" i="107"/>
  <c r="T8" i="107"/>
  <c r="W8" i="107"/>
  <c r="T7" i="107"/>
  <c r="W7" i="107"/>
  <c r="T6" i="107"/>
  <c r="W6" i="107"/>
  <c r="T5" i="107"/>
  <c r="W5" i="107"/>
  <c r="N8" i="107"/>
  <c r="N9" i="107" s="1"/>
  <c r="N10" i="107" s="1"/>
  <c r="B204" i="70"/>
  <c r="C204" i="70"/>
  <c r="D204" i="70"/>
  <c r="E204" i="70"/>
  <c r="F204" i="70"/>
  <c r="G204" i="70"/>
  <c r="H204" i="70"/>
  <c r="I204" i="70"/>
  <c r="J204" i="70"/>
  <c r="K204" i="70"/>
  <c r="L204" i="70"/>
  <c r="M204" i="70"/>
  <c r="A204" i="71"/>
  <c r="B204" i="71"/>
  <c r="B203" i="70"/>
  <c r="C203" i="70"/>
  <c r="D203" i="70"/>
  <c r="E203" i="70"/>
  <c r="F203" i="70"/>
  <c r="G203" i="70"/>
  <c r="H203" i="70"/>
  <c r="I203" i="70"/>
  <c r="J203" i="70"/>
  <c r="K203" i="70"/>
  <c r="L203" i="70"/>
  <c r="M203" i="70"/>
  <c r="A203" i="71"/>
  <c r="B203" i="71"/>
  <c r="B202" i="70"/>
  <c r="C202" i="70"/>
  <c r="D202" i="70"/>
  <c r="E202" i="70"/>
  <c r="F202" i="70"/>
  <c r="G202" i="70"/>
  <c r="H202" i="70"/>
  <c r="I202" i="70"/>
  <c r="J202" i="70"/>
  <c r="K202" i="70"/>
  <c r="L202" i="70"/>
  <c r="M202" i="70"/>
  <c r="A202" i="71"/>
  <c r="B202" i="71"/>
  <c r="B201" i="70"/>
  <c r="C201" i="70"/>
  <c r="D201" i="70"/>
  <c r="E201" i="70"/>
  <c r="F201" i="70"/>
  <c r="G201" i="70"/>
  <c r="H201" i="70"/>
  <c r="I201" i="70"/>
  <c r="J201" i="70"/>
  <c r="K201" i="70"/>
  <c r="L201" i="70"/>
  <c r="M201" i="70"/>
  <c r="A201" i="71"/>
  <c r="B201" i="71"/>
  <c r="B200" i="70"/>
  <c r="C200" i="70"/>
  <c r="D200" i="70"/>
  <c r="E200" i="70"/>
  <c r="F200" i="70"/>
  <c r="G200" i="70"/>
  <c r="H200" i="70"/>
  <c r="I200" i="70"/>
  <c r="J200" i="70"/>
  <c r="K200" i="70"/>
  <c r="L200" i="70"/>
  <c r="M200" i="70"/>
  <c r="A200" i="71"/>
  <c r="B200" i="71"/>
  <c r="B199" i="70"/>
  <c r="C199" i="70"/>
  <c r="D199" i="70"/>
  <c r="E199" i="70"/>
  <c r="F199" i="70"/>
  <c r="G199" i="70"/>
  <c r="H199" i="70"/>
  <c r="I199" i="70"/>
  <c r="J199" i="70"/>
  <c r="K199" i="70"/>
  <c r="L199" i="70"/>
  <c r="M199" i="70"/>
  <c r="A199" i="71"/>
  <c r="B199" i="71"/>
  <c r="B198" i="70"/>
  <c r="C198" i="70"/>
  <c r="D198" i="70"/>
  <c r="E198" i="70"/>
  <c r="F198" i="70"/>
  <c r="G198" i="70"/>
  <c r="H198" i="70"/>
  <c r="I198" i="70"/>
  <c r="J198" i="70"/>
  <c r="K198" i="70"/>
  <c r="L198" i="70"/>
  <c r="M198" i="70"/>
  <c r="A198" i="71"/>
  <c r="B198" i="71"/>
  <c r="B197" i="70"/>
  <c r="C197" i="70"/>
  <c r="D197" i="70"/>
  <c r="E197" i="70"/>
  <c r="F197" i="70"/>
  <c r="G197" i="70"/>
  <c r="H197" i="70"/>
  <c r="I197" i="70"/>
  <c r="J197" i="70"/>
  <c r="K197" i="70"/>
  <c r="L197" i="70"/>
  <c r="M197" i="70"/>
  <c r="A197" i="71"/>
  <c r="B197" i="71"/>
  <c r="B196" i="70"/>
  <c r="C196" i="70"/>
  <c r="D196" i="70"/>
  <c r="E196" i="70"/>
  <c r="F196" i="70"/>
  <c r="G196" i="70"/>
  <c r="H196" i="70"/>
  <c r="I196" i="70"/>
  <c r="J196" i="70"/>
  <c r="K196" i="70"/>
  <c r="L196" i="70"/>
  <c r="M196" i="70"/>
  <c r="A196" i="71"/>
  <c r="B196" i="71"/>
  <c r="B195" i="70"/>
  <c r="C195" i="70"/>
  <c r="D195" i="70"/>
  <c r="E195" i="70"/>
  <c r="F195" i="70"/>
  <c r="G195" i="70"/>
  <c r="H195" i="70"/>
  <c r="I195" i="70"/>
  <c r="J195" i="70"/>
  <c r="K195" i="70"/>
  <c r="L195" i="70"/>
  <c r="M195" i="70"/>
  <c r="A195" i="71"/>
  <c r="B195" i="71"/>
  <c r="B194" i="70"/>
  <c r="C194" i="70"/>
  <c r="D194" i="70"/>
  <c r="E194" i="70"/>
  <c r="F194" i="70"/>
  <c r="G194" i="70"/>
  <c r="H194" i="70"/>
  <c r="I194" i="70"/>
  <c r="J194" i="70"/>
  <c r="K194" i="70"/>
  <c r="L194" i="70"/>
  <c r="M194" i="70"/>
  <c r="A194" i="71"/>
  <c r="B194" i="71"/>
  <c r="B193" i="70"/>
  <c r="C193" i="70"/>
  <c r="D193" i="70"/>
  <c r="E193" i="70"/>
  <c r="F193" i="70"/>
  <c r="G193" i="70"/>
  <c r="H193" i="70"/>
  <c r="I193" i="70"/>
  <c r="J193" i="70"/>
  <c r="K193" i="70"/>
  <c r="L193" i="70"/>
  <c r="M193" i="70"/>
  <c r="A193" i="71"/>
  <c r="B193" i="71"/>
  <c r="B192" i="70"/>
  <c r="C192" i="70"/>
  <c r="D192" i="70"/>
  <c r="E192" i="70"/>
  <c r="F192" i="70"/>
  <c r="G192" i="70"/>
  <c r="H192" i="70"/>
  <c r="I192" i="70"/>
  <c r="J192" i="70"/>
  <c r="K192" i="70"/>
  <c r="L192" i="70"/>
  <c r="M192" i="70"/>
  <c r="A192" i="71"/>
  <c r="B192" i="71"/>
  <c r="B191" i="70"/>
  <c r="C191" i="70"/>
  <c r="D191" i="70"/>
  <c r="E191" i="70"/>
  <c r="F191" i="70"/>
  <c r="G191" i="70"/>
  <c r="H191" i="70"/>
  <c r="I191" i="70"/>
  <c r="J191" i="70"/>
  <c r="K191" i="70"/>
  <c r="L191" i="70"/>
  <c r="M191" i="70"/>
  <c r="A191" i="71"/>
  <c r="B191" i="71"/>
  <c r="B190" i="70"/>
  <c r="C190" i="70"/>
  <c r="D190" i="70"/>
  <c r="E190" i="70"/>
  <c r="F190" i="70"/>
  <c r="G190" i="70"/>
  <c r="H190" i="70"/>
  <c r="I190" i="70"/>
  <c r="J190" i="70"/>
  <c r="K190" i="70"/>
  <c r="L190" i="70"/>
  <c r="M190" i="70"/>
  <c r="A190" i="71"/>
  <c r="B190" i="71"/>
  <c r="B189" i="70"/>
  <c r="C189" i="70"/>
  <c r="D189" i="70"/>
  <c r="E189" i="70"/>
  <c r="F189" i="70"/>
  <c r="G189" i="70"/>
  <c r="H189" i="70"/>
  <c r="I189" i="70"/>
  <c r="J189" i="70"/>
  <c r="K189" i="70"/>
  <c r="L189" i="70"/>
  <c r="M189" i="70"/>
  <c r="A189" i="71"/>
  <c r="B189" i="71"/>
  <c r="B188" i="70"/>
  <c r="C188" i="70"/>
  <c r="D188" i="70"/>
  <c r="E188" i="70"/>
  <c r="F188" i="70"/>
  <c r="G188" i="70"/>
  <c r="H188" i="70"/>
  <c r="I188" i="70"/>
  <c r="J188" i="70"/>
  <c r="K188" i="70"/>
  <c r="L188" i="70"/>
  <c r="M188" i="70"/>
  <c r="A188" i="71"/>
  <c r="B188" i="71"/>
  <c r="B187" i="70"/>
  <c r="C187" i="70"/>
  <c r="D187" i="70"/>
  <c r="E187" i="70"/>
  <c r="F187" i="70"/>
  <c r="G187" i="70"/>
  <c r="H187" i="70"/>
  <c r="I187" i="70"/>
  <c r="J187" i="70"/>
  <c r="K187" i="70"/>
  <c r="L187" i="70"/>
  <c r="M187" i="70"/>
  <c r="A187" i="71"/>
  <c r="B187" i="71"/>
  <c r="B186" i="70"/>
  <c r="C186" i="70"/>
  <c r="D186" i="70"/>
  <c r="E186" i="70"/>
  <c r="F186" i="70"/>
  <c r="G186" i="70"/>
  <c r="H186" i="70"/>
  <c r="I186" i="70"/>
  <c r="J186" i="70"/>
  <c r="K186" i="70"/>
  <c r="L186" i="70"/>
  <c r="M186" i="70"/>
  <c r="A186" i="71"/>
  <c r="B186" i="71"/>
  <c r="B185" i="70"/>
  <c r="C185" i="70"/>
  <c r="D185" i="70"/>
  <c r="E185" i="70"/>
  <c r="F185" i="70"/>
  <c r="G185" i="70"/>
  <c r="H185" i="70"/>
  <c r="I185" i="70"/>
  <c r="J185" i="70"/>
  <c r="K185" i="70"/>
  <c r="L185" i="70"/>
  <c r="M185" i="70"/>
  <c r="A185" i="71"/>
  <c r="B185" i="71"/>
  <c r="B184" i="70"/>
  <c r="C184" i="70"/>
  <c r="D184" i="70"/>
  <c r="E184" i="70"/>
  <c r="F184" i="70"/>
  <c r="G184" i="70"/>
  <c r="H184" i="70"/>
  <c r="I184" i="70"/>
  <c r="J184" i="70"/>
  <c r="K184" i="70"/>
  <c r="L184" i="70"/>
  <c r="M184" i="70"/>
  <c r="A184" i="71"/>
  <c r="B184" i="71"/>
  <c r="B183" i="70"/>
  <c r="C183" i="70"/>
  <c r="D183" i="70"/>
  <c r="E183" i="70"/>
  <c r="F183" i="70"/>
  <c r="G183" i="70"/>
  <c r="H183" i="70"/>
  <c r="I183" i="70"/>
  <c r="J183" i="70"/>
  <c r="K183" i="70"/>
  <c r="L183" i="70"/>
  <c r="M183" i="70"/>
  <c r="A183" i="71"/>
  <c r="B183" i="71"/>
  <c r="B182" i="70"/>
  <c r="C182" i="70"/>
  <c r="D182" i="70"/>
  <c r="E182" i="70"/>
  <c r="F182" i="70"/>
  <c r="G182" i="70"/>
  <c r="H182" i="70"/>
  <c r="I182" i="70"/>
  <c r="J182" i="70"/>
  <c r="K182" i="70"/>
  <c r="L182" i="70"/>
  <c r="M182" i="70"/>
  <c r="A182" i="71"/>
  <c r="B182" i="71"/>
  <c r="B181" i="70"/>
  <c r="C181" i="70"/>
  <c r="D181" i="70"/>
  <c r="E181" i="70"/>
  <c r="F181" i="70"/>
  <c r="G181" i="70"/>
  <c r="H181" i="70"/>
  <c r="I181" i="70"/>
  <c r="J181" i="70"/>
  <c r="K181" i="70"/>
  <c r="L181" i="70"/>
  <c r="M181" i="70"/>
  <c r="A181" i="71"/>
  <c r="B181" i="71"/>
  <c r="B180" i="70"/>
  <c r="C180" i="70"/>
  <c r="D180" i="70"/>
  <c r="E180" i="70"/>
  <c r="F180" i="70"/>
  <c r="G180" i="70"/>
  <c r="H180" i="70"/>
  <c r="I180" i="70"/>
  <c r="J180" i="70"/>
  <c r="K180" i="70"/>
  <c r="L180" i="70"/>
  <c r="M180" i="70"/>
  <c r="A180" i="71"/>
  <c r="B180" i="71"/>
  <c r="B179" i="70"/>
  <c r="C179" i="70"/>
  <c r="D179" i="70"/>
  <c r="E179" i="70"/>
  <c r="F179" i="70"/>
  <c r="G179" i="70"/>
  <c r="H179" i="70"/>
  <c r="I179" i="70"/>
  <c r="J179" i="70"/>
  <c r="K179" i="70"/>
  <c r="L179" i="70"/>
  <c r="M179" i="70"/>
  <c r="A179" i="71"/>
  <c r="B179" i="71"/>
  <c r="B178" i="70"/>
  <c r="C178" i="70"/>
  <c r="D178" i="70"/>
  <c r="E178" i="70"/>
  <c r="F178" i="70"/>
  <c r="G178" i="70"/>
  <c r="H178" i="70"/>
  <c r="I178" i="70"/>
  <c r="J178" i="70"/>
  <c r="K178" i="70"/>
  <c r="L178" i="70"/>
  <c r="M178" i="70"/>
  <c r="A178" i="71"/>
  <c r="B178" i="71"/>
  <c r="B177" i="70"/>
  <c r="C177" i="70"/>
  <c r="D177" i="70"/>
  <c r="E177" i="70"/>
  <c r="F177" i="70"/>
  <c r="G177" i="70"/>
  <c r="H177" i="70"/>
  <c r="I177" i="70"/>
  <c r="J177" i="70"/>
  <c r="K177" i="70"/>
  <c r="L177" i="70"/>
  <c r="M177" i="70"/>
  <c r="A177" i="71"/>
  <c r="B177" i="71"/>
  <c r="B176" i="70"/>
  <c r="C176" i="70"/>
  <c r="D176" i="70"/>
  <c r="E176" i="70"/>
  <c r="F176" i="70"/>
  <c r="G176" i="70"/>
  <c r="H176" i="70"/>
  <c r="I176" i="70"/>
  <c r="J176" i="70"/>
  <c r="K176" i="70"/>
  <c r="L176" i="70"/>
  <c r="M176" i="70"/>
  <c r="A176" i="71"/>
  <c r="B176" i="71"/>
  <c r="B175" i="70"/>
  <c r="C175" i="70"/>
  <c r="D175" i="70"/>
  <c r="E175" i="70"/>
  <c r="F175" i="70"/>
  <c r="G175" i="70"/>
  <c r="H175" i="70"/>
  <c r="I175" i="70"/>
  <c r="J175" i="70"/>
  <c r="K175" i="70"/>
  <c r="L175" i="70"/>
  <c r="M175" i="70"/>
  <c r="A175" i="71"/>
  <c r="B175" i="71"/>
  <c r="B174" i="70"/>
  <c r="C174" i="70"/>
  <c r="D174" i="70"/>
  <c r="E174" i="70"/>
  <c r="F174" i="70"/>
  <c r="G174" i="70"/>
  <c r="H174" i="70"/>
  <c r="I174" i="70"/>
  <c r="J174" i="70"/>
  <c r="K174" i="70"/>
  <c r="L174" i="70"/>
  <c r="M174" i="70"/>
  <c r="A174" i="71"/>
  <c r="B174" i="71"/>
  <c r="B173" i="70"/>
  <c r="C173" i="70"/>
  <c r="D173" i="70"/>
  <c r="E173" i="70"/>
  <c r="F173" i="70"/>
  <c r="G173" i="70"/>
  <c r="H173" i="70"/>
  <c r="I173" i="70"/>
  <c r="J173" i="70"/>
  <c r="K173" i="70"/>
  <c r="L173" i="70"/>
  <c r="M173" i="70"/>
  <c r="A173" i="71"/>
  <c r="B173" i="71"/>
  <c r="B172" i="70"/>
  <c r="C172" i="70"/>
  <c r="D172" i="70"/>
  <c r="E172" i="70"/>
  <c r="F172" i="70"/>
  <c r="G172" i="70"/>
  <c r="H172" i="70"/>
  <c r="I172" i="70"/>
  <c r="J172" i="70"/>
  <c r="K172" i="70"/>
  <c r="L172" i="70"/>
  <c r="M172" i="70"/>
  <c r="A172" i="71"/>
  <c r="B172" i="71"/>
  <c r="B171" i="70"/>
  <c r="C171" i="70"/>
  <c r="D171" i="70"/>
  <c r="E171" i="70"/>
  <c r="F171" i="70"/>
  <c r="G171" i="70"/>
  <c r="H171" i="70"/>
  <c r="I171" i="70"/>
  <c r="J171" i="70"/>
  <c r="K171" i="70"/>
  <c r="L171" i="70"/>
  <c r="M171" i="70"/>
  <c r="A171" i="71"/>
  <c r="B171" i="71"/>
  <c r="B170" i="70"/>
  <c r="C170" i="70"/>
  <c r="D170" i="70"/>
  <c r="E170" i="70"/>
  <c r="F170" i="70"/>
  <c r="G170" i="70"/>
  <c r="H170" i="70"/>
  <c r="I170" i="70"/>
  <c r="J170" i="70"/>
  <c r="K170" i="70"/>
  <c r="L170" i="70"/>
  <c r="M170" i="70"/>
  <c r="A170" i="71"/>
  <c r="B170" i="71"/>
  <c r="B169" i="70"/>
  <c r="C169" i="70"/>
  <c r="D169" i="70"/>
  <c r="E169" i="70"/>
  <c r="F169" i="70"/>
  <c r="G169" i="70"/>
  <c r="H169" i="70"/>
  <c r="I169" i="70"/>
  <c r="J169" i="70"/>
  <c r="K169" i="70"/>
  <c r="L169" i="70"/>
  <c r="M169" i="70"/>
  <c r="A169" i="71"/>
  <c r="B169" i="71"/>
  <c r="B168" i="70"/>
  <c r="C168" i="70"/>
  <c r="D168" i="70"/>
  <c r="E168" i="70"/>
  <c r="F168" i="70"/>
  <c r="G168" i="70"/>
  <c r="H168" i="70"/>
  <c r="I168" i="70"/>
  <c r="J168" i="70"/>
  <c r="K168" i="70"/>
  <c r="L168" i="70"/>
  <c r="M168" i="70"/>
  <c r="A168" i="71"/>
  <c r="B168" i="71"/>
  <c r="B167" i="70"/>
  <c r="C167" i="70"/>
  <c r="D167" i="70"/>
  <c r="E167" i="70"/>
  <c r="F167" i="70"/>
  <c r="G167" i="70"/>
  <c r="H167" i="70"/>
  <c r="I167" i="70"/>
  <c r="J167" i="70"/>
  <c r="K167" i="70"/>
  <c r="L167" i="70"/>
  <c r="M167" i="70"/>
  <c r="A167" i="71"/>
  <c r="B167" i="71"/>
  <c r="B166" i="70"/>
  <c r="C166" i="70"/>
  <c r="D166" i="70"/>
  <c r="E166" i="70"/>
  <c r="F166" i="70"/>
  <c r="G166" i="70"/>
  <c r="H166" i="70"/>
  <c r="I166" i="70"/>
  <c r="J166" i="70"/>
  <c r="K166" i="70"/>
  <c r="L166" i="70"/>
  <c r="M166" i="70"/>
  <c r="A166" i="71"/>
  <c r="B166" i="71"/>
  <c r="B165" i="70"/>
  <c r="C165" i="70"/>
  <c r="D165" i="70"/>
  <c r="E165" i="70"/>
  <c r="F165" i="70"/>
  <c r="G165" i="70"/>
  <c r="H165" i="70"/>
  <c r="I165" i="70"/>
  <c r="J165" i="70"/>
  <c r="K165" i="70"/>
  <c r="L165" i="70"/>
  <c r="M165" i="70"/>
  <c r="A165" i="71"/>
  <c r="B165" i="71"/>
  <c r="B164" i="70"/>
  <c r="C164" i="70"/>
  <c r="D164" i="70"/>
  <c r="E164" i="70"/>
  <c r="F164" i="70"/>
  <c r="G164" i="70"/>
  <c r="H164" i="70"/>
  <c r="I164" i="70"/>
  <c r="J164" i="70"/>
  <c r="K164" i="70"/>
  <c r="L164" i="70"/>
  <c r="M164" i="70"/>
  <c r="A164" i="71"/>
  <c r="B164" i="71"/>
  <c r="B163" i="70"/>
  <c r="C163" i="70"/>
  <c r="D163" i="70"/>
  <c r="E163" i="70"/>
  <c r="F163" i="70"/>
  <c r="G163" i="70"/>
  <c r="H163" i="70"/>
  <c r="I163" i="70"/>
  <c r="J163" i="70"/>
  <c r="K163" i="70"/>
  <c r="L163" i="70"/>
  <c r="M163" i="70"/>
  <c r="A163" i="71"/>
  <c r="B163" i="71"/>
  <c r="B162" i="70"/>
  <c r="C162" i="70"/>
  <c r="D162" i="70"/>
  <c r="E162" i="70"/>
  <c r="F162" i="70"/>
  <c r="G162" i="70"/>
  <c r="H162" i="70"/>
  <c r="I162" i="70"/>
  <c r="J162" i="70"/>
  <c r="K162" i="70"/>
  <c r="L162" i="70"/>
  <c r="M162" i="70"/>
  <c r="A162" i="71"/>
  <c r="B162" i="71"/>
  <c r="B161" i="70"/>
  <c r="C161" i="70"/>
  <c r="D161" i="70"/>
  <c r="E161" i="70"/>
  <c r="F161" i="70"/>
  <c r="G161" i="70"/>
  <c r="H161" i="70"/>
  <c r="I161" i="70"/>
  <c r="J161" i="70"/>
  <c r="K161" i="70"/>
  <c r="L161" i="70"/>
  <c r="M161" i="70"/>
  <c r="A161" i="71"/>
  <c r="B161" i="71"/>
  <c r="B160" i="70"/>
  <c r="C160" i="70"/>
  <c r="D160" i="70"/>
  <c r="E160" i="70"/>
  <c r="F160" i="70"/>
  <c r="G160" i="70"/>
  <c r="H160" i="70"/>
  <c r="I160" i="70"/>
  <c r="J160" i="70"/>
  <c r="K160" i="70"/>
  <c r="L160" i="70"/>
  <c r="M160" i="70"/>
  <c r="A160" i="71"/>
  <c r="B160" i="71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A159" i="71"/>
  <c r="B159" i="71"/>
  <c r="B158" i="70"/>
  <c r="C158" i="70"/>
  <c r="D158" i="70"/>
  <c r="E158" i="70"/>
  <c r="F158" i="70"/>
  <c r="G158" i="70"/>
  <c r="H158" i="70"/>
  <c r="I158" i="70"/>
  <c r="J158" i="70"/>
  <c r="K158" i="70"/>
  <c r="L158" i="70"/>
  <c r="M158" i="70"/>
  <c r="A158" i="71"/>
  <c r="B158" i="71"/>
  <c r="B157" i="70"/>
  <c r="C157" i="70"/>
  <c r="D157" i="70"/>
  <c r="E157" i="70"/>
  <c r="F157" i="70"/>
  <c r="G157" i="70"/>
  <c r="H157" i="70"/>
  <c r="I157" i="70"/>
  <c r="J157" i="70"/>
  <c r="K157" i="70"/>
  <c r="L157" i="70"/>
  <c r="M157" i="70"/>
  <c r="A157" i="71"/>
  <c r="B157" i="71"/>
  <c r="B154" i="70"/>
  <c r="C154" i="70"/>
  <c r="D154" i="70"/>
  <c r="E154" i="70"/>
  <c r="F154" i="70"/>
  <c r="G154" i="70"/>
  <c r="H154" i="70"/>
  <c r="I154" i="70"/>
  <c r="J154" i="70"/>
  <c r="K154" i="70"/>
  <c r="L154" i="70"/>
  <c r="M154" i="70"/>
  <c r="A154" i="71"/>
  <c r="B154" i="71"/>
  <c r="B153" i="70"/>
  <c r="C153" i="70"/>
  <c r="D153" i="70"/>
  <c r="E153" i="70"/>
  <c r="F153" i="70"/>
  <c r="G153" i="70"/>
  <c r="H153" i="70"/>
  <c r="I153" i="70"/>
  <c r="J153" i="70"/>
  <c r="K153" i="70"/>
  <c r="L153" i="70"/>
  <c r="M153" i="70"/>
  <c r="A153" i="71"/>
  <c r="B153" i="71"/>
  <c r="B152" i="70"/>
  <c r="C152" i="70"/>
  <c r="D152" i="70"/>
  <c r="E152" i="70"/>
  <c r="F152" i="70"/>
  <c r="G152" i="70"/>
  <c r="H152" i="70"/>
  <c r="I152" i="70"/>
  <c r="J152" i="70"/>
  <c r="K152" i="70"/>
  <c r="L152" i="70"/>
  <c r="M152" i="70"/>
  <c r="A152" i="71"/>
  <c r="B152" i="71"/>
  <c r="B151" i="70"/>
  <c r="C151" i="70"/>
  <c r="D151" i="70"/>
  <c r="E151" i="70"/>
  <c r="F151" i="70"/>
  <c r="G151" i="70"/>
  <c r="H151" i="70"/>
  <c r="I151" i="70"/>
  <c r="J151" i="70"/>
  <c r="K151" i="70"/>
  <c r="L151" i="70"/>
  <c r="M151" i="70"/>
  <c r="A151" i="71"/>
  <c r="B151" i="71"/>
  <c r="B150" i="70"/>
  <c r="C150" i="70"/>
  <c r="D150" i="70"/>
  <c r="E150" i="70"/>
  <c r="F150" i="70"/>
  <c r="G150" i="70"/>
  <c r="H150" i="70"/>
  <c r="I150" i="70"/>
  <c r="J150" i="70"/>
  <c r="K150" i="70"/>
  <c r="L150" i="70"/>
  <c r="M150" i="70"/>
  <c r="A150" i="71"/>
  <c r="B150" i="71"/>
  <c r="B149" i="70"/>
  <c r="C149" i="70"/>
  <c r="D149" i="70"/>
  <c r="E149" i="70"/>
  <c r="F149" i="70"/>
  <c r="G149" i="70"/>
  <c r="H149" i="70"/>
  <c r="I149" i="70"/>
  <c r="J149" i="70"/>
  <c r="K149" i="70"/>
  <c r="L149" i="70"/>
  <c r="M149" i="70"/>
  <c r="A149" i="71"/>
  <c r="B149" i="71"/>
  <c r="B148" i="70"/>
  <c r="C148" i="70"/>
  <c r="D148" i="70"/>
  <c r="E148" i="70"/>
  <c r="F148" i="70"/>
  <c r="G148" i="70"/>
  <c r="H148" i="70"/>
  <c r="I148" i="70"/>
  <c r="J148" i="70"/>
  <c r="K148" i="70"/>
  <c r="L148" i="70"/>
  <c r="M148" i="70"/>
  <c r="A148" i="71"/>
  <c r="B148" i="71"/>
  <c r="B147" i="70"/>
  <c r="C147" i="70"/>
  <c r="D147" i="70"/>
  <c r="E147" i="70"/>
  <c r="F147" i="70"/>
  <c r="G147" i="70"/>
  <c r="H147" i="70"/>
  <c r="I147" i="70"/>
  <c r="J147" i="70"/>
  <c r="K147" i="70"/>
  <c r="L147" i="70"/>
  <c r="M147" i="70"/>
  <c r="A147" i="71"/>
  <c r="B147" i="71"/>
  <c r="B146" i="70"/>
  <c r="C146" i="70"/>
  <c r="D146" i="70"/>
  <c r="E146" i="70"/>
  <c r="F146" i="70"/>
  <c r="G146" i="70"/>
  <c r="H146" i="70"/>
  <c r="I146" i="70"/>
  <c r="J146" i="70"/>
  <c r="K146" i="70"/>
  <c r="L146" i="70"/>
  <c r="M146" i="70"/>
  <c r="A146" i="71"/>
  <c r="B146" i="71"/>
  <c r="B145" i="70"/>
  <c r="C145" i="70"/>
  <c r="D145" i="70"/>
  <c r="E145" i="70"/>
  <c r="F145" i="70"/>
  <c r="G145" i="70"/>
  <c r="H145" i="70"/>
  <c r="I145" i="70"/>
  <c r="J145" i="70"/>
  <c r="K145" i="70"/>
  <c r="L145" i="70"/>
  <c r="M145" i="70"/>
  <c r="A145" i="71"/>
  <c r="B145" i="71"/>
  <c r="B144" i="70"/>
  <c r="C144" i="70"/>
  <c r="D144" i="70"/>
  <c r="E144" i="70"/>
  <c r="F144" i="70"/>
  <c r="G144" i="70"/>
  <c r="H144" i="70"/>
  <c r="I144" i="70"/>
  <c r="J144" i="70"/>
  <c r="K144" i="70"/>
  <c r="L144" i="70"/>
  <c r="M144" i="70"/>
  <c r="A144" i="71"/>
  <c r="B144" i="71"/>
  <c r="B143" i="70"/>
  <c r="C143" i="70"/>
  <c r="D143" i="70"/>
  <c r="E143" i="70"/>
  <c r="F143" i="70"/>
  <c r="G143" i="70"/>
  <c r="H143" i="70"/>
  <c r="I143" i="70"/>
  <c r="J143" i="70"/>
  <c r="K143" i="70"/>
  <c r="L143" i="70"/>
  <c r="M143" i="70"/>
  <c r="A143" i="71"/>
  <c r="B143" i="71"/>
  <c r="B142" i="70"/>
  <c r="C142" i="70"/>
  <c r="D142" i="70"/>
  <c r="E142" i="70"/>
  <c r="F142" i="70"/>
  <c r="G142" i="70"/>
  <c r="H142" i="70"/>
  <c r="I142" i="70"/>
  <c r="J142" i="70"/>
  <c r="K142" i="70"/>
  <c r="L142" i="70"/>
  <c r="M142" i="70"/>
  <c r="A142" i="71"/>
  <c r="B142" i="71"/>
  <c r="B141" i="70"/>
  <c r="C141" i="70"/>
  <c r="D141" i="70"/>
  <c r="E141" i="70"/>
  <c r="F141" i="70"/>
  <c r="G141" i="70"/>
  <c r="H141" i="70"/>
  <c r="I141" i="70"/>
  <c r="J141" i="70"/>
  <c r="K141" i="70"/>
  <c r="L141" i="70"/>
  <c r="M141" i="70"/>
  <c r="A141" i="71"/>
  <c r="B141" i="71"/>
  <c r="B140" i="70"/>
  <c r="C140" i="70"/>
  <c r="D140" i="70"/>
  <c r="E140" i="70"/>
  <c r="F140" i="70"/>
  <c r="G140" i="70"/>
  <c r="H140" i="70"/>
  <c r="I140" i="70"/>
  <c r="J140" i="70"/>
  <c r="K140" i="70"/>
  <c r="L140" i="70"/>
  <c r="M140" i="70"/>
  <c r="A140" i="71"/>
  <c r="B140" i="71"/>
  <c r="B139" i="70"/>
  <c r="C139" i="70"/>
  <c r="D139" i="70"/>
  <c r="E139" i="70"/>
  <c r="F139" i="70"/>
  <c r="G139" i="70"/>
  <c r="H139" i="70"/>
  <c r="I139" i="70"/>
  <c r="J139" i="70"/>
  <c r="K139" i="70"/>
  <c r="L139" i="70"/>
  <c r="M139" i="70"/>
  <c r="A139" i="71"/>
  <c r="B139" i="71"/>
  <c r="B138" i="70"/>
  <c r="C138" i="70"/>
  <c r="D138" i="70"/>
  <c r="E138" i="70"/>
  <c r="F138" i="70"/>
  <c r="G138" i="70"/>
  <c r="H138" i="70"/>
  <c r="I138" i="70"/>
  <c r="J138" i="70"/>
  <c r="K138" i="70"/>
  <c r="L138" i="70"/>
  <c r="M138" i="70"/>
  <c r="A138" i="71"/>
  <c r="B138" i="71"/>
  <c r="B137" i="70"/>
  <c r="C137" i="70"/>
  <c r="D137" i="70"/>
  <c r="E137" i="70"/>
  <c r="F137" i="70"/>
  <c r="G137" i="70"/>
  <c r="H137" i="70"/>
  <c r="I137" i="70"/>
  <c r="J137" i="70"/>
  <c r="K137" i="70"/>
  <c r="L137" i="70"/>
  <c r="M137" i="70"/>
  <c r="A137" i="71"/>
  <c r="B137" i="71"/>
  <c r="B136" i="70"/>
  <c r="C136" i="70"/>
  <c r="D136" i="70"/>
  <c r="E136" i="70"/>
  <c r="F136" i="70"/>
  <c r="G136" i="70"/>
  <c r="H136" i="70"/>
  <c r="I136" i="70"/>
  <c r="J136" i="70"/>
  <c r="K136" i="70"/>
  <c r="L136" i="70"/>
  <c r="M136" i="70"/>
  <c r="A136" i="71"/>
  <c r="B136" i="71"/>
  <c r="B135" i="70"/>
  <c r="C135" i="70"/>
  <c r="D135" i="70"/>
  <c r="E135" i="70"/>
  <c r="F135" i="70"/>
  <c r="G135" i="70"/>
  <c r="H135" i="70"/>
  <c r="I135" i="70"/>
  <c r="J135" i="70"/>
  <c r="K135" i="70"/>
  <c r="L135" i="70"/>
  <c r="M135" i="70"/>
  <c r="A135" i="71"/>
  <c r="B135" i="71"/>
  <c r="B134" i="70"/>
  <c r="C134" i="70"/>
  <c r="D134" i="70"/>
  <c r="E134" i="70"/>
  <c r="F134" i="70"/>
  <c r="G134" i="70"/>
  <c r="H134" i="70"/>
  <c r="I134" i="70"/>
  <c r="J134" i="70"/>
  <c r="K134" i="70"/>
  <c r="L134" i="70"/>
  <c r="M134" i="70"/>
  <c r="A134" i="71"/>
  <c r="B134" i="71"/>
  <c r="B133" i="70"/>
  <c r="C133" i="70"/>
  <c r="D133" i="70"/>
  <c r="E133" i="70"/>
  <c r="F133" i="70"/>
  <c r="G133" i="70"/>
  <c r="H133" i="70"/>
  <c r="I133" i="70"/>
  <c r="J133" i="70"/>
  <c r="K133" i="70"/>
  <c r="L133" i="70"/>
  <c r="M133" i="70"/>
  <c r="A133" i="71"/>
  <c r="B133" i="71"/>
  <c r="B132" i="70"/>
  <c r="C132" i="70"/>
  <c r="D132" i="70"/>
  <c r="E132" i="70"/>
  <c r="F132" i="70"/>
  <c r="G132" i="70"/>
  <c r="H132" i="70"/>
  <c r="I132" i="70"/>
  <c r="J132" i="70"/>
  <c r="K132" i="70"/>
  <c r="L132" i="70"/>
  <c r="M132" i="70"/>
  <c r="A132" i="71"/>
  <c r="B132" i="71"/>
  <c r="B131" i="70"/>
  <c r="C131" i="70"/>
  <c r="D131" i="70"/>
  <c r="E131" i="70"/>
  <c r="F131" i="70"/>
  <c r="G131" i="70"/>
  <c r="H131" i="70"/>
  <c r="I131" i="70"/>
  <c r="J131" i="70"/>
  <c r="K131" i="70"/>
  <c r="L131" i="70"/>
  <c r="M131" i="70"/>
  <c r="A131" i="71"/>
  <c r="B131" i="71"/>
  <c r="B130" i="70"/>
  <c r="C130" i="70"/>
  <c r="D130" i="70"/>
  <c r="E130" i="70"/>
  <c r="F130" i="70"/>
  <c r="G130" i="70"/>
  <c r="H130" i="70"/>
  <c r="I130" i="70"/>
  <c r="J130" i="70"/>
  <c r="K130" i="70"/>
  <c r="L130" i="70"/>
  <c r="M130" i="70"/>
  <c r="A130" i="71"/>
  <c r="B130" i="71"/>
  <c r="B129" i="70"/>
  <c r="C129" i="70"/>
  <c r="D129" i="70"/>
  <c r="E129" i="70"/>
  <c r="F129" i="70"/>
  <c r="G129" i="70"/>
  <c r="H129" i="70"/>
  <c r="I129" i="70"/>
  <c r="J129" i="70"/>
  <c r="K129" i="70"/>
  <c r="L129" i="70"/>
  <c r="M129" i="70"/>
  <c r="A129" i="71"/>
  <c r="B129" i="71"/>
  <c r="B128" i="70"/>
  <c r="C128" i="70"/>
  <c r="D128" i="70"/>
  <c r="E128" i="70"/>
  <c r="F128" i="70"/>
  <c r="G128" i="70"/>
  <c r="H128" i="70"/>
  <c r="I128" i="70"/>
  <c r="J128" i="70"/>
  <c r="K128" i="70"/>
  <c r="L128" i="70"/>
  <c r="M128" i="70"/>
  <c r="A128" i="71"/>
  <c r="B128" i="71"/>
  <c r="B127" i="70"/>
  <c r="C127" i="70"/>
  <c r="D127" i="70"/>
  <c r="E127" i="70"/>
  <c r="F127" i="70"/>
  <c r="G127" i="70"/>
  <c r="H127" i="70"/>
  <c r="I127" i="70"/>
  <c r="J127" i="70"/>
  <c r="K127" i="70"/>
  <c r="L127" i="70"/>
  <c r="M127" i="70"/>
  <c r="A127" i="71"/>
  <c r="B127" i="71"/>
  <c r="B126" i="70"/>
  <c r="C126" i="70"/>
  <c r="D126" i="70"/>
  <c r="E126" i="70"/>
  <c r="F126" i="70"/>
  <c r="G126" i="70"/>
  <c r="H126" i="70"/>
  <c r="I126" i="70"/>
  <c r="J126" i="70"/>
  <c r="K126" i="70"/>
  <c r="L126" i="70"/>
  <c r="M126" i="70"/>
  <c r="A126" i="71"/>
  <c r="B126" i="71"/>
  <c r="B125" i="70"/>
  <c r="C125" i="70"/>
  <c r="D125" i="70"/>
  <c r="E125" i="70"/>
  <c r="F125" i="70"/>
  <c r="G125" i="70"/>
  <c r="H125" i="70"/>
  <c r="I125" i="70"/>
  <c r="J125" i="70"/>
  <c r="K125" i="70"/>
  <c r="L125" i="70"/>
  <c r="M125" i="70"/>
  <c r="A125" i="71"/>
  <c r="B125" i="71"/>
  <c r="B124" i="70"/>
  <c r="C124" i="70"/>
  <c r="D124" i="70"/>
  <c r="E124" i="70"/>
  <c r="F124" i="70"/>
  <c r="G124" i="70"/>
  <c r="H124" i="70"/>
  <c r="I124" i="70"/>
  <c r="J124" i="70"/>
  <c r="K124" i="70"/>
  <c r="L124" i="70"/>
  <c r="M124" i="70"/>
  <c r="A124" i="71"/>
  <c r="B124" i="71"/>
  <c r="B123" i="70"/>
  <c r="C123" i="70"/>
  <c r="D123" i="70"/>
  <c r="E123" i="70"/>
  <c r="F123" i="70"/>
  <c r="G123" i="70"/>
  <c r="H123" i="70"/>
  <c r="I123" i="70"/>
  <c r="J123" i="70"/>
  <c r="K123" i="70"/>
  <c r="L123" i="70"/>
  <c r="M123" i="70"/>
  <c r="A123" i="71"/>
  <c r="B123" i="71"/>
  <c r="B122" i="70"/>
  <c r="C122" i="70"/>
  <c r="D122" i="70"/>
  <c r="E122" i="70"/>
  <c r="F122" i="70"/>
  <c r="G122" i="70"/>
  <c r="H122" i="70"/>
  <c r="I122" i="70"/>
  <c r="J122" i="70"/>
  <c r="K122" i="70"/>
  <c r="L122" i="70"/>
  <c r="M122" i="70"/>
  <c r="A122" i="71"/>
  <c r="B122" i="71"/>
  <c r="B121" i="70"/>
  <c r="C121" i="70"/>
  <c r="D121" i="70"/>
  <c r="E121" i="70"/>
  <c r="F121" i="70"/>
  <c r="G121" i="70"/>
  <c r="H121" i="70"/>
  <c r="I121" i="70"/>
  <c r="J121" i="70"/>
  <c r="K121" i="70"/>
  <c r="L121" i="70"/>
  <c r="M121" i="70"/>
  <c r="A121" i="71"/>
  <c r="B121" i="71"/>
  <c r="B120" i="70"/>
  <c r="C120" i="70"/>
  <c r="D120" i="70"/>
  <c r="E120" i="70"/>
  <c r="F120" i="70"/>
  <c r="G120" i="70"/>
  <c r="H120" i="70"/>
  <c r="I120" i="70"/>
  <c r="J120" i="70"/>
  <c r="K120" i="70"/>
  <c r="L120" i="70"/>
  <c r="M120" i="70"/>
  <c r="A120" i="71"/>
  <c r="B120" i="71"/>
  <c r="B119" i="70"/>
  <c r="C119" i="70"/>
  <c r="D119" i="70"/>
  <c r="E119" i="70"/>
  <c r="F119" i="70"/>
  <c r="G119" i="70"/>
  <c r="H119" i="70"/>
  <c r="I119" i="70"/>
  <c r="J119" i="70"/>
  <c r="K119" i="70"/>
  <c r="L119" i="70"/>
  <c r="M119" i="70"/>
  <c r="A119" i="71"/>
  <c r="B119" i="71"/>
  <c r="B118" i="70"/>
  <c r="C118" i="70"/>
  <c r="D118" i="70"/>
  <c r="E118" i="70"/>
  <c r="F118" i="70"/>
  <c r="G118" i="70"/>
  <c r="H118" i="70"/>
  <c r="I118" i="70"/>
  <c r="J118" i="70"/>
  <c r="K118" i="70"/>
  <c r="L118" i="70"/>
  <c r="M118" i="70"/>
  <c r="A118" i="71"/>
  <c r="B118" i="71"/>
  <c r="B117" i="70"/>
  <c r="C117" i="70"/>
  <c r="D117" i="70"/>
  <c r="E117" i="70"/>
  <c r="F117" i="70"/>
  <c r="G117" i="70"/>
  <c r="H117" i="70"/>
  <c r="I117" i="70"/>
  <c r="J117" i="70"/>
  <c r="K117" i="70"/>
  <c r="L117" i="70"/>
  <c r="M117" i="70"/>
  <c r="A117" i="71"/>
  <c r="B117" i="71"/>
  <c r="B116" i="70"/>
  <c r="C116" i="70"/>
  <c r="D116" i="70"/>
  <c r="E116" i="70"/>
  <c r="F116" i="70"/>
  <c r="G116" i="70"/>
  <c r="H116" i="70"/>
  <c r="I116" i="70"/>
  <c r="J116" i="70"/>
  <c r="K116" i="70"/>
  <c r="L116" i="70"/>
  <c r="M116" i="70"/>
  <c r="A116" i="71"/>
  <c r="B116" i="71"/>
  <c r="B115" i="70"/>
  <c r="C115" i="70"/>
  <c r="D115" i="70"/>
  <c r="E115" i="70"/>
  <c r="F115" i="70"/>
  <c r="G115" i="70"/>
  <c r="H115" i="70"/>
  <c r="I115" i="70"/>
  <c r="J115" i="70"/>
  <c r="K115" i="70"/>
  <c r="L115" i="70"/>
  <c r="M115" i="70"/>
  <c r="A115" i="71"/>
  <c r="B115" i="71"/>
  <c r="B114" i="70"/>
  <c r="C114" i="70"/>
  <c r="D114" i="70"/>
  <c r="E114" i="70"/>
  <c r="F114" i="70"/>
  <c r="G114" i="70"/>
  <c r="H114" i="70"/>
  <c r="I114" i="70"/>
  <c r="J114" i="70"/>
  <c r="K114" i="70"/>
  <c r="L114" i="70"/>
  <c r="M114" i="70"/>
  <c r="A114" i="71"/>
  <c r="B114" i="71"/>
  <c r="B113" i="70"/>
  <c r="C113" i="70"/>
  <c r="D113" i="70"/>
  <c r="E113" i="70"/>
  <c r="F113" i="70"/>
  <c r="G113" i="70"/>
  <c r="H113" i="70"/>
  <c r="I113" i="70"/>
  <c r="J113" i="70"/>
  <c r="K113" i="70"/>
  <c r="L113" i="70"/>
  <c r="M113" i="70"/>
  <c r="A113" i="71"/>
  <c r="B113" i="71"/>
  <c r="B112" i="70"/>
  <c r="C112" i="70"/>
  <c r="D112" i="70"/>
  <c r="E112" i="70"/>
  <c r="F112" i="70"/>
  <c r="G112" i="70"/>
  <c r="H112" i="70"/>
  <c r="I112" i="70"/>
  <c r="J112" i="70"/>
  <c r="K112" i="70"/>
  <c r="L112" i="70"/>
  <c r="M112" i="70"/>
  <c r="A112" i="71"/>
  <c r="B112" i="71"/>
  <c r="B111" i="70"/>
  <c r="C111" i="70"/>
  <c r="D111" i="70"/>
  <c r="E111" i="70"/>
  <c r="F111" i="70"/>
  <c r="G111" i="70"/>
  <c r="H111" i="70"/>
  <c r="I111" i="70"/>
  <c r="J111" i="70"/>
  <c r="K111" i="70"/>
  <c r="L111" i="70"/>
  <c r="M111" i="70"/>
  <c r="A111" i="71"/>
  <c r="B111" i="71"/>
  <c r="B110" i="70"/>
  <c r="C110" i="70"/>
  <c r="D110" i="70"/>
  <c r="E110" i="70"/>
  <c r="F110" i="70"/>
  <c r="G110" i="70"/>
  <c r="H110" i="70"/>
  <c r="I110" i="70"/>
  <c r="J110" i="70"/>
  <c r="K110" i="70"/>
  <c r="L110" i="70"/>
  <c r="M110" i="70"/>
  <c r="A110" i="71"/>
  <c r="B110" i="71"/>
  <c r="B109" i="70"/>
  <c r="C109" i="70"/>
  <c r="D109" i="70"/>
  <c r="E109" i="70"/>
  <c r="F109" i="70"/>
  <c r="G109" i="70"/>
  <c r="H109" i="70"/>
  <c r="I109" i="70"/>
  <c r="J109" i="70"/>
  <c r="K109" i="70"/>
  <c r="L109" i="70"/>
  <c r="M109" i="70"/>
  <c r="A109" i="71"/>
  <c r="B109" i="71"/>
  <c r="B108" i="70"/>
  <c r="C108" i="70"/>
  <c r="D108" i="70"/>
  <c r="E108" i="70"/>
  <c r="F108" i="70"/>
  <c r="G108" i="70"/>
  <c r="H108" i="70"/>
  <c r="I108" i="70"/>
  <c r="J108" i="70"/>
  <c r="K108" i="70"/>
  <c r="L108" i="70"/>
  <c r="M108" i="70"/>
  <c r="A108" i="71"/>
  <c r="B108" i="71"/>
  <c r="B107" i="70"/>
  <c r="C107" i="70"/>
  <c r="D107" i="70"/>
  <c r="E107" i="70"/>
  <c r="F107" i="70"/>
  <c r="G107" i="70"/>
  <c r="H107" i="70"/>
  <c r="I107" i="70"/>
  <c r="J107" i="70"/>
  <c r="K107" i="70"/>
  <c r="L107" i="70"/>
  <c r="M107" i="70"/>
  <c r="A107" i="71"/>
  <c r="B107" i="71"/>
  <c r="B106" i="70"/>
  <c r="C106" i="70"/>
  <c r="D106" i="70"/>
  <c r="E106" i="70"/>
  <c r="F106" i="70"/>
  <c r="G106" i="70"/>
  <c r="H106" i="70"/>
  <c r="I106" i="70"/>
  <c r="J106" i="70"/>
  <c r="K106" i="70"/>
  <c r="L106" i="70"/>
  <c r="M106" i="70"/>
  <c r="A106" i="71"/>
  <c r="B106" i="71"/>
  <c r="B105" i="70"/>
  <c r="C105" i="70"/>
  <c r="D105" i="70"/>
  <c r="E105" i="70"/>
  <c r="F105" i="70"/>
  <c r="G105" i="70"/>
  <c r="H105" i="70"/>
  <c r="I105" i="70"/>
  <c r="J105" i="70"/>
  <c r="K105" i="70"/>
  <c r="L105" i="70"/>
  <c r="M105" i="70"/>
  <c r="A105" i="71"/>
  <c r="B105" i="71"/>
  <c r="B104" i="70"/>
  <c r="D104" i="70"/>
  <c r="E104" i="70"/>
  <c r="F104" i="70"/>
  <c r="H104" i="70"/>
  <c r="I104" i="70"/>
  <c r="J104" i="70"/>
  <c r="K104" i="70"/>
  <c r="M104" i="70"/>
  <c r="A104" i="71"/>
  <c r="B104" i="71"/>
  <c r="B103" i="70"/>
  <c r="D103" i="70"/>
  <c r="E103" i="70"/>
  <c r="F103" i="70"/>
  <c r="H103" i="70"/>
  <c r="I103" i="70"/>
  <c r="J103" i="70"/>
  <c r="K103" i="70"/>
  <c r="M103" i="70"/>
  <c r="A103" i="71"/>
  <c r="B103" i="71"/>
  <c r="B102" i="70"/>
  <c r="D102" i="70"/>
  <c r="E102" i="70"/>
  <c r="F102" i="70"/>
  <c r="H102" i="70"/>
  <c r="I102" i="70"/>
  <c r="J102" i="70"/>
  <c r="K102" i="70"/>
  <c r="M102" i="70"/>
  <c r="A102" i="71"/>
  <c r="B102" i="71"/>
  <c r="B101" i="70"/>
  <c r="D101" i="70"/>
  <c r="E101" i="70"/>
  <c r="F101" i="70"/>
  <c r="H101" i="70"/>
  <c r="I101" i="70"/>
  <c r="J101" i="70"/>
  <c r="K101" i="70"/>
  <c r="M101" i="70"/>
  <c r="A101" i="71"/>
  <c r="B101" i="71"/>
  <c r="B100" i="70"/>
  <c r="D100" i="70"/>
  <c r="E100" i="70"/>
  <c r="F100" i="70"/>
  <c r="H100" i="70"/>
  <c r="I100" i="70"/>
  <c r="J100" i="70"/>
  <c r="K100" i="70"/>
  <c r="M100" i="70"/>
  <c r="A100" i="71"/>
  <c r="B100" i="71"/>
  <c r="G10" i="111" s="1"/>
  <c r="H10" i="111" s="1"/>
  <c r="B99" i="70"/>
  <c r="D99" i="70"/>
  <c r="E99" i="70"/>
  <c r="F99" i="70"/>
  <c r="H99" i="70"/>
  <c r="I99" i="70"/>
  <c r="J99" i="70"/>
  <c r="K99" i="70"/>
  <c r="M99" i="70"/>
  <c r="A99" i="71"/>
  <c r="B99" i="71"/>
  <c r="B98" i="70"/>
  <c r="D98" i="70"/>
  <c r="E98" i="70"/>
  <c r="F98" i="70"/>
  <c r="H98" i="70"/>
  <c r="I98" i="70"/>
  <c r="J98" i="70"/>
  <c r="K98" i="70"/>
  <c r="M98" i="70"/>
  <c r="A98" i="71"/>
  <c r="B98" i="71"/>
  <c r="B97" i="70"/>
  <c r="D97" i="70"/>
  <c r="E97" i="70"/>
  <c r="F97" i="70"/>
  <c r="H97" i="70"/>
  <c r="I97" i="70"/>
  <c r="J97" i="70"/>
  <c r="K97" i="70"/>
  <c r="M97" i="70"/>
  <c r="A97" i="71"/>
  <c r="B97" i="71"/>
  <c r="B96" i="70"/>
  <c r="D96" i="70"/>
  <c r="E96" i="70"/>
  <c r="F96" i="70"/>
  <c r="H96" i="70"/>
  <c r="I96" i="70"/>
  <c r="J96" i="70"/>
  <c r="K96" i="70"/>
  <c r="M96" i="70"/>
  <c r="A96" i="71"/>
  <c r="B96" i="71"/>
  <c r="B95" i="70"/>
  <c r="D95" i="70"/>
  <c r="E95" i="70"/>
  <c r="F95" i="70"/>
  <c r="H95" i="70"/>
  <c r="I95" i="70"/>
  <c r="J95" i="70"/>
  <c r="K95" i="70"/>
  <c r="M95" i="70"/>
  <c r="A95" i="71"/>
  <c r="B95" i="71"/>
  <c r="B94" i="70"/>
  <c r="D94" i="70"/>
  <c r="E94" i="70"/>
  <c r="F94" i="70"/>
  <c r="H94" i="70"/>
  <c r="I94" i="70"/>
  <c r="J94" i="70"/>
  <c r="K94" i="70"/>
  <c r="M94" i="70"/>
  <c r="A94" i="71"/>
  <c r="B94" i="71"/>
  <c r="B93" i="70"/>
  <c r="D93" i="70"/>
  <c r="E93" i="70"/>
  <c r="F93" i="70"/>
  <c r="H93" i="70"/>
  <c r="I93" i="70"/>
  <c r="J93" i="70"/>
  <c r="K93" i="70"/>
  <c r="M93" i="70"/>
  <c r="A93" i="71"/>
  <c r="B93" i="71"/>
  <c r="B92" i="70"/>
  <c r="D92" i="70"/>
  <c r="E92" i="70"/>
  <c r="F92" i="70"/>
  <c r="H92" i="70"/>
  <c r="I92" i="70"/>
  <c r="J92" i="70"/>
  <c r="K92" i="70"/>
  <c r="M92" i="70"/>
  <c r="A92" i="71"/>
  <c r="B92" i="71"/>
  <c r="B91" i="70"/>
  <c r="D91" i="70"/>
  <c r="E91" i="70"/>
  <c r="F91" i="70"/>
  <c r="H91" i="70"/>
  <c r="I91" i="70"/>
  <c r="J91" i="70"/>
  <c r="K91" i="70"/>
  <c r="M91" i="70"/>
  <c r="A91" i="71"/>
  <c r="B91" i="71"/>
  <c r="B90" i="70"/>
  <c r="D90" i="70"/>
  <c r="E90" i="70"/>
  <c r="F90" i="70"/>
  <c r="H90" i="70"/>
  <c r="I90" i="70"/>
  <c r="J90" i="70"/>
  <c r="K90" i="70"/>
  <c r="M90" i="70"/>
  <c r="A90" i="71"/>
  <c r="B90" i="71"/>
  <c r="B89" i="70"/>
  <c r="D89" i="70"/>
  <c r="E89" i="70"/>
  <c r="F89" i="70"/>
  <c r="H89" i="70"/>
  <c r="I89" i="70"/>
  <c r="J89" i="70"/>
  <c r="K89" i="70"/>
  <c r="M89" i="70"/>
  <c r="A89" i="71"/>
  <c r="B89" i="71"/>
  <c r="B88" i="70"/>
  <c r="D88" i="70"/>
  <c r="E88" i="70"/>
  <c r="F88" i="70"/>
  <c r="H88" i="70"/>
  <c r="I88" i="70"/>
  <c r="J88" i="70"/>
  <c r="K88" i="70"/>
  <c r="M88" i="70"/>
  <c r="A88" i="71"/>
  <c r="B88" i="71"/>
  <c r="B87" i="70"/>
  <c r="D87" i="70"/>
  <c r="E87" i="70"/>
  <c r="F87" i="70"/>
  <c r="H87" i="70"/>
  <c r="I87" i="70"/>
  <c r="J87" i="70"/>
  <c r="K87" i="70"/>
  <c r="M87" i="70"/>
  <c r="A87" i="71"/>
  <c r="B87" i="71"/>
  <c r="B86" i="70"/>
  <c r="D86" i="70"/>
  <c r="E86" i="70"/>
  <c r="F86" i="70"/>
  <c r="H86" i="70"/>
  <c r="I86" i="70"/>
  <c r="J86" i="70"/>
  <c r="K86" i="70"/>
  <c r="M86" i="70"/>
  <c r="A86" i="71"/>
  <c r="B86" i="71"/>
  <c r="B85" i="70"/>
  <c r="D85" i="70"/>
  <c r="E85" i="70"/>
  <c r="F85" i="70"/>
  <c r="H85" i="70"/>
  <c r="I85" i="70"/>
  <c r="J85" i="70"/>
  <c r="K85" i="70"/>
  <c r="M85" i="70"/>
  <c r="A85" i="71"/>
  <c r="B85" i="71"/>
  <c r="B84" i="70"/>
  <c r="D84" i="70"/>
  <c r="E84" i="70"/>
  <c r="F84" i="70"/>
  <c r="H84" i="70"/>
  <c r="I84" i="70"/>
  <c r="J84" i="70"/>
  <c r="K84" i="70"/>
  <c r="M84" i="70"/>
  <c r="A84" i="71"/>
  <c r="B84" i="71"/>
  <c r="B83" i="70"/>
  <c r="D83" i="70"/>
  <c r="E83" i="70"/>
  <c r="F83" i="70"/>
  <c r="H83" i="70"/>
  <c r="I83" i="70"/>
  <c r="J83" i="70"/>
  <c r="K83" i="70"/>
  <c r="M83" i="70"/>
  <c r="A83" i="71"/>
  <c r="B83" i="71"/>
  <c r="B82" i="70"/>
  <c r="D82" i="70"/>
  <c r="E82" i="70"/>
  <c r="F82" i="70"/>
  <c r="H82" i="70"/>
  <c r="I82" i="70"/>
  <c r="J82" i="70"/>
  <c r="K82" i="70"/>
  <c r="M82" i="70"/>
  <c r="A82" i="71"/>
  <c r="B82" i="71"/>
  <c r="B81" i="70"/>
  <c r="D81" i="70"/>
  <c r="E81" i="70"/>
  <c r="F81" i="70"/>
  <c r="H81" i="70"/>
  <c r="I81" i="70"/>
  <c r="J81" i="70"/>
  <c r="K81" i="70"/>
  <c r="M81" i="70"/>
  <c r="A81" i="71"/>
  <c r="B81" i="71"/>
  <c r="B80" i="70"/>
  <c r="D80" i="70"/>
  <c r="E80" i="70"/>
  <c r="F80" i="70"/>
  <c r="H80" i="70"/>
  <c r="I80" i="70"/>
  <c r="J80" i="70"/>
  <c r="K80" i="70"/>
  <c r="M80" i="70"/>
  <c r="A80" i="71"/>
  <c r="B80" i="71"/>
  <c r="B79" i="70"/>
  <c r="D79" i="70"/>
  <c r="E79" i="70"/>
  <c r="F79" i="70"/>
  <c r="H79" i="70"/>
  <c r="I79" i="70"/>
  <c r="J79" i="70"/>
  <c r="K79" i="70"/>
  <c r="M79" i="70"/>
  <c r="A79" i="71"/>
  <c r="B79" i="71"/>
  <c r="B78" i="70"/>
  <c r="D78" i="70"/>
  <c r="E78" i="70"/>
  <c r="F78" i="70"/>
  <c r="H78" i="70"/>
  <c r="I78" i="70"/>
  <c r="J78" i="70"/>
  <c r="K78" i="70"/>
  <c r="M78" i="70"/>
  <c r="A78" i="71"/>
  <c r="B78" i="71"/>
  <c r="B77" i="70"/>
  <c r="D77" i="70"/>
  <c r="E77" i="70"/>
  <c r="F77" i="70"/>
  <c r="H77" i="70"/>
  <c r="I77" i="70"/>
  <c r="J77" i="70"/>
  <c r="K77" i="70"/>
  <c r="M77" i="70"/>
  <c r="A77" i="71"/>
  <c r="B77" i="71"/>
  <c r="B76" i="70"/>
  <c r="D76" i="70"/>
  <c r="E76" i="70"/>
  <c r="F76" i="70"/>
  <c r="H76" i="70"/>
  <c r="I76" i="70"/>
  <c r="J76" i="70"/>
  <c r="K76" i="70"/>
  <c r="M76" i="70"/>
  <c r="A76" i="71"/>
  <c r="B76" i="71"/>
  <c r="B75" i="70"/>
  <c r="D75" i="70"/>
  <c r="E75" i="70"/>
  <c r="F75" i="70"/>
  <c r="H75" i="70"/>
  <c r="I75" i="70"/>
  <c r="J75" i="70"/>
  <c r="K75" i="70"/>
  <c r="M75" i="70"/>
  <c r="A75" i="71"/>
  <c r="B75" i="71"/>
  <c r="B74" i="70"/>
  <c r="D74" i="70"/>
  <c r="E74" i="70"/>
  <c r="F74" i="70"/>
  <c r="H74" i="70"/>
  <c r="I74" i="70"/>
  <c r="J74" i="70"/>
  <c r="K74" i="70"/>
  <c r="M74" i="70"/>
  <c r="A74" i="71"/>
  <c r="B74" i="71"/>
  <c r="B73" i="70"/>
  <c r="D73" i="70"/>
  <c r="E73" i="70"/>
  <c r="F73" i="70"/>
  <c r="H73" i="70"/>
  <c r="I73" i="70"/>
  <c r="J73" i="70"/>
  <c r="K73" i="70"/>
  <c r="M73" i="70"/>
  <c r="A73" i="71"/>
  <c r="B73" i="71"/>
  <c r="B72" i="70"/>
  <c r="D72" i="70"/>
  <c r="E72" i="70"/>
  <c r="F72" i="70"/>
  <c r="H72" i="70"/>
  <c r="I72" i="70"/>
  <c r="J72" i="70"/>
  <c r="K72" i="70"/>
  <c r="M72" i="70"/>
  <c r="A72" i="71"/>
  <c r="B72" i="71"/>
  <c r="B71" i="70"/>
  <c r="D71" i="70"/>
  <c r="E71" i="70"/>
  <c r="F71" i="70"/>
  <c r="H71" i="70"/>
  <c r="I71" i="70"/>
  <c r="J71" i="70"/>
  <c r="K71" i="70"/>
  <c r="M71" i="70"/>
  <c r="A71" i="71"/>
  <c r="B71" i="71"/>
  <c r="B70" i="70"/>
  <c r="D70" i="70"/>
  <c r="E70" i="70"/>
  <c r="F70" i="70"/>
  <c r="H70" i="70"/>
  <c r="I70" i="70"/>
  <c r="J70" i="70"/>
  <c r="K70" i="70"/>
  <c r="M70" i="70"/>
  <c r="A70" i="71"/>
  <c r="B70" i="71"/>
  <c r="B69" i="70"/>
  <c r="D69" i="70"/>
  <c r="E69" i="70"/>
  <c r="F69" i="70"/>
  <c r="H69" i="70"/>
  <c r="I69" i="70"/>
  <c r="J69" i="70"/>
  <c r="K69" i="70"/>
  <c r="M69" i="70"/>
  <c r="A69" i="71"/>
  <c r="B69" i="71"/>
  <c r="B68" i="70"/>
  <c r="D68" i="70"/>
  <c r="E68" i="70"/>
  <c r="F68" i="70"/>
  <c r="H68" i="70"/>
  <c r="I68" i="70"/>
  <c r="J68" i="70"/>
  <c r="K68" i="70"/>
  <c r="M68" i="70"/>
  <c r="A68" i="71"/>
  <c r="B68" i="71"/>
  <c r="B67" i="70"/>
  <c r="D67" i="70"/>
  <c r="E67" i="70"/>
  <c r="F67" i="70"/>
  <c r="H67" i="70"/>
  <c r="I67" i="70"/>
  <c r="J67" i="70"/>
  <c r="K67" i="70"/>
  <c r="M67" i="70"/>
  <c r="A67" i="71"/>
  <c r="B67" i="71"/>
  <c r="B66" i="70"/>
  <c r="D66" i="70"/>
  <c r="E66" i="70"/>
  <c r="F66" i="70"/>
  <c r="H66" i="70"/>
  <c r="I66" i="70"/>
  <c r="J66" i="70"/>
  <c r="K66" i="70"/>
  <c r="M66" i="70"/>
  <c r="A66" i="71"/>
  <c r="B66" i="71"/>
  <c r="B65" i="70"/>
  <c r="D65" i="70"/>
  <c r="E65" i="70"/>
  <c r="F65" i="70"/>
  <c r="H65" i="70"/>
  <c r="I65" i="70"/>
  <c r="J65" i="70"/>
  <c r="K65" i="70"/>
  <c r="M65" i="70"/>
  <c r="A65" i="71"/>
  <c r="B65" i="71"/>
  <c r="B64" i="70"/>
  <c r="D64" i="70"/>
  <c r="E64" i="70"/>
  <c r="F64" i="70"/>
  <c r="H64" i="70"/>
  <c r="I64" i="70"/>
  <c r="J64" i="70"/>
  <c r="K64" i="70"/>
  <c r="M64" i="70"/>
  <c r="A64" i="71"/>
  <c r="B64" i="71"/>
  <c r="B63" i="70"/>
  <c r="D63" i="70"/>
  <c r="E63" i="70"/>
  <c r="F63" i="70"/>
  <c r="H63" i="70"/>
  <c r="I63" i="70"/>
  <c r="J63" i="70"/>
  <c r="K63" i="70"/>
  <c r="M63" i="70"/>
  <c r="A63" i="71"/>
  <c r="B63" i="71"/>
  <c r="B62" i="70"/>
  <c r="D62" i="70"/>
  <c r="E62" i="70"/>
  <c r="F62" i="70"/>
  <c r="H62" i="70"/>
  <c r="I62" i="70"/>
  <c r="J62" i="70"/>
  <c r="K62" i="70"/>
  <c r="M62" i="70"/>
  <c r="A62" i="71"/>
  <c r="B62" i="71"/>
  <c r="B61" i="70"/>
  <c r="D61" i="70"/>
  <c r="E61" i="70"/>
  <c r="F61" i="70"/>
  <c r="H61" i="70"/>
  <c r="I61" i="70"/>
  <c r="J61" i="70"/>
  <c r="K61" i="70"/>
  <c r="M61" i="70"/>
  <c r="A61" i="71"/>
  <c r="B61" i="71"/>
  <c r="B60" i="70"/>
  <c r="D60" i="70"/>
  <c r="E60" i="70"/>
  <c r="F60" i="70"/>
  <c r="H60" i="70"/>
  <c r="I60" i="70"/>
  <c r="J60" i="70"/>
  <c r="K60" i="70"/>
  <c r="M60" i="70"/>
  <c r="A60" i="71"/>
  <c r="B60" i="71"/>
  <c r="B59" i="70"/>
  <c r="D59" i="70"/>
  <c r="E59" i="70"/>
  <c r="F59" i="70"/>
  <c r="H59" i="70"/>
  <c r="I59" i="70"/>
  <c r="J59" i="70"/>
  <c r="K59" i="70"/>
  <c r="M59" i="70"/>
  <c r="A59" i="71"/>
  <c r="B59" i="71"/>
  <c r="B58" i="70"/>
  <c r="D58" i="70"/>
  <c r="E58" i="70"/>
  <c r="F58" i="70"/>
  <c r="H58" i="70"/>
  <c r="I58" i="70"/>
  <c r="J58" i="70"/>
  <c r="K58" i="70"/>
  <c r="M58" i="70"/>
  <c r="A58" i="71"/>
  <c r="B58" i="71"/>
  <c r="B57" i="70"/>
  <c r="D57" i="70"/>
  <c r="E57" i="70"/>
  <c r="F57" i="70"/>
  <c r="H57" i="70"/>
  <c r="I57" i="70"/>
  <c r="J57" i="70"/>
  <c r="K57" i="70"/>
  <c r="M57" i="70"/>
  <c r="A57" i="71"/>
  <c r="B57" i="71"/>
  <c r="B56" i="70"/>
  <c r="D56" i="70"/>
  <c r="E56" i="70"/>
  <c r="F56" i="70"/>
  <c r="H56" i="70"/>
  <c r="I56" i="70"/>
  <c r="J56" i="70"/>
  <c r="K56" i="70"/>
  <c r="M56" i="70"/>
  <c r="A56" i="71"/>
  <c r="B56" i="71"/>
  <c r="B55" i="70"/>
  <c r="D55" i="70"/>
  <c r="E55" i="70"/>
  <c r="F55" i="70"/>
  <c r="H55" i="70"/>
  <c r="I55" i="70"/>
  <c r="J55" i="70"/>
  <c r="K55" i="70"/>
  <c r="M55" i="70"/>
  <c r="A55" i="71"/>
  <c r="B55" i="71"/>
  <c r="B54" i="70"/>
  <c r="D54" i="70"/>
  <c r="E54" i="70"/>
  <c r="F54" i="70"/>
  <c r="H54" i="70"/>
  <c r="I54" i="70"/>
  <c r="J54" i="70"/>
  <c r="K54" i="70"/>
  <c r="M54" i="70"/>
  <c r="A54" i="71"/>
  <c r="B54" i="71"/>
  <c r="B53" i="70"/>
  <c r="D53" i="70"/>
  <c r="E53" i="70"/>
  <c r="F53" i="70"/>
  <c r="H53" i="70"/>
  <c r="I53" i="70"/>
  <c r="J53" i="70"/>
  <c r="K53" i="70"/>
  <c r="M53" i="70"/>
  <c r="A53" i="71"/>
  <c r="B53" i="71"/>
  <c r="B52" i="70"/>
  <c r="D52" i="70"/>
  <c r="E52" i="70"/>
  <c r="F52" i="70"/>
  <c r="H52" i="70"/>
  <c r="I52" i="70"/>
  <c r="J52" i="70"/>
  <c r="K52" i="70"/>
  <c r="M52" i="70"/>
  <c r="A52" i="71"/>
  <c r="B52" i="71"/>
  <c r="B51" i="70"/>
  <c r="D51" i="70"/>
  <c r="E51" i="70"/>
  <c r="F51" i="70"/>
  <c r="H51" i="70"/>
  <c r="I51" i="70"/>
  <c r="J51" i="70"/>
  <c r="K51" i="70"/>
  <c r="M51" i="70"/>
  <c r="A51" i="71"/>
  <c r="B51" i="71"/>
  <c r="B50" i="70"/>
  <c r="D50" i="70"/>
  <c r="E50" i="70"/>
  <c r="F50" i="70"/>
  <c r="H50" i="70"/>
  <c r="I50" i="70"/>
  <c r="J50" i="70"/>
  <c r="K50" i="70"/>
  <c r="M50" i="70"/>
  <c r="A50" i="71"/>
  <c r="B50" i="71"/>
  <c r="B49" i="70"/>
  <c r="D49" i="70"/>
  <c r="E49" i="70"/>
  <c r="F49" i="70"/>
  <c r="H49" i="70"/>
  <c r="I49" i="70"/>
  <c r="J49" i="70"/>
  <c r="K49" i="70"/>
  <c r="M49" i="70"/>
  <c r="A49" i="71"/>
  <c r="B49" i="71"/>
  <c r="B48" i="70"/>
  <c r="D48" i="70"/>
  <c r="E48" i="70"/>
  <c r="F48" i="70"/>
  <c r="H48" i="70"/>
  <c r="I48" i="70"/>
  <c r="J48" i="70"/>
  <c r="K48" i="70"/>
  <c r="M48" i="70"/>
  <c r="A48" i="71"/>
  <c r="B48" i="71"/>
  <c r="B47" i="70"/>
  <c r="D47" i="70"/>
  <c r="E47" i="70"/>
  <c r="F47" i="70"/>
  <c r="H47" i="70"/>
  <c r="I47" i="70"/>
  <c r="J47" i="70"/>
  <c r="K47" i="70"/>
  <c r="M47" i="70"/>
  <c r="A47" i="71"/>
  <c r="B47" i="71"/>
  <c r="B46" i="70"/>
  <c r="D46" i="70"/>
  <c r="E46" i="70"/>
  <c r="F46" i="70"/>
  <c r="H46" i="70"/>
  <c r="I46" i="70"/>
  <c r="J46" i="70"/>
  <c r="K46" i="70"/>
  <c r="M46" i="70"/>
  <c r="A46" i="71"/>
  <c r="B46" i="71"/>
  <c r="B45" i="70"/>
  <c r="D45" i="70"/>
  <c r="E45" i="70"/>
  <c r="F45" i="70"/>
  <c r="H45" i="70"/>
  <c r="I45" i="70"/>
  <c r="J45" i="70"/>
  <c r="K45" i="70"/>
  <c r="M45" i="70"/>
  <c r="A45" i="71"/>
  <c r="B45" i="71"/>
  <c r="B44" i="70"/>
  <c r="D44" i="70"/>
  <c r="E44" i="70"/>
  <c r="F44" i="70"/>
  <c r="H44" i="70"/>
  <c r="I44" i="70"/>
  <c r="J44" i="70"/>
  <c r="K44" i="70"/>
  <c r="M44" i="70"/>
  <c r="A44" i="71"/>
  <c r="B44" i="71"/>
  <c r="B43" i="70"/>
  <c r="D43" i="70"/>
  <c r="E43" i="70"/>
  <c r="F43" i="70"/>
  <c r="H43" i="70"/>
  <c r="I43" i="70"/>
  <c r="J43" i="70"/>
  <c r="K43" i="70"/>
  <c r="M43" i="70"/>
  <c r="A43" i="71"/>
  <c r="B43" i="71"/>
  <c r="B42" i="70"/>
  <c r="D42" i="70"/>
  <c r="E42" i="70"/>
  <c r="F42" i="70"/>
  <c r="H42" i="70"/>
  <c r="I42" i="70"/>
  <c r="J42" i="70"/>
  <c r="K42" i="70"/>
  <c r="M42" i="70"/>
  <c r="A42" i="71"/>
  <c r="B42" i="71"/>
  <c r="B41" i="70"/>
  <c r="D41" i="70"/>
  <c r="E41" i="70"/>
  <c r="F41" i="70"/>
  <c r="H41" i="70"/>
  <c r="I41" i="70"/>
  <c r="J41" i="70"/>
  <c r="K41" i="70"/>
  <c r="M41" i="70"/>
  <c r="A41" i="71"/>
  <c r="B41" i="71"/>
  <c r="B40" i="70"/>
  <c r="D40" i="70"/>
  <c r="E40" i="70"/>
  <c r="F40" i="70"/>
  <c r="H40" i="70"/>
  <c r="I40" i="70"/>
  <c r="J40" i="70"/>
  <c r="K40" i="70"/>
  <c r="M40" i="70"/>
  <c r="A40" i="71"/>
  <c r="B40" i="71"/>
  <c r="B39" i="70"/>
  <c r="D39" i="70"/>
  <c r="E39" i="70"/>
  <c r="F39" i="70"/>
  <c r="H39" i="70"/>
  <c r="I39" i="70"/>
  <c r="J39" i="70"/>
  <c r="K39" i="70"/>
  <c r="M39" i="70"/>
  <c r="A39" i="71"/>
  <c r="B39" i="71"/>
  <c r="B38" i="70"/>
  <c r="D38" i="70"/>
  <c r="E38" i="70"/>
  <c r="F38" i="70"/>
  <c r="H38" i="70"/>
  <c r="I38" i="70"/>
  <c r="J38" i="70"/>
  <c r="K38" i="70"/>
  <c r="M38" i="70"/>
  <c r="A38" i="71"/>
  <c r="B38" i="71"/>
  <c r="B37" i="70"/>
  <c r="D37" i="70"/>
  <c r="E37" i="70"/>
  <c r="F37" i="70"/>
  <c r="H37" i="70"/>
  <c r="I37" i="70"/>
  <c r="J37" i="70"/>
  <c r="K37" i="70"/>
  <c r="M37" i="70"/>
  <c r="A37" i="71"/>
  <c r="B37" i="71"/>
  <c r="B36" i="70"/>
  <c r="D36" i="70"/>
  <c r="E36" i="70"/>
  <c r="F36" i="70"/>
  <c r="H36" i="70"/>
  <c r="I36" i="70"/>
  <c r="J36" i="70"/>
  <c r="K36" i="70"/>
  <c r="M36" i="70"/>
  <c r="A36" i="71"/>
  <c r="B36" i="71"/>
  <c r="B35" i="70"/>
  <c r="D35" i="70"/>
  <c r="E35" i="70"/>
  <c r="F35" i="70"/>
  <c r="H35" i="70"/>
  <c r="I35" i="70"/>
  <c r="J35" i="70"/>
  <c r="K35" i="70"/>
  <c r="M35" i="70"/>
  <c r="A35" i="71"/>
  <c r="B35" i="71"/>
  <c r="B34" i="70"/>
  <c r="D34" i="70"/>
  <c r="E34" i="70"/>
  <c r="F34" i="70"/>
  <c r="H34" i="70"/>
  <c r="I34" i="70"/>
  <c r="J34" i="70"/>
  <c r="K34" i="70"/>
  <c r="M34" i="70"/>
  <c r="A34" i="71"/>
  <c r="B34" i="71"/>
  <c r="B33" i="70"/>
  <c r="D33" i="70"/>
  <c r="E33" i="70"/>
  <c r="F33" i="70"/>
  <c r="H33" i="70"/>
  <c r="I33" i="70"/>
  <c r="J33" i="70"/>
  <c r="K33" i="70"/>
  <c r="M33" i="70"/>
  <c r="A33" i="71"/>
  <c r="B33" i="71"/>
  <c r="B32" i="70"/>
  <c r="D32" i="70"/>
  <c r="E32" i="70"/>
  <c r="F32" i="70"/>
  <c r="H32" i="70"/>
  <c r="I32" i="70"/>
  <c r="J32" i="70"/>
  <c r="K32" i="70"/>
  <c r="M32" i="70"/>
  <c r="A32" i="71"/>
  <c r="B32" i="71"/>
  <c r="B31" i="70"/>
  <c r="D31" i="70"/>
  <c r="E31" i="70"/>
  <c r="F31" i="70"/>
  <c r="H31" i="70"/>
  <c r="I31" i="70"/>
  <c r="J31" i="70"/>
  <c r="K31" i="70"/>
  <c r="M31" i="70"/>
  <c r="A31" i="71"/>
  <c r="B31" i="71"/>
  <c r="B30" i="70"/>
  <c r="D30" i="70"/>
  <c r="E30" i="70"/>
  <c r="F30" i="70"/>
  <c r="H30" i="70"/>
  <c r="I30" i="70"/>
  <c r="J30" i="70"/>
  <c r="K30" i="70"/>
  <c r="M30" i="70"/>
  <c r="A30" i="71"/>
  <c r="B30" i="71"/>
  <c r="B29" i="70"/>
  <c r="D29" i="70"/>
  <c r="E29" i="70"/>
  <c r="F29" i="70"/>
  <c r="H29" i="70"/>
  <c r="I29" i="70"/>
  <c r="J29" i="70"/>
  <c r="K29" i="70"/>
  <c r="M29" i="70"/>
  <c r="A29" i="71"/>
  <c r="B29" i="71"/>
  <c r="B13" i="96"/>
  <c r="C13" i="96" s="1"/>
  <c r="B31" i="113"/>
  <c r="C31" i="113" s="1"/>
  <c r="B31" i="115"/>
  <c r="C31" i="115" s="1"/>
  <c r="G9" i="111"/>
  <c r="H9" i="111" s="1"/>
  <c r="B31" i="114"/>
  <c r="C31" i="114" s="1"/>
  <c r="H5" i="19"/>
  <c r="H6" i="19"/>
  <c r="K6" i="19" s="1"/>
  <c r="L6" i="19" s="1"/>
  <c r="N6" i="19" s="1"/>
  <c r="H7" i="19"/>
  <c r="K7" i="19" s="1"/>
  <c r="L7" i="19" s="1"/>
  <c r="N7" i="19" s="1"/>
  <c r="H8" i="19"/>
  <c r="K8" i="19" s="1"/>
  <c r="L8" i="19" s="1"/>
  <c r="N8" i="19" s="1"/>
  <c r="H9" i="19"/>
  <c r="K9" i="19" s="1"/>
  <c r="L9" i="19" s="1"/>
  <c r="N9" i="19" s="1"/>
  <c r="H10" i="19"/>
  <c r="K10" i="19" s="1"/>
  <c r="L10" i="19" s="1"/>
  <c r="N10" i="19" s="1"/>
  <c r="H11" i="19"/>
  <c r="K11" i="19" s="1"/>
  <c r="L11" i="19" s="1"/>
  <c r="N11" i="19" s="1"/>
  <c r="H12" i="19"/>
  <c r="K12" i="19" s="1"/>
  <c r="L12" i="19" s="1"/>
  <c r="N12" i="19" s="1"/>
  <c r="C155" i="71"/>
  <c r="D155" i="71"/>
  <c r="E155" i="71"/>
  <c r="F155" i="71"/>
  <c r="G155" i="71"/>
  <c r="H155" i="71"/>
  <c r="I155" i="71"/>
  <c r="J155" i="71"/>
  <c r="K155" i="71"/>
  <c r="C28" i="71"/>
  <c r="D28" i="71"/>
  <c r="E28" i="71"/>
  <c r="F28" i="71"/>
  <c r="G28" i="71"/>
  <c r="H28" i="71"/>
  <c r="I28" i="71"/>
  <c r="J28" i="71"/>
  <c r="K28" i="71"/>
  <c r="C27" i="71"/>
  <c r="D27" i="71"/>
  <c r="E27" i="71"/>
  <c r="F27" i="71"/>
  <c r="G27" i="71"/>
  <c r="H27" i="71"/>
  <c r="I27" i="71"/>
  <c r="J27" i="71"/>
  <c r="K27" i="71"/>
  <c r="C26" i="71"/>
  <c r="D26" i="71"/>
  <c r="E26" i="71"/>
  <c r="F26" i="71"/>
  <c r="G26" i="71"/>
  <c r="H26" i="71"/>
  <c r="I26" i="71"/>
  <c r="J26" i="71"/>
  <c r="K26" i="71"/>
  <c r="C25" i="71"/>
  <c r="D25" i="71"/>
  <c r="E25" i="71"/>
  <c r="F25" i="71"/>
  <c r="G25" i="71"/>
  <c r="H25" i="71"/>
  <c r="I25" i="71"/>
  <c r="J25" i="71"/>
  <c r="K25" i="71"/>
  <c r="C24" i="71"/>
  <c r="D24" i="71"/>
  <c r="E24" i="71"/>
  <c r="F24" i="71"/>
  <c r="G24" i="71"/>
  <c r="H24" i="71"/>
  <c r="I24" i="71"/>
  <c r="J24" i="71"/>
  <c r="K24" i="71"/>
  <c r="C23" i="71"/>
  <c r="D23" i="71"/>
  <c r="E23" i="71"/>
  <c r="F23" i="71"/>
  <c r="G23" i="71"/>
  <c r="H23" i="71"/>
  <c r="I23" i="71"/>
  <c r="J23" i="71"/>
  <c r="K23" i="71"/>
  <c r="C22" i="71"/>
  <c r="D22" i="71"/>
  <c r="E22" i="71"/>
  <c r="F22" i="71"/>
  <c r="G22" i="71"/>
  <c r="H22" i="71"/>
  <c r="I22" i="71"/>
  <c r="J22" i="71"/>
  <c r="K22" i="71"/>
  <c r="C21" i="71"/>
  <c r="D21" i="71"/>
  <c r="E21" i="71"/>
  <c r="F21" i="71"/>
  <c r="G21" i="71"/>
  <c r="H21" i="71"/>
  <c r="I21" i="71"/>
  <c r="J21" i="71"/>
  <c r="K21" i="71"/>
  <c r="C20" i="71"/>
  <c r="D20" i="71"/>
  <c r="E20" i="71"/>
  <c r="F20" i="71"/>
  <c r="G20" i="71"/>
  <c r="H20" i="71"/>
  <c r="I20" i="71"/>
  <c r="J20" i="71"/>
  <c r="K20" i="71"/>
  <c r="C19" i="71"/>
  <c r="D19" i="71"/>
  <c r="E19" i="71"/>
  <c r="F19" i="71"/>
  <c r="G19" i="71"/>
  <c r="H19" i="71"/>
  <c r="I19" i="71"/>
  <c r="J19" i="71"/>
  <c r="K19" i="71"/>
  <c r="C18" i="71"/>
  <c r="D18" i="71"/>
  <c r="E18" i="71"/>
  <c r="F18" i="71"/>
  <c r="G18" i="71"/>
  <c r="H18" i="71"/>
  <c r="I18" i="71"/>
  <c r="J18" i="71"/>
  <c r="K18" i="71"/>
  <c r="C17" i="71"/>
  <c r="D17" i="71"/>
  <c r="E17" i="71"/>
  <c r="F17" i="71"/>
  <c r="G17" i="71"/>
  <c r="H17" i="71"/>
  <c r="I17" i="71"/>
  <c r="J17" i="71"/>
  <c r="K17" i="71"/>
  <c r="C16" i="71"/>
  <c r="D16" i="71"/>
  <c r="E16" i="71"/>
  <c r="F16" i="71"/>
  <c r="G16" i="71"/>
  <c r="H16" i="71"/>
  <c r="I16" i="71"/>
  <c r="J16" i="71"/>
  <c r="K16" i="71"/>
  <c r="C15" i="71"/>
  <c r="D15" i="71"/>
  <c r="E15" i="71"/>
  <c r="F15" i="71"/>
  <c r="G15" i="71"/>
  <c r="H15" i="71"/>
  <c r="I15" i="71"/>
  <c r="J15" i="71"/>
  <c r="K15" i="71"/>
  <c r="C14" i="71"/>
  <c r="D14" i="71"/>
  <c r="E14" i="71"/>
  <c r="F14" i="71"/>
  <c r="G14" i="71"/>
  <c r="H14" i="71"/>
  <c r="I14" i="71"/>
  <c r="J14" i="71"/>
  <c r="K14" i="71"/>
  <c r="C13" i="71"/>
  <c r="D13" i="71"/>
  <c r="E13" i="71"/>
  <c r="F13" i="71"/>
  <c r="G13" i="71"/>
  <c r="H13" i="71"/>
  <c r="I13" i="71"/>
  <c r="J13" i="71"/>
  <c r="K13" i="71"/>
  <c r="C12" i="71"/>
  <c r="D12" i="71"/>
  <c r="E12" i="71"/>
  <c r="F12" i="71"/>
  <c r="G12" i="71"/>
  <c r="H12" i="71"/>
  <c r="I12" i="71"/>
  <c r="J12" i="71"/>
  <c r="K12" i="71"/>
  <c r="C11" i="71"/>
  <c r="D11" i="71"/>
  <c r="E11" i="71"/>
  <c r="F11" i="71"/>
  <c r="G11" i="71"/>
  <c r="H11" i="71"/>
  <c r="I11" i="71"/>
  <c r="J11" i="71"/>
  <c r="K11" i="71"/>
  <c r="C10" i="71"/>
  <c r="D10" i="71"/>
  <c r="E10" i="71"/>
  <c r="F10" i="71"/>
  <c r="G10" i="71"/>
  <c r="H10" i="71"/>
  <c r="I10" i="71"/>
  <c r="J10" i="71"/>
  <c r="K10" i="71"/>
  <c r="C9" i="71"/>
  <c r="D9" i="71"/>
  <c r="E9" i="71"/>
  <c r="F9" i="71"/>
  <c r="G9" i="71"/>
  <c r="H9" i="71"/>
  <c r="I9" i="71"/>
  <c r="J9" i="71"/>
  <c r="K9" i="71"/>
  <c r="C8" i="71"/>
  <c r="D8" i="71"/>
  <c r="E8" i="71"/>
  <c r="F8" i="71"/>
  <c r="G8" i="71"/>
  <c r="H8" i="71"/>
  <c r="I8" i="71"/>
  <c r="J8" i="71"/>
  <c r="K8" i="71"/>
  <c r="C7" i="71"/>
  <c r="D7" i="71"/>
  <c r="E7" i="71"/>
  <c r="F7" i="71"/>
  <c r="G7" i="71"/>
  <c r="H7" i="71"/>
  <c r="I7" i="71"/>
  <c r="J7" i="71"/>
  <c r="K7" i="71"/>
  <c r="C6" i="71"/>
  <c r="D6" i="71"/>
  <c r="E6" i="71"/>
  <c r="F6" i="71"/>
  <c r="G6" i="71"/>
  <c r="H6" i="71"/>
  <c r="I6" i="71"/>
  <c r="J6" i="71"/>
  <c r="K6" i="71"/>
  <c r="C5" i="71"/>
  <c r="D5" i="71"/>
  <c r="E5" i="71"/>
  <c r="F5" i="71"/>
  <c r="G5" i="71"/>
  <c r="H5" i="71"/>
  <c r="I5" i="71"/>
  <c r="J5" i="71"/>
  <c r="K5" i="71"/>
  <c r="C5" i="69"/>
  <c r="D5" i="69" s="1"/>
  <c r="E5" i="69" s="1"/>
  <c r="F5" i="69"/>
  <c r="G5" i="69"/>
  <c r="H5" i="69"/>
  <c r="C6" i="69"/>
  <c r="D6" i="69" s="1"/>
  <c r="E6" i="69" s="1"/>
  <c r="F6" i="69"/>
  <c r="G6" i="69"/>
  <c r="H6" i="69"/>
  <c r="C7" i="69"/>
  <c r="D7" i="69" s="1"/>
  <c r="E7" i="69" s="1"/>
  <c r="F7" i="69"/>
  <c r="G7" i="69"/>
  <c r="H7" i="69"/>
  <c r="C8" i="69"/>
  <c r="D8" i="69" s="1"/>
  <c r="E8" i="69" s="1"/>
  <c r="F8" i="69"/>
  <c r="G8" i="69"/>
  <c r="H8" i="69"/>
  <c r="C9" i="69"/>
  <c r="D9" i="69" s="1"/>
  <c r="E9" i="69" s="1"/>
  <c r="F9" i="69"/>
  <c r="G9" i="69"/>
  <c r="H9" i="69"/>
  <c r="C10" i="69"/>
  <c r="D10" i="69" s="1"/>
  <c r="E10" i="69" s="1"/>
  <c r="F10" i="69"/>
  <c r="G10" i="69"/>
  <c r="H10" i="69"/>
  <c r="E11" i="5"/>
  <c r="F11" i="5" s="1"/>
  <c r="G11" i="5" s="1"/>
  <c r="G11" i="111"/>
  <c r="H11" i="111" s="1"/>
  <c r="B208" i="68"/>
  <c r="B211" i="68"/>
  <c r="B212" i="68"/>
  <c r="L18" i="47"/>
  <c r="H26" i="48" s="1"/>
  <c r="M18" i="47"/>
  <c r="H18" i="47"/>
  <c r="L13" i="47"/>
  <c r="H23" i="48" s="1"/>
  <c r="M13" i="47"/>
  <c r="H13" i="47"/>
  <c r="L8" i="47"/>
  <c r="M8" i="47"/>
  <c r="H8" i="47"/>
  <c r="L5" i="47"/>
  <c r="M5" i="47"/>
  <c r="H5" i="47"/>
  <c r="M24" i="47"/>
  <c r="H24" i="47"/>
  <c r="L24" i="47"/>
  <c r="L23" i="47"/>
  <c r="M23" i="47"/>
  <c r="H23" i="47"/>
  <c r="L15" i="47"/>
  <c r="M15" i="47"/>
  <c r="H15" i="47"/>
  <c r="L10" i="47"/>
  <c r="M10" i="47"/>
  <c r="H10" i="47"/>
  <c r="I7" i="48" s="1"/>
  <c r="L22" i="47"/>
  <c r="M22" i="47"/>
  <c r="H22" i="47"/>
  <c r="L19" i="47"/>
  <c r="M19" i="47"/>
  <c r="H19" i="47"/>
  <c r="L17" i="47"/>
  <c r="M17" i="47"/>
  <c r="H17" i="47"/>
  <c r="L14" i="47"/>
  <c r="M14" i="47"/>
  <c r="H14" i="47"/>
  <c r="L12" i="47"/>
  <c r="M12" i="47"/>
  <c r="H12" i="47"/>
  <c r="L9" i="47"/>
  <c r="M9" i="47"/>
  <c r="H9" i="47"/>
  <c r="L7" i="47"/>
  <c r="M7" i="47"/>
  <c r="H7" i="47"/>
  <c r="I8" i="48" s="1"/>
  <c r="L21" i="47"/>
  <c r="H27" i="48" s="1"/>
  <c r="M21" i="47"/>
  <c r="H21" i="47"/>
  <c r="G27" i="48" s="1"/>
  <c r="L16" i="47"/>
  <c r="H25" i="48" s="1"/>
  <c r="M16" i="47"/>
  <c r="H16" i="47"/>
  <c r="G25" i="48" s="1"/>
  <c r="L11" i="47"/>
  <c r="H22" i="48" s="1"/>
  <c r="M11" i="47"/>
  <c r="H11" i="47"/>
  <c r="G22" i="48" s="1"/>
  <c r="L6" i="47"/>
  <c r="M6" i="47"/>
  <c r="H6" i="47"/>
  <c r="I5" i="48" s="1"/>
  <c r="B6" i="48"/>
  <c r="F5" i="48"/>
  <c r="F5" i="35"/>
  <c r="F11" i="35" s="1"/>
  <c r="D11" i="35"/>
  <c r="L10" i="28"/>
  <c r="H21" i="29" s="1"/>
  <c r="G21" i="29"/>
  <c r="L9" i="28"/>
  <c r="H20" i="29" s="1"/>
  <c r="G20" i="29"/>
  <c r="L8" i="28"/>
  <c r="H19" i="29" s="1"/>
  <c r="G19" i="29"/>
  <c r="L7" i="28"/>
  <c r="H18" i="29" s="1"/>
  <c r="G18" i="29"/>
  <c r="J6" i="28"/>
  <c r="E17" i="29"/>
  <c r="J5" i="28"/>
  <c r="E16" i="29"/>
  <c r="W6" i="32"/>
  <c r="V7" i="32"/>
  <c r="W7" i="32" s="1"/>
  <c r="F6" i="33"/>
  <c r="H6" i="33" s="1"/>
  <c r="B14" i="21"/>
  <c r="C14" i="21" s="1"/>
  <c r="C6" i="34"/>
  <c r="C6" i="106"/>
  <c r="O9" i="24"/>
  <c r="B9" i="96"/>
  <c r="E8" i="21"/>
  <c r="G8" i="21" s="1"/>
  <c r="C7" i="96"/>
  <c r="B6" i="111"/>
  <c r="C6" i="96"/>
  <c r="B8" i="96"/>
  <c r="C8" i="96" s="1"/>
  <c r="B5" i="111"/>
  <c r="C11" i="21"/>
  <c r="E17" i="15"/>
  <c r="G17" i="15"/>
  <c r="K17" i="15"/>
  <c r="E16" i="15"/>
  <c r="G16" i="15"/>
  <c r="K16" i="15"/>
  <c r="D15" i="15"/>
  <c r="I15" i="15"/>
  <c r="J15" i="15"/>
  <c r="D14" i="15"/>
  <c r="I14" i="15"/>
  <c r="J14" i="15"/>
  <c r="D13" i="15"/>
  <c r="I13" i="15"/>
  <c r="J13" i="15"/>
  <c r="D12" i="15"/>
  <c r="I12" i="15"/>
  <c r="J12" i="15"/>
  <c r="D11" i="15"/>
  <c r="I11" i="15"/>
  <c r="J11" i="15"/>
  <c r="C14" i="14"/>
  <c r="D14" i="14" s="1"/>
  <c r="E14" i="14"/>
  <c r="F14" i="14" s="1"/>
  <c r="G14" i="14"/>
  <c r="I14" i="14"/>
  <c r="J14" i="14"/>
  <c r="K14" i="14"/>
  <c r="L14" i="14"/>
  <c r="C11" i="14"/>
  <c r="D11" i="14" s="1"/>
  <c r="E11" i="14"/>
  <c r="G11" i="14"/>
  <c r="I11" i="14"/>
  <c r="J11" i="14"/>
  <c r="K11" i="14"/>
  <c r="L11" i="14"/>
  <c r="C15" i="14"/>
  <c r="D15" i="14" s="1"/>
  <c r="E15" i="14"/>
  <c r="F15" i="14" s="1"/>
  <c r="G15" i="14"/>
  <c r="I15" i="14"/>
  <c r="J15" i="14"/>
  <c r="K15" i="14"/>
  <c r="L15" i="14"/>
  <c r="C13" i="14"/>
  <c r="E13" i="14"/>
  <c r="F13" i="14" s="1"/>
  <c r="G13" i="14"/>
  <c r="I13" i="14"/>
  <c r="J13" i="14"/>
  <c r="C12" i="14"/>
  <c r="D12" i="14" s="1"/>
  <c r="E12" i="14"/>
  <c r="F12" i="14" s="1"/>
  <c r="G12" i="14"/>
  <c r="H12" i="14" s="1"/>
  <c r="M12" i="14" s="1"/>
  <c r="I12" i="14"/>
  <c r="J12" i="14"/>
  <c r="K12" i="14"/>
  <c r="L12" i="14"/>
  <c r="T14" i="107"/>
  <c r="B9" i="104"/>
  <c r="B11" i="98"/>
  <c r="G11" i="34"/>
  <c r="H11" i="34"/>
  <c r="G10" i="34"/>
  <c r="H10" i="34"/>
  <c r="G9" i="34"/>
  <c r="H9" i="34"/>
  <c r="G8" i="34"/>
  <c r="H8" i="34"/>
  <c r="B18" i="30"/>
  <c r="G38" i="30" s="1"/>
  <c r="H38" i="30" s="1"/>
  <c r="B16" i="30"/>
  <c r="B27" i="30"/>
  <c r="D27" i="30" s="1"/>
  <c r="B14" i="30"/>
  <c r="B15" i="30"/>
  <c r="G35" i="30" s="1"/>
  <c r="H35" i="30" s="1"/>
  <c r="B17" i="30"/>
  <c r="G37" i="30" s="1"/>
  <c r="H37" i="30" s="1"/>
  <c r="B26" i="30"/>
  <c r="D26" i="30" s="1"/>
  <c r="B25" i="30"/>
  <c r="B24" i="30"/>
  <c r="D24" i="30" s="1"/>
  <c r="D6" i="19"/>
  <c r="B26" i="31"/>
  <c r="J64" i="13"/>
  <c r="H64" i="13"/>
  <c r="H63" i="13"/>
  <c r="J63" i="13"/>
  <c r="H62" i="13"/>
  <c r="J62" i="13"/>
  <c r="J61" i="13"/>
  <c r="H61" i="13"/>
  <c r="J60" i="13"/>
  <c r="H60" i="13"/>
  <c r="J59" i="13"/>
  <c r="H59" i="13"/>
  <c r="N58" i="13"/>
  <c r="M58" i="13"/>
  <c r="L58" i="13"/>
  <c r="I57" i="13"/>
  <c r="N57" i="13"/>
  <c r="M57" i="13"/>
  <c r="L57" i="13"/>
  <c r="M56" i="13"/>
  <c r="N56" i="13"/>
  <c r="I56" i="13"/>
  <c r="L56" i="13"/>
  <c r="I55" i="13"/>
  <c r="L55" i="13"/>
  <c r="M55" i="13"/>
  <c r="N55" i="13"/>
  <c r="M53" i="13"/>
  <c r="N53" i="13"/>
  <c r="L53" i="13"/>
  <c r="I53" i="13"/>
  <c r="L52" i="13"/>
  <c r="M52" i="13"/>
  <c r="N52" i="13"/>
  <c r="I52" i="13"/>
  <c r="J51" i="13"/>
  <c r="H51" i="13"/>
  <c r="K50" i="13"/>
  <c r="H50" i="13"/>
  <c r="M49" i="13"/>
  <c r="L49" i="13"/>
  <c r="N49" i="13"/>
  <c r="I49" i="13"/>
  <c r="K47" i="13"/>
  <c r="H47" i="13"/>
  <c r="H46" i="13"/>
  <c r="J46" i="13"/>
  <c r="M45" i="13"/>
  <c r="L45" i="13"/>
  <c r="L44" i="13"/>
  <c r="N44" i="13"/>
  <c r="J42" i="13"/>
  <c r="H42" i="13"/>
  <c r="H40" i="13"/>
  <c r="J40" i="13"/>
  <c r="H38" i="13"/>
  <c r="J38" i="13"/>
  <c r="H37" i="13"/>
  <c r="J37" i="13"/>
  <c r="K36" i="13"/>
  <c r="H36" i="13"/>
  <c r="H35" i="13"/>
  <c r="J35" i="13"/>
  <c r="N34" i="13"/>
  <c r="M34" i="13"/>
  <c r="L34" i="13"/>
  <c r="I34" i="13"/>
  <c r="I33" i="13"/>
  <c r="L33" i="13"/>
  <c r="M33" i="13"/>
  <c r="N33" i="13"/>
  <c r="J29" i="13"/>
  <c r="H29" i="13"/>
  <c r="L27" i="13"/>
  <c r="N27" i="13"/>
  <c r="M27" i="13"/>
  <c r="I27" i="13"/>
  <c r="J26" i="13"/>
  <c r="H26" i="13"/>
  <c r="J25" i="13"/>
  <c r="H25" i="13"/>
  <c r="H24" i="13"/>
  <c r="J24" i="13"/>
  <c r="H22" i="13"/>
  <c r="J22" i="13"/>
  <c r="J21" i="13"/>
  <c r="H21" i="13"/>
  <c r="L19" i="13"/>
  <c r="I19" i="13"/>
  <c r="H18" i="13"/>
  <c r="J18" i="13"/>
  <c r="J17" i="13"/>
  <c r="H17" i="13"/>
  <c r="L16" i="13"/>
  <c r="M16" i="13"/>
  <c r="N16" i="13"/>
  <c r="I16" i="13"/>
  <c r="N15" i="13"/>
  <c r="M15" i="13"/>
  <c r="L15" i="13"/>
  <c r="I15" i="13"/>
  <c r="K14" i="13"/>
  <c r="H14" i="13"/>
  <c r="I13" i="13"/>
  <c r="M13" i="13"/>
  <c r="L13" i="13"/>
  <c r="N13" i="13"/>
  <c r="N12" i="13"/>
  <c r="M12" i="13"/>
  <c r="L12" i="13"/>
  <c r="N11" i="13"/>
  <c r="M11" i="13"/>
  <c r="L11" i="13"/>
  <c r="I11" i="13"/>
  <c r="J9" i="13"/>
  <c r="H9" i="13"/>
  <c r="N8" i="13"/>
  <c r="L8" i="13"/>
  <c r="I8" i="13"/>
  <c r="M8" i="13"/>
  <c r="H7" i="13"/>
  <c r="J7" i="13"/>
  <c r="J6" i="13"/>
  <c r="H6" i="13"/>
  <c r="J5" i="13"/>
  <c r="H5" i="13"/>
  <c r="K9" i="32"/>
  <c r="L9" i="32"/>
  <c r="P9" i="32"/>
  <c r="K8" i="32"/>
  <c r="L8" i="32"/>
  <c r="P8" i="32"/>
  <c r="K6" i="32"/>
  <c r="P6" i="32"/>
  <c r="L6" i="32"/>
  <c r="K5" i="32"/>
  <c r="L5" i="32"/>
  <c r="P5" i="32"/>
  <c r="G26" i="48" l="1"/>
  <c r="B29" i="108"/>
  <c r="C9" i="111"/>
  <c r="C26" i="108"/>
  <c r="C27" i="108"/>
  <c r="C28" i="108"/>
  <c r="C29" i="108"/>
  <c r="C8" i="111"/>
  <c r="C10" i="111"/>
  <c r="C204" i="71"/>
  <c r="D204" i="71"/>
  <c r="E204" i="71"/>
  <c r="F204" i="71"/>
  <c r="G204" i="71"/>
  <c r="H204" i="71"/>
  <c r="I204" i="71"/>
  <c r="J204" i="71"/>
  <c r="K204" i="71"/>
  <c r="C203" i="71"/>
  <c r="D203" i="71"/>
  <c r="E203" i="71"/>
  <c r="F203" i="71"/>
  <c r="G203" i="71"/>
  <c r="H203" i="71"/>
  <c r="I203" i="71"/>
  <c r="J203" i="71"/>
  <c r="K203" i="71"/>
  <c r="C202" i="71"/>
  <c r="D202" i="71"/>
  <c r="E202" i="71"/>
  <c r="F202" i="71"/>
  <c r="G202" i="71"/>
  <c r="H202" i="71"/>
  <c r="I202" i="71"/>
  <c r="J202" i="71"/>
  <c r="K202" i="71"/>
  <c r="C201" i="71"/>
  <c r="D201" i="71"/>
  <c r="E201" i="71"/>
  <c r="F201" i="71"/>
  <c r="G201" i="71"/>
  <c r="H201" i="71"/>
  <c r="I201" i="71"/>
  <c r="J201" i="71"/>
  <c r="K201" i="71"/>
  <c r="C200" i="71"/>
  <c r="D200" i="71"/>
  <c r="E200" i="71"/>
  <c r="F200" i="71"/>
  <c r="G200" i="71"/>
  <c r="H200" i="71"/>
  <c r="I200" i="71"/>
  <c r="J200" i="71"/>
  <c r="K200" i="71"/>
  <c r="C199" i="71"/>
  <c r="D199" i="71"/>
  <c r="E199" i="71"/>
  <c r="F199" i="71"/>
  <c r="G199" i="71"/>
  <c r="H199" i="71"/>
  <c r="I199" i="71"/>
  <c r="J199" i="71"/>
  <c r="K199" i="71"/>
  <c r="C198" i="71"/>
  <c r="D198" i="71"/>
  <c r="E198" i="71"/>
  <c r="F198" i="71"/>
  <c r="G198" i="71"/>
  <c r="H198" i="71"/>
  <c r="I198" i="71"/>
  <c r="J198" i="71"/>
  <c r="K198" i="71"/>
  <c r="C197" i="71"/>
  <c r="D197" i="71"/>
  <c r="E197" i="71"/>
  <c r="F197" i="71"/>
  <c r="G197" i="71"/>
  <c r="H197" i="71"/>
  <c r="I197" i="71"/>
  <c r="J197" i="71"/>
  <c r="K197" i="71"/>
  <c r="C196" i="71"/>
  <c r="D196" i="71"/>
  <c r="E196" i="71"/>
  <c r="F196" i="71"/>
  <c r="G196" i="71"/>
  <c r="H196" i="71"/>
  <c r="I196" i="71"/>
  <c r="J196" i="71"/>
  <c r="K196" i="71"/>
  <c r="C195" i="71"/>
  <c r="D195" i="71"/>
  <c r="E195" i="71"/>
  <c r="F195" i="71"/>
  <c r="G195" i="71"/>
  <c r="H195" i="71"/>
  <c r="I195" i="71"/>
  <c r="J195" i="71"/>
  <c r="K195" i="71"/>
  <c r="C194" i="71"/>
  <c r="D194" i="71"/>
  <c r="E194" i="71"/>
  <c r="F194" i="71"/>
  <c r="G194" i="71"/>
  <c r="H194" i="71"/>
  <c r="I194" i="71"/>
  <c r="J194" i="71"/>
  <c r="K194" i="71"/>
  <c r="C193" i="71"/>
  <c r="D193" i="71"/>
  <c r="E193" i="71"/>
  <c r="F193" i="71"/>
  <c r="G193" i="71"/>
  <c r="H193" i="71"/>
  <c r="I193" i="71"/>
  <c r="J193" i="71"/>
  <c r="K193" i="71"/>
  <c r="C192" i="71"/>
  <c r="D192" i="71"/>
  <c r="E192" i="71"/>
  <c r="F192" i="71"/>
  <c r="G192" i="71"/>
  <c r="H192" i="71"/>
  <c r="I192" i="71"/>
  <c r="J192" i="71"/>
  <c r="K192" i="71"/>
  <c r="C191" i="71"/>
  <c r="D191" i="71"/>
  <c r="E191" i="71"/>
  <c r="F191" i="71"/>
  <c r="G191" i="71"/>
  <c r="H191" i="71"/>
  <c r="I191" i="71"/>
  <c r="J191" i="71"/>
  <c r="K191" i="71"/>
  <c r="C190" i="71"/>
  <c r="D190" i="71"/>
  <c r="E190" i="71"/>
  <c r="F190" i="71"/>
  <c r="G190" i="71"/>
  <c r="H190" i="71"/>
  <c r="I190" i="71"/>
  <c r="J190" i="71"/>
  <c r="K190" i="71"/>
  <c r="C189" i="71"/>
  <c r="D189" i="71"/>
  <c r="E189" i="71"/>
  <c r="F189" i="71"/>
  <c r="G189" i="71"/>
  <c r="H189" i="71"/>
  <c r="I189" i="71"/>
  <c r="J189" i="71"/>
  <c r="K189" i="71"/>
  <c r="C188" i="71"/>
  <c r="D188" i="71"/>
  <c r="E188" i="71"/>
  <c r="F188" i="71"/>
  <c r="G188" i="71"/>
  <c r="H188" i="71"/>
  <c r="I188" i="71"/>
  <c r="J188" i="71"/>
  <c r="K188" i="71"/>
  <c r="C187" i="71"/>
  <c r="D187" i="71"/>
  <c r="E187" i="71"/>
  <c r="F187" i="71"/>
  <c r="G187" i="71"/>
  <c r="H187" i="71"/>
  <c r="I187" i="71"/>
  <c r="J187" i="71"/>
  <c r="K187" i="71"/>
  <c r="C186" i="71"/>
  <c r="D186" i="71"/>
  <c r="E186" i="71"/>
  <c r="F186" i="71"/>
  <c r="G186" i="71"/>
  <c r="H186" i="71"/>
  <c r="I186" i="71"/>
  <c r="J186" i="71"/>
  <c r="K186" i="71"/>
  <c r="C185" i="71"/>
  <c r="D185" i="71"/>
  <c r="E185" i="71"/>
  <c r="F185" i="71"/>
  <c r="G185" i="71"/>
  <c r="H185" i="71"/>
  <c r="I185" i="71"/>
  <c r="J185" i="71"/>
  <c r="K185" i="71"/>
  <c r="C184" i="71"/>
  <c r="D184" i="71"/>
  <c r="E184" i="71"/>
  <c r="F184" i="71"/>
  <c r="G184" i="71"/>
  <c r="H184" i="71"/>
  <c r="I184" i="71"/>
  <c r="J184" i="71"/>
  <c r="K184" i="71"/>
  <c r="C183" i="71"/>
  <c r="D183" i="71"/>
  <c r="E183" i="71"/>
  <c r="F183" i="71"/>
  <c r="G183" i="71"/>
  <c r="H183" i="71"/>
  <c r="I183" i="71"/>
  <c r="J183" i="71"/>
  <c r="K183" i="71"/>
  <c r="C182" i="71"/>
  <c r="D182" i="71"/>
  <c r="E182" i="71"/>
  <c r="F182" i="71"/>
  <c r="G182" i="71"/>
  <c r="H182" i="71"/>
  <c r="I182" i="71"/>
  <c r="J182" i="71"/>
  <c r="K182" i="71"/>
  <c r="C181" i="71"/>
  <c r="D181" i="71"/>
  <c r="E181" i="71"/>
  <c r="F181" i="71"/>
  <c r="G181" i="71"/>
  <c r="H181" i="71"/>
  <c r="I181" i="71"/>
  <c r="J181" i="71"/>
  <c r="K181" i="71"/>
  <c r="C180" i="71"/>
  <c r="D180" i="71"/>
  <c r="E180" i="71"/>
  <c r="F180" i="71"/>
  <c r="G180" i="71"/>
  <c r="H180" i="71"/>
  <c r="I180" i="71"/>
  <c r="J180" i="71"/>
  <c r="K180" i="71"/>
  <c r="C179" i="71"/>
  <c r="D179" i="71"/>
  <c r="E179" i="71"/>
  <c r="F179" i="71"/>
  <c r="G179" i="71"/>
  <c r="H179" i="71"/>
  <c r="I179" i="71"/>
  <c r="J179" i="71"/>
  <c r="K179" i="71"/>
  <c r="C178" i="71"/>
  <c r="D178" i="71"/>
  <c r="E178" i="71"/>
  <c r="F178" i="71"/>
  <c r="G178" i="71"/>
  <c r="H178" i="71"/>
  <c r="I178" i="71"/>
  <c r="J178" i="71"/>
  <c r="K178" i="71"/>
  <c r="C177" i="71"/>
  <c r="D177" i="71"/>
  <c r="E177" i="71"/>
  <c r="F177" i="71"/>
  <c r="G177" i="71"/>
  <c r="H177" i="71"/>
  <c r="I177" i="71"/>
  <c r="J177" i="71"/>
  <c r="K177" i="71"/>
  <c r="C176" i="71"/>
  <c r="D176" i="71"/>
  <c r="E176" i="71"/>
  <c r="F176" i="71"/>
  <c r="G176" i="71"/>
  <c r="H176" i="71"/>
  <c r="I176" i="71"/>
  <c r="J176" i="71"/>
  <c r="K176" i="71"/>
  <c r="C175" i="71"/>
  <c r="D175" i="71"/>
  <c r="E175" i="71"/>
  <c r="F175" i="71"/>
  <c r="G175" i="71"/>
  <c r="H175" i="71"/>
  <c r="I175" i="71"/>
  <c r="J175" i="71"/>
  <c r="K175" i="71"/>
  <c r="C174" i="71"/>
  <c r="D174" i="71"/>
  <c r="E174" i="71"/>
  <c r="F174" i="71"/>
  <c r="G174" i="71"/>
  <c r="H174" i="71"/>
  <c r="I174" i="71"/>
  <c r="J174" i="71"/>
  <c r="K174" i="71"/>
  <c r="C173" i="71"/>
  <c r="D173" i="71"/>
  <c r="E173" i="71"/>
  <c r="F173" i="71"/>
  <c r="G173" i="71"/>
  <c r="H173" i="71"/>
  <c r="I173" i="71"/>
  <c r="J173" i="71"/>
  <c r="K173" i="71"/>
  <c r="C172" i="71"/>
  <c r="D172" i="71"/>
  <c r="E172" i="71"/>
  <c r="F172" i="71"/>
  <c r="G172" i="71"/>
  <c r="H172" i="71"/>
  <c r="I172" i="71"/>
  <c r="J172" i="71"/>
  <c r="K172" i="71"/>
  <c r="C171" i="71"/>
  <c r="D171" i="71"/>
  <c r="E171" i="71"/>
  <c r="F171" i="71"/>
  <c r="G171" i="71"/>
  <c r="H171" i="71"/>
  <c r="I171" i="71"/>
  <c r="J171" i="71"/>
  <c r="K171" i="71"/>
  <c r="C170" i="71"/>
  <c r="D170" i="71"/>
  <c r="E170" i="71"/>
  <c r="F170" i="71"/>
  <c r="G170" i="71"/>
  <c r="H170" i="71"/>
  <c r="I170" i="71"/>
  <c r="J170" i="71"/>
  <c r="K170" i="71"/>
  <c r="C169" i="71"/>
  <c r="D169" i="71"/>
  <c r="E169" i="71"/>
  <c r="F169" i="71"/>
  <c r="G169" i="71"/>
  <c r="H169" i="71"/>
  <c r="I169" i="71"/>
  <c r="J169" i="71"/>
  <c r="K169" i="71"/>
  <c r="C168" i="71"/>
  <c r="D168" i="71"/>
  <c r="E168" i="71"/>
  <c r="F168" i="71"/>
  <c r="G168" i="71"/>
  <c r="H168" i="71"/>
  <c r="I168" i="71"/>
  <c r="J168" i="71"/>
  <c r="K168" i="71"/>
  <c r="C167" i="71"/>
  <c r="D167" i="71"/>
  <c r="E167" i="71"/>
  <c r="F167" i="71"/>
  <c r="G167" i="71"/>
  <c r="H167" i="71"/>
  <c r="I167" i="71"/>
  <c r="J167" i="71"/>
  <c r="K167" i="71"/>
  <c r="C166" i="71"/>
  <c r="D166" i="71"/>
  <c r="E166" i="71"/>
  <c r="F166" i="71"/>
  <c r="G166" i="71"/>
  <c r="H166" i="71"/>
  <c r="I166" i="71"/>
  <c r="J166" i="71"/>
  <c r="K166" i="71"/>
  <c r="C165" i="71"/>
  <c r="D165" i="71"/>
  <c r="E165" i="71"/>
  <c r="F165" i="71"/>
  <c r="G165" i="71"/>
  <c r="H165" i="71"/>
  <c r="I165" i="71"/>
  <c r="J165" i="71"/>
  <c r="K165" i="71"/>
  <c r="C164" i="71"/>
  <c r="D164" i="71"/>
  <c r="E164" i="71"/>
  <c r="F164" i="71"/>
  <c r="G164" i="71"/>
  <c r="H164" i="71"/>
  <c r="I164" i="71"/>
  <c r="J164" i="71"/>
  <c r="K164" i="71"/>
  <c r="C163" i="71"/>
  <c r="D163" i="71"/>
  <c r="E163" i="71"/>
  <c r="F163" i="71"/>
  <c r="G163" i="71"/>
  <c r="H163" i="71"/>
  <c r="I163" i="71"/>
  <c r="J163" i="71"/>
  <c r="K163" i="71"/>
  <c r="C162" i="71"/>
  <c r="D162" i="71"/>
  <c r="E162" i="71"/>
  <c r="F162" i="71"/>
  <c r="G162" i="71"/>
  <c r="H162" i="71"/>
  <c r="I162" i="71"/>
  <c r="J162" i="71"/>
  <c r="K162" i="71"/>
  <c r="C161" i="71"/>
  <c r="D161" i="71"/>
  <c r="E161" i="71"/>
  <c r="F161" i="71"/>
  <c r="G161" i="71"/>
  <c r="H161" i="71"/>
  <c r="I161" i="71"/>
  <c r="J161" i="71"/>
  <c r="K161" i="71"/>
  <c r="C160" i="71"/>
  <c r="D160" i="71"/>
  <c r="E160" i="71"/>
  <c r="F160" i="71"/>
  <c r="G160" i="71"/>
  <c r="H160" i="71"/>
  <c r="I160" i="71"/>
  <c r="J160" i="71"/>
  <c r="K160" i="71"/>
  <c r="C159" i="71"/>
  <c r="D159" i="71"/>
  <c r="E159" i="71"/>
  <c r="F159" i="71"/>
  <c r="G159" i="71"/>
  <c r="H159" i="71"/>
  <c r="I159" i="71"/>
  <c r="J159" i="71"/>
  <c r="K159" i="71"/>
  <c r="C158" i="71"/>
  <c r="D158" i="71"/>
  <c r="E158" i="71"/>
  <c r="F158" i="71"/>
  <c r="G158" i="71"/>
  <c r="H158" i="71"/>
  <c r="I158" i="71"/>
  <c r="J158" i="71"/>
  <c r="K158" i="71"/>
  <c r="C157" i="71"/>
  <c r="D157" i="71"/>
  <c r="E157" i="71"/>
  <c r="F157" i="71"/>
  <c r="G157" i="71"/>
  <c r="H157" i="71"/>
  <c r="I157" i="71"/>
  <c r="J157" i="71"/>
  <c r="K157" i="71"/>
  <c r="C154" i="71"/>
  <c r="D154" i="71"/>
  <c r="E154" i="71"/>
  <c r="F154" i="71"/>
  <c r="G154" i="71"/>
  <c r="H154" i="71"/>
  <c r="I154" i="71"/>
  <c r="J154" i="71"/>
  <c r="K154" i="71"/>
  <c r="C153" i="71"/>
  <c r="D153" i="71"/>
  <c r="E153" i="71"/>
  <c r="F153" i="71"/>
  <c r="G153" i="71"/>
  <c r="H153" i="71"/>
  <c r="I153" i="71"/>
  <c r="J153" i="71"/>
  <c r="K153" i="71"/>
  <c r="C152" i="71"/>
  <c r="D152" i="71"/>
  <c r="E152" i="71"/>
  <c r="F152" i="71"/>
  <c r="G152" i="71"/>
  <c r="H152" i="71"/>
  <c r="I152" i="71"/>
  <c r="J152" i="71"/>
  <c r="K152" i="71"/>
  <c r="C151" i="71"/>
  <c r="D151" i="71"/>
  <c r="E151" i="71"/>
  <c r="F151" i="71"/>
  <c r="G151" i="71"/>
  <c r="H151" i="71"/>
  <c r="I151" i="71"/>
  <c r="J151" i="71"/>
  <c r="K151" i="71"/>
  <c r="C150" i="71"/>
  <c r="D150" i="71"/>
  <c r="E150" i="71"/>
  <c r="F150" i="71"/>
  <c r="G150" i="71"/>
  <c r="H150" i="71"/>
  <c r="I150" i="71"/>
  <c r="J150" i="71"/>
  <c r="K150" i="71"/>
  <c r="C149" i="71"/>
  <c r="D149" i="71"/>
  <c r="E149" i="71"/>
  <c r="F149" i="71"/>
  <c r="G149" i="71"/>
  <c r="H149" i="71"/>
  <c r="I149" i="71"/>
  <c r="J149" i="71"/>
  <c r="K149" i="71"/>
  <c r="C148" i="71"/>
  <c r="D148" i="71"/>
  <c r="E148" i="71"/>
  <c r="F148" i="71"/>
  <c r="G148" i="71"/>
  <c r="H148" i="71"/>
  <c r="I148" i="71"/>
  <c r="J148" i="71"/>
  <c r="K148" i="71"/>
  <c r="C147" i="71"/>
  <c r="D147" i="71"/>
  <c r="E147" i="71"/>
  <c r="F147" i="71"/>
  <c r="G147" i="71"/>
  <c r="H147" i="71"/>
  <c r="I147" i="71"/>
  <c r="J147" i="71"/>
  <c r="K147" i="71"/>
  <c r="C146" i="71"/>
  <c r="D146" i="71"/>
  <c r="E146" i="71"/>
  <c r="F146" i="71"/>
  <c r="G146" i="71"/>
  <c r="H146" i="71"/>
  <c r="I146" i="71"/>
  <c r="J146" i="71"/>
  <c r="K146" i="71"/>
  <c r="C145" i="71"/>
  <c r="D145" i="71"/>
  <c r="E145" i="71"/>
  <c r="F145" i="71"/>
  <c r="G145" i="71"/>
  <c r="H145" i="71"/>
  <c r="I145" i="71"/>
  <c r="J145" i="71"/>
  <c r="K145" i="71"/>
  <c r="C144" i="71"/>
  <c r="D144" i="71"/>
  <c r="E144" i="71"/>
  <c r="F144" i="71"/>
  <c r="G144" i="71"/>
  <c r="H144" i="71"/>
  <c r="I144" i="71"/>
  <c r="J144" i="71"/>
  <c r="K144" i="71"/>
  <c r="C143" i="71"/>
  <c r="D143" i="71"/>
  <c r="E143" i="71"/>
  <c r="F143" i="71"/>
  <c r="G143" i="71"/>
  <c r="H143" i="71"/>
  <c r="I143" i="71"/>
  <c r="J143" i="71"/>
  <c r="K143" i="71"/>
  <c r="C142" i="71"/>
  <c r="D142" i="71"/>
  <c r="E142" i="71"/>
  <c r="F142" i="71"/>
  <c r="G142" i="71"/>
  <c r="H142" i="71"/>
  <c r="I142" i="71"/>
  <c r="J142" i="71"/>
  <c r="K142" i="71"/>
  <c r="C141" i="71"/>
  <c r="D141" i="71"/>
  <c r="E141" i="71"/>
  <c r="F141" i="71"/>
  <c r="G141" i="71"/>
  <c r="H141" i="71"/>
  <c r="I141" i="71"/>
  <c r="J141" i="71"/>
  <c r="K141" i="71"/>
  <c r="C140" i="71"/>
  <c r="D140" i="71"/>
  <c r="E140" i="71"/>
  <c r="F140" i="71"/>
  <c r="G140" i="71"/>
  <c r="H140" i="71"/>
  <c r="I140" i="71"/>
  <c r="J140" i="71"/>
  <c r="K140" i="71"/>
  <c r="C139" i="71"/>
  <c r="D139" i="71"/>
  <c r="E139" i="71"/>
  <c r="F139" i="71"/>
  <c r="G139" i="71"/>
  <c r="H139" i="71"/>
  <c r="I139" i="71"/>
  <c r="J139" i="71"/>
  <c r="K139" i="71"/>
  <c r="C138" i="71"/>
  <c r="D138" i="71"/>
  <c r="E138" i="71"/>
  <c r="F138" i="71"/>
  <c r="G138" i="71"/>
  <c r="H138" i="71"/>
  <c r="I138" i="71"/>
  <c r="J138" i="71"/>
  <c r="K138" i="71"/>
  <c r="C137" i="71"/>
  <c r="D137" i="71"/>
  <c r="E137" i="71"/>
  <c r="F137" i="71"/>
  <c r="G137" i="71"/>
  <c r="H137" i="71"/>
  <c r="I137" i="71"/>
  <c r="J137" i="71"/>
  <c r="K137" i="71"/>
  <c r="C136" i="71"/>
  <c r="D136" i="71"/>
  <c r="E136" i="71"/>
  <c r="F136" i="71"/>
  <c r="G136" i="71"/>
  <c r="H136" i="71"/>
  <c r="I136" i="71"/>
  <c r="J136" i="71"/>
  <c r="K136" i="71"/>
  <c r="C135" i="71"/>
  <c r="D135" i="71"/>
  <c r="E135" i="71"/>
  <c r="F135" i="71"/>
  <c r="G135" i="71"/>
  <c r="H135" i="71"/>
  <c r="I135" i="71"/>
  <c r="J135" i="71"/>
  <c r="K135" i="71"/>
  <c r="C134" i="71"/>
  <c r="D134" i="71"/>
  <c r="E134" i="71"/>
  <c r="F134" i="71"/>
  <c r="G134" i="71"/>
  <c r="H134" i="71"/>
  <c r="I134" i="71"/>
  <c r="J134" i="71"/>
  <c r="K134" i="71"/>
  <c r="C133" i="71"/>
  <c r="D133" i="71"/>
  <c r="E133" i="71"/>
  <c r="F133" i="71"/>
  <c r="G133" i="71"/>
  <c r="H133" i="71"/>
  <c r="I133" i="71"/>
  <c r="J133" i="71"/>
  <c r="K133" i="71"/>
  <c r="C132" i="71"/>
  <c r="D132" i="71"/>
  <c r="E132" i="71"/>
  <c r="F132" i="71"/>
  <c r="G132" i="71"/>
  <c r="H132" i="71"/>
  <c r="I132" i="71"/>
  <c r="J132" i="71"/>
  <c r="K132" i="71"/>
  <c r="C131" i="71"/>
  <c r="D131" i="71"/>
  <c r="E131" i="71"/>
  <c r="F131" i="71"/>
  <c r="G131" i="71"/>
  <c r="H131" i="71"/>
  <c r="I131" i="71"/>
  <c r="J131" i="71"/>
  <c r="K131" i="71"/>
  <c r="C130" i="71"/>
  <c r="D130" i="71"/>
  <c r="E130" i="71"/>
  <c r="F130" i="71"/>
  <c r="G130" i="71"/>
  <c r="H130" i="71"/>
  <c r="I130" i="71"/>
  <c r="J130" i="71"/>
  <c r="K130" i="71"/>
  <c r="C129" i="71"/>
  <c r="D129" i="71"/>
  <c r="E129" i="71"/>
  <c r="F129" i="71"/>
  <c r="G129" i="71"/>
  <c r="H129" i="71"/>
  <c r="I129" i="71"/>
  <c r="J129" i="71"/>
  <c r="K129" i="71"/>
  <c r="C128" i="71"/>
  <c r="D128" i="71"/>
  <c r="E128" i="71"/>
  <c r="F128" i="71"/>
  <c r="G128" i="71"/>
  <c r="H128" i="71"/>
  <c r="I128" i="71"/>
  <c r="J128" i="71"/>
  <c r="K128" i="71"/>
  <c r="C127" i="71"/>
  <c r="D127" i="71"/>
  <c r="E127" i="71"/>
  <c r="F127" i="71"/>
  <c r="G127" i="71"/>
  <c r="H127" i="71"/>
  <c r="I127" i="71"/>
  <c r="J127" i="71"/>
  <c r="K127" i="71"/>
  <c r="C126" i="71"/>
  <c r="D126" i="71"/>
  <c r="E126" i="71"/>
  <c r="F126" i="71"/>
  <c r="G126" i="71"/>
  <c r="H126" i="71"/>
  <c r="I126" i="71"/>
  <c r="J126" i="71"/>
  <c r="K126" i="71"/>
  <c r="C125" i="71"/>
  <c r="D125" i="71"/>
  <c r="E125" i="71"/>
  <c r="F125" i="71"/>
  <c r="G125" i="71"/>
  <c r="H125" i="71"/>
  <c r="I125" i="71"/>
  <c r="J125" i="71"/>
  <c r="K125" i="71"/>
  <c r="C124" i="71"/>
  <c r="D124" i="71"/>
  <c r="E124" i="71"/>
  <c r="F124" i="71"/>
  <c r="G124" i="71"/>
  <c r="H124" i="71"/>
  <c r="I124" i="71"/>
  <c r="J124" i="71"/>
  <c r="K124" i="71"/>
  <c r="C123" i="71"/>
  <c r="D123" i="71"/>
  <c r="E123" i="71"/>
  <c r="F123" i="71"/>
  <c r="G123" i="71"/>
  <c r="H123" i="71"/>
  <c r="I123" i="71"/>
  <c r="J123" i="71"/>
  <c r="K123" i="71"/>
  <c r="C122" i="71"/>
  <c r="D122" i="71"/>
  <c r="E122" i="71"/>
  <c r="F122" i="71"/>
  <c r="G122" i="71"/>
  <c r="H122" i="71"/>
  <c r="I122" i="71"/>
  <c r="J122" i="71"/>
  <c r="K122" i="71"/>
  <c r="C121" i="71"/>
  <c r="D121" i="71"/>
  <c r="E121" i="71"/>
  <c r="F121" i="71"/>
  <c r="G121" i="71"/>
  <c r="H121" i="71"/>
  <c r="I121" i="71"/>
  <c r="J121" i="71"/>
  <c r="K121" i="71"/>
  <c r="C120" i="71"/>
  <c r="D120" i="71"/>
  <c r="E120" i="71"/>
  <c r="F120" i="71"/>
  <c r="G120" i="71"/>
  <c r="H120" i="71"/>
  <c r="I120" i="71"/>
  <c r="J120" i="71"/>
  <c r="K120" i="71"/>
  <c r="C119" i="71"/>
  <c r="D119" i="71"/>
  <c r="E119" i="71"/>
  <c r="F119" i="71"/>
  <c r="G119" i="71"/>
  <c r="H119" i="71"/>
  <c r="I119" i="71"/>
  <c r="J119" i="71"/>
  <c r="K119" i="71"/>
  <c r="C118" i="71"/>
  <c r="D118" i="71"/>
  <c r="E118" i="71"/>
  <c r="F118" i="71"/>
  <c r="G118" i="71"/>
  <c r="H118" i="71"/>
  <c r="I118" i="71"/>
  <c r="J118" i="71"/>
  <c r="K118" i="71"/>
  <c r="C117" i="71"/>
  <c r="D117" i="71"/>
  <c r="E117" i="71"/>
  <c r="F117" i="71"/>
  <c r="G117" i="71"/>
  <c r="H117" i="71"/>
  <c r="I117" i="71"/>
  <c r="J117" i="71"/>
  <c r="K117" i="71"/>
  <c r="C116" i="71"/>
  <c r="D116" i="71"/>
  <c r="E116" i="71"/>
  <c r="F116" i="71"/>
  <c r="G116" i="71"/>
  <c r="H116" i="71"/>
  <c r="I116" i="71"/>
  <c r="J116" i="71"/>
  <c r="K116" i="71"/>
  <c r="C115" i="71"/>
  <c r="D115" i="71"/>
  <c r="E115" i="71"/>
  <c r="F115" i="71"/>
  <c r="G115" i="71"/>
  <c r="H115" i="71"/>
  <c r="I115" i="71"/>
  <c r="J115" i="71"/>
  <c r="K115" i="71"/>
  <c r="C114" i="71"/>
  <c r="D114" i="71"/>
  <c r="E114" i="71"/>
  <c r="F114" i="71"/>
  <c r="G114" i="71"/>
  <c r="H114" i="71"/>
  <c r="I114" i="71"/>
  <c r="J114" i="71"/>
  <c r="K114" i="71"/>
  <c r="C113" i="71"/>
  <c r="D113" i="71"/>
  <c r="E113" i="71"/>
  <c r="F113" i="71"/>
  <c r="G113" i="71"/>
  <c r="H113" i="71"/>
  <c r="I113" i="71"/>
  <c r="J113" i="71"/>
  <c r="K113" i="71"/>
  <c r="C112" i="71"/>
  <c r="D112" i="71"/>
  <c r="E112" i="71"/>
  <c r="F112" i="71"/>
  <c r="G112" i="71"/>
  <c r="H112" i="71"/>
  <c r="I112" i="71"/>
  <c r="J112" i="71"/>
  <c r="K112" i="71"/>
  <c r="C111" i="71"/>
  <c r="D111" i="71"/>
  <c r="E111" i="71"/>
  <c r="F111" i="71"/>
  <c r="G111" i="71"/>
  <c r="H111" i="71"/>
  <c r="I111" i="71"/>
  <c r="J111" i="71"/>
  <c r="K111" i="71"/>
  <c r="C110" i="71"/>
  <c r="D110" i="71"/>
  <c r="E110" i="71"/>
  <c r="F110" i="71"/>
  <c r="G110" i="71"/>
  <c r="H110" i="71"/>
  <c r="I110" i="71"/>
  <c r="J110" i="71"/>
  <c r="K110" i="71"/>
  <c r="C109" i="71"/>
  <c r="D109" i="71"/>
  <c r="E109" i="71"/>
  <c r="F109" i="71"/>
  <c r="G109" i="71"/>
  <c r="H109" i="71"/>
  <c r="I109" i="71"/>
  <c r="J109" i="71"/>
  <c r="K109" i="71"/>
  <c r="C108" i="71"/>
  <c r="D108" i="71"/>
  <c r="E108" i="71"/>
  <c r="F108" i="71"/>
  <c r="G108" i="71"/>
  <c r="H108" i="71"/>
  <c r="I108" i="71"/>
  <c r="J108" i="71"/>
  <c r="K108" i="71"/>
  <c r="C107" i="71"/>
  <c r="D107" i="71"/>
  <c r="E107" i="71"/>
  <c r="F107" i="71"/>
  <c r="G107" i="71"/>
  <c r="H107" i="71"/>
  <c r="I107" i="71"/>
  <c r="J107" i="71"/>
  <c r="K107" i="71"/>
  <c r="C106" i="71"/>
  <c r="D106" i="71"/>
  <c r="E106" i="71"/>
  <c r="F106" i="71"/>
  <c r="G106" i="71"/>
  <c r="H106" i="71"/>
  <c r="I106" i="71"/>
  <c r="J106" i="71"/>
  <c r="K106" i="71"/>
  <c r="C105" i="71"/>
  <c r="D105" i="71"/>
  <c r="E105" i="71"/>
  <c r="F105" i="71"/>
  <c r="G105" i="71"/>
  <c r="H105" i="71"/>
  <c r="I105" i="71"/>
  <c r="J105" i="71"/>
  <c r="K105" i="71"/>
  <c r="C104" i="71"/>
  <c r="D104" i="71"/>
  <c r="E104" i="71"/>
  <c r="F104" i="71"/>
  <c r="G104" i="71"/>
  <c r="H104" i="71"/>
  <c r="I104" i="71"/>
  <c r="J104" i="71"/>
  <c r="K104" i="71"/>
  <c r="C103" i="71"/>
  <c r="D103" i="71"/>
  <c r="E103" i="71"/>
  <c r="F103" i="71"/>
  <c r="G103" i="71"/>
  <c r="H103" i="71"/>
  <c r="I103" i="71"/>
  <c r="J103" i="71"/>
  <c r="K103" i="71"/>
  <c r="C102" i="71"/>
  <c r="D102" i="71"/>
  <c r="E102" i="71"/>
  <c r="F102" i="71"/>
  <c r="G102" i="71"/>
  <c r="H102" i="71"/>
  <c r="I102" i="71"/>
  <c r="J102" i="71"/>
  <c r="K102" i="71"/>
  <c r="C101" i="71"/>
  <c r="D101" i="71"/>
  <c r="E101" i="71"/>
  <c r="F101" i="71"/>
  <c r="G101" i="71"/>
  <c r="H101" i="71"/>
  <c r="I101" i="71"/>
  <c r="J101" i="71"/>
  <c r="K101" i="71"/>
  <c r="C100" i="71"/>
  <c r="D100" i="71"/>
  <c r="E100" i="71"/>
  <c r="F100" i="71"/>
  <c r="G100" i="71"/>
  <c r="H100" i="71"/>
  <c r="I100" i="71"/>
  <c r="J100" i="71"/>
  <c r="K100" i="71"/>
  <c r="C99" i="71"/>
  <c r="D99" i="71"/>
  <c r="E99" i="71"/>
  <c r="F99" i="71"/>
  <c r="G99" i="71"/>
  <c r="H99" i="71"/>
  <c r="I99" i="71"/>
  <c r="J99" i="71"/>
  <c r="K99" i="71"/>
  <c r="C98" i="71"/>
  <c r="D98" i="71"/>
  <c r="E98" i="71"/>
  <c r="F98" i="71"/>
  <c r="G98" i="71"/>
  <c r="H98" i="71"/>
  <c r="I98" i="71"/>
  <c r="J98" i="71"/>
  <c r="K98" i="71"/>
  <c r="C97" i="71"/>
  <c r="D97" i="71"/>
  <c r="E97" i="71"/>
  <c r="F97" i="71"/>
  <c r="G97" i="71"/>
  <c r="H97" i="71"/>
  <c r="I97" i="71"/>
  <c r="J97" i="71"/>
  <c r="K97" i="71"/>
  <c r="C96" i="71"/>
  <c r="D96" i="71"/>
  <c r="E96" i="71"/>
  <c r="F96" i="71"/>
  <c r="G96" i="71"/>
  <c r="H96" i="71"/>
  <c r="I96" i="71"/>
  <c r="J96" i="71"/>
  <c r="K96" i="71"/>
  <c r="C95" i="71"/>
  <c r="D95" i="71"/>
  <c r="E95" i="71"/>
  <c r="F95" i="71"/>
  <c r="G95" i="71"/>
  <c r="H95" i="71"/>
  <c r="I95" i="71"/>
  <c r="J95" i="71"/>
  <c r="K95" i="71"/>
  <c r="C94" i="71"/>
  <c r="D94" i="71"/>
  <c r="E94" i="71"/>
  <c r="F94" i="71"/>
  <c r="G94" i="71"/>
  <c r="H94" i="71"/>
  <c r="I94" i="71"/>
  <c r="J94" i="71"/>
  <c r="K94" i="71"/>
  <c r="C93" i="71"/>
  <c r="D93" i="71"/>
  <c r="E93" i="71"/>
  <c r="F93" i="71"/>
  <c r="G93" i="71"/>
  <c r="H93" i="71"/>
  <c r="I93" i="71"/>
  <c r="J93" i="71"/>
  <c r="K93" i="71"/>
  <c r="C92" i="71"/>
  <c r="D92" i="71"/>
  <c r="E92" i="71"/>
  <c r="F92" i="71"/>
  <c r="G92" i="71"/>
  <c r="H92" i="71"/>
  <c r="I92" i="71"/>
  <c r="J92" i="71"/>
  <c r="K92" i="71"/>
  <c r="C91" i="71"/>
  <c r="D91" i="71"/>
  <c r="E91" i="71"/>
  <c r="F91" i="71"/>
  <c r="G91" i="71"/>
  <c r="H91" i="71"/>
  <c r="I91" i="71"/>
  <c r="J91" i="71"/>
  <c r="K91" i="71"/>
  <c r="C90" i="71"/>
  <c r="D90" i="71"/>
  <c r="E90" i="71"/>
  <c r="F90" i="71"/>
  <c r="G90" i="71"/>
  <c r="H90" i="71"/>
  <c r="I90" i="71"/>
  <c r="J90" i="71"/>
  <c r="K90" i="71"/>
  <c r="C89" i="71"/>
  <c r="D89" i="71"/>
  <c r="E89" i="71"/>
  <c r="F89" i="71"/>
  <c r="G89" i="71"/>
  <c r="H89" i="71"/>
  <c r="I89" i="71"/>
  <c r="J89" i="71"/>
  <c r="K89" i="71"/>
  <c r="C88" i="71"/>
  <c r="D88" i="71"/>
  <c r="E88" i="71"/>
  <c r="F88" i="71"/>
  <c r="G88" i="71"/>
  <c r="H88" i="71"/>
  <c r="I88" i="71"/>
  <c r="J88" i="71"/>
  <c r="K88" i="71"/>
  <c r="C87" i="71"/>
  <c r="D87" i="71"/>
  <c r="E87" i="71"/>
  <c r="F87" i="71"/>
  <c r="G87" i="71"/>
  <c r="H87" i="71"/>
  <c r="I87" i="71"/>
  <c r="J87" i="71"/>
  <c r="K87" i="71"/>
  <c r="C86" i="71"/>
  <c r="D86" i="71"/>
  <c r="E86" i="71"/>
  <c r="F86" i="71"/>
  <c r="G86" i="71"/>
  <c r="H86" i="71"/>
  <c r="I86" i="71"/>
  <c r="J86" i="71"/>
  <c r="K86" i="71"/>
  <c r="C85" i="71"/>
  <c r="D85" i="71"/>
  <c r="E85" i="71"/>
  <c r="F85" i="71"/>
  <c r="G85" i="71"/>
  <c r="H85" i="71"/>
  <c r="I85" i="71"/>
  <c r="J85" i="71"/>
  <c r="K85" i="71"/>
  <c r="C84" i="71"/>
  <c r="D84" i="71"/>
  <c r="E84" i="71"/>
  <c r="F84" i="71"/>
  <c r="G84" i="71"/>
  <c r="H84" i="71"/>
  <c r="I84" i="71"/>
  <c r="J84" i="71"/>
  <c r="K84" i="71"/>
  <c r="C83" i="71"/>
  <c r="D83" i="71"/>
  <c r="E83" i="71"/>
  <c r="F83" i="71"/>
  <c r="G83" i="71"/>
  <c r="H83" i="71"/>
  <c r="I83" i="71"/>
  <c r="J83" i="71"/>
  <c r="K83" i="71"/>
  <c r="C82" i="71"/>
  <c r="D82" i="71"/>
  <c r="E82" i="71"/>
  <c r="F82" i="71"/>
  <c r="G82" i="71"/>
  <c r="H82" i="71"/>
  <c r="I82" i="71"/>
  <c r="J82" i="71"/>
  <c r="K82" i="71"/>
  <c r="C81" i="71"/>
  <c r="D81" i="71"/>
  <c r="E81" i="71"/>
  <c r="F81" i="71"/>
  <c r="G81" i="71"/>
  <c r="H81" i="71"/>
  <c r="I81" i="71"/>
  <c r="J81" i="71"/>
  <c r="K81" i="71"/>
  <c r="C80" i="71"/>
  <c r="D80" i="71"/>
  <c r="E80" i="71"/>
  <c r="F80" i="71"/>
  <c r="G80" i="71"/>
  <c r="H80" i="71"/>
  <c r="I80" i="71"/>
  <c r="J80" i="71"/>
  <c r="K80" i="71"/>
  <c r="C79" i="71"/>
  <c r="D79" i="71"/>
  <c r="E79" i="71"/>
  <c r="F79" i="71"/>
  <c r="G79" i="71"/>
  <c r="H79" i="71"/>
  <c r="I79" i="71"/>
  <c r="J79" i="71"/>
  <c r="K79" i="71"/>
  <c r="C78" i="71"/>
  <c r="D78" i="71"/>
  <c r="E78" i="71"/>
  <c r="F78" i="71"/>
  <c r="G78" i="71"/>
  <c r="H78" i="71"/>
  <c r="I78" i="71"/>
  <c r="J78" i="71"/>
  <c r="K78" i="71"/>
  <c r="C77" i="71"/>
  <c r="D77" i="71"/>
  <c r="E77" i="71"/>
  <c r="F77" i="71"/>
  <c r="G77" i="71"/>
  <c r="H77" i="71"/>
  <c r="I77" i="71"/>
  <c r="J77" i="71"/>
  <c r="K77" i="71"/>
  <c r="C76" i="71"/>
  <c r="D76" i="71"/>
  <c r="E76" i="71"/>
  <c r="F76" i="71"/>
  <c r="G76" i="71"/>
  <c r="H76" i="71"/>
  <c r="I76" i="71"/>
  <c r="J76" i="71"/>
  <c r="K76" i="71"/>
  <c r="C75" i="71"/>
  <c r="D75" i="71"/>
  <c r="E75" i="71"/>
  <c r="F75" i="71"/>
  <c r="G75" i="71"/>
  <c r="H75" i="71"/>
  <c r="I75" i="71"/>
  <c r="J75" i="71"/>
  <c r="K75" i="71"/>
  <c r="C74" i="71"/>
  <c r="D74" i="71"/>
  <c r="E74" i="71"/>
  <c r="F74" i="71"/>
  <c r="G74" i="71"/>
  <c r="H74" i="71"/>
  <c r="I74" i="71"/>
  <c r="J74" i="71"/>
  <c r="K74" i="71"/>
  <c r="C73" i="71"/>
  <c r="D73" i="71"/>
  <c r="E73" i="71"/>
  <c r="F73" i="71"/>
  <c r="G73" i="71"/>
  <c r="H73" i="71"/>
  <c r="I73" i="71"/>
  <c r="J73" i="71"/>
  <c r="K73" i="71"/>
  <c r="C72" i="71"/>
  <c r="D72" i="71"/>
  <c r="E72" i="71"/>
  <c r="F72" i="71"/>
  <c r="G72" i="71"/>
  <c r="H72" i="71"/>
  <c r="I72" i="71"/>
  <c r="J72" i="71"/>
  <c r="K72" i="71"/>
  <c r="C71" i="71"/>
  <c r="D71" i="71"/>
  <c r="E71" i="71"/>
  <c r="F71" i="71"/>
  <c r="G71" i="71"/>
  <c r="H71" i="71"/>
  <c r="I71" i="71"/>
  <c r="J71" i="71"/>
  <c r="K71" i="71"/>
  <c r="C70" i="71"/>
  <c r="D70" i="71"/>
  <c r="E70" i="71"/>
  <c r="F70" i="71"/>
  <c r="G70" i="71"/>
  <c r="H70" i="71"/>
  <c r="I70" i="71"/>
  <c r="J70" i="71"/>
  <c r="K70" i="71"/>
  <c r="C69" i="71"/>
  <c r="D69" i="71"/>
  <c r="E69" i="71"/>
  <c r="F69" i="71"/>
  <c r="G69" i="71"/>
  <c r="H69" i="71"/>
  <c r="I69" i="71"/>
  <c r="J69" i="71"/>
  <c r="K69" i="71"/>
  <c r="C68" i="71"/>
  <c r="D68" i="71"/>
  <c r="E68" i="71"/>
  <c r="F68" i="71"/>
  <c r="G68" i="71"/>
  <c r="H68" i="71"/>
  <c r="I68" i="71"/>
  <c r="J68" i="71"/>
  <c r="K68" i="71"/>
  <c r="C67" i="71"/>
  <c r="D67" i="71"/>
  <c r="E67" i="71"/>
  <c r="F67" i="71"/>
  <c r="G67" i="71"/>
  <c r="H67" i="71"/>
  <c r="I67" i="71"/>
  <c r="J67" i="71"/>
  <c r="K67" i="71"/>
  <c r="C66" i="71"/>
  <c r="D66" i="71"/>
  <c r="E66" i="71"/>
  <c r="F66" i="71"/>
  <c r="G66" i="71"/>
  <c r="H66" i="71"/>
  <c r="I66" i="71"/>
  <c r="J66" i="71"/>
  <c r="K66" i="71"/>
  <c r="C65" i="71"/>
  <c r="D65" i="71"/>
  <c r="E65" i="71"/>
  <c r="F65" i="71"/>
  <c r="G65" i="71"/>
  <c r="H65" i="71"/>
  <c r="I65" i="71"/>
  <c r="J65" i="71"/>
  <c r="K65" i="71"/>
  <c r="C64" i="71"/>
  <c r="D64" i="71"/>
  <c r="E64" i="71"/>
  <c r="F64" i="71"/>
  <c r="G64" i="71"/>
  <c r="H64" i="71"/>
  <c r="I64" i="71"/>
  <c r="J64" i="71"/>
  <c r="K64" i="71"/>
  <c r="C63" i="71"/>
  <c r="D63" i="71"/>
  <c r="E63" i="71"/>
  <c r="F63" i="71"/>
  <c r="G63" i="71"/>
  <c r="H63" i="71"/>
  <c r="I63" i="71"/>
  <c r="J63" i="71"/>
  <c r="K63" i="71"/>
  <c r="C62" i="71"/>
  <c r="D62" i="71"/>
  <c r="E62" i="71"/>
  <c r="F62" i="71"/>
  <c r="G62" i="71"/>
  <c r="H62" i="71"/>
  <c r="I62" i="71"/>
  <c r="J62" i="71"/>
  <c r="K62" i="71"/>
  <c r="C61" i="71"/>
  <c r="D61" i="71"/>
  <c r="E61" i="71"/>
  <c r="F61" i="71"/>
  <c r="G61" i="71"/>
  <c r="H61" i="71"/>
  <c r="I61" i="71"/>
  <c r="J61" i="71"/>
  <c r="K61" i="71"/>
  <c r="C60" i="71"/>
  <c r="D60" i="71"/>
  <c r="E60" i="71"/>
  <c r="F60" i="71"/>
  <c r="G60" i="71"/>
  <c r="H60" i="71"/>
  <c r="I60" i="71"/>
  <c r="J60" i="71"/>
  <c r="K60" i="71"/>
  <c r="C59" i="71"/>
  <c r="D59" i="71"/>
  <c r="E59" i="71"/>
  <c r="F59" i="71"/>
  <c r="G59" i="71"/>
  <c r="H59" i="71"/>
  <c r="I59" i="71"/>
  <c r="J59" i="71"/>
  <c r="K59" i="71"/>
  <c r="C58" i="71"/>
  <c r="D58" i="71"/>
  <c r="E58" i="71"/>
  <c r="F58" i="71"/>
  <c r="G58" i="71"/>
  <c r="H58" i="71"/>
  <c r="I58" i="71"/>
  <c r="J58" i="71"/>
  <c r="K58" i="71"/>
  <c r="C57" i="71"/>
  <c r="D57" i="71"/>
  <c r="E57" i="71"/>
  <c r="F57" i="71"/>
  <c r="G57" i="71"/>
  <c r="H57" i="71"/>
  <c r="I57" i="71"/>
  <c r="J57" i="71"/>
  <c r="K57" i="71"/>
  <c r="C56" i="71"/>
  <c r="D56" i="71"/>
  <c r="E56" i="71"/>
  <c r="F56" i="71"/>
  <c r="G56" i="71"/>
  <c r="H56" i="71"/>
  <c r="I56" i="71"/>
  <c r="J56" i="71"/>
  <c r="K56" i="71"/>
  <c r="C55" i="71"/>
  <c r="D55" i="71"/>
  <c r="E55" i="71"/>
  <c r="F55" i="71"/>
  <c r="G55" i="71"/>
  <c r="H55" i="71"/>
  <c r="I55" i="71"/>
  <c r="J55" i="71"/>
  <c r="K55" i="71"/>
  <c r="C54" i="71"/>
  <c r="D54" i="71"/>
  <c r="E54" i="71"/>
  <c r="F54" i="71"/>
  <c r="G54" i="71"/>
  <c r="H54" i="71"/>
  <c r="I54" i="71"/>
  <c r="J54" i="71"/>
  <c r="K54" i="71"/>
  <c r="C53" i="71"/>
  <c r="D53" i="71"/>
  <c r="E53" i="71"/>
  <c r="F53" i="71"/>
  <c r="G53" i="71"/>
  <c r="H53" i="71"/>
  <c r="I53" i="71"/>
  <c r="J53" i="71"/>
  <c r="K53" i="71"/>
  <c r="C52" i="71"/>
  <c r="D52" i="71"/>
  <c r="E52" i="71"/>
  <c r="F52" i="71"/>
  <c r="G52" i="71"/>
  <c r="H52" i="71"/>
  <c r="I52" i="71"/>
  <c r="J52" i="71"/>
  <c r="K52" i="71"/>
  <c r="C51" i="71"/>
  <c r="D51" i="71"/>
  <c r="E51" i="71"/>
  <c r="F51" i="71"/>
  <c r="G51" i="71"/>
  <c r="H51" i="71"/>
  <c r="I51" i="71"/>
  <c r="J51" i="71"/>
  <c r="K51" i="71"/>
  <c r="C50" i="71"/>
  <c r="D50" i="71"/>
  <c r="E50" i="71"/>
  <c r="F50" i="71"/>
  <c r="G50" i="71"/>
  <c r="H50" i="71"/>
  <c r="I50" i="71"/>
  <c r="J50" i="71"/>
  <c r="K50" i="71"/>
  <c r="C49" i="71"/>
  <c r="D49" i="71"/>
  <c r="E49" i="71"/>
  <c r="F49" i="71"/>
  <c r="G49" i="71"/>
  <c r="H49" i="71"/>
  <c r="I49" i="71"/>
  <c r="J49" i="71"/>
  <c r="K49" i="71"/>
  <c r="C48" i="71"/>
  <c r="D48" i="71"/>
  <c r="E48" i="71"/>
  <c r="F48" i="71"/>
  <c r="G48" i="71"/>
  <c r="H48" i="71"/>
  <c r="I48" i="71"/>
  <c r="J48" i="71"/>
  <c r="K48" i="71"/>
  <c r="C47" i="71"/>
  <c r="D47" i="71"/>
  <c r="E47" i="71"/>
  <c r="F47" i="71"/>
  <c r="G47" i="71"/>
  <c r="H47" i="71"/>
  <c r="I47" i="71"/>
  <c r="J47" i="71"/>
  <c r="K47" i="71"/>
  <c r="C46" i="71"/>
  <c r="D46" i="71"/>
  <c r="E46" i="71"/>
  <c r="F46" i="71"/>
  <c r="G46" i="71"/>
  <c r="H46" i="71"/>
  <c r="I46" i="71"/>
  <c r="J46" i="71"/>
  <c r="K46" i="71"/>
  <c r="C45" i="71"/>
  <c r="D45" i="71"/>
  <c r="E45" i="71"/>
  <c r="F45" i="71"/>
  <c r="G45" i="71"/>
  <c r="H45" i="71"/>
  <c r="I45" i="71"/>
  <c r="J45" i="71"/>
  <c r="K45" i="71"/>
  <c r="C44" i="71"/>
  <c r="D44" i="71"/>
  <c r="E44" i="71"/>
  <c r="F44" i="71"/>
  <c r="G44" i="71"/>
  <c r="H44" i="71"/>
  <c r="I44" i="71"/>
  <c r="J44" i="71"/>
  <c r="K44" i="71"/>
  <c r="C43" i="71"/>
  <c r="D43" i="71"/>
  <c r="E43" i="71"/>
  <c r="F43" i="71"/>
  <c r="G43" i="71"/>
  <c r="H43" i="71"/>
  <c r="I43" i="71"/>
  <c r="J43" i="71"/>
  <c r="K43" i="71"/>
  <c r="C42" i="71"/>
  <c r="D42" i="71"/>
  <c r="E42" i="71"/>
  <c r="F42" i="71"/>
  <c r="G42" i="71"/>
  <c r="H42" i="71"/>
  <c r="I42" i="71"/>
  <c r="J42" i="71"/>
  <c r="K42" i="71"/>
  <c r="C41" i="71"/>
  <c r="D41" i="71"/>
  <c r="E41" i="71"/>
  <c r="F41" i="71"/>
  <c r="G41" i="71"/>
  <c r="H41" i="71"/>
  <c r="I41" i="71"/>
  <c r="J41" i="71"/>
  <c r="K41" i="71"/>
  <c r="C40" i="71"/>
  <c r="D40" i="71"/>
  <c r="E40" i="71"/>
  <c r="F40" i="71"/>
  <c r="G40" i="71"/>
  <c r="H40" i="71"/>
  <c r="I40" i="71"/>
  <c r="J40" i="71"/>
  <c r="K40" i="71"/>
  <c r="C39" i="71"/>
  <c r="D39" i="71"/>
  <c r="E39" i="71"/>
  <c r="F39" i="71"/>
  <c r="G39" i="71"/>
  <c r="H39" i="71"/>
  <c r="I39" i="71"/>
  <c r="J39" i="71"/>
  <c r="K39" i="71"/>
  <c r="C38" i="71"/>
  <c r="D38" i="71"/>
  <c r="E38" i="71"/>
  <c r="F38" i="71"/>
  <c r="G38" i="71"/>
  <c r="H38" i="71"/>
  <c r="I38" i="71"/>
  <c r="J38" i="71"/>
  <c r="K38" i="71"/>
  <c r="C37" i="71"/>
  <c r="D37" i="71"/>
  <c r="E37" i="71"/>
  <c r="F37" i="71"/>
  <c r="G37" i="71"/>
  <c r="H37" i="71"/>
  <c r="I37" i="71"/>
  <c r="J37" i="71"/>
  <c r="K37" i="71"/>
  <c r="C36" i="71"/>
  <c r="D36" i="71"/>
  <c r="E36" i="71"/>
  <c r="F36" i="71"/>
  <c r="G36" i="71"/>
  <c r="H36" i="71"/>
  <c r="I36" i="71"/>
  <c r="J36" i="71"/>
  <c r="K36" i="71"/>
  <c r="C35" i="71"/>
  <c r="D35" i="71"/>
  <c r="E35" i="71"/>
  <c r="F35" i="71"/>
  <c r="G35" i="71"/>
  <c r="H35" i="71"/>
  <c r="I35" i="71"/>
  <c r="J35" i="71"/>
  <c r="K35" i="71"/>
  <c r="C34" i="71"/>
  <c r="D34" i="71"/>
  <c r="E34" i="71"/>
  <c r="F34" i="71"/>
  <c r="G34" i="71"/>
  <c r="H34" i="71"/>
  <c r="I34" i="71"/>
  <c r="J34" i="71"/>
  <c r="K34" i="71"/>
  <c r="C33" i="71"/>
  <c r="D33" i="71"/>
  <c r="E33" i="71"/>
  <c r="F33" i="71"/>
  <c r="G33" i="71"/>
  <c r="H33" i="71"/>
  <c r="I33" i="71"/>
  <c r="J33" i="71"/>
  <c r="K33" i="71"/>
  <c r="C32" i="71"/>
  <c r="D32" i="71"/>
  <c r="E32" i="71"/>
  <c r="F32" i="71"/>
  <c r="G32" i="71"/>
  <c r="H32" i="71"/>
  <c r="I32" i="71"/>
  <c r="J32" i="71"/>
  <c r="K32" i="71"/>
  <c r="C31" i="71"/>
  <c r="D31" i="71"/>
  <c r="E31" i="71"/>
  <c r="F31" i="71"/>
  <c r="G31" i="71"/>
  <c r="H31" i="71"/>
  <c r="I31" i="71"/>
  <c r="J31" i="71"/>
  <c r="K31" i="71"/>
  <c r="C30" i="71"/>
  <c r="D30" i="71"/>
  <c r="E30" i="71"/>
  <c r="F30" i="71"/>
  <c r="G30" i="71"/>
  <c r="H30" i="71"/>
  <c r="I30" i="71"/>
  <c r="J30" i="71"/>
  <c r="K30" i="71"/>
  <c r="C29" i="71"/>
  <c r="D29" i="71"/>
  <c r="E29" i="71"/>
  <c r="F29" i="71"/>
  <c r="G29" i="71"/>
  <c r="H29" i="71"/>
  <c r="I29" i="71"/>
  <c r="J29" i="71"/>
  <c r="K29" i="71"/>
  <c r="H18" i="48"/>
  <c r="B12" i="48"/>
  <c r="G18" i="48"/>
  <c r="B10" i="48"/>
  <c r="B9" i="48"/>
  <c r="I6" i="48"/>
  <c r="K6" i="28"/>
  <c r="N6" i="28"/>
  <c r="F6" i="29"/>
  <c r="F17" i="29"/>
  <c r="K5" i="28"/>
  <c r="N5" i="28"/>
  <c r="B5" i="29"/>
  <c r="F5" i="29"/>
  <c r="B9" i="29"/>
  <c r="F16" i="29"/>
  <c r="B10" i="96"/>
  <c r="C9" i="96"/>
  <c r="B11" i="111"/>
  <c r="B12" i="21"/>
  <c r="D6" i="34"/>
  <c r="E6" i="34" s="1"/>
  <c r="D6" i="106"/>
  <c r="E6" i="106" s="1"/>
  <c r="B6" i="115"/>
  <c r="B6" i="113"/>
  <c r="B6" i="114"/>
  <c r="E15" i="15"/>
  <c r="G15" i="15"/>
  <c r="K15" i="15"/>
  <c r="B11" i="17"/>
  <c r="G11" i="17" s="1"/>
  <c r="E14" i="15"/>
  <c r="G14" i="15"/>
  <c r="K14" i="15"/>
  <c r="B10" i="17"/>
  <c r="G10" i="17" s="1"/>
  <c r="E13" i="15"/>
  <c r="G13" i="15"/>
  <c r="B14" i="96" s="1"/>
  <c r="C14" i="96" s="1"/>
  <c r="K13" i="15"/>
  <c r="B9" i="17"/>
  <c r="G9" i="17" s="1"/>
  <c r="E12" i="15"/>
  <c r="G12" i="15"/>
  <c r="K12" i="15"/>
  <c r="E11" i="15"/>
  <c r="G11" i="15"/>
  <c r="G20" i="15" s="1"/>
  <c r="K11" i="15"/>
  <c r="F11" i="14"/>
  <c r="B19" i="14"/>
  <c r="C19" i="14" s="1"/>
  <c r="B21" i="14"/>
  <c r="C21" i="14" s="1"/>
  <c r="I11" i="98"/>
  <c r="K5" i="19" s="1"/>
  <c r="L5" i="19" s="1"/>
  <c r="N5" i="19" s="1"/>
  <c r="G11" i="98"/>
  <c r="C11" i="98"/>
  <c r="G36" i="30"/>
  <c r="H36" i="30" s="1"/>
  <c r="B29" i="30"/>
  <c r="D29" i="30" s="1"/>
  <c r="G34" i="30"/>
  <c r="H34" i="30" s="1"/>
  <c r="B19" i="30"/>
  <c r="B28" i="30"/>
  <c r="D28" i="30" s="1"/>
  <c r="D25" i="30"/>
  <c r="F6" i="19"/>
  <c r="B29" i="113"/>
  <c r="C29" i="113" s="1"/>
  <c r="C27" i="31"/>
  <c r="B27" i="31"/>
  <c r="B28" i="31" s="1"/>
  <c r="C26" i="31"/>
  <c r="C28" i="31" s="1"/>
  <c r="I64" i="13"/>
  <c r="L64" i="13"/>
  <c r="M64" i="13"/>
  <c r="N64" i="13"/>
  <c r="I63" i="13"/>
  <c r="L63" i="13"/>
  <c r="M63" i="13"/>
  <c r="N63" i="13"/>
  <c r="I62" i="13"/>
  <c r="L62" i="13"/>
  <c r="M62" i="13"/>
  <c r="N62" i="13"/>
  <c r="I61" i="13"/>
  <c r="L61" i="13"/>
  <c r="M61" i="13"/>
  <c r="N61" i="13"/>
  <c r="I60" i="13"/>
  <c r="L60" i="13"/>
  <c r="M60" i="13"/>
  <c r="N60" i="13"/>
  <c r="I59" i="13"/>
  <c r="L59" i="13"/>
  <c r="M59" i="13"/>
  <c r="N59" i="13"/>
  <c r="I51" i="13"/>
  <c r="M51" i="13"/>
  <c r="N51" i="13"/>
  <c r="L51" i="13"/>
  <c r="I50" i="13"/>
  <c r="L50" i="13"/>
  <c r="M50" i="13"/>
  <c r="N50" i="13"/>
  <c r="I47" i="13"/>
  <c r="L47" i="13"/>
  <c r="M47" i="13"/>
  <c r="N47" i="13"/>
  <c r="M46" i="13"/>
  <c r="I46" i="13"/>
  <c r="L46" i="13"/>
  <c r="N46" i="13"/>
  <c r="I42" i="13"/>
  <c r="L42" i="13"/>
  <c r="M42" i="13"/>
  <c r="N42" i="13"/>
  <c r="I40" i="13"/>
  <c r="L40" i="13"/>
  <c r="M40" i="13"/>
  <c r="N40" i="13"/>
  <c r="I38" i="13"/>
  <c r="L38" i="13"/>
  <c r="M38" i="13"/>
  <c r="N38" i="13"/>
  <c r="N37" i="13"/>
  <c r="M37" i="13"/>
  <c r="L37" i="13"/>
  <c r="I37" i="13"/>
  <c r="I36" i="13"/>
  <c r="L36" i="13"/>
  <c r="M36" i="13"/>
  <c r="N36" i="13"/>
  <c r="M35" i="13"/>
  <c r="L35" i="13"/>
  <c r="N35" i="13"/>
  <c r="I35" i="13"/>
  <c r="L29" i="13"/>
  <c r="M29" i="13"/>
  <c r="N29" i="13"/>
  <c r="I29" i="13"/>
  <c r="I26" i="13"/>
  <c r="L26" i="13"/>
  <c r="M26" i="13"/>
  <c r="N26" i="13"/>
  <c r="I25" i="13"/>
  <c r="L25" i="13"/>
  <c r="M25" i="13"/>
  <c r="N25" i="13"/>
  <c r="I24" i="13"/>
  <c r="L24" i="13"/>
  <c r="M24" i="13"/>
  <c r="N24" i="13"/>
  <c r="L22" i="13"/>
  <c r="M22" i="13"/>
  <c r="N22" i="13"/>
  <c r="I22" i="13"/>
  <c r="I21" i="13"/>
  <c r="L21" i="13"/>
  <c r="M21" i="13"/>
  <c r="N21" i="13"/>
  <c r="L18" i="13"/>
  <c r="M18" i="13"/>
  <c r="N18" i="13"/>
  <c r="I18" i="13"/>
  <c r="N17" i="13"/>
  <c r="M17" i="13"/>
  <c r="L17" i="13"/>
  <c r="I17" i="13"/>
  <c r="I14" i="13"/>
  <c r="L14" i="13"/>
  <c r="M14" i="13"/>
  <c r="N14" i="13"/>
  <c r="I9" i="13"/>
  <c r="L9" i="13"/>
  <c r="M9" i="13"/>
  <c r="N9" i="13"/>
  <c r="I7" i="13"/>
  <c r="L7" i="13"/>
  <c r="M7" i="13"/>
  <c r="N7" i="13"/>
  <c r="L6" i="13"/>
  <c r="M6" i="13"/>
  <c r="N6" i="13"/>
  <c r="I6" i="13"/>
  <c r="M5" i="13"/>
  <c r="I5" i="13"/>
  <c r="N5" i="13"/>
  <c r="L5" i="13"/>
  <c r="V9" i="32"/>
  <c r="W9" i="32" s="1"/>
  <c r="V8" i="32"/>
  <c r="W8" i="32" s="1"/>
  <c r="B23" i="14"/>
  <c r="C23" i="14" s="1"/>
  <c r="H13" i="14"/>
  <c r="M13" i="14" s="1"/>
  <c r="H15" i="14"/>
  <c r="M15" i="14" s="1"/>
  <c r="B24" i="14"/>
  <c r="C24" i="14" s="1"/>
  <c r="G23" i="48"/>
  <c r="H19" i="48"/>
  <c r="G19" i="48"/>
  <c r="H14" i="14"/>
  <c r="M14" i="14" s="1"/>
  <c r="D13" i="14"/>
  <c r="K13" i="14"/>
  <c r="L13" i="14"/>
  <c r="L6" i="28" l="1"/>
  <c r="H17" i="29" s="1"/>
  <c r="G17" i="29"/>
  <c r="L5" i="28"/>
  <c r="H16" i="29" s="1"/>
  <c r="B7" i="29"/>
  <c r="B8" i="29" s="1"/>
  <c r="G16" i="29"/>
  <c r="G7" i="29"/>
  <c r="G8" i="29"/>
  <c r="G9" i="29"/>
  <c r="G10" i="29"/>
  <c r="B10" i="29"/>
  <c r="B12" i="29"/>
  <c r="B12" i="111"/>
  <c r="C10" i="96"/>
  <c r="B8" i="115"/>
  <c r="B8" i="113"/>
  <c r="B8" i="114"/>
  <c r="B13" i="21"/>
  <c r="C13" i="21" s="1"/>
  <c r="C12" i="21"/>
  <c r="B15" i="21"/>
  <c r="C15" i="21" s="1"/>
  <c r="F6" i="34"/>
  <c r="F7" i="34"/>
  <c r="F6" i="106"/>
  <c r="F7" i="106"/>
  <c r="H20" i="15"/>
  <c r="K20" i="15"/>
  <c r="B8" i="17" s="1"/>
  <c r="B5" i="17"/>
  <c r="B45" i="30"/>
  <c r="G39" i="30"/>
  <c r="H39" i="30" s="1"/>
  <c r="B29" i="31"/>
  <c r="C29" i="31"/>
  <c r="M6" i="19"/>
  <c r="G5" i="29"/>
  <c r="G6" i="29"/>
  <c r="B20" i="14"/>
  <c r="C20" i="14" s="1"/>
  <c r="H11" i="14"/>
  <c r="B9" i="115" l="1"/>
  <c r="B9" i="113"/>
  <c r="B9" i="114"/>
  <c r="G7" i="34"/>
  <c r="H7" i="34"/>
  <c r="G7" i="106"/>
  <c r="H7" i="106"/>
  <c r="G41" i="30"/>
  <c r="H41" i="30" s="1"/>
  <c r="B48" i="30"/>
  <c r="C46" i="30"/>
  <c r="B46" i="30"/>
  <c r="C45" i="30"/>
  <c r="B22" i="14"/>
  <c r="C22" i="14" s="1"/>
  <c r="M11" i="14"/>
  <c r="G6" i="34"/>
  <c r="H6" i="34"/>
  <c r="G6" i="106"/>
  <c r="H6" i="106"/>
  <c r="B47" i="30" l="1"/>
  <c r="C47" i="30"/>
  <c r="B11" i="57"/>
</calcChain>
</file>

<file path=xl/sharedStrings.xml><?xml version="1.0" encoding="utf-8"?>
<sst xmlns="http://schemas.openxmlformats.org/spreadsheetml/2006/main" count="16675" uniqueCount="5182">
  <si>
    <t>00_GENERADOR_DIA — PARAMETROS Y SALIDA PARA MOTOR EXTERNO</t>
  </si>
  <si>
    <t>PROPÓSITO</t>
  </si>
  <si>
    <t>Esta hoja NO calcula el día. Python/Codex leerá parámetros, generará cronograma y escribirá salida aquí.</t>
  </si>
  <si>
    <t>REGLA</t>
  </si>
  <si>
    <t>No usar fórmulas largas ni dependencias frágiles. Compatible Excel/WPS.</t>
  </si>
  <si>
    <t>PARÁMETROS EDITABLES</t>
  </si>
  <si>
    <t>Campo</t>
  </si>
  <si>
    <t>Valor</t>
  </si>
  <si>
    <t>Tipo</t>
  </si>
  <si>
    <t>Fuente futura</t>
  </si>
  <si>
    <t>Uso del motor</t>
  </si>
  <si>
    <t>Observación</t>
  </si>
  <si>
    <t>Fecha del día</t>
  </si>
  <si>
    <t>Fecha</t>
  </si>
  <si>
    <t>Manual / 20_Registro_Diario</t>
  </si>
  <si>
    <t>Define día a generar</t>
  </si>
  <si>
    <t>Editar para probar otra fecha</t>
  </si>
  <si>
    <t>Tipo día</t>
  </si>
  <si>
    <t>Turno de Noche</t>
  </si>
  <si>
    <t>Lista</t>
  </si>
  <si>
    <t>20_Registro_Diario</t>
  </si>
  <si>
    <t>Activa plantilla de jornada</t>
  </si>
  <si>
    <t>Turno de Noche / Mañana / Tarde / Libre / TEX</t>
  </si>
  <si>
    <t>Turno SERPAT</t>
  </si>
  <si>
    <t>21:00–08:00</t>
  </si>
  <si>
    <t>Texto</t>
  </si>
  <si>
    <t>Calendario laboral</t>
  </si>
  <si>
    <t>Arma bloques SERPAT</t>
  </si>
  <si>
    <t>Completar según Shifter</t>
  </si>
  <si>
    <t>Semana académica</t>
  </si>
  <si>
    <t>Semana 4</t>
  </si>
  <si>
    <t>66_T2_Calendario</t>
  </si>
  <si>
    <t>Trae contenidos</t>
  </si>
  <si>
    <t>Motor reemplaza por valor real</t>
  </si>
  <si>
    <t>Prioridad académica</t>
  </si>
  <si>
    <t>Probabilidad y Estadística</t>
  </si>
  <si>
    <t>62_T2_Evaluaciones</t>
  </si>
  <si>
    <t>Define primer ramo</t>
  </si>
  <si>
    <t>Motor calcula por ponderación/plazo</t>
  </si>
  <si>
    <t>Evaluación crítica</t>
  </si>
  <si>
    <t>EV-010 / EV-006 / EV-014 — plazo domingo 28</t>
  </si>
  <si>
    <t>Genera recordatorio</t>
  </si>
  <si>
    <t>Motor trae evaluaciones vigentes</t>
  </si>
  <si>
    <t>Prioridad empresa</t>
  </si>
  <si>
    <t>MGC / CaptaPropIA / LNH según seguimiento</t>
  </si>
  <si>
    <t>30/33/70/71/76/82</t>
  </si>
  <si>
    <t>Define bloque empresa</t>
  </si>
  <si>
    <t>Motor trae seguimiento pendiente</t>
  </si>
  <si>
    <t>Nivel energía</t>
  </si>
  <si>
    <t>Pendiente</t>
  </si>
  <si>
    <t>H02_Registro_Salud</t>
  </si>
  <si>
    <t>Ajusta intensidad</t>
  </si>
  <si>
    <t>Alto / Medio / Bajo / Pendiente</t>
  </si>
  <si>
    <t>Presión / alerta salud</t>
  </si>
  <si>
    <t>H03_Presión_Log</t>
  </si>
  <si>
    <t>Activa salud</t>
  </si>
  <si>
    <t>Normal / Alta / Pendiente</t>
  </si>
  <si>
    <t>Cierre de mes</t>
  </si>
  <si>
    <t>No</t>
  </si>
  <si>
    <t>Control mensual</t>
  </si>
  <si>
    <t>Activa cierre mensual</t>
  </si>
  <si>
    <t>Sí / No</t>
  </si>
  <si>
    <t>CRONOGRAMA GENERADO POR MOTOR</t>
  </si>
  <si>
    <t>Orden</t>
  </si>
  <si>
    <t>Hora inicio</t>
  </si>
  <si>
    <t>Hora fin</t>
  </si>
  <si>
    <t>Área</t>
  </si>
  <si>
    <t>Bloque</t>
  </si>
  <si>
    <t>Objetivo / instrucción</t>
  </si>
  <si>
    <t>SALIDA DOCUMENTAL — COPIAR A WORD</t>
  </si>
  <si>
    <t>00_MOTOR_VIDA_REAL — MAPA OFICIAL DE FUENTES DEL MOTOR</t>
  </si>
  <si>
    <t>Esta hoja NO calcula. Define qué hojas del Excel C31 debe leer el motor externo Python/Codex.</t>
  </si>
  <si>
    <t>No usar fórmulas aquí. Solo tabla limpia, estable y compatible con Excel/WPS.</t>
  </si>
  <si>
    <t>ID</t>
  </si>
  <si>
    <t>Sección</t>
  </si>
  <si>
    <t>Hoja fuente C31</t>
  </si>
  <si>
    <t>Tipo de dato</t>
  </si>
  <si>
    <t>Campos esperados</t>
  </si>
  <si>
    <t>Documento alimentado</t>
  </si>
  <si>
    <t>Activo</t>
  </si>
  <si>
    <t>Obligatorio</t>
  </si>
  <si>
    <t>M-001</t>
  </si>
  <si>
    <t>Vida Real</t>
  </si>
  <si>
    <t>Registro diario</t>
  </si>
  <si>
    <t>Fecha; tipo día; turno; observaciones</t>
  </si>
  <si>
    <t>Vida Real; Ancla</t>
  </si>
  <si>
    <t>Determina apertura, cierre y tipo de jornada</t>
  </si>
  <si>
    <t>Sí</t>
  </si>
  <si>
    <t>Fuente principal del día</t>
  </si>
  <si>
    <t>M-002</t>
  </si>
  <si>
    <t>KPIs</t>
  </si>
  <si>
    <t>21_KPI_Diario</t>
  </si>
  <si>
    <t>Indicadores</t>
  </si>
  <si>
    <t>Finanzas; Universidad; Salud; Empresas; Excel; Ancla</t>
  </si>
  <si>
    <t>Ajusta cierre y preguntas correctivas</t>
  </si>
  <si>
    <t>Si KPI bajo, activar Ancla crítica</t>
  </si>
  <si>
    <t>M-003</t>
  </si>
  <si>
    <t>25_Control_Junio / 02_Control_Junio</t>
  </si>
  <si>
    <t>Fecha; avance; cumplimiento; observaciones</t>
  </si>
  <si>
    <t>Vida Real; Cierre mensual</t>
  </si>
  <si>
    <t>Activa cierre mensual y continuidad</t>
  </si>
  <si>
    <t>Usar la hoja vigente según mes</t>
  </si>
  <si>
    <t>M-004</t>
  </si>
  <si>
    <t>Alertas</t>
  </si>
  <si>
    <t>90_Alertas_Correcciones</t>
  </si>
  <si>
    <t>Área; indicador; estado; causa; acción</t>
  </si>
  <si>
    <t>Inserta correcciones obligatorias</t>
  </si>
  <si>
    <t>Alerta crítica sube prioridad</t>
  </si>
  <si>
    <t>M-005</t>
  </si>
  <si>
    <t>Universidad ramos</t>
  </si>
  <si>
    <t>61_T2_Ramos / 55_T2_CONTENIDOS</t>
  </si>
  <si>
    <t>Maestro académico</t>
  </si>
  <si>
    <t>Ramo; unidad; contenido; prioridad; estado</t>
  </si>
  <si>
    <t>Define qué estudiar</t>
  </si>
  <si>
    <t>No usar materia genérica</t>
  </si>
  <si>
    <t>M-006</t>
  </si>
  <si>
    <t>Universidad evaluaciones</t>
  </si>
  <si>
    <t>62_T2_Evaluaciones / 57_T2_EVALUACIONES</t>
  </si>
  <si>
    <t>Evaluaciones</t>
  </si>
  <si>
    <t>ID; ramo; porcentaje; fecha; estado; plazo</t>
  </si>
  <si>
    <t>Genera recordatorios de prueba/entrega</t>
  </si>
  <si>
    <t>Evaluación cercana manda prioridad</t>
  </si>
  <si>
    <t>M-007</t>
  </si>
  <si>
    <t>Universidad bloques</t>
  </si>
  <si>
    <t>63_T2_Bloques / 56_T2_BLOQUES</t>
  </si>
  <si>
    <t>Historial estudio</t>
  </si>
  <si>
    <t>Fecha; ramo; tema; avance; evidencia</t>
  </si>
  <si>
    <t>Permite continuar donde quedó</t>
  </si>
  <si>
    <t>Debe completarse después de estudiar</t>
  </si>
  <si>
    <t>M-008</t>
  </si>
  <si>
    <t>Universidad errores</t>
  </si>
  <si>
    <t>64_T2_Errores / 58_T2_ERRORES</t>
  </si>
  <si>
    <t>Banco errores</t>
  </si>
  <si>
    <t>Ramo; tema; error; causa; corrección; estado</t>
  </si>
  <si>
    <t>Obliga a corregir errores abiertos</t>
  </si>
  <si>
    <t>Errores abiertos se reinsertan</t>
  </si>
  <si>
    <t>M-009</t>
  </si>
  <si>
    <t>Calendario académico</t>
  </si>
  <si>
    <t>Calendario</t>
  </si>
  <si>
    <t>Fecha; semana; clase; contenido; evaluación</t>
  </si>
  <si>
    <t>Ubica semana y contenidos exactos</t>
  </si>
  <si>
    <t>Base para materia del día</t>
  </si>
  <si>
    <t>M-010</t>
  </si>
  <si>
    <t>Salud diaria</t>
  </si>
  <si>
    <t>Registro salud</t>
  </si>
  <si>
    <t>Sueño; energía; síntomas; recuperación</t>
  </si>
  <si>
    <t>Ajusta intensidad y descanso</t>
  </si>
  <si>
    <t>Si falta dato, exigir registro</t>
  </si>
  <si>
    <t>M-011</t>
  </si>
  <si>
    <t>Presión arterial</t>
  </si>
  <si>
    <t>Registro presión</t>
  </si>
  <si>
    <t>Hora; presión; pulso; observación</t>
  </si>
  <si>
    <t>Activa bloque de control médico</t>
  </si>
  <si>
    <t>Prioridad salud si presión alta</t>
  </si>
  <si>
    <t>M-012</t>
  </si>
  <si>
    <t>Finanzas ingresos</t>
  </si>
  <si>
    <t>11_Ingresos</t>
  </si>
  <si>
    <t>Finanzas</t>
  </si>
  <si>
    <t>Fecha; fuente; monto; destino</t>
  </si>
  <si>
    <t>Vida Real; Cierre</t>
  </si>
  <si>
    <t>Controla entradas</t>
  </si>
  <si>
    <t>Registrar todo ingreso</t>
  </si>
  <si>
    <t>M-013</t>
  </si>
  <si>
    <t>Finanzas gastos</t>
  </si>
  <si>
    <t>12_Gastos</t>
  </si>
  <si>
    <t>Fecha; categoría; monto; comentario</t>
  </si>
  <si>
    <t>Controla fugas y caja</t>
  </si>
  <si>
    <t>Si no hay gasto, registrar sin movimiento</t>
  </si>
  <si>
    <t>M-014</t>
  </si>
  <si>
    <t>Finanzas deuda</t>
  </si>
  <si>
    <t>13_Deudas</t>
  </si>
  <si>
    <t>Acreedor; monto; estado; próximo paso</t>
  </si>
  <si>
    <t>Genera bloque deuda/pagos</t>
  </si>
  <si>
    <t>No omitir deudas pendientes</t>
  </si>
  <si>
    <t>M-015</t>
  </si>
  <si>
    <t>Conciliación</t>
  </si>
  <si>
    <t>18_Conciliacion_Bancaria_V3</t>
  </si>
  <si>
    <t>Movimiento; saldo; diferencia; conciliación</t>
  </si>
  <si>
    <t>Cierre mensual</t>
  </si>
  <si>
    <t>Valida saldos reales</t>
  </si>
  <si>
    <t>Usar para cierre financiero</t>
  </si>
  <si>
    <t>M-016</t>
  </si>
  <si>
    <t>MGC CRM</t>
  </si>
  <si>
    <t>30_MGC_CRM</t>
  </si>
  <si>
    <t>Empresas</t>
  </si>
  <si>
    <t>Contacto; estado; etapa; próximo paso</t>
  </si>
  <si>
    <t>Genera seguimiento comercial</t>
  </si>
  <si>
    <t>Solo si hay prioridad MGC</t>
  </si>
  <si>
    <t>M-017</t>
  </si>
  <si>
    <t>MGC seguimientos</t>
  </si>
  <si>
    <t>33_Seguimientos</t>
  </si>
  <si>
    <t>Fecha; contacto; acción; próxima fecha</t>
  </si>
  <si>
    <t>Evita perder relaciones</t>
  </si>
  <si>
    <t>No abrir nuevos negocios sin seguimiento</t>
  </si>
  <si>
    <t>M-018</t>
  </si>
  <si>
    <t>Mercado MGC</t>
  </si>
  <si>
    <t>70_Mercado_MGC</t>
  </si>
  <si>
    <t>Mercado; commodity; señal; conclusión</t>
  </si>
  <si>
    <t>Actualiza inteligencia minera</t>
  </si>
  <si>
    <t>Aplica según foco semanal</t>
  </si>
  <si>
    <t>M-019</t>
  </si>
  <si>
    <t>LNR</t>
  </si>
  <si>
    <t>71_Mercado_LNR</t>
  </si>
  <si>
    <t>Mercado; oportunidad; análisis</t>
  </si>
  <si>
    <t>Actualiza Real Estate</t>
  </si>
  <si>
    <t>Prioridad solo si corresponde</t>
  </si>
  <si>
    <t>M-020</t>
  </si>
  <si>
    <t>CaptaPropIA</t>
  </si>
  <si>
    <t>76_CaptaPropIA</t>
  </si>
  <si>
    <t>Fase; módulo; avance; bloqueo</t>
  </si>
  <si>
    <t>Continúa proyecto tecnológico</t>
  </si>
  <si>
    <t>No dispersar módulos</t>
  </si>
  <si>
    <t>M-021</t>
  </si>
  <si>
    <t>LNH Corporate</t>
  </si>
  <si>
    <t>82_LNH_Corporate_System</t>
  </si>
  <si>
    <t>Holding</t>
  </si>
  <si>
    <t>Sistema; área; estado; acción</t>
  </si>
  <si>
    <t>Mantiene gobierno del holding</t>
  </si>
  <si>
    <t>Revisión ejecutiva</t>
  </si>
  <si>
    <t>M-022</t>
  </si>
  <si>
    <t>Reglas motor</t>
  </si>
  <si>
    <t>00_REGLAS_VIDA_REAL</t>
  </si>
  <si>
    <t>Configuración</t>
  </si>
  <si>
    <t>Regla; condición; acción; prioridad</t>
  </si>
  <si>
    <t>Motor externo</t>
  </si>
  <si>
    <t>Decide qué bloques activar</t>
  </si>
  <si>
    <t>No contiene fórmulas</t>
  </si>
  <si>
    <t>M-023</t>
  </si>
  <si>
    <t>Plantillas bloques</t>
  </si>
  <si>
    <t>00_PLANTILLAS_BLOQUES</t>
  </si>
  <si>
    <t>Biblioteca</t>
  </si>
  <si>
    <t>Bloque; objetivo; actividad; registro</t>
  </si>
  <si>
    <t>Redacta salida documental</t>
  </si>
  <si>
    <t>Texto base editable</t>
  </si>
  <si>
    <t>M-024</t>
  </si>
  <si>
    <t>Generador día</t>
  </si>
  <si>
    <t>00_GENERADOR_DIA</t>
  </si>
  <si>
    <t>Salida/preview</t>
  </si>
  <si>
    <t>Parámetros; cronograma; salida</t>
  </si>
  <si>
    <t>Word; Vida Real</t>
  </si>
  <si>
    <t>Recibe salida del motor externo</t>
  </si>
  <si>
    <t>El motor escribe aquí</t>
  </si>
  <si>
    <t>00_REGLAS_VIDA_REAL — REGLAS OPERATIVAS DEL MOTOR</t>
  </si>
  <si>
    <t>Esta hoja NO calcula. Define reglas que Python/Codex aplicará para decidir bloques, prioridades y cronograma.</t>
  </si>
  <si>
    <t>No usar fórmulas aquí. Las reglas son datos estructurados para el motor externo.</t>
  </si>
  <si>
    <t>ID Regla</t>
  </si>
  <si>
    <t>Condición</t>
  </si>
  <si>
    <t>Operador</t>
  </si>
  <si>
    <t>Prioridad</t>
  </si>
  <si>
    <t>Bloques activados</t>
  </si>
  <si>
    <t>Acción del motor</t>
  </si>
  <si>
    <t>Activa</t>
  </si>
  <si>
    <t>Fuente</t>
  </si>
  <si>
    <t>Resultado esperado</t>
  </si>
  <si>
    <t>No hacer</t>
  </si>
  <si>
    <t>R-001</t>
  </si>
  <si>
    <t>SERPAT</t>
  </si>
  <si>
    <t>igual</t>
  </si>
  <si>
    <t>SER-NOCHE</t>
  </si>
  <si>
    <t>Generar jornada completa: entrega turno anterior, traslado, sueño, salud, estudio, preparación, traslado, turno, entrega día siguiente y cierre post-turno</t>
  </si>
  <si>
    <t>Día no se cierra antes de SERPAT</t>
  </si>
  <si>
    <t>Cerrar a media tarde</t>
  </si>
  <si>
    <t>R-002</t>
  </si>
  <si>
    <t>Turno de Mañana</t>
  </si>
  <si>
    <t>SER-MANANA</t>
  </si>
  <si>
    <t>Generar despertar temprano, preparación, trabajo, recuperación, estudio mínimo y cierre nocturno</t>
  </si>
  <si>
    <t>Día de mantenimiento bien cerrado</t>
  </si>
  <si>
    <t>Planificar como día libre</t>
  </si>
  <si>
    <t>R-003</t>
  </si>
  <si>
    <t>Turno de Tarde</t>
  </si>
  <si>
    <t>SER-TARDE</t>
  </si>
  <si>
    <t>Generar estudio/empresas en la mañana, preparación al turno, trabajo y cierre liviano</t>
  </si>
  <si>
    <t>Universidad antes de fatiga</t>
  </si>
  <si>
    <t>Dejar lo crítico para la noche</t>
  </si>
  <si>
    <t>R-004</t>
  </si>
  <si>
    <t>Libre</t>
  </si>
  <si>
    <t>LIBRE</t>
  </si>
  <si>
    <t>Generar día profundo: universidad fuerte, finanzas, empresas, salud, Ancla y preparación</t>
  </si>
  <si>
    <t>Avance fuerte sin dispersión</t>
  </si>
  <si>
    <t>Dormir o improvisar todo el día</t>
  </si>
  <si>
    <t>R-005</t>
  </si>
  <si>
    <t>TEX</t>
  </si>
  <si>
    <t>Generar día de trabajo extra: mantener cadena mínima y no sobrecargar</t>
  </si>
  <si>
    <t>Continuidad protegida</t>
  </si>
  <si>
    <t>Exigir intensidad completa</t>
  </si>
  <si>
    <t>R-006</t>
  </si>
  <si>
    <t>Universidad</t>
  </si>
  <si>
    <t>Evaluación vence en</t>
  </si>
  <si>
    <t>menor o igual</t>
  </si>
  <si>
    <t>7 días</t>
  </si>
  <si>
    <t>UNI-EVAL</t>
  </si>
  <si>
    <t>Insertar recordatorio de evaluación antes del bloque universitario</t>
  </si>
  <si>
    <t>No perder plazos</t>
  </si>
  <si>
    <t>Ocultar evaluaciones cercanas</t>
  </si>
  <si>
    <t>R-007</t>
  </si>
  <si>
    <t>2 días</t>
  </si>
  <si>
    <t>UNI-CRITICO</t>
  </si>
  <si>
    <t>Subir prioridad del ramo, reducir empresas y reforzar entrega/prueba</t>
  </si>
  <si>
    <t>Riesgo académico controlado</t>
  </si>
  <si>
    <t>Trabajar empresas primero</t>
  </si>
  <si>
    <t>R-008</t>
  </si>
  <si>
    <t>Mayor ponderación</t>
  </si>
  <si>
    <t>UNI-PRIORIDAD</t>
  </si>
  <si>
    <t>Priorizar ramo de mayor impacto si el plazo es cercano</t>
  </si>
  <si>
    <t>Estudio alineado con nota</t>
  </si>
  <si>
    <t>Estudiar por gusto</t>
  </si>
  <si>
    <t>R-009</t>
  </si>
  <si>
    <t>Último avance</t>
  </si>
  <si>
    <t>existe</t>
  </si>
  <si>
    <t>UNI-SEGUIMIENTO</t>
  </si>
  <si>
    <t>Continuar desde último tema, ejercicio, duda o error registrado</t>
  </si>
  <si>
    <t>63_T2_Bloques</t>
  </si>
  <si>
    <t>No reiniciar desde cero</t>
  </si>
  <si>
    <t>Repetir contenido sin memoria</t>
  </si>
  <si>
    <t>R-010</t>
  </si>
  <si>
    <t>Error abierto</t>
  </si>
  <si>
    <t>UNI-ERRORES</t>
  </si>
  <si>
    <t>Insertar corrección de error antes de contenido nuevo</t>
  </si>
  <si>
    <t>64_T2_Errores</t>
  </si>
  <si>
    <t>Error convertido en aprendizaje</t>
  </si>
  <si>
    <t>Acumular dudas</t>
  </si>
  <si>
    <t>R-011</t>
  </si>
  <si>
    <t>Salud</t>
  </si>
  <si>
    <t>Turno</t>
  </si>
  <si>
    <t>Noche</t>
  </si>
  <si>
    <t>SAL-NOCHE</t>
  </si>
  <si>
    <t>Priorizar sueño, presión, alimentación e hidratación</t>
  </si>
  <si>
    <t>H02/H03</t>
  </si>
  <si>
    <t>Capital biológico protegido</t>
  </si>
  <si>
    <t>Sacrificar sueño</t>
  </si>
  <si>
    <t>R-012</t>
  </si>
  <si>
    <t>Presión</t>
  </si>
  <si>
    <t>Alta</t>
  </si>
  <si>
    <t>SAL-ALERTA</t>
  </si>
  <si>
    <t>Bajar intensidad, registrar presión, agregar observación y posible acción médica</t>
  </si>
  <si>
    <t>Riesgo salud visible</t>
  </si>
  <si>
    <t>Forzar el plan</t>
  </si>
  <si>
    <t>R-013</t>
  </si>
  <si>
    <t>Energía</t>
  </si>
  <si>
    <t>4</t>
  </si>
  <si>
    <t>SAL-BAJA</t>
  </si>
  <si>
    <t>Reducir duración de empresas y mantener solo universidad crítica</t>
  </si>
  <si>
    <t>Continuidad sin colapso</t>
  </si>
  <si>
    <t>Exigir máximo rendimiento</t>
  </si>
  <si>
    <t>R-014</t>
  </si>
  <si>
    <t>Día operativo</t>
  </si>
  <si>
    <t>Siempre</t>
  </si>
  <si>
    <t>FIN-DIARIO</t>
  </si>
  <si>
    <t>Agregar bloque de registro de ingresos/gastos/deudas/conciliación</t>
  </si>
  <si>
    <t>11/12/13/18</t>
  </si>
  <si>
    <t>Caja visible</t>
  </si>
  <si>
    <t>Dejar dinero subjetivo</t>
  </si>
  <si>
    <t>R-015</t>
  </si>
  <si>
    <t>Caja</t>
  </si>
  <si>
    <t>menor que</t>
  </si>
  <si>
    <t>50000</t>
  </si>
  <si>
    <t>FIN-ALERTA</t>
  </si>
  <si>
    <t>Agregar alerta: no gasto variable, revisar deuda y caja real</t>
  </si>
  <si>
    <t>13_Deudas/18_Conciliación</t>
  </si>
  <si>
    <t>Fragilidad reducida</t>
  </si>
  <si>
    <t>Comprar sin revisar</t>
  </si>
  <si>
    <t>R-016</t>
  </si>
  <si>
    <t>Fin de mes</t>
  </si>
  <si>
    <t>CIERRE-MES</t>
  </si>
  <si>
    <t>Agregar cierre mensual financiero, KPI, deudas, inversión, conciliación</t>
  </si>
  <si>
    <t>24_KPI_Mensual/25_Control</t>
  </si>
  <si>
    <t>Mes cerrado con evidencia</t>
  </si>
  <si>
    <t>Cerrar sin conciliación</t>
  </si>
  <si>
    <t>R-017</t>
  </si>
  <si>
    <t>EMP-MIN</t>
  </si>
  <si>
    <t>Reducir empresas a continuidad mínima y seguimiento único</t>
  </si>
  <si>
    <t>No dispersión</t>
  </si>
  <si>
    <t>Abrir proyecto nuevo</t>
  </si>
  <si>
    <t>R-018</t>
  </si>
  <si>
    <t>Sin evaluación crítica</t>
  </si>
  <si>
    <t>EMP-PROFUNDO</t>
  </si>
  <si>
    <t>Activar MGC/LNH/LNR/CaptaPropIA según prioridad semanal</t>
  </si>
  <si>
    <t>30/70/71/76/82</t>
  </si>
  <si>
    <t>Empresas con avance real</t>
  </si>
  <si>
    <t>Trabajo sin registro</t>
  </si>
  <si>
    <t>R-019</t>
  </si>
  <si>
    <t>Ancla</t>
  </si>
  <si>
    <t>KPI bajo</t>
  </si>
  <si>
    <t>ANCLA-CRITICA</t>
  </si>
  <si>
    <t>Generar preguntas de corrección según área débil</t>
  </si>
  <si>
    <t>21_KPI_Diario/90_Alertas</t>
  </si>
  <si>
    <t>Ancla no genérica</t>
  </si>
  <si>
    <t>Felicitar sin corregir</t>
  </si>
  <si>
    <t>R-020</t>
  </si>
  <si>
    <t>Cierre</t>
  </si>
  <si>
    <t>Fatiga post-turno</t>
  </si>
  <si>
    <t>CIERRE-POSTERGADO</t>
  </si>
  <si>
    <t>Permitir postergar cierre al primer bloque operativo con calidad</t>
  </si>
  <si>
    <t>Registro confiable</t>
  </si>
  <si>
    <t>Registrar apurado</t>
  </si>
  <si>
    <t>R-021</t>
  </si>
  <si>
    <t>Sistema</t>
  </si>
  <si>
    <t>Día siguiente</t>
  </si>
  <si>
    <t>PREP-MAÑANA</t>
  </si>
  <si>
    <t>Agregar preparación del día siguiente antes del cierre</t>
  </si>
  <si>
    <t>66_T2_Calendario/20_Registro</t>
  </si>
  <si>
    <t>No improvisar mañana</t>
  </si>
  <si>
    <t>Cerrar sin preparar</t>
  </si>
  <si>
    <t>R-022</t>
  </si>
  <si>
    <t>Documento</t>
  </si>
  <si>
    <t>Salida Word</t>
  </si>
  <si>
    <t>SALIDA-WORD</t>
  </si>
  <si>
    <t>Generar texto con hora, objetivo, actividad, registro, continuidad y evidencia</t>
  </si>
  <si>
    <t>Vida Real ejecutable</t>
  </si>
  <si>
    <t>Resumen genérico</t>
  </si>
  <si>
    <t>00_PLANTILLAS_BLOQUES — BIBLIOTECA OPERATIVA SIN FÓRMULAS</t>
  </si>
  <si>
    <t>Biblioteca de bloques. El motor externo selecciona filas según reglas y arma Vida Real.</t>
  </si>
  <si>
    <t>No usar fórmulas aquí. Cada fila debe ser un bloque reutilizable.</t>
  </si>
  <si>
    <t>ID Bloque</t>
  </si>
  <si>
    <t>Tipo día permitido</t>
  </si>
  <si>
    <t>Orden noche</t>
  </si>
  <si>
    <t>Orden mañana</t>
  </si>
  <si>
    <t>Orden tarde</t>
  </si>
  <si>
    <t>Orden libre</t>
  </si>
  <si>
    <t>Duración min</t>
  </si>
  <si>
    <t>Nombre bloque</t>
  </si>
  <si>
    <t>Objetivo</t>
  </si>
  <si>
    <t>Actividad paso a paso</t>
  </si>
  <si>
    <t>Registro obligatorio</t>
  </si>
  <si>
    <t>Continuidad documental</t>
  </si>
  <si>
    <t>Evidencia mínima</t>
  </si>
  <si>
    <t>Materia / contenido</t>
  </si>
  <si>
    <t>Evaluación / plazo</t>
  </si>
  <si>
    <t>Seguimiento requerido</t>
  </si>
  <si>
    <t>Regla mínimo</t>
  </si>
  <si>
    <t>SER-ENTREGA</t>
  </si>
  <si>
    <t>SALIDA / ENTREGA DEL TURNO</t>
  </si>
  <si>
    <t>Cerrar correctamente el turno nocturno anterior.</t>
  </si>
  <si>
    <t>Entregar novedades; revisar observaciones; guardar elementos personales; salir del recinto.</t>
  </si>
  <si>
    <t>No corresponde</t>
  </si>
  <si>
    <t>Capítulo 10 — Sistema Laboral SERPAT</t>
  </si>
  <si>
    <t>✓ Turno entregado correctamente. ✓ Sin observaciones pendientes.</t>
  </si>
  <si>
    <t>No aplica</t>
  </si>
  <si>
    <t>Registrar mentalmente novedades relevantes.</t>
  </si>
  <si>
    <t>Si hubo incidente, registrar en cierre.</t>
  </si>
  <si>
    <t>REC-CASA</t>
  </si>
  <si>
    <t>TRASLADO · LLEGADA A CASA · PREPARACIÓN DEL DESCANSO</t>
  </si>
  <si>
    <t>Iniciar recuperación física inmediatamente después del turno.</t>
  </si>
  <si>
    <t>Trasladarse al domicilio; guardar mochila; retirar uniforme; hidratarse; aseo; cerrar cortinas; preparar dormitorio; acostarse.</t>
  </si>
  <si>
    <t>Capítulo 6 — Sistema Salud</t>
  </si>
  <si>
    <t>✓ Recuperación iniciada. ✓ Dormitorio preparado.</t>
  </si>
  <si>
    <t>No usar redes ni abrir tareas estratégicas.</t>
  </si>
  <si>
    <t>Resolver solo urgencias reales.</t>
  </si>
  <si>
    <t>SUE-PRINCIPAL</t>
  </si>
  <si>
    <t>SUEÑO PRINCIPAL</t>
  </si>
  <si>
    <t>Recuperar energía para sostener la jornada y/o siguiente turno.</t>
  </si>
  <si>
    <t>Dormir; teléfono en silencio; dormitorio oscuro; evitar interrupciones.</t>
  </si>
  <si>
    <t>✓ Sueño principal completado.</t>
  </si>
  <si>
    <t>Registrar horas de sueño al despertar.</t>
  </si>
  <si>
    <t>Si no se logra dormir, reducir intensidad posterior.</t>
  </si>
  <si>
    <t>SAL-DESPERTAR</t>
  </si>
  <si>
    <t>Todos</t>
  </si>
  <si>
    <t>DESPERTAR · HIGIENE · CONTROL DE SALUD</t>
  </si>
  <si>
    <t>Iniciar o reiniciar el día con orden y medición de salud.</t>
  </si>
  <si>
    <t>Levantarse; tender cama; hidratarse; estirar; ducharse; vestirse; tomar medicamento; medir presión; registrar energía.</t>
  </si>
  <si>
    <t>H02_Registro_Salud; H03_Presión_Log</t>
  </si>
  <si>
    <t>✓ Día iniciado correctamente. ✓ Salud registrada.</t>
  </si>
  <si>
    <t>Si presión alta, bajar intensidad y registrar observación.</t>
  </si>
  <si>
    <t>Si no hay tensiómetro, registrar energía y síntomas.</t>
  </si>
  <si>
    <t>ALI-DESAYUNO</t>
  </si>
  <si>
    <t>2</t>
  </si>
  <si>
    <t>DESAYUNO / ALIMENTACIÓN</t>
  </si>
  <si>
    <t>Preparar energía física para sostener la jornada.</t>
  </si>
  <si>
    <t>Preparar alimentación; hidratarse; ordenar espacio; evaluar energía posterior.</t>
  </si>
  <si>
    <t>✓ Alimentación registrada. ✓ Hidratación realizada.</t>
  </si>
  <si>
    <t>Registrar alimentación y energía posterior.</t>
  </si>
  <si>
    <t>Evitar gasto hormiga.</t>
  </si>
  <si>
    <t>SIS-APERTURA</t>
  </si>
  <si>
    <t>APERTURA OFICIAL DEL SISTEMA</t>
  </si>
  <si>
    <t>Conocer el estado real antes de ejecutar.</t>
  </si>
  <si>
    <t>Abrir Excel C31; revisar Dashboard; KPI Diario; calendario laboral; calendario académico; alertas; finanzas; universidad; empresas; salud.</t>
  </si>
  <si>
    <t>20_Registro_Diario; 21_KPI_Diario; 25_Control_Junio / 02_Control_Junio; 90_Alertas_Correcciones</t>
  </si>
  <si>
    <t>Capítulo 3 — Sistema Excel C31</t>
  </si>
  <si>
    <t>✓ Sistema aperturado. ✓ Prioridades confirmadas.</t>
  </si>
  <si>
    <t>Confirmar prioridad académica, laboral y financiera.</t>
  </si>
  <si>
    <t>Si no alcanza, registrar objetivo y riesgo mínimo.</t>
  </si>
  <si>
    <t>EVA-REVISION</t>
  </si>
  <si>
    <t>RECORDATORIO DE EVALUACIONES</t>
  </si>
  <si>
    <t>Evitar perder pruebas o entregas con plazo cercano.</t>
  </si>
  <si>
    <t>Abrir Canvas y 62_T2_Evaluaciones; confirmar estado de evaluaciones; revisar pendiente, enviado o por corregir.</t>
  </si>
  <si>
    <t>62_T2_Evaluaciones; 66_T2_Calendario; 90_Alertas_Correcciones</t>
  </si>
  <si>
    <t>Capítulo 4 — Sistema Universidad</t>
  </si>
  <si>
    <t>✓ Plazos confirmados. ✓ Riesgo académico visible.</t>
  </si>
  <si>
    <t>Según ramos activos.</t>
  </si>
  <si>
    <t>Según evaluaciones vigentes.</t>
  </si>
  <si>
    <t>Anotar estado real: pendiente/enviado/revisar nota.</t>
  </si>
  <si>
    <t>Si hay pendiente crítico, desplazar empresas.</t>
  </si>
  <si>
    <t>UNI-PROB</t>
  </si>
  <si>
    <t>PROBABILIDAD Y ESTADÍSTICA</t>
  </si>
  <si>
    <t>Trabajar el ramo académico de mayor prioridad o evaluación próxima.</t>
  </si>
  <si>
    <t>Ingresar a Canvas; abrir contenido de la semana; revisar último avance; resolver ejercicios; corregir errores; registrar dudas y avance.</t>
  </si>
  <si>
    <t>61_T2_Ramos; 62_T2_Evaluaciones; 63_T2_Bloques; 64_T2_Errores; 65_T2_Dashboard; 66_T2_Calendario</t>
  </si>
  <si>
    <t>✓ Bloque universitario completado. ✓ Errores registrados. ✓ Avance actualizado.</t>
  </si>
  <si>
    <t>Motor debe traer tema exacto desde 66_T2_Calendario y último avance desde 63_T2_Bloques.</t>
  </si>
  <si>
    <t>Motor debe traer evaluación vigente desde 62_T2_Evaluaciones.</t>
  </si>
  <si>
    <t>Registrar dónde quedé, dudas, errores y próxima acción.</t>
  </si>
  <si>
    <t>Mínimo 5 ejercicios + 1 error corregido.</t>
  </si>
  <si>
    <t>UNI-COM</t>
  </si>
  <si>
    <t>COMUNICACIÓN Y ARGUMENTACIÓN</t>
  </si>
  <si>
    <t>Mantener continuidad argumentativa y preparar actividades de la semana.</t>
  </si>
  <si>
    <t>Ingresar a Canvas; revisar instrucciones; leer pauta o rúbrica; organizar actividad; registrar fechas importantes y avance.</t>
  </si>
  <si>
    <t>61_T2_Ramos; 62_T2_Evaluaciones; 63_T2_Bloques</t>
  </si>
  <si>
    <t>✓ Semana organizada. ✓ Actividades registradas.</t>
  </si>
  <si>
    <t>Motor debe traer actividad exacta desde Canvas/66 si está registrada.</t>
  </si>
  <si>
    <t>Motor debe traer evaluación o tarea vigente.</t>
  </si>
  <si>
    <t>Registrar pendiente exacto: tesis, argumento, conclusión, formato o entrega.</t>
  </si>
  <si>
    <t>Si hay entrega cercana, cerrar versión antes de empresas.</t>
  </si>
  <si>
    <t>UNI-CALC</t>
  </si>
  <si>
    <t>CÁLCULO II</t>
  </si>
  <si>
    <t>Mantener continuidad matemática evitando pérdida de ritmo.</t>
  </si>
  <si>
    <t>Abrir Cuaderno Master; revisar contenido de la semana; resolver ejercicios; registrar errores; verificar procedimiento.</t>
  </si>
  <si>
    <t>61_T2_Ramos; 63_T2_Bloques; 64_T2_Errores</t>
  </si>
  <si>
    <t>✓ Ejercicios desarrollados. ✓ Registro actualizado.</t>
  </si>
  <si>
    <t>Motor debe traer tema exacto desde 66_T2_Calendario.</t>
  </si>
  <si>
    <t>Si hay evaluación, registrar prioridad.</t>
  </si>
  <si>
    <t>Registrar ejercicio donde quedé y error principal.</t>
  </si>
  <si>
    <t>Mínimo 2 ejercicios bien verificados.</t>
  </si>
  <si>
    <t>UNI-FIS</t>
  </si>
  <si>
    <t>FÍSICA MECÁNICA</t>
  </si>
  <si>
    <t>Mantener continuidad física y registrar dudas.</t>
  </si>
  <si>
    <t>Abrir guía; resolver ejercicios programados; registrar dudas para la siguiente sesión.</t>
  </si>
  <si>
    <t>✓ Física actualizada. ✓ Registro completado.</t>
  </si>
  <si>
    <t>Si hay evaluación, registrar avance.</t>
  </si>
  <si>
    <t>Registrar duda concreta y próximo ejercicio.</t>
  </si>
  <si>
    <t>Mínimo 1 ejercicio completo.</t>
  </si>
  <si>
    <t>EMP-MGC</t>
  </si>
  <si>
    <t>MINER GLOBAL CONNECT — CRM Y SEGUIMIENTO</t>
  </si>
  <si>
    <t>Mantener viva la red estratégica y la inteligencia comercial minera.</t>
  </si>
  <si>
    <t>Abrir CRM; revisar contactos activos, seguimientos pendientes, oportunidades y mercado; actualizar próxima acción; no abrir negocios nuevos sin evidencia.</t>
  </si>
  <si>
    <t>30_MGC_CRM; 33_Seguimientos; 40_Estudio_Empresas; 70_Mercado_MGC</t>
  </si>
  <si>
    <t>Sistema Empresas — MGC</t>
  </si>
  <si>
    <t>✓ CRM actualizado. ✓ Seguimiento programado.</t>
  </si>
  <si>
    <t>Registrar próximo contacto, fecha y acción exacta.</t>
  </si>
  <si>
    <t>Si universidad crítica, limitar a continuidad mínima.</t>
  </si>
  <si>
    <t>EMP-HOLDING</t>
  </si>
  <si>
    <t>LATITUD NORTE HOLDING / LNR / CAPTAPROPIA</t>
  </si>
  <si>
    <t>Sincronizar proyectos estratégicos sin dispersión.</t>
  </si>
  <si>
    <t>Revisar LNH, LNR o CaptaPropIA según prioridad; registrar avance, dificultad y siguiente acción; no abrir nuevas líneas.</t>
  </si>
  <si>
    <t>71_Mercado_LNR; 76_CaptaPropIA; 82_LNH_Corporate_System</t>
  </si>
  <si>
    <t>Sistema Empresas / Holding</t>
  </si>
  <si>
    <t>✓ Proyecto actualizado. ✓ Siguiente acción definida.</t>
  </si>
  <si>
    <t>Registrar fase, avance, bloqueo y siguiente paso.</t>
  </si>
  <si>
    <t>No cambiar planificación semanal por impulso.</t>
  </si>
  <si>
    <t>FINANZAS PERSONALES</t>
  </si>
  <si>
    <t>Mantener caja, gastos, deuda e inversiones visibles.</t>
  </si>
  <si>
    <t>Registrar ingresos, gastos, pagos, movimientos bancarios, inversiones, saldo disponible y obligaciones pendientes.</t>
  </si>
  <si>
    <t>11_Ingresos; 12_Gastos; 13_Deudas; 18_Conciliacion_Bancaria_V3; 25_Control_Junio / 02_Control_Junio</t>
  </si>
  <si>
    <t>Capítulo 7 — Sistema Finanzas</t>
  </si>
  <si>
    <t>✓ Finanzas sincronizadas. ✓ Caja actualizada.</t>
  </si>
  <si>
    <t>Registrar sin movimiento si no hubo gasto.</t>
  </si>
  <si>
    <t>Si caja baja, activar alerta de gasto.</t>
  </si>
  <si>
    <t>SAL-ACTIVIDAD</t>
  </si>
  <si>
    <t>ACTIVIDAD FÍSICA · PRESIÓN · ENERGÍA</t>
  </si>
  <si>
    <t>Proteger capital biológico y reiniciar seguimiento de salud.</t>
  </si>
  <si>
    <t>Caminar o movilidad; respiración; tomar presión si corresponde; registrar energía, pulso, actividad y observaciones.</t>
  </si>
  <si>
    <t>✓ Actividad registrada. ✓ Energía medida.</t>
  </si>
  <si>
    <t>Registrar efecto físico y mental.</t>
  </si>
  <si>
    <t>Si hay presión alta, bajar intensidad.</t>
  </si>
  <si>
    <t>ANCLA</t>
  </si>
  <si>
    <t>ANCLA MENTAL</t>
  </si>
  <si>
    <t>Corregir ejecución y preparar mentalmente el siguiente bloque o día.</t>
  </si>
  <si>
    <t>Abrir Ancla Mental; registrar avance, error, decisión estratégica, riesgo, aprendizaje, foco de mañana y prioridad única.</t>
  </si>
  <si>
    <t>Ancla Mental; 21_KPI_Diario; 90_Alertas_Correcciones</t>
  </si>
  <si>
    <t>Sistema Ancla Mental</t>
  </si>
  <si>
    <t>✓ Ancla actualizada. ✓ Dirección estratégica definida.</t>
  </si>
  <si>
    <t>Preguntas deben salir del KPI o alerta crítica.</t>
  </si>
  <si>
    <t>No hacer Ancla genérica si hay alertas.</t>
  </si>
  <si>
    <t>PREP-MANANA</t>
  </si>
  <si>
    <t>PREPARACIÓN DEL DÍA SIGUIENTE</t>
  </si>
  <si>
    <t>Dejar preparada la siguiente jornada sin improvisación.</t>
  </si>
  <si>
    <t>Revisar calendario laboral, calendario académico, evaluaciones, alertas, finanzas y documentos abiertos; definir lista obligatoria del día siguiente.</t>
  </si>
  <si>
    <t>66_T2_Calendario; 62_T2_Evaluaciones; 90_Alertas_Correcciones; 20_Registro_Diario</t>
  </si>
  <si>
    <t>Vida Real / Plan diario</t>
  </si>
  <si>
    <t>✓ Día siguiente preparado. ✓ Riesgos visibles.</t>
  </si>
  <si>
    <t>Registrar prioridad única del día siguiente.</t>
  </si>
  <si>
    <t>No cerrar sin preparar mañana.</t>
  </si>
  <si>
    <t>SER-PREP</t>
  </si>
  <si>
    <t>PREPARACIÓN PARA SERPAT</t>
  </si>
  <si>
    <t>Salir del domicilio completamente preparado.</t>
  </si>
  <si>
    <t>Vestir uniforme; preparar mochila, colación, agua, credencial, llaves, teléfono, cargador; verificar domicilio cerrado.</t>
  </si>
  <si>
    <t>✓ Todo preparado. ✓ Sin pendientes antes de salir.</t>
  </si>
  <si>
    <t>Verificar salida puntual.</t>
  </si>
  <si>
    <t>No improvisar antes del turno.</t>
  </si>
  <si>
    <t>SER-TRASLADO</t>
  </si>
  <si>
    <t>TRASLADO A SERPAT</t>
  </si>
  <si>
    <t>Llegar con anticipación para iniciar el turno sin improvisaciones.</t>
  </si>
  <si>
    <t>Salir; trasladarse; evitar distracciones; preparar mentalmente turno; llegar; ingresar; revisar novedades; preparar puesto.</t>
  </si>
  <si>
    <t>✓ Llegada anticipada. ✓ Novedades revisadas.</t>
  </si>
  <si>
    <t>Registrar mentalmente novedades para entrega.</t>
  </si>
  <si>
    <t>Prioridad seguridad y puntualidad.</t>
  </si>
  <si>
    <t>SER-PUESTO</t>
  </si>
  <si>
    <t>PREPARACIÓN OPERACIONAL DEL TURNO</t>
  </si>
  <si>
    <t>Comenzar el turno completamente preparado.</t>
  </si>
  <si>
    <t>Revisar servicio, protocolos, equipos, llaves, radio, libro de novedades y elementos de seguridad; recibir turno.</t>
  </si>
  <si>
    <t>Manual Operacional SERPAT</t>
  </si>
  <si>
    <t>✓ Puesto operativo. ✓ Inicio preparado.</t>
  </si>
  <si>
    <t>Aclarar dudas antes del inicio oficial.</t>
  </si>
  <si>
    <t>No entrar desordenado al servicio.</t>
  </si>
  <si>
    <t>SER-TURNO-NOCHE</t>
  </si>
  <si>
    <t>SERPAT — TURNO NOCTURNO</t>
  </si>
  <si>
    <t>Ejecutar turno nocturno con profesionalismo y energía administrada.</t>
  </si>
  <si>
    <t>Cumplir responsabilidades; mantener atención; hidratarse; consumir colación; registrar mentalmente novedades; conducta profesional.</t>
  </si>
  <si>
    <t>Sistema Laboral SERPAT</t>
  </si>
  <si>
    <t>✓ Turno ejecutado correctamente. ✓ Continuidad operacional.</t>
  </si>
  <si>
    <t>Novedades para entrega del día siguiente.</t>
  </si>
  <si>
    <t>Sin incidentes atribuibles a gestión personal.</t>
  </si>
  <si>
    <t>SER-ENTREGA-SIG</t>
  </si>
  <si>
    <t>ENTREGA DEL TURNO — DÍA SIGUIENTE</t>
  </si>
  <si>
    <t>Cerrar correctamente la jornada laboral asegurando continuidad del servicio.</t>
  </si>
  <si>
    <t>Informar novedades; entregar puesto; responder consultas; verificar observaciones; despedirse formalmente; salir del recinto.</t>
  </si>
  <si>
    <t>Registrar si hubo novedad relevante.</t>
  </si>
  <si>
    <t>No dejar observaciones pendientes.</t>
  </si>
  <si>
    <t>REC-SIG</t>
  </si>
  <si>
    <t>TRASLADO · LLEGADA AL DOMICILIO — DÍA SIGUIENTE</t>
  </si>
  <si>
    <t>Comenzar recuperación posterior al turno.</t>
  </si>
  <si>
    <t>Trasladarse al domicilio; guardar mochila; separar uniforme; hidratarse; aseo personal; preparar dormitorio.</t>
  </si>
  <si>
    <t>No abrir tareas estratégicas si hay fatiga.</t>
  </si>
  <si>
    <t>Priorizar sueño.</t>
  </si>
  <si>
    <t>CIE-POST</t>
  </si>
  <si>
    <t>CIERRE OPERACIONAL POST-TURNO</t>
  </si>
  <si>
    <t>Cerrar el día con evidencia si la energía lo permite.</t>
  </si>
  <si>
    <t>Actualizar Registro Diario y KPI; registrar cumplimiento, pendientes, aprendizaje, error, decisión siguiente; abrir Ancla Mental.</t>
  </si>
  <si>
    <t>20_Registro_Diario; 21_KPI_Diario; Ancla Mental</t>
  </si>
  <si>
    <t>Vida Real / Ancla</t>
  </si>
  <si>
    <t>✓ Día cerrado o postergado con criterio.</t>
  </si>
  <si>
    <t>Si fatiga alta, postergar al primer bloque operativo.</t>
  </si>
  <si>
    <t>No registrar apurado.</t>
  </si>
  <si>
    <t>CIERRE DE MES / PREPARACIÓN CIERRE</t>
  </si>
  <si>
    <t>Preparar o ejecutar cierre mensual según fecha.</t>
  </si>
  <si>
    <t>Revisar ingresos, gastos, deudas, inversión, conciliación, KPI, alertas, universidad, salud y empresas; registrar conclusiones y pendientes.</t>
  </si>
  <si>
    <t>24_KPI_Mensual_V4; 25_Control_Junio / 02_Control_Junio; 90_Alertas_Correcciones; 11_Ingresos; 12_Gastos; 13_Deudas</t>
  </si>
  <si>
    <t>✓ Cierre mensual preparado o ejecutado.</t>
  </si>
  <si>
    <t>Fin de mes si corresponde.</t>
  </si>
  <si>
    <t>Registrar conclusiones y acción correctiva.</t>
  </si>
  <si>
    <t>No cerrar mes sin revisar finanzas.</t>
  </si>
  <si>
    <t>CIE-DIA</t>
  </si>
  <si>
    <t>CIERRE OPERACIONAL DEL DÍA</t>
  </si>
  <si>
    <t>Cerrar la jornada con evidencia completa.</t>
  </si>
  <si>
    <t>Actualizar Registro Diario y KPI Diario; registrar cumplimiento, porcentaje de ejecución, terminados, pendientes, aprendizaje, corrección y prioridad siguiente.</t>
  </si>
  <si>
    <t>✓ Día cerrado. ✓ Sistema preparado.</t>
  </si>
  <si>
    <t>Cerrar solo cuando la jornada real terminó.</t>
  </si>
  <si>
    <t>No cerrar antes de SERPAT si hay turno.</t>
  </si>
  <si>
    <t>OBJETIVOS, METAS Y CAPITAL REAL — MAYO 2026</t>
  </si>
  <si>
    <t>Objetivo maestro</t>
  </si>
  <si>
    <t>Instalar el Sistema Robinson: control financiero, universidad manejable, CRM operativo, inteligencia de mercado y capital real.</t>
  </si>
  <si>
    <t>Meta concreta</t>
  </si>
  <si>
    <t>Cifra / estándar</t>
  </si>
  <si>
    <t>Fuente / hoja</t>
  </si>
  <si>
    <t>Resultado actual</t>
  </si>
  <si>
    <t>% cumplimiento</t>
  </si>
  <si>
    <t>Estado</t>
  </si>
  <si>
    <t>Comentario</t>
  </si>
  <si>
    <t>Caja mínima</t>
  </si>
  <si>
    <t>Mantener caja mínima operativa</t>
  </si>
  <si>
    <t>10_Apertura / 14_Inversiones</t>
  </si>
  <si>
    <t>Caja real + caja/inversiones líquidas registradas.</t>
  </si>
  <si>
    <t>Inversión mínima</t>
  </si>
  <si>
    <t>Mantener inversión mínima activa</t>
  </si>
  <si>
    <t>14_Inversiones</t>
  </si>
  <si>
    <t>Meta inicial; puede subir en junio.</t>
  </si>
  <si>
    <t>Registro financiero</t>
  </si>
  <si>
    <t>Registrar ingresos y gastos</t>
  </si>
  <si>
    <t>11_Ingresos / 12_Gastos</t>
  </si>
  <si>
    <t>Debe ser 100% real.</t>
  </si>
  <si>
    <t>Hacer conciliación semanal</t>
  </si>
  <si>
    <t>15_Conciliacion</t>
  </si>
  <si>
    <t>Manual</t>
  </si>
  <si>
    <t>Registrar cada semana al cierre.</t>
  </si>
  <si>
    <t>Empresas analizadas</t>
  </si>
  <si>
    <t>Analizar 25 a 40 empresas/contactos</t>
  </si>
  <si>
    <t>40_Estudio_Empresas</t>
  </si>
  <si>
    <t>No volumen vacío: calidad.</t>
  </si>
  <si>
    <t>CRM operativo</t>
  </si>
  <si>
    <t>CRM con contactos clasificados</t>
  </si>
  <si>
    <t>Solo empresas/personas ya evaluadas.</t>
  </si>
  <si>
    <t>Mantener bloques de estudio reales</t>
  </si>
  <si>
    <t>51_Bloques_Estudio</t>
  </si>
  <si>
    <t>Cálculo y Química primero.</t>
  </si>
  <si>
    <t>Continuidad</t>
  </si>
  <si>
    <t>Registrar 20 días o más</t>
  </si>
  <si>
    <t>20_Registro_CEO_V4</t>
  </si>
  <si>
    <t>Una fila por día.</t>
  </si>
  <si>
    <t>94 AUDITORÍA OPERATIVA C31 — HOJAS VISIBLES / OCULTAS</t>
  </si>
  <si>
    <t>Objetivo: dejar encendidas sólo las hojas operativas que se usan en el sistema actual. Las hojas antiguas, históricas, backups, referencias y versiones anteriores quedan ocultas al final.</t>
  </si>
  <si>
    <t>Total hojas</t>
  </si>
  <si>
    <t>Hojas visibles operativas</t>
  </si>
  <si>
    <t>Hojas ocultas / referencia / legacy</t>
  </si>
  <si>
    <t>Criterio</t>
  </si>
  <si>
    <t>Visible = uso operativo actual. Oculta = histórico, backup, versión anterior, auditoría vieja, plantilla o referencia.</t>
  </si>
  <si>
    <t>HOJAS VISIBLES</t>
  </si>
  <si>
    <t>Motivo</t>
  </si>
  <si>
    <t>Acción</t>
  </si>
  <si>
    <t>94_Auditoria_Operativa_C31</t>
  </si>
  <si>
    <t>Control / Auditoría</t>
  </si>
  <si>
    <t>Visible</t>
  </si>
  <si>
    <t>Uso operativo actual</t>
  </si>
  <si>
    <t>Mantener encendida</t>
  </si>
  <si>
    <t>00_MAPA_OPERATIVO_FINAL</t>
  </si>
  <si>
    <t>00_INDICE_OPERATIVO</t>
  </si>
  <si>
    <t>SEC_01_CEO_CONTROL</t>
  </si>
  <si>
    <t>Separador operativo</t>
  </si>
  <si>
    <t>04_Score_Ejecutivo_Consolidado</t>
  </si>
  <si>
    <t>SEC_02_FINANZAS</t>
  </si>
  <si>
    <t>09_Posicion_Actual</t>
  </si>
  <si>
    <t>10_Patrimonio_Financiero</t>
  </si>
  <si>
    <t>SEC_03_VIDA_REAL_SALUD</t>
  </si>
  <si>
    <t>Vida Real / KPI</t>
  </si>
  <si>
    <t>22_KPI_Semanal_V4</t>
  </si>
  <si>
    <t>23_Domingo_CEO</t>
  </si>
  <si>
    <t>24_KPI_Mensual_V4</t>
  </si>
  <si>
    <t>44_Salud</t>
  </si>
  <si>
    <t>H99_Mapa_Health</t>
  </si>
  <si>
    <t>Salud / Health</t>
  </si>
  <si>
    <t>H00_Dashboard_Health</t>
  </si>
  <si>
    <t>H01_Historial_2018_2042</t>
  </si>
  <si>
    <t>H02_Presion_7_Dias</t>
  </si>
  <si>
    <t>H03_Presion_Log</t>
  </si>
  <si>
    <t>H04_Examenes</t>
  </si>
  <si>
    <t>H05_Especialistas</t>
  </si>
  <si>
    <t>H06_Medicamentos</t>
  </si>
  <si>
    <t>H07_Documentos</t>
  </si>
  <si>
    <t>H08_Checkup_Anual</t>
  </si>
  <si>
    <t>H09_Seguros_Beneficios</t>
  </si>
  <si>
    <t>H10_Historial_Dental</t>
  </si>
  <si>
    <t>H11_Historial_Familiar</t>
  </si>
  <si>
    <t>SEC_03_UNIVERSIDAD_T2</t>
  </si>
  <si>
    <t>50_Universidad_Master</t>
  </si>
  <si>
    <t>52_Calendario_Academico</t>
  </si>
  <si>
    <t>53_Errores_Aprendizaje</t>
  </si>
  <si>
    <t>54_Ramos_Activos</t>
  </si>
  <si>
    <t>55_Evaluaciones</t>
  </si>
  <si>
    <t>56_Notas</t>
  </si>
  <si>
    <t>56_Repaso_Inteligente</t>
  </si>
  <si>
    <t>57_Matriz_Prioridad</t>
  </si>
  <si>
    <t>58_Dashboard_Academico</t>
  </si>
  <si>
    <t>59_Control_Trimestral</t>
  </si>
  <si>
    <t>61_T2_Ramos</t>
  </si>
  <si>
    <t>65_T2_Dashboard</t>
  </si>
  <si>
    <t>T2_CONTENIDOS_SEM1_SEM4</t>
  </si>
  <si>
    <t>SEC_04_MGC_MARKET_INTEL</t>
  </si>
  <si>
    <t>MGC / Empresas</t>
  </si>
  <si>
    <t>31_Red_Holding</t>
  </si>
  <si>
    <t>32_Oportunidades</t>
  </si>
  <si>
    <t>41_Clasificacion_Empresas</t>
  </si>
  <si>
    <t>42_Mapa_Mercado</t>
  </si>
  <si>
    <t>43_Guia_Oportun</t>
  </si>
  <si>
    <t>SEC_05_LATITUD_NORTE_RE</t>
  </si>
  <si>
    <t>72_Competencia</t>
  </si>
  <si>
    <t>73_Campañas</t>
  </si>
  <si>
    <t>74_Analisis_Web</t>
  </si>
  <si>
    <t>75_Redes_Sociales</t>
  </si>
  <si>
    <t>SEC_06_CAPTAPROPIA</t>
  </si>
  <si>
    <t>78_Stack_Tecnologico</t>
  </si>
  <si>
    <t>79_CaptaPropIA_Fase_C3</t>
  </si>
  <si>
    <t>80_CaptaPropIA_Fase_C4</t>
  </si>
  <si>
    <t>81_CaptaPropIA_Fase_C5</t>
  </si>
  <si>
    <t>SEC_07_LNH_CORPORATE</t>
  </si>
  <si>
    <t>HOJAS OCULTAS</t>
  </si>
  <si>
    <t>C3_ARQUITECTURA_FINAL</t>
  </si>
  <si>
    <t>Otro</t>
  </si>
  <si>
    <t>Oculta</t>
  </si>
  <si>
    <t>Histórico / backup / versión anterior / referencia</t>
  </si>
  <si>
    <t>Apagada al final</t>
  </si>
  <si>
    <t>C2_CONSOLIDACION</t>
  </si>
  <si>
    <t>C1_CONSOLIDACION</t>
  </si>
  <si>
    <t>18_Conciliacion_Bancaria_V2</t>
  </si>
  <si>
    <t>CLASIFICACION_MANUAL</t>
  </si>
  <si>
    <t>00_Dashboard_V4</t>
  </si>
  <si>
    <t>FASE_03_LIMPIEZA</t>
  </si>
  <si>
    <t>00_Indice_V6</t>
  </si>
  <si>
    <t>01_Score_Mayo</t>
  </si>
  <si>
    <t>03_Objetivos_Metas_V4</t>
  </si>
  <si>
    <t>19_Mapa_Sistema</t>
  </si>
  <si>
    <t>98_KPI_Framework_V6_2</t>
  </si>
  <si>
    <t>39_Flujo_Empresas_V6_4</t>
  </si>
  <si>
    <t>41_Dossier_Template</t>
  </si>
  <si>
    <t>06_Patrimonio_Neto</t>
  </si>
  <si>
    <t>07_Evolucion_Patrimonial</t>
  </si>
  <si>
    <t>08_Rentabilidad_Inversiones</t>
  </si>
  <si>
    <t>10_Apertura</t>
  </si>
  <si>
    <t>11_Evolucion_Patrimonial</t>
  </si>
  <si>
    <t>12_Rentabilidad_Mensual</t>
  </si>
  <si>
    <t>14_Inversiones_BACKUP_V6_8</t>
  </si>
  <si>
    <t>16_Balance_8Col_V4</t>
  </si>
  <si>
    <t>97_Conciliacion_Framework_V6_3</t>
  </si>
  <si>
    <t>02_Control_Junio</t>
  </si>
  <si>
    <t>05_Estructura_Mensual_2026</t>
  </si>
  <si>
    <t>09_GUIA_FINANZAS_V7_1</t>
  </si>
  <si>
    <t>17_Cierre_Mayo</t>
  </si>
  <si>
    <t>18_Control_Pagos</t>
  </si>
  <si>
    <t>25_Control_Junio</t>
  </si>
  <si>
    <t>26_Control_Julio</t>
  </si>
  <si>
    <t>27_Control_Agosto</t>
  </si>
  <si>
    <t>99_Listas</t>
  </si>
  <si>
    <t>49_Guia_U3_Universidad</t>
  </si>
  <si>
    <t>50_Universidad_PLAN</t>
  </si>
  <si>
    <t>54_Dashboard_Universidad</t>
  </si>
  <si>
    <t>58_Dashboard_CEO_UNIV_PRO</t>
  </si>
  <si>
    <t>60_1_Bloques_T1</t>
  </si>
  <si>
    <t>60_2_Errores_T1</t>
  </si>
  <si>
    <t>60_3_Evaluaciones_T1</t>
  </si>
  <si>
    <t>60_4_DashUniv_T1</t>
  </si>
  <si>
    <t>60_5_Prioridades_T1</t>
  </si>
  <si>
    <t>60_6_DashCEOUniv_T1</t>
  </si>
  <si>
    <t>60_T1_Historico</t>
  </si>
  <si>
    <t>UNIVERSIDAD_MASTER_T2_2026</t>
  </si>
  <si>
    <t>99_HISTORICO</t>
  </si>
  <si>
    <t>92_Auditoria_Final_Excel</t>
  </si>
  <si>
    <t>77_Auditoria_LNR_Mercado</t>
  </si>
  <si>
    <t>AUDITORIA_TOTAL_EXCEL_V7_1</t>
  </si>
  <si>
    <t>AUDITORIA_V6_6_MASTER</t>
  </si>
  <si>
    <t>94_AUDITORIA_INTEGRAL_2026</t>
  </si>
  <si>
    <t>95_AUDITORIA_HOJAS_UNIV_T2</t>
  </si>
  <si>
    <t>96_AUDITORIA_INTEGRAL_CONTINUAC</t>
  </si>
  <si>
    <t>97_AUDITORIA_MODULOS_PM0</t>
  </si>
  <si>
    <t>98_AUDITORIA_FINAL_2026</t>
  </si>
  <si>
    <t>99_HISTORICO_DEPURADO</t>
  </si>
  <si>
    <t>44_Historial_Medico_2018_2042</t>
  </si>
  <si>
    <t>45_Control_Presion_Arterial</t>
  </si>
  <si>
    <t>46_Examenes_Medicos</t>
  </si>
  <si>
    <t>47_Especialistas_y_Controles</t>
  </si>
  <si>
    <t>48_Medicamentos_y_Recetas</t>
  </si>
  <si>
    <t>49_Checkup_Anual</t>
  </si>
  <si>
    <t>50_KPI_Longevidad</t>
  </si>
  <si>
    <t>51_Seguros_y_Beneficios</t>
  </si>
  <si>
    <t>52_Dashboard_Health</t>
  </si>
  <si>
    <t>53_Historial_Dental</t>
  </si>
  <si>
    <t>54_Historial_Familiar</t>
  </si>
  <si>
    <t>C31_RECONSTRUCCION_MAESTRAS</t>
  </si>
  <si>
    <t>H12_KPI_Longevidad</t>
  </si>
  <si>
    <t>93_Auditoria_Conciliacion</t>
  </si>
  <si>
    <t>SECCIÓN</t>
  </si>
  <si>
    <t>01_CEO_CONTROL</t>
  </si>
  <si>
    <t>MAESTRA / OPERATIVA</t>
  </si>
  <si>
    <t>visible</t>
  </si>
  <si>
    <t>Control ejecutivo central</t>
  </si>
  <si>
    <t>Debe permanecer visible dentro del sistema operativo 2026</t>
  </si>
  <si>
    <t>Columna1</t>
  </si>
  <si>
    <t>Columna2</t>
  </si>
  <si>
    <t>Columna3</t>
  </si>
  <si>
    <t>02_FINANZAS</t>
  </si>
  <si>
    <t>Caja, patrimonio, inversiones, deudas y conciliación</t>
  </si>
  <si>
    <t>03_VIDA_REAL_SALUD</t>
  </si>
  <si>
    <t>Calidad de vida, energía, cumplimiento, hábitos y Divina Obsesión</t>
  </si>
  <si>
    <t>04_UNIVERSIDAD_T2</t>
  </si>
  <si>
    <t>Control académico T2</t>
  </si>
  <si>
    <t>05_MGC_MARKET_INTEL</t>
  </si>
  <si>
    <t>Miner Global Connect y market intelligence</t>
  </si>
  <si>
    <t>06_LATITUD_NORTE_RE</t>
  </si>
  <si>
    <t>Real Estate Intelligence</t>
  </si>
  <si>
    <t>07_CAPTAPROPIA</t>
  </si>
  <si>
    <t>Producto, automatización, testing y KPIs</t>
  </si>
  <si>
    <t>08_LNH_CORPORATE</t>
  </si>
  <si>
    <t>Holding corporativo y visión sistémica</t>
  </si>
  <si>
    <t>SEPARADOR</t>
  </si>
  <si>
    <t>Orden visual por módulos</t>
  </si>
  <si>
    <t>Separador visible</t>
  </si>
  <si>
    <t>HOJAS OCULTAS / HISTÓRICAS</t>
  </si>
  <si>
    <t>HISTÓRICO / OCULTO</t>
  </si>
  <si>
    <t>OCULTA</t>
  </si>
  <si>
    <t>hidden</t>
  </si>
  <si>
    <t>Respaldo / duplicado / versión anterior</t>
  </si>
  <si>
    <t>No se elimina información</t>
  </si>
  <si>
    <t>96_AUDITORIA_INTEGRAL_CONTINUACION</t>
  </si>
  <si>
    <t>FASE O1 - INDICE OPERATIVO</t>
  </si>
  <si>
    <t>CEO &amp; CONTROL</t>
  </si>
  <si>
    <t>FINANZAS</t>
  </si>
  <si>
    <t>UNIVERSIDAD</t>
  </si>
  <si>
    <t>EMPRESAS</t>
  </si>
  <si>
    <t>MARKET INTELLIGENCE</t>
  </si>
  <si>
    <t>NUEVAS FASES OPERATIVAS CAPTAPROPIA / LNH</t>
  </si>
  <si>
    <t>Hoja funcional creada: tabla, formulas, validaciones, dashboard y filtros.</t>
  </si>
  <si>
    <t>ÍNDICE OPERATIVO V6 — SISTEMA ROBINSON CONSOLIDADO</t>
  </si>
  <si>
    <t>Hoja principal</t>
  </si>
  <si>
    <t>Función</t>
  </si>
  <si>
    <t>Estado V6</t>
  </si>
  <si>
    <t>Uso</t>
  </si>
  <si>
    <t>Nota</t>
  </si>
  <si>
    <t>Dashboard</t>
  </si>
  <si>
    <t>Panel ejecutivo consolidado</t>
  </si>
  <si>
    <t>Núcleo</t>
  </si>
  <si>
    <t>Abrir primero</t>
  </si>
  <si>
    <t>Reemplaza dashboards antiguos eliminados</t>
  </si>
  <si>
    <t>Objetivos</t>
  </si>
  <si>
    <t>Metas mensuales y capital real</t>
  </si>
  <si>
    <t>Revisión semanal</t>
  </si>
  <si>
    <t>Conectado a hojas clave</t>
  </si>
  <si>
    <t>1 fila = 1 día</t>
  </si>
  <si>
    <t>Uso diario</t>
  </si>
  <si>
    <t>Fuente principal de KPI</t>
  </si>
  <si>
    <t>KPI semanal</t>
  </si>
  <si>
    <t>Promedio semanal correcto</t>
  </si>
  <si>
    <t>Domingo CEO</t>
  </si>
  <si>
    <t>Separado nota/%/días</t>
  </si>
  <si>
    <t>KPI mensual</t>
  </si>
  <si>
    <t>Score ejecutivo mayo</t>
  </si>
  <si>
    <t>Score limitado a 100%</t>
  </si>
  <si>
    <t>Balance</t>
  </si>
  <si>
    <t>Balance 8 columnas</t>
  </si>
  <si>
    <t>Reemplaza balance antiguo eliminado</t>
  </si>
  <si>
    <t>Deudas</t>
  </si>
  <si>
    <t>Control deuda real</t>
  </si>
  <si>
    <t>Actualizar pagos/cargos</t>
  </si>
  <si>
    <t>Reconstruida V6</t>
  </si>
  <si>
    <t>Banco real vs Excel</t>
  </si>
  <si>
    <t>Cierre semanal</t>
  </si>
  <si>
    <t>Agregar saldos reales</t>
  </si>
  <si>
    <t>Investigación profunda</t>
  </si>
  <si>
    <t>Mercado</t>
  </si>
  <si>
    <t>Antes de CRM</t>
  </si>
  <si>
    <t>Alimenta oportunidades</t>
  </si>
  <si>
    <t>Oportunidades</t>
  </si>
  <si>
    <t>Pipeline desde empresas A/B</t>
  </si>
  <si>
    <t>Seguimiento</t>
  </si>
  <si>
    <t>Conectada a estudio</t>
  </si>
  <si>
    <t>51/53/55/54/58</t>
  </si>
  <si>
    <t>Bloques, errores, evaluaciones</t>
  </si>
  <si>
    <t>Diario/semanal</t>
  </si>
  <si>
    <t>Mantener separado del Ancla</t>
  </si>
  <si>
    <t>FASE 3</t>
  </si>
  <si>
    <t>Conciliación bancaria V6.3</t>
  </si>
  <si>
    <t>Saldo teórico vs banco real</t>
  </si>
  <si>
    <t>Usar manualmente saldo banco real</t>
  </si>
  <si>
    <t>Marco de conciliación</t>
  </si>
  <si>
    <t>Reglas y flujo</t>
  </si>
  <si>
    <t>Consulta</t>
  </si>
  <si>
    <t>Cierre actualizado</t>
  </si>
  <si>
    <t>Toma diferencia desde conciliación</t>
  </si>
  <si>
    <t>Automático</t>
  </si>
  <si>
    <t>FASE 4</t>
  </si>
  <si>
    <t>Mapa de flujo empresas</t>
  </si>
  <si>
    <t>Estudio→Clasificación→Oportunidad→Seguimiento→CRM→Cierre</t>
  </si>
  <si>
    <t>Origen del flujo</t>
  </si>
  <si>
    <t>Completar clasificación</t>
  </si>
  <si>
    <t>Clasificación A/B/C/X</t>
  </si>
  <si>
    <t>Puente ejecutivo</t>
  </si>
  <si>
    <t>Pipeline oportunidades</t>
  </si>
  <si>
    <t>A/B desde clasificación</t>
  </si>
  <si>
    <t>Acciones comerciales</t>
  </si>
  <si>
    <t>Desde oportunidades</t>
  </si>
  <si>
    <t>CRM conectado</t>
  </si>
  <si>
    <t>Desde clasificación y seguimiento</t>
  </si>
  <si>
    <t>FASE 5</t>
  </si>
  <si>
    <t>Mapa mensual 2026</t>
  </si>
  <si>
    <t>Apertura→Registro→Cierre</t>
  </si>
  <si>
    <t>Score anual consolidado</t>
  </si>
  <si>
    <t>Resumen mensual ejecutivo</t>
  </si>
  <si>
    <t>Conciliación mensual flexible</t>
  </si>
  <si>
    <t>Seleccionar mes + saldo real manual</t>
  </si>
  <si>
    <t>Manual + fórmula</t>
  </si>
  <si>
    <t>Control mensual junio</t>
  </si>
  <si>
    <t>Apertura y seguimiento junio</t>
  </si>
  <si>
    <t>Control mensual julio</t>
  </si>
  <si>
    <t>Apertura y seguimiento julio</t>
  </si>
  <si>
    <t>No iniciado</t>
  </si>
  <si>
    <t>Control mensual agosto</t>
  </si>
  <si>
    <t>Apertura y seguimiento agosto</t>
  </si>
  <si>
    <t>40→41→32→33→30</t>
  </si>
  <si>
    <t>Flujo empresarial</t>
  </si>
  <si>
    <t>Conserva historial anual</t>
  </si>
  <si>
    <t>50→58</t>
  </si>
  <si>
    <t>Universidad T1/T2/T3</t>
  </si>
  <si>
    <t>Mantener en mismo archivo maestro</t>
  </si>
  <si>
    <t>FASE U1</t>
  </si>
  <si>
    <t>Histórico T1 congelado</t>
  </si>
  <si>
    <t>No modificar histórico</t>
  </si>
  <si>
    <t>60_1 a 60_6</t>
  </si>
  <si>
    <t>Copias V5 Universidad T1</t>
  </si>
  <si>
    <t>Auditoría</t>
  </si>
  <si>
    <t>Bloques/evaluaciones/errores/dashboards</t>
  </si>
  <si>
    <t>FASE U2</t>
  </si>
  <si>
    <t>Ramos T2 activos</t>
  </si>
  <si>
    <t>Completar con Canvas</t>
  </si>
  <si>
    <t>Pendiente datos reales</t>
  </si>
  <si>
    <t>Evaluaciones T2</t>
  </si>
  <si>
    <t>Actualizar semanal</t>
  </si>
  <si>
    <t>Base dashboard</t>
  </si>
  <si>
    <t>Bloques T2</t>
  </si>
  <si>
    <t>Registro real</t>
  </si>
  <si>
    <t>Errores T2</t>
  </si>
  <si>
    <t>Uso correctivo</t>
  </si>
  <si>
    <t>Banco de aprendizaje</t>
  </si>
  <si>
    <t>Dashboard T2</t>
  </si>
  <si>
    <t>Calendario T2</t>
  </si>
  <si>
    <t>Planificación</t>
  </si>
  <si>
    <t>FASE E1</t>
  </si>
  <si>
    <t>70-76</t>
  </si>
  <si>
    <t>Market Intelligence + CaptaPropIA</t>
  </si>
  <si>
    <t>Investigación</t>
  </si>
  <si>
    <t>MGC/LNR/LNH/CaptaPropIA</t>
  </si>
  <si>
    <t>FASE F1</t>
  </si>
  <si>
    <t>06-08</t>
  </si>
  <si>
    <t>Patrimonio + rentabilidad</t>
  </si>
  <si>
    <t>Capital real</t>
  </si>
  <si>
    <t>FASE U3</t>
  </si>
  <si>
    <t>UNIVERSIDAD MASTER 4 AÑOS</t>
  </si>
  <si>
    <t>Transforma universidad en sistema permanente</t>
  </si>
  <si>
    <t>Usar desde T2</t>
  </si>
  <si>
    <t>V6.7</t>
  </si>
  <si>
    <t>U3</t>
  </si>
  <si>
    <t>Control carrera completa</t>
  </si>
  <si>
    <t>Mensual</t>
  </si>
  <si>
    <t>Año/trimestre/créditos/promedio/avance</t>
  </si>
  <si>
    <t>Calendario 4 años</t>
  </si>
  <si>
    <t>Semanal</t>
  </si>
  <si>
    <t>Cargar fechas oficiales</t>
  </si>
  <si>
    <t>RAMO 1-4 genérico</t>
  </si>
  <si>
    <t>Diario</t>
  </si>
  <si>
    <t>Asignar ramos reales del T2</t>
  </si>
  <si>
    <t>Evaluaciones escalables</t>
  </si>
  <si>
    <t>4 ramos x 12 trimestres</t>
  </si>
  <si>
    <t>Notas y créditos</t>
  </si>
  <si>
    <t>Después de evaluar</t>
  </si>
  <si>
    <t>Promedio acumulado</t>
  </si>
  <si>
    <t>Prioridad automática</t>
  </si>
  <si>
    <t>Por fecha, peso y riesgo</t>
  </si>
  <si>
    <t>Dashboard académico</t>
  </si>
  <si>
    <t>Indicadores clave</t>
  </si>
  <si>
    <t>Control trimestre</t>
  </si>
  <si>
    <t>Cierre trimestre</t>
  </si>
  <si>
    <t>T1/T2/T3</t>
  </si>
  <si>
    <t>FASE U3.1</t>
  </si>
  <si>
    <t>Automatización Universidad + Rentabilidad</t>
  </si>
  <si>
    <t>Conexiones automáticas entre 50/54/55/56/57/58/59 y 08/14</t>
  </si>
  <si>
    <t>V6.8</t>
  </si>
  <si>
    <t>FASE FIN V7</t>
  </si>
  <si>
    <t>Libro maestro de movimientos</t>
  </si>
  <si>
    <t>Registrar compras/aportes/retiros</t>
  </si>
  <si>
    <t>No calcula rentabilidad</t>
  </si>
  <si>
    <t>Posición actual mensual</t>
  </si>
  <si>
    <t>Actualizar desde Racional/Banco</t>
  </si>
  <si>
    <t>Precio ETF y valor inversión separados</t>
  </si>
  <si>
    <t>Dashboard rentabilidad</t>
  </si>
  <si>
    <t>Revisar acumulado</t>
  </si>
  <si>
    <t>Una fila por activo</t>
  </si>
  <si>
    <t>Patrimonio neto</t>
  </si>
  <si>
    <t>Activos - Pasivos</t>
  </si>
  <si>
    <t>Evolución mensual</t>
  </si>
  <si>
    <t>Mide crecimiento real</t>
  </si>
  <si>
    <t>Rentabilidad mensual</t>
  </si>
  <si>
    <t>Separada de acumulada</t>
  </si>
  <si>
    <t>Respaldo inversiones</t>
  </si>
  <si>
    <t>Histórico</t>
  </si>
  <si>
    <t>No editar</t>
  </si>
  <si>
    <t>Regla V7</t>
  </si>
  <si>
    <t>Movimiento ≠ Posición ≠ Rentabilidad ≠ Patrimonio</t>
  </si>
  <si>
    <t>AUDITORÍA</t>
  </si>
  <si>
    <t>Auditoría completa del libro</t>
  </si>
  <si>
    <t>Revisión general</t>
  </si>
  <si>
    <t>No borrar</t>
  </si>
  <si>
    <t>CONCLUSIÓN</t>
  </si>
  <si>
    <t>Excel V7.1</t>
  </si>
  <si>
    <t>Sistema de medición amplio y estructuralmente completo</t>
  </si>
  <si>
    <t>Pendiente principal: uso y datos reales</t>
  </si>
  <si>
    <t>05 ESTRUCTURA MENSUAL 2026 — EXCEL MAESTRO, NO ARCHIVOS MENSUALES</t>
  </si>
  <si>
    <t>Regla: un solo Excel maestro anual. Cada mes funciona como ciclo: Apertura → Registro → Cierre. El historial, patrimonio, CRM, universidad y red se conservan en el mismo archivo.</t>
  </si>
  <si>
    <t>Mes</t>
  </si>
  <si>
    <t>Apertura</t>
  </si>
  <si>
    <t>Empresas / Holding</t>
  </si>
  <si>
    <t>Divina Obsesión</t>
  </si>
  <si>
    <t>Próximo paso</t>
  </si>
  <si>
    <t>Mayo</t>
  </si>
  <si>
    <t>20_Registro_CEO_V4 / 20_Registro_Diario</t>
  </si>
  <si>
    <t>11_Ingresos / 12_Gastos / 13_Deudas / 14_Inversiones</t>
  </si>
  <si>
    <t>50-58 Universidad</t>
  </si>
  <si>
    <t>20 Registro + 21 KPI + 44 Salud</t>
  </si>
  <si>
    <t>15_Conciliacion / 18_Conciliacion_Bancaria_V2</t>
  </si>
  <si>
    <t>Cerrado / en revisión</t>
  </si>
  <si>
    <t>Completar cierre y traspaso a junio</t>
  </si>
  <si>
    <t>Junio</t>
  </si>
  <si>
    <t>Ingresos/Gastos por mes = junio</t>
  </si>
  <si>
    <t>LNH + MGC + LNR + CaptaPropIA</t>
  </si>
  <si>
    <t>Inicio T2</t>
  </si>
  <si>
    <t>Ancla + Salud + Energía</t>
  </si>
  <si>
    <t>Registrar apertura y metas junio</t>
  </si>
  <si>
    <t>Julio</t>
  </si>
  <si>
    <t>Ingresos/Gastos por mes = julio</t>
  </si>
  <si>
    <t>Holding + red + oportunidades</t>
  </si>
  <si>
    <t>T2 seguimiento</t>
  </si>
  <si>
    <t>Ancla + KPI personal</t>
  </si>
  <si>
    <t>Copiar saldos de cierre junio</t>
  </si>
  <si>
    <t>Agosto</t>
  </si>
  <si>
    <t>Ingresos/Gastos por mes = agosto</t>
  </si>
  <si>
    <t>T2/T3 según calendario</t>
  </si>
  <si>
    <t>Copiar saldos de cierre julio</t>
  </si>
  <si>
    <t>Septiembre</t>
  </si>
  <si>
    <t>Ciclo mensual</t>
  </si>
  <si>
    <t>Registro anual</t>
  </si>
  <si>
    <t>Ingresos/Gastos por mes</t>
  </si>
  <si>
    <t>Preparar cuando corresponda</t>
  </si>
  <si>
    <t>Octubre</t>
  </si>
  <si>
    <t>Noviembre</t>
  </si>
  <si>
    <t>Diciembre</t>
  </si>
  <si>
    <t>Cierre anual</t>
  </si>
  <si>
    <t>Cerrar año 2026</t>
  </si>
  <si>
    <t>CEO &amp; CONTROL CENTRAL</t>
  </si>
  <si>
    <t>Sección operativa visible. Las hojas históricas/duplicadas fueron enviadas al final y ocultadas.</t>
  </si>
  <si>
    <t>20 Registro Diario</t>
  </si>
  <si>
    <t>Lista Tipo Día</t>
  </si>
  <si>
    <t>Registro de ejecución diaria conectado a KPI y Dashboard.</t>
  </si>
  <si>
    <t>Día sin turno</t>
  </si>
  <si>
    <t>Compensado</t>
  </si>
  <si>
    <t>Día compensado</t>
  </si>
  <si>
    <t>Tipo Día</t>
  </si>
  <si>
    <t>Dinero</t>
  </si>
  <si>
    <t>Trabajo</t>
  </si>
  <si>
    <t>Red / MGC</t>
  </si>
  <si>
    <t>Acción clave</t>
  </si>
  <si>
    <t>Nota /10</t>
  </si>
  <si>
    <t>Gasto diario</t>
  </si>
  <si>
    <t>Semana</t>
  </si>
  <si>
    <t>Permiso Administrativo</t>
  </si>
  <si>
    <t>Permiso</t>
  </si>
  <si>
    <t>Apertura del mes de Mayo</t>
  </si>
  <si>
    <t>Se realizo la apertura y correciones al excel del mes de mayo</t>
  </si>
  <si>
    <t>Vacaciones</t>
  </si>
  <si>
    <t>Revision de consolidacion</t>
  </si>
  <si>
    <t>Se realizacion de ingreso de consolidacion y comparativa de lo qye tengo, versus lo que deberia tener</t>
  </si>
  <si>
    <t>08:00-17:00</t>
  </si>
  <si>
    <t>Registro de gastos</t>
  </si>
  <si>
    <t>Se ingresaron los gastos hechos en el dia</t>
  </si>
  <si>
    <t>12:00-21:00</t>
  </si>
  <si>
    <t>Registro de ingresos y gastos</t>
  </si>
  <si>
    <t>Se actualizo el ultimo ingreso y gastos</t>
  </si>
  <si>
    <t>21:00-08:00</t>
  </si>
  <si>
    <t>Ingreso de contacto CRM</t>
  </si>
  <si>
    <t>Se probo el sistema, inclyendo Ancla de registro pero hay eficiencias</t>
  </si>
  <si>
    <t>Revision de actividades</t>
  </si>
  <si>
    <t>Turno extra, solo ingresos y revision de actividades</t>
  </si>
  <si>
    <t>Trabajos y pruebas</t>
  </si>
  <si>
    <t>Revision de pruebas y trabajos para el fin de semana</t>
  </si>
  <si>
    <t>Turno de dia solo reviosn de actividades</t>
  </si>
  <si>
    <t>Entrega depruebas y trabajos</t>
  </si>
  <si>
    <t>Re estrucutracion de GPT</t>
  </si>
  <si>
    <t>Inicio de reestrcturacion de gpt</t>
  </si>
  <si>
    <t>Turno extra</t>
  </si>
  <si>
    <t>Turno extra, revision de actividades</t>
  </si>
  <si>
    <t>Pago de compromisos</t>
  </si>
  <si>
    <t>Pago de compromisos y revision de actividades, turno extra</t>
  </si>
  <si>
    <t>Pago de compromisos y revision de actividades, estudio</t>
  </si>
  <si>
    <t>Entrega de trabajos y pruebas</t>
  </si>
  <si>
    <t>Turno extra, avance u, avance gpt</t>
  </si>
  <si>
    <t>Entrega de pruebas y trabajos</t>
  </si>
  <si>
    <t>Entrega de pruebas y trabajos para la u</t>
  </si>
  <si>
    <t>si</t>
  </si>
  <si>
    <t>Avance GPT</t>
  </si>
  <si>
    <t xml:space="preserve">Correccion excel </t>
  </si>
  <si>
    <t>Correccion excel</t>
  </si>
  <si>
    <t>inicio trabajo en SERPAT</t>
  </si>
  <si>
    <t>Retomar universidad</t>
  </si>
  <si>
    <t>control de todo</t>
  </si>
  <si>
    <t>Estudio de Probabilidad y estadisticas</t>
  </si>
  <si>
    <t>Redaccion del manual de estudio completo</t>
  </si>
  <si>
    <t>Revision de excel, correccion del mismo</t>
  </si>
  <si>
    <t>Registro de estudios, toma de presion y nuevo formato</t>
  </si>
  <si>
    <t>Finiquito y comras</t>
  </si>
  <si>
    <t>Retiro y cobro de finiquito y compra</t>
  </si>
  <si>
    <t>Compras y preparacion dia padre</t>
  </si>
  <si>
    <t>Compras y preparacion dia del padre</t>
  </si>
  <si>
    <t>Pruebas</t>
  </si>
  <si>
    <t>Pruebas universidad</t>
  </si>
  <si>
    <t>Estudios</t>
  </si>
  <si>
    <t>Registros</t>
  </si>
  <si>
    <t>Estudios, trabajo, registro</t>
  </si>
  <si>
    <t>dia nomal</t>
  </si>
  <si>
    <t>Trabajo en actualizar vida diaria</t>
  </si>
  <si>
    <t>Probabilidad y estadistica</t>
  </si>
  <si>
    <t>Estudios en general</t>
  </si>
  <si>
    <t>Estudios, pagos de cuentas</t>
  </si>
  <si>
    <t>21 KPI DIARIO V7 — DINÁMICO DESDE REGISTRO DIARIO</t>
  </si>
  <si>
    <t>Mide conducta diaria desde 20_Registro_Diario. Las filas se calculan automáticamente según fecha y campos Sí/No.</t>
  </si>
  <si>
    <t>KPI Nota (1-10)</t>
  </si>
  <si>
    <t>KPI Cumplimiento</t>
  </si>
  <si>
    <t>Estado cumplimiento</t>
  </si>
  <si>
    <t>Acción dinero</t>
  </si>
  <si>
    <t>KPI Universidad</t>
  </si>
  <si>
    <t>KPI Sistema</t>
  </si>
  <si>
    <t>Estado día</t>
  </si>
  <si>
    <t>KPI Score</t>
  </si>
  <si>
    <t>22 KPI SEMANAL V7 — CICLO MENSUAL 2026 / DINÁMICO</t>
  </si>
  <si>
    <t>Uso: seleccionar mes activo. La hoja calcula semanas del mes usando 20_Registro_Diario, 11_Ingresos, 12_Gastos, 56_T2_ESTUDIO_Y_ERRORES y 40_Estudio_Empresas. Sirve para junio, julio, agosto y siguientes.</t>
  </si>
  <si>
    <t>Lista meses</t>
  </si>
  <si>
    <t>Mes activo</t>
  </si>
  <si>
    <t>junio</t>
  </si>
  <si>
    <t>enero</t>
  </si>
  <si>
    <t>Año activo</t>
  </si>
  <si>
    <t>febrero</t>
  </si>
  <si>
    <t>Fecha inicio mes</t>
  </si>
  <si>
    <t>marzo</t>
  </si>
  <si>
    <t>Fecha fin mes</t>
  </si>
  <si>
    <t>abril</t>
  </si>
  <si>
    <t>Días registrados mes</t>
  </si>
  <si>
    <t>mayo</t>
  </si>
  <si>
    <t>Inicio</t>
  </si>
  <si>
    <t>Fin</t>
  </si>
  <si>
    <t>Días calendario</t>
  </si>
  <si>
    <t>KPI Registro (días)</t>
  </si>
  <si>
    <t>KPI Nota</t>
  </si>
  <si>
    <t>Gastos</t>
  </si>
  <si>
    <t>Ingresos</t>
  </si>
  <si>
    <t>Bloques estudio</t>
  </si>
  <si>
    <t>Estado KPI</t>
  </si>
  <si>
    <t>Comentario CEO</t>
  </si>
  <si>
    <t>julio</t>
  </si>
  <si>
    <t>Semana 1</t>
  </si>
  <si>
    <t>agosto</t>
  </si>
  <si>
    <t>Semana 2</t>
  </si>
  <si>
    <t>septiembre</t>
  </si>
  <si>
    <t>Semana 3</t>
  </si>
  <si>
    <t>octubre</t>
  </si>
  <si>
    <t>noviembre</t>
  </si>
  <si>
    <t>Semana 5</t>
  </si>
  <si>
    <t>diciembre</t>
  </si>
  <si>
    <t>Resumen mensual</t>
  </si>
  <si>
    <t>Días registrados</t>
  </si>
  <si>
    <t>Desde 20_Registro_Diario</t>
  </si>
  <si>
    <t>Cumplimiento promedio</t>
  </si>
  <si>
    <t>Promedio KPI Cumplimiento</t>
  </si>
  <si>
    <t>Nota promedio</t>
  </si>
  <si>
    <t>Promedio Nota /10</t>
  </si>
  <si>
    <t>Score promedio</t>
  </si>
  <si>
    <t>Promedio Score</t>
  </si>
  <si>
    <t>Gastos mes</t>
  </si>
  <si>
    <t>Desde 12_Gastos</t>
  </si>
  <si>
    <t>Ingresos mes</t>
  </si>
  <si>
    <t>Desde 11_Ingresos</t>
  </si>
  <si>
    <t>24 KPI MENSUAL V7 — MES ACTIVO / SISTEMA ROBINSON</t>
  </si>
  <si>
    <t>KPI mensual dinámico conectado a Registro Diario, Finanzas, Universidad, Empresas y Salud. No queda amarrado a mayo.</t>
  </si>
  <si>
    <t>Fecha inicio</t>
  </si>
  <si>
    <t>Fecha fin</t>
  </si>
  <si>
    <t>Meta</t>
  </si>
  <si>
    <t>Resultado</t>
  </si>
  <si>
    <t>Cumplimiento %</t>
  </si>
  <si>
    <t>Peso</t>
  </si>
  <si>
    <t>Score</t>
  </si>
  <si>
    <t>KPI Registro</t>
  </si>
  <si>
    <t>KPI %</t>
  </si>
  <si>
    <t>Tipo KPI</t>
  </si>
  <si>
    <t>Comentario técnico</t>
  </si>
  <si>
    <t>Días registrados en 20_Registro_Diario</t>
  </si>
  <si>
    <t>Registro</t>
  </si>
  <si>
    <t>Continuidad real del mes</t>
  </si>
  <si>
    <t>Ingresos y gastos del mes activos</t>
  </si>
  <si>
    <t>Cumplimiento</t>
  </si>
  <si>
    <t>11/12/18</t>
  </si>
  <si>
    <t>Finanzas mide registro real</t>
  </si>
  <si>
    <t>Bloques reales de estudio T2</t>
  </si>
  <si>
    <t>56_T2_ESTUDIO_Y_ERRORES</t>
  </si>
  <si>
    <t>Universidad mide ejecución</t>
  </si>
  <si>
    <t>Mercado / Empresas</t>
  </si>
  <si>
    <t>Empresas/mercado estudiado</t>
  </si>
  <si>
    <t>40/70/71</t>
  </si>
  <si>
    <t>MGC, LNR y mercado</t>
  </si>
  <si>
    <t>Salud / Energía</t>
  </si>
  <si>
    <t>Control salud/energía</t>
  </si>
  <si>
    <t>H03/20</t>
  </si>
  <si>
    <t>Presión y hábitos</t>
  </si>
  <si>
    <t>Cierres semanales</t>
  </si>
  <si>
    <t>Pipeline real</t>
  </si>
  <si>
    <t>Oportunidades del mes</t>
  </si>
  <si>
    <t>SCORE FINAL MES</t>
  </si>
  <si>
    <t>23 Domingo CEO</t>
  </si>
  <si>
    <t>Hoja del sistema operativo Robinson 2026.</t>
  </si>
  <si>
    <t>Decisión Semana Siguiente</t>
  </si>
  <si>
    <t>Ingresos y Egresos</t>
  </si>
  <si>
    <t>Solo pruebas del domingo 10</t>
  </si>
  <si>
    <t>Contestar mesajes, email y whatsapp</t>
  </si>
  <si>
    <t>Nada</t>
  </si>
  <si>
    <t>Retomar con todo, como esta por pauta</t>
  </si>
  <si>
    <t>02 Control Junio</t>
  </si>
  <si>
    <t>Resultado Mayo</t>
  </si>
  <si>
    <t>Meta Junio</t>
  </si>
  <si>
    <t>Acción concreta</t>
  </si>
  <si>
    <t>Fecha límite</t>
  </si>
  <si>
    <t>🟡 En proceso</t>
  </si>
  <si>
    <t>Recuperar y armar colchon</t>
  </si>
  <si>
    <t>Tenia $40,000, recuperar eso y colocarl $60,000 mas</t>
  </si>
  <si>
    <t>Inversión</t>
  </si>
  <si>
    <t>Apoyarse con la rentabilidad</t>
  </si>
  <si>
    <t>Hoy tengo $250,000, esperar rentabilidad e inyectar dinero, pero tenemos cambio laboral, por lo tanto estamos mas lentos</t>
  </si>
  <si>
    <t>Deuda</t>
  </si>
  <si>
    <t>Repactar llegar acuerdo</t>
  </si>
  <si>
    <t>Al menos pagar un pie para iniciar repactacion, se nos junta la reparacion de la camioneta en le trabajo me lo exigen, y pomerme al dia con Gustabo</t>
  </si>
  <si>
    <t>Retomar estudios</t>
  </si>
  <si>
    <t>Media</t>
  </si>
  <si>
    <t>Tomar vuelito y comenzar ahora estudiar</t>
  </si>
  <si>
    <t>Red / Empresas / Holding</t>
  </si>
  <si>
    <t>Iniciar actividades según Vida Real</t>
  </si>
  <si>
    <t>Hacer actividades diarias y mover todo</t>
  </si>
  <si>
    <t>Registrar informacion</t>
  </si>
  <si>
    <t>Accion inmediata</t>
  </si>
  <si>
    <t>Cambio de empresa</t>
  </si>
  <si>
    <t>Proceso de adaptacion</t>
  </si>
  <si>
    <t>90 ALERTAS Y CORRECCIONES — SISTEMA DE MEJORA CONTINUA</t>
  </si>
  <si>
    <t>Panel central para detectar desviaciones entre meta, real, resultado y acción correctiva. No reemplaza hojas existentes; consolida señales para revisión diaria/semanal.</t>
  </si>
  <si>
    <t>Indicador</t>
  </si>
  <si>
    <t>Real</t>
  </si>
  <si>
    <t>Desviación</t>
  </si>
  <si>
    <t>Alerta</t>
  </si>
  <si>
    <t>Causa probable</t>
  </si>
  <si>
    <t>Acción correctiva</t>
  </si>
  <si>
    <t>Frecuencia</t>
  </si>
  <si>
    <t>Responsable</t>
  </si>
  <si>
    <t>CEO / Vida Real</t>
  </si>
  <si>
    <t>Cumplimiento diario</t>
  </si>
  <si>
    <t>Revisar si el día se está ejecutando según plan</t>
  </si>
  <si>
    <t>Falta de registro, energía baja, exceso de carga</t>
  </si>
  <si>
    <t>Reprogramar bloques pendientes y registrar causa</t>
  </si>
  <si>
    <t>Diaria</t>
  </si>
  <si>
    <t>Robinson</t>
  </si>
  <si>
    <t>Gasto mensual</t>
  </si>
  <si>
    <t>Gasto superior a meta</t>
  </si>
  <si>
    <t>Gasto hormiga, compras no planificadas</t>
  </si>
  <si>
    <t>Bloqueo gasto no esencial 7 días</t>
  </si>
  <si>
    <t>Semanal/Mensual</t>
  </si>
  <si>
    <t>Conciliación bancaria</t>
  </si>
  <si>
    <t>Diferencia bancaria detectada</t>
  </si>
  <si>
    <t>Registro incompleto o saldo real no actualizado</t>
  </si>
  <si>
    <t>Cruzar cartola bancaria vs Excel</t>
  </si>
  <si>
    <t>Inversiones</t>
  </si>
  <si>
    <t>Posición actualizada</t>
  </si>
  <si>
    <t>Actualizar Racional/APV/Banco Estado</t>
  </si>
  <si>
    <t>No se ingresó posición actual</t>
  </si>
  <si>
    <t>Actualizar acciones, precio ETF, valor inversión y TC</t>
  </si>
  <si>
    <t>Evaluaciones atrasadas</t>
  </si>
  <si>
    <t>Evaluación vencida o sin preparación</t>
  </si>
  <si>
    <t>Fecha no cargada o bloque insuficiente</t>
  </si>
  <si>
    <t>Reprogramar evaluación y abrir bloques en hoja 56</t>
  </si>
  <si>
    <t>Diaria/Semanal</t>
  </si>
  <si>
    <t>57_T2_EVALUACIONES_NOTAS</t>
  </si>
  <si>
    <t>Horas estudiadas</t>
  </si>
  <si>
    <t>Horas de estudio bajo meta</t>
  </si>
  <si>
    <t>Trabajo, cansancio, mala planificación</t>
  </si>
  <si>
    <t>Agendar bloques reales en 56_T2_ESTUDIO_Y_ERRORES</t>
  </si>
  <si>
    <t>Errores acumulados</t>
  </si>
  <si>
    <t>Errores de aprendizaje acumulados</t>
  </si>
  <si>
    <t>Materia no comprendida o falta de práctica</t>
  </si>
  <si>
    <t>Registrar error, causa raíz y corrección en hoja 56</t>
  </si>
  <si>
    <t>Empresas / MGC</t>
  </si>
  <si>
    <t>Empresas estudiadas</t>
  </si>
  <si>
    <t>Bajo análisis empresarial</t>
  </si>
  <si>
    <t>Falta de bloques de inteligencia</t>
  </si>
  <si>
    <t>Agendar análisis de empresas prioritarias</t>
  </si>
  <si>
    <t>Market Intelligence</t>
  </si>
  <si>
    <t>Mercado MGC/LNR poblado</t>
  </si>
  <si>
    <t>Market Intelligence sin datos suficientes</t>
  </si>
  <si>
    <t>Estructura existe pero no se está poblando</t>
  </si>
  <si>
    <t>Registrar empresas, competencia y hallazgos reales</t>
  </si>
  <si>
    <t>70_Mercado_MGC / 71_Mercado_LNR</t>
  </si>
  <si>
    <t>Campañas / Embudos</t>
  </si>
  <si>
    <t>Campañas registradas</t>
  </si>
  <si>
    <t>Sin aprendizaje de campañas</t>
  </si>
  <si>
    <t>No hay pruebas o análisis de embudos</t>
  </si>
  <si>
    <t>Registrar campañas observadas o propias</t>
  </si>
  <si>
    <t>Avance tareas MVP</t>
  </si>
  <si>
    <t>MVP bajo avance esperado</t>
  </si>
  <si>
    <t>Tareas sin prioridad o sin ejecución</t>
  </si>
  <si>
    <t>Definir siguiente sprint mínimo</t>
  </si>
  <si>
    <t>Control salud</t>
  </si>
  <si>
    <t>Salud/energía poco registrada</t>
  </si>
  <si>
    <t>No se mide caminata, descanso o energía</t>
  </si>
  <si>
    <t>Registrar caminata, sueño, energía y recuperación</t>
  </si>
  <si>
    <t>REVISIÓN MENSUAL CEO</t>
  </si>
  <si>
    <t>Diagnóstico</t>
  </si>
  <si>
    <t>Decisión</t>
  </si>
  <si>
    <t>¿Qué área estuvo más débil?</t>
  </si>
  <si>
    <t>¿Qué corrección se aplicará el próximo mes?</t>
  </si>
  <si>
    <t>¿Qué hábito se debe reforzar?</t>
  </si>
  <si>
    <t>¿Qué gasto se debe cortar o reducir?</t>
  </si>
  <si>
    <t>¿Qué ramo o materia requiere refuerzo?</t>
  </si>
  <si>
    <t>¿Qué mercado debe investigarse más?</t>
  </si>
  <si>
    <t>¿Qué proyecto debe priorizarse?</t>
  </si>
  <si>
    <t>LNR / Market Intelligence</t>
  </si>
  <si>
    <t>Auditoría LNR completada</t>
  </si>
  <si>
    <t>Existe diagnóstico profundo LNR</t>
  </si>
  <si>
    <t>Bloque de mercado aún sin datos reales</t>
  </si>
  <si>
    <t>Poblar 71-75 semanalmente</t>
  </si>
  <si>
    <t>04 SCORE EJECUTIVO CONSOLIDADO 2026 — MASTER ANUAL</t>
  </si>
  <si>
    <t>Consolida KPI mensual, patrimonio, universidad, empresas, conciliación y estado ejecutivo. No reemplaza los cierres mensuales; los resume.</t>
  </si>
  <si>
    <t>Gastos reales</t>
  </si>
  <si>
    <t>Saldo teórico</t>
  </si>
  <si>
    <t>Saldo real banco</t>
  </si>
  <si>
    <t>Diferencia conciliación</t>
  </si>
  <si>
    <t>Universidad KPI</t>
  </si>
  <si>
    <t>Salud KPI</t>
  </si>
  <si>
    <t>Score ejecutivo 0-100</t>
  </si>
  <si>
    <t>Próxima decisión</t>
  </si>
  <si>
    <t>10 PATRIMONIO FINANCIERO — CONSOLIDADO V7.1</t>
  </si>
  <si>
    <t>Consolida liquidez real, inversiones y deudas. Inversiones NO incluyen caja para evitar doble conteo.</t>
  </si>
  <si>
    <t>Cuenta / Activo</t>
  </si>
  <si>
    <t>Moneda</t>
  </si>
  <si>
    <t>Valor origen</t>
  </si>
  <si>
    <t>Tipo cambio</t>
  </si>
  <si>
    <t>Valor CLP</t>
  </si>
  <si>
    <t>ACTIVO</t>
  </si>
  <si>
    <t>Liquidez inicial / cuentas</t>
  </si>
  <si>
    <t>Caja/Banco</t>
  </si>
  <si>
    <t>CLP</t>
  </si>
  <si>
    <t>Desde 10_Apertura; actualizar luego con conciliación real</t>
  </si>
  <si>
    <t>Inversiones / posiciones actuales</t>
  </si>
  <si>
    <t>Desde 08 Rentabilidad: no incluye caja</t>
  </si>
  <si>
    <t>Otros activos manuales</t>
  </si>
  <si>
    <t>Editable</t>
  </si>
  <si>
    <t>PASIVO</t>
  </si>
  <si>
    <t>Deudas actuales</t>
  </si>
  <si>
    <t>Desde 13 Deudas</t>
  </si>
  <si>
    <t>Resumen</t>
  </si>
  <si>
    <t>Total activos</t>
  </si>
  <si>
    <t>Total pasivos</t>
  </si>
  <si>
    <t>Inversiones / activos %</t>
  </si>
  <si>
    <t>Deuda / activos %</t>
  </si>
  <si>
    <t>11 Ingresos</t>
  </si>
  <si>
    <t>Registro de ingresos reales + distribución automática 55/20/15/10 por cada ingreso.</t>
  </si>
  <si>
    <t>Monto</t>
  </si>
  <si>
    <t>Vida Real 55%</t>
  </si>
  <si>
    <t>Capital 20%</t>
  </si>
  <si>
    <t>Deuda 15%</t>
  </si>
  <si>
    <t>Expansión 10%</t>
  </si>
  <si>
    <t>Movimiento</t>
  </si>
  <si>
    <t>Resumen ingresos</t>
  </si>
  <si>
    <t>Sueldo</t>
  </si>
  <si>
    <t>Sueldo Base</t>
  </si>
  <si>
    <t>Liquidacion de abril</t>
  </si>
  <si>
    <t>Total ingresos</t>
  </si>
  <si>
    <t>Turno Extra</t>
  </si>
  <si>
    <t>Turnos extras</t>
  </si>
  <si>
    <t>Pagados en abril</t>
  </si>
  <si>
    <t>Anticipo</t>
  </si>
  <si>
    <t>Bono</t>
  </si>
  <si>
    <t>Colaciones de Abril</t>
  </si>
  <si>
    <t>Pagados en mayo</t>
  </si>
  <si>
    <t>Arriendo</t>
  </si>
  <si>
    <t>Pago Arriendo Restaurante</t>
  </si>
  <si>
    <t>Ingreso proyectado</t>
  </si>
  <si>
    <t>Transferncia</t>
  </si>
  <si>
    <t>Transferencia de Angela</t>
  </si>
  <si>
    <t>Variación vs proyectado</t>
  </si>
  <si>
    <t>Reembolso</t>
  </si>
  <si>
    <t>Tranferencia diferencia de sueldo debido</t>
  </si>
  <si>
    <t>Tranferencia de mi papa para supermercado</t>
  </si>
  <si>
    <t>A mi cuenta</t>
  </si>
  <si>
    <t>Por semana</t>
  </si>
  <si>
    <t>Quincena de Mayo</t>
  </si>
  <si>
    <t>Por tipo</t>
  </si>
  <si>
    <t>Colaciones</t>
  </si>
  <si>
    <t>Venta</t>
  </si>
  <si>
    <t>Efectivo</t>
  </si>
  <si>
    <t>Cobro de un cheque</t>
  </si>
  <si>
    <t>Venta de pie</t>
  </si>
  <si>
    <t>Cuenta Falabella</t>
  </si>
  <si>
    <t>12 Gastos</t>
  </si>
  <si>
    <t>Registro de gastos con categoría, necesidad, área de presupuesto y semana.</t>
  </si>
  <si>
    <t>Categoría</t>
  </si>
  <si>
    <t>Detalle</t>
  </si>
  <si>
    <t>Necesario S/N</t>
  </si>
  <si>
    <t>Área presupuesto</t>
  </si>
  <si>
    <t>Tipo movimiento</t>
  </si>
  <si>
    <t>Resumen gastos</t>
  </si>
  <si>
    <t>Alimentación</t>
  </si>
  <si>
    <t>Transferencia bancaria</t>
  </si>
  <si>
    <t>Operación</t>
  </si>
  <si>
    <t>Tranferencia para compra supermercado</t>
  </si>
  <si>
    <t>Histórico/Apertura</t>
  </si>
  <si>
    <t>Total salidas mes activo</t>
  </si>
  <si>
    <t>Telefonía</t>
  </si>
  <si>
    <t>Pago en red</t>
  </si>
  <si>
    <t>Se adeudaban dos meses telefonos cortados</t>
  </si>
  <si>
    <t>Salidas necesarias</t>
  </si>
  <si>
    <t>Colacion trabajo</t>
  </si>
  <si>
    <t>Salidas no necesarias</t>
  </si>
  <si>
    <t>Me dio hambre en el turno</t>
  </si>
  <si>
    <t>% no necesario</t>
  </si>
  <si>
    <t>Suscripción</t>
  </si>
  <si>
    <t>Pago destacame</t>
  </si>
  <si>
    <t>Para tener el detalle de mis acreedores</t>
  </si>
  <si>
    <t>Juego del telefono</t>
  </si>
  <si>
    <t>Quincena mensual</t>
  </si>
  <si>
    <t>Por área presupuesto</t>
  </si>
  <si>
    <t>Turnos extras que ya me pagaron</t>
  </si>
  <si>
    <t>Once</t>
  </si>
  <si>
    <t>Una empanada y un jugo antes de entrar a trabajar</t>
  </si>
  <si>
    <t>Pago Red</t>
  </si>
  <si>
    <t>100 gb google one google llc</t>
  </si>
  <si>
    <t>Otros</t>
  </si>
  <si>
    <t>Transeferncia para comida de gatos</t>
  </si>
  <si>
    <t>Transporte</t>
  </si>
  <si>
    <t>Carga on line Tarjeta Bip</t>
  </si>
  <si>
    <t>SE cargo para transporte, verificar saldo real</t>
  </si>
  <si>
    <t>Expansión</t>
  </si>
  <si>
    <t>Galletas para colacion</t>
  </si>
  <si>
    <t>Yogurt oara colacion</t>
  </si>
  <si>
    <t>Spotify</t>
  </si>
  <si>
    <t>Microsoft Office</t>
  </si>
  <si>
    <t>Supermecado Lider</t>
  </si>
  <si>
    <t>Transferencia andrea Verduras</t>
  </si>
  <si>
    <t>MGC</t>
  </si>
  <si>
    <t>Pago de cuentas de email</t>
  </si>
  <si>
    <t>Spermecado Alvi, Leche, te y yogurt</t>
  </si>
  <si>
    <t>Compra galletas</t>
  </si>
  <si>
    <t>pago Red</t>
  </si>
  <si>
    <t>Frutas</t>
  </si>
  <si>
    <t>Retiro Fondos APV banco estado</t>
  </si>
  <si>
    <t>Fondo a caja</t>
  </si>
  <si>
    <t>Transferencia a Racional</t>
  </si>
  <si>
    <t>Control CFO</t>
  </si>
  <si>
    <t>Compra de pan</t>
  </si>
  <si>
    <t>Gasto operativo real</t>
  </si>
  <si>
    <t>Empanadas, calzones rotos</t>
  </si>
  <si>
    <t>Movimiento patrimonial</t>
  </si>
  <si>
    <t>Scooters eliminar suscripcion</t>
  </si>
  <si>
    <t>Histórico/Apertura excluido</t>
  </si>
  <si>
    <t>Compra de polli, verduras</t>
  </si>
  <si>
    <t>Pan</t>
  </si>
  <si>
    <t>Compra mercaderia Alvi</t>
  </si>
  <si>
    <t>Feria</t>
  </si>
  <si>
    <t>Dedua con Leandro Trabajo</t>
  </si>
  <si>
    <t>Tarjeta Bip</t>
  </si>
  <si>
    <t>Transferencia a Angela</t>
  </si>
  <si>
    <t>Suscripcion Canvas</t>
  </si>
  <si>
    <t>Pago creacion CV</t>
  </si>
  <si>
    <t>Pago test de Holter</t>
  </si>
  <si>
    <t>Compra pasta dental</t>
  </si>
  <si>
    <t>Pan  y verduras</t>
  </si>
  <si>
    <t>Compra supermercado Lider</t>
  </si>
  <si>
    <t>Suscripcion Spotify</t>
  </si>
  <si>
    <t>Pan y otros</t>
  </si>
  <si>
    <t>Verduras</t>
  </si>
  <si>
    <t>Mani</t>
  </si>
  <si>
    <t>Sccoter</t>
  </si>
  <si>
    <t>Tranferencia a Racional</t>
  </si>
  <si>
    <t>Tranferencia Andrea</t>
  </si>
  <si>
    <t>Completo y bebida</t>
  </si>
  <si>
    <t>Chatgpt</t>
  </si>
  <si>
    <t>Carga bip</t>
  </si>
  <si>
    <t>Tranferencia Andra supermercado</t>
  </si>
  <si>
    <t>Bono consulta medica</t>
  </si>
  <si>
    <t>Café</t>
  </si>
  <si>
    <t>café</t>
  </si>
  <si>
    <t>Pan, queso y jamon</t>
  </si>
  <si>
    <t>Suscrpcion lovable eliminar</t>
  </si>
  <si>
    <t>compra de galleta</t>
  </si>
  <si>
    <t>compra de snack</t>
  </si>
  <si>
    <t>Pago de ADT</t>
  </si>
  <si>
    <t>pago certificado registro civil</t>
  </si>
  <si>
    <t>Compra Alimento Perros</t>
  </si>
  <si>
    <t>Chocolate</t>
  </si>
  <si>
    <t>Articulos de aseo</t>
  </si>
  <si>
    <t>Snack</t>
  </si>
  <si>
    <t>Pago de servicios Claudio</t>
  </si>
  <si>
    <t>Pago Destacame</t>
  </si>
  <si>
    <t>Gasto real</t>
  </si>
  <si>
    <t>Medicamento Angela</t>
  </si>
  <si>
    <t>café desayuno</t>
  </si>
  <si>
    <t>Carga BIP</t>
  </si>
  <si>
    <t>Tranferencia Andrea pan y otros</t>
  </si>
  <si>
    <t>Pago Spotifi</t>
  </si>
  <si>
    <t>Pago Microsoft</t>
  </si>
  <si>
    <t>Subway Sandwich</t>
  </si>
  <si>
    <t>Golosina</t>
  </si>
  <si>
    <t>Colectivo</t>
  </si>
  <si>
    <t>Compra de parka</t>
  </si>
  <si>
    <t>Compra pantalon</t>
  </si>
  <si>
    <t>Once en jumbo</t>
  </si>
  <si>
    <t>pan</t>
  </si>
  <si>
    <t>Compra de dos camisas</t>
  </si>
  <si>
    <t>Apv</t>
  </si>
  <si>
    <t>Compra en Alvi</t>
  </si>
  <si>
    <t>Suscripcion de CV lite (Suscripcion eliminada)</t>
  </si>
  <si>
    <t>Uber para trabajar</t>
  </si>
  <si>
    <t>Giro</t>
  </si>
  <si>
    <t>carga tarjeta bip</t>
  </si>
  <si>
    <t>pago didi</t>
  </si>
  <si>
    <t>Didi</t>
  </si>
  <si>
    <t>chocolate y papas</t>
  </si>
  <si>
    <t>alvi</t>
  </si>
  <si>
    <t>adaptador pc PCFactory</t>
  </si>
  <si>
    <t>Supermercado</t>
  </si>
  <si>
    <t>Papas fritas y una bebida ultima noche</t>
  </si>
  <si>
    <t>Carniceria</t>
  </si>
  <si>
    <t>Fiambreria</t>
  </si>
  <si>
    <t>pan y otros</t>
  </si>
  <si>
    <t>sandwuichera para trabajo</t>
  </si>
  <si>
    <t>13 DEUDAS — V6 CONSOLIDADO</t>
  </si>
  <si>
    <t>Control de deuda inicial, pagos, cargos, saldo pendiente, estado y próximo paso. Conectado a Dashboard y Balance.</t>
  </si>
  <si>
    <t>Acreedor</t>
  </si>
  <si>
    <t>Deuda inicial</t>
  </si>
  <si>
    <t>Monto pagado</t>
  </si>
  <si>
    <t>Cargo / Interés</t>
  </si>
  <si>
    <t>Saldo manual</t>
  </si>
  <si>
    <t>Saldo pendiente</t>
  </si>
  <si>
    <t>Cuotas</t>
  </si>
  <si>
    <t>Resumen deuda</t>
  </si>
  <si>
    <t>movistar</t>
  </si>
  <si>
    <t>Pago</t>
  </si>
  <si>
    <t>Esperar la proxima cuenta</t>
  </si>
  <si>
    <t>Telefonos al dia</t>
  </si>
  <si>
    <t>Deuda inicial total</t>
  </si>
  <si>
    <t>DonWeb</t>
  </si>
  <si>
    <t>Esperar proxima boleta</t>
  </si>
  <si>
    <t>Correos corporativo al dia</t>
  </si>
  <si>
    <t>Pagos mayo</t>
  </si>
  <si>
    <t>Ingenieria Industrial</t>
  </si>
  <si>
    <t>Cargos / intereses</t>
  </si>
  <si>
    <t>Telefonos</t>
  </si>
  <si>
    <t>Saldo deuda actual</t>
  </si>
  <si>
    <t>Entel</t>
  </si>
  <si>
    <t>Internet y tv</t>
  </si>
  <si>
    <t>Reducción neta deuda</t>
  </si>
  <si>
    <t>Cargo</t>
  </si>
  <si>
    <t>🔴 Riesgo</t>
  </si>
  <si>
    <t>Correos corporativos</t>
  </si>
  <si>
    <t>Hites</t>
  </si>
  <si>
    <t>Renegociación</t>
  </si>
  <si>
    <t>Tarjeta Hites</t>
  </si>
  <si>
    <t>ChatGP</t>
  </si>
  <si>
    <t>Cuota numero 3</t>
  </si>
  <si>
    <t>🟢 Cumplido</t>
  </si>
  <si>
    <t>Boleta mes de Junio</t>
  </si>
  <si>
    <t>14 INVERSIONES — LIBRO MAESTRO DE MOVIMIENTOS V7.1</t>
  </si>
  <si>
    <t>Movimiento ≠ Posición ≠ Rentabilidad ≠ Patrimonio. Cantidad/acciones y precio unitario por movimiento son opcionales si el broker los entrega; la rentabilidad se calcula con 09_Posicion_Actual.</t>
  </si>
  <si>
    <t>Monto movimiento</t>
  </si>
  <si>
    <t>Cantidad/Acciones</t>
  </si>
  <si>
    <t>Precio ETF/Unitario</t>
  </si>
  <si>
    <t>Valor movimiento CLP</t>
  </si>
  <si>
    <t>Broker/Cuenta</t>
  </si>
  <si>
    <t>Cuenta origen/destino</t>
  </si>
  <si>
    <t>Trimestre</t>
  </si>
  <si>
    <t>Año</t>
  </si>
  <si>
    <t>TQQQ</t>
  </si>
  <si>
    <t>Compra</t>
  </si>
  <si>
    <t>USD</t>
  </si>
  <si>
    <t>Racional</t>
  </si>
  <si>
    <t>Migrado</t>
  </si>
  <si>
    <t>Compra TQQQ USD 30</t>
  </si>
  <si>
    <t>Racional/captura</t>
  </si>
  <si>
    <t>Compra TQQQ USD 20</t>
  </si>
  <si>
    <t>Compra TQQQ USD 10</t>
  </si>
  <si>
    <t>SOXX</t>
  </si>
  <si>
    <t>Compra SOXX USD 30</t>
  </si>
  <si>
    <t>Compra SOXX USD 10</t>
  </si>
  <si>
    <t>Compra SOXX USD 14</t>
  </si>
  <si>
    <t>Inversiones generales 2</t>
  </si>
  <si>
    <t>Aporte</t>
  </si>
  <si>
    <t>Aporte inversiones generales 2</t>
  </si>
  <si>
    <t>Ajuste</t>
  </si>
  <si>
    <t>Ajuste registrado</t>
  </si>
  <si>
    <t>Retiro</t>
  </si>
  <si>
    <t>Retiro registrado</t>
  </si>
  <si>
    <t>Retiro inversiones generales 2</t>
  </si>
  <si>
    <t>Inversiones generales 3</t>
  </si>
  <si>
    <t>Aporte inversiones generales 3</t>
  </si>
  <si>
    <t>APV banco estado</t>
  </si>
  <si>
    <t>Banco Estado</t>
  </si>
  <si>
    <t>Retiro APV $20.000</t>
  </si>
  <si>
    <t>Aporte APV $10.000</t>
  </si>
  <si>
    <t>Aporte a ETF</t>
  </si>
  <si>
    <t>Compra ETF</t>
  </si>
  <si>
    <t>Aporte compra de acciones</t>
  </si>
  <si>
    <t>Descuento desde mi cuenta banco estado</t>
  </si>
  <si>
    <t>Registrado</t>
  </si>
  <si>
    <t>Descuento dese del Banco</t>
  </si>
  <si>
    <t>09 POSICIÓN ACTUAL — RACIONAL / BANCO / APV / EFECTIVO V7.1</t>
  </si>
  <si>
    <t>Actualizar una vez al mes. Precio ETF/unitario es la cotización de 1 unidad; valor actual moneda origen es tu posición real. SOXX corregido: valor inversión USD 60,89, no USD 574,19.</t>
  </si>
  <si>
    <t>Fecha actualización</t>
  </si>
  <si>
    <t>Clase</t>
  </si>
  <si>
    <t>Valor actual moneda origen</t>
  </si>
  <si>
    <t>Valor actual CLP</t>
  </si>
  <si>
    <t>Costo promedio</t>
  </si>
  <si>
    <t>Costo total estimado</t>
  </si>
  <si>
    <t>ETF</t>
  </si>
  <si>
    <t>Captura Racional</t>
  </si>
  <si>
    <t>Actualizado</t>
  </si>
  <si>
    <t>Valor inversión real; precio ETF no es ganancia</t>
  </si>
  <si>
    <t>Valor corregido: USD 60,89</t>
  </si>
  <si>
    <t>APV</t>
  </si>
  <si>
    <t>Completar valor real si cambia</t>
  </si>
  <si>
    <t>Fondo/Cuenta</t>
  </si>
  <si>
    <t>Valor referencial desde V6.8</t>
  </si>
  <si>
    <t>Valor real a la fecha</t>
  </si>
  <si>
    <t>15 HISTORIAL DIARIO — ETF / APV / CAJA (MANUAL)</t>
  </si>
  <si>
    <t>Hoja manual: registrar rentabilidad diaria ETF, precio actual ETF, APV/Fondos/Caja cuando corresponda. La columna Patrimonio Total CLP es automática.</t>
  </si>
  <si>
    <t>TQQQ % diario</t>
  </si>
  <si>
    <t>TQQQ Precio USD</t>
  </si>
  <si>
    <t>SOXX % diario</t>
  </si>
  <si>
    <t>SOXX Precio USD</t>
  </si>
  <si>
    <t>APV Banco Estado CLP</t>
  </si>
  <si>
    <t>Inv. Generales 2 CLP</t>
  </si>
  <si>
    <t>Inv. Generales 3 CLP</t>
  </si>
  <si>
    <t>Caja CLP</t>
  </si>
  <si>
    <t>Tipo Cambio</t>
  </si>
  <si>
    <t>Patrimonio Total CLP</t>
  </si>
  <si>
    <t>May</t>
  </si>
  <si>
    <t>Importado desde MOVIMIENTOS etf.xlsx</t>
  </si>
  <si>
    <t>June</t>
  </si>
  <si>
    <t>16 POSICIÓN ACTUAL — AUTOMÁTICA</t>
  </si>
  <si>
    <t>Calculada desde 14_Inversiones y 15_Historial_Diario. No digitar datos manuales en esta hoja.</t>
  </si>
  <si>
    <t>Acciones</t>
  </si>
  <si>
    <t>Capital Neto Moneda</t>
  </si>
  <si>
    <t>Capital Neto CLP</t>
  </si>
  <si>
    <t>Precio Promedio USD</t>
  </si>
  <si>
    <t>Precio Actual USD</t>
  </si>
  <si>
    <t>Valor Actual USD</t>
  </si>
  <si>
    <t>Valor Actual CLP</t>
  </si>
  <si>
    <t>Ganancia/Pérdida CLP</t>
  </si>
  <si>
    <t>Rentabilidad %</t>
  </si>
  <si>
    <t>Fuente Valor</t>
  </si>
  <si>
    <t>Última Actualización</t>
  </si>
  <si>
    <t>17 DASHBOARD DE INVERSIONES — AUTOMÁTICO</t>
  </si>
  <si>
    <t>Resumen automático desde 14_Inversiones, 15_Historial_Diario y 16_Posicion_Actual_AUTO. No digitar datos manuales.</t>
  </si>
  <si>
    <t>Peso %</t>
  </si>
  <si>
    <t>Patrimonio total CLP</t>
  </si>
  <si>
    <t>Capital neto CLP</t>
  </si>
  <si>
    <t>Rentabilidad acumulada</t>
  </si>
  <si>
    <t>Valor ETF CLP</t>
  </si>
  <si>
    <t>Valor APV/Fondos/Caja CLP</t>
  </si>
  <si>
    <t>Última actualización</t>
  </si>
  <si>
    <t>Precio Promedio</t>
  </si>
  <si>
    <t>Precio Actual</t>
  </si>
  <si>
    <t>Valor USD</t>
  </si>
  <si>
    <t>Ganancia CLP</t>
  </si>
  <si>
    <t>Rentabilidad</t>
  </si>
  <si>
    <t>Notas de control</t>
  </si>
  <si>
    <t>Manual: 14_Inversiones y 15_Historial_Diario. Automático: 16_Posicion_Actual_AUTO y 17_Dashboard_Inversiones.</t>
  </si>
  <si>
    <t>Hojas legacy 07, 08, 09 y 12 se mantienen apagadas/ocultas para auditoría, sin eliminación.</t>
  </si>
  <si>
    <t>AUDITORÍA / CORRECCIÓN V5</t>
  </si>
  <si>
    <t>Corregido: acciones ETF se calculan desde 14_Inversiones!F:F; no se vuelve a ingresar cantidad manual en posición actual.</t>
  </si>
  <si>
    <t>Corregido: 15_Historial_Diario calcula patrimonio ETF por fecha usando compras acumuladas hasta cada día, no acciones futuras.</t>
  </si>
  <si>
    <t>Mantiene: 14_Inversiones como libro maestro; 07/08/09/12 legacy apagadas para auditoría.</t>
  </si>
  <si>
    <t>18 CONCILIACIÓN BANCARIA V3 — MODELO FINANCIERO COMPLETO 2026</t>
  </si>
  <si>
    <t>Reconstrucción de conciliación: ingresos, gastos operacionales, pagos de deuda, aportes/retiros de inversión y saldo real manual. No depende de mayo; calcula por rango de fechas del mes activo.</t>
  </si>
  <si>
    <t>Mes a conciliar</t>
  </si>
  <si>
    <t>Tolerancia</t>
  </si>
  <si>
    <t>Fuente inversión oficial</t>
  </si>
  <si>
    <t>Saldo inicial / apertura</t>
  </si>
  <si>
    <t>Usar 14_Inversiones como fuente oficial de aportes/retiros. 12_Gastos inversión queda como alerta para evitar doble conteo.</t>
  </si>
  <si>
    <t>A. CÁLCULO TEÓRICO — FUENTES OFICIALES</t>
  </si>
  <si>
    <t>Concepto</t>
  </si>
  <si>
    <t>Incluye en saldo</t>
  </si>
  <si>
    <t>Entrada base</t>
  </si>
  <si>
    <t>Manual / apertura</t>
  </si>
  <si>
    <t>Saldo real de inicio del mes.</t>
  </si>
  <si>
    <t>+ Ingresos del mes</t>
  </si>
  <si>
    <t>Entrada</t>
  </si>
  <si>
    <t>Sueldo, bonos, otros ingresos y transferencias recibidas.</t>
  </si>
  <si>
    <t>- Gastos operacionales</t>
  </si>
  <si>
    <t>Salida</t>
  </si>
  <si>
    <t>Gastos reales del mes, excluye inversión para evitar doble conteo.</t>
  </si>
  <si>
    <t>- Pagos de deuda</t>
  </si>
  <si>
    <t>Universidad, Movistar, DonWeb u otros pagos reales.</t>
  </si>
  <si>
    <t>- Aportes a inversión</t>
  </si>
  <si>
    <t>Salida patrimonial</t>
  </si>
  <si>
    <t>Aportes desde banco/caja hacia inversión. Fuente oficial para no duplicar.</t>
  </si>
  <si>
    <t>+ Retiros de inversión</t>
  </si>
  <si>
    <t>Entrada patrimonial</t>
  </si>
  <si>
    <t>Retiros que vuelven a banco/caja.</t>
  </si>
  <si>
    <t>SALDO TEÓRICO V3</t>
  </si>
  <si>
    <t>Cálculo V3</t>
  </si>
  <si>
    <t>Saldo esperado después de todos los movimientos reales.</t>
  </si>
  <si>
    <t>B. CONTROL DE MOVIMIENTOS / ALERTAS DE DOBLE CONTEO</t>
  </si>
  <si>
    <t>Control</t>
  </si>
  <si>
    <t>Interpretación</t>
  </si>
  <si>
    <t>Gastos brutos en 12_Gastos</t>
  </si>
  <si>
    <t>Total mensual bruto incluyendo inversión.</t>
  </si>
  <si>
    <t>Comparar con suma manual.</t>
  </si>
  <si>
    <t>Inversión registrada en 12_Gastos</t>
  </si>
  <si>
    <t>No se suma al saldo V3 si ya está en 14_Inversiones.</t>
  </si>
  <si>
    <t>Revisar duplicidad.</t>
  </si>
  <si>
    <t>Compras internas ETF</t>
  </si>
  <si>
    <t>Compra dentro del broker; no siempre sale de banco.</t>
  </si>
  <si>
    <t>No restar si ya hubo aporte.</t>
  </si>
  <si>
    <t>Ajustes inversión</t>
  </si>
  <si>
    <t>Ajuste contable/interno.</t>
  </si>
  <si>
    <t>Revisar si afectó banco.</t>
  </si>
  <si>
    <t>Posible doble registro inversión</t>
  </si>
  <si>
    <t>12 + 14</t>
  </si>
  <si>
    <t>Hay inversión en 12_Gastos y aportes en 14_Inversiones.</t>
  </si>
  <si>
    <t>Usar 14 como fuente oficial y revisar 12.</t>
  </si>
  <si>
    <t>Pagos de deuda registrados</t>
  </si>
  <si>
    <t>Salidas reales por deuda.</t>
  </si>
  <si>
    <t>Deben estar en conciliación.</t>
  </si>
  <si>
    <t>C. SALDO REAL — INGRESO MANUAL</t>
  </si>
  <si>
    <t>Cuenta</t>
  </si>
  <si>
    <t>Saldo real manual</t>
  </si>
  <si>
    <t>Resumen Ejecutivo V3</t>
  </si>
  <si>
    <t>Banco Estado / principal</t>
  </si>
  <si>
    <t>Banco</t>
  </si>
  <si>
    <t>Ingresar saldo real</t>
  </si>
  <si>
    <t>Entrada real del mes</t>
  </si>
  <si>
    <t>MachBank / secundaria</t>
  </si>
  <si>
    <t>Opcional</t>
  </si>
  <si>
    <t>Gastos operacionales</t>
  </si>
  <si>
    <t>Gastos normales sin inversión</t>
  </si>
  <si>
    <t>Falabella / Tempo / otras</t>
  </si>
  <si>
    <t>Deudas pagadas</t>
  </si>
  <si>
    <t>Pagos reales de deuda</t>
  </si>
  <si>
    <t>Aportes inversión</t>
  </si>
  <si>
    <t>Salida patrimonial oficial</t>
  </si>
  <si>
    <t>BIP / transporte</t>
  </si>
  <si>
    <t>Retiros inversión</t>
  </si>
  <si>
    <t>Otras cuentas</t>
  </si>
  <si>
    <t>SALDO REAL TOTAL</t>
  </si>
  <si>
    <t>Financiero $</t>
  </si>
  <si>
    <t>Suma manual</t>
  </si>
  <si>
    <t>Saldo real</t>
  </si>
  <si>
    <t>Ingreso manual</t>
  </si>
  <si>
    <t>Diferencia</t>
  </si>
  <si>
    <t>Control final</t>
  </si>
  <si>
    <t>D. RESULTADO DE CONCILIACIÓN V3</t>
  </si>
  <si>
    <t>Saldo real total - Saldo teórico V3</t>
  </si>
  <si>
    <t>Diferencia absoluta</t>
  </si>
  <si>
    <t>Control de tolerancia</t>
  </si>
  <si>
    <t>0 = conciliado / distinto de 0 = revisar</t>
  </si>
  <si>
    <t>Acción obligatoria</t>
  </si>
  <si>
    <t>Si no concilia: revisar cartola, deuda, inversión y gastos.</t>
  </si>
  <si>
    <t>Observación manual</t>
  </si>
  <si>
    <t>Escribir causa</t>
  </si>
  <si>
    <t>18 CONCILIACIÓN BANCARIA V2 — CICLO MENSUAL 2026</t>
  </si>
  <si>
    <t>Uso: seleccionar mes, ingresar saldo banco real manual, revisar diferencia. Esta hoja sirve para junio, julio, agosto y siguientes sin crear Excel separado.</t>
  </si>
  <si>
    <t>A. CÁLCULO TEÓRICO</t>
  </si>
  <si>
    <t>Origen</t>
  </si>
  <si>
    <t>Para meses futuros ingresar apertura real o conectar cierre anterior</t>
  </si>
  <si>
    <t>+ Ingresos mes</t>
  </si>
  <si>
    <t>11_Ingresos por mes activo</t>
  </si>
  <si>
    <t>- Gastos reales mes</t>
  </si>
  <si>
    <t>12_Gastos mes activo tipo Gasto real</t>
  </si>
  <si>
    <t>- Transferencias patrimoniales</t>
  </si>
  <si>
    <t>12_Gastos mes activo tipo Movimiento patrimonial</t>
  </si>
  <si>
    <t>+ Reintegros inversión</t>
  </si>
  <si>
    <t>14_Inversiones mes activo tipo Retiro</t>
  </si>
  <si>
    <t>SALDO TEÓRICO</t>
  </si>
  <si>
    <t>Inicial + ingresos - gastos - transferencias + reintegros</t>
  </si>
  <si>
    <t>B. SALDO BANCO REAL — INGRESO MANUAL</t>
  </si>
  <si>
    <t>SALDO BANCO REAL TOTAL</t>
  </si>
  <si>
    <t>C. RESULTADO</t>
  </si>
  <si>
    <t>Saldo Banco Real Total - Saldo Teórico</t>
  </si>
  <si>
    <t>Si no concilia: revisar cartola vs Excel</t>
  </si>
  <si>
    <t>08 RENTABILIDAD INVERSIONES — DASHBOARD EJECUTIVO V7.1</t>
  </si>
  <si>
    <t>Resumen Inversiones V7.1</t>
  </si>
  <si>
    <t>Una fila por activo. Aporte neto desde 14_Inversiones; valor actual desde 09_Posicion_Actual. Rentabilidad acumulada, no diaria ni mensual.</t>
  </si>
  <si>
    <t>Lectura</t>
  </si>
  <si>
    <t>Aportes</t>
  </si>
  <si>
    <t>Retiros</t>
  </si>
  <si>
    <t>Aporte neto</t>
  </si>
  <si>
    <t>Valor actual moneda</t>
  </si>
  <si>
    <t>Ganancia/Pérdida moneda</t>
  </si>
  <si>
    <t>Rentabilidad acumulada %</t>
  </si>
  <si>
    <t>Aporte neto total CLP</t>
  </si>
  <si>
    <t>Suma de aporte neto convertido a CLP</t>
  </si>
  <si>
    <t>Valor actual total CLP</t>
  </si>
  <si>
    <t>Valor de posiciones actuales</t>
  </si>
  <si>
    <t>Ganancia/Pérdida total CLP</t>
  </si>
  <si>
    <t>Valor actual - aporte neto</t>
  </si>
  <si>
    <t>Rentabilidad total</t>
  </si>
  <si>
    <t>Ganancia / aporte neto</t>
  </si>
  <si>
    <t>Activos con ganancia</t>
  </si>
  <si>
    <t>Cantidad activos positivos</t>
  </si>
  <si>
    <t>Activos con pérdida</t>
  </si>
  <si>
    <t>Cantidad activos negativos</t>
  </si>
  <si>
    <t>12 RENTABILIDAD MENSUAL — INVERSIONES 2026 V7.1</t>
  </si>
  <si>
    <t>La hoja 08 muestra rentabilidad acumulada. Esta hoja será cierre mensual; junio toma datos actuales para control inicial.</t>
  </si>
  <si>
    <t>ETF %</t>
  </si>
  <si>
    <t>APV %</t>
  </si>
  <si>
    <t>Fondos/Cuentas %</t>
  </si>
  <si>
    <t>Total %</t>
  </si>
  <si>
    <t>07 Evolucion Patrimonial V7.1</t>
  </si>
  <si>
    <t>Mayo histórico puede completarse manualmente. Junio se alimenta del patrimonio financiero consolidado V7.1.</t>
  </si>
  <si>
    <t>Caja/Banco real</t>
  </si>
  <si>
    <t>Inversiones valor actual</t>
  </si>
  <si>
    <t>Patrimonio Neto</t>
  </si>
  <si>
    <t>Variación $</t>
  </si>
  <si>
    <t>Variación %</t>
  </si>
  <si>
    <t>Meta patrimonio</t>
  </si>
  <si>
    <t>Completar inversiones mayo si corresponde; no usar como cierre final si faltan datos.</t>
  </si>
  <si>
    <t>Actualizado desde Patrimonio Financiero V7.1</t>
  </si>
  <si>
    <t>16 BALANCE 8 COLUMNAS V6 — FINANZAS / CONTABILIDAD / PATRIMONIO</t>
  </si>
  <si>
    <t>Suma Debe</t>
  </si>
  <si>
    <t>Suma Haber</t>
  </si>
  <si>
    <t>Saldo Deudor</t>
  </si>
  <si>
    <t>Saldo Acreedor</t>
  </si>
  <si>
    <t>Pasivo</t>
  </si>
  <si>
    <t>Pérdida</t>
  </si>
  <si>
    <t>Ganancia</t>
  </si>
  <si>
    <t>Caja y bancos</t>
  </si>
  <si>
    <t>Ingresos del mes</t>
  </si>
  <si>
    <t>Gastos del mes</t>
  </si>
  <si>
    <t>Resultado del mes</t>
  </si>
  <si>
    <t>TOTALES</t>
  </si>
  <si>
    <t>SECCIÓN 03 | VIDA REAL / SALUD / RENDIMIENTO</t>
  </si>
  <si>
    <t>Calidad de vida, energía, hábitos, ejecución diaria, cumplimiento y conexión directa con Divina Obsesión.</t>
  </si>
  <si>
    <t>DASHBOARD HEALTH &amp; ENERGY</t>
  </si>
  <si>
    <t>Panel de control. No ingresar datos aquí: se alimenta de Maestro, Registro, Documentos y Seguros.</t>
  </si>
  <si>
    <t>Controles vencidos</t>
  </si>
  <si>
    <t>Próximos 30 días</t>
  </si>
  <si>
    <t>Tareas críticas</t>
  </si>
  <si>
    <t>Documentos sin link</t>
  </si>
  <si>
    <t>Última presión sistólica</t>
  </si>
  <si>
    <t>Última presión diastólica</t>
  </si>
  <si>
    <t>Promedio energía</t>
  </si>
  <si>
    <t>Promedio sueño</t>
  </si>
  <si>
    <t>Elemento</t>
  </si>
  <si>
    <t>Próximo control</t>
  </si>
  <si>
    <t>Navegación</t>
  </si>
  <si>
    <t>Crítica</t>
  </si>
  <si>
    <t>Médico cabecera / presión</t>
  </si>
  <si>
    <t>Abierto</t>
  </si>
  <si>
    <t>Agendar primera consulta y llevar registro PA</t>
  </si>
  <si>
    <t>H01_Maestro_Salud</t>
  </si>
  <si>
    <t>Broncopulmonar</t>
  </si>
  <si>
    <t>Revisar antecedentes 2018/2026 y exámenes respiratorios</t>
  </si>
  <si>
    <t>Cardiología</t>
  </si>
  <si>
    <t>Validar hipertensión, tratamiento y riesgo cardiovascular</t>
  </si>
  <si>
    <t>H03_Documentos</t>
  </si>
  <si>
    <t>Nutrición</t>
  </si>
  <si>
    <t>Plan sostenible: presión, peso, energía y turnos</t>
  </si>
  <si>
    <t>H04_Seguros_Beneficios</t>
  </si>
  <si>
    <t>Actividad física</t>
  </si>
  <si>
    <t>Continua</t>
  </si>
  <si>
    <t>Caminar + fuerza progresiva sin sobrecarga</t>
  </si>
  <si>
    <t>Regla operativa</t>
  </si>
  <si>
    <t>La información existe una sola vez. Documentos en OneDrive; Excel sólo controla estado, fecha, prioridad y link. La salud sostiene trabajo, universidad, capital y 2042.</t>
  </si>
  <si>
    <t>MAESTRO SALUD — HISTORIAL + PLAN + CONTROLES</t>
  </si>
  <si>
    <t>Una sola fuente de verdad: antecedentes, especialistas, exámenes, medicamentos, nutrición, actividad física y familia.</t>
  </si>
  <si>
    <t>Persona</t>
  </si>
  <si>
    <t>Motivo / Diagnóstico / Control</t>
  </si>
  <si>
    <t>Último control</t>
  </si>
  <si>
    <t>Frecuencia meses</t>
  </si>
  <si>
    <t>Médico / Centro</t>
  </si>
  <si>
    <t>Medicamento / Dosis</t>
  </si>
  <si>
    <t>Documento / Link</t>
  </si>
  <si>
    <t>Observaciones</t>
  </si>
  <si>
    <t>H-0001</t>
  </si>
  <si>
    <t>Robinson Godoy</t>
  </si>
  <si>
    <t>Pulmonar</t>
  </si>
  <si>
    <t>Historial médico</t>
  </si>
  <si>
    <t>Hospitalización UTI</t>
  </si>
  <si>
    <t>Neumonía grave</t>
  </si>
  <si>
    <t>Clinica Bicentenario</t>
  </si>
  <si>
    <t>H-0002</t>
  </si>
  <si>
    <t>Infeccioso/Pulmonar</t>
  </si>
  <si>
    <t>Covid-19</t>
  </si>
  <si>
    <t>Covid leve</t>
  </si>
  <si>
    <t>Leve</t>
  </si>
  <si>
    <t>Christoper Bombardieri</t>
  </si>
  <si>
    <t>H-0003</t>
  </si>
  <si>
    <t>Recaída respiratoria</t>
  </si>
  <si>
    <t>Neumonía leve detectada a tiempo</t>
  </si>
  <si>
    <t>H-0004</t>
  </si>
  <si>
    <t>Cardiovascular</t>
  </si>
  <si>
    <t>Holter / control presión</t>
  </si>
  <si>
    <t>Hipertensión confirmada</t>
  </si>
  <si>
    <t>Alta prioridad</t>
  </si>
  <si>
    <t>Integra Medica Maipu</t>
  </si>
  <si>
    <t>H-0005</t>
  </si>
  <si>
    <t>Chequeo general</t>
  </si>
  <si>
    <t>Exámenes laborales</t>
  </si>
  <si>
    <t>Sangre, esfuerzo, ECG, visión y audición normales; presión alterada</t>
  </si>
  <si>
    <t>ACHS</t>
  </si>
  <si>
    <t>H-0006</t>
  </si>
  <si>
    <t>Sangre</t>
  </si>
  <si>
    <t>Examen</t>
  </si>
  <si>
    <t>Hemograma completo</t>
  </si>
  <si>
    <t>H-0007</t>
  </si>
  <si>
    <t>Urología</t>
  </si>
  <si>
    <t>PSA / próstata</t>
  </si>
  <si>
    <t>H-0008</t>
  </si>
  <si>
    <t>Holter presión</t>
  </si>
  <si>
    <t>Integramedica Pajaritos</t>
  </si>
  <si>
    <t>H-0009</t>
  </si>
  <si>
    <t>Electrocardiograma</t>
  </si>
  <si>
    <t>Normal según relato</t>
  </si>
  <si>
    <t>H-0010</t>
  </si>
  <si>
    <t>Espirometría</t>
  </si>
  <si>
    <t>H-0011</t>
  </si>
  <si>
    <t>Radiografía/TAC tórax</t>
  </si>
  <si>
    <t>H-0012</t>
  </si>
  <si>
    <t>Médico general / Medicina interna</t>
  </si>
  <si>
    <t>Especialista</t>
  </si>
  <si>
    <t>Control hipertensión + revisión bitácora presión 7 días</t>
  </si>
  <si>
    <t>Bitácora presión + medicamentos</t>
  </si>
  <si>
    <t>H-0013</t>
  </si>
  <si>
    <t>Cardiólogo</t>
  </si>
  <si>
    <t>Hipertensión, tratamiento, riesgo cardiovascular</t>
  </si>
  <si>
    <t>Holter, ECG, prueba esfuerzo, presión 7 días</t>
  </si>
  <si>
    <t>H-0014</t>
  </si>
  <si>
    <t>Secuelas neumonía 2018 + neumonía 2026 + control pulmonar</t>
  </si>
  <si>
    <t>Historial, radiografía/TAC, espirometría</t>
  </si>
  <si>
    <t>H-0015</t>
  </si>
  <si>
    <t>Urólogo</t>
  </si>
  <si>
    <t>Control preventivo próstata / PSA</t>
  </si>
  <si>
    <t>PSA y exámenes</t>
  </si>
  <si>
    <t>H-0016</t>
  </si>
  <si>
    <t>Dentista</t>
  </si>
  <si>
    <t>Control dental preventivo</t>
  </si>
  <si>
    <t>Radiografía si aplica</t>
  </si>
  <si>
    <t>H-0017</t>
  </si>
  <si>
    <t>Oftalmólogo</t>
  </si>
  <si>
    <t>Control visión</t>
  </si>
  <si>
    <t>Examen visión</t>
  </si>
  <si>
    <t>H-0018</t>
  </si>
  <si>
    <t>Otorrino / Audición</t>
  </si>
  <si>
    <t>Control audición si hay síntomas</t>
  </si>
  <si>
    <t>Baja</t>
  </si>
  <si>
    <t>Audiometría</t>
  </si>
  <si>
    <t>H-0019</t>
  </si>
  <si>
    <t>Medicamentos</t>
  </si>
  <si>
    <t>Medicamento</t>
  </si>
  <si>
    <t>Losartan</t>
  </si>
  <si>
    <t>Tratamiento activo / receta</t>
  </si>
  <si>
    <t>Según receta | Diario</t>
  </si>
  <si>
    <t>H-0020</t>
  </si>
  <si>
    <t>Checkup preventivo</t>
  </si>
  <si>
    <t>Control presión / médico</t>
  </si>
  <si>
    <t>Mensual inicialmente</t>
  </si>
  <si>
    <t>H-0021</t>
  </si>
  <si>
    <t>Broncopulmonar + espirometría</t>
  </si>
  <si>
    <t>Anual</t>
  </si>
  <si>
    <t>H-0022</t>
  </si>
  <si>
    <t>H-0023</t>
  </si>
  <si>
    <t>Hemograma + perfil metabólico</t>
  </si>
  <si>
    <t>H-0024</t>
  </si>
  <si>
    <t>Dental</t>
  </si>
  <si>
    <t>Control dental</t>
  </si>
  <si>
    <t>Semestral</t>
  </si>
  <si>
    <t>H-0025</t>
  </si>
  <si>
    <t>Visión</t>
  </si>
  <si>
    <t>Control oftalmológico</t>
  </si>
  <si>
    <t>Cada 1-2 años</t>
  </si>
  <si>
    <t>H-0026</t>
  </si>
  <si>
    <t>Audición</t>
  </si>
  <si>
    <t>H-0027</t>
  </si>
  <si>
    <t>Metabólico</t>
  </si>
  <si>
    <t>Peso / IMC / cintura</t>
  </si>
  <si>
    <t>H-0028</t>
  </si>
  <si>
    <t>H-0029</t>
  </si>
  <si>
    <t>H-0030</t>
  </si>
  <si>
    <t>H-0031</t>
  </si>
  <si>
    <t>H-0032</t>
  </si>
  <si>
    <t>H-0033</t>
  </si>
  <si>
    <t>H-0034</t>
  </si>
  <si>
    <t>H-0035</t>
  </si>
  <si>
    <t>H-0036</t>
  </si>
  <si>
    <t>H-0037</t>
  </si>
  <si>
    <t>H-0038</t>
  </si>
  <si>
    <t>H-0039</t>
  </si>
  <si>
    <t>H-0040</t>
  </si>
  <si>
    <t>H-0041</t>
  </si>
  <si>
    <t>H-0042</t>
  </si>
  <si>
    <t>H-0043</t>
  </si>
  <si>
    <t>H-0044</t>
  </si>
  <si>
    <t>H-0045</t>
  </si>
  <si>
    <t>H-0046</t>
  </si>
  <si>
    <t>H-0047</t>
  </si>
  <si>
    <t>H-0048</t>
  </si>
  <si>
    <t>Familiar</t>
  </si>
  <si>
    <t>Historial familiar</t>
  </si>
  <si>
    <t>Titular</t>
  </si>
  <si>
    <t>Hipertensión; antecedentes pulmonares relevantes</t>
  </si>
  <si>
    <t>Médico general/Cardiólogo/Broncopulmonar/Urólogo</t>
  </si>
  <si>
    <t>Antihipertensivo</t>
  </si>
  <si>
    <t>H-0049</t>
  </si>
  <si>
    <t>Señora</t>
  </si>
  <si>
    <t>Cónyuge</t>
  </si>
  <si>
    <t>H-0050</t>
  </si>
  <si>
    <t>Hija</t>
  </si>
  <si>
    <t>H-0051</t>
  </si>
  <si>
    <t>Plan de salud</t>
  </si>
  <si>
    <t>Nutricionista</t>
  </si>
  <si>
    <t>Control de peso, alimentación, presión y energía</t>
  </si>
  <si>
    <t>Integrar con seguro y médico cabecera</t>
  </si>
  <si>
    <t>H-0052</t>
  </si>
  <si>
    <t>Caminar / fuerza progresiva</t>
  </si>
  <si>
    <t>Actividad física sostenible, sin sobrecarga</t>
  </si>
  <si>
    <t>Prioridad: continuidad y no burnout</t>
  </si>
  <si>
    <t>H-0053</t>
  </si>
  <si>
    <t>Sueño / Energía</t>
  </si>
  <si>
    <t>Adaptación turnos</t>
  </si>
  <si>
    <t>Proteger recuperación por turnos día/noche</t>
  </si>
  <si>
    <t>Indicador central del chat Health &amp; Energy</t>
  </si>
  <si>
    <t>REGISTRO SALUD — PRESIÓN + SUEÑO + ENERGÍA</t>
  </si>
  <si>
    <t>Bitácora única para presión, pulso, peso, sueño, actividad, estrés y síntomas. No crear hojas separadas.</t>
  </si>
  <si>
    <t>Momento</t>
  </si>
  <si>
    <t>Sistólica</t>
  </si>
  <si>
    <t>Diastólica</t>
  </si>
  <si>
    <t>Pulso</t>
  </si>
  <si>
    <t>Medicamento tomado</t>
  </si>
  <si>
    <t>Sueño horas</t>
  </si>
  <si>
    <t>Energía 1-10</t>
  </si>
  <si>
    <t>Estrés</t>
  </si>
  <si>
    <t>Síntomas</t>
  </si>
  <si>
    <t>Clasificación PA</t>
  </si>
  <si>
    <t>no</t>
  </si>
  <si>
    <t>AM</t>
  </si>
  <si>
    <t>Migrado desde control 7 días</t>
  </si>
  <si>
    <t>PM</t>
  </si>
  <si>
    <t>Saliendo de trabajo de noche</t>
  </si>
  <si>
    <t>Dolor de cabeza</t>
  </si>
  <si>
    <t>Iniciando Jornada laboral de la semana</t>
  </si>
  <si>
    <t>Iniciando nueca Vida Diaria</t>
  </si>
  <si>
    <t>Debo solicitar horas al medico controles y examenes</t>
  </si>
  <si>
    <t>DOCUMENTOS SALUD — ONEDRIVE + EXÁMENES + RECETAS</t>
  </si>
  <si>
    <t>Guardar archivos en OneDrive y pegar aquí solo el link. Exámenes, recetas, informes y licencias viven en una sola hoja.</t>
  </si>
  <si>
    <t>Tipo documento</t>
  </si>
  <si>
    <t>Descripción</t>
  </si>
  <si>
    <t>Archivo / Link OneDrive</t>
  </si>
  <si>
    <t>Relacionado con ID</t>
  </si>
  <si>
    <t>Vence</t>
  </si>
  <si>
    <t>Estado documento</t>
  </si>
  <si>
    <t>Receta médica</t>
  </si>
  <si>
    <t>Cardiología/Medicina general</t>
  </si>
  <si>
    <t>Integramedica</t>
  </si>
  <si>
    <t>Solicitud examen</t>
  </si>
  <si>
    <t>Espirometría / imagen tórax</t>
  </si>
  <si>
    <t>Resultado examen</t>
  </si>
  <si>
    <t>Holter</t>
  </si>
  <si>
    <t>SEGUROS Y BENEFICIOS — SALUD</t>
  </si>
  <si>
    <t>Comparador simple de seguros, beneficios, coberturas y deducibles. Integrado con Bupa MultiSalud.</t>
  </si>
  <si>
    <t>Plan / Cobertura</t>
  </si>
  <si>
    <t>Costo mensual</t>
  </si>
  <si>
    <t>Persona / Beneficiarios</t>
  </si>
  <si>
    <t>Cobertura</t>
  </si>
  <si>
    <t>Red Preferente</t>
  </si>
  <si>
    <t>Red 1</t>
  </si>
  <si>
    <t>Red 2</t>
  </si>
  <si>
    <t>Tope evento</t>
  </si>
  <si>
    <t>Tope anual</t>
  </si>
  <si>
    <t>Deducible</t>
  </si>
  <si>
    <t>Bupa MultiSalud - Seguro Base de Salud</t>
  </si>
  <si>
    <t>Por persona</t>
  </si>
  <si>
    <t>Monto máximo anual por asegurado</t>
  </si>
  <si>
    <t>UF 1.500</t>
  </si>
  <si>
    <t>Evaluar</t>
  </si>
  <si>
    <t>Costo indicado por Robinson; validar condiciones antes de contratar</t>
  </si>
  <si>
    <t>Bupa MultiSalud - Ambulatoria</t>
  </si>
  <si>
    <t>Consulta medicina general/especialidad, urgencia, nutricionista, exámenes, procedimientos</t>
  </si>
  <si>
    <t>70%</t>
  </si>
  <si>
    <t>60%</t>
  </si>
  <si>
    <t>50%</t>
  </si>
  <si>
    <t>Sin tope</t>
  </si>
  <si>
    <t>Sin tope / nutricionista 3 consultas al año</t>
  </si>
  <si>
    <t>UF 1 anual por beneficiario</t>
  </si>
  <si>
    <t>Según tabla Bupa subida</t>
  </si>
  <si>
    <t>Bupa MultiSalud - Salud mental</t>
  </si>
  <si>
    <t>Psicología y psiquiatría ambulatoria</t>
  </si>
  <si>
    <t>UF 0,5</t>
  </si>
  <si>
    <t>UF 5</t>
  </si>
  <si>
    <t>Psicología requiere prescripción médica</t>
  </si>
  <si>
    <t>Bupa MultiSalud - Hospitalización / cirugía</t>
  </si>
  <si>
    <t>Día cama, UCI/UTI, pabellón, insumos, medicamentos, exámenes, procedimientos</t>
  </si>
  <si>
    <t>90%</t>
  </si>
  <si>
    <t>80%</t>
  </si>
  <si>
    <t>Sin tope / algunas cirugías UF 10</t>
  </si>
  <si>
    <t>UF 5 anual por beneficiario</t>
  </si>
  <si>
    <t>Bonificación según red</t>
  </si>
  <si>
    <t>Bupa MultiSalud - Oncología</t>
  </si>
  <si>
    <t>Quimioterapia, drogas, radioterapia, PET-CT y otros</t>
  </si>
  <si>
    <t>Sin tope / PET-CT 1 al año</t>
  </si>
  <si>
    <t>Revisar exclusiones en póliza</t>
  </si>
  <si>
    <t>FONASA</t>
  </si>
  <si>
    <t>Hosp: Base pública | Amb: Base pública</t>
  </si>
  <si>
    <t>Revisar tramo</t>
  </si>
  <si>
    <t>Red Salud 70% cualquier clínica</t>
  </si>
  <si>
    <t>Robinson + señora + hija</t>
  </si>
  <si>
    <t>Hosp: Sí | Amb: Sí</t>
  </si>
  <si>
    <t>Revisar exclusiones</t>
  </si>
  <si>
    <t>Plan 100% ambulatorio</t>
  </si>
  <si>
    <t>Hosp: No / limitado | Amb: Sí 100% ambulatorio</t>
  </si>
  <si>
    <t>Clínica Indisa / convenio</t>
  </si>
  <si>
    <t>Por evaluar</t>
  </si>
  <si>
    <t>Hosp: Alta calidad / costo alto | Amb: Alta calidad / costo alto</t>
  </si>
  <si>
    <t>Revisar</t>
  </si>
  <si>
    <t>Bupa Cuidado total 80</t>
  </si>
  <si>
    <t>Hosp: Si | Amb: Si</t>
  </si>
  <si>
    <t>UNIVERSIDAD MASTER T2</t>
  </si>
  <si>
    <t>Ramos</t>
  </si>
  <si>
    <t>Tipo Registro</t>
  </si>
  <si>
    <t>Estado Error</t>
  </si>
  <si>
    <t>Riesgo</t>
  </si>
  <si>
    <t>Tipo Evaluación</t>
  </si>
  <si>
    <t>Revisado</t>
  </si>
  <si>
    <t>Cálculo II</t>
  </si>
  <si>
    <t>Estudio</t>
  </si>
  <si>
    <t>Alto</t>
  </si>
  <si>
    <t>Prueba</t>
  </si>
  <si>
    <t>Hoja auxiliar para desplegables y validaciones.</t>
  </si>
  <si>
    <t>Comunicación y Argumentación</t>
  </si>
  <si>
    <t>En proceso</t>
  </si>
  <si>
    <t>Ejercicio</t>
  </si>
  <si>
    <t>En revisión</t>
  </si>
  <si>
    <t>Medio</t>
  </si>
  <si>
    <t>No borrar. Puede quedar visible o apagada después.</t>
  </si>
  <si>
    <t>Terminado</t>
  </si>
  <si>
    <t>Cerrado</t>
  </si>
  <si>
    <t>Bajo</t>
  </si>
  <si>
    <t>Las nuevas hojas maestras dependen de estas listas.</t>
  </si>
  <si>
    <t>Física Mecánica</t>
  </si>
  <si>
    <t>Bloqueado</t>
  </si>
  <si>
    <t>Error</t>
  </si>
  <si>
    <t>Sin error</t>
  </si>
  <si>
    <t>Proyecto</t>
  </si>
  <si>
    <t>Ramos activos T2: Cálculo II, Comunicación y Argumentación, Probabilidad y Estadística, Física Mecánica.</t>
  </si>
  <si>
    <t>Repaso</t>
  </si>
  <si>
    <t>Foro</t>
  </si>
  <si>
    <t>Avance y comprensión se registran en escala 0 a 100.</t>
  </si>
  <si>
    <t>Evaluación</t>
  </si>
  <si>
    <t>Portafolio</t>
  </si>
  <si>
    <t>Notas se registran en escala chilena 1,0 a 7,0.</t>
  </si>
  <si>
    <t>Peso % se ingresa como número: ejemplo 6, 35.</t>
  </si>
  <si>
    <t>Dashboard lee automáticamente desde las 3 hojas operativas.</t>
  </si>
  <si>
    <t>UNIVERSIDAD MASTER T2 2026</t>
  </si>
  <si>
    <t>Centro de control académico: horario, ramos, evaluaciones, contenido, alertas y avance</t>
  </si>
  <si>
    <t>Pendientes</t>
  </si>
  <si>
    <t>Críticas</t>
  </si>
  <si>
    <t>Bloques</t>
  </si>
  <si>
    <t>HORARIO SEMANAL T2</t>
  </si>
  <si>
    <t>Hora/Día</t>
  </si>
  <si>
    <t>Lunes</t>
  </si>
  <si>
    <t>Martes</t>
  </si>
  <si>
    <t>Miércoles</t>
  </si>
  <si>
    <t>Jueves</t>
  </si>
  <si>
    <t>Viernes</t>
  </si>
  <si>
    <t>Sábado</t>
  </si>
  <si>
    <t>Domingo</t>
  </si>
  <si>
    <t>19:00-20:10</t>
  </si>
  <si>
    <t>20:30-21:45</t>
  </si>
  <si>
    <t>RAMOS ACTIVOS</t>
  </si>
  <si>
    <t>Ramo</t>
  </si>
  <si>
    <t>Profesor</t>
  </si>
  <si>
    <t>Día</t>
  </si>
  <si>
    <t>Horario</t>
  </si>
  <si>
    <t>Dificultad</t>
  </si>
  <si>
    <t>Horas/semana</t>
  </si>
  <si>
    <t>Ponderación %</t>
  </si>
  <si>
    <t>Carola Muñoz Rencoret</t>
  </si>
  <si>
    <t>Patricia Pérez Espinoza</t>
  </si>
  <si>
    <t>Alejandra Pérez Bonilla</t>
  </si>
  <si>
    <t>Allison Marzal Rojo</t>
  </si>
  <si>
    <t>55_T2_CONTENIDOS_Y_AVANCE | Universidad T2 PRO</t>
  </si>
  <si>
    <t>Centro de control semanal: ramo, unidad, contenido, avance real y comprensión. Escala 0 a 100.</t>
  </si>
  <si>
    <t>Unidad</t>
  </si>
  <si>
    <t>Contenido / Materia</t>
  </si>
  <si>
    <t>Avance %</t>
  </si>
  <si>
    <t>Comprensión %</t>
  </si>
  <si>
    <t>Evidencia / Producto</t>
  </si>
  <si>
    <t>Bloques asociados</t>
  </si>
  <si>
    <t>Horas plan</t>
  </si>
  <si>
    <t>Horas reales</t>
  </si>
  <si>
    <t>Brecha %</t>
  </si>
  <si>
    <t>Próxima acción</t>
  </si>
  <si>
    <t>CONT-001</t>
  </si>
  <si>
    <t>Unidad 1: Integrales</t>
  </si>
  <si>
    <t>Antiderivadas, integral indefinida, reglas básicas</t>
  </si>
  <si>
    <t>Teoría/Ejercicios</t>
  </si>
  <si>
    <t>Resolver 20 integrales básicas</t>
  </si>
  <si>
    <t>CONT-002</t>
  </si>
  <si>
    <t>Sustitución, integración por partes, trigonométricas</t>
  </si>
  <si>
    <t>Ejercicios diarios de técnica</t>
  </si>
  <si>
    <t>CONT-003</t>
  </si>
  <si>
    <t>Funciones racionales, integral definida, Riemann</t>
  </si>
  <si>
    <t>Guía de ejercicios + formulario</t>
  </si>
  <si>
    <t>CONT-004</t>
  </si>
  <si>
    <t>Teorema fundamental, áreas, volúmenes, impropias</t>
  </si>
  <si>
    <t>Preparar evaluación unidad</t>
  </si>
  <si>
    <t>CONT-005</t>
  </si>
  <si>
    <t>Unidad 2: Multivariables</t>
  </si>
  <si>
    <t>Funciones de varias variables y derivadas parciales</t>
  </si>
  <si>
    <t>Mapear fórmulas + ejercicios</t>
  </si>
  <si>
    <t>CONT-006</t>
  </si>
  <si>
    <t>Unidad 2: Optimización</t>
  </si>
  <si>
    <t>Máximos, mínimos y puntos críticos</t>
  </si>
  <si>
    <t>Ejercicios de optimización</t>
  </si>
  <si>
    <t>CONT-007</t>
  </si>
  <si>
    <t>Unidad 2: Lagrange</t>
  </si>
  <si>
    <t>Multiplicadores de Lagrange y restricciones</t>
  </si>
  <si>
    <t>Preparar evaluación regular</t>
  </si>
  <si>
    <t>CONT-008</t>
  </si>
  <si>
    <t>Unidad 2: Integrales dobles</t>
  </si>
  <si>
    <t>Fubini, cambio de orden, áreas y volúmenes</t>
  </si>
  <si>
    <t>Consolidar unidad 2</t>
  </si>
  <si>
    <t>CONT-009</t>
  </si>
  <si>
    <t>Unidad 3: EDO</t>
  </si>
  <si>
    <t>Definición, variables separables, exactas, lineales</t>
  </si>
  <si>
    <t>Resumen de métodos</t>
  </si>
  <si>
    <t>CONT-010</t>
  </si>
  <si>
    <t>Unidad 3: EDO orden n</t>
  </si>
  <si>
    <t>Homogéneas/no homogéneas, coeficientes constantes</t>
  </si>
  <si>
    <t>Ejercicios modelo prueba</t>
  </si>
  <si>
    <t>CONT-011</t>
  </si>
  <si>
    <t>Unidad 3: Aplicaciones</t>
  </si>
  <si>
    <t>Modelos aplicados a Ingeniería Industrial</t>
  </si>
  <si>
    <t>Aplicaciones y casos</t>
  </si>
  <si>
    <t>CONT-012</t>
  </si>
  <si>
    <t>Unidad 3: Cierre</t>
  </si>
  <si>
    <t>Repaso global integrales, multivariables y EDO</t>
  </si>
  <si>
    <t>Preparar cierre/examen</t>
  </si>
  <si>
    <t>CONT-013</t>
  </si>
  <si>
    <t>Unidad 1: Cinemática</t>
  </si>
  <si>
    <t>Unidades de medida, SI, escalares, vectores</t>
  </si>
  <si>
    <t>Conversiones y vectores</t>
  </si>
  <si>
    <t>CONT-014</t>
  </si>
  <si>
    <t>Posición, desplazamiento, velocidad, aceleración</t>
  </si>
  <si>
    <t>Gráficos y unidades</t>
  </si>
  <si>
    <t>CONT-015</t>
  </si>
  <si>
    <t>MRU, MRUA, caída libre, lanzamiento vertical</t>
  </si>
  <si>
    <t>Ejercicios MRUA</t>
  </si>
  <si>
    <t>CONT-016</t>
  </si>
  <si>
    <t>Movimiento 2D, proyectiles, movimiento circular</t>
  </si>
  <si>
    <t>Preparar cuestionario 35%</t>
  </si>
  <si>
    <t>CONT-017</t>
  </si>
  <si>
    <t>Unidad 2: Dinámica</t>
  </si>
  <si>
    <t>Masa, peso, fuerza, diagrama de cuerpo libre</t>
  </si>
  <si>
    <t>DCL diarios</t>
  </si>
  <si>
    <t>CONT-018</t>
  </si>
  <si>
    <t>Leyes de Newton, roce y equilibrio</t>
  </si>
  <si>
    <t>Ejercicios Newton</t>
  </si>
  <si>
    <t>CONT-019</t>
  </si>
  <si>
    <t>Aplicación de equilibrio estático/dinámico</t>
  </si>
  <si>
    <t>Evaluación regular 35%</t>
  </si>
  <si>
    <t>CONT-020</t>
  </si>
  <si>
    <t>Cierre y tarea acumulativa</t>
  </si>
  <si>
    <t>Corrección de errores</t>
  </si>
  <si>
    <t>CONT-021</t>
  </si>
  <si>
    <t>Unidad 3: Trabajo y energía</t>
  </si>
  <si>
    <t>Trabajo mecánico y potencia</t>
  </si>
  <si>
    <t>Formularios</t>
  </si>
  <si>
    <t>CONT-022</t>
  </si>
  <si>
    <t>Unidad 3: Conservación energía</t>
  </si>
  <si>
    <t>Energía cinética, potencial, teorema trabajo-energía</t>
  </si>
  <si>
    <t>Evaluación acumulativa 6%</t>
  </si>
  <si>
    <t>CONT-023</t>
  </si>
  <si>
    <t>Unidad 4: Rotación</t>
  </si>
  <si>
    <t>Equilibrio de cuerpo rígido y momento de fuerza</t>
  </si>
  <si>
    <t>Ejercicios torque</t>
  </si>
  <si>
    <t>CONT-024</t>
  </si>
  <si>
    <t>Sistemas de fuerzas y cierre</t>
  </si>
  <si>
    <t>CONT-025</t>
  </si>
  <si>
    <t>Unidad 1: Probabilidad</t>
  </si>
  <si>
    <t>Definición, espacio muestral, espacio de probabilidad</t>
  </si>
  <si>
    <t>Laboratorio 1</t>
  </si>
  <si>
    <t>CONT-026</t>
  </si>
  <si>
    <t>Probabilidad condicional y multiplicativa</t>
  </si>
  <si>
    <t>Laboratorio 2</t>
  </si>
  <si>
    <t>CONT-027</t>
  </si>
  <si>
    <t>Unidad 1: Conteo</t>
  </si>
  <si>
    <t>Combinaciones, permutaciones, eventos independientes</t>
  </si>
  <si>
    <t>Laboratorio 3</t>
  </si>
  <si>
    <t>CONT-028</t>
  </si>
  <si>
    <t>Unidad 1: Bayes</t>
  </si>
  <si>
    <t>Probabilidad total y Bayes</t>
  </si>
  <si>
    <t>Preparar prueba Unidad I</t>
  </si>
  <si>
    <t>CONT-029</t>
  </si>
  <si>
    <t>Unidad 2: Estadística descriptiva</t>
  </si>
  <si>
    <t>Datos, tablas, gráficos y medidas</t>
  </si>
  <si>
    <t>Crear formulario</t>
  </si>
  <si>
    <t>CONT-030</t>
  </si>
  <si>
    <t>Unidad 2: Medidas</t>
  </si>
  <si>
    <t>Media, mediana, varianza, desviación estándar</t>
  </si>
  <si>
    <t>Ejercicios en Excel</t>
  </si>
  <si>
    <t>CONT-031</t>
  </si>
  <si>
    <t>Unidad 2: Distribuciones</t>
  </si>
  <si>
    <t>Variables aleatorias y distribuciones</t>
  </si>
  <si>
    <t>Ejercicios guiados</t>
  </si>
  <si>
    <t>CONT-032</t>
  </si>
  <si>
    <t>Unidad 2: Cierre</t>
  </si>
  <si>
    <t>Preparación prueba Unidad II</t>
  </si>
  <si>
    <t>Prueba escrita 30%</t>
  </si>
  <si>
    <t>CONT-033</t>
  </si>
  <si>
    <t>Unidad 3: Inferencia</t>
  </si>
  <si>
    <t>Muestras, estimación e intervalos</t>
  </si>
  <si>
    <t>Resumen inferencial</t>
  </si>
  <si>
    <t>CONT-034</t>
  </si>
  <si>
    <t>Unidad 3: Hipótesis</t>
  </si>
  <si>
    <t>Pruebas de hipótesis y aplicación</t>
  </si>
  <si>
    <t>Ejercicios tipo prueba</t>
  </si>
  <si>
    <t>CONT-035</t>
  </si>
  <si>
    <t>Unidad 3: Aplicación</t>
  </si>
  <si>
    <t>Regresión/correlación o aplicación estadística</t>
  </si>
  <si>
    <t>Proyecto/ayudantía</t>
  </si>
  <si>
    <t>CONT-036</t>
  </si>
  <si>
    <t>Preparación prueba Unidad III</t>
  </si>
  <si>
    <t>CONT-037</t>
  </si>
  <si>
    <t>Unidad 1: Escritura argumentativa</t>
  </si>
  <si>
    <t>Planificación, coherencia, cohesión, adecuación</t>
  </si>
  <si>
    <t>Planificar texto académico</t>
  </si>
  <si>
    <t>CONT-038</t>
  </si>
  <si>
    <t>Unidad 1: Discurso argumentativo</t>
  </si>
  <si>
    <t>Estructura argumentativa, tesis, argumento, respaldos</t>
  </si>
  <si>
    <t>Identificar estructura</t>
  </si>
  <si>
    <t>CONT-039</t>
  </si>
  <si>
    <t>Unidad 1: Discurso público</t>
  </si>
  <si>
    <t>Discurso público y argumentación; texto breve con tesis y argumento</t>
  </si>
  <si>
    <t>Evaluación 15%</t>
  </si>
  <si>
    <t>CONT-040</t>
  </si>
  <si>
    <t>Unidad 1: Originalidad</t>
  </si>
  <si>
    <t>Texto de opinión sobre originalidad y uso de IA</t>
  </si>
  <si>
    <t>CONT-041</t>
  </si>
  <si>
    <t>Unidad 1/2: Elevator Pitch</t>
  </si>
  <si>
    <t>Estructura oral profesional y audiencia</t>
  </si>
  <si>
    <t>Preparar guion</t>
  </si>
  <si>
    <t>CONT-042</t>
  </si>
  <si>
    <t>Unidad 2: Social media</t>
  </si>
  <si>
    <t>Mensaje efectivo, audiencia, propósito, canal</t>
  </si>
  <si>
    <t>Diseño de contenido</t>
  </si>
  <si>
    <t>CONT-043</t>
  </si>
  <si>
    <t>Unidad 2: Presentación digital</t>
  </si>
  <si>
    <t>Servicio profesional y propuesta de valor</t>
  </si>
  <si>
    <t>Avance video/presentación</t>
  </si>
  <si>
    <t>CONT-044</t>
  </si>
  <si>
    <t>Unidad 2: Evaluación</t>
  </si>
  <si>
    <t>Video/presentación de servicio profesional</t>
  </si>
  <si>
    <t>Evaluación regular</t>
  </si>
  <si>
    <t>CONT-045</t>
  </si>
  <si>
    <t>Unidad 2: Informe</t>
  </si>
  <si>
    <t>Informe de posicionamiento en redes sociales</t>
  </si>
  <si>
    <t>Borrador informe</t>
  </si>
  <si>
    <t>CONT-046</t>
  </si>
  <si>
    <t>Unidad 2: Social media aplicado</t>
  </si>
  <si>
    <t>Seguimiento, argumentación y evidencia</t>
  </si>
  <si>
    <t>Revisión APA/estructura</t>
  </si>
  <si>
    <t>CONT-047</t>
  </si>
  <si>
    <t>Informe final o presentación social media</t>
  </si>
  <si>
    <t>CONT-048</t>
  </si>
  <si>
    <t>Unidad 2: Cierre global</t>
  </si>
  <si>
    <t>Revisión final de comunicación escrita y oral</t>
  </si>
  <si>
    <t>Portafolio/cierre</t>
  </si>
  <si>
    <t>56_T2_ESTUDIO_Y_ERRORES | Registro real de estudio, aprendizaje, errores y repaso</t>
  </si>
  <si>
    <t>Una fila por bloque real de estudio o error crítico. Permite controlar si lo avanzado fue comprendido.</t>
  </si>
  <si>
    <t>Tema</t>
  </si>
  <si>
    <t>Tipo registro</t>
  </si>
  <si>
    <t>Resultado concreto</t>
  </si>
  <si>
    <t>Error detectado</t>
  </si>
  <si>
    <t>Causa raíz</t>
  </si>
  <si>
    <t>Corrección</t>
  </si>
  <si>
    <t>Impacto nota</t>
  </si>
  <si>
    <t>Estado error</t>
  </si>
  <si>
    <t>Próximo repaso</t>
  </si>
  <si>
    <t>Horas</t>
  </si>
  <si>
    <t>Probabilidad, Teorema de Bayes</t>
  </si>
  <si>
    <t>Probabilidad completa y probabilidad bayastina, Grado de creencia o interpretacion subjetiva de un idnividuo</t>
  </si>
  <si>
    <t>Falta estudiar mas en profundidad</t>
  </si>
  <si>
    <t xml:space="preserve">Repaso rapido y lectura </t>
  </si>
  <si>
    <t>Dedicar mas tiempo</t>
  </si>
  <si>
    <t>El jueve 25 ddedicar horas de estudio</t>
  </si>
  <si>
    <t>57_T2_EVALUACIONES_NOTAS | Calendario, evaluaciones, ponderaciones y notas T2</t>
  </si>
  <si>
    <t>Registrar aquí fechas de pruebas/trabajos, peso %, estado, preparación y nota. Peso se ingresa como número: 6, 35, etc.</t>
  </si>
  <si>
    <t>Preparación %</t>
  </si>
  <si>
    <t>Nota ponderada</t>
  </si>
  <si>
    <t>Evidencia / Link</t>
  </si>
  <si>
    <t>EVAL-001</t>
  </si>
  <si>
    <t>Texto argumentativo breve</t>
  </si>
  <si>
    <t>Sumativa</t>
  </si>
  <si>
    <t>2026-06-21</t>
  </si>
  <si>
    <t>Tesis + argumento sobre discurso público</t>
  </si>
  <si>
    <t>EVAL-002</t>
  </si>
  <si>
    <t>Evaluación Unidad 1</t>
  </si>
  <si>
    <t>Acumulativa</t>
  </si>
  <si>
    <t>Integrales aplicadas</t>
  </si>
  <si>
    <t>EVAL-003</t>
  </si>
  <si>
    <t>Tarea Cinemática</t>
  </si>
  <si>
    <t>MRU/MRUA/Caída libre</t>
  </si>
  <si>
    <t>EVAL-004</t>
  </si>
  <si>
    <t>Texto de opinión</t>
  </si>
  <si>
    <t>2026-06-28</t>
  </si>
  <si>
    <t>Originalidad en disciplina y uso de IA</t>
  </si>
  <si>
    <t>EVAL-005</t>
  </si>
  <si>
    <t>Cuestionario Unidad 1</t>
  </si>
  <si>
    <t>Regular</t>
  </si>
  <si>
    <t>Cinemática</t>
  </si>
  <si>
    <t>EVAL-006</t>
  </si>
  <si>
    <t>Prueba escrita Unidad I</t>
  </si>
  <si>
    <t>Fundamentos, condicional, combinaciones, Bayes</t>
  </si>
  <si>
    <t>EVAL-007</t>
  </si>
  <si>
    <t>Evaluación Unidad 2</t>
  </si>
  <si>
    <t>2026-07-19</t>
  </si>
  <si>
    <t>Multivariables y optimización</t>
  </si>
  <si>
    <t>EVAL-008</t>
  </si>
  <si>
    <t>Tarea Dinámica</t>
  </si>
  <si>
    <t>Leyes de Newton/Dinámica</t>
  </si>
  <si>
    <t>EVAL-009</t>
  </si>
  <si>
    <t>Video/presentación servicio profesional</t>
  </si>
  <si>
    <t>2026-07-26</t>
  </si>
  <si>
    <t>Presentar servicio en redes sociales</t>
  </si>
  <si>
    <t>EVAL-010</t>
  </si>
  <si>
    <t>Tarea Aplicación</t>
  </si>
  <si>
    <t>Aplicación dinámica</t>
  </si>
  <si>
    <t>EVAL-011</t>
  </si>
  <si>
    <t>Prueba escrita Unidad II</t>
  </si>
  <si>
    <t>Estadística descriptiva/distribuciones</t>
  </si>
  <si>
    <t>EVAL-012</t>
  </si>
  <si>
    <t>Evaluación Unidad 3</t>
  </si>
  <si>
    <t>2026-08-09</t>
  </si>
  <si>
    <t>Ecuaciones diferenciales</t>
  </si>
  <si>
    <t>EVAL-013</t>
  </si>
  <si>
    <t>Trabajo y energía</t>
  </si>
  <si>
    <t>EVAL-014</t>
  </si>
  <si>
    <t>Informe posicionamiento servicio</t>
  </si>
  <si>
    <t>2026-08-16</t>
  </si>
  <si>
    <t>Informe/social media</t>
  </si>
  <si>
    <t>EVAL-015</t>
  </si>
  <si>
    <t>Rotación I</t>
  </si>
  <si>
    <t>Torque/equilibrio</t>
  </si>
  <si>
    <t>EVAL-016</t>
  </si>
  <si>
    <t>2026-08-23</t>
  </si>
  <si>
    <t>Cierre/retroalimentación</t>
  </si>
  <si>
    <t>EVAL-017</t>
  </si>
  <si>
    <t>Evaluación final/cierre</t>
  </si>
  <si>
    <t>Cierre asignatura</t>
  </si>
  <si>
    <t>EVAL-018</t>
  </si>
  <si>
    <t>Rotación II</t>
  </si>
  <si>
    <t>Cierre rotación</t>
  </si>
  <si>
    <t>EVAL-019</t>
  </si>
  <si>
    <t>Prueba escrita Unidad III</t>
  </si>
  <si>
    <t>Inferencia/aplicaciones estadísticas</t>
  </si>
  <si>
    <t>EVAL-020</t>
  </si>
  <si>
    <t>Trabajo + ayudantía</t>
  </si>
  <si>
    <t>Trabajo aplicado</t>
  </si>
  <si>
    <t>58_DASHBOARD_ACADEMICO_T2 | Dashboard Universidad T2 PRO</t>
  </si>
  <si>
    <t>KPIs calculados automáticamente desde contenidos, estudio/errores y evaluaciones/notas.</t>
  </si>
  <si>
    <t>KPI</t>
  </si>
  <si>
    <t>Errores abiertos</t>
  </si>
  <si>
    <t>Nota actual</t>
  </si>
  <si>
    <t>Lectura ejecutiva</t>
  </si>
  <si>
    <t>Avance promedio contenido</t>
  </si>
  <si>
    <t>Avance bajo</t>
  </si>
  <si>
    <t>Revisar si Avance &lt; 60</t>
  </si>
  <si>
    <t>Planificar bloque fuerte</t>
  </si>
  <si>
    <t>Comprensión promedio</t>
  </si>
  <si>
    <t>Comprensión baja</t>
  </si>
  <si>
    <t>Revisar si Comprensión &lt; 70</t>
  </si>
  <si>
    <t>Crear repaso / ejercicios</t>
  </si>
  <si>
    <t>No dejar errores críticos sin cierre</t>
  </si>
  <si>
    <t>Registrar corrección</t>
  </si>
  <si>
    <t>Evaluaciones pendientes</t>
  </si>
  <si>
    <t>Mirar fechas y peso</t>
  </si>
  <si>
    <t>Preparar con anticipación</t>
  </si>
  <si>
    <t>Evaluaciones rendidas</t>
  </si>
  <si>
    <t>Nota actual ponderada</t>
  </si>
  <si>
    <t>Riesgos altos</t>
  </si>
  <si>
    <t>Contenidos</t>
  </si>
  <si>
    <t>Riesgo alto</t>
  </si>
  <si>
    <t>Ramos Activos | Ingeniería Industrial T2</t>
  </si>
  <si>
    <t>Control ejecutivo por ramo</t>
  </si>
  <si>
    <t>Créditos</t>
  </si>
  <si>
    <t>Evaluaciones totales</t>
  </si>
  <si>
    <t>Ponderación registrada</t>
  </si>
  <si>
    <t>Nota acumulada</t>
  </si>
  <si>
    <t>Decisión CEO</t>
  </si>
  <si>
    <t>Última revisión</t>
  </si>
  <si>
    <t>Martes 19:00-20:10</t>
  </si>
  <si>
    <t>Por confirmar</t>
  </si>
  <si>
    <t>Mantener seguimiento semanal</t>
  </si>
  <si>
    <t>Martes 20:30-21:45</t>
  </si>
  <si>
    <t>Miércoles 19:00-20:10</t>
  </si>
  <si>
    <t>Jueves 19:00-20:10</t>
  </si>
  <si>
    <t>Matriz de Prioridad Académica T2</t>
  </si>
  <si>
    <t>Ordena qué ramo atacar primero cada semana</t>
  </si>
  <si>
    <t>Evaluación esa semana</t>
  </si>
  <si>
    <t>Ponderación en riesgo</t>
  </si>
  <si>
    <t>Horas recomendadas</t>
  </si>
  <si>
    <t>Nivel de riesgo</t>
  </si>
  <si>
    <t>Prioridad Operativa</t>
  </si>
  <si>
    <t>Acción CEO</t>
  </si>
  <si>
    <t>Actividad práctica</t>
  </si>
  <si>
    <t>Resolver ejercicios + preparar entrega</t>
  </si>
  <si>
    <t>Crítico</t>
  </si>
  <si>
    <t>Tarea</t>
  </si>
  <si>
    <t>Cuestionario</t>
  </si>
  <si>
    <t>Prueba escrita Unidad III; Trabajo + ayudantía</t>
  </si>
  <si>
    <t>Redactar, revisar, entregar por buzón</t>
  </si>
  <si>
    <t>Cuestionario/cierre</t>
  </si>
  <si>
    <t>58_Dashboard_Academico | Dashboard Académico T2 2026</t>
  </si>
  <si>
    <t>Sistema mide; Robinson decide</t>
  </si>
  <si>
    <t>Ramos activos</t>
  </si>
  <si>
    <t>Evaluaciones registradas</t>
  </si>
  <si>
    <t>Total de hitos</t>
  </si>
  <si>
    <t>No perder fechas</t>
  </si>
  <si>
    <t>Ponderación registrada total</t>
  </si>
  <si>
    <t>Debe aproximarse a 400% global</t>
  </si>
  <si>
    <t>Validar con Canvas</t>
  </si>
  <si>
    <t>Bloques planificados</t>
  </si>
  <si>
    <t>Plan de estudio</t>
  </si>
  <si>
    <t>Ejecutar y registrar</t>
  </si>
  <si>
    <t>Bloques completados</t>
  </si>
  <si>
    <t>Ejecución real</t>
  </si>
  <si>
    <t>Subir cumplimiento</t>
  </si>
  <si>
    <t>Cumplimiento bloques</t>
  </si>
  <si>
    <t>Productividad académica</t>
  </si>
  <si>
    <t>Meta &gt;70%</t>
  </si>
  <si>
    <t>Evaluaciones críticas próximas</t>
  </si>
  <si>
    <t>Riesgo de plazo</t>
  </si>
  <si>
    <t>Atacar hoy</t>
  </si>
  <si>
    <t>Evaluaciones vencidas</t>
  </si>
  <si>
    <t>Riesgo máximo</t>
  </si>
  <si>
    <t>Reprogramar/gestionar</t>
  </si>
  <si>
    <t>Nota acumulada promedio</t>
  </si>
  <si>
    <t>Promedio ponderado parcial</t>
  </si>
  <si>
    <t>Meta 5.5+</t>
  </si>
  <si>
    <t>Ponderación</t>
  </si>
  <si>
    <t>Ejecutar bloques y revisar Canvas</t>
  </si>
  <si>
    <t>Control Trimestral T2 2026</t>
  </si>
  <si>
    <t>Seguimiento semanal para no perder ritmo</t>
  </si>
  <si>
    <t>Foco principal</t>
  </si>
  <si>
    <t>Decisión semana</t>
  </si>
  <si>
    <t>Ejecución de contenidos + tareas</t>
  </si>
  <si>
    <t>Física Mecánica: Tarea (0%); Cálculo II: Actividad práctica (0%)</t>
  </si>
  <si>
    <t>Pendiente decisión CEO</t>
  </si>
  <si>
    <t>Física Mecánica: Tarea (0%)</t>
  </si>
  <si>
    <t>Física Mecánica: Tarea (6%); Comunicación y Argumentación: Texto argumentativo breve (15%); Cálculo II: Evaluación Unidad 1 (6%)</t>
  </si>
  <si>
    <t>Física Mecánica: Cuestionario (35%); Probabilidad y Estadística: Prueba escrita Unidad I (30%); Comunicación y Argumentación: Texto de opinión (15%)</t>
  </si>
  <si>
    <t>Física Mecánica: Tarea (35%); Cálculo II: Evaluación Unidad 2 (35%)</t>
  </si>
  <si>
    <t>Física Mecánica: Tarea (6%); Probabilidad y Estadística: Prueba escrita Unidad II (30%); Comunicación y Argumentación: Video/presentación servicio profesional (35%)</t>
  </si>
  <si>
    <t>Física Mecánica: Tarea (6%); Cálculo II: Evaluación Unidad 3 (6%)</t>
  </si>
  <si>
    <t>Física Mecánica: Tarea (6%); Comunicación y Argumentación: Informe posicionamiento servicio (30%)</t>
  </si>
  <si>
    <t>Física Mecánica: Tarea (6%); Probabilidad y Estadística: Prueba escrita Unidad III (30%); Probabilidad y Estadística: Trabajo + ayudantía (10%); Comunicación y Argumentación: Cuestionario/cierre (5%); Cálculo II: Evaluación final/cierre (53%)</t>
  </si>
  <si>
    <t>T2 RAMOS ACTIVOS</t>
  </si>
  <si>
    <t>Ramos oficiales del segundo trimestre 2026</t>
  </si>
  <si>
    <t>Ponderación total</t>
  </si>
  <si>
    <t>T2 EVALUACIONES</t>
  </si>
  <si>
    <t>Fechas, porcentajes, estado, riesgo y notas</t>
  </si>
  <si>
    <t>Actividad</t>
  </si>
  <si>
    <t>Contenido</t>
  </si>
  <si>
    <t>Días restantes</t>
  </si>
  <si>
    <t>Acción inmediata</t>
  </si>
  <si>
    <t>EV-001</t>
  </si>
  <si>
    <t>Preparar / entregar / estudiar</t>
  </si>
  <si>
    <t>EV-002</t>
  </si>
  <si>
    <t>EV-003</t>
  </si>
  <si>
    <t>EV-004</t>
  </si>
  <si>
    <t>EV-005</t>
  </si>
  <si>
    <t>EV-006</t>
  </si>
  <si>
    <t>EV-007</t>
  </si>
  <si>
    <t>EV-008</t>
  </si>
  <si>
    <t>EV-009</t>
  </si>
  <si>
    <t>EV-010</t>
  </si>
  <si>
    <t>EV-011</t>
  </si>
  <si>
    <t>EV-012</t>
  </si>
  <si>
    <t>EV-013</t>
  </si>
  <si>
    <t>EV-014</t>
  </si>
  <si>
    <t>EV-015</t>
  </si>
  <si>
    <t>EV-016</t>
  </si>
  <si>
    <t>EV-017</t>
  </si>
  <si>
    <t>EV-018</t>
  </si>
  <si>
    <t>EV-019</t>
  </si>
  <si>
    <t>EV-020</t>
  </si>
  <si>
    <t>T2 BLOQUES DE ESTUDIO</t>
  </si>
  <si>
    <t>Plan semanal operativo conectado a ramos críticos</t>
  </si>
  <si>
    <t>Ramo/Sistema</t>
  </si>
  <si>
    <t>Resultado real</t>
  </si>
  <si>
    <t>20:00-21:30</t>
  </si>
  <si>
    <t>Ejercicios y preclase</t>
  </si>
  <si>
    <t>Completado</t>
  </si>
  <si>
    <t>Revision de contenido Canva</t>
  </si>
  <si>
    <t>Plataforma no estaba habiltada todavia</t>
  </si>
  <si>
    <t>18:00-18:45</t>
  </si>
  <si>
    <t>Preparación clase</t>
  </si>
  <si>
    <t>Preparación clase/lab</t>
  </si>
  <si>
    <t>Preparación clase/guía</t>
  </si>
  <si>
    <t>Descarca de material de estudio</t>
  </si>
  <si>
    <t>Plataforma habilitada descargar material para chat gpt</t>
  </si>
  <si>
    <t>Resolución guía</t>
  </si>
  <si>
    <t>Solo revision de informacion</t>
  </si>
  <si>
    <t>10:00-12:00</t>
  </si>
  <si>
    <t>Laboratorio + ejercicios</t>
  </si>
  <si>
    <t>12:30-13:30</t>
  </si>
  <si>
    <t>Redacción/entregas</t>
  </si>
  <si>
    <t>19:00-20:00</t>
  </si>
  <si>
    <t>Universidad Master</t>
  </si>
  <si>
    <t>Revisión Canvas + cierre semanal</t>
  </si>
  <si>
    <t>Entrega de trabajos y purbas diagnostico</t>
  </si>
  <si>
    <t>Entrega de trabajos y pruebas de diagnostico</t>
  </si>
  <si>
    <t>Trabajo de Probabilidad y estadisticas me dio plazo hasta el miercoles era un trabajo grupo lo are solo</t>
  </si>
  <si>
    <t>inicio de primer dia de estudio</t>
  </si>
  <si>
    <t>Calculo II, trabajo de Probabilidad y estadistica</t>
  </si>
  <si>
    <t>CALENDARIO T2 JUNIO–AGOSTO 2026</t>
  </si>
  <si>
    <t>Semanas oficiales, fechas y focos de estudio</t>
  </si>
  <si>
    <t>Cálculo II: Evaluación Unidad 1 (6%); Comunicación y Argumentación: Texto argumentativo breve (15%); Física Mecánica: Tarea Cinemática (6%)</t>
  </si>
  <si>
    <t>Comunicación y Argumentación: Texto de opinión (15%); Probabilidad y Estadística: Prueba escrita Unidad I (30%); Física Mecánica: Cuestionario Unidad 1 (35%)</t>
  </si>
  <si>
    <t>Cálculo II: Evaluación Unidad 2 (35%); Física Mecánica: Tarea Dinámica (35%)</t>
  </si>
  <si>
    <t>Comunicación y Argumentación: Video/presentación servicio profesional (35%); Probabilidad y Estadística: Prueba escrita Unidad II (30%); Física Mecánica: Tarea Aplicación (6%)</t>
  </si>
  <si>
    <t>Cálculo II: Evaluación Unidad 3 (6%); Física Mecánica: Trabajo y energía (6%)</t>
  </si>
  <si>
    <t>Comunicación y Argumentación: Informe posicionamiento servicio (30%); Física Mecánica: Rotación I (6%)</t>
  </si>
  <si>
    <t>Cálculo II: Evaluación final/cierre (53%); Comunicación y Argumentación: Cierre (5%); Probabilidad y Estadística: Prueba escrita Unidad III (30%); Probabilidad y Estadística: Trabajo + ayudantía (10%); Física Mecánica: Rotación II (6%)</t>
  </si>
  <si>
    <t>DASHBOARD ACADÉMICO T2</t>
  </si>
  <si>
    <t>Indicadores, riesgo, evaluaciones y cumplimiento</t>
  </si>
  <si>
    <t>Mantener control</t>
  </si>
  <si>
    <t>Revisar fechas</t>
  </si>
  <si>
    <t>Ejecutar</t>
  </si>
  <si>
    <t>Críticas/vencidas</t>
  </si>
  <si>
    <t>Errores registrados</t>
  </si>
  <si>
    <t>Corregir</t>
  </si>
  <si>
    <t>T2 2026 | Contenidos por Ramo y Semana</t>
  </si>
  <si>
    <t>Semanas 1–12. Semanas 1–4 alimentadas por archivos Canvas subidos.</t>
  </si>
  <si>
    <t>Contenido principal</t>
  </si>
  <si>
    <t>Producto de estudio</t>
  </si>
  <si>
    <t>Horas estimadas</t>
  </si>
  <si>
    <t>Evidencia</t>
  </si>
  <si>
    <t>APUS1-4 Cálculo II / Plan</t>
  </si>
  <si>
    <t>Resumen / ejercicios / entrega</t>
  </si>
  <si>
    <t>APUS1-4 Cálculo II</t>
  </si>
  <si>
    <t>Plan asignatura</t>
  </si>
  <si>
    <t>APUS1 Física / Guía S1</t>
  </si>
  <si>
    <t>APUS2 Física / Guía S2</t>
  </si>
  <si>
    <t>APUS3 Física / RECS3</t>
  </si>
  <si>
    <t>APUS4 Física / Guía S4</t>
  </si>
  <si>
    <t>Plan Física</t>
  </si>
  <si>
    <t>APUS1 Prob / Lab S1</t>
  </si>
  <si>
    <t>APUS2 Prob / Lab S2</t>
  </si>
  <si>
    <t>APUS3 Prob / Lab S3</t>
  </si>
  <si>
    <t>APUS4 Prob / Lab S4</t>
  </si>
  <si>
    <t>Programa asignatura</t>
  </si>
  <si>
    <t>Plan/Infografía S1</t>
  </si>
  <si>
    <t>Guía S2</t>
  </si>
  <si>
    <t>CyA S3</t>
  </si>
  <si>
    <t>CyA S4</t>
  </si>
  <si>
    <t>T2 ERRORES DE APRENDIZAJE</t>
  </si>
  <si>
    <t>Registro de fallas, corrección y refuerzo</t>
  </si>
  <si>
    <t>Ejercicio similar</t>
  </si>
  <si>
    <t>Revisión 1</t>
  </si>
  <si>
    <t>Revisión 2</t>
  </si>
  <si>
    <t>Impacto</t>
  </si>
  <si>
    <t>Integrales</t>
  </si>
  <si>
    <t>Olvidar constante C</t>
  </si>
  <si>
    <t>Falta de hábito</t>
  </si>
  <si>
    <t>Agregar C en integrales indefinidas</t>
  </si>
  <si>
    <t>10 integrales básicas</t>
  </si>
  <si>
    <t>Unidades</t>
  </si>
  <si>
    <t>No convertir unidades antes de operar</t>
  </si>
  <si>
    <t>Lectura rápida</t>
  </si>
  <si>
    <t>Convertir todo al SI</t>
  </si>
  <si>
    <t>5 conversiones</t>
  </si>
  <si>
    <t>Espacio muestral</t>
  </si>
  <si>
    <t>Confundir evento con espacio muestral</t>
  </si>
  <si>
    <t>Base conceptual</t>
  </si>
  <si>
    <t>Listar resultados antes de calcular</t>
  </si>
  <si>
    <t>Dados/monedas/cartas</t>
  </si>
  <si>
    <t>Redacción</t>
  </si>
  <si>
    <t>Tesis poco clara</t>
  </si>
  <si>
    <t>Planificación débil</t>
  </si>
  <si>
    <t>Redactar tesis en una oración</t>
  </si>
  <si>
    <t>Revisión de coherencia</t>
  </si>
  <si>
    <t>UNIVERSIDAD MASTER | Centro de Control Académico T2 2026</t>
  </si>
  <si>
    <t>Ingeniería Industrial Online | Junio–Agosto 2026</t>
  </si>
  <si>
    <t>Módulo</t>
  </si>
  <si>
    <t>Dato clave</t>
  </si>
  <si>
    <t>Hoja relacionada</t>
  </si>
  <si>
    <t>Operativo</t>
  </si>
  <si>
    <t>Semanas 1–12 + finales</t>
  </si>
  <si>
    <t>Control lunes/domingo</t>
  </si>
  <si>
    <t>Semanas 1–12 cargadas</t>
  </si>
  <si>
    <t>Priorizar semanas críticas</t>
  </si>
  <si>
    <t>Ponderaciones y fechas cargadas</t>
  </si>
  <si>
    <t>Validar fechas en Canvas</t>
  </si>
  <si>
    <t>Study System</t>
  </si>
  <si>
    <t>Bloques semanales generados</t>
  </si>
  <si>
    <t>Notas</t>
  </si>
  <si>
    <t>Proyección por ramo</t>
  </si>
  <si>
    <t>Ingresar notas reales</t>
  </si>
  <si>
    <t>Errores de aprendizaje</t>
  </si>
  <si>
    <t>Registro inicial creado</t>
  </si>
  <si>
    <t>Corregir errores recurrentes</t>
  </si>
  <si>
    <t>Indicadores académicos</t>
  </si>
  <si>
    <t>Revisar 2 veces/semana</t>
  </si>
  <si>
    <t>Bloques de Estudio | Consolidado Operativo</t>
  </si>
  <si>
    <t>Copia ejecutiva de los bloques T2</t>
  </si>
  <si>
    <t>Preclase + 8 ejercicios</t>
  </si>
  <si>
    <t>Entrega/redacción</t>
  </si>
  <si>
    <t>Calendario Académico General | T2 2026</t>
  </si>
  <si>
    <t>Calendario operativo conectado a evaluaciones y bloques</t>
  </si>
  <si>
    <t>Fecha cierre</t>
  </si>
  <si>
    <t>Comunicación</t>
  </si>
  <si>
    <t>Probabilidad</t>
  </si>
  <si>
    <t>Física</t>
  </si>
  <si>
    <t>Evaluaciones críticas</t>
  </si>
  <si>
    <t>Estado semana</t>
  </si>
  <si>
    <t>Revisión Canvas</t>
  </si>
  <si>
    <t>Cierre Domingo</t>
  </si>
  <si>
    <t>53 ERRORES DE APRENDIZAJE — BANCO PERMANENTE</t>
  </si>
  <si>
    <t>El error es una unidad de mejora. Si se repite, debe registrarse, corregirse y revisarse.</t>
  </si>
  <si>
    <t>Causa</t>
  </si>
  <si>
    <t>Revisado S/N</t>
  </si>
  <si>
    <t>Tipo error</t>
  </si>
  <si>
    <t>Aplicación corregida</t>
  </si>
  <si>
    <t>Evaluaciones Universidad | Consolidado T2</t>
  </si>
  <si>
    <t>Resumen ejecutivo de evaluaciones activas</t>
  </si>
  <si>
    <t>Guía Semana 1: unidades/vectores</t>
  </si>
  <si>
    <t>Confirmado plan</t>
  </si>
  <si>
    <t>Guía Semana 2: velocidad/aceleración</t>
  </si>
  <si>
    <t>Cinemática MRU/MRUA/Caída libre</t>
  </si>
  <si>
    <t>Cierre Unidad 1 Cinemática</t>
  </si>
  <si>
    <t>Dinámica: fuerza/DCL</t>
  </si>
  <si>
    <t>Dinámica: Newton/roce</t>
  </si>
  <si>
    <t>Cierre Unidad 2 Dinámica</t>
  </si>
  <si>
    <t>Programa confirma ponderación; fecha estimada</t>
  </si>
  <si>
    <t>Trabajo basado en proyecto + ayudantía</t>
  </si>
  <si>
    <t>Confirmado programa; fecha por confirmar</t>
  </si>
  <si>
    <t>Confirmado Canvas semana 3</t>
  </si>
  <si>
    <t>Originalidad en la disciplina y uso de IA</t>
  </si>
  <si>
    <t>Confirmado Canvas semana 4</t>
  </si>
  <si>
    <t>Plan asignatura; fecha estimada</t>
  </si>
  <si>
    <t>Informe grupal/social media</t>
  </si>
  <si>
    <t>Cierre y retroalimentación</t>
  </si>
  <si>
    <t>Por confirmar Canvas</t>
  </si>
  <si>
    <t>EV-021</t>
  </si>
  <si>
    <t>Integrales básicas</t>
  </si>
  <si>
    <t>Plan online; por confirmar Canvas</t>
  </si>
  <si>
    <t>EV-022</t>
  </si>
  <si>
    <t>EV-023</t>
  </si>
  <si>
    <t>EV-024</t>
  </si>
  <si>
    <t>Plan; por confirmar</t>
  </si>
  <si>
    <t>EV-025</t>
  </si>
  <si>
    <t>Por confirmar en Canvas</t>
  </si>
  <si>
    <t>Notas y Proyección T2</t>
  </si>
  <si>
    <t>Ingrese notas reales cuando Canvas las publique</t>
  </si>
  <si>
    <t>Ponderación total registrada</t>
  </si>
  <si>
    <t>Nota ponderada actual</t>
  </si>
  <si>
    <t>Nota objetivo</t>
  </si>
  <si>
    <t>Brecha</t>
  </si>
  <si>
    <t>Nota necesaria restante</t>
  </si>
  <si>
    <t>56 Repaso Inteligente Élite</t>
  </si>
  <si>
    <t>Sistema de repetición: errores y temas críticos vuelven al calendario.</t>
  </si>
  <si>
    <t>Fecha creación</t>
  </si>
  <si>
    <t>Dificultad 1-5</t>
  </si>
  <si>
    <t>Último repaso</t>
  </si>
  <si>
    <t>Veces repasado</t>
  </si>
  <si>
    <t>Aplicación real</t>
  </si>
  <si>
    <t>Dominio</t>
  </si>
  <si>
    <t>Cálculo I</t>
  </si>
  <si>
    <t>Derivada como tasa de cambio</t>
  </si>
  <si>
    <t>Semana 9</t>
  </si>
  <si>
    <t>Revisar hasta poder explicarlo sin mirar.</t>
  </si>
  <si>
    <t>Explicar con ejemplo laboral/profesional.</t>
  </si>
  <si>
    <t>Regla de la cadena</t>
  </si>
  <si>
    <t>L’Hôpital</t>
  </si>
  <si>
    <t>Semana 10</t>
  </si>
  <si>
    <t>Máximos y mínimos</t>
  </si>
  <si>
    <t>Semana 11</t>
  </si>
  <si>
    <t>Optimización aplicada</t>
  </si>
  <si>
    <t>Semana 12</t>
  </si>
  <si>
    <t>Química</t>
  </si>
  <si>
    <t>Kc/Kp y Le Chatelier</t>
  </si>
  <si>
    <t>pH ácidos y bases</t>
  </si>
  <si>
    <t>Carbono e hidrocarburos</t>
  </si>
  <si>
    <t>Contaminación industrial</t>
  </si>
  <si>
    <t>Solución medioambiental</t>
  </si>
  <si>
    <t>Comunicación no verbal</t>
  </si>
  <si>
    <t>Tipos no verbales</t>
  </si>
  <si>
    <t>Reportaje</t>
  </si>
  <si>
    <t>Industria y Desarrollo</t>
  </si>
  <si>
    <t>Economía circular profunda</t>
  </si>
  <si>
    <t>PaaS, funcionalidad, residuos</t>
  </si>
  <si>
    <t>Diseño proyecto circular</t>
  </si>
  <si>
    <t>MGC &amp; MARKET INTELLIGENCE</t>
  </si>
  <si>
    <t>30 MGC CRM / RED ESTRATÉGICA — V6.4 CONECTADO A FLUJO EMPRESAS</t>
  </si>
  <si>
    <t>CRM activo conectado desde clasificación. A pasa a CRM directo; B puede entrar como investigación/seguimiento.</t>
  </si>
  <si>
    <t>Fecha ingreso</t>
  </si>
  <si>
    <t>Nombre contacto</t>
  </si>
  <si>
    <t>Empresa</t>
  </si>
  <si>
    <t>País</t>
  </si>
  <si>
    <t>Tipo red</t>
  </si>
  <si>
    <t>Mineral / Sector</t>
  </si>
  <si>
    <t>Rol cadena</t>
  </si>
  <si>
    <t>Calidad A/B/C</t>
  </si>
  <si>
    <t>Empresa entendida S/N</t>
  </si>
  <si>
    <t>Utilidad futura</t>
  </si>
  <si>
    <t>Fecha seguimiento</t>
  </si>
  <si>
    <t>Resumen CRM</t>
  </si>
  <si>
    <t>Total contactos</t>
  </si>
  <si>
    <t>Contactos A</t>
  </si>
  <si>
    <t>Empresas entendidas</t>
  </si>
  <si>
    <t>Seguimientos pendientes</t>
  </si>
  <si>
    <t>31 Red / Empresas / Holding</t>
  </si>
  <si>
    <t>Mapa de red interconectada: MGC, Latitud Norte, universidad, trabajo y entorno empresarial.</t>
  </si>
  <si>
    <t>Línea</t>
  </si>
  <si>
    <t>Meta Mayo</t>
  </si>
  <si>
    <t>% Cumplimiento</t>
  </si>
  <si>
    <t>Decisión / Próximo paso</t>
  </si>
  <si>
    <t>Laboral</t>
  </si>
  <si>
    <t>Académica</t>
  </si>
  <si>
    <t>Empresarial</t>
  </si>
  <si>
    <t>Institucional</t>
  </si>
  <si>
    <t>32 OPORTUNIDADES — V6.4 CONECTADO A CLASIFICACIÓN</t>
  </si>
  <si>
    <t>Se alimenta desde 41_Clasificacion_Empresas. A y B pasan a oportunidad. C queda en observación. X no entra al pipeline.</t>
  </si>
  <si>
    <t>Valor potencial</t>
  </si>
  <si>
    <t>Link Dossier</t>
  </si>
  <si>
    <t>Motivo valor</t>
  </si>
  <si>
    <t>33 SEGUIMIENTOS — V6.4 CONECTADO A OPORTUNIDADES</t>
  </si>
  <si>
    <t>Seguimiento operativo desde oportunidades A/B. Toda oportunidad activa debe tener próxima acción, fecha y estado.</t>
  </si>
  <si>
    <t>Contacto/Empresa</t>
  </si>
  <si>
    <t>Estado seguimiento</t>
  </si>
  <si>
    <t>Fecha próxima</t>
  </si>
  <si>
    <t>Canal</t>
  </si>
  <si>
    <t>ESTUDIO DE EMPRESAS / MERCADO — INVESTIGACIÓN PROFUNDA</t>
  </si>
  <si>
    <t>Vertical</t>
  </si>
  <si>
    <t>País / Zona</t>
  </si>
  <si>
    <t>Web / LinkedIn</t>
  </si>
  <si>
    <t>Qué hace</t>
  </si>
  <si>
    <t>Modelo de negocio</t>
  </si>
  <si>
    <t>Clientes objetivo</t>
  </si>
  <si>
    <t>Cómo capta/vende</t>
  </si>
  <si>
    <t>Productos/servicios</t>
  </si>
  <si>
    <t>Ticket / valor probable</t>
  </si>
  <si>
    <t>Competidores</t>
  </si>
  <si>
    <t>RRSS / presencia digital</t>
  </si>
  <si>
    <t>Tecnología / IA</t>
  </si>
  <si>
    <t>Legal / contratos</t>
  </si>
  <si>
    <t>Riesgos</t>
  </si>
  <si>
    <t>Oportunidad para MGC/LNR/LN</t>
  </si>
  <si>
    <t>Utilidad estratégica</t>
  </si>
  <si>
    <t>Link dossier</t>
  </si>
  <si>
    <t>SERC Consultoria Integral</t>
  </si>
  <si>
    <t>Argentina</t>
  </si>
  <si>
    <t>https://serc.com.ar</t>
  </si>
  <si>
    <t xml:space="preserve">Consultoria e intermediacion </t>
  </si>
  <si>
    <t>Contactar compradores y vendedores y hacer la intermediancion</t>
  </si>
  <si>
    <t>Compradores, productores. Etc</t>
  </si>
  <si>
    <t>Contactando por redes sociales</t>
  </si>
  <si>
    <t>Minerales, agricolas, ganaderas, etc</t>
  </si>
  <si>
    <t>MGC, Trafigura, etc</t>
  </si>
  <si>
    <t>no, solo web</t>
  </si>
  <si>
    <t>Según ellos desarrollando una plataforma</t>
  </si>
  <si>
    <t>Los tipicos</t>
  </si>
  <si>
    <t>Medio Alto, ya que no hay mayor informacion de la empresa, solo la propia de la web, no hay referecias</t>
  </si>
  <si>
    <t>Para MGC</t>
  </si>
  <si>
    <t>Podria ser interesante, comporbando la seriedad de la emprea</t>
  </si>
  <si>
    <t>C</t>
  </si>
  <si>
    <t>Estudiar más</t>
  </si>
  <si>
    <t>Investigacion a fondo, utilizando herramientas de analisis de la pagina web, y de la empresa</t>
  </si>
  <si>
    <t>41 CLASIFICACIÓN EMPRESAS — V6.4 FLUJO EMPRESAS</t>
  </si>
  <si>
    <t>Puente operativo entre Estudio de Empresas y Oportunidades/Seguimientos/CRM. Clasificación: A = inmediata, B = interesante, C = observar, X = descartar.</t>
  </si>
  <si>
    <t>ID Estudio</t>
  </si>
  <si>
    <t>Clasificación</t>
  </si>
  <si>
    <t>Lectura clasificación</t>
  </si>
  <si>
    <t>Siguiente destino</t>
  </si>
  <si>
    <t>Estado flujo</t>
  </si>
  <si>
    <t>MAPA DE MERCADO — MGC / LNR / LN</t>
  </si>
  <si>
    <t>Segmento</t>
  </si>
  <si>
    <t>Actor</t>
  </si>
  <si>
    <t>Cómo gana dinero</t>
  </si>
  <si>
    <t>Cliente objetivo</t>
  </si>
  <si>
    <t>Canales de venta</t>
  </si>
  <si>
    <t>Oportunidad para Robinson</t>
  </si>
  <si>
    <t>Minería</t>
  </si>
  <si>
    <t>Buyer / Steel Mill</t>
  </si>
  <si>
    <t>Compra mineral para producción.</t>
  </si>
  <si>
    <t>Margen industrial / producción.</t>
  </si>
  <si>
    <t>Productores, traders, proveedores.</t>
  </si>
  <si>
    <t>Relación directa, traders, mandates.</t>
  </si>
  <si>
    <t>Instrumentos, calidad, logística.</t>
  </si>
  <si>
    <t>Acceso a compradores reales.</t>
  </si>
  <si>
    <t>Trader</t>
  </si>
  <si>
    <t>Compra/vende o intermedia commodities.</t>
  </si>
  <si>
    <t>Spread / comisión.</t>
  </si>
  <si>
    <t>Buyers y sellers.</t>
  </si>
  <si>
    <t>Red internacional, LinkedIn, referidos.</t>
  </si>
  <si>
    <t>Bypass, documentación débil.</t>
  </si>
  <si>
    <t>Aprender estructura comercial.</t>
  </si>
  <si>
    <t>Inmobiliario</t>
  </si>
  <si>
    <t>Constructora</t>
  </si>
  <si>
    <t>Desarrolla proyectos.</t>
  </si>
  <si>
    <t>Venta de unidades / contratos.</t>
  </si>
  <si>
    <t>Compradores, inversionistas.</t>
  </si>
  <si>
    <t>Sala ventas, brokers, portales, ads.</t>
  </si>
  <si>
    <t>Stock, ciclos, permisos.</t>
  </si>
  <si>
    <t>Alianza para captación/venta.</t>
  </si>
  <si>
    <t>Corredor / Broker</t>
  </si>
  <si>
    <t>Intermedia propiedades.</t>
  </si>
  <si>
    <t>Comisión.</t>
  </si>
  <si>
    <t>Propietarios y compradores.</t>
  </si>
  <si>
    <t>Referidos, portales, redes.</t>
  </si>
  <si>
    <t>Competencia, confianza.</t>
  </si>
  <si>
    <t>Aliados o benchmark.</t>
  </si>
  <si>
    <t>LN</t>
  </si>
  <si>
    <t>Banca / Financiamiento</t>
  </si>
  <si>
    <t>Financia operaciones/personas.</t>
  </si>
  <si>
    <t>Intereses, comisiones, productos.</t>
  </si>
  <si>
    <t>Personas y empresas.</t>
  </si>
  <si>
    <t>Sucursales, apps, ejecutivos.</t>
  </si>
  <si>
    <t>Deuda cara, cupos.</t>
  </si>
  <si>
    <t>Entender capital y crédito.</t>
  </si>
  <si>
    <t>Tecnología</t>
  </si>
  <si>
    <t>CRM / IA / SaaS</t>
  </si>
  <si>
    <t>Automatiza relación y datos.</t>
  </si>
  <si>
    <t>Suscripción.</t>
  </si>
  <si>
    <t>Empresas y profesionales.</t>
  </si>
  <si>
    <t>Inbound, demos, ads.</t>
  </si>
  <si>
    <t>Costo, dependencia.</t>
  </si>
  <si>
    <t>Herramientas para sistema.</t>
  </si>
  <si>
    <t>GUÍA PARA 32_OPORTUNIDADES Y 33_SEGUIMIENTOS</t>
  </si>
  <si>
    <t>Opciones / escala</t>
  </si>
  <si>
    <t>Cuándo usar</t>
  </si>
  <si>
    <t>Ejemplo</t>
  </si>
  <si>
    <t>Regla</t>
  </si>
  <si>
    <t>Cliente potencial / Comprador / Vendedor-Proveedor / Alianza / Referidor / Aprendizaje mercado / Networking / Servicio-Proveedor / Inversión-Capital</t>
  </si>
  <si>
    <t>Cuando una empresa ya tiene potencial claro.</t>
  </si>
  <si>
    <t>Constructora que podría derivar propietarios.</t>
  </si>
  <si>
    <t>No todo contacto es oportunidad.</t>
  </si>
  <si>
    <t>Nueva / En estudio / Calificada / Contactar / Contactada / Seguimiento / Pausada / Descartada / Convertida</t>
  </si>
  <si>
    <t>Etapa real del proceso.</t>
  </si>
  <si>
    <t>Calificada si ya se investigó.</t>
  </si>
  <si>
    <t>No pasar a contacto sin estudio mínimo.</t>
  </si>
  <si>
    <t>Bajo / Medio / Alto / Estratégico</t>
  </si>
  <si>
    <t>Impacto para el sistema, no solo dinero.</t>
  </si>
  <si>
    <t>Estratégico si abre red o acceso.</t>
  </si>
  <si>
    <t>Puede ser alto por relación, mercado o aprendizaje.</t>
  </si>
  <si>
    <t>Baja / Media / Alta / Crítica</t>
  </si>
  <si>
    <t>Urgencia operacional.</t>
  </si>
  <si>
    <t>Crítica si hay fecha o respuesta pendiente.</t>
  </si>
  <si>
    <t>Evitar todo en alta.</t>
  </si>
  <si>
    <t>Bajo / Medio / Alto</t>
  </si>
  <si>
    <t>Riesgo de pérdida de tiempo, mala señal, bypass, deuda, humo.</t>
  </si>
  <si>
    <t>Trader sin documentos = alto.</t>
  </si>
  <si>
    <t>Riesgo alto exige más validación.</t>
  </si>
  <si>
    <t>10% / 25% / 50% / 75% / 90%</t>
  </si>
  <si>
    <t>Probabilidad subjetiva de avance.</t>
  </si>
  <si>
    <t>50% si ya respondió y calza.</t>
  </si>
  <si>
    <t>No usar 90% sin prueba real.</t>
  </si>
  <si>
    <t>70 MERCADO MGC — BUYERS / SUPPLIERS / TRADERS / MINERÍA</t>
  </si>
  <si>
    <t>Investigación de mercado minera: antes de contactar, entender mercado, país, producto, rol, riesgo, fuente y próximo paso.</t>
  </si>
  <si>
    <t>Rol</t>
  </si>
  <si>
    <t>Producto</t>
  </si>
  <si>
    <t>Buyer/Supplier/Trader</t>
  </si>
  <si>
    <t>Directo o intermediario</t>
  </si>
  <si>
    <t>Web/LinkedIn</t>
  </si>
  <si>
    <t>Validación KYC</t>
  </si>
  <si>
    <t>Señales riesgo</t>
  </si>
  <si>
    <t>Producto real</t>
  </si>
  <si>
    <t>Volumen probable</t>
  </si>
  <si>
    <t>LATITUD NORTE REAL ESTATE</t>
  </si>
  <si>
    <t>71 MERCADO LNR — INMOBILIARIO / CAPTACIÓN / ALIANZAS</t>
  </si>
  <si>
    <t>Mapa de mercado inmobiliario para Latitud Norte Real Estate: comunas, actores, propietarios, compradores, constructoras, inmobiliarias, brokers, alianzas.</t>
  </si>
  <si>
    <t>Actor / Empresa</t>
  </si>
  <si>
    <t>Tipo actor</t>
  </si>
  <si>
    <t>Comuna / Zona</t>
  </si>
  <si>
    <t>Web / RRSS</t>
  </si>
  <si>
    <t>Qué ofrece</t>
  </si>
  <si>
    <t>Cómo capta clientes</t>
  </si>
  <si>
    <t>Canales usados</t>
  </si>
  <si>
    <t>Propuesta de valor</t>
  </si>
  <si>
    <t>Oportunidad LNR</t>
  </si>
  <si>
    <t>Alianza posible</t>
  </si>
  <si>
    <t>72 COMPETENCIA — BENCHMARKING / ESTRATEGIA / POSICIONAMIENTO</t>
  </si>
  <si>
    <t>Estudio de competidores: web, RRSS, campañas, propuesta de valor, embudo, tecnología, autoridad y posibles aprendizajes.</t>
  </si>
  <si>
    <t>Rubro</t>
  </si>
  <si>
    <t>País/Zona</t>
  </si>
  <si>
    <t>Web</t>
  </si>
  <si>
    <t>Instagram</t>
  </si>
  <si>
    <t>LinkedIn</t>
  </si>
  <si>
    <t>Facebook</t>
  </si>
  <si>
    <t>TikTok/YouTube</t>
  </si>
  <si>
    <t>Oferta principal</t>
  </si>
  <si>
    <t>Embudo detectado</t>
  </si>
  <si>
    <t>Mensaje / Copy</t>
  </si>
  <si>
    <t>Tecnología usada</t>
  </si>
  <si>
    <t>Fortaleza</t>
  </si>
  <si>
    <t>Debilidad</t>
  </si>
  <si>
    <t>Qué copiar/mejorar</t>
  </si>
  <si>
    <t>73 CAMPAÑAS — META / GOOGLE / LINKEDIN / YOUTUBE / WHATSAPP</t>
  </si>
  <si>
    <t>Control de campañas por unidad: LNH, LNR, MGC y CaptaPropIA. Incluye embudo, audiencia, presupuesto, CPL, conversión y aprendizaje.</t>
  </si>
  <si>
    <t>Campaña</t>
  </si>
  <si>
    <t>Audiencia</t>
  </si>
  <si>
    <t>Oferta / Gancho</t>
  </si>
  <si>
    <t>Embudo</t>
  </si>
  <si>
    <t>Presupuesto</t>
  </si>
  <si>
    <t>Leads</t>
  </si>
  <si>
    <t>CPL</t>
  </si>
  <si>
    <t>Contactados</t>
  </si>
  <si>
    <t>Conversión</t>
  </si>
  <si>
    <t>Aprendizaje</t>
  </si>
  <si>
    <t>Próximo experimento</t>
  </si>
  <si>
    <t>74 ANÁLISIS WEB — LANDINGS / PORTALES / FUNNELS / UX</t>
  </si>
  <si>
    <t>Estudio técnico-comercial de páginas web, landing pages y portales. Sirve para aprender cómo convierten y qué mejorar en LNH/LNR/MGC/CaptaPropIA.</t>
  </si>
  <si>
    <t>Sitio / Empresa</t>
  </si>
  <si>
    <t>URL</t>
  </si>
  <si>
    <t>Objetivo del sitio</t>
  </si>
  <si>
    <t>CTA principal</t>
  </si>
  <si>
    <t>Oferta</t>
  </si>
  <si>
    <t>Formulario</t>
  </si>
  <si>
    <t>WhatsApp visible</t>
  </si>
  <si>
    <t>Velocidad / UX</t>
  </si>
  <si>
    <t>Confianza / pruebas sociales</t>
  </si>
  <si>
    <t>SEO / contenido</t>
  </si>
  <si>
    <t>Tracking detectado</t>
  </si>
  <si>
    <t>Ideas para LNH</t>
  </si>
  <si>
    <t>75 REDES SOCIALES — CONTENIDO / AUTORIDAD / NEUROMARKETING</t>
  </si>
  <si>
    <t>Análisis de redes sociales: Instagram, Facebook, LinkedIn, YouTube, TikTok. Se estudia mensaje, autoridad, confianza, contenido, CTA y conversión.</t>
  </si>
  <si>
    <t>Plataforma</t>
  </si>
  <si>
    <t>Seguidores</t>
  </si>
  <si>
    <t>Tipo contenido</t>
  </si>
  <si>
    <t>Gancho</t>
  </si>
  <si>
    <t>Autoridad</t>
  </si>
  <si>
    <t>Prueba social</t>
  </si>
  <si>
    <t>CTA</t>
  </si>
  <si>
    <t>Interacción</t>
  </si>
  <si>
    <t>Neuromarketing observado</t>
  </si>
  <si>
    <t>Qué aprender</t>
  </si>
  <si>
    <t>Aplicación LNH/LNR/MGC</t>
  </si>
  <si>
    <t>CAPTAPROPIA</t>
  </si>
  <si>
    <t>CAPTAPROPIA | HOJA MAESTRA OPERATIVA</t>
  </si>
  <si>
    <t>Arquitectura, desarrollo, automatización, testing, KPIs y stack tecnológico</t>
  </si>
  <si>
    <t>Fase</t>
  </si>
  <si>
    <t>Sprint</t>
  </si>
  <si>
    <t>Dependencia</t>
  </si>
  <si>
    <t>% avance</t>
  </si>
  <si>
    <t>Bloqueo</t>
  </si>
  <si>
    <t>Fecha revisión</t>
  </si>
  <si>
    <t>KPI asociado</t>
  </si>
  <si>
    <t>Herramienta</t>
  </si>
  <si>
    <t>Fase 0</t>
  </si>
  <si>
    <t>Infraestructura</t>
  </si>
  <si>
    <t>S0</t>
  </si>
  <si>
    <t>N/A</t>
  </si>
  <si>
    <t>Infraestructura lista</t>
  </si>
  <si>
    <t>Dominio/Hosting</t>
  </si>
  <si>
    <t>Hosting</t>
  </si>
  <si>
    <t>DB activa</t>
  </si>
  <si>
    <t>PostgreSQL/Supabase</t>
  </si>
  <si>
    <t>Fase 1</t>
  </si>
  <si>
    <t>Conversión landing</t>
  </si>
  <si>
    <t>Lovable/Sitejet</t>
  </si>
  <si>
    <t>Captación</t>
  </si>
  <si>
    <t>WhatsApp</t>
  </si>
  <si>
    <t>S1</t>
  </si>
  <si>
    <t>Landing</t>
  </si>
  <si>
    <t>Contactos útiles</t>
  </si>
  <si>
    <t>WhatsApp API</t>
  </si>
  <si>
    <t>Fase 2</t>
  </si>
  <si>
    <t>IA</t>
  </si>
  <si>
    <t>Scoring lead</t>
  </si>
  <si>
    <t>S2</t>
  </si>
  <si>
    <t>Base datos</t>
  </si>
  <si>
    <t>Precisión IA</t>
  </si>
  <si>
    <t>OpenAI</t>
  </si>
  <si>
    <t>Dueño vs corredor</t>
  </si>
  <si>
    <t>Datos leads</t>
  </si>
  <si>
    <t>Precisión clasificación</t>
  </si>
  <si>
    <t>Fase 3</t>
  </si>
  <si>
    <t>CRM</t>
  </si>
  <si>
    <t>Pipeline</t>
  </si>
  <si>
    <t>S3</t>
  </si>
  <si>
    <t>Scoring</t>
  </si>
  <si>
    <t>Google Sheets/HubSpot</t>
  </si>
  <si>
    <t>Fase 4</t>
  </si>
  <si>
    <t>Automatización</t>
  </si>
  <si>
    <t>Meta → Sheets</t>
  </si>
  <si>
    <t>S4</t>
  </si>
  <si>
    <t>Tiempo respuesta</t>
  </si>
  <si>
    <t>Zapier/Make</t>
  </si>
  <si>
    <t>Fase 5</t>
  </si>
  <si>
    <t>Dashboard MVP</t>
  </si>
  <si>
    <t>S5</t>
  </si>
  <si>
    <t>CPL/CAC/ROI</t>
  </si>
  <si>
    <t>Excel/BI</t>
  </si>
  <si>
    <t>78_STACK TECNOLÓGICO — CAPTAPROPIA</t>
  </si>
  <si>
    <t>Arquitectura tecnológica candidata para construir, automatizar, medir y escalar CaptaPropIA como plataforma de captación inmobiliaria con IA.</t>
  </si>
  <si>
    <t>PANEL EJECUTIVO — DECISIÓN TECNOLÓGICA</t>
  </si>
  <si>
    <t>Herramienta principal</t>
  </si>
  <si>
    <t>Alternativa</t>
  </si>
  <si>
    <t>Complejidad</t>
  </si>
  <si>
    <t>Costo</t>
  </si>
  <si>
    <t>Uso inmediato</t>
  </si>
  <si>
    <t>Frontend / UI</t>
  </si>
  <si>
    <t>Lovable</t>
  </si>
  <si>
    <t>Replit</t>
  </si>
  <si>
    <t>Aplicar</t>
  </si>
  <si>
    <t>USD bajo/medio</t>
  </si>
  <si>
    <t>🟢 Principal</t>
  </si>
  <si>
    <t>Dependencia de plataforma</t>
  </si>
  <si>
    <t>Landing + MVP visual</t>
  </si>
  <si>
    <t>Base de datos</t>
  </si>
  <si>
    <t>Supabase</t>
  </si>
  <si>
    <t>PostgreSQL</t>
  </si>
  <si>
    <t>Gratis/Pago</t>
  </si>
  <si>
    <t>Modelo de datos incompleto</t>
  </si>
  <si>
    <t>Leads, propiedades, scoring</t>
  </si>
  <si>
    <t>Render</t>
  </si>
  <si>
    <t>Railway</t>
  </si>
  <si>
    <t>🟡 Evaluar</t>
  </si>
  <si>
    <t>Costo si escala</t>
  </si>
  <si>
    <t>Despliegue backend</t>
  </si>
  <si>
    <t>IA / Scoring</t>
  </si>
  <si>
    <t>Claude</t>
  </si>
  <si>
    <t>Media-Alta</t>
  </si>
  <si>
    <t>API</t>
  </si>
  <si>
    <t>Costo por uso/API</t>
  </si>
  <si>
    <t>Clasificación y scoring</t>
  </si>
  <si>
    <t>N8N</t>
  </si>
  <si>
    <t>Make / Zapier</t>
  </si>
  <si>
    <t>Complejidad flujos</t>
  </si>
  <si>
    <t>Portales → CRM → WhatsApp</t>
  </si>
  <si>
    <t>Twilio</t>
  </si>
  <si>
    <t>Evolution API</t>
  </si>
  <si>
    <t>Cumplimiento y bloqueo</t>
  </si>
  <si>
    <t>Outreach propietarios</t>
  </si>
  <si>
    <t>HubSpot</t>
  </si>
  <si>
    <t>Zoho</t>
  </si>
  <si>
    <t>Baja-Media</t>
  </si>
  <si>
    <t>Duplicidad con Excel/Sheets</t>
  </si>
  <si>
    <t>Pipeline inicial</t>
  </si>
  <si>
    <t>Email</t>
  </si>
  <si>
    <t>Resend</t>
  </si>
  <si>
    <t>Mailgun</t>
  </si>
  <si>
    <t>Pago bajo</t>
  </si>
  <si>
    <t>Entregabilidad</t>
  </si>
  <si>
    <t>Notificaciones y secuencias</t>
  </si>
  <si>
    <t>Mapas / Geodatos</t>
  </si>
  <si>
    <t>Google Maps</t>
  </si>
  <si>
    <t>Mapbox</t>
  </si>
  <si>
    <t>Costo API</t>
  </si>
  <si>
    <t>Ubicación y zonas</t>
  </si>
  <si>
    <t>STACK DETALLADO POR BLOQUE</t>
  </si>
  <si>
    <t>Uso técnico</t>
  </si>
  <si>
    <t>Uso negocio</t>
  </si>
  <si>
    <t>Costo estimado</t>
  </si>
  <si>
    <t>Mitigación</t>
  </si>
  <si>
    <t>Frontend</t>
  </si>
  <si>
    <t>Interfaz, landing y MVP</t>
  </si>
  <si>
    <t>Validar propuesta visual y captación</t>
  </si>
  <si>
    <t>Limitación técnica si crece</t>
  </si>
  <si>
    <t>Exportar lógica y documentar</t>
  </si>
  <si>
    <t>Diseño de flujo</t>
  </si>
  <si>
    <t>Ideal para MVP rápido</t>
  </si>
  <si>
    <t>Prototipo full-stack</t>
  </si>
  <si>
    <t>Iteraciones técnicas rápidas</t>
  </si>
  <si>
    <t>USD bajo</t>
  </si>
  <si>
    <t>Menor facilidad visual</t>
  </si>
  <si>
    <t>Usar sólo si Lovable limita</t>
  </si>
  <si>
    <t>Repo/base técnica</t>
  </si>
  <si>
    <t>Alternativa técnica</t>
  </si>
  <si>
    <t>DB, auth, storage, API</t>
  </si>
  <si>
    <t>Leads, propiedades, usuarios, scoring</t>
  </si>
  <si>
    <t>Mala arquitectura de tablas</t>
  </si>
  <si>
    <t>Diseñar schema antes de cargar datos</t>
  </si>
  <si>
    <t>Modelo datos</t>
  </si>
  <si>
    <t>Recomendado para MVP</t>
  </si>
  <si>
    <t>Backend</t>
  </si>
  <si>
    <t>FastAPI/Node</t>
  </si>
  <si>
    <t>Supabase Functions</t>
  </si>
  <si>
    <t>API scoring/import/export</t>
  </si>
  <si>
    <t>Procesar leads y automatizaciones</t>
  </si>
  <si>
    <t>Complejidad técnica</t>
  </si>
  <si>
    <t>Partir con funciones simples</t>
  </si>
  <si>
    <t>Definir después de schema</t>
  </si>
  <si>
    <t>Deploy backend</t>
  </si>
  <si>
    <t>Disponibilidad MVP</t>
  </si>
  <si>
    <t>Costo y límites free</t>
  </si>
  <si>
    <t>Usar low-cost inicial</t>
  </si>
  <si>
    <t>Render más estable para backend</t>
  </si>
  <si>
    <t>Prompts, API, scoring</t>
  </si>
  <si>
    <t>Clasificar dueño/corredor, urgencia, oportunidad</t>
  </si>
  <si>
    <t>Costo y precisión</t>
  </si>
  <si>
    <t>Usar reglas + IA, no sólo IA</t>
  </si>
  <si>
    <t>Datos limpios</t>
  </si>
  <si>
    <t>Principal para scoring</t>
  </si>
  <si>
    <t>Reglas internas</t>
  </si>
  <si>
    <t>Score determinístico</t>
  </si>
  <si>
    <t>Controlar sesgo y costo</t>
  </si>
  <si>
    <t>Sin costo</t>
  </si>
  <si>
    <t>Reglas pobres</t>
  </si>
  <si>
    <t>Validar con ejemplos reales</t>
  </si>
  <si>
    <t>Datos</t>
  </si>
  <si>
    <t>Debe convivir con IA</t>
  </si>
  <si>
    <t>Make</t>
  </si>
  <si>
    <t>Orquestar flujos</t>
  </si>
  <si>
    <t>Reducir trabajo manual</t>
  </si>
  <si>
    <t>Flujos rotos</t>
  </si>
  <si>
    <t>Documentar cada workflow</t>
  </si>
  <si>
    <t>APIs</t>
  </si>
  <si>
    <t>Potente si se autohostea</t>
  </si>
  <si>
    <t>Zapier</t>
  </si>
  <si>
    <t>Flujos SaaS</t>
  </si>
  <si>
    <t>Integraciones rápidas</t>
  </si>
  <si>
    <t>Usar sólo flujos críticos</t>
  </si>
  <si>
    <t>Cuentas SaaS</t>
  </si>
  <si>
    <t>Más simple que N8N</t>
  </si>
  <si>
    <t>Mensajería API</t>
  </si>
  <si>
    <t>Contacto a propietarios</t>
  </si>
  <si>
    <t>Bloqueos/spam</t>
  </si>
  <si>
    <t>Plantillas y límites</t>
  </si>
  <si>
    <t>Validación legal</t>
  </si>
  <si>
    <t>Revisar cumplimiento</t>
  </si>
  <si>
    <t>Pipeline y seguimiento</t>
  </si>
  <si>
    <t>Gestión leads captados</t>
  </si>
  <si>
    <t>Duplicidad con Excel</t>
  </si>
  <si>
    <t>Definir CRM oficial</t>
  </si>
  <si>
    <t>Puede partir con Sheets</t>
  </si>
  <si>
    <t>Email transaccional</t>
  </si>
  <si>
    <t>Secuencias, alertas, reportes</t>
  </si>
  <si>
    <t>Spam</t>
  </si>
  <si>
    <t>Dominio verificado</t>
  </si>
  <si>
    <t>Resend simple para MVP</t>
  </si>
  <si>
    <t>Mapas</t>
  </si>
  <si>
    <t>Geocoding/mapas</t>
  </si>
  <si>
    <t>Zonas, comunas, distancia, scoring</t>
  </si>
  <si>
    <t>Cachear datos</t>
  </si>
  <si>
    <t>Datos ubicación</t>
  </si>
  <si>
    <t>Útil fase posterior</t>
  </si>
  <si>
    <t>Analítica</t>
  </si>
  <si>
    <t>Looker Studio</t>
  </si>
  <si>
    <t>Metabase</t>
  </si>
  <si>
    <t>Dashboard producto</t>
  </si>
  <si>
    <t>KPIs de captación y conversión</t>
  </si>
  <si>
    <t>Datos incompletos</t>
  </si>
  <si>
    <t>Definir eventos mínimos</t>
  </si>
  <si>
    <t>Posterior al MVP</t>
  </si>
  <si>
    <t>ROADMAP TECNOLÓGICO CAPTAPROPIA</t>
  </si>
  <si>
    <t>Herramientas clave</t>
  </si>
  <si>
    <t>Criterio de cierre</t>
  </si>
  <si>
    <t>Infraestructura mínima</t>
  </si>
  <si>
    <t>Dominio, GitHub, Supabase, Lovable</t>
  </si>
  <si>
    <t>Base MVP preparada</t>
  </si>
  <si>
    <t>Repo + DB + landing inicial</t>
  </si>
  <si>
    <t>No definir bien schema</t>
  </si>
  <si>
    <t>🟡 Pendiente</t>
  </si>
  <si>
    <t>Captación y carga de datos</t>
  </si>
  <si>
    <t>CSV, Supabase, formularios, portales</t>
  </si>
  <si>
    <t>Leads/properties cargados</t>
  </si>
  <si>
    <t>Base con 100 registros de prueba</t>
  </si>
  <si>
    <t>Datos sucios</t>
  </si>
  <si>
    <t>Scoring IA</t>
  </si>
  <si>
    <t>OpenAI + reglas internas</t>
  </si>
  <si>
    <t>Score 0-100 y dueño/corredor</t>
  </si>
  <si>
    <t>Precisión inicial &gt;70%</t>
  </si>
  <si>
    <t>Falsos positivos</t>
  </si>
  <si>
    <t>CRM / Pipeline</t>
  </si>
  <si>
    <t>HubSpot/Sheets/Supabase</t>
  </si>
  <si>
    <t>Seguimientos por estado</t>
  </si>
  <si>
    <t>Pipeline usable</t>
  </si>
  <si>
    <t>Duplicidad datos</t>
  </si>
  <si>
    <t>N8N/Make + WhatsApp/Email</t>
  </si>
  <si>
    <t>Primer flujo automático</t>
  </si>
  <si>
    <t>Contacto/control sin manualidad</t>
  </si>
  <si>
    <t>Spam/bloqueos</t>
  </si>
  <si>
    <t>Looker/Metabase/Sheets</t>
  </si>
  <si>
    <t>KPIs MVP medidos</t>
  </si>
  <si>
    <t>Leads, conversión, precisión</t>
  </si>
  <si>
    <t>Métricas incompletas</t>
  </si>
  <si>
    <t>MATRIZ DE DECISIÓN — APLICAR / EVALUAR / DESCARTAR</t>
  </si>
  <si>
    <t>Por qué</t>
  </si>
  <si>
    <t>Condición para aplicar</t>
  </si>
  <si>
    <t>Condición para descartar</t>
  </si>
  <si>
    <t>Acelera MVP visual y landing</t>
  </si>
  <si>
    <t>Permite exportar/iterar rápido</t>
  </si>
  <si>
    <t>Si limita backend crítico</t>
  </si>
  <si>
    <t>Prototipo landing + UI</t>
  </si>
  <si>
    <t>DB + API + auth con bajo costo</t>
  </si>
  <si>
    <t>Schema validado</t>
  </si>
  <si>
    <t>Si escala mal o complica permisos</t>
  </si>
  <si>
    <t>Diseñar tablas</t>
  </si>
  <si>
    <t>Necesario para clasificación y scoring</t>
  </si>
  <si>
    <t>Costo controlado y precisión aceptable</t>
  </si>
  <si>
    <t>Si precisión baja o costo alto</t>
  </si>
  <si>
    <t>Crear prompts y reglas</t>
  </si>
  <si>
    <t>Potente para automatización</t>
  </si>
  <si>
    <t>Flujos críticos definidos</t>
  </si>
  <si>
    <t>Si requiere demasiado soporte</t>
  </si>
  <si>
    <t>Probar flujo simple</t>
  </si>
  <si>
    <t>WhatsApp profesional</t>
  </si>
  <si>
    <t>Cumple costo y políticas</t>
  </si>
  <si>
    <t>Si hay riesgo de bloqueo alto</t>
  </si>
  <si>
    <t>Comparar con Evolution API</t>
  </si>
  <si>
    <t>CRM inicial fuerte</t>
  </si>
  <si>
    <t>No duplica Excel</t>
  </si>
  <si>
    <t>Si se vuelve complejo/caro</t>
  </si>
  <si>
    <t>Definir pipeline mínimo</t>
  </si>
  <si>
    <t>KPIs TECNOLÓGICOS — CONTROL MVP</t>
  </si>
  <si>
    <t>Meta MVP</t>
  </si>
  <si>
    <t>Estado actual</t>
  </si>
  <si>
    <t>Semáforo</t>
  </si>
  <si>
    <t>100%</t>
  </si>
  <si>
    <t>0%</t>
  </si>
  <si>
    <t>🔴 Crítico</t>
  </si>
  <si>
    <t>Aún no iniciado</t>
  </si>
  <si>
    <t>Base de datos diseñada</t>
  </si>
  <si>
    <t>Supabase/PostgreSQL</t>
  </si>
  <si>
    <t>Falta schema</t>
  </si>
  <si>
    <t>Registros de prueba</t>
  </si>
  <si>
    <t>100</t>
  </si>
  <si>
    <t>CSV/DB</t>
  </si>
  <si>
    <t>0</t>
  </si>
  <si>
    <t>Falta dataset</t>
  </si>
  <si>
    <t>Precisión scoring IA</t>
  </si>
  <si>
    <t>70% inicial / 90% objetivo</t>
  </si>
  <si>
    <t>OpenAI + validación</t>
  </si>
  <si>
    <t>Se mide al probar</t>
  </si>
  <si>
    <t>Primer flujo automatizado</t>
  </si>
  <si>
    <t>1 flujo</t>
  </si>
  <si>
    <t>N8N/Make</t>
  </si>
  <si>
    <t>Posterior a base de datos</t>
  </si>
  <si>
    <t>Costo mensual MVP</t>
  </si>
  <si>
    <t>Low-cost</t>
  </si>
  <si>
    <t>Stack</t>
  </si>
  <si>
    <t>Definir antes de suscribirse</t>
  </si>
  <si>
    <t>CONCLUSIÓN EJECUTIVA</t>
  </si>
  <si>
    <t>La hoja 78 queda como tablero operativo del stack tecnológico. No es una lista de herramientas: es una matriz de decisión para construir CaptaPropIA con bajo costo, control de riesgo, prioridad clara y roadmap tecnológico. La decisión final la toma Robinson; el Excel mide, ordena y alerta.</t>
  </si>
  <si>
    <t>LNH CORPORATE SYSTEM</t>
  </si>
  <si>
    <t>LNH CORPORATE SYSTEM | DASHBOARD HOLDING</t>
  </si>
  <si>
    <t>Finanzas, Universidad, MGC, LNR, CaptaPropIA, Salud, Vida Real y Divina Obsesión 2042</t>
  </si>
  <si>
    <t>Indicador clave</t>
  </si>
  <si>
    <t>Meta 2026</t>
  </si>
  <si>
    <t>Próxima revisión</t>
  </si>
  <si>
    <t>Patrimonio / caja</t>
  </si>
  <si>
    <t>Estabilidad + liquidez</t>
  </si>
  <si>
    <t>Universidad T2</t>
  </si>
  <si>
    <t>Evaluaciones y cumplimiento</t>
  </si>
  <si>
    <t>Aprobar T2 con control</t>
  </si>
  <si>
    <t>Revisar Canvas y notas</t>
  </si>
  <si>
    <t>Health &amp; Longevity</t>
  </si>
  <si>
    <t>Presión / controles / exámenes</t>
  </si>
  <si>
    <t>Control médico preventivo</t>
  </si>
  <si>
    <t>Agendar controles</t>
  </si>
  <si>
    <t>Divina Obsesión 2042</t>
  </si>
  <si>
    <t>Compounding sistema</t>
  </si>
  <si>
    <t>Dirección multianual</t>
  </si>
  <si>
    <t>Revisión estratégica</t>
  </si>
  <si>
    <t>RESUMEN EJECUTIVO</t>
  </si>
  <si>
    <t>Unidades alto riesgo</t>
  </si>
  <si>
    <t>Unidades operativas</t>
  </si>
  <si>
    <t>44 Salud — Presión, Cardio y Energía</t>
  </si>
  <si>
    <t>Control de salud real: presión arterial, cardio, descanso y cumplimiento. Importante por Holter/presión.</t>
  </si>
  <si>
    <t>Tipo Salud</t>
  </si>
  <si>
    <t>Actividad / detalle</t>
  </si>
  <si>
    <t>Presión sistólica</t>
  </si>
  <si>
    <t>Presión diastólica</t>
  </si>
  <si>
    <t>Cardio min</t>
  </si>
  <si>
    <t>Resumen Salud — conexión KPI mensual</t>
  </si>
  <si>
    <t>Registros salud</t>
  </si>
  <si>
    <t>cantidad de días/acciones registradas</t>
  </si>
  <si>
    <t>Días cumplidos</t>
  </si>
  <si>
    <t>salud ejecutada</t>
  </si>
  <si>
    <t>Días sin registro</t>
  </si>
  <si>
    <t>días del mes sin registro</t>
  </si>
  <si>
    <t>Energía promedio</t>
  </si>
  <si>
    <t>energía diaria</t>
  </si>
  <si>
    <t>Cardio total min</t>
  </si>
  <si>
    <t>cardio acumulado</t>
  </si>
  <si>
    <t>% cumplimiento salud</t>
  </si>
  <si>
    <t>métrica hacia KPI mensual</t>
  </si>
  <si>
    <t>Alertas presión</t>
  </si>
  <si>
    <t>sistólica &gt;=140 o diastólica &gt;=90</t>
  </si>
  <si>
    <t>SISTEMA ROBINSON GODOY 2026-2042</t>
  </si>
  <si>
    <t>FASE C3 COMPLETADA</t>
  </si>
  <si>
    <t>Total hojas maestras operativas</t>
  </si>
  <si>
    <t>FASE C2 CONSOLIDADA</t>
  </si>
  <si>
    <t>CaptaPropIA consolidado en hoja maestra 76_CaptaPropIA</t>
  </si>
  <si>
    <t>LNH Corporate consolidado en hoja maestra 82_LNH_Corporate_System</t>
  </si>
  <si>
    <t>Hojas C3-C4-C5 preservadas y ocultas</t>
  </si>
  <si>
    <t>Preparado para Fase C3 Final</t>
  </si>
  <si>
    <t>FASE C1 CONSOLIDADA</t>
  </si>
  <si>
    <t>MGC simplificado</t>
  </si>
  <si>
    <t>Market Intelligence simplificado</t>
  </si>
  <si>
    <t>LNR simplificado</t>
  </si>
  <si>
    <t>Hojas históricas preservadas y ocultas</t>
  </si>
  <si>
    <t>CLASIFICACION MANUAL DE BLOQUES</t>
  </si>
  <si>
    <t>CEO</t>
  </si>
  <si>
    <t>HISTORICOS</t>
  </si>
  <si>
    <t>AUDITORIA</t>
  </si>
  <si>
    <t>DASHBOARD CEO V6 — SISTEMA ROBINSON CONSOLIDADO</t>
  </si>
  <si>
    <t>Lectura CEO</t>
  </si>
  <si>
    <t>Caja / Liquidez</t>
  </si>
  <si>
    <t>Meta mínima $100.000</t>
  </si>
  <si>
    <t>Inversión activa</t>
  </si>
  <si>
    <t>Meta mínima $50.000</t>
  </si>
  <si>
    <t>Ingresos mayo</t>
  </si>
  <si>
    <t>Flujo entrante de mayo</t>
  </si>
  <si>
    <t>Gastos mayo</t>
  </si>
  <si>
    <t>Flujo saliente de mayo</t>
  </si>
  <si>
    <t>Flujo neto</t>
  </si>
  <si>
    <t>Ingresos - Gastos</t>
  </si>
  <si>
    <t>Control mensual real</t>
  </si>
  <si>
    <t>Deuda actual</t>
  </si>
  <si>
    <t>Saldo deuda vivo</t>
  </si>
  <si>
    <t>Liquidez + inversión - deuda</t>
  </si>
  <si>
    <t>Lectura patrimonial real</t>
  </si>
  <si>
    <t>1 fila por día</t>
  </si>
  <si>
    <t>Calidad &gt; volumen</t>
  </si>
  <si>
    <t>Oportunidades activas</t>
  </si>
  <si>
    <t>Score mensual</t>
  </si>
  <si>
    <t>Resultado ejecutivo</t>
  </si>
  <si>
    <t>FASE 5 — SISTEMA MASTER 2026</t>
  </si>
  <si>
    <t>Estructura mensual</t>
  </si>
  <si>
    <t>Un solo Excel anual</t>
  </si>
  <si>
    <t>Score anual</t>
  </si>
  <si>
    <t>Mayo-Diciembre</t>
  </si>
  <si>
    <t>Conciliación flexible</t>
  </si>
  <si>
    <t>Seleccionar mes</t>
  </si>
  <si>
    <t>Apertura / Registro / Cierre</t>
  </si>
  <si>
    <t>Preparado</t>
  </si>
  <si>
    <t>FASE 03 - LIMPIEZA OPERACIONAL</t>
  </si>
  <si>
    <t>Hojas ocultadas (Legacy)</t>
  </si>
  <si>
    <t>01 SCORE MAYO — V6.2 KPI Separado</t>
  </si>
  <si>
    <t>Score ponderado</t>
  </si>
  <si>
    <t>KPI Score (0-100)</t>
  </si>
  <si>
    <t>Registro ingresos/gastos</t>
  </si>
  <si>
    <t>Mantener registro diario</t>
  </si>
  <si>
    <t>Bloques/días universidad</t>
  </si>
  <si>
    <t>Priorizar ramo crítico</t>
  </si>
  <si>
    <t>Cerrar cada día</t>
  </si>
  <si>
    <t>Dossier → oportunidad</t>
  </si>
  <si>
    <t>20_Registro_CEO_V4 / 44_Salud</t>
  </si>
  <si>
    <t>Energía/salud</t>
  </si>
  <si>
    <t>Registrar presión/sueño</t>
  </si>
  <si>
    <t>Completar cierre semanal</t>
  </si>
  <si>
    <t>Mover empresas A/B</t>
  </si>
  <si>
    <t>TOTAL</t>
  </si>
  <si>
    <t>Sistema V6</t>
  </si>
  <si>
    <t>Score ejecutivo final</t>
  </si>
  <si>
    <t>Score final</t>
  </si>
  <si>
    <t>MAPA OPERACIONAL — VIDA REAL ↔ EXCEL ↔ DOSSIERS</t>
  </si>
  <si>
    <t>Acción en Vida Real</t>
  </si>
  <si>
    <t>Dónde se registra</t>
  </si>
  <si>
    <t>Cuándo se usa</t>
  </si>
  <si>
    <t>Nivel de detalle</t>
  </si>
  <si>
    <t>Resumen del día</t>
  </si>
  <si>
    <t>Cada noche/cierre</t>
  </si>
  <si>
    <t>Ejecutivo</t>
  </si>
  <si>
    <t>Trabajo sí, Universidad sí, nota 8/10.</t>
  </si>
  <si>
    <t>Ingreso real</t>
  </si>
  <si>
    <t>Cuando entra dinero</t>
  </si>
  <si>
    <t>Detalle financiero</t>
  </si>
  <si>
    <t>Monto exacto</t>
  </si>
  <si>
    <t>Sueldo, bono, transferencia.</t>
  </si>
  <si>
    <t>Cuando sale dinero</t>
  </si>
  <si>
    <t>No postergar</t>
  </si>
  <si>
    <t>Comida, transporte, cuenta.</t>
  </si>
  <si>
    <t>Banco vs Excel</t>
  </si>
  <si>
    <t>Diferencia explicada.</t>
  </si>
  <si>
    <t>51 / 53 / 55</t>
  </si>
  <si>
    <t>Después de estudiar</t>
  </si>
  <si>
    <t>Académico</t>
  </si>
  <si>
    <t>Registrar resultado y error</t>
  </si>
  <si>
    <t>Cálculo: LHopital.</t>
  </si>
  <si>
    <t>Empresa investigada</t>
  </si>
  <si>
    <t>40_Estudio_Empresas + Dossier Word</t>
  </si>
  <si>
    <t>Profundo</t>
  </si>
  <si>
    <t>CRM no reemplaza dossier</t>
  </si>
  <si>
    <t>Constructora, trader, inmobiliaria.</t>
  </si>
  <si>
    <t>Contacto CRM</t>
  </si>
  <si>
    <t>Después de evaluar utilidad</t>
  </si>
  <si>
    <t>Resumen relacional</t>
  </si>
  <si>
    <t>Solo si sirve o puede servir</t>
  </si>
  <si>
    <t>Contacto A/B/C.</t>
  </si>
  <si>
    <t>Oportunidad</t>
  </si>
  <si>
    <t>Cuando existe posibilidad real</t>
  </si>
  <si>
    <t>Debe tener próximo paso</t>
  </si>
  <si>
    <t>Alianza / comprador / captación.</t>
  </si>
  <si>
    <t>Tras contacto</t>
  </si>
  <si>
    <t>Fecha próxima obligatoria</t>
  </si>
  <si>
    <t>WhatsApp, email, LinkedIn.</t>
  </si>
  <si>
    <t>Cuando hay acción física/energía</t>
  </si>
  <si>
    <t>No inventar</t>
  </si>
  <si>
    <t>Caminata, presión, pulso.</t>
  </si>
  <si>
    <t>Reflexión</t>
  </si>
  <si>
    <t>Ancla Mental</t>
  </si>
  <si>
    <t>Psicológico-operacional</t>
  </si>
  <si>
    <t>No usar para números extensos</t>
  </si>
  <si>
    <t>Qué aprendí / qué corregir.</t>
  </si>
  <si>
    <t>REGISTRO DIARIO CEO V4 — 1 FILA = 1 DÍA</t>
  </si>
  <si>
    <t>Regla crítica: registrar una sola fila por día. El detalle va en hojas específicas.</t>
  </si>
  <si>
    <t>CRM/Red</t>
  </si>
  <si>
    <t>Nota 1-10</t>
  </si>
  <si>
    <t>% día</t>
  </si>
  <si>
    <t>Mínimo operativo</t>
  </si>
  <si>
    <t>Avance fuerte</t>
  </si>
  <si>
    <t>Comentario ejecutivo</t>
  </si>
  <si>
    <t>Recien retomando todo el sistema</t>
  </si>
  <si>
    <t>Ajustando y avanzando</t>
  </si>
  <si>
    <t>Se rindiero las pruebas finales</t>
  </si>
  <si>
    <t>Dia</t>
  </si>
  <si>
    <t>98 KPI Framework V6.2 — Separación de métricas</t>
  </si>
  <si>
    <t>Rango correcto</t>
  </si>
  <si>
    <t>Formato</t>
  </si>
  <si>
    <t>NO mezclar con</t>
  </si>
  <si>
    <t>0% - 100%</t>
  </si>
  <si>
    <t>Mide ejecución contra meta</t>
  </si>
  <si>
    <t>Porcentaje</t>
  </si>
  <si>
    <t>Notas / Días / Montos</t>
  </si>
  <si>
    <t>75% de bloques cumplidos</t>
  </si>
  <si>
    <t>1 - 10</t>
  </si>
  <si>
    <t>Mide evaluación o percepción diaria</t>
  </si>
  <si>
    <t>Número 0.0</t>
  </si>
  <si>
    <t>Porcentajes</t>
  </si>
  <si>
    <t>Nota diaria 8.0</t>
  </si>
  <si>
    <t>0 - 31 días</t>
  </si>
  <si>
    <t>Mide cantidad de registros o días</t>
  </si>
  <si>
    <t>Número entero</t>
  </si>
  <si>
    <t>28 días registrados</t>
  </si>
  <si>
    <t>0 - 100</t>
  </si>
  <si>
    <t>Mide score ejecutivo normalizado</t>
  </si>
  <si>
    <t>Moneda / Nota</t>
  </si>
  <si>
    <t>Score 65.6</t>
  </si>
  <si>
    <t>KPI Financiero</t>
  </si>
  <si>
    <t>$</t>
  </si>
  <si>
    <t>Mide ingresos, caja, deuda o inversión</t>
  </si>
  <si>
    <t>$176.123 inversión</t>
  </si>
  <si>
    <t>Cumple</t>
  </si>
  <si>
    <t>Cumplimiento / Score</t>
  </si>
  <si>
    <t>0%-39%</t>
  </si>
  <si>
    <t>40%-69%</t>
  </si>
  <si>
    <t>70%-89%</t>
  </si>
  <si>
    <t>90%+</t>
  </si>
  <si>
    <t>&lt;4.0</t>
  </si>
  <si>
    <t>4.0-4.9</t>
  </si>
  <si>
    <t>5.0-5.9</t>
  </si>
  <si>
    <t>6.0+</t>
  </si>
  <si>
    <t>Registro mensual</t>
  </si>
  <si>
    <t>0-9 días</t>
  </si>
  <si>
    <t>10-19 días</t>
  </si>
  <si>
    <t>20-26 días</t>
  </si>
  <si>
    <t>27-31 días</t>
  </si>
  <si>
    <t>Principio V6.2: ningún campo de días debe tener formato porcentaje; ninguna nota debe ser tratada como porcentaje; ningún score 0-100 debe dividirse visualmente como moneda.</t>
  </si>
  <si>
    <t>39 FLUJO EMPRESAS V6.4 — ESTUDIO → CLASIFICACIÓN → OPORTUNIDAD → SEGUIMIENTO → CRM → CIERRE</t>
  </si>
  <si>
    <t>Etapa</t>
  </si>
  <si>
    <t>Hoja</t>
  </si>
  <si>
    <t>Qué se registra</t>
  </si>
  <si>
    <t>Criterio de avance</t>
  </si>
  <si>
    <t>Responsable operativo</t>
  </si>
  <si>
    <t>1</t>
  </si>
  <si>
    <t>Investigación profunda de empresa/mercado</t>
  </si>
  <si>
    <t>Completar empresa, vertical, riesgos, utilidad y clasificación</t>
  </si>
  <si>
    <t>Robinson / LNH</t>
  </si>
  <si>
    <t>Lectura ejecutiva y decisión</t>
  </si>
  <si>
    <t>A inmediata, B interesante, C observar, X descartar</t>
  </si>
  <si>
    <t>Destino automático</t>
  </si>
  <si>
    <t>LNH Corporate System</t>
  </si>
  <si>
    <t>3</t>
  </si>
  <si>
    <t>Solo A/B entran al pipeline</t>
  </si>
  <si>
    <t>Valor potencial + próximo paso + riesgo</t>
  </si>
  <si>
    <t>LNH / MGC / LNR</t>
  </si>
  <si>
    <t>Acción, fecha, canal y resultado esperado</t>
  </si>
  <si>
    <t>Debe tener próxima fecha</t>
  </si>
  <si>
    <t>CRM activo</t>
  </si>
  <si>
    <t>CEO / Comercial</t>
  </si>
  <si>
    <t>5</t>
  </si>
  <si>
    <t>Registro comercial trazable</t>
  </si>
  <si>
    <t>Estado, próxima acción, seguimiento</t>
  </si>
  <si>
    <t>Cierre / continuidad</t>
  </si>
  <si>
    <t>MGC / LNR / LNH</t>
  </si>
  <si>
    <t>6</t>
  </si>
  <si>
    <t>Métricas del flujo</t>
  </si>
  <si>
    <t>Medir empresas, A/B, oportunidades, seguimientos y CRM</t>
  </si>
  <si>
    <t>Decisión mensual</t>
  </si>
  <si>
    <t>Significado</t>
  </si>
  <si>
    <t>Acción automática</t>
  </si>
  <si>
    <t>A</t>
  </si>
  <si>
    <t>Inmediata</t>
  </si>
  <si>
    <t>Oportunidad + Seguimiento + CRM</t>
  </si>
  <si>
    <t>Validar rápido</t>
  </si>
  <si>
    <t>B</t>
  </si>
  <si>
    <t>Interesante</t>
  </si>
  <si>
    <t>Oportunidad + Seguimiento</t>
  </si>
  <si>
    <t>Observar</t>
  </si>
  <si>
    <t>No pasa a oportunidad todavía</t>
  </si>
  <si>
    <t>Revisar luego</t>
  </si>
  <si>
    <t>X</t>
  </si>
  <si>
    <t>Descartar</t>
  </si>
  <si>
    <t>No entra al pipeline</t>
  </si>
  <si>
    <t>Evitar pérdida de tiempo</t>
  </si>
  <si>
    <t>PLANTILLA DOSSIER EMPRESA — USAR EN WORD O COPIAR AQUÍ</t>
  </si>
  <si>
    <t>Pregunta guía</t>
  </si>
  <si>
    <t>Respuesta / análisis</t>
  </si>
  <si>
    <t>Evidencia / link</t>
  </si>
  <si>
    <t>Identificación</t>
  </si>
  <si>
    <t>Nombre, país, web, LinkedIn, rubro.</t>
  </si>
  <si>
    <t>Historia</t>
  </si>
  <si>
    <t>¿Desde cuándo opera? ¿Quiénes la dirigen? ¿Qué trayectoria tiene?</t>
  </si>
  <si>
    <t>¿Cómo gana dinero? ¿Venta, comisión, asesoría, plataforma, trading, corretaje?</t>
  </si>
  <si>
    <t>Clientes</t>
  </si>
  <si>
    <t>¿A quién vende? ¿Empresas, propietarios, compradores, inversionistas, mills, traders?</t>
  </si>
  <si>
    <t>¿Qué productos/servicios ofrece? ¿Qué problema resuelve?</t>
  </si>
  <si>
    <t>¿Cómo consigue clientes? LinkedIn, referidos, web, ads, alianzas, licitaciones, brokers.</t>
  </si>
  <si>
    <t>Ventas</t>
  </si>
  <si>
    <t>¿Cómo parece vender? Consultiva, agresiva, inbound, outbound, corporativa.</t>
  </si>
  <si>
    <t>Marketing/RRSS</t>
  </si>
  <si>
    <t>¿Cómo comunica? ¿Qué tono usa? ¿Qué formatos? ¿Qué autoridad muestra?</t>
  </si>
  <si>
    <t>Competencia</t>
  </si>
  <si>
    <t>¿Contra quién compite? ¿Qué la diferencia?</t>
  </si>
  <si>
    <t>¿Qué señales débiles o riesgos existen?</t>
  </si>
  <si>
    <t>Legal/operativo</t>
  </si>
  <si>
    <t>¿Hay contratos, licencias, autorizaciones, regulaciones o documentos relevantes?</t>
  </si>
  <si>
    <t>Tecnología/IA</t>
  </si>
  <si>
    <t>¿Usa CRM, IA, automatización, plataformas?</t>
  </si>
  <si>
    <t>¿Sirve para MGC, LNR, LN o solo aprendizaje de mercado?</t>
  </si>
  <si>
    <t>A/B/C/X y próximo paso.</t>
  </si>
  <si>
    <t>06 PATRIMONIO NETO — ACTIVOS - PASIVOS</t>
  </si>
  <si>
    <t>Control patrimonial real: caja + bancos + inversiones - deudas. Debe actualizarse con saldos reales y conciliación bancaria.</t>
  </si>
  <si>
    <t>Valor actual</t>
  </si>
  <si>
    <t>Manual/Auto</t>
  </si>
  <si>
    <t>Caja / bancos</t>
  </si>
  <si>
    <t>Activo líquido</t>
  </si>
  <si>
    <t>Saldo real cuentas</t>
  </si>
  <si>
    <t>Activo inversión</t>
  </si>
  <si>
    <t>Valor actual de inversiones, no aportes netos</t>
  </si>
  <si>
    <t>Auto</t>
  </si>
  <si>
    <t>Valor actual inversiones</t>
  </si>
  <si>
    <t>Valor final registrado CLP</t>
  </si>
  <si>
    <t>Auto/Manual</t>
  </si>
  <si>
    <t>Lectura patrimonial</t>
  </si>
  <si>
    <t>Caja real + valor actual inversiones - deuda</t>
  </si>
  <si>
    <t>Patrimonio Neto = Activos - Pasivos</t>
  </si>
  <si>
    <t>A. CUENTAS / LIQUIDEZ INICIAL</t>
  </si>
  <si>
    <t>Saldo inicial</t>
  </si>
  <si>
    <t>Cuenta real</t>
  </si>
  <si>
    <t>Banco / Cuenta principal</t>
  </si>
  <si>
    <t>Cuenta secundaria</t>
  </si>
  <si>
    <t>MachBank</t>
  </si>
  <si>
    <t>Billetera</t>
  </si>
  <si>
    <t>Bip / Transporte</t>
  </si>
  <si>
    <t>Cuenta Terciaria</t>
  </si>
  <si>
    <t>Tempo</t>
  </si>
  <si>
    <t>Cuenta Curta</t>
  </si>
  <si>
    <t>Banco Falabella</t>
  </si>
  <si>
    <t>TOTAL LIQUIDEZ</t>
  </si>
  <si>
    <t>B. INVERSIONES (VALOR ACTUAL)</t>
  </si>
  <si>
    <t>Tipo cambio CLP/USD</t>
  </si>
  <si>
    <t>Tipo inversión</t>
  </si>
  <si>
    <t>Largo plazo</t>
  </si>
  <si>
    <t>Inversiones generales</t>
  </si>
  <si>
    <t>Variable</t>
  </si>
  <si>
    <t>Depósito a plazo</t>
  </si>
  <si>
    <t>Conservador</t>
  </si>
  <si>
    <t>Alto riesgo</t>
  </si>
  <si>
    <t>8,43 USD</t>
  </si>
  <si>
    <t>TOTAL INVERSIONES</t>
  </si>
  <si>
    <t>C. DEUDAS INICIALES</t>
  </si>
  <si>
    <t>Pago mínimo</t>
  </si>
  <si>
    <t>2 cuotas atrasadas</t>
  </si>
  <si>
    <t>Líder</t>
  </si>
  <si>
    <t>Sin gestión</t>
  </si>
  <si>
    <t>TOTAL DEUDA</t>
  </si>
  <si>
    <t>D. INGRESO PROYECTADO</t>
  </si>
  <si>
    <t>Sueldo base</t>
  </si>
  <si>
    <t>Turnos extra estimados</t>
  </si>
  <si>
    <t>TOTAL INGRESO</t>
  </si>
  <si>
    <t>D.1 DISTRIBUCIÓN</t>
  </si>
  <si>
    <t>Vida</t>
  </si>
  <si>
    <t>55%</t>
  </si>
  <si>
    <t>Capital (caja + inversión)</t>
  </si>
  <si>
    <t>20%</t>
  </si>
  <si>
    <t>15%</t>
  </si>
  <si>
    <t>10%</t>
  </si>
  <si>
    <t>E. OBJETIVO FINANCIERO MAYO</t>
  </si>
  <si>
    <t>Caja objetivo</t>
  </si>
  <si>
    <t>Pago deuda</t>
  </si>
  <si>
    <t>Ahorro mínimo</t>
  </si>
  <si>
    <t>F. RESUMEN FINAL</t>
  </si>
  <si>
    <t>Liquidez</t>
  </si>
  <si>
    <t>PATRIMONIO</t>
  </si>
  <si>
    <t>11 Evolucion Patrimonial V7.1</t>
  </si>
  <si>
    <t>RESPALDO — hoja 14 antes de rediseño V7</t>
  </si>
  <si>
    <t>Control de aportes, retiros, valor final y variación del portafolio.</t>
  </si>
  <si>
    <t>Valor inicial</t>
  </si>
  <si>
    <t>Valor final / valor inversión</t>
  </si>
  <si>
    <t>Cuenta/Broker</t>
  </si>
  <si>
    <t>Resumen inversiones CFO</t>
  </si>
  <si>
    <t>Moneda detectada</t>
  </si>
  <si>
    <t>Aporte CLP</t>
  </si>
  <si>
    <t>Retiro CLP</t>
  </si>
  <si>
    <t>Valor inicial CLP</t>
  </si>
  <si>
    <t>Valor final CLP</t>
  </si>
  <si>
    <t>Variación CLP</t>
  </si>
  <si>
    <t>Valor final corregido: debe ser valor de inversión TQQQ, no precio del ETF</t>
  </si>
  <si>
    <t>Inversión inicial CLP</t>
  </si>
  <si>
    <t>Valor final corregido: debe ser valor de inversión SOXX, no precio del ETF</t>
  </si>
  <si>
    <t>Aportes mayo CLP</t>
  </si>
  <si>
    <t>Cuenta banco</t>
  </si>
  <si>
    <t>Depositadas a cuenta Match</t>
  </si>
  <si>
    <t>Retiros mayo CLP</t>
  </si>
  <si>
    <t>Se depositaron $8,000</t>
  </si>
  <si>
    <t>Se retiraron 20,000</t>
  </si>
  <si>
    <t>Variación neta CLP</t>
  </si>
  <si>
    <t>Banco estado automaticamente me deposita de mi cuenta</t>
  </si>
  <si>
    <t>Rentabilidad aprox.</t>
  </si>
  <si>
    <t>Inversiones generales 2 se retiraron</t>
  </si>
  <si>
    <t>Se depositaran a inversiones generales 3</t>
  </si>
  <si>
    <t>Se depositaran a inversiones generales 2</t>
  </si>
  <si>
    <t>15 CONCILIACIÓN BANCARIA V6.3 — BANCO REAL VS EXCEL</t>
  </si>
  <si>
    <t>Objetivo: cuadrar lo que dice el Excel contra el saldo real de las cuentas bancarias/caja. Saldo real se ingresa manualmente.</t>
  </si>
  <si>
    <t>A. CÁLCULO TEÓRICO SEGÚN EXCEL</t>
  </si>
  <si>
    <t>D. CHECKLIST DE REVISIÓN</t>
  </si>
  <si>
    <t>Origen / fórmula</t>
  </si>
  <si>
    <t>Punto</t>
  </si>
  <si>
    <t>10_Apertura!C9 — liquidez inicial total</t>
  </si>
  <si>
    <t>1. ¿Ingresos del banco están en 11_Ingresos?</t>
  </si>
  <si>
    <t>Comparar cartola con Excel</t>
  </si>
  <si>
    <t>+ Ingresos</t>
  </si>
  <si>
    <t>Suma ingresos del mes indicado</t>
  </si>
  <si>
    <t>2. ¿Gastos del banco están en 12_Gastos?</t>
  </si>
  <si>
    <t>Revisar pagos red / transferencias</t>
  </si>
  <si>
    <t>- Gastos</t>
  </si>
  <si>
    <t>Gastos reales del mes</t>
  </si>
  <si>
    <t>3. ¿Transferencias a inversión están marcadas como Movimiento patrimonial?</t>
  </si>
  <si>
    <t>No tratarlas como gasto de vida</t>
  </si>
  <si>
    <t>- Transferencias</t>
  </si>
  <si>
    <t>Movimientos patrimoniales: inversión/caja/traspasos</t>
  </si>
  <si>
    <t>4. ¿Retiros de inversión están en 14_Inversiones?</t>
  </si>
  <si>
    <t>Deben sumar como reintegros</t>
  </si>
  <si>
    <t>+ Reintegros</t>
  </si>
  <si>
    <t>Retiros de inversión que vuelven a cuenta/caja</t>
  </si>
  <si>
    <t>5. ¿Saldo Banco Real fue ingresado manualmente?</t>
  </si>
  <si>
    <t>Banco Estado + otras cuentas</t>
  </si>
  <si>
    <t>Saldo inicial + ingresos - gastos - transferencias + reintegros</t>
  </si>
  <si>
    <t>6. ¿Diferencia es 0 o dentro de tolerancia?</t>
  </si>
  <si>
    <t>Si no, no cerrar mes</t>
  </si>
  <si>
    <t>Banco Estado / Cuenta principal</t>
  </si>
  <si>
    <t>Ingresar saldo real al cierre del mes</t>
  </si>
  <si>
    <t>MachBank / Cuenta secundaria</t>
  </si>
  <si>
    <t>Tempo / Banco Falabella / Otras cuentas</t>
  </si>
  <si>
    <t>Efectivo / billetera</t>
  </si>
  <si>
    <t>BIP / Transporte</t>
  </si>
  <si>
    <t>Otras cuentas reales</t>
  </si>
  <si>
    <t>Total ingresado manualmente</t>
  </si>
  <si>
    <t>C. RESULTADO DE CONCILIACIÓN</t>
  </si>
  <si>
    <t>Valor absoluto para controlar tolerancia</t>
  </si>
  <si>
    <t>Si no concilia: buscar gasto, transferencia, reintegro o saldo no registrado</t>
  </si>
  <si>
    <t>Escribir causa de diferencia</t>
  </si>
  <si>
    <t>97 Framework Conciliación Bancaria V6.3</t>
  </si>
  <si>
    <t>Definición</t>
  </si>
  <si>
    <t>Liquidez con que comienza el mes</t>
  </si>
  <si>
    <t>Debe venir de apertura mensual</t>
  </si>
  <si>
    <t>Entradas reales de dinero</t>
  </si>
  <si>
    <t>Suma por mes</t>
  </si>
  <si>
    <t>Salidas reales de consumo/operación</t>
  </si>
  <si>
    <t>Tipo movimiento = Gasto real</t>
  </si>
  <si>
    <t>Transferencias</t>
  </si>
  <si>
    <t>Traspasos a inversión/caja/patrimonio</t>
  </si>
  <si>
    <t>Tipo movimiento = Movimiento patrimonial</t>
  </si>
  <si>
    <t>Reintegros</t>
  </si>
  <si>
    <t>Retiros de inversión que vuelven a cuenta</t>
  </si>
  <si>
    <t>Movimiento = Retiro</t>
  </si>
  <si>
    <t>Lo que el Excel dice que debería quedar</t>
  </si>
  <si>
    <t>Saldo banco real</t>
  </si>
  <si>
    <t>Lo que dice la cartola/cuenta bancaria</t>
  </si>
  <si>
    <t>Debe ingresarse manualmente</t>
  </si>
  <si>
    <t>Descuadre</t>
  </si>
  <si>
    <t>Real - teórico</t>
  </si>
  <si>
    <t>Color</t>
  </si>
  <si>
    <t>🟢 Conciliado</t>
  </si>
  <si>
    <t>Diferencia absoluta &lt;= tolerancia</t>
  </si>
  <si>
    <t>Cerrar mes</t>
  </si>
  <si>
    <t>Verde</t>
  </si>
  <si>
    <t>🟡 Revisar</t>
  </si>
  <si>
    <t>Diferencia entre tolerancia y $10.000</t>
  </si>
  <si>
    <t>Buscar movimiento menor</t>
  </si>
  <si>
    <t>Amarillo</t>
  </si>
  <si>
    <t>🔴 Diferencia crítica</t>
  </si>
  <si>
    <t>Diferencia &gt; $10.000</t>
  </si>
  <si>
    <t>No cerrar mes sin revisar</t>
  </si>
  <si>
    <t>Rojo</t>
  </si>
  <si>
    <t>GUÍA FINANZAS V7.1 — CÓMO USAR INVERSIONES</t>
  </si>
  <si>
    <t>Qué representa</t>
  </si>
  <si>
    <t>Qué debes ingresar</t>
  </si>
  <si>
    <t>Qué NO representa</t>
  </si>
  <si>
    <t>Libro de movimientos</t>
  </si>
  <si>
    <t>Fecha, activo, tipo, moneda, monto. Cantidad/precio sólo si lo tienes por compra.</t>
  </si>
  <si>
    <t>No es rentabilidad ni patrimonio.</t>
  </si>
  <si>
    <t>Historial limpio.</t>
  </si>
  <si>
    <t>Lo que tienes hoy en Racional/Banco</t>
  </si>
  <si>
    <t>Acciones, precio ETF, valor inversión, costo promedio, tipo cambio.</t>
  </si>
  <si>
    <t>No son movimientos históricos.</t>
  </si>
  <si>
    <t>Valor real actual.</t>
  </si>
  <si>
    <t>Normalmente nada; calcula desde 14 y 09.</t>
  </si>
  <si>
    <t>No es rentabilidad diaria ni mensual.</t>
  </si>
  <si>
    <t>Ganancia/pérdida por activo.</t>
  </si>
  <si>
    <t>Activos - pasivos</t>
  </si>
  <si>
    <t>Otros activos manuales si existen.</t>
  </si>
  <si>
    <t>No duplica caja dentro de inversiones.</t>
  </si>
  <si>
    <t>Patrimonio neto.</t>
  </si>
  <si>
    <t>07/11_Evolucion_Patrimonial</t>
  </si>
  <si>
    <t>Cierre por mes</t>
  </si>
  <si>
    <t>Completar meses cerrados. Junio se alimenta de 10.</t>
  </si>
  <si>
    <t>No debe inventar meses futuros.</t>
  </si>
  <si>
    <t>Crecimiento patrimonial.</t>
  </si>
  <si>
    <t>17 Cierre Mayo</t>
  </si>
  <si>
    <t>Balance final: números, conducta, decisiones y puente a junio.</t>
  </si>
  <si>
    <t>A. Finanzas</t>
  </si>
  <si>
    <t>C. Flujo Empresas V6.4</t>
  </si>
  <si>
    <t>Ingresos reales</t>
  </si>
  <si>
    <t>Total con nombre de empresa</t>
  </si>
  <si>
    <t>Clasificación A</t>
  </si>
  <si>
    <t>A = inmediata</t>
  </si>
  <si>
    <t>Saldo esperado caja</t>
  </si>
  <si>
    <t>Clasificación B</t>
  </si>
  <si>
    <t>B = interesante</t>
  </si>
  <si>
    <t>A/B convertidas</t>
  </si>
  <si>
    <t>Seguimientos activos</t>
  </si>
  <si>
    <t>Acción comercial pendiente</t>
  </si>
  <si>
    <t>Inversión final</t>
  </si>
  <si>
    <t>Registros CRM desde flujo</t>
  </si>
  <si>
    <t>Deuda final</t>
  </si>
  <si>
    <t>Descartadas X</t>
  </si>
  <si>
    <t>No debería crecer sin motivo</t>
  </si>
  <si>
    <t>Patrimonio neto final</t>
  </si>
  <si>
    <t>B. Decisiones Junio</t>
  </si>
  <si>
    <t>Gasto a reducir</t>
  </si>
  <si>
    <t>Telefonia</t>
  </si>
  <si>
    <t>Bajar el costo de la cuenta de $106.000 a $60.000</t>
  </si>
  <si>
    <t>Meta caja junio</t>
  </si>
  <si>
    <t>Meta inversión junio</t>
  </si>
  <si>
    <t>Deuda prioritaria</t>
  </si>
  <si>
    <t>Acción financiera crítica</t>
  </si>
  <si>
    <t>18 CONTROL DE PAGOS PRO — MAYO 2026</t>
  </si>
  <si>
    <t>Radar financiero mensual: pagos futuros, deudas, suscripciones, prioridades y conexión con gastos reales.</t>
  </si>
  <si>
    <t>Pago / Obligación</t>
  </si>
  <si>
    <t>Monto estimado</t>
  </si>
  <si>
    <t>Fecha estimada</t>
  </si>
  <si>
    <t>Fecha pago</t>
  </si>
  <si>
    <t>Registrado en 12_Gastos</t>
  </si>
  <si>
    <t>Acción sugerida</t>
  </si>
  <si>
    <t>Resumen pagos</t>
  </si>
  <si>
    <t>P001</t>
  </si>
  <si>
    <t>Fijo</t>
  </si>
  <si>
    <t>Pagado</t>
  </si>
  <si>
    <t>Revisar Aula / portal pago</t>
  </si>
  <si>
    <t>Total estimado</t>
  </si>
  <si>
    <t>P002</t>
  </si>
  <si>
    <t>Teléfono</t>
  </si>
  <si>
    <t>Se pagaron meses adeudados</t>
  </si>
  <si>
    <t>Total pagado</t>
  </si>
  <si>
    <t>P003</t>
  </si>
  <si>
    <t>Internet</t>
  </si>
  <si>
    <t>Pendiente estimado</t>
  </si>
  <si>
    <t>P004</t>
  </si>
  <si>
    <t>ChatGPT</t>
  </si>
  <si>
    <t>Pagos críticos</t>
  </si>
  <si>
    <t>P005</t>
  </si>
  <si>
    <t>Correo corporativo</t>
  </si>
  <si>
    <t>Pagos alta prioridad</t>
  </si>
  <si>
    <t>P006</t>
  </si>
  <si>
    <t>Transporte / Bip</t>
  </si>
  <si>
    <t>Bip inicial ya está en apertura</t>
  </si>
  <si>
    <t>Vencidos / urgentes</t>
  </si>
  <si>
    <t>P007</t>
  </si>
  <si>
    <t>Comida / colaciones</t>
  </si>
  <si>
    <t>Pagos registrados en gastos</t>
  </si>
  <si>
    <t>P008</t>
  </si>
  <si>
    <t>Gastos reales mes</t>
  </si>
  <si>
    <t>P009</t>
  </si>
  <si>
    <t>Riesgo crítico</t>
  </si>
  <si>
    <t>Diferencia pagos vs gastos</t>
  </si>
  <si>
    <t>P010</t>
  </si>
  <si>
    <t>Suscripciones menores</t>
  </si>
  <si>
    <t>Pagado parcial</t>
  </si>
  <si>
    <t>Destácame + juego teléfono</t>
  </si>
  <si>
    <t>Regla de uso</t>
  </si>
  <si>
    <t>Esta hoja es radar: no todo aquí es gasto todavía.</t>
  </si>
  <si>
    <t>Cuando pagues algo, registra el pago real en 12_Gastos.</t>
  </si>
  <si>
    <t>Luego cambia Estado a Pagado y Registrado en 12_Gastos a Sí.</t>
  </si>
  <si>
    <t>No pagar deuda sin estrategia: Hites y Líder se deciden con prioridad.</t>
  </si>
  <si>
    <t>25_Control_Junio — CONTROL MENSUAL JUNIO 2026</t>
  </si>
  <si>
    <t>Ciclo mensual dentro del Excel Maestro: Apertura → Registro → Conciliación → Cierre. No crear Excel separado para junio.</t>
  </si>
  <si>
    <t>Resultado anterior</t>
  </si>
  <si>
    <t>Meta del mes</t>
  </si>
  <si>
    <t>KPI Score 0-100</t>
  </si>
  <si>
    <t>Controlar ingresos y gastos del mes</t>
  </si>
  <si>
    <t>Financiero</t>
  </si>
  <si>
    <t>Definir caja mínima del mes</t>
  </si>
  <si>
    <t>Definir aporte inversión del mes</t>
  </si>
  <si>
    <t>Definir deuda prioritaria</t>
  </si>
  <si>
    <t>Instalar ejecución académica del mes</t>
  </si>
  <si>
    <t>Construir red LNH / MGC / LNR</t>
  </si>
  <si>
    <t>Registrar energía, sueño y salud</t>
  </si>
  <si>
    <t>Adaptar sistema al nuevo trabajo/turnos</t>
  </si>
  <si>
    <t>Operacional</t>
  </si>
  <si>
    <t>Ciclo</t>
  </si>
  <si>
    <t>Hoja / Sistema</t>
  </si>
  <si>
    <t>Qué hacer</t>
  </si>
  <si>
    <t>Esta hoja + 10_Apertura</t>
  </si>
  <si>
    <t>Ingresar metas, saldos iniciales y prioridades</t>
  </si>
  <si>
    <t>20_Registro_CEO_V4 + 20_Registro_Diario</t>
  </si>
  <si>
    <t>Registrar acciones diarias</t>
  </si>
  <si>
    <t>11/12/13/14 + 18_Conciliacion_Bancaria_V2</t>
  </si>
  <si>
    <t>Registrar ingresos, gastos, deuda, inversión y conciliación</t>
  </si>
  <si>
    <t>CEO/CFO</t>
  </si>
  <si>
    <t>Estudiar empresas y mover A/B al flujo</t>
  </si>
  <si>
    <t>LNH</t>
  </si>
  <si>
    <t>Actualizar ramos, evaluaciones y bloques</t>
  </si>
  <si>
    <t>Ancla + KPI + Salud</t>
  </si>
  <si>
    <t>Registrar energía, decisiones y avance 1%</t>
  </si>
  <si>
    <t>Score Ejecutivo Consolidado</t>
  </si>
  <si>
    <t>Cerrar resultados, KPI y aprendizajes</t>
  </si>
  <si>
    <t>Resumen ejecutivo mensual</t>
  </si>
  <si>
    <t>Score ejecutivo</t>
  </si>
  <si>
    <t>26_Control_Julio — CONTROL MENSUAL JULIO 2026</t>
  </si>
  <si>
    <t>Ciclo mensual dentro del Excel Maestro: Apertura → Registro → Conciliación → Cierre. No crear Excel separado para julio.</t>
  </si>
  <si>
    <t>27_Control_Agosto — CONTROL MENSUAL AGOSTO 2026</t>
  </si>
  <si>
    <t>Ciclo mensual dentro del Excel Maestro: Apertura → Registro → Conciliación → Cierre. No crear Excel separado para agosto.</t>
  </si>
  <si>
    <t>99 Listas / Validaciones</t>
  </si>
  <si>
    <t>Base de listas desplegables para el sistema.</t>
  </si>
  <si>
    <t>TipoIngreso</t>
  </si>
  <si>
    <t>CategoriaGasto</t>
  </si>
  <si>
    <t>AreaPresupuesto</t>
  </si>
  <si>
    <t>Necesario</t>
  </si>
  <si>
    <t>Clasificación Empresa</t>
  </si>
  <si>
    <t>Decisión Empresa</t>
  </si>
  <si>
    <t>Estado Seguimiento</t>
  </si>
  <si>
    <t>Estado CRM</t>
  </si>
  <si>
    <t>Año Universidad</t>
  </si>
  <si>
    <t>Ramo Slot</t>
  </si>
  <si>
    <t>Estado Académico</t>
  </si>
  <si>
    <t>Prioridad Académica</t>
  </si>
  <si>
    <t>Tipo Bloque</t>
  </si>
  <si>
    <t>Crear oportunidad</t>
  </si>
  <si>
    <t>Nuevo</t>
  </si>
  <si>
    <t>Año 1</t>
  </si>
  <si>
    <t>T1</t>
  </si>
  <si>
    <t>RAMO 1</t>
  </si>
  <si>
    <t>Parcial</t>
  </si>
  <si>
    <t>Comprensión</t>
  </si>
  <si>
    <t>Crear seguimiento</t>
  </si>
  <si>
    <t>En investigación</t>
  </si>
  <si>
    <t>Año 2</t>
  </si>
  <si>
    <t>T2</t>
  </si>
  <si>
    <t>RAMO 2</t>
  </si>
  <si>
    <t>En curso</t>
  </si>
  <si>
    <t>Práctica</t>
  </si>
  <si>
    <t>Contactado</t>
  </si>
  <si>
    <t>Validado</t>
  </si>
  <si>
    <t>Año 3</t>
  </si>
  <si>
    <t>T3</t>
  </si>
  <si>
    <t>RAMO 3</t>
  </si>
  <si>
    <t>En riesgo</t>
  </si>
  <si>
    <t>Producción</t>
  </si>
  <si>
    <t>🔵 Superado</t>
  </si>
  <si>
    <t>Esperando respuesta</t>
  </si>
  <si>
    <t>En seguimiento</t>
  </si>
  <si>
    <t>Año 4</t>
  </si>
  <si>
    <t>RAMO 4</t>
  </si>
  <si>
    <t>Aprobado</t>
  </si>
  <si>
    <t>Internet/TV</t>
  </si>
  <si>
    <t>⭐ Dominio</t>
  </si>
  <si>
    <t>Mover a CRM</t>
  </si>
  <si>
    <t>Reprobado</t>
  </si>
  <si>
    <t>Simulación</t>
  </si>
  <si>
    <t>⚪ Pendiente</t>
  </si>
  <si>
    <t>Descartado</t>
  </si>
  <si>
    <t>Contactar</t>
  </si>
  <si>
    <t>Esperar</t>
  </si>
  <si>
    <t>Imagen</t>
  </si>
  <si>
    <t>Otra</t>
  </si>
  <si>
    <t>49 GUÍA OPERATIVA U3.1 — CÓMO USAR UNIVERSIDAD AUTOMÁTICA</t>
  </si>
  <si>
    <t>Flujo correcto: 54_Ramos_Activos → 55_Evaluaciones → 56_Notas → 57_Matriz_Prioridad → 58_Dashboard_Academico → 50_Universidad_Master → 59_Control_Trimestral.</t>
  </si>
  <si>
    <t>Paso</t>
  </si>
  <si>
    <t>Qué ingresar manualmente</t>
  </si>
  <si>
    <t>Qué se actualiza automático</t>
  </si>
  <si>
    <t>Ramo real, profesor, créditos, estado, nota objetivo</t>
  </si>
  <si>
    <t>50 Master, 55 Evaluaciones, 58 Dashboard, 59 Trimestral</t>
  </si>
  <si>
    <t>Inicio de trimestre / cambios</t>
  </si>
  <si>
    <t>Año, trimestre, slot, evaluación, tipo, fecha, peso, nota obtenida</t>
  </si>
  <si>
    <t>56 Notas, 57 Prioridad, 58 Dashboard</t>
  </si>
  <si>
    <t>Cada evaluación</t>
  </si>
  <si>
    <t>Fecha, ramo, tema, tipo, minutos, resultado</t>
  </si>
  <si>
    <t>54 Horas, 58 Horas estudiadas</t>
  </si>
  <si>
    <t>Errores, causa, corrección, próximo repaso</t>
  </si>
  <si>
    <t>58 errores acumulados</t>
  </si>
  <si>
    <t>Cada vez que detectes error</t>
  </si>
  <si>
    <t>No ingresar duplicado: se alimenta desde 55</t>
  </si>
  <si>
    <t>Promedio, créditos, avance carrera</t>
  </si>
  <si>
    <t>No ingresar manual: se alimenta desde 55/56</t>
  </si>
  <si>
    <t>Riesgo y acción recomendada</t>
  </si>
  <si>
    <t>Revisar indicadores</t>
  </si>
  <si>
    <t>Decisión diaria de estudio</t>
  </si>
  <si>
    <t>Cierre/aprendizaje y ajuste siguiente trimestre</t>
  </si>
  <si>
    <t>Balance trimestral</t>
  </si>
  <si>
    <t>Cierre de T1/T2/T3</t>
  </si>
  <si>
    <t>50 Universidad PLAN PRO</t>
  </si>
  <si>
    <t>Plan semanal por ramo: obligatorio, avance, refuerzo y estado.</t>
  </si>
  <si>
    <t>Avance</t>
  </si>
  <si>
    <t>Refuerzo</t>
  </si>
  <si>
    <t>Bloques requeridos</t>
  </si>
  <si>
    <t>Bloques cumplidos</t>
  </si>
  <si>
    <t>Dominio objetivo</t>
  </si>
  <si>
    <t>Entender derivada como tasa de cambio y resolver reglas básicas</t>
  </si>
  <si>
    <t>Derivadas: definición, reglas, cadena, implícita</t>
  </si>
  <si>
    <t>Ejercicios básicos y medios</t>
  </si>
  <si>
    <t>Errores algebraicos y pasos tipo pizarra</t>
  </si>
  <si>
    <t>Resolver 10 ejercicios + registrar errores</t>
  </si>
  <si>
    <t>Aplicar razón de cambio y L’Hôpital</t>
  </si>
  <si>
    <t>Razón de cambio; límites indeterminados</t>
  </si>
  <si>
    <t>Ejercicios contextualizados</t>
  </si>
  <si>
    <t>Límites 0/0 e infinito/infinito</t>
  </si>
  <si>
    <t>Practicar L’Hôpital y explicar aplicación real</t>
  </si>
  <si>
    <t>Dominar máximos y mínimos</t>
  </si>
  <si>
    <t>Derivada primera, puntos críticos, interpretación gráfica</t>
  </si>
  <si>
    <t>Problemas de optimización iniciales</t>
  </si>
  <si>
    <t>Signo de derivada y justificación</t>
  </si>
  <si>
    <t>Resolver problemas de máximo/mínimo</t>
  </si>
  <si>
    <t>Resolver optimización aplicada a ingeniería</t>
  </si>
  <si>
    <t>Plantear modelo, derivar, optimizar, interpretar</t>
  </si>
  <si>
    <t>Simulacro final 35%</t>
  </si>
  <si>
    <t>Restricciones y validación de resultado</t>
  </si>
  <si>
    <t>Simulación evaluación regular</t>
  </si>
  <si>
    <t>Dominar equilibrio químico, iónico, ácidos y bases</t>
  </si>
  <si>
    <t>Kc, Kp, Le Chatelier, pH</t>
  </si>
  <si>
    <t>Ejercicios pH y equilibrio</t>
  </si>
  <si>
    <t>Errores de fórmula y unidades</t>
  </si>
  <si>
    <t>Rendir prueba + reforzar pH</t>
  </si>
  <si>
    <t>Entender carbono, hidrocarburos y combustibles fósiles</t>
  </si>
  <si>
    <t>Carbono, hibridación, hidrocarburos, combustibles</t>
  </si>
  <si>
    <t>Resumen aplicado a industria</t>
  </si>
  <si>
    <t>Clasificación alcanos/alquenos/alquinos</t>
  </si>
  <si>
    <t>Crear mapa carbono-industria-ambiente</t>
  </si>
  <si>
    <t>Relacionar contaminación química con realidad industrial</t>
  </si>
  <si>
    <t>Ciclos, contaminación, residuos, aire/agua/suelo</t>
  </si>
  <si>
    <t>Preguntas de aplicación</t>
  </si>
  <si>
    <t>Conceptos químicos de contaminación</t>
  </si>
  <si>
    <t>Preparar parcial N°5</t>
  </si>
  <si>
    <t>Proponer solución medioambiental usando química</t>
  </si>
  <si>
    <t>Combustibles fósiles, contaminación industrial, solución sostenible</t>
  </si>
  <si>
    <t>Proyecto / respuesta aplicada</t>
  </si>
  <si>
    <t>Argumentación técnica</t>
  </si>
  <si>
    <t>Simular prueba regular N°2</t>
  </si>
  <si>
    <t>Comprender voz del cuerpo y comunicación no verbal</t>
  </si>
  <si>
    <t>Gestos, postura, mirada, coherencia verbal/no verbal</t>
  </si>
  <si>
    <t>Síntesis y ejemplos laborales</t>
  </si>
  <si>
    <t>Explicación con tus palabras</t>
  </si>
  <si>
    <t>Rendir prueba semana 9</t>
  </si>
  <si>
    <t>Diferenciar tipos de comunicación no verbal</t>
  </si>
  <si>
    <t>Paralingüística, kinésica, proxémica, icónica</t>
  </si>
  <si>
    <t>Tabla comparativa y ejemplos</t>
  </si>
  <si>
    <t>Aplicación en presentaciones</t>
  </si>
  <si>
    <t>Preparar ejemplos profesionales</t>
  </si>
  <si>
    <t>Construir reportaje con estructura y fuentes</t>
  </si>
  <si>
    <t>Reportaje, investigación, fuentes, perspectivas</t>
  </si>
  <si>
    <t>Trabajo grupal</t>
  </si>
  <si>
    <t>Fuentes y coherencia oral/escrita</t>
  </si>
  <si>
    <t>Coordinar trabajo grupal</t>
  </si>
  <si>
    <t>Armar portafolio final con evidencias y reflexión</t>
  </si>
  <si>
    <t>Portafolio, derechos de autor, plagio, reflexión</t>
  </si>
  <si>
    <t>Ordenar evidencias</t>
  </si>
  <si>
    <t>APA/autoría/reflexión crítica</t>
  </si>
  <si>
    <t>Preparar portafolio 35%</t>
  </si>
  <si>
    <t>Explicar economía circular profunda</t>
  </si>
  <si>
    <t>Concepto, principios, elementos, barreras</t>
  </si>
  <si>
    <t>Resumen + caso real</t>
  </si>
  <si>
    <t>Diferencia lineal vs circular</t>
  </si>
  <si>
    <t>Responder con ejemplos reales</t>
  </si>
  <si>
    <t>Diferenciar modelos de negocio circular</t>
  </si>
  <si>
    <t>PaaS, funcionalidad, recuperación de residuos</t>
  </si>
  <si>
    <t>Modelos con ejemplos reales</t>
  </si>
  <si>
    <t>Preparar trabajo grupal</t>
  </si>
  <si>
    <t>Aplicar modelos y preparar prueba parcial</t>
  </si>
  <si>
    <t>Modelos + barreras + ejemplos</t>
  </si>
  <si>
    <t>Preguntas tipo prueba</t>
  </si>
  <si>
    <t>Diferencias entre modelos</t>
  </si>
  <si>
    <t>Rendir parcial N°2</t>
  </si>
  <si>
    <t>Diseñar proyecto circular completo</t>
  </si>
  <si>
    <t>Modelo, producto/servicio, características circulares</t>
  </si>
  <si>
    <t>Proyecto y argumentación</t>
  </si>
  <si>
    <t>Entorno social, económico y político</t>
  </si>
  <si>
    <t>Preparar prueba regular N°3</t>
  </si>
  <si>
    <t>54_Dashboard_Universidad | Dashboard Académico T2 2026</t>
  </si>
  <si>
    <t>Carga académica T2</t>
  </si>
  <si>
    <t>Mantener control semanal</t>
  </si>
  <si>
    <t>DASHBOARD CEO UNIVERSIDAD — SISTEMA ROBINSON PRO</t>
  </si>
  <si>
    <t>Panel de mando: ejecución diaria + aprendizaje + evaluación + repaso. Diseñado para revisar en 2 minutos.</t>
  </si>
  <si>
    <t>Cumplimiento Univ</t>
  </si>
  <si>
    <t>Horas Estudio</t>
  </si>
  <si>
    <t>Eval. Riesgo</t>
  </si>
  <si>
    <t>Repasos Riesgo</t>
  </si>
  <si>
    <t>Errores Detectados</t>
  </si>
  <si>
    <t>Bloques Sí</t>
  </si>
  <si>
    <t>1. SCORE POR RAMO</t>
  </si>
  <si>
    <t>Errores</t>
  </si>
  <si>
    <t>Semana crítica</t>
  </si>
  <si>
    <t>Meta de aprendizaje</t>
  </si>
  <si>
    <t>Explicar + aplicar + resolver sin mirar</t>
  </si>
  <si>
    <t>Controlar con Excel, sostener con Ancla.</t>
  </si>
  <si>
    <t>Completar al cierre del día</t>
  </si>
  <si>
    <t>Semana 10-12</t>
  </si>
  <si>
    <t>2. PROTOCOLO DIARIO — VIDA REAL → EXCEL → ANCLA</t>
  </si>
  <si>
    <t>No negociable</t>
  </si>
  <si>
    <t>Ejecutar bloque universidad de Vida Real</t>
  </si>
  <si>
    <t>Acción concreta realizada</t>
  </si>
  <si>
    <t>No leer sin practicar</t>
  </si>
  <si>
    <t>Registrar bloque real</t>
  </si>
  <si>
    <t>Fecha, ramo, actividad, resultado y error</t>
  </si>
  <si>
    <t>Universidad = Sí solo si hubo acción</t>
  </si>
  <si>
    <t>Registrar evaluación si aplica</t>
  </si>
  <si>
    <t>Peso, fecha, preparación, próxima acción</t>
  </si>
  <si>
    <t>Priorizar 35% y 6% activos</t>
  </si>
  <si>
    <t>Registrar error/duda</t>
  </si>
  <si>
    <t>Error + corrección + repaso</t>
  </si>
  <si>
    <t>Error no registrado = error repetido</t>
  </si>
  <si>
    <t>Cerrar Ancla</t>
  </si>
  <si>
    <t>Qué aprendí + próxima acción</t>
  </si>
  <si>
    <t>Si no puedes explicar, no está dominado</t>
  </si>
  <si>
    <t>3. EVALUACIONES MAYO — NO FALLAR FECHAS NI PESOS</t>
  </si>
  <si>
    <t>Preparación</t>
  </si>
  <si>
    <t>54 DASHBOARD UNIVERSIDAD PRO — CONTROL TOTAL</t>
  </si>
  <si>
    <t>Lectura ejecutiva en 2 minutos: ejecución, aprendizaje, evaluaciones, errores, repaso y prioridad.</t>
  </si>
  <si>
    <t>Bloques realizados</t>
  </si>
  <si>
    <t>Horas estudio</t>
  </si>
  <si>
    <t>Evaluaciones riesgo</t>
  </si>
  <si>
    <t>Repasos vencidos</t>
  </si>
  <si>
    <t>Errores detectados</t>
  </si>
  <si>
    <t>Errores revisados</t>
  </si>
  <si>
    <t>1. CONTROL POR RAMO</t>
  </si>
  <si>
    <t>Evaluaciones Pendientes</t>
  </si>
  <si>
    <t>Cumplimiento Plan</t>
  </si>
  <si>
    <t>Aprender, explicar y aplicar; no solo rendir.</t>
  </si>
  <si>
    <t>2. PRÓXIMAS EVALUACIONES Y PESO</t>
  </si>
  <si>
    <t>3. SISTEMA DE APRENDIZAJE — SI NO PUEDES EXPLICARLO, NO ESTÁ DOMINADO</t>
  </si>
  <si>
    <t>Dónde registrar</t>
  </si>
  <si>
    <t>Criterio de éxito</t>
  </si>
  <si>
    <t>Si falla</t>
  </si>
  <si>
    <t>Leer el contenido de la semana</t>
  </si>
  <si>
    <t>Vida Real / bloque universidad</t>
  </si>
  <si>
    <t>Identificar tema y criterio de evaluación</t>
  </si>
  <si>
    <t>Volver al material</t>
  </si>
  <si>
    <t>Explicar con tus palabras</t>
  </si>
  <si>
    <t>Puedes decirlo sin mirar</t>
  </si>
  <si>
    <t>Hacer resumen corto</t>
  </si>
  <si>
    <t>Aplicar en ejercicio/caso</t>
  </si>
  <si>
    <t>Resultado concreto escrito</t>
  </si>
  <si>
    <t>Registrar error</t>
  </si>
  <si>
    <t>Registrar error o duda</t>
  </si>
  <si>
    <t>Error tiene corrección</t>
  </si>
  <si>
    <t>Programar repaso</t>
  </si>
  <si>
    <t>Repasar de forma inteligente</t>
  </si>
  <si>
    <t>Puedes resolver sin ayuda</t>
  </si>
  <si>
    <t>Nuevo bloque de estudio</t>
  </si>
  <si>
    <t>60 T1 HISTÓRICO — PRIMER TRIMESTRE 2026 CONGELADO</t>
  </si>
  <si>
    <t>Esta hoja consolida el cierre académico T1 sin borrar el sistema V6.5. Las hojas 60_1 a 60_6 son copias históricas del V5 original usado como referencia.</t>
  </si>
  <si>
    <t>Bloque histórico</t>
  </si>
  <si>
    <t>Hoja origen V5</t>
  </si>
  <si>
    <t>Hoja histórica creada</t>
  </si>
  <si>
    <t>Qué conserva</t>
  </si>
  <si>
    <t>Uso futuro</t>
  </si>
  <si>
    <t>No modificar</t>
  </si>
  <si>
    <t>Bloques T1</t>
  </si>
  <si>
    <t>bloques, horas, foco, resultado, energía, próxima acción</t>
  </si>
  <si>
    <t>Congelado</t>
  </si>
  <si>
    <t>consulta / auditoría</t>
  </si>
  <si>
    <t>base real T1</t>
  </si>
  <si>
    <t>Errores T1</t>
  </si>
  <si>
    <t>errores, correcciones, repaso, prioridad</t>
  </si>
  <si>
    <t>aprendizaje acumulado</t>
  </si>
  <si>
    <t>evita repetir errores</t>
  </si>
  <si>
    <t>Evaluaciones T1</t>
  </si>
  <si>
    <t>pruebas, tareas, fechas, pesos, notas</t>
  </si>
  <si>
    <t>historial notas</t>
  </si>
  <si>
    <t>notas reales T1</t>
  </si>
  <si>
    <t>Dashboard T1</t>
  </si>
  <si>
    <t>KPI académico por ramo</t>
  </si>
  <si>
    <t>comparación futura</t>
  </si>
  <si>
    <t>dashboard T1</t>
  </si>
  <si>
    <t>Prioridades T1</t>
  </si>
  <si>
    <t>dificultad, urgencia, peso, dominio</t>
  </si>
  <si>
    <t>análisis retrospectivo</t>
  </si>
  <si>
    <t>prioridades T1</t>
  </si>
  <si>
    <t>Dashboard CEO T1</t>
  </si>
  <si>
    <t>visión ejecutiva académica</t>
  </si>
  <si>
    <t>cierre estratégico</t>
  </si>
  <si>
    <t>dashboard CEO Universidad</t>
  </si>
  <si>
    <t>LECTURA EJECUTIVA T1</t>
  </si>
  <si>
    <t>Acción futura</t>
  </si>
  <si>
    <t>histórico de evaluaciones T1</t>
  </si>
  <si>
    <t>no editar histórico</t>
  </si>
  <si>
    <t>Bloques registrados</t>
  </si>
  <si>
    <t>bloques reales T1</t>
  </si>
  <si>
    <t>usar como base método</t>
  </si>
  <si>
    <t>banco errores T1</t>
  </si>
  <si>
    <t>revisar antes T2</t>
  </si>
  <si>
    <t>Prioridades registradas</t>
  </si>
  <si>
    <t>prioridad académica T1</t>
  </si>
  <si>
    <t>comparar con T2</t>
  </si>
  <si>
    <t>Estado general</t>
  </si>
  <si>
    <t>Sistema V6.6</t>
  </si>
  <si>
    <t>T1 queda como histórico</t>
  </si>
  <si>
    <t>operar T2 en hojas nuevas</t>
  </si>
  <si>
    <t>HOJAS HISTORICAS Y OCULTAS</t>
  </si>
  <si>
    <t>AUDITORÍA FINAL COMPLETA — SISTEMA ROBINSON GODOY</t>
  </si>
  <si>
    <t>Revisión global del Excel: hojas, bloques, estado operativo, duplicados/legacy, visibilidad y pendientes reales. El Excel queda listo para operar; pendientes principales: CaptaPropIA y LNH Corporate System.</t>
  </si>
  <si>
    <t>Pendiente real</t>
  </si>
  <si>
    <t>Finanzas / Patrimonio</t>
  </si>
  <si>
    <t>🟢 Listo operativo</t>
  </si>
  <si>
    <t>95%</t>
  </si>
  <si>
    <t>Ingresos, gastos, deudas, inversiones, posición actual, patrimonio y conciliación están operativos.</t>
  </si>
  <si>
    <t>Actualizar saldos reales, posición mensual y cierre patrimonial.</t>
  </si>
  <si>
    <t>No reconstruir.</t>
  </si>
  <si>
    <t>🟢 Lista estructural</t>
  </si>
  <si>
    <t>Sistema 4 años, T1 histórico, T2 preparado, dashboard y matriz listos.</t>
  </si>
  <si>
    <t>Cargar Canvas T2: ramos, fechas, evaluaciones, créditos y notas.</t>
  </si>
  <si>
    <t>Esperar datos reales.</t>
  </si>
  <si>
    <t>Empresas / CRM / MGC</t>
  </si>
  <si>
    <t>🟢 Operativo</t>
  </si>
  <si>
    <t>85-90%</t>
  </si>
  <si>
    <t>CRM, oportunidades, seguimientos, estudio y clasificación están disponibles.</t>
  </si>
  <si>
    <t>Usar semanalmente y poblar con empresas reales.</t>
  </si>
  <si>
    <t>Mantener.</t>
  </si>
  <si>
    <t>Market Intelligence / LNR</t>
  </si>
  <si>
    <t>🟡 Estructura fuerte</t>
  </si>
  <si>
    <t>80-85%</t>
  </si>
  <si>
    <t>Hojas 70-77 existen para mercado, competencia, campañas, web, RRSS y auditoría LNR.</t>
  </si>
  <si>
    <t>Poblar con investigación real profunda.</t>
  </si>
  <si>
    <t>Usar desde ahora.</t>
  </si>
  <si>
    <t>Alertas y Correcciones</t>
  </si>
  <si>
    <t>🟢 Implementado</t>
  </si>
  <si>
    <t>Panel central de alertas existe.</t>
  </si>
  <si>
    <t>Ajustar metas reales mensuales/semanales.</t>
  </si>
  <si>
    <t>Mantener visible.</t>
  </si>
  <si>
    <t>🟡 Pendiente principal</t>
  </si>
  <si>
    <t>50-60%</t>
  </si>
  <si>
    <t>Existe hoja 76 con roadmap inicial.</t>
  </si>
  <si>
    <t>Convertir en tablero MVP: sprints, avance %, testing, bugs, métricas y dependencias.</t>
  </si>
  <si>
    <t>Siguiente mejora grande.</t>
  </si>
  <si>
    <t>40-50%</t>
  </si>
  <si>
    <t>No requiere que el Excel decida, pero sí falta una capa de medición corporativa consolidada.</t>
  </si>
  <si>
    <t>Medir estado de unidades: MGC, LNR, CaptaPropIA, Finanzas, Universidad.</t>
  </si>
  <si>
    <t>Trabajar después de CaptaPropIA.</t>
  </si>
  <si>
    <t>Total hojas del libro</t>
  </si>
  <si>
    <t>Hojas visibles objetivo</t>
  </si>
  <si>
    <t>Hojas ocultas objetivo</t>
  </si>
  <si>
    <t>Errores textuales de fórmula detectados</t>
  </si>
  <si>
    <t>Conclusión</t>
  </si>
  <si>
    <t>Excel operativo. Pendientes reales: CaptaPropIA + LNH Corporate System.</t>
  </si>
  <si>
    <t>Visibilidad actual</t>
  </si>
  <si>
    <t>Filas</t>
  </si>
  <si>
    <t>Columnas</t>
  </si>
  <si>
    <t>Celdas con dato</t>
  </si>
  <si>
    <t>Fórmulas</t>
  </si>
  <si>
    <t>Auditoría / Control</t>
  </si>
  <si>
    <t>OFICIAL / VISIBLE</t>
  </si>
  <si>
    <t>Mantener visible</t>
  </si>
  <si>
    <t>CEO / Control</t>
  </si>
  <si>
    <t>Otros / Legacy</t>
  </si>
  <si>
    <t>Empresas / CRM</t>
  </si>
  <si>
    <t>AUDITORÍA / HISTÓRICO</t>
  </si>
  <si>
    <t>Ocultar / conservar</t>
  </si>
  <si>
    <t>LEGACY</t>
  </si>
  <si>
    <t>Ocultar / no operar</t>
  </si>
  <si>
    <t>SOPORTE / REVISAR</t>
  </si>
  <si>
    <t>Ocultar por defecto</t>
  </si>
  <si>
    <t>HISTÓRICA</t>
  </si>
  <si>
    <t>77 AUDITORÍA LNR — ESTUDIO DE MERCADO PROFUNDO / REAL ESTATE INTELLIGENCE</t>
  </si>
  <si>
    <t>Diagnóstico del bloque LNR dentro del Excel. Objetivo: confirmar si las hojas existentes permiten estudiar mercado, competencia, tecnología, campañas, embudos, web, RRSS, CaptaPropIA y oportunidades inmobiliarias antes de captar propiedades o leads.</t>
  </si>
  <si>
    <t>Bloque auditado</t>
  </si>
  <si>
    <t>Madurez</t>
  </si>
  <si>
    <t>Qué falta realmente</t>
  </si>
  <si>
    <t>🟡 Estructura lista / sin data</t>
  </si>
  <si>
    <t>60% estructura / 0-5% uso</t>
  </si>
  <si>
    <t>La hoja existe y sirve para mapa general de mercado inmobiliario.</t>
  </si>
  <si>
    <t>Falta poblarla con actores reales, zonas, segmentos, oportunidades, alianzas y lectura estratégica.</t>
  </si>
  <si>
    <t>Mantener y usar como hoja base del estudio LNR.</t>
  </si>
  <si>
    <t>70% estructura / 0-5% uso</t>
  </si>
  <si>
    <t>Muy buena para benchmark general de competidores.</t>
  </si>
  <si>
    <t>Falta profundizar modelo de negocio, tecnología, funnel, pricing, diferenciadores y errores detectados.</t>
  </si>
  <si>
    <t>Mantener; será clave para copiar, mejorar o descartar prácticas.</t>
  </si>
  <si>
    <t>Sirve para campañas Meta, Google, LinkedIn, YouTube y WhatsApp.</t>
  </si>
  <si>
    <t>Falta medir funnel, audiencia, gancho, CPL, conversión, aprendizaje y aplicabilidad a LNR.</t>
  </si>
  <si>
    <t>Mantener; usar para registrar campañas observadas y propias.</t>
  </si>
  <si>
    <t>75% estructura / 0-5% uso</t>
  </si>
  <si>
    <t>Buena hoja para analizar landings, portales, UX y captación.</t>
  </si>
  <si>
    <t>Falta puntaje de conversión, tecnología detectada, confianza, SEO, CTA, formularios y WhatsApp.</t>
  </si>
  <si>
    <t>Mantener; usar para portales, proptech, inmobiliarias y competidores.</t>
  </si>
  <si>
    <t>Sirve para analizar contenido, autoridad, CTA y neuromarketing.</t>
  </si>
  <si>
    <t>Falta medir formatos, frecuencia, engagement, tipo de gancho, prueba social y aprendizaje aplicable.</t>
  </si>
  <si>
    <t>Mantener; usar para Instagram, Facebook, LinkedIn, YouTube y TikTok.</t>
  </si>
  <si>
    <t>🟡 Roadmap inicial</t>
  </si>
  <si>
    <t>Existe roadmap MVP de plataforma de captación con IA.</t>
  </si>
  <si>
    <t>Falta convertir tareas en avance %, sprint, dependencias, bloqueos, testing y métricas de producto.</t>
  </si>
  <si>
    <t>Mantener; más adelante agregar control operativo MVP.</t>
  </si>
  <si>
    <t>🟢 Conecta alertas</t>
  </si>
  <si>
    <t>Ya puede alertar si Market Intelligence y LNR no se están poblando.</t>
  </si>
  <si>
    <t>Falta ajustar metas reales por semana/mes cuando comience operación.</t>
  </si>
  <si>
    <t>Mantener como panel de alerta.</t>
  </si>
  <si>
    <t>Capa de estudio</t>
  </si>
  <si>
    <t>Pregunta estratégica</t>
  </si>
  <si>
    <t>Hoja donde registrar</t>
  </si>
  <si>
    <t>Métrica mínima</t>
  </si>
  <si>
    <t>1. Mercado macro</t>
  </si>
  <si>
    <t>¿Cómo se está moviendo el mercado inmobiliario nacional e internacional?</t>
  </si>
  <si>
    <t>Actores / zonas / tendencias registradas</t>
  </si>
  <si>
    <t>Mapa de mercado actualizado</t>
  </si>
  <si>
    <t>Pendiente data</t>
  </si>
  <si>
    <t>2. Segmentos inmobiliarios</t>
  </si>
  <si>
    <t>¿Qué segmentos existen y cuáles tienen más potencial? Residencial, comercial, industrial, agro, internacional.</t>
  </si>
  <si>
    <t>Segmentos analizados</t>
  </si>
  <si>
    <t>Definir foco LNR</t>
  </si>
  <si>
    <t>3. Competencia directa</t>
  </si>
  <si>
    <t>¿Quién compite con LNR y cómo trabaja?</t>
  </si>
  <si>
    <t>Competidores analizados</t>
  </si>
  <si>
    <t>Benchmark serio</t>
  </si>
  <si>
    <t>4. Competencia internacional</t>
  </si>
  <si>
    <t>¿Qué hacen Compass, Keller Williams, Sotheby’s, Engel &amp; Völkers, Coldwell Banker?</t>
  </si>
  <si>
    <t>Modelos internacionales analizados</t>
  </si>
  <si>
    <t>Quincenal</t>
  </si>
  <si>
    <t>Ideas adaptables a LNR</t>
  </si>
  <si>
    <t>5. Canales de captación</t>
  </si>
  <si>
    <t>¿Cómo captan propietarios, vendedores, arrendadores, compradores e inversionistas?</t>
  </si>
  <si>
    <t>73_Campañas / 75_Redes_Sociales</t>
  </si>
  <si>
    <t>Canales detectados</t>
  </si>
  <si>
    <t>Definir canales LNR</t>
  </si>
  <si>
    <t>6. Embudos y campañas</t>
  </si>
  <si>
    <t>¿Qué funnel usan: vertical, horizontal, omnicanal, WhatsApp, landing, remarketing?</t>
  </si>
  <si>
    <t>Campañas / embudos registrados</t>
  </si>
  <si>
    <t>Diseño futuro de embudo LNR</t>
  </si>
  <si>
    <t>7. Web / landing / portal</t>
  </si>
  <si>
    <t>¿Cómo convierten las webs inmobiliarias y proptech?</t>
  </si>
  <si>
    <t>Sitios analizados</t>
  </si>
  <si>
    <t>Patrones de conversión</t>
  </si>
  <si>
    <t>8. Redes sociales</t>
  </si>
  <si>
    <t>¿Qué contenido genera confianza, autoridad, captación y conversión?</t>
  </si>
  <si>
    <t>Cuentas analizadas</t>
  </si>
  <si>
    <t>Modelo contenido LNR</t>
  </si>
  <si>
    <t>9. Tecnología / IA</t>
  </si>
  <si>
    <t>¿Qué herramientas, CRM, automatizaciones, IA, drones, VR, scoring y portales se usan?</t>
  </si>
  <si>
    <t>76_CaptaPropIA / 74_Analisis_Web</t>
  </si>
  <si>
    <t>Herramientas detectadas</t>
  </si>
  <si>
    <t>Stack tecnológico candidato</t>
  </si>
  <si>
    <t>Inicial</t>
  </si>
  <si>
    <t>10. Servicios diferenciadores</t>
  </si>
  <si>
    <t>¿Cómo integrar corretaje, arquitectura, construcción, home staging, remodelación y administración?</t>
  </si>
  <si>
    <t>Oportunidades por servicio</t>
  </si>
  <si>
    <t>Modelo medible de servicios LNR</t>
  </si>
  <si>
    <t>11. Capital relacional</t>
  </si>
  <si>
    <t>¿Qué partners, corredores, constructoras, arquitectos, abogados, tasadores, brokers internacionales conviene mapear?</t>
  </si>
  <si>
    <t>Alianzas posibles</t>
  </si>
  <si>
    <t>Red estratégica LNR</t>
  </si>
  <si>
    <t>12. Aplicación Latitud Norte</t>
  </si>
  <si>
    <t>¿Qué copiar, mejorar, descartar y adaptar a LNR?</t>
  </si>
  <si>
    <t>72/73/74/75</t>
  </si>
  <si>
    <t>Aprendizajes aplicables</t>
  </si>
  <si>
    <t>Decisiones informadas por datos</t>
  </si>
  <si>
    <t>Veredicto</t>
  </si>
  <si>
    <t>Columnas actuales útiles</t>
  </si>
  <si>
    <t>Columnas que faltan para estudio profundo</t>
  </si>
  <si>
    <t>Uso correcto</t>
  </si>
  <si>
    <t>No usar para</t>
  </si>
  <si>
    <t>Riesgo si no se completa</t>
  </si>
  <si>
    <t>Meta junio</t>
  </si>
  <si>
    <t>Meta julio</t>
  </si>
  <si>
    <t>Meta agosto</t>
  </si>
  <si>
    <t>Meta septiembre-diciembre</t>
  </si>
  <si>
    <t>Base general correcta</t>
  </si>
  <si>
    <t>Actor, tipo, zona, segmento, oferta, captación, canales, propuesta, oportunidad, alianza, riesgo</t>
  </si>
  <si>
    <t>País, ciudad, tipo operación, ticket, cliente objetivo, tecnología, nivel profesional, evidencia, aprendizaje aplicable</t>
  </si>
  <si>
    <t>Mapa de ecosistema inmobiliario y alianzas</t>
  </si>
  <si>
    <t>No usar como CRM de leads individuales</t>
  </si>
  <si>
    <t>Quedar con visión superficial del mercado</t>
  </si>
  <si>
    <t>10 actores reales</t>
  </si>
  <si>
    <t>25 acumulados</t>
  </si>
  <si>
    <t>50 acumulados</t>
  </si>
  <si>
    <t>100+ actores analizados</t>
  </si>
  <si>
    <t>🟡 Lista sin data</t>
  </si>
  <si>
    <t>Poblar semanalmente</t>
  </si>
  <si>
    <t>Muy relevante</t>
  </si>
  <si>
    <t>Empresa, rubro, país, redes, propuesta, oferta, embudo, copy, tecnología, fortaleza/debilidad</t>
  </si>
  <si>
    <t>Score 1-10, modelo de negocio, pricing, canales fuertes, tipo cliente, errores detectados, idea adaptable</t>
  </si>
  <si>
    <t>Benchmark profundo</t>
  </si>
  <si>
    <t>No usar para oportunidades comerciales directas</t>
  </si>
  <si>
    <t>Copiar sin entender</t>
  </si>
  <si>
    <t>5 competidores</t>
  </si>
  <si>
    <t>15 acumulados</t>
  </si>
  <si>
    <t>30 acumulados</t>
  </si>
  <si>
    <t>60+ competidores</t>
  </si>
  <si>
    <t>Analizar competencia nacional e internacional</t>
  </si>
  <si>
    <t>Clave para futuros embudos</t>
  </si>
  <si>
    <t>Canal, campaña, objetivo, audiencia, oferta, embudo, presupuesto, leads, CPL, conversión</t>
  </si>
  <si>
    <t>Tipo creativo, lead magnet, CTA, funnel stage, remarketing, resultado observado, link anuncio/fuente</t>
  </si>
  <si>
    <t>Aprender qué campañas funcionan</t>
  </si>
  <si>
    <t>No usar sólo para campañas propias</t>
  </si>
  <si>
    <t>Diseñar campañas a ciegas</t>
  </si>
  <si>
    <t>3 campañas observadas</t>
  </si>
  <si>
    <t>10 acumuladas</t>
  </si>
  <si>
    <t>20 acumuladas</t>
  </si>
  <si>
    <t>50+ campañas</t>
  </si>
  <si>
    <t>Registrar campañas observadas</t>
  </si>
  <si>
    <t>Clave para UX/landing</t>
  </si>
  <si>
    <t>Sitio, URL, objetivo, CTA, formulario, WhatsApp, UX, confianza, SEO, tracking, embudo</t>
  </si>
  <si>
    <t>Puntaje UX, puntaje conversión, herramientas detectadas, velocidad móvil, prueba social, claridad oferta</t>
  </si>
  <si>
    <t>Analizar webs/portales/proptech</t>
  </si>
  <si>
    <t>No usar como lista simple de URLs</t>
  </si>
  <si>
    <t>No detectar patrones de conversión</t>
  </si>
  <si>
    <t>5 webs</t>
  </si>
  <si>
    <t>15 acumuladas</t>
  </si>
  <si>
    <t>30 acumuladas</t>
  </si>
  <si>
    <t>60+ webs</t>
  </si>
  <si>
    <t>Analizar portales y líderes</t>
  </si>
  <si>
    <t>Clave para contenido</t>
  </si>
  <si>
    <t>Cuenta, plataforma, rubro, seguidores, frecuencia, contenido, gancho, autoridad, CTA</t>
  </si>
  <si>
    <t>Engagement, formato, pilar contenido, audiencia, estilo visual, prueba social, idea aplicable</t>
  </si>
  <si>
    <t>Analizar autoridad y captación social</t>
  </si>
  <si>
    <t>No usar para publicar contenido diario</t>
  </si>
  <si>
    <t>Imitar contenido sin medir</t>
  </si>
  <si>
    <t>5 cuentas</t>
  </si>
  <si>
    <t>60+ cuentas</t>
  </si>
  <si>
    <t>Registrar RRSS líderes</t>
  </si>
  <si>
    <t>Roadmap útil</t>
  </si>
  <si>
    <t>Fase, área, tarea, descripción, prioridad, estado, dependencia, herramienta, métrica, resultado, riesgo</t>
  </si>
  <si>
    <t>% avance, sprint, bloqueo, responsable real, versión, fecha revisión, testing, bug, decisión</t>
  </si>
  <si>
    <t>Controlar MVP cuando parta desarrollo</t>
  </si>
  <si>
    <t>No usar como simple idea</t>
  </si>
  <si>
    <t>Quedar en visión sin ejecución</t>
  </si>
  <si>
    <t>Definir Fase 0</t>
  </si>
  <si>
    <t>Fase 0 activa</t>
  </si>
  <si>
    <t>Primer prototipo base</t>
  </si>
  <si>
    <t>MVP mínimo medible</t>
  </si>
  <si>
    <t>🟡 Inicial</t>
  </si>
  <si>
    <t>Convertir a tablero operativo cuando corresponda</t>
  </si>
  <si>
    <t>Semana tipo</t>
  </si>
  <si>
    <t>Resultado semanal</t>
  </si>
  <si>
    <t>Semana Inteligencia LNR</t>
  </si>
  <si>
    <t>Analizar 1 actor mercado en 71</t>
  </si>
  <si>
    <t>Analizar 1 competidor en 72</t>
  </si>
  <si>
    <t>Analizar 1 web/landing en 74</t>
  </si>
  <si>
    <t>Analizar 1 red social en 75</t>
  </si>
  <si>
    <t>Registrar aprendizaje y acción en 90</t>
  </si>
  <si>
    <t>4 análisis + 1 conclusión semanal</t>
  </si>
  <si>
    <t>Semana Proptech/CaptaPropIA</t>
  </si>
  <si>
    <t>Analizar 1 proptech</t>
  </si>
  <si>
    <t>Analizar tecnología/IA usada</t>
  </si>
  <si>
    <t>Registrar oportunidad para CaptaPropIA</t>
  </si>
  <si>
    <t>Registrar riesgo/limitación</t>
  </si>
  <si>
    <t>Actualizar 76 si aplica</t>
  </si>
  <si>
    <t>1 aprendizaje tecnológico aplicable</t>
  </si>
  <si>
    <t>Semana Campañas/Embudo</t>
  </si>
  <si>
    <t>Analizar 1 campaña</t>
  </si>
  <si>
    <t>Identificar audiencia/gancho</t>
  </si>
  <si>
    <t>Evaluar CTA/landing</t>
  </si>
  <si>
    <t>Registrar aprendizajes</t>
  </si>
  <si>
    <t>Definir si se copia/mejora/descarta</t>
  </si>
  <si>
    <t>1 patrón de campaña documentado</t>
  </si>
  <si>
    <t>KPI LNR Market Intelligence</t>
  </si>
  <si>
    <t>Meta mínima semanal</t>
  </si>
  <si>
    <t>Fórmula/medición</t>
  </si>
  <si>
    <t>Semáforo verde</t>
  </si>
  <si>
    <t>Semáforo amarillo</t>
  </si>
  <si>
    <t>Semáforo rojo</t>
  </si>
  <si>
    <t>Actores mercado LNR analizados</t>
  </si>
  <si>
    <t>Conteo de filas con Actor/Empresa</t>
  </si>
  <si>
    <t>&gt;=3</t>
  </si>
  <si>
    <t>1-2</t>
  </si>
  <si>
    <t>Base para entender mercado</t>
  </si>
  <si>
    <t>Conteo de empresas</t>
  </si>
  <si>
    <t>&gt;=2</t>
  </si>
  <si>
    <t>Benchmark directo</t>
  </si>
  <si>
    <t>Campañas/embudos analizados</t>
  </si>
  <si>
    <t>Conteo campañas</t>
  </si>
  <si>
    <t>&gt;=1</t>
  </si>
  <si>
    <t>-</t>
  </si>
  <si>
    <t>Aprender captación</t>
  </si>
  <si>
    <t>Webs/portales analizados</t>
  </si>
  <si>
    <t>Conteo sitios</t>
  </si>
  <si>
    <t>UX y conversión</t>
  </si>
  <si>
    <t>Redes sociales analizadas</t>
  </si>
  <si>
    <t>Conteo cuentas</t>
  </si>
  <si>
    <t>Autoridad y contenido</t>
  </si>
  <si>
    <t>Aprendizajes aplicables a LNR</t>
  </si>
  <si>
    <t>Número de ideas aplicables</t>
  </si>
  <si>
    <t>Lo importante no es cantidad, es utilidad</t>
  </si>
  <si>
    <t>AUDITORÍA TOTAL EXCEL V7.1 — SISTEMA ROBINSON GODOY</t>
  </si>
  <si>
    <t>Auditoría completa realizada sobre 86 hojas. Resultado: se corrigieron errores del dashboard T2 vacío y el escaneo final quedó limpio. El Excel tiene muchas estructuras de medición; el principal pendiente no es crear más hojas, sino poblar y conectar ejecución real con KPI.</t>
  </si>
  <si>
    <t>Validación final</t>
  </si>
  <si>
    <t>90-95%</t>
  </si>
  <si>
    <t>Tiene ingresos, gastos, deudas, inversiones, conciliación, patrimonio y rentabilidad.</t>
  </si>
  <si>
    <t>Carga mensual de saldos reales, posición actual y cierre patrimonial.</t>
  </si>
  <si>
    <t>No reconstruir; sólo operar y revisar mensualmente.</t>
  </si>
  <si>
    <t>Errores fórmula</t>
  </si>
  <si>
    <t>🟢 Limpio</t>
  </si>
  <si>
    <t>No se detectan errores críticos tras corregir T2 Dashboard.</t>
  </si>
  <si>
    <t>Revisar después de nuevas cargas.</t>
  </si>
  <si>
    <t>🟢 Estructuralmente lista</t>
  </si>
  <si>
    <t>90% estructura / pendiente data T2</t>
  </si>
  <si>
    <t>Sistema 4 años existe; T1 histórico existe; dashboards y matriz existen.</t>
  </si>
  <si>
    <t>Canvas T2: ramos, fechas, evaluaciones, créditos, notas y bloques reales.</t>
  </si>
  <si>
    <t>No crear más; cargar T2 cuando habiliten ramos.</t>
  </si>
  <si>
    <t>Hojas totales</t>
  </si>
  <si>
    <t>Libro amplio, con estructura mucho más grande que 30 hojas.</t>
  </si>
  <si>
    <t>Usar auditoría como mapa.</t>
  </si>
  <si>
    <t>Empresas / MGC / CRM</t>
  </si>
  <si>
    <t>CRM, estudio, clasificación, oportunidades y seguimientos existen.</t>
  </si>
  <si>
    <t>Mayor uso operativo; completar análisis de empresas reales.</t>
  </si>
  <si>
    <t>70-75 existen y están diseñadas.</t>
  </si>
  <si>
    <t>Poblar con análisis reales.</t>
  </si>
  <si>
    <t>🟡 Estructura lista</t>
  </si>
  <si>
    <t>95% estructura / 5-20% uso</t>
  </si>
  <si>
    <t>Hojas 70-75 existen con muy buena estructura.</t>
  </si>
  <si>
    <t>Poblar con análisis reales de mercado, competencia, campañas, web y RRSS.</t>
  </si>
  <si>
    <t>No crear más hojas.</t>
  </si>
  <si>
    <t>Sistema diario</t>
  </si>
  <si>
    <t>🟡 Requiere uso</t>
  </si>
  <si>
    <t>Hay hojas de registro/KPI, falta disciplina de carga.</t>
  </si>
  <si>
    <t>Registrar diariamente.</t>
  </si>
  <si>
    <t>🟡 Débil operativo</t>
  </si>
  <si>
    <t>Existe estructura de mercado, pero falta data real y operación inmobiliaria.</t>
  </si>
  <si>
    <t>Analizar mercado LNR, competidores, proptech, canales, tecnologías y oportunidades.</t>
  </si>
  <si>
    <t>Trabajar dentro de 71-75.</t>
  </si>
  <si>
    <t>40-60%</t>
  </si>
  <si>
    <t>Existe roadmap en hoja 76.</t>
  </si>
  <si>
    <t>Pasar de roadmap a control semanal de MVP cuando corresponda.</t>
  </si>
  <si>
    <t>No crear aún; primero usar 76.</t>
  </si>
  <si>
    <t>Sistema de medición diaria</t>
  </si>
  <si>
    <t>🟡 Parcial</t>
  </si>
  <si>
    <t>Hay registro diario, KPI, score y dashboard, pero falta usarlo de forma estricta.</t>
  </si>
  <si>
    <t>Registrar plan vs real vs resultado vs corrección todos los días.</t>
  </si>
  <si>
    <t>Mejorar operación, no estructura.</t>
  </si>
  <si>
    <t>Ancla / Vida Real / Excel</t>
  </si>
  <si>
    <t>🟢 Concepto claro</t>
  </si>
  <si>
    <t>85%</t>
  </si>
  <si>
    <t>Vida Real dirige; Excel mide; Ancla pregunta y conecta.</t>
  </si>
  <si>
    <t>Asegurar que cada acción de Vida Real se registre en Excel.</t>
  </si>
  <si>
    <t>Definir rutina de carga diaria/semanal.</t>
  </si>
  <si>
    <t>#</t>
  </si>
  <si>
    <t>Rango usado</t>
  </si>
  <si>
    <t>Estado auditoría</t>
  </si>
  <si>
    <t>Función / rol</t>
  </si>
  <si>
    <t>A1:G13</t>
  </si>
  <si>
    <t>🟡 Revisar uso</t>
  </si>
  <si>
    <t>Estructura existente / revisar según uso.</t>
  </si>
  <si>
    <t>Mantener si sirve como histórico; no usar como dashboard principal.</t>
  </si>
  <si>
    <t>CEO / Registro / KPI</t>
  </si>
  <si>
    <t>A1:F113</t>
  </si>
  <si>
    <t>A1:E22</t>
  </si>
  <si>
    <t>A1:H13</t>
  </si>
  <si>
    <t>A1:F14</t>
  </si>
  <si>
    <t>A1:O34</t>
  </si>
  <si>
    <t>A1:L32</t>
  </si>
  <si>
    <t>🟢 Operativa</t>
  </si>
  <si>
    <t>Registro diario de ejecución: hábitos, trabajo, estudio, cumplimiento.</t>
  </si>
  <si>
    <t>A1:K8</t>
  </si>
  <si>
    <t>KPI semanal.</t>
  </si>
  <si>
    <t>A1:M13</t>
  </si>
  <si>
    <t>KPI mensual.</t>
  </si>
  <si>
    <t>A1:I11</t>
  </si>
  <si>
    <t>A1:J11</t>
  </si>
  <si>
    <t>A1:H12</t>
  </si>
  <si>
    <t>A1:G54</t>
  </si>
  <si>
    <t>Apertura financiera, liquidez, inversiones y deudas iniciales.</t>
  </si>
  <si>
    <t>A1:N30</t>
  </si>
  <si>
    <t>Registro de ingresos.</t>
  </si>
  <si>
    <t>A1:L79</t>
  </si>
  <si>
    <t>Registro de gastos.</t>
  </si>
  <si>
    <t>A1:O9</t>
  </si>
  <si>
    <t>Control de deudas.</t>
  </si>
  <si>
    <t>A1:R18</t>
  </si>
  <si>
    <t>Libro maestro de movimientos de inversión.</t>
  </si>
  <si>
    <t>A1:H30</t>
  </si>
  <si>
    <t>Conciliación mayo.</t>
  </si>
  <si>
    <t>A1:J22</t>
  </si>
  <si>
    <t>A1:R20</t>
  </si>
  <si>
    <t>A1:N32</t>
  </si>
  <si>
    <t>Medición diaria de KPI y cumplimiento.</t>
  </si>
  <si>
    <t>A1:F5</t>
  </si>
  <si>
    <t>Empresas / Mercado</t>
  </si>
  <si>
    <t>A1:J10</t>
  </si>
  <si>
    <t>Guías / Framework / Listas</t>
  </si>
  <si>
    <t>A1:E10</t>
  </si>
  <si>
    <t>🟢 Soporte / referencia</t>
  </si>
  <si>
    <t>A1:F15</t>
  </si>
  <si>
    <t>A1:N5</t>
  </si>
  <si>
    <t>Clasificación A/B/C/X y flujo hacia oportunidad/CRM.</t>
  </si>
  <si>
    <t>A1:X3</t>
  </si>
  <si>
    <t>Due diligence / inteligencia empresa por empresa.</t>
  </si>
  <si>
    <t>A1:P212</t>
  </si>
  <si>
    <t>CRM operativo MGC.</t>
  </si>
  <si>
    <t>A1:I10</t>
  </si>
  <si>
    <t>A1:M4</t>
  </si>
  <si>
    <t>A1:K4</t>
  </si>
  <si>
    <t>A1:D18</t>
  </si>
  <si>
    <t>A1:J106</t>
  </si>
  <si>
    <t>Universidad / Estudio</t>
  </si>
  <si>
    <t>A1:L20</t>
  </si>
  <si>
    <t>A1:N4</t>
  </si>
  <si>
    <t>🟡 Estructura lista / falta data</t>
  </si>
  <si>
    <t>Mantener; cargar T2 cuando Canvas esté habilitado.</t>
  </si>
  <si>
    <t>A1:N45</t>
  </si>
  <si>
    <t>A1:P204</t>
  </si>
  <si>
    <t>🟡 Lista / requiere carga operativa</t>
  </si>
  <si>
    <t>Base única de evaluaciones.</t>
  </si>
  <si>
    <t>A1:N38</t>
  </si>
  <si>
    <t>A1:L21</t>
  </si>
  <si>
    <t>Matriz de prioridad académica.</t>
  </si>
  <si>
    <t>A1:V17</t>
  </si>
  <si>
    <t>A1:D16</t>
  </si>
  <si>
    <t>A1:K12</t>
  </si>
  <si>
    <t>A1:D30</t>
  </si>
  <si>
    <t>Conciliación bancaria mensual.</t>
  </si>
  <si>
    <t>A1:J32</t>
  </si>
  <si>
    <t>A1:N12</t>
  </si>
  <si>
    <t>A1:H18</t>
  </si>
  <si>
    <t>A1:N204</t>
  </si>
  <si>
    <t>🟢 Histórico / respaldo</t>
  </si>
  <si>
    <t>A1:L4</t>
  </si>
  <si>
    <t>A1:N16</t>
  </si>
  <si>
    <t>A1:K45</t>
  </si>
  <si>
    <t>A1:L12</t>
  </si>
  <si>
    <t>A1:L8</t>
  </si>
  <si>
    <t>Ramos T2 pendientes de Canvas.</t>
  </si>
  <si>
    <t>A1:N44</t>
  </si>
  <si>
    <t>Evaluaciones T2 pendientes de Canvas.</t>
  </si>
  <si>
    <t>Bloques de estudio T2.</t>
  </si>
  <si>
    <t>Errores de aprendizaje T2.</t>
  </si>
  <si>
    <t>A1:L16</t>
  </si>
  <si>
    <t>A1:L17</t>
  </si>
  <si>
    <t>Dashboard T2.</t>
  </si>
  <si>
    <t>A1:R4</t>
  </si>
  <si>
    <t>Inteligencia de mercado minera.</t>
  </si>
  <si>
    <t>No crear hojas nuevas; poblar con análisis real.</t>
  </si>
  <si>
    <t>Inteligencia inmobiliaria LNR.</t>
  </si>
  <si>
    <t>A1:T4</t>
  </si>
  <si>
    <t>Benchmark de competidores.</t>
  </si>
  <si>
    <t>A1:Q104</t>
  </si>
  <si>
    <t>Control de campañas y embudos.</t>
  </si>
  <si>
    <t>Análisis de sitios, landings, UX y funnels.</t>
  </si>
  <si>
    <t>Análisis de redes sociales, autoridad, contenido y CTA.</t>
  </si>
  <si>
    <t>A1:Q11</t>
  </si>
  <si>
    <t>Roadmap MVP / desarrollo / IA / testing / métricas.</t>
  </si>
  <si>
    <t>Mantener; transformar uso en control semanal MVP cuando corresponda.</t>
  </si>
  <si>
    <t>Revisar duplicidad con 10_Patrimonio_Financiero; conservar como legacy si aporta.</t>
  </si>
  <si>
    <t>A1:X9</t>
  </si>
  <si>
    <t>Rentabilidad acumulada por activo.</t>
  </si>
  <si>
    <t>A1:J67</t>
  </si>
  <si>
    <t>Control académico 4 años.</t>
  </si>
  <si>
    <t>A1:S52</t>
  </si>
  <si>
    <t>Fuente maestra de ramos por año/trimestre.</t>
  </si>
  <si>
    <t>A1:K64</t>
  </si>
  <si>
    <t>Consolidado de notas.</t>
  </si>
  <si>
    <t>A1:H37</t>
  </si>
  <si>
    <t>Dashboard académico operativo.</t>
  </si>
  <si>
    <t>A1:J16</t>
  </si>
  <si>
    <t>Control académico trimestral.</t>
  </si>
  <si>
    <t>A1:E12</t>
  </si>
  <si>
    <t>A1:Y204</t>
  </si>
  <si>
    <t>Mantener como respaldo; no editar.</t>
  </si>
  <si>
    <t>A1:Q9</t>
  </si>
  <si>
    <t>Posición real actual de inversiones.</t>
  </si>
  <si>
    <t>A1:I15</t>
  </si>
  <si>
    <t>Patrimonio financiero consolidado.</t>
  </si>
  <si>
    <t>A1:I12</t>
  </si>
  <si>
    <t>A1:E8</t>
  </si>
  <si>
    <t>Hallazgo</t>
  </si>
  <si>
    <t>Acción recomendada</t>
  </si>
  <si>
    <t>No faltan hojas de inteligencia de mercado</t>
  </si>
  <si>
    <t>Las hojas 70 a 76 ya existen: MGC, LNR, Competencia, Campañas, Web, RRSS y CaptaPropIA.</t>
  </si>
  <si>
    <t>Evita duplicar estructura.</t>
  </si>
  <si>
    <t>Poblarlas con investigación real semanal.</t>
  </si>
  <si>
    <t>El Excel sí mide muchas áreas</t>
  </si>
  <si>
    <t>Finanzas, Universidad, CRM, Mercado, CaptaPropIA, Registro Diario, KPI, Salud y Patrimonio están representados.</t>
  </si>
  <si>
    <t>El sistema ya es amplio.</t>
  </si>
  <si>
    <t>No seguir creando por ansiedad; operar el sistema.</t>
  </si>
  <si>
    <t>El punto débil es uso consistente</t>
  </si>
  <si>
    <t>Muchas hojas están listas pero vacías o con pocos datos.</t>
  </si>
  <si>
    <t>Sin datos, no hay medición real.</t>
  </si>
  <si>
    <t>Rutina diaria y semanal de carga.</t>
  </si>
  <si>
    <t>Vida Real y Excel deben conectarse por registro</t>
  </si>
  <si>
    <t>Vida Real dice qué hacer; Excel debe registrar cumplimiento, tiempo, resultado y corrección.</t>
  </si>
  <si>
    <t>Esto convierte actividad en mejora medible.</t>
  </si>
  <si>
    <t>Usar 20_Registro_Diario, 21_KPI_Diario y hojas específicas.</t>
  </si>
  <si>
    <t>Universidad depende de Canvas</t>
  </si>
  <si>
    <t>El sistema académico está listo, pero T2 no puede operar sin ramos, fechas y evaluaciones.</t>
  </si>
  <si>
    <t>No es falla del Excel.</t>
  </si>
  <si>
    <t>Cargar datos cuando se habilite Canvas.</t>
  </si>
  <si>
    <t>Market Intelligence está en fase plantilla</t>
  </si>
  <si>
    <t>Las hojas 70-75 están diseñadas, pero no pobladas.</t>
  </si>
  <si>
    <t>Es el foco actual para LNH/LNR/MGC.</t>
  </si>
  <si>
    <t>Registrar mínimo 3 análisis por semana.</t>
  </si>
  <si>
    <t>CaptaPropIA tiene roadmap inicial</t>
  </si>
  <si>
    <t>La hoja 76 ya contiene fases, tareas, riesgos y métricas.</t>
  </si>
  <si>
    <t>Sirve como base para control MVP.</t>
  </si>
  <si>
    <t>Más adelante agregar seguimiento de avance % si se vuelve necesario.</t>
  </si>
  <si>
    <t>Hay posibles duplicidades legacy</t>
  </si>
  <si>
    <t>Ej.: 06_Patrimonio_Neto/10_Patrimonio_Financiero, 07/11_Evolucion_Patrimonial, dashboards antiguos y nuevos.</t>
  </si>
  <si>
    <t>No crítico, pero puede confundir.</t>
  </si>
  <si>
    <t>No borrar aún; definir hoja oficial y dejar otras como histórico/legacy.</t>
  </si>
  <si>
    <t>Errores de fórmula</t>
  </si>
  <si>
    <t>Escaneo final limpio: no se encontraron errores críticos de fórmula.</t>
  </si>
  <si>
    <t>Técnicamente estable.</t>
  </si>
  <si>
    <t>Usar el Excel todos los días: plan vs real vs resultado vs corrección.</t>
  </si>
  <si>
    <t>20_Registro_Diario + 21_KPI_Diario</t>
  </si>
  <si>
    <t>Medición real de avance diario.</t>
  </si>
  <si>
    <t>Poblar inteligencia de mercado LNR/MGC.</t>
  </si>
  <si>
    <t>70_Mercado_MGC, 71_Mercado_LNR, 72_Competencia, 74_Analisis_Web, 75_Redes_Sociales</t>
  </si>
  <si>
    <t>Conocimiento acumulado del mercado.</t>
  </si>
  <si>
    <t>Cargar T2 cuando Canvas habilite ramos.</t>
  </si>
  <si>
    <t>54_Ramos_Activos, 55_Evaluaciones, 61-66</t>
  </si>
  <si>
    <t>Sistema académico activo.</t>
  </si>
  <si>
    <t>Actualizar inversiones mensualmente.</t>
  </si>
  <si>
    <t>09_Posicion_Actual, 08_Rentabilidad_Inversiones, 10_Patrimonio_Financiero</t>
  </si>
  <si>
    <t>Patrimonio real medido.</t>
  </si>
  <si>
    <t>Definir hojas oficiales vs legacy.</t>
  </si>
  <si>
    <t>Índice / Auditoría</t>
  </si>
  <si>
    <t>Menos confusión al usar el archivo.</t>
  </si>
  <si>
    <t>AUDITORÍA V6.6 MASTER — INTEGRACIÓN FINAL</t>
  </si>
  <si>
    <t>Acción realizada</t>
  </si>
  <si>
    <t>Universidad T1</t>
  </si>
  <si>
    <t>OK</t>
  </si>
  <si>
    <t>creado histórico T1</t>
  </si>
  <si>
    <t>V5 + V6.5</t>
  </si>
  <si>
    <t>T1 congelado sin borrar V6.5</t>
  </si>
  <si>
    <t>copiado desde V5</t>
  </si>
  <si>
    <t>51_Bloques_Estudio V5</t>
  </si>
  <si>
    <t>histórico bloques</t>
  </si>
  <si>
    <t>53_Errores V5</t>
  </si>
  <si>
    <t>histórico errores</t>
  </si>
  <si>
    <t>55_Evaluaciones V5</t>
  </si>
  <si>
    <t>notas y evaluaciones</t>
  </si>
  <si>
    <t>54 Dashboard V5</t>
  </si>
  <si>
    <t>dashboard académico</t>
  </si>
  <si>
    <t>57 Prioridad V5</t>
  </si>
  <si>
    <t>prioridades</t>
  </si>
  <si>
    <t>58 Dashboard CEO V5</t>
  </si>
  <si>
    <t>lectura ejecutiva</t>
  </si>
  <si>
    <t>61-66</t>
  </si>
  <si>
    <t>estructuras T2 creadas</t>
  </si>
  <si>
    <t>V6.6</t>
  </si>
  <si>
    <t>espera datos Canvas</t>
  </si>
  <si>
    <t>market intelligence creado</t>
  </si>
  <si>
    <t>cargar estudios reales</t>
  </si>
  <si>
    <t>patrimonio/rentabilidad creado</t>
  </si>
  <si>
    <t>actualizar valores reales</t>
  </si>
  <si>
    <t>Celdas utilizadas</t>
  </si>
  <si>
    <t>Formulas</t>
  </si>
  <si>
    <t>Observacion</t>
  </si>
  <si>
    <t>Revisar calidad funcional y dependencias</t>
  </si>
  <si>
    <t>Basica</t>
  </si>
  <si>
    <t>Auditoría Parcial | Hojas Universidad T2 Actualizadas</t>
  </si>
  <si>
    <t>Continuación de auditoría integral hoja por hoja</t>
  </si>
  <si>
    <t>Tipo de actualización</t>
  </si>
  <si>
    <t>Madurez actual</t>
  </si>
  <si>
    <t>Siguiente mejora</t>
  </si>
  <si>
    <t>Carga/actualización operativa T2</t>
  </si>
  <si>
    <t>Actualizada</t>
  </si>
  <si>
    <t>Validar fechas exactas en Canvas</t>
  </si>
  <si>
    <t>Añadir notas reales y evidencias</t>
  </si>
  <si>
    <t>N°</t>
  </si>
  <si>
    <t>A+</t>
  </si>
  <si>
    <t>Excelente</t>
  </si>
  <si>
    <t>Mantener</t>
  </si>
  <si>
    <t>Mejorable</t>
  </si>
  <si>
    <t>Auditar detalle</t>
  </si>
  <si>
    <t>Muy sólida</t>
  </si>
  <si>
    <t>Optimizar</t>
  </si>
  <si>
    <t>Buena</t>
  </si>
  <si>
    <t>Modulo</t>
  </si>
  <si>
    <t>Nivel</t>
  </si>
  <si>
    <t>Fortalezas</t>
  </si>
  <si>
    <t>Debilidades</t>
  </si>
  <si>
    <t>Accion Prioritaria</t>
  </si>
  <si>
    <t>95-98%</t>
  </si>
  <si>
    <t>Caja, patrimonio, ETF, dashboard</t>
  </si>
  <si>
    <t>Pocas</t>
  </si>
  <si>
    <t>Ramos, evaluaciones, dashboard</t>
  </si>
  <si>
    <t>Fechas Canvas por validar</t>
  </si>
  <si>
    <t>Actualizar notas</t>
  </si>
  <si>
    <t>Pipeline, Market Intelligence</t>
  </si>
  <si>
    <t>Algunas dependencias</t>
  </si>
  <si>
    <t>Investigación y KPIs</t>
  </si>
  <si>
    <t>Escalabilidad</t>
  </si>
  <si>
    <t>B+</t>
  </si>
  <si>
    <t>Mercado y competencia</t>
  </si>
  <si>
    <t>Fortalecer</t>
  </si>
  <si>
    <t>C1-C5 y Stack</t>
  </si>
  <si>
    <t>Testing futuro</t>
  </si>
  <si>
    <t>85-95%</t>
  </si>
  <si>
    <t>Dashboard Holding y CEO</t>
  </si>
  <si>
    <t>Consolidación futura</t>
  </si>
  <si>
    <t>Nivel Global</t>
  </si>
  <si>
    <t>Madurez Sistema</t>
  </si>
  <si>
    <t>Sistema Robinson Godoy 2026</t>
  </si>
  <si>
    <t>92-95%</t>
  </si>
  <si>
    <t>Altamente Operativo</t>
  </si>
  <si>
    <t>Escalable y listo para operación 2026</t>
  </si>
  <si>
    <t>HOJA</t>
  </si>
  <si>
    <t>ESTADO</t>
  </si>
  <si>
    <t>MOTIVO</t>
  </si>
  <si>
    <t>Histórica, duplicada, reemplazada o respaldo</t>
  </si>
  <si>
    <t>Evento</t>
  </si>
  <si>
    <t>2018</t>
  </si>
  <si>
    <t>Hospitalización</t>
  </si>
  <si>
    <t>UTI 8 días</t>
  </si>
  <si>
    <t>Secuelas pulmonares</t>
  </si>
  <si>
    <t>2025</t>
  </si>
  <si>
    <t>Covid</t>
  </si>
  <si>
    <t>5 días</t>
  </si>
  <si>
    <t>Evolución favorable</t>
  </si>
  <si>
    <t>2026</t>
  </si>
  <si>
    <t>Neumonía</t>
  </si>
  <si>
    <t>Neumonía leve</t>
  </si>
  <si>
    <t>Detectada a tiempo</t>
  </si>
  <si>
    <t>Sin hospitalización</t>
  </si>
  <si>
    <t>Hipertensión</t>
  </si>
  <si>
    <t>Holter positivo</t>
  </si>
  <si>
    <t>Inicio medicamento</t>
  </si>
  <si>
    <t>Control actual</t>
  </si>
  <si>
    <t>Presión mañana</t>
  </si>
  <si>
    <t>Pulso mañana</t>
  </si>
  <si>
    <t>Presión noche</t>
  </si>
  <si>
    <t>Pulso noche</t>
  </si>
  <si>
    <t>Archivo</t>
  </si>
  <si>
    <t>Última visita</t>
  </si>
  <si>
    <t>Próxima visita</t>
  </si>
  <si>
    <t>Dosis</t>
  </si>
  <si>
    <t>Renovación</t>
  </si>
  <si>
    <t>Según receta</t>
  </si>
  <si>
    <t>Plan</t>
  </si>
  <si>
    <t>Tratamiento</t>
  </si>
  <si>
    <t>Antecedentes</t>
  </si>
  <si>
    <t>C3.1 RECONSTRUCCIÓN DE HOJAS MAESTRAS</t>
  </si>
  <si>
    <t>Reconstrucción real con formato, tablas, fórmulas, validaciones y dashboards</t>
  </si>
  <si>
    <t>Acción ejecutada</t>
  </si>
  <si>
    <t>Reconstruida</t>
  </si>
  <si>
    <t>Formato + tablas + fórmulas + dashboards cuando aplica</t>
  </si>
  <si>
    <t>Operativa</t>
  </si>
  <si>
    <t>KPI LONGEVIDAD</t>
  </si>
  <si>
    <t>Control mensual de presión, sueño, energía, actividad y adherencia</t>
  </si>
  <si>
    <t>IMC</t>
  </si>
  <si>
    <t>Sueño promedio</t>
  </si>
  <si>
    <t>Estrés 1-10</t>
  </si>
  <si>
    <t>Caminatas/semana</t>
  </si>
  <si>
    <t>Minutos actividad</t>
  </si>
  <si>
    <t>Prom. sistólica</t>
  </si>
  <si>
    <t>Prom. diastólica</t>
  </si>
  <si>
    <t>Adherencia medicamentos</t>
  </si>
  <si>
    <t>93 AUDITORÍA CONCILIACIÓN — CORRECCIÓN CICLO MENSUAL 2026</t>
  </si>
  <si>
    <t>Corrección aplicada: las fórmulas ya no quedan amarradas a mayo; ahora usan el mes activo indicado en 18_Conciliacion_Bancaria_V2!B3.</t>
  </si>
  <si>
    <t>Problema detectado</t>
  </si>
  <si>
    <t>Corrección aplicada</t>
  </si>
  <si>
    <t>Rango/Fórmula</t>
  </si>
  <si>
    <t>Tipo movimiento dependía de mayo</t>
  </si>
  <si>
    <t>J5:J403 ahora clasifica según mes activo en Conciliación</t>
  </si>
  <si>
    <t>J5:J403</t>
  </si>
  <si>
    <t>Corregido</t>
  </si>
  <si>
    <t>Junio y meses futuros funcionan</t>
  </si>
  <si>
    <t>Gasto real / Movimiento patrimonial / Histórico</t>
  </si>
  <si>
    <t>Gastos reales mes quedaban en cero</t>
  </si>
  <si>
    <t>B9 usa SUMIFS con mes activo + Gasto real</t>
  </si>
  <si>
    <t>B9</t>
  </si>
  <si>
    <t>Gastos junio aparecen</t>
  </si>
  <si>
    <t>Se alimenta desde 12_Gastos</t>
  </si>
  <si>
    <t>Transferencias patrimoniales quedaban en cero</t>
  </si>
  <si>
    <t>B10 usa SUMIFS con mes activo + Movimiento patrimonial</t>
  </si>
  <si>
    <t>B10</t>
  </si>
  <si>
    <t>Transferencias a inversión/caja aparecen</t>
  </si>
  <si>
    <t>Incluye categoría/área Inversión/Caja</t>
  </si>
  <si>
    <t>Reintegros inversión podían quedar sin capturar</t>
  </si>
  <si>
    <t>B11 usa 14_Inversiones mes activo + tipo Retiro</t>
  </si>
  <si>
    <t>B11</t>
  </si>
  <si>
    <t>Retiros de inversiones vuelven al cálculo</t>
  </si>
  <si>
    <t>Depende de Tipo movimiento = Retiro</t>
  </si>
  <si>
    <t>Resumen no estaba amarrado al mes activo</t>
  </si>
  <si>
    <t>K5:L8 recalculado con mes activo</t>
  </si>
  <si>
    <t>K5:L8</t>
  </si>
  <si>
    <t>Resumen mensual dinámico</t>
  </si>
  <si>
    <t>Sirve para junio, julio, agosto...</t>
  </si>
  <si>
    <t>Corrección técnica</t>
  </si>
  <si>
    <t>Fill_down generaba referencias V3/V4 inexistentes</t>
  </si>
  <si>
    <t>Se reescribió J5:J403 con fórmulas fila a fila</t>
  </si>
  <si>
    <t>Elimina referencias rotas</t>
  </si>
  <si>
    <t>Fórmula fija a 18_Conciliacion_Bancaria_V2</t>
  </si>
  <si>
    <t>Registro Diario</t>
  </si>
  <si>
    <t>Tipo Día tenía opciones incompletas</t>
  </si>
  <si>
    <t>Se actualizó validación a Libre / Compensado / Permiso Administrativo / Vacaciones / Turno de Mañana / Turno de Tarde / Turno de Noche</t>
  </si>
  <si>
    <t>B5:B403</t>
  </si>
  <si>
    <t>Permite registrar SERPAT junio correctamente</t>
  </si>
  <si>
    <t>Se normalizó Turno Mañana/Noche a nueva nomenclatura</t>
  </si>
  <si>
    <t>KPI Semanal</t>
  </si>
  <si>
    <t>Hoja estaba limitada a 5 semanas tipo mayo</t>
  </si>
  <si>
    <t>Se reconstruyó como KPI semanal mensual dinámico por mes activo</t>
  </si>
  <si>
    <t>A1:N24</t>
  </si>
  <si>
    <t>Sirve para junio, julio, agosto y siguientes</t>
  </si>
  <si>
    <t>Mes activo editable en B4</t>
  </si>
  <si>
    <t>Conciliación Bancaria V3</t>
  </si>
  <si>
    <t>V2 no integraba deuda/inversión con lógica contable completa</t>
  </si>
  <si>
    <t>Se creó V3 separando gastos, deuda, aportes/retiros e informativos de inversión</t>
  </si>
  <si>
    <t>A1:K52</t>
  </si>
  <si>
    <t>Creado</t>
  </si>
  <si>
    <t>Modelo mensual permanente 2026</t>
  </si>
  <si>
    <t>V2 queda como referencia; usar V3 para conciliación real</t>
  </si>
  <si>
    <t>95 AUDITORÍA VIDA REAL / CONTROL Y REGISTROS — SEC_03</t>
  </si>
  <si>
    <t>Auditoría completa del bloque Vida Real: Registro Diario, KPI Diario, KPI Semanal, Domingo CEO, KPI Mensual y hoja 44_Salud. Se corrige Tipo Día y se deja 44_Salud para ocultar por redundancia con Health &amp; Longevity.</t>
  </si>
  <si>
    <t>Estado recomendado</t>
  </si>
  <si>
    <t>Dependencias</t>
  </si>
  <si>
    <t>Agrupa Vida Real / Salud</t>
  </si>
  <si>
    <t>Puede renombrarse después si quieres separar Salud</t>
  </si>
  <si>
    <t>Tipo Día con lista incompleta / WPS no mostraba opciones</t>
  </si>
  <si>
    <t>Validación por rango N2:N8 + normalización</t>
  </si>
  <si>
    <t>Hoja base de registro diario</t>
  </si>
  <si>
    <t>21/22/24</t>
  </si>
  <si>
    <t>Opciones: Libre, Compensado, Permiso Administrativo, Vacaciones, Mañana, Tarde, Noche</t>
  </si>
  <si>
    <t>Estaba estático / limitado a filas antiguas</t>
  </si>
  <si>
    <t>Reconstruido dinámico hasta fila 403</t>
  </si>
  <si>
    <t>Mide el día desde Registro Diario</t>
  </si>
  <si>
    <t>20/22/24</t>
  </si>
  <si>
    <t>No se llena a mano</t>
  </si>
  <si>
    <t>Semanal dependía mal de conteos / mes activo</t>
  </si>
  <si>
    <t>Conectado a 21_KPI_Diario</t>
  </si>
  <si>
    <t>Control semanal mensual</t>
  </si>
  <si>
    <t>20/21/11/12/63/40</t>
  </si>
  <si>
    <t>Mes activo editable</t>
  </si>
  <si>
    <t>Hoja simple pero útil</t>
  </si>
  <si>
    <t>Cierre semanal ejecutivo</t>
  </si>
  <si>
    <t>24</t>
  </si>
  <si>
    <t>Conviene fortalecer después</t>
  </si>
  <si>
    <t>Estaba amarrado a Mayo</t>
  </si>
  <si>
    <t>Reconstruido dinámico por mes activo</t>
  </si>
  <si>
    <t>Score mensual del sistema</t>
  </si>
  <si>
    <t>20/21/23/63/40/70/71/H03</t>
  </si>
  <si>
    <t>Sirve para junio y meses siguientes</t>
  </si>
  <si>
    <t>Ocultar</t>
  </si>
  <si>
    <t>Redundante con H00-H11 Health &amp; Longevity</t>
  </si>
  <si>
    <t>Apagar / dejar histórica</t>
  </si>
  <si>
    <t>Reemplazada por Health &amp; Longevity</t>
  </si>
  <si>
    <t>H00-H11</t>
  </si>
  <si>
    <t>No borrar, sólo ocultar</t>
  </si>
  <si>
    <t>H00-H11 / H99</t>
  </si>
  <si>
    <t>Bloque salud actual</t>
  </si>
  <si>
    <t>Sistema Health &amp; Longevity vigente</t>
  </si>
  <si>
    <t>20/24/90</t>
  </si>
  <si>
    <t>Reemplaza 44_Salud</t>
  </si>
  <si>
    <t>LISTA OFICIAL TIPO DÍA</t>
  </si>
  <si>
    <t>Acción final</t>
  </si>
  <si>
    <t>Queda como referencia histórica; el bloque operativo de salud es H00-H11/H99.</t>
  </si>
  <si>
    <t>Lista oficial aplicada en 20_Registro_Diario!B5:B403 usando rango N2:N8.</t>
  </si>
  <si>
    <t>Corrección definitiva</t>
  </si>
  <si>
    <t>Se eliminó la validación antigua y se reemplazó por lista directa oficial.</t>
  </si>
  <si>
    <t>WPS/Excel</t>
  </si>
  <si>
    <t>Lista completa: Libre, Compensado, Permiso Administrativo, Vacaciones, Turno de Mañana, Turno de Tarde, Turno de Noche</t>
  </si>
  <si>
    <t>Cierre Mayo</t>
  </si>
  <si>
    <t>Revisar receta</t>
  </si>
  <si>
    <t>Sin costo mensual; revisar tramo y cobertura real.</t>
  </si>
  <si>
    <t>Costo alto; evaluar si reemplaza o complementa Fonasa.</t>
  </si>
  <si>
    <t>Útil si se prioriza ambulatorio; validar exclusiones.</t>
  </si>
  <si>
    <t>Revisar convenio, red y costos reales antes de decidir.</t>
  </si>
  <si>
    <t>Alternativa fuerte; comparar con RedSalud y presupuesto mensual.</t>
  </si>
  <si>
    <t>SERPAT_TURNOS - MODULO MAESTRO</t>
  </si>
  <si>
    <t>Trabajados</t>
  </si>
  <si>
    <t>Libres</t>
  </si>
  <si>
    <t>Salida Casa</t>
  </si>
  <si>
    <t>Ingreso</t>
  </si>
  <si>
    <t>Colación</t>
  </si>
  <si>
    <t>Llegada Casa</t>
  </si>
  <si>
    <t>Trabajadas</t>
  </si>
  <si>
    <t>Nocturnas</t>
  </si>
  <si>
    <t>Extras</t>
  </si>
  <si>
    <t>2026-07-01</t>
  </si>
  <si>
    <t>Mié</t>
  </si>
  <si>
    <t>M</t>
  </si>
  <si>
    <t>Mañana</t>
  </si>
  <si>
    <t>2026-07-02</t>
  </si>
  <si>
    <t>Jue</t>
  </si>
  <si>
    <t>T</t>
  </si>
  <si>
    <t>Tarde</t>
  </si>
  <si>
    <t>2026-07-03</t>
  </si>
  <si>
    <t>Vie</t>
  </si>
  <si>
    <t>2026-07-04</t>
  </si>
  <si>
    <t>Sáb</t>
  </si>
  <si>
    <t>2026-07-05</t>
  </si>
  <si>
    <t>Dom</t>
  </si>
  <si>
    <t>2026-07-06</t>
  </si>
  <si>
    <t>Lun</t>
  </si>
  <si>
    <t>2026-07-07</t>
  </si>
  <si>
    <t>Mar</t>
  </si>
  <si>
    <t>2026-07-08</t>
  </si>
  <si>
    <t>2026-07-09</t>
  </si>
  <si>
    <t>2026-07-10</t>
  </si>
  <si>
    <t>2026-07-11</t>
  </si>
  <si>
    <t>2026-07-12</t>
  </si>
  <si>
    <t>2026-07-13</t>
  </si>
  <si>
    <t>N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</si>
  <si>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</si>
  <si>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</si>
  <si>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</si>
  <si>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</si>
  <si>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</si>
  <si>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</si>
  <si>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</si>
  <si>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</si>
  <si>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</si>
  <si>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</si>
  <si>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</si>
  <si>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</si>
  <si>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</si>
  <si>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</si>
  <si>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</si>
  <si>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</si>
  <si>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PENDIENTES - GESTOR MAESTRO</t>
  </si>
  <si>
    <t>Subárea</t>
  </si>
  <si>
    <t>Fecha Creación</t>
  </si>
  <si>
    <t>Fecha Límite</t>
  </si>
  <si>
    <t>Fecha Cierre</t>
  </si>
  <si>
    <t>Días Abiertos</t>
  </si>
  <si>
    <t>P-0001</t>
  </si>
  <si>
    <t>Completados</t>
  </si>
  <si>
    <t>P-0002</t>
  </si>
  <si>
    <t>Críticos</t>
  </si>
  <si>
    <t>P-0003</t>
  </si>
  <si>
    <t>Turnos</t>
  </si>
  <si>
    <t>IDENTIDAD</t>
  </si>
  <si>
    <t>Misión</t>
  </si>
  <si>
    <t>Visión 2042</t>
  </si>
  <si>
    <t>Ley 001</t>
  </si>
  <si>
    <t>Nunca romper la cadena</t>
  </si>
  <si>
    <t>Valores</t>
  </si>
  <si>
    <t>Propósito</t>
  </si>
  <si>
    <t>Manifiesto</t>
  </si>
  <si>
    <t>HÁBITOS</t>
  </si>
  <si>
    <t>Visualización</t>
  </si>
  <si>
    <t>Gratitud</t>
  </si>
  <si>
    <t>Inglés</t>
  </si>
  <si>
    <t>Disciplina</t>
  </si>
  <si>
    <t>Constancia</t>
  </si>
  <si>
    <t>Liderazgo</t>
  </si>
  <si>
    <t>Paciencia</t>
  </si>
  <si>
    <t>Autocontrol</t>
  </si>
  <si>
    <t>Resiliencia</t>
  </si>
  <si>
    <t>SISTEMA IDENTIDAD</t>
  </si>
  <si>
    <t>Construir una vida extraordinaria mediante disciplina, sistemas, aprendizaje continuo y creación de patrimonio.</t>
  </si>
  <si>
    <t>Holding internacional, patrimonio sólido, salud, liderazgo, legado y libertad.</t>
  </si>
  <si>
    <t>Convertir cada día en capital acumulado para Robinson 2042.</t>
  </si>
  <si>
    <t>Nunca romper la cadena. Si no puedes avanzar al 100%, avanza al 20%; si no puedes al 20%, avanza al 5%; nunca cero.</t>
  </si>
  <si>
    <t>Disciplina, Integridad, Responsabilidad, Aprendizaje, Perseverancia, Humildad, Familia, Excelencia.</t>
  </si>
  <si>
    <t>No improvisar. Ejecutar. Construir. Pensar en décadas, actuar hoy.</t>
  </si>
  <si>
    <t>BIBLIOTECA MAESTRA</t>
  </si>
  <si>
    <t>Leyendo</t>
  </si>
  <si>
    <t>Hábitos Atómicos - James Clear</t>
  </si>
  <si>
    <t>Columna4</t>
  </si>
  <si>
    <t>Columna5</t>
  </si>
  <si>
    <t>Columna6</t>
  </si>
  <si>
    <t>Columna7</t>
  </si>
  <si>
    <t>Columna8</t>
  </si>
  <si>
    <t>Capítulo Actual</t>
  </si>
  <si>
    <t>14</t>
  </si>
  <si>
    <t>En progreso</t>
  </si>
  <si>
    <t>Próximos libros</t>
  </si>
  <si>
    <t>Los 7 Hábitos; Deep Work; Principios; El Inversor Inteligente; Good to Great; Pensar Rápido Pensar Despacio</t>
  </si>
  <si>
    <t>30 min diarios</t>
  </si>
  <si>
    <t>3-5 veces/semana</t>
  </si>
  <si>
    <t>CARÁCTER</t>
  </si>
  <si>
    <t>Construir mediante ejecución diaria</t>
  </si>
  <si>
    <t>Predicar con el ejemplo</t>
  </si>
  <si>
    <t>Mejorar continuamente</t>
  </si>
  <si>
    <t>Pensar a largo plazo</t>
  </si>
  <si>
    <t>Dominar emociones</t>
  </si>
  <si>
    <t>Todo tiene un sistema</t>
  </si>
  <si>
    <t>Aprender de cada dificultad</t>
  </si>
  <si>
    <t>VISION_BOARD — PANEL DE VISIÓN MAESTRO</t>
  </si>
  <si>
    <t>Objetivo 2042</t>
  </si>
  <si>
    <t>Imagen / Referencia</t>
  </si>
  <si>
    <t>Ruta (09_PANEL_VISION)</t>
  </si>
  <si>
    <t>Fecha incorporación</t>
  </si>
  <si>
    <t>Activos</t>
  </si>
  <si>
    <t>Patrimonio</t>
  </si>
  <si>
    <t>Casa en Pirque</t>
  </si>
  <si>
    <t>CASA_PIRQUE.jpg</t>
  </si>
  <si>
    <t>09_PANEL_VISION/Casa</t>
  </si>
  <si>
    <t>Conseguidos</t>
  </si>
  <si>
    <t>Oficina Alonso de Córdova</t>
  </si>
  <si>
    <t>OFICINA_ALONSO.jpg</t>
  </si>
  <si>
    <t>09_PANEL_VISION/Oficina</t>
  </si>
  <si>
    <t>Miner Global Connect</t>
  </si>
  <si>
    <t>MGC.jpg</t>
  </si>
  <si>
    <t>09_PANEL_VISION/MGC</t>
  </si>
  <si>
    <t>Latitud Norte Holding</t>
  </si>
  <si>
    <t>LNH.jpg</t>
  </si>
  <si>
    <t>09_PANEL_VISION/LNH</t>
  </si>
  <si>
    <t>Salud y longevidad</t>
  </si>
  <si>
    <t>SALUD.jpg</t>
  </si>
  <si>
    <t>09_PANEL_VISION/Salud</t>
  </si>
  <si>
    <t>Familia</t>
  </si>
  <si>
    <t>Tiempo con la familia</t>
  </si>
  <si>
    <t>FAMILIA.jpg</t>
  </si>
  <si>
    <t>09_PANEL_VISION/Familia</t>
  </si>
  <si>
    <t>Patrimonio e inversiones</t>
  </si>
  <si>
    <t>PATRIMONIO.jpg</t>
  </si>
  <si>
    <t>09_PANEL_VISION/Finanzas</t>
  </si>
  <si>
    <t>Viajes</t>
  </si>
  <si>
    <t>Viajes internacionales</t>
  </si>
  <si>
    <t>VIAJES.jpg</t>
  </si>
  <si>
    <t>09_PANEL_VISION/Viajes</t>
  </si>
  <si>
    <t>Vehículos</t>
  </si>
  <si>
    <t>Flota objetivo</t>
  </si>
  <si>
    <t>VEHICULOS.jpg</t>
  </si>
  <si>
    <t>09_PANEL_VISION/Vehiculos</t>
  </si>
  <si>
    <t>Legado</t>
  </si>
  <si>
    <t>Fundación y protectora de animales</t>
  </si>
  <si>
    <t>LEGADO.jpg</t>
  </si>
  <si>
    <t>09_PANEL_VISION/Legado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</si>
</sst>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\$#,##0;[Red]\(\$#,##0\);\-"/>
    <numFmt numFmtId="165" formatCode="0.0%"/>
    <numFmt numFmtId="166" formatCode="dd\-mm\-yyyy"/>
    <numFmt numFmtId="167" formatCode="0.0"/>
    <numFmt numFmtId="168" formatCode="dd/mm/yyyy\ hh:mm"/>
    <numFmt numFmtId="169" formatCode="&quot;$&quot;#,##0.00;[Red]&quot;$&quot;#,##0.00"/>
    <numFmt numFmtId="170" formatCode="\$#,##0"/>
    <numFmt numFmtId="171" formatCode="&quot;$&quot;#,##0"/>
    <numFmt numFmtId="172" formatCode="0.00000000"/>
    <numFmt numFmtId="173" formatCode="dd/mm"/>
    <numFmt numFmtId="174" formatCode="mmm\-yyyy"/>
    <numFmt numFmtId="175" formatCode="\$#,##0.00"/>
    <numFmt numFmtId="176" formatCode="[$-F800]dddd\,\ mmmm\ dd\,\ yyyy"/>
    <numFmt numFmtId="177" formatCode="yyyy\-mm\-dd"/>
  </numFmts>
  <fonts count="75">
    <font>
      <sz val="11"/>
      <name val="Calibri"/>
    </font>
    <font>
      <b/>
      <sz val="18"/>
      <color rgb="FFFFFFFF"/>
      <name val="Calibri"/>
    </font>
    <font>
      <sz val="11"/>
      <name val="Calibri"/>
    </font>
    <font>
      <sz val="11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6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555555"/>
      <name val="Calibri"/>
    </font>
    <font>
      <b/>
      <sz val="14"/>
      <name val="Calibri"/>
    </font>
    <font>
      <b/>
      <sz val="13"/>
      <color rgb="FFFFFFFF"/>
      <name val="Calibri"/>
    </font>
    <font>
      <b/>
      <sz val="17"/>
      <color rgb="FFFFFFFF"/>
      <name val="Calibri"/>
    </font>
    <font>
      <b/>
      <sz val="15"/>
      <name val="Calibri"/>
    </font>
    <font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9C0006"/>
      <name val="Calibri"/>
    </font>
    <font>
      <sz val="11"/>
      <name val="Calibri"/>
    </font>
    <font>
      <sz val="11"/>
      <color theme="1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i/>
      <sz val="11"/>
      <color rgb="FF666666"/>
      <name val="Calibri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i/>
      <sz val="11"/>
      <color rgb="FF666666"/>
      <name val="Calibri"/>
    </font>
    <font>
      <b/>
      <sz val="11"/>
      <color rgb="FF7F6000"/>
      <name val="Calibri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4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2"/>
      <color rgb="FFFFFFFF"/>
      <name val="Calibri"/>
    </font>
    <font>
      <b/>
      <sz val="11"/>
      <color rgb="FF006100"/>
      <name val="Calibri"/>
    </font>
    <font>
      <b/>
      <sz val="11"/>
      <color rgb="FF7F6000"/>
      <name val="Calibri"/>
    </font>
    <font>
      <b/>
      <sz val="11"/>
      <color rgb="FF990000"/>
      <name val="Calibri"/>
    </font>
    <font>
      <b/>
      <sz val="30"/>
      <color rgb="FFFFFFFF"/>
      <name val="Calibri"/>
    </font>
    <font>
      <b/>
      <sz val="11"/>
      <color rgb="FFFFFFFF"/>
      <name val="Calibri"/>
    </font>
    <font>
      <sz val="12"/>
      <color theme="10"/>
      <name val="Calibri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4"/>
      <name val="Calibri"/>
    </font>
    <font>
      <b/>
      <sz val="25"/>
      <color rgb="FFFFFFFF"/>
      <name val="Calibri"/>
    </font>
    <font>
      <b/>
      <sz val="24"/>
      <color rgb="FFFFFFFF"/>
      <name val="Calibri"/>
    </font>
    <font>
      <i/>
      <sz val="11"/>
      <name val="Calibri"/>
    </font>
    <font>
      <b/>
      <sz val="14"/>
      <color rgb="FFFFFFFF"/>
      <name val="Calibri"/>
    </font>
    <font>
      <i/>
      <sz val="10"/>
      <color rgb="FF334E45"/>
      <name val="Calibri"/>
    </font>
    <font>
      <b/>
      <sz val="11"/>
      <color rgb="FFFFFFFF"/>
      <name val="Calibri"/>
    </font>
    <font>
      <b/>
      <sz val="16"/>
      <color rgb="FF1F4E3D"/>
      <name val="Calibri"/>
    </font>
    <font>
      <sz val="12"/>
      <color theme="10"/>
      <name val="Calibri"/>
    </font>
    <font>
      <sz val="11"/>
      <name val="Calibri"/>
    </font>
    <font>
      <sz val="11"/>
      <color rgb="FF0000FF"/>
      <name val="Calibri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F172A"/>
      <name val="Carlito"/>
    </font>
  </fonts>
  <fills count="8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4F1964"/>
      </patternFill>
    </fill>
    <fill>
      <patternFill patternType="solid">
        <fgColor rgb="FFE7E6E6"/>
      </patternFill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4F1964"/>
      </patternFill>
    </fill>
    <fill>
      <patternFill patternType="solid">
        <fgColor rgb="FF0B3D2E"/>
      </patternFill>
    </fill>
    <fill>
      <patternFill patternType="solid">
        <fgColor rgb="FFD9EAD3"/>
      </patternFill>
    </fill>
    <fill>
      <patternFill patternType="solid">
        <fgColor rgb="FF1F4E3D"/>
      </patternFill>
    </fill>
    <fill>
      <patternFill patternType="solid">
        <fgColor rgb="FFEAF4E3"/>
      </patternFill>
    </fill>
    <fill>
      <patternFill patternType="solid">
        <fgColor rgb="FF4F1964"/>
      </patternFill>
    </fill>
    <fill>
      <patternFill patternType="solid">
        <fgColor rgb="FFE7E6E6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4F1964"/>
      </patternFill>
    </fill>
    <fill>
      <patternFill patternType="solid">
        <fgColor rgb="FFFFF2CC"/>
      </patternFill>
    </fill>
    <fill>
      <patternFill patternType="solid">
        <fgColor rgb="FF4F1964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4F1964"/>
      </patternFill>
    </fill>
    <fill>
      <patternFill patternType="solid">
        <fgColor rgb="FFF4CCCC"/>
      </patternFill>
    </fill>
    <fill>
      <patternFill patternType="solid">
        <fgColor rgb="FF1F4E79"/>
      </patternFill>
    </fill>
    <fill>
      <patternFill patternType="solid">
        <fgColor rgb="FF0B0B0E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9B45B"/>
      </patternFill>
    </fill>
    <fill>
      <patternFill patternType="solid">
        <fgColor rgb="FFFFFF00"/>
      </patternFill>
    </fill>
    <fill>
      <patternFill patternType="solid">
        <fgColor rgb="FF0B2E2B"/>
      </patternFill>
    </fill>
    <fill>
      <patternFill patternType="solid">
        <fgColor rgb="FFDDEAD6"/>
      </patternFill>
    </fill>
    <fill>
      <patternFill patternType="solid">
        <fgColor rgb="FFF4F7F3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1F1F1F"/>
      </patternFill>
    </fill>
  </fills>
  <borders count="5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D9E2F3"/>
      </right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3">
    <xf numFmtId="0" fontId="0" fillId="0" borderId="45"/>
    <xf numFmtId="42" fontId="70" fillId="0" borderId="45"/>
    <xf numFmtId="0" fontId="69" fillId="0" borderId="45"/>
  </cellStyleXfs>
  <cellXfs count="545">
    <xf numFmtId="0" fontId="0" fillId="0" borderId="0" xfId="0" applyBorder="1"/>
    <xf numFmtId="0" fontId="3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1" fontId="3" fillId="0" borderId="0" xfId="0" applyNumberFormat="1" applyFont="1" applyBorder="1" applyAlignment="1">
      <alignment wrapText="1"/>
    </xf>
    <xf numFmtId="0" fontId="3" fillId="0" borderId="0" xfId="0" applyFont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Border="1"/>
    <xf numFmtId="165" fontId="7" fillId="0" borderId="1" xfId="0" applyNumberFormat="1" applyFont="1" applyBorder="1" applyAlignment="1">
      <alignment vertical="top" wrapText="1"/>
    </xf>
    <xf numFmtId="0" fontId="6" fillId="8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2" fontId="3" fillId="0" borderId="3" xfId="0" applyNumberFormat="1" applyFont="1" applyBorder="1" applyAlignment="1">
      <alignment vertical="center"/>
    </xf>
    <xf numFmtId="0" fontId="5" fillId="0" borderId="0" xfId="0" applyFont="1" applyBorder="1"/>
    <xf numFmtId="0" fontId="3" fillId="0" borderId="3" xfId="0" applyFont="1" applyBorder="1"/>
    <xf numFmtId="42" fontId="3" fillId="0" borderId="3" xfId="0" applyNumberFormat="1" applyFont="1" applyBorder="1"/>
    <xf numFmtId="44" fontId="3" fillId="0" borderId="3" xfId="0" applyNumberFormat="1" applyFont="1" applyBorder="1"/>
    <xf numFmtId="166" fontId="9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164" fontId="10" fillId="0" borderId="0" xfId="0" applyNumberFormat="1" applyFont="1" applyBorder="1" applyAlignment="1">
      <alignment vertical="top" wrapText="1"/>
    </xf>
    <xf numFmtId="165" fontId="10" fillId="0" borderId="0" xfId="0" applyNumberFormat="1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164" fontId="3" fillId="0" borderId="0" xfId="0" applyNumberFormat="1" applyFont="1" applyBorder="1" applyAlignment="1">
      <alignment vertical="top" wrapText="1"/>
    </xf>
    <xf numFmtId="0" fontId="11" fillId="0" borderId="0" xfId="0" applyFont="1" applyBorder="1"/>
    <xf numFmtId="165" fontId="3" fillId="0" borderId="1" xfId="0" applyNumberFormat="1" applyFont="1" applyBorder="1" applyAlignment="1">
      <alignment vertical="top" wrapText="1"/>
    </xf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/>
    <xf numFmtId="166" fontId="3" fillId="0" borderId="0" xfId="0" applyNumberFormat="1" applyFont="1" applyBorder="1" applyAlignment="1">
      <alignment wrapText="1"/>
    </xf>
    <xf numFmtId="164" fontId="3" fillId="0" borderId="0" xfId="0" applyNumberFormat="1" applyFont="1" applyBorder="1"/>
    <xf numFmtId="1" fontId="3" fillId="0" borderId="0" xfId="0" applyNumberFormat="1" applyFont="1" applyBorder="1"/>
    <xf numFmtId="0" fontId="7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65" fontId="10" fillId="0" borderId="1" xfId="0" applyNumberFormat="1" applyFont="1" applyBorder="1" applyAlignment="1">
      <alignment vertical="top" wrapText="1"/>
    </xf>
    <xf numFmtId="167" fontId="7" fillId="0" borderId="1" xfId="0" applyNumberFormat="1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0" fontId="13" fillId="2" borderId="5" xfId="0" applyFont="1" applyFill="1" applyBorder="1" applyAlignment="1">
      <alignment vertical="top" wrapText="1"/>
    </xf>
    <xf numFmtId="9" fontId="3" fillId="0" borderId="0" xfId="0" applyNumberFormat="1" applyFont="1" applyBorder="1" applyAlignment="1">
      <alignment vertical="top" wrapText="1"/>
    </xf>
    <xf numFmtId="168" fontId="3" fillId="0" borderId="0" xfId="0" applyNumberFormat="1" applyFont="1" applyBorder="1" applyAlignment="1">
      <alignment vertical="top" wrapText="1"/>
    </xf>
    <xf numFmtId="14" fontId="9" fillId="0" borderId="1" xfId="0" applyNumberFormat="1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9" fontId="2" fillId="0" borderId="1" xfId="0" applyNumberFormat="1" applyFont="1" applyBorder="1" applyAlignment="1">
      <alignment vertical="top" wrapText="1"/>
    </xf>
    <xf numFmtId="169" fontId="3" fillId="0" borderId="1" xfId="0" applyNumberFormat="1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166" fontId="20" fillId="0" borderId="1" xfId="0" applyNumberFormat="1" applyFont="1" applyBorder="1" applyAlignment="1">
      <alignment vertical="top" wrapText="1"/>
    </xf>
    <xf numFmtId="0" fontId="22" fillId="12" borderId="6" xfId="0" applyFont="1" applyFill="1" applyBorder="1" applyAlignment="1">
      <alignment horizontal="center" vertical="center" wrapText="1"/>
    </xf>
    <xf numFmtId="164" fontId="0" fillId="0" borderId="0" xfId="0" applyNumberFormat="1" applyBorder="1"/>
    <xf numFmtId="165" fontId="0" fillId="0" borderId="0" xfId="0" applyNumberFormat="1" applyBorder="1"/>
    <xf numFmtId="0" fontId="24" fillId="0" borderId="0" xfId="0" applyFont="1" applyBorder="1"/>
    <xf numFmtId="1" fontId="0" fillId="0" borderId="0" xfId="0" applyNumberFormat="1" applyBorder="1"/>
    <xf numFmtId="166" fontId="0" fillId="0" borderId="0" xfId="0" applyNumberFormat="1" applyBorder="1"/>
    <xf numFmtId="167" fontId="0" fillId="13" borderId="0" xfId="0" applyNumberFormat="1" applyFill="1" applyBorder="1"/>
    <xf numFmtId="0" fontId="0" fillId="13" borderId="0" xfId="0" applyFill="1" applyBorder="1"/>
    <xf numFmtId="0" fontId="0" fillId="0" borderId="7" xfId="0" applyBorder="1"/>
    <xf numFmtId="170" fontId="0" fillId="0" borderId="0" xfId="0" applyNumberFormat="1" applyBorder="1"/>
    <xf numFmtId="171" fontId="3" fillId="0" borderId="0" xfId="0" applyNumberFormat="1" applyFont="1" applyBorder="1" applyAlignment="1">
      <alignment vertical="top" wrapText="1"/>
    </xf>
    <xf numFmtId="42" fontId="0" fillId="0" borderId="0" xfId="1" applyFont="1" applyBorder="1"/>
    <xf numFmtId="0" fontId="0" fillId="0" borderId="1" xfId="0" applyBorder="1" applyAlignment="1">
      <alignment vertical="top" wrapText="1"/>
    </xf>
    <xf numFmtId="14" fontId="0" fillId="0" borderId="0" xfId="0" applyNumberFormat="1" applyBorder="1"/>
    <xf numFmtId="0" fontId="26" fillId="0" borderId="0" xfId="0" applyFont="1" applyBorder="1"/>
    <xf numFmtId="0" fontId="27" fillId="0" borderId="0" xfId="2" applyFont="1" applyBorder="1"/>
    <xf numFmtId="0" fontId="26" fillId="0" borderId="7" xfId="0" applyFont="1" applyBorder="1"/>
    <xf numFmtId="0" fontId="20" fillId="0" borderId="8" xfId="0" applyFont="1" applyBorder="1"/>
    <xf numFmtId="0" fontId="29" fillId="14" borderId="9" xfId="0" applyFont="1" applyFill="1" applyBorder="1" applyAlignment="1">
      <alignment vertical="top" wrapText="1"/>
    </xf>
    <xf numFmtId="0" fontId="20" fillId="0" borderId="9" xfId="0" applyFont="1" applyBorder="1" applyAlignment="1">
      <alignment vertical="top" wrapText="1"/>
    </xf>
    <xf numFmtId="164" fontId="20" fillId="0" borderId="9" xfId="0" applyNumberFormat="1" applyFont="1" applyBorder="1" applyAlignment="1">
      <alignment vertical="top" wrapText="1"/>
    </xf>
    <xf numFmtId="165" fontId="20" fillId="0" borderId="9" xfId="0" applyNumberFormat="1" applyFont="1" applyBorder="1" applyAlignment="1">
      <alignment vertical="top" wrapText="1"/>
    </xf>
    <xf numFmtId="0" fontId="30" fillId="15" borderId="9" xfId="0" applyFont="1" applyFill="1" applyBorder="1" applyAlignment="1">
      <alignment vertical="top" wrapText="1"/>
    </xf>
    <xf numFmtId="164" fontId="30" fillId="15" borderId="9" xfId="0" applyNumberFormat="1" applyFont="1" applyFill="1" applyBorder="1" applyAlignment="1">
      <alignment vertical="top" wrapText="1"/>
    </xf>
    <xf numFmtId="164" fontId="20" fillId="0" borderId="8" xfId="0" applyNumberFormat="1" applyFont="1" applyBorder="1"/>
    <xf numFmtId="164" fontId="29" fillId="14" borderId="9" xfId="0" applyNumberFormat="1" applyFont="1" applyFill="1" applyBorder="1" applyAlignment="1">
      <alignment vertical="top" wrapText="1"/>
    </xf>
    <xf numFmtId="164" fontId="6" fillId="2" borderId="2" xfId="0" applyNumberFormat="1" applyFont="1" applyFill="1" applyBorder="1" applyAlignment="1">
      <alignment vertical="top" wrapText="1"/>
    </xf>
    <xf numFmtId="0" fontId="5" fillId="0" borderId="9" xfId="0" applyFont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16" borderId="0" xfId="0" applyFont="1" applyFill="1" applyBorder="1" applyAlignment="1">
      <alignment horizontal="left"/>
    </xf>
    <xf numFmtId="0" fontId="6" fillId="16" borderId="0" xfId="0" applyFont="1" applyFill="1" applyBorder="1" applyAlignment="1">
      <alignment horizontal="center" vertical="center" wrapText="1"/>
    </xf>
    <xf numFmtId="0" fontId="5" fillId="17" borderId="0" xfId="0" applyFont="1" applyFill="1" applyBorder="1"/>
    <xf numFmtId="166" fontId="0" fillId="0" borderId="1" xfId="0" applyNumberFormat="1" applyBorder="1" applyAlignment="1">
      <alignment vertical="top" wrapText="1"/>
    </xf>
    <xf numFmtId="167" fontId="0" fillId="0" borderId="0" xfId="0" applyNumberFormat="1" applyBorder="1"/>
    <xf numFmtId="0" fontId="6" fillId="16" borderId="9" xfId="0" applyFont="1" applyFill="1" applyBorder="1" applyAlignment="1">
      <alignment horizontal="center" vertical="center" wrapText="1"/>
    </xf>
    <xf numFmtId="165" fontId="0" fillId="0" borderId="9" xfId="0" applyNumberFormat="1" applyBorder="1" applyAlignment="1">
      <alignment vertical="top" wrapText="1"/>
    </xf>
    <xf numFmtId="170" fontId="5" fillId="0" borderId="9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vertical="top" wrapText="1"/>
    </xf>
    <xf numFmtId="170" fontId="10" fillId="0" borderId="1" xfId="0" applyNumberFormat="1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8" fillId="18" borderId="0" xfId="0" applyFont="1" applyFill="1" applyBorder="1" applyAlignment="1">
      <alignment horizontal="left"/>
    </xf>
    <xf numFmtId="0" fontId="4" fillId="19" borderId="0" xfId="0" applyFont="1" applyFill="1" applyBorder="1"/>
    <xf numFmtId="0" fontId="5" fillId="20" borderId="9" xfId="0" applyFont="1" applyFill="1" applyBorder="1" applyAlignment="1">
      <alignment wrapText="1"/>
    </xf>
    <xf numFmtId="0" fontId="5" fillId="20" borderId="0" xfId="0" applyFont="1" applyFill="1" applyBorder="1"/>
    <xf numFmtId="0" fontId="12" fillId="21" borderId="9" xfId="0" applyFont="1" applyFill="1" applyBorder="1" applyAlignment="1">
      <alignment horizontal="left" vertical="top" wrapText="1"/>
    </xf>
    <xf numFmtId="164" fontId="12" fillId="21" borderId="9" xfId="0" applyNumberFormat="1" applyFont="1" applyFill="1" applyBorder="1" applyAlignment="1">
      <alignment horizontal="left" vertical="top" wrapText="1"/>
    </xf>
    <xf numFmtId="0" fontId="12" fillId="21" borderId="0" xfId="0" applyFont="1" applyFill="1" applyBorder="1" applyAlignment="1">
      <alignment horizontal="left"/>
    </xf>
    <xf numFmtId="0" fontId="6" fillId="18" borderId="9" xfId="0" applyFont="1" applyFill="1" applyBorder="1" applyAlignment="1">
      <alignment horizontal="center" vertical="center" wrapText="1"/>
    </xf>
    <xf numFmtId="164" fontId="6" fillId="18" borderId="9" xfId="0" applyNumberFormat="1" applyFont="1" applyFill="1" applyBorder="1" applyAlignment="1">
      <alignment horizontal="center" vertical="center" wrapText="1"/>
    </xf>
    <xf numFmtId="0" fontId="6" fillId="18" borderId="0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vertical="top" wrapText="1"/>
    </xf>
    <xf numFmtId="0" fontId="5" fillId="22" borderId="0" xfId="0" applyFont="1" applyFill="1" applyBorder="1"/>
    <xf numFmtId="0" fontId="12" fillId="23" borderId="9" xfId="0" applyFont="1" applyFill="1" applyBorder="1" applyAlignment="1">
      <alignment horizontal="left" vertical="top" wrapText="1"/>
    </xf>
    <xf numFmtId="164" fontId="12" fillId="23" borderId="9" xfId="0" applyNumberFormat="1" applyFont="1" applyFill="1" applyBorder="1" applyAlignment="1">
      <alignment horizontal="left" vertical="top" wrapText="1"/>
    </xf>
    <xf numFmtId="0" fontId="12" fillId="23" borderId="0" xfId="0" applyFont="1" applyFill="1" applyBorder="1" applyAlignment="1">
      <alignment horizontal="left"/>
    </xf>
    <xf numFmtId="0" fontId="12" fillId="24" borderId="0" xfId="0" applyFont="1" applyFill="1" applyBorder="1" applyAlignment="1">
      <alignment horizontal="left"/>
    </xf>
    <xf numFmtId="0" fontId="12" fillId="24" borderId="0" xfId="0" applyFont="1" applyFill="1" applyBorder="1" applyAlignment="1">
      <alignment horizontal="left" vertical="top" wrapText="1"/>
    </xf>
    <xf numFmtId="170" fontId="0" fillId="0" borderId="9" xfId="0" applyNumberFormat="1" applyBorder="1" applyAlignment="1">
      <alignment vertical="top" wrapText="1"/>
    </xf>
    <xf numFmtId="170" fontId="5" fillId="22" borderId="9" xfId="0" applyNumberFormat="1" applyFont="1" applyFill="1" applyBorder="1" applyAlignment="1">
      <alignment vertical="top" wrapText="1"/>
    </xf>
    <xf numFmtId="170" fontId="0" fillId="6" borderId="9" xfId="0" applyNumberFormat="1" applyFill="1" applyBorder="1" applyAlignment="1">
      <alignment vertical="top" wrapText="1"/>
    </xf>
    <xf numFmtId="0" fontId="6" fillId="25" borderId="0" xfId="0" applyFont="1" applyFill="1" applyBorder="1" applyAlignment="1">
      <alignment horizontal="center" vertical="center" wrapText="1"/>
    </xf>
    <xf numFmtId="0" fontId="8" fillId="25" borderId="0" xfId="0" applyFont="1" applyFill="1" applyBorder="1" applyAlignment="1">
      <alignment horizontal="left"/>
    </xf>
    <xf numFmtId="0" fontId="4" fillId="26" borderId="0" xfId="0" applyFont="1" applyFill="1" applyBorder="1"/>
    <xf numFmtId="166" fontId="0" fillId="0" borderId="0" xfId="0" applyNumberFormat="1" applyBorder="1" applyAlignment="1">
      <alignment wrapText="1"/>
    </xf>
    <xf numFmtId="170" fontId="0" fillId="0" borderId="0" xfId="0" applyNumberFormat="1" applyBorder="1" applyAlignment="1">
      <alignment wrapText="1"/>
    </xf>
    <xf numFmtId="0" fontId="31" fillId="26" borderId="0" xfId="0" applyFont="1" applyFill="1" applyBorder="1" applyAlignment="1">
      <alignment horizontal="center" vertical="center"/>
    </xf>
    <xf numFmtId="0" fontId="6" fillId="25" borderId="9" xfId="0" applyFont="1" applyFill="1" applyBorder="1" applyAlignment="1">
      <alignment horizontal="center" vertical="center" wrapText="1"/>
    </xf>
    <xf numFmtId="166" fontId="0" fillId="6" borderId="9" xfId="0" applyNumberForma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5" fillId="0" borderId="9" xfId="0" applyFont="1" applyBorder="1" applyAlignment="1">
      <alignment horizontal="center" vertical="center" wrapText="1"/>
    </xf>
    <xf numFmtId="0" fontId="0" fillId="6" borderId="9" xfId="0" applyFill="1" applyBorder="1" applyAlignment="1">
      <alignment vertical="top" wrapText="1"/>
    </xf>
    <xf numFmtId="0" fontId="6" fillId="25" borderId="6" xfId="0" applyFont="1" applyFill="1" applyBorder="1" applyAlignment="1">
      <alignment horizontal="center" vertical="center" wrapText="1"/>
    </xf>
    <xf numFmtId="166" fontId="0" fillId="0" borderId="0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0" applyFont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5" fillId="27" borderId="0" xfId="0" applyFont="1" applyFill="1" applyBorder="1" applyAlignment="1">
      <alignment vertical="top" wrapText="1"/>
    </xf>
    <xf numFmtId="0" fontId="6" fillId="25" borderId="5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vertical="top" wrapText="1"/>
    </xf>
    <xf numFmtId="0" fontId="6" fillId="28" borderId="0" xfId="0" applyFont="1" applyFill="1" applyBorder="1" applyAlignment="1">
      <alignment horizontal="center" vertical="center" wrapText="1"/>
    </xf>
    <xf numFmtId="0" fontId="8" fillId="28" borderId="0" xfId="0" applyFont="1" applyFill="1" applyBorder="1" applyAlignment="1">
      <alignment horizontal="left" vertical="center"/>
    </xf>
    <xf numFmtId="0" fontId="4" fillId="29" borderId="0" xfId="0" applyFont="1" applyFill="1" applyBorder="1"/>
    <xf numFmtId="0" fontId="5" fillId="31" borderId="0" xfId="0" applyFont="1" applyFill="1" applyBorder="1" applyAlignment="1">
      <alignment wrapText="1"/>
    </xf>
    <xf numFmtId="0" fontId="5" fillId="33" borderId="0" xfId="0" applyFont="1" applyFill="1" applyBorder="1" applyAlignment="1">
      <alignment wrapText="1"/>
    </xf>
    <xf numFmtId="170" fontId="5" fillId="31" borderId="0" xfId="0" applyNumberFormat="1" applyFont="1" applyFill="1" applyBorder="1" applyAlignment="1">
      <alignment wrapText="1"/>
    </xf>
    <xf numFmtId="170" fontId="6" fillId="28" borderId="0" xfId="0" applyNumberFormat="1" applyFont="1" applyFill="1" applyBorder="1" applyAlignment="1">
      <alignment horizontal="center" vertical="center" wrapText="1"/>
    </xf>
    <xf numFmtId="0" fontId="8" fillId="28" borderId="0" xfId="0" applyFont="1" applyFill="1" applyBorder="1" applyAlignment="1">
      <alignment horizontal="left" vertical="center" wrapText="1"/>
    </xf>
    <xf numFmtId="0" fontId="4" fillId="29" borderId="0" xfId="0" applyFont="1" applyFill="1" applyBorder="1" applyAlignment="1">
      <alignment wrapText="1"/>
    </xf>
    <xf numFmtId="0" fontId="5" fillId="30" borderId="0" xfId="0" applyFont="1" applyFill="1" applyBorder="1" applyAlignment="1">
      <alignment wrapText="1"/>
    </xf>
    <xf numFmtId="0" fontId="5" fillId="32" borderId="0" xfId="0" applyFont="1" applyFill="1" applyBorder="1" applyAlignment="1">
      <alignment wrapText="1"/>
    </xf>
    <xf numFmtId="167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1" fontId="0" fillId="0" borderId="0" xfId="0" applyNumberFormat="1" applyBorder="1" applyAlignment="1">
      <alignment wrapText="1"/>
    </xf>
    <xf numFmtId="0" fontId="32" fillId="34" borderId="10" xfId="0" applyFont="1" applyFill="1" applyBorder="1" applyAlignment="1">
      <alignment horizontal="left" vertical="center" wrapText="1"/>
    </xf>
    <xf numFmtId="0" fontId="34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35" fillId="36" borderId="10" xfId="0" applyFont="1" applyFill="1" applyBorder="1" applyAlignment="1">
      <alignment vertical="top" wrapText="1"/>
    </xf>
    <xf numFmtId="0" fontId="34" fillId="34" borderId="10" xfId="0" applyFont="1" applyFill="1" applyBorder="1" applyAlignment="1">
      <alignment vertical="top" wrapText="1"/>
    </xf>
    <xf numFmtId="0" fontId="26" fillId="0" borderId="8" xfId="0" applyFont="1" applyBorder="1" applyAlignment="1">
      <alignment vertical="top" wrapText="1"/>
    </xf>
    <xf numFmtId="0" fontId="29" fillId="2" borderId="5" xfId="0" applyFont="1" applyFill="1" applyBorder="1" applyAlignment="1">
      <alignment vertical="top" wrapText="1"/>
    </xf>
    <xf numFmtId="0" fontId="29" fillId="2" borderId="8" xfId="0" applyFont="1" applyFill="1" applyBorder="1" applyAlignment="1">
      <alignment vertical="top" wrapText="1"/>
    </xf>
    <xf numFmtId="0" fontId="16" fillId="9" borderId="8" xfId="0" applyFont="1" applyFill="1" applyBorder="1" applyAlignment="1">
      <alignment vertical="top" wrapText="1"/>
    </xf>
    <xf numFmtId="9" fontId="16" fillId="9" borderId="8" xfId="0" applyNumberFormat="1" applyFont="1" applyFill="1" applyBorder="1" applyAlignment="1">
      <alignment vertical="top" wrapText="1"/>
    </xf>
    <xf numFmtId="9" fontId="26" fillId="0" borderId="8" xfId="0" applyNumberFormat="1" applyFont="1" applyBorder="1" applyAlignment="1">
      <alignment vertical="top" wrapText="1"/>
    </xf>
    <xf numFmtId="168" fontId="26" fillId="0" borderId="8" xfId="0" applyNumberFormat="1" applyFont="1" applyBorder="1" applyAlignment="1">
      <alignment vertical="top" wrapText="1"/>
    </xf>
    <xf numFmtId="0" fontId="26" fillId="0" borderId="8" xfId="0" applyFont="1" applyBorder="1"/>
    <xf numFmtId="9" fontId="0" fillId="0" borderId="0" xfId="0" applyNumberFormat="1" applyBorder="1"/>
    <xf numFmtId="0" fontId="35" fillId="36" borderId="10" xfId="0" applyFont="1" applyFill="1" applyBorder="1" applyAlignment="1">
      <alignment horizontal="left" vertical="center" wrapText="1"/>
    </xf>
    <xf numFmtId="0" fontId="36" fillId="37" borderId="0" xfId="0" applyFont="1" applyFill="1" applyBorder="1"/>
    <xf numFmtId="0" fontId="36" fillId="37" borderId="11" xfId="0" applyFont="1" applyFill="1" applyBorder="1" applyAlignment="1">
      <alignment horizontal="center" vertical="center" wrapText="1"/>
    </xf>
    <xf numFmtId="0" fontId="36" fillId="37" borderId="0" xfId="0" applyFont="1" applyFill="1" applyBorder="1" applyAlignment="1">
      <alignment horizontal="center"/>
    </xf>
    <xf numFmtId="0" fontId="36" fillId="37" borderId="11" xfId="0" applyFont="1" applyFill="1" applyBorder="1" applyAlignment="1">
      <alignment vertical="top" wrapText="1"/>
    </xf>
    <xf numFmtId="170" fontId="0" fillId="0" borderId="0" xfId="0" applyNumberFormat="1" applyBorder="1" applyAlignment="1">
      <alignment vertical="top" wrapText="1"/>
    </xf>
    <xf numFmtId="0" fontId="42" fillId="40" borderId="0" xfId="0" applyFont="1" applyFill="1" applyBorder="1"/>
    <xf numFmtId="0" fontId="40" fillId="40" borderId="0" xfId="0" applyFont="1" applyFill="1" applyBorder="1" applyAlignment="1">
      <alignment vertical="top" wrapText="1"/>
    </xf>
    <xf numFmtId="0" fontId="41" fillId="41" borderId="0" xfId="0" applyFont="1" applyFill="1" applyBorder="1" applyAlignment="1">
      <alignment vertical="top" wrapText="1"/>
    </xf>
    <xf numFmtId="0" fontId="42" fillId="40" borderId="0" xfId="0" applyFont="1" applyFill="1" applyBorder="1" applyAlignment="1">
      <alignment vertical="top" wrapText="1"/>
    </xf>
    <xf numFmtId="4" fontId="0" fillId="0" borderId="0" xfId="0" applyNumberFormat="1" applyBorder="1" applyAlignment="1">
      <alignment vertical="top" wrapText="1"/>
    </xf>
    <xf numFmtId="172" fontId="0" fillId="0" borderId="0" xfId="0" applyNumberFormat="1" applyBorder="1" applyAlignment="1">
      <alignment vertical="top" wrapText="1"/>
    </xf>
    <xf numFmtId="0" fontId="40" fillId="40" borderId="10" xfId="0" applyFont="1" applyFill="1" applyBorder="1" applyAlignment="1">
      <alignment vertical="top" wrapText="1"/>
    </xf>
    <xf numFmtId="0" fontId="42" fillId="40" borderId="10" xfId="0" applyFont="1" applyFill="1" applyBorder="1" applyAlignment="1">
      <alignment vertical="top" wrapText="1"/>
    </xf>
    <xf numFmtId="10" fontId="0" fillId="0" borderId="0" xfId="0" applyNumberFormat="1" applyBorder="1" applyAlignment="1">
      <alignment vertical="top" wrapText="1"/>
    </xf>
    <xf numFmtId="170" fontId="42" fillId="40" borderId="0" xfId="0" applyNumberFormat="1" applyFont="1" applyFill="1" applyBorder="1" applyAlignment="1">
      <alignment vertical="top" wrapText="1"/>
    </xf>
    <xf numFmtId="0" fontId="4" fillId="43" borderId="0" xfId="0" applyFont="1" applyFill="1" applyBorder="1" applyAlignment="1">
      <alignment wrapText="1"/>
    </xf>
    <xf numFmtId="0" fontId="6" fillId="42" borderId="0" xfId="0" applyFont="1" applyFill="1" applyBorder="1" applyAlignment="1">
      <alignment horizontal="center" vertical="center" wrapText="1"/>
    </xf>
    <xf numFmtId="0" fontId="37" fillId="42" borderId="0" xfId="0" applyFont="1" applyFill="1" applyBorder="1" applyAlignment="1">
      <alignment horizontal="left" wrapText="1"/>
    </xf>
    <xf numFmtId="0" fontId="43" fillId="42" borderId="0" xfId="0" applyFont="1" applyFill="1" applyBorder="1"/>
    <xf numFmtId="0" fontId="44" fillId="0" borderId="0" xfId="0" applyFont="1" applyBorder="1"/>
    <xf numFmtId="0" fontId="45" fillId="0" borderId="0" xfId="0" applyFont="1" applyBorder="1"/>
    <xf numFmtId="0" fontId="6" fillId="46" borderId="0" xfId="0" applyFont="1" applyFill="1" applyBorder="1" applyAlignment="1">
      <alignment horizontal="center" vertical="center" wrapText="1"/>
    </xf>
    <xf numFmtId="0" fontId="6" fillId="44" borderId="0" xfId="0" applyFont="1" applyFill="1" applyBorder="1" applyAlignment="1">
      <alignment horizontal="center" vertical="center" wrapText="1"/>
    </xf>
    <xf numFmtId="0" fontId="23" fillId="44" borderId="0" xfId="0" applyFont="1" applyFill="1" applyBorder="1" applyAlignment="1">
      <alignment wrapText="1"/>
    </xf>
    <xf numFmtId="0" fontId="4" fillId="45" borderId="0" xfId="0" applyFont="1" applyFill="1" applyBorder="1" applyAlignment="1">
      <alignment wrapText="1"/>
    </xf>
    <xf numFmtId="0" fontId="46" fillId="44" borderId="0" xfId="0" applyFont="1" applyFill="1" applyBorder="1"/>
    <xf numFmtId="0" fontId="0" fillId="45" borderId="0" xfId="0" applyFill="1" applyBorder="1" applyAlignment="1">
      <alignment wrapText="1"/>
    </xf>
    <xf numFmtId="0" fontId="47" fillId="46" borderId="0" xfId="0" applyFont="1" applyFill="1" applyBorder="1" applyAlignment="1">
      <alignment horizontal="center" vertical="center" wrapText="1"/>
    </xf>
    <xf numFmtId="0" fontId="47" fillId="46" borderId="0" xfId="0" applyFont="1" applyFill="1" applyBorder="1" applyAlignment="1">
      <alignment wrapText="1"/>
    </xf>
    <xf numFmtId="0" fontId="0" fillId="32" borderId="0" xfId="0" applyFill="1" applyBorder="1" applyAlignment="1">
      <alignment vertical="top" wrapText="1"/>
    </xf>
    <xf numFmtId="0" fontId="0" fillId="36" borderId="0" xfId="0" applyFill="1" applyBorder="1" applyAlignment="1">
      <alignment vertical="top" wrapText="1"/>
    </xf>
    <xf numFmtId="0" fontId="0" fillId="47" borderId="0" xfId="0" applyFill="1" applyBorder="1" applyAlignment="1">
      <alignment vertical="top" wrapText="1"/>
    </xf>
    <xf numFmtId="0" fontId="47" fillId="46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50" fillId="32" borderId="12" xfId="0" applyFont="1" applyFill="1" applyBorder="1" applyAlignment="1">
      <alignment vertical="top" wrapText="1"/>
    </xf>
    <xf numFmtId="0" fontId="51" fillId="36" borderId="12" xfId="0" applyFont="1" applyFill="1" applyBorder="1" applyAlignment="1">
      <alignment vertical="top" wrapText="1"/>
    </xf>
    <xf numFmtId="0" fontId="52" fillId="47" borderId="12" xfId="0" applyFont="1" applyFill="1" applyBorder="1" applyAlignment="1">
      <alignment vertical="top" wrapText="1"/>
    </xf>
    <xf numFmtId="0" fontId="54" fillId="48" borderId="0" xfId="0" applyFont="1" applyFill="1" applyBorder="1"/>
    <xf numFmtId="0" fontId="55" fillId="0" borderId="13" xfId="2" applyFont="1" applyBorder="1"/>
    <xf numFmtId="0" fontId="0" fillId="0" borderId="13" xfId="0" applyBorder="1" applyAlignment="1">
      <alignment wrapText="1"/>
    </xf>
    <xf numFmtId="0" fontId="58" fillId="51" borderId="14" xfId="0" applyFont="1" applyFill="1" applyBorder="1" applyAlignment="1">
      <alignment vertical="top" wrapText="1"/>
    </xf>
    <xf numFmtId="0" fontId="58" fillId="51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top" wrapText="1"/>
    </xf>
    <xf numFmtId="14" fontId="0" fillId="0" borderId="14" xfId="0" applyNumberFormat="1" applyBorder="1" applyAlignment="1">
      <alignment vertical="top" wrapText="1"/>
    </xf>
    <xf numFmtId="2" fontId="0" fillId="0" borderId="14" xfId="0" applyNumberFormat="1" applyBorder="1" applyAlignment="1">
      <alignment vertical="top" wrapText="1"/>
    </xf>
    <xf numFmtId="165" fontId="0" fillId="0" borderId="14" xfId="0" applyNumberFormat="1" applyBorder="1" applyAlignment="1">
      <alignment vertical="top" wrapText="1"/>
    </xf>
    <xf numFmtId="167" fontId="0" fillId="0" borderId="14" xfId="0" applyNumberFormat="1" applyBorder="1" applyAlignment="1">
      <alignment vertical="top" wrapText="1"/>
    </xf>
    <xf numFmtId="173" fontId="0" fillId="0" borderId="14" xfId="0" applyNumberFormat="1" applyBorder="1" applyAlignment="1">
      <alignment vertical="top" wrapText="1"/>
    </xf>
    <xf numFmtId="0" fontId="58" fillId="51" borderId="15" xfId="0" applyFont="1" applyFill="1" applyBorder="1"/>
    <xf numFmtId="0" fontId="0" fillId="0" borderId="15" xfId="0" applyBorder="1"/>
    <xf numFmtId="0" fontId="60" fillId="0" borderId="0" xfId="0" applyFont="1" applyBorder="1"/>
    <xf numFmtId="0" fontId="59" fillId="51" borderId="0" xfId="0" applyFont="1" applyFill="1" applyBorder="1"/>
    <xf numFmtId="0" fontId="58" fillId="51" borderId="14" xfId="0" applyFont="1" applyFill="1" applyBorder="1"/>
    <xf numFmtId="0" fontId="0" fillId="0" borderId="14" xfId="0" applyBorder="1"/>
    <xf numFmtId="0" fontId="58" fillId="51" borderId="15" xfId="0" applyFont="1" applyFill="1" applyBorder="1" applyAlignment="1">
      <alignment horizontal="center"/>
    </xf>
    <xf numFmtId="1" fontId="0" fillId="0" borderId="14" xfId="0" applyNumberFormat="1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174" fontId="0" fillId="0" borderId="14" xfId="0" applyNumberFormat="1" applyBorder="1" applyAlignment="1">
      <alignment vertical="top" wrapText="1"/>
    </xf>
    <xf numFmtId="0" fontId="61" fillId="52" borderId="14" xfId="0" applyFont="1" applyFill="1" applyBorder="1" applyAlignment="1">
      <alignment vertical="top" wrapText="1"/>
    </xf>
    <xf numFmtId="0" fontId="0" fillId="52" borderId="14" xfId="0" applyFill="1" applyBorder="1" applyAlignment="1">
      <alignment vertical="top" wrapText="1"/>
    </xf>
    <xf numFmtId="14" fontId="20" fillId="0" borderId="9" xfId="0" applyNumberFormat="1" applyFont="1" applyBorder="1" applyAlignment="1">
      <alignment vertical="top" wrapText="1"/>
    </xf>
    <xf numFmtId="0" fontId="23" fillId="53" borderId="0" xfId="0" applyFont="1" applyFill="1" applyBorder="1" applyAlignment="1">
      <alignment wrapText="1"/>
    </xf>
    <xf numFmtId="0" fontId="4" fillId="54" borderId="0" xfId="0" applyFont="1" applyFill="1" applyBorder="1" applyAlignment="1">
      <alignment wrapText="1"/>
    </xf>
    <xf numFmtId="0" fontId="6" fillId="55" borderId="0" xfId="0" applyFont="1" applyFill="1" applyBorder="1" applyAlignment="1">
      <alignment wrapText="1"/>
    </xf>
    <xf numFmtId="170" fontId="5" fillId="22" borderId="0" xfId="0" applyNumberFormat="1" applyFont="1" applyFill="1" applyBorder="1" applyAlignment="1">
      <alignment wrapText="1"/>
    </xf>
    <xf numFmtId="170" fontId="9" fillId="0" borderId="1" xfId="0" applyNumberFormat="1" applyFont="1" applyBorder="1" applyAlignment="1">
      <alignment vertical="top" wrapText="1"/>
    </xf>
    <xf numFmtId="170" fontId="10" fillId="0" borderId="0" xfId="0" applyNumberFormat="1" applyFont="1" applyBorder="1" applyAlignment="1">
      <alignment vertical="top" wrapText="1"/>
    </xf>
    <xf numFmtId="10" fontId="10" fillId="0" borderId="0" xfId="0" applyNumberFormat="1" applyFont="1" applyBorder="1" applyAlignment="1">
      <alignment vertical="top" wrapText="1"/>
    </xf>
    <xf numFmtId="0" fontId="23" fillId="56" borderId="0" xfId="0" applyFont="1" applyFill="1" applyBorder="1" applyAlignment="1">
      <alignment wrapText="1"/>
    </xf>
    <xf numFmtId="0" fontId="4" fillId="57" borderId="0" xfId="0" applyFont="1" applyFill="1" applyBorder="1" applyAlignment="1">
      <alignment wrapText="1"/>
    </xf>
    <xf numFmtId="0" fontId="0" fillId="59" borderId="0" xfId="0" applyFill="1" applyBorder="1" applyAlignment="1">
      <alignment wrapText="1"/>
    </xf>
    <xf numFmtId="0" fontId="6" fillId="58" borderId="0" xfId="0" applyFont="1" applyFill="1" applyBorder="1" applyAlignment="1">
      <alignment wrapText="1"/>
    </xf>
    <xf numFmtId="0" fontId="6" fillId="56" borderId="0" xfId="0" applyFont="1" applyFill="1" applyBorder="1" applyAlignment="1">
      <alignment wrapText="1"/>
    </xf>
    <xf numFmtId="170" fontId="0" fillId="59" borderId="0" xfId="0" applyNumberFormat="1" applyFill="1" applyBorder="1" applyAlignment="1">
      <alignment wrapText="1"/>
    </xf>
    <xf numFmtId="170" fontId="6" fillId="58" borderId="0" xfId="0" applyNumberFormat="1" applyFont="1" applyFill="1" applyBorder="1" applyAlignment="1">
      <alignment wrapText="1"/>
    </xf>
    <xf numFmtId="170" fontId="6" fillId="56" borderId="0" xfId="0" applyNumberFormat="1" applyFont="1" applyFill="1" applyBorder="1" applyAlignment="1">
      <alignment wrapText="1"/>
    </xf>
    <xf numFmtId="166" fontId="0" fillId="59" borderId="0" xfId="0" applyNumberFormat="1" applyFill="1" applyBorder="1" applyAlignment="1">
      <alignment wrapText="1"/>
    </xf>
    <xf numFmtId="170" fontId="0" fillId="0" borderId="0" xfId="0" applyNumberFormat="1" applyBorder="1" applyAlignment="1">
      <alignment horizontal="center" wrapText="1"/>
    </xf>
    <xf numFmtId="0" fontId="23" fillId="60" borderId="0" xfId="0" applyFont="1" applyFill="1" applyBorder="1"/>
    <xf numFmtId="0" fontId="4" fillId="61" borderId="0" xfId="0" applyFont="1" applyFill="1" applyBorder="1"/>
    <xf numFmtId="0" fontId="23" fillId="60" borderId="0" xfId="0" applyFont="1" applyFill="1" applyBorder="1" applyAlignment="1">
      <alignment wrapText="1"/>
    </xf>
    <xf numFmtId="0" fontId="4" fillId="61" borderId="0" xfId="0" applyFont="1" applyFill="1" applyBorder="1" applyAlignment="1">
      <alignment wrapText="1"/>
    </xf>
    <xf numFmtId="0" fontId="5" fillId="62" borderId="0" xfId="0" applyFont="1" applyFill="1" applyBorder="1" applyAlignment="1">
      <alignment wrapText="1"/>
    </xf>
    <xf numFmtId="0" fontId="6" fillId="63" borderId="0" xfId="0" applyFont="1" applyFill="1" applyBorder="1" applyAlignment="1">
      <alignment wrapText="1"/>
    </xf>
    <xf numFmtId="0" fontId="6" fillId="64" borderId="0" xfId="0" applyFont="1" applyFill="1" applyBorder="1" applyAlignment="1">
      <alignment wrapText="1"/>
    </xf>
    <xf numFmtId="0" fontId="4" fillId="65" borderId="0" xfId="0" applyFont="1" applyFill="1" applyBorder="1" applyAlignment="1">
      <alignment wrapText="1"/>
    </xf>
    <xf numFmtId="0" fontId="23" fillId="67" borderId="0" xfId="0" applyFont="1" applyFill="1" applyBorder="1" applyAlignment="1">
      <alignment wrapText="1"/>
    </xf>
    <xf numFmtId="0" fontId="6" fillId="64" borderId="1" xfId="0" applyFont="1" applyFill="1" applyBorder="1" applyAlignment="1">
      <alignment vertical="top" wrapText="1"/>
    </xf>
    <xf numFmtId="0" fontId="6" fillId="69" borderId="0" xfId="0" applyFont="1" applyFill="1" applyBorder="1" applyAlignment="1">
      <alignment wrapText="1"/>
    </xf>
    <xf numFmtId="0" fontId="6" fillId="40" borderId="0" xfId="0" applyFont="1" applyFill="1" applyBorder="1" applyAlignment="1">
      <alignment vertical="top" wrapText="1"/>
    </xf>
    <xf numFmtId="0" fontId="12" fillId="72" borderId="0" xfId="0" applyFont="1" applyFill="1" applyBorder="1" applyAlignment="1">
      <alignment horizontal="center" vertical="center" wrapText="1"/>
    </xf>
    <xf numFmtId="10" fontId="0" fillId="0" borderId="0" xfId="0" applyNumberFormat="1" applyBorder="1" applyAlignment="1">
      <alignment wrapText="1"/>
    </xf>
    <xf numFmtId="175" fontId="0" fillId="0" borderId="0" xfId="0" applyNumberFormat="1" applyBorder="1" applyAlignment="1">
      <alignment wrapText="1"/>
    </xf>
    <xf numFmtId="172" fontId="0" fillId="0" borderId="0" xfId="0" applyNumberFormat="1" applyBorder="1" applyAlignment="1">
      <alignment wrapText="1"/>
    </xf>
    <xf numFmtId="176" fontId="0" fillId="0" borderId="0" xfId="0" applyNumberFormat="1" applyBorder="1" applyAlignment="1">
      <alignment wrapText="1"/>
    </xf>
    <xf numFmtId="176" fontId="0" fillId="74" borderId="0" xfId="0" applyNumberFormat="1" applyFill="1" applyBorder="1" applyAlignment="1">
      <alignment wrapText="1"/>
    </xf>
    <xf numFmtId="0" fontId="0" fillId="74" borderId="0" xfId="0" applyFill="1" applyBorder="1" applyAlignment="1">
      <alignment wrapText="1"/>
    </xf>
    <xf numFmtId="10" fontId="0" fillId="74" borderId="0" xfId="0" applyNumberFormat="1" applyFill="1" applyBorder="1" applyAlignment="1">
      <alignment wrapText="1"/>
    </xf>
    <xf numFmtId="175" fontId="0" fillId="74" borderId="0" xfId="0" applyNumberFormat="1" applyFill="1" applyBorder="1" applyAlignment="1">
      <alignment wrapText="1"/>
    </xf>
    <xf numFmtId="170" fontId="0" fillId="74" borderId="0" xfId="0" applyNumberFormat="1" applyFill="1" applyBorder="1" applyAlignment="1">
      <alignment wrapText="1"/>
    </xf>
    <xf numFmtId="0" fontId="0" fillId="0" borderId="33" xfId="0" applyBorder="1"/>
    <xf numFmtId="0" fontId="67" fillId="75" borderId="33" xfId="0" applyFont="1" applyFill="1" applyBorder="1"/>
    <xf numFmtId="0" fontId="67" fillId="75" borderId="0" xfId="0" applyFont="1" applyFill="1" applyBorder="1" applyAlignment="1">
      <alignment horizontal="center"/>
    </xf>
    <xf numFmtId="0" fontId="0" fillId="0" borderId="33" xfId="0" applyBorder="1" applyAlignment="1">
      <alignment vertical="top" wrapText="1"/>
    </xf>
    <xf numFmtId="0" fontId="69" fillId="0" borderId="33" xfId="2" applyBorder="1"/>
    <xf numFmtId="0" fontId="0" fillId="77" borderId="33" xfId="0" applyFill="1" applyBorder="1" applyAlignment="1">
      <alignment vertical="top" wrapText="1"/>
    </xf>
    <xf numFmtId="0" fontId="67" fillId="75" borderId="33" xfId="0" applyFont="1" applyFill="1" applyBorder="1" applyAlignment="1">
      <alignment horizontal="center" vertical="center" wrapText="1"/>
    </xf>
    <xf numFmtId="166" fontId="0" fillId="0" borderId="33" xfId="0" applyNumberFormat="1" applyBorder="1" applyAlignment="1">
      <alignment vertical="top" wrapText="1"/>
    </xf>
    <xf numFmtId="166" fontId="0" fillId="77" borderId="33" xfId="0" applyNumberFormat="1" applyFill="1" applyBorder="1" applyAlignment="1">
      <alignment vertical="top" wrapText="1"/>
    </xf>
    <xf numFmtId="170" fontId="0" fillId="0" borderId="33" xfId="0" applyNumberFormat="1" applyBorder="1" applyAlignment="1">
      <alignment vertical="top" wrapText="1"/>
    </xf>
    <xf numFmtId="170" fontId="0" fillId="77" borderId="33" xfId="0" applyNumberFormat="1" applyFill="1" applyBorder="1" applyAlignment="1">
      <alignment vertical="top" wrapText="1"/>
    </xf>
    <xf numFmtId="0" fontId="6" fillId="78" borderId="0" xfId="0" applyFont="1" applyFill="1" applyBorder="1" applyAlignment="1">
      <alignment horizontal="center" wrapText="1"/>
    </xf>
    <xf numFmtId="0" fontId="23" fillId="78" borderId="0" xfId="0" applyFont="1" applyFill="1" applyBorder="1" applyAlignment="1">
      <alignment horizontal="center"/>
    </xf>
    <xf numFmtId="0" fontId="64" fillId="79" borderId="0" xfId="0" applyFont="1" applyFill="1" applyBorder="1" applyAlignment="1">
      <alignment wrapText="1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5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1" fontId="0" fillId="0" borderId="35" xfId="0" applyNumberFormat="1" applyBorder="1" applyAlignment="1">
      <alignment vertical="top" wrapText="1"/>
    </xf>
    <xf numFmtId="1" fontId="0" fillId="0" borderId="38" xfId="0" applyNumberFormat="1" applyBorder="1" applyAlignment="1">
      <alignment vertical="top" wrapText="1"/>
    </xf>
    <xf numFmtId="1" fontId="0" fillId="0" borderId="41" xfId="0" applyNumberFormat="1" applyBorder="1" applyAlignment="1">
      <alignment vertical="top" wrapText="1"/>
    </xf>
    <xf numFmtId="0" fontId="6" fillId="81" borderId="0" xfId="0" applyFont="1" applyFill="1" applyBorder="1" applyAlignment="1">
      <alignment horizontal="center" wrapText="1"/>
    </xf>
    <xf numFmtId="177" fontId="0" fillId="0" borderId="34" xfId="0" applyNumberFormat="1" applyBorder="1" applyAlignment="1">
      <alignment vertical="top" wrapText="1"/>
    </xf>
    <xf numFmtId="177" fontId="0" fillId="0" borderId="37" xfId="0" applyNumberFormat="1" applyBorder="1" applyAlignment="1">
      <alignment vertical="top" wrapText="1"/>
    </xf>
    <xf numFmtId="177" fontId="0" fillId="0" borderId="40" xfId="0" applyNumberFormat="1" applyBorder="1" applyAlignment="1">
      <alignment vertical="top" wrapText="1"/>
    </xf>
    <xf numFmtId="177" fontId="0" fillId="0" borderId="35" xfId="0" applyNumberFormat="1" applyBorder="1" applyAlignment="1">
      <alignment vertical="top" wrapText="1"/>
    </xf>
    <xf numFmtId="177" fontId="0" fillId="0" borderId="38" xfId="0" applyNumberFormat="1" applyBorder="1" applyAlignment="1">
      <alignment vertical="top" wrapText="1"/>
    </xf>
    <xf numFmtId="177" fontId="0" fillId="0" borderId="41" xfId="0" applyNumberFormat="1" applyBorder="1" applyAlignment="1">
      <alignment vertical="top" wrapText="1"/>
    </xf>
    <xf numFmtId="2" fontId="0" fillId="0" borderId="36" xfId="0" applyNumberFormat="1" applyBorder="1" applyAlignment="1">
      <alignment vertical="top" wrapText="1"/>
    </xf>
    <xf numFmtId="2" fontId="0" fillId="0" borderId="39" xfId="0" applyNumberFormat="1" applyBorder="1" applyAlignment="1">
      <alignment vertical="top" wrapText="1"/>
    </xf>
    <xf numFmtId="2" fontId="0" fillId="0" borderId="42" xfId="0" applyNumberFormat="1" applyBorder="1" applyAlignment="1">
      <alignment vertical="top" wrapText="1"/>
    </xf>
    <xf numFmtId="0" fontId="8" fillId="78" borderId="0" xfId="0" applyFont="1" applyFill="1" applyBorder="1" applyAlignment="1">
      <alignment horizontal="center"/>
    </xf>
    <xf numFmtId="0" fontId="6" fillId="80" borderId="0" xfId="0" applyFont="1" applyFill="1" applyBorder="1" applyAlignment="1">
      <alignment horizontal="center"/>
    </xf>
    <xf numFmtId="0" fontId="0" fillId="82" borderId="43" xfId="0" applyFill="1" applyBorder="1"/>
    <xf numFmtId="0" fontId="0" fillId="82" borderId="44" xfId="0" applyFill="1" applyBorder="1"/>
    <xf numFmtId="0" fontId="0" fillId="82" borderId="45" xfId="0" applyFill="1"/>
    <xf numFmtId="1" fontId="0" fillId="82" borderId="43" xfId="0" applyNumberFormat="1" applyFill="1" applyBorder="1"/>
    <xf numFmtId="1" fontId="0" fillId="82" borderId="44" xfId="0" applyNumberFormat="1" applyFill="1" applyBorder="1"/>
    <xf numFmtId="2" fontId="0" fillId="82" borderId="44" xfId="0" applyNumberFormat="1" applyFill="1" applyBorder="1"/>
    <xf numFmtId="167" fontId="0" fillId="82" borderId="44" xfId="0" applyNumberFormat="1" applyFill="1" applyBorder="1"/>
    <xf numFmtId="1" fontId="0" fillId="0" borderId="35" xfId="0" applyNumberFormat="1" applyBorder="1"/>
    <xf numFmtId="1" fontId="0" fillId="0" borderId="38" xfId="0" applyNumberFormat="1" applyBorder="1"/>
    <xf numFmtId="1" fontId="0" fillId="0" borderId="41" xfId="0" applyNumberFormat="1" applyBorder="1"/>
    <xf numFmtId="2" fontId="0" fillId="0" borderId="35" xfId="0" applyNumberFormat="1" applyBorder="1"/>
    <xf numFmtId="2" fontId="0" fillId="0" borderId="38" xfId="0" applyNumberFormat="1" applyBorder="1"/>
    <xf numFmtId="2" fontId="0" fillId="0" borderId="41" xfId="0" applyNumberFormat="1" applyBorder="1"/>
    <xf numFmtId="167" fontId="0" fillId="0" borderId="36" xfId="0" applyNumberFormat="1" applyBorder="1"/>
    <xf numFmtId="167" fontId="0" fillId="0" borderId="39" xfId="0" applyNumberFormat="1" applyBorder="1"/>
    <xf numFmtId="167" fontId="0" fillId="0" borderId="42" xfId="0" applyNumberFormat="1" applyBorder="1"/>
    <xf numFmtId="0" fontId="6" fillId="81" borderId="0" xfId="0" applyFont="1" applyFill="1" applyBorder="1" applyAlignment="1">
      <alignment horizontal="center"/>
    </xf>
    <xf numFmtId="0" fontId="0" fillId="82" borderId="34" xfId="0" applyFill="1" applyBorder="1" applyAlignment="1">
      <alignment wrapText="1"/>
    </xf>
    <xf numFmtId="0" fontId="0" fillId="82" borderId="35" xfId="0" applyFill="1" applyBorder="1" applyAlignment="1">
      <alignment wrapText="1"/>
    </xf>
    <xf numFmtId="0" fontId="0" fillId="82" borderId="36" xfId="0" applyFill="1" applyBorder="1" applyAlignment="1">
      <alignment wrapText="1"/>
    </xf>
    <xf numFmtId="0" fontId="0" fillId="82" borderId="37" xfId="0" applyFill="1" applyBorder="1" applyAlignment="1">
      <alignment wrapText="1"/>
    </xf>
    <xf numFmtId="0" fontId="0" fillId="82" borderId="38" xfId="0" applyFill="1" applyBorder="1" applyAlignment="1">
      <alignment wrapText="1"/>
    </xf>
    <xf numFmtId="0" fontId="0" fillId="82" borderId="39" xfId="0" applyFill="1" applyBorder="1" applyAlignment="1">
      <alignment wrapText="1"/>
    </xf>
    <xf numFmtId="0" fontId="0" fillId="82" borderId="40" xfId="0" applyFill="1" applyBorder="1" applyAlignment="1">
      <alignment wrapText="1"/>
    </xf>
    <xf numFmtId="0" fontId="0" fillId="82" borderId="41" xfId="0" applyFill="1" applyBorder="1" applyAlignment="1">
      <alignment wrapText="1"/>
    </xf>
    <xf numFmtId="0" fontId="0" fillId="82" borderId="42" xfId="0" applyFill="1" applyBorder="1" applyAlignment="1">
      <alignment wrapText="1"/>
    </xf>
    <xf numFmtId="176" fontId="0" fillId="83" borderId="0" xfId="0" applyNumberFormat="1" applyFill="1" applyBorder="1" applyAlignment="1">
      <alignment wrapText="1"/>
    </xf>
    <xf numFmtId="0" fontId="0" fillId="83" borderId="0" xfId="0" applyFill="1" applyBorder="1" applyAlignment="1">
      <alignment wrapText="1"/>
    </xf>
    <xf numFmtId="10" fontId="0" fillId="83" borderId="0" xfId="0" applyNumberFormat="1" applyFill="1" applyBorder="1" applyAlignment="1">
      <alignment wrapText="1"/>
    </xf>
    <xf numFmtId="175" fontId="0" fillId="83" borderId="0" xfId="0" applyNumberFormat="1" applyFill="1" applyBorder="1" applyAlignment="1">
      <alignment wrapText="1"/>
    </xf>
    <xf numFmtId="170" fontId="0" fillId="83" borderId="0" xfId="0" applyNumberFormat="1" applyFill="1" applyBorder="1" applyAlignment="1">
      <alignment wrapText="1"/>
    </xf>
    <xf numFmtId="166" fontId="70" fillId="0" borderId="17" xfId="0" applyNumberFormat="1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70" fillId="0" borderId="1" xfId="0" applyFont="1" applyBorder="1" applyAlignment="1">
      <alignment vertical="top" wrapText="1"/>
    </xf>
    <xf numFmtId="0" fontId="70" fillId="77" borderId="33" xfId="0" applyFont="1" applyFill="1" applyBorder="1" applyAlignment="1">
      <alignment vertical="top" wrapText="1"/>
    </xf>
    <xf numFmtId="170" fontId="71" fillId="0" borderId="17" xfId="0" applyNumberFormat="1" applyFont="1" applyBorder="1" applyAlignment="1">
      <alignment vertical="top" wrapText="1"/>
    </xf>
    <xf numFmtId="0" fontId="0" fillId="0" borderId="16" xfId="0" applyBorder="1"/>
    <xf numFmtId="0" fontId="23" fillId="78" borderId="16" xfId="0" applyFont="1" applyFill="1" applyBorder="1" applyAlignment="1">
      <alignment horizontal="center"/>
    </xf>
    <xf numFmtId="0" fontId="64" fillId="79" borderId="16" xfId="0" applyFont="1" applyFill="1" applyBorder="1" applyAlignment="1">
      <alignment wrapText="1"/>
    </xf>
    <xf numFmtId="0" fontId="2" fillId="0" borderId="16" xfId="0" applyFont="1" applyBorder="1"/>
    <xf numFmtId="0" fontId="6" fillId="80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1" fontId="2" fillId="0" borderId="16" xfId="0" applyNumberFormat="1" applyFont="1" applyBorder="1" applyAlignment="1">
      <alignment vertical="top" wrapText="1"/>
    </xf>
    <xf numFmtId="167" fontId="2" fillId="0" borderId="16" xfId="0" applyNumberFormat="1" applyFont="1" applyBorder="1" applyAlignment="1">
      <alignment vertical="top" wrapText="1"/>
    </xf>
    <xf numFmtId="0" fontId="6" fillId="80" borderId="16" xfId="0" applyFont="1" applyFill="1" applyBorder="1" applyAlignment="1">
      <alignment horizontal="center" wrapText="1"/>
    </xf>
    <xf numFmtId="166" fontId="2" fillId="0" borderId="16" xfId="0" applyNumberFormat="1" applyFont="1" applyBorder="1" applyAlignment="1">
      <alignment vertical="top" wrapText="1"/>
    </xf>
    <xf numFmtId="2" fontId="2" fillId="0" borderId="16" xfId="0" applyNumberFormat="1" applyFont="1" applyBorder="1" applyAlignment="1">
      <alignment vertical="top" wrapText="1"/>
    </xf>
    <xf numFmtId="0" fontId="0" fillId="0" borderId="45" xfId="0"/>
    <xf numFmtId="0" fontId="23" fillId="69" borderId="45" xfId="0" applyFont="1" applyFill="1" applyAlignment="1">
      <alignment horizontal="left" wrapText="1"/>
    </xf>
    <xf numFmtId="0" fontId="4" fillId="71" borderId="45" xfId="0" applyFont="1" applyFill="1" applyAlignment="1">
      <alignment wrapText="1"/>
    </xf>
    <xf numFmtId="0" fontId="0" fillId="0" borderId="45" xfId="0" applyAlignment="1">
      <alignment vertical="top" wrapText="1"/>
    </xf>
    <xf numFmtId="0" fontId="0" fillId="0" borderId="45" xfId="0" applyAlignment="1">
      <alignment wrapText="1"/>
    </xf>
    <xf numFmtId="0" fontId="6" fillId="69" borderId="5" xfId="0" applyFont="1" applyFill="1" applyBorder="1" applyAlignment="1">
      <alignment horizontal="center" vertical="center" wrapText="1"/>
    </xf>
    <xf numFmtId="0" fontId="6" fillId="69" borderId="45" xfId="0" applyFont="1" applyFill="1" applyAlignment="1">
      <alignment horizontal="center" vertical="center" wrapText="1"/>
    </xf>
    <xf numFmtId="1" fontId="0" fillId="0" borderId="17" xfId="0" applyNumberFormat="1" applyBorder="1" applyAlignment="1">
      <alignment vertical="top" wrapText="1"/>
    </xf>
    <xf numFmtId="167" fontId="0" fillId="0" borderId="17" xfId="0" applyNumberFormat="1" applyBorder="1" applyAlignment="1">
      <alignment vertical="top" wrapText="1"/>
    </xf>
    <xf numFmtId="165" fontId="0" fillId="0" borderId="17" xfId="0" applyNumberFormat="1" applyBorder="1" applyAlignment="1">
      <alignment vertical="top" wrapText="1"/>
    </xf>
    <xf numFmtId="0" fontId="5" fillId="0" borderId="17" xfId="0" applyFont="1" applyBorder="1" applyAlignment="1">
      <alignment horizontal="center" vertical="center" wrapText="1"/>
    </xf>
    <xf numFmtId="167" fontId="0" fillId="0" borderId="45" xfId="0" applyNumberFormat="1" applyAlignment="1">
      <alignment wrapText="1"/>
    </xf>
    <xf numFmtId="166" fontId="0" fillId="0" borderId="45" xfId="0" applyNumberFormat="1" applyAlignment="1">
      <alignment wrapText="1"/>
    </xf>
    <xf numFmtId="165" fontId="0" fillId="0" borderId="45" xfId="0" applyNumberFormat="1" applyAlignment="1">
      <alignment wrapText="1"/>
    </xf>
    <xf numFmtId="0" fontId="23" fillId="69" borderId="45" xfId="0" applyFont="1" applyFill="1" applyAlignment="1">
      <alignment wrapText="1"/>
    </xf>
    <xf numFmtId="0" fontId="6" fillId="69" borderId="33" xfId="0" applyFont="1" applyFill="1" applyBorder="1" applyAlignment="1">
      <alignment horizontal="center" vertical="center" wrapText="1"/>
    </xf>
    <xf numFmtId="0" fontId="0" fillId="71" borderId="45" xfId="0" applyFill="1"/>
    <xf numFmtId="0" fontId="5" fillId="79" borderId="33" xfId="0" applyFont="1" applyFill="1" applyBorder="1" applyAlignment="1">
      <alignment vertical="top" wrapText="1"/>
    </xf>
    <xf numFmtId="1" fontId="0" fillId="0" borderId="33" xfId="0" applyNumberFormat="1" applyBorder="1" applyAlignment="1">
      <alignment vertical="top" wrapText="1"/>
    </xf>
    <xf numFmtId="165" fontId="0" fillId="0" borderId="33" xfId="0" applyNumberFormat="1" applyBorder="1" applyAlignment="1">
      <alignment vertical="top" wrapText="1"/>
    </xf>
    <xf numFmtId="167" fontId="0" fillId="0" borderId="33" xfId="0" applyNumberFormat="1" applyBorder="1" applyAlignment="1">
      <alignment vertical="top" wrapText="1"/>
    </xf>
    <xf numFmtId="170" fontId="5" fillId="0" borderId="33" xfId="0" applyNumberFormat="1" applyFont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69" borderId="45" xfId="0" applyFont="1" applyFill="1" applyAlignment="1">
      <alignment wrapText="1"/>
    </xf>
    <xf numFmtId="170" fontId="0" fillId="0" borderId="45" xfId="0" applyNumberFormat="1" applyAlignment="1">
      <alignment wrapText="1"/>
    </xf>
    <xf numFmtId="0" fontId="0" fillId="68" borderId="45" xfId="0" applyFill="1" applyAlignment="1">
      <alignment wrapText="1"/>
    </xf>
    <xf numFmtId="0" fontId="6" fillId="67" borderId="45" xfId="0" applyFont="1" applyFill="1" applyAlignment="1">
      <alignment wrapText="1"/>
    </xf>
    <xf numFmtId="0" fontId="2" fillId="0" borderId="45" xfId="0" applyFont="1"/>
    <xf numFmtId="0" fontId="5" fillId="66" borderId="33" xfId="0" applyFont="1" applyFill="1" applyBorder="1" applyAlignment="1">
      <alignment vertical="top" wrapText="1"/>
    </xf>
    <xf numFmtId="165" fontId="5" fillId="0" borderId="33" xfId="0" applyNumberFormat="1" applyFont="1" applyBorder="1" applyAlignment="1">
      <alignment horizontal="center" vertical="center" wrapText="1"/>
    </xf>
    <xf numFmtId="1" fontId="0" fillId="0" borderId="45" xfId="0" applyNumberFormat="1" applyAlignment="1">
      <alignment wrapText="1"/>
    </xf>
    <xf numFmtId="165" fontId="5" fillId="79" borderId="33" xfId="0" applyNumberFormat="1" applyFont="1" applyFill="1" applyBorder="1" applyAlignment="1">
      <alignment vertical="top" wrapText="1"/>
    </xf>
    <xf numFmtId="0" fontId="5" fillId="79" borderId="33" xfId="0" applyFont="1" applyFill="1" applyBorder="1" applyAlignment="1">
      <alignment horizontal="center" vertical="center" wrapText="1"/>
    </xf>
    <xf numFmtId="165" fontId="5" fillId="79" borderId="33" xfId="0" applyNumberFormat="1" applyFont="1" applyFill="1" applyBorder="1" applyAlignment="1">
      <alignment horizontal="center" vertical="center" wrapText="1"/>
    </xf>
    <xf numFmtId="167" fontId="6" fillId="67" borderId="45" xfId="0" applyNumberFormat="1" applyFont="1" applyFill="1" applyAlignment="1">
      <alignment wrapText="1"/>
    </xf>
    <xf numFmtId="0" fontId="2" fillId="0" borderId="45" xfId="0" applyFont="1" applyAlignment="1">
      <alignment vertical="top" wrapText="1"/>
    </xf>
    <xf numFmtId="0" fontId="6" fillId="80" borderId="17" xfId="0" applyFont="1" applyFill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170" fontId="0" fillId="0" borderId="45" xfId="0" applyNumberFormat="1"/>
    <xf numFmtId="170" fontId="0" fillId="0" borderId="17" xfId="0" applyNumberFormat="1" applyBorder="1" applyAlignment="1">
      <alignment vertical="top" wrapText="1"/>
    </xf>
    <xf numFmtId="0" fontId="5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vertical="top" wrapText="1"/>
    </xf>
    <xf numFmtId="165" fontId="7" fillId="0" borderId="17" xfId="0" applyNumberFormat="1" applyFont="1" applyBorder="1" applyAlignment="1">
      <alignment vertical="top" wrapText="1"/>
    </xf>
    <xf numFmtId="1" fontId="7" fillId="0" borderId="17" xfId="0" applyNumberFormat="1" applyFont="1" applyBorder="1" applyAlignment="1">
      <alignment vertical="top" wrapText="1"/>
    </xf>
    <xf numFmtId="167" fontId="0" fillId="0" borderId="45" xfId="0" applyNumberFormat="1" applyAlignment="1">
      <alignment vertical="top" wrapText="1"/>
    </xf>
    <xf numFmtId="170" fontId="0" fillId="0" borderId="45" xfId="0" applyNumberFormat="1" applyAlignment="1">
      <alignment vertical="top" wrapText="1"/>
    </xf>
    <xf numFmtId="1" fontId="0" fillId="0" borderId="45" xfId="0" applyNumberFormat="1" applyAlignment="1">
      <alignment vertical="top" wrapText="1"/>
    </xf>
    <xf numFmtId="165" fontId="0" fillId="0" borderId="45" xfId="0" applyNumberFormat="1" applyAlignment="1">
      <alignment vertical="top" wrapText="1"/>
    </xf>
    <xf numFmtId="0" fontId="73" fillId="80" borderId="45" xfId="0" applyFont="1" applyFill="1" applyAlignment="1">
      <alignment horizontal="center" vertical="center" wrapText="1"/>
    </xf>
    <xf numFmtId="177" fontId="0" fillId="0" borderId="45" xfId="0" applyNumberFormat="1" applyAlignment="1">
      <alignment wrapText="1"/>
    </xf>
    <xf numFmtId="0" fontId="6" fillId="85" borderId="0" xfId="0" applyFont="1" applyFill="1" applyBorder="1" applyAlignment="1">
      <alignment wrapText="1"/>
    </xf>
    <xf numFmtId="166" fontId="6" fillId="85" borderId="0" xfId="0" applyNumberFormat="1" applyFont="1" applyFill="1" applyBorder="1" applyAlignment="1">
      <alignment wrapText="1"/>
    </xf>
    <xf numFmtId="0" fontId="17" fillId="86" borderId="0" xfId="0" applyFont="1" applyFill="1" applyBorder="1" applyAlignment="1">
      <alignment wrapText="1"/>
    </xf>
    <xf numFmtId="0" fontId="6" fillId="85" borderId="9" xfId="0" applyFont="1" applyFill="1" applyBorder="1" applyAlignment="1">
      <alignment vertical="top" wrapText="1"/>
    </xf>
    <xf numFmtId="165" fontId="6" fillId="85" borderId="9" xfId="0" applyNumberFormat="1" applyFont="1" applyFill="1" applyBorder="1" applyAlignment="1">
      <alignment vertical="top" wrapText="1"/>
    </xf>
    <xf numFmtId="0" fontId="6" fillId="85" borderId="9" xfId="0" applyFont="1" applyFill="1" applyBorder="1" applyAlignment="1">
      <alignment horizontal="center" vertical="center" wrapText="1"/>
    </xf>
    <xf numFmtId="165" fontId="6" fillId="85" borderId="9" xfId="0" applyNumberFormat="1" applyFont="1" applyFill="1" applyBorder="1" applyAlignment="1">
      <alignment horizontal="center" vertical="center" wrapText="1"/>
    </xf>
    <xf numFmtId="167" fontId="6" fillId="85" borderId="0" xfId="0" applyNumberFormat="1" applyFont="1" applyFill="1" applyBorder="1" applyAlignment="1">
      <alignment wrapText="1"/>
    </xf>
    <xf numFmtId="1" fontId="6" fillId="85" borderId="0" xfId="0" applyNumberFormat="1" applyFont="1" applyFill="1" applyBorder="1" applyAlignment="1">
      <alignment wrapText="1"/>
    </xf>
    <xf numFmtId="0" fontId="17" fillId="86" borderId="0" xfId="0" applyFont="1" applyFill="1" applyBorder="1" applyAlignment="1">
      <alignment horizontal="left" wrapText="1"/>
    </xf>
    <xf numFmtId="177" fontId="0" fillId="0" borderId="1" xfId="0" applyNumberFormat="1" applyBorder="1" applyAlignment="1">
      <alignment vertical="top" wrapText="1"/>
    </xf>
    <xf numFmtId="177" fontId="0" fillId="0" borderId="0" xfId="0" applyNumberFormat="1" applyBorder="1" applyAlignment="1">
      <alignment wrapText="1"/>
    </xf>
    <xf numFmtId="0" fontId="5" fillId="50" borderId="45" xfId="0" applyFont="1" applyFill="1"/>
    <xf numFmtId="20" fontId="0" fillId="0" borderId="45" xfId="0" applyNumberFormat="1"/>
    <xf numFmtId="0" fontId="8" fillId="87" borderId="45" xfId="0" applyFont="1" applyFill="1"/>
    <xf numFmtId="0" fontId="0" fillId="0" borderId="45" xfId="0"/>
    <xf numFmtId="0" fontId="74" fillId="79" borderId="45" xfId="0" applyFont="1" applyFill="1" applyAlignment="1">
      <alignment wrapText="1"/>
    </xf>
    <xf numFmtId="0" fontId="0" fillId="0" borderId="45" xfId="0" applyAlignment="1">
      <alignment wrapText="1"/>
    </xf>
    <xf numFmtId="0" fontId="72" fillId="84" borderId="45" xfId="0" applyFont="1" applyFill="1" applyAlignment="1">
      <alignment wrapText="1"/>
    </xf>
    <xf numFmtId="0" fontId="0" fillId="0" borderId="45" xfId="0" applyAlignment="1">
      <alignment horizontal="left"/>
    </xf>
    <xf numFmtId="0" fontId="0" fillId="0" borderId="0" xfId="0" applyBorder="1"/>
    <xf numFmtId="0" fontId="23" fillId="12" borderId="45" xfId="0" applyFont="1" applyFill="1" applyAlignment="1">
      <alignment horizontal="center" vertical="center" wrapText="1"/>
    </xf>
    <xf numFmtId="0" fontId="58" fillId="51" borderId="19" xfId="0" applyFont="1" applyFill="1" applyBorder="1" applyAlignment="1">
      <alignment vertical="top" wrapText="1"/>
    </xf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vertical="top" wrapText="1"/>
    </xf>
    <xf numFmtId="0" fontId="28" fillId="14" borderId="45" xfId="0" applyFont="1" applyFill="1" applyAlignment="1">
      <alignment horizontal="center" vertical="center" wrapText="1"/>
    </xf>
    <xf numFmtId="0" fontId="4" fillId="29" borderId="45" xfId="0" applyFont="1" applyFill="1" applyAlignment="1">
      <alignment horizontal="left"/>
    </xf>
    <xf numFmtId="0" fontId="8" fillId="28" borderId="45" xfId="0" applyFont="1" applyFill="1" applyAlignment="1">
      <alignment horizontal="left" vertical="center"/>
    </xf>
    <xf numFmtId="0" fontId="4" fillId="3" borderId="45" xfId="0" applyFont="1" applyFill="1" applyAlignment="1">
      <alignment vertical="top" wrapText="1"/>
    </xf>
    <xf numFmtId="166" fontId="8" fillId="2" borderId="45" xfId="0" applyNumberFormat="1" applyFont="1" applyFill="1" applyAlignment="1">
      <alignment vertical="top" wrapText="1"/>
    </xf>
    <xf numFmtId="0" fontId="23" fillId="69" borderId="45" xfId="0" applyFont="1" applyFill="1" applyAlignment="1">
      <alignment horizontal="left" vertical="top" wrapText="1"/>
    </xf>
    <xf numFmtId="0" fontId="4" fillId="71" borderId="45" xfId="0" applyFont="1" applyFill="1" applyAlignment="1">
      <alignment vertical="top" wrapText="1"/>
    </xf>
    <xf numFmtId="0" fontId="17" fillId="86" borderId="0" xfId="0" applyFont="1" applyFill="1" applyBorder="1" applyAlignment="1">
      <alignment horizontal="left" vertical="center" wrapText="1"/>
    </xf>
    <xf numFmtId="0" fontId="17" fillId="86" borderId="0" xfId="0" applyFont="1" applyFill="1" applyBorder="1"/>
    <xf numFmtId="0" fontId="4" fillId="71" borderId="45" xfId="0" applyFont="1" applyFill="1" applyAlignment="1">
      <alignment horizontal="left" wrapText="1"/>
    </xf>
    <xf numFmtId="0" fontId="8" fillId="80" borderId="45" xfId="0" applyFont="1" applyFill="1" applyAlignment="1">
      <alignment vertical="top" wrapText="1"/>
    </xf>
    <xf numFmtId="0" fontId="62" fillId="69" borderId="45" xfId="0" applyFont="1" applyFill="1" applyAlignment="1">
      <alignment horizontal="left" wrapText="1"/>
    </xf>
    <xf numFmtId="0" fontId="4" fillId="29" borderId="45" xfId="0" applyFont="1" applyFill="1" applyAlignment="1">
      <alignment horizontal="left" wrapText="1"/>
    </xf>
    <xf numFmtId="0" fontId="8" fillId="28" borderId="45" xfId="0" applyFont="1" applyFill="1" applyAlignment="1">
      <alignment horizontal="left" vertical="center" wrapText="1"/>
    </xf>
    <xf numFmtId="0" fontId="40" fillId="40" borderId="45" xfId="0" applyFont="1" applyFill="1" applyAlignment="1">
      <alignment horizontal="left" vertical="top" wrapText="1"/>
    </xf>
    <xf numFmtId="0" fontId="41" fillId="41" borderId="45" xfId="0" applyFont="1" applyFill="1" applyAlignment="1">
      <alignment horizontal="left" vertical="top" wrapText="1"/>
    </xf>
    <xf numFmtId="0" fontId="4" fillId="3" borderId="45" xfId="0" applyFont="1" applyFill="1" applyAlignment="1">
      <alignment horizontal="center" wrapText="1"/>
    </xf>
    <xf numFmtId="0" fontId="1" fillId="2" borderId="45" xfId="0" applyFont="1" applyFill="1" applyAlignment="1">
      <alignment horizontal="center" vertical="center" wrapText="1"/>
    </xf>
    <xf numFmtId="0" fontId="8" fillId="2" borderId="45" xfId="0" applyFont="1" applyFill="1" applyAlignment="1">
      <alignment vertical="top" wrapText="1"/>
    </xf>
    <xf numFmtId="0" fontId="20" fillId="0" borderId="45" xfId="0" applyFont="1" applyAlignment="1">
      <alignment horizontal="left"/>
    </xf>
    <xf numFmtId="0" fontId="64" fillId="71" borderId="45" xfId="0" applyFont="1" applyFill="1" applyAlignment="1">
      <alignment wrapText="1"/>
    </xf>
    <xf numFmtId="0" fontId="23" fillId="70" borderId="45" xfId="0" applyFont="1" applyFill="1" applyAlignment="1">
      <alignment horizontal="left" vertical="center"/>
    </xf>
    <xf numFmtId="0" fontId="0" fillId="71" borderId="45" xfId="0" applyFill="1" applyAlignment="1">
      <alignment wrapText="1"/>
    </xf>
    <xf numFmtId="0" fontId="12" fillId="73" borderId="45" xfId="0" applyFont="1" applyFill="1" applyAlignment="1">
      <alignment horizontal="left" vertical="center"/>
    </xf>
    <xf numFmtId="0" fontId="63" fillId="56" borderId="45" xfId="0" applyFont="1" applyFill="1" applyAlignment="1">
      <alignment horizontal="left" vertical="center" wrapText="1"/>
    </xf>
    <xf numFmtId="0" fontId="4" fillId="57" borderId="45" xfId="0" applyFont="1" applyFill="1" applyAlignment="1">
      <alignment horizontal="left" wrapText="1"/>
    </xf>
    <xf numFmtId="0" fontId="4" fillId="41" borderId="45" xfId="0" applyFont="1" applyFill="1" applyAlignment="1">
      <alignment horizontal="left" vertical="top" wrapText="1"/>
    </xf>
    <xf numFmtId="0" fontId="40" fillId="40" borderId="27" xfId="0" applyFont="1" applyFill="1" applyBorder="1" applyAlignment="1">
      <alignment horizontal="left" vertical="top" wrapText="1"/>
    </xf>
    <xf numFmtId="0" fontId="0" fillId="0" borderId="22" xfId="0" applyBorder="1"/>
    <xf numFmtId="0" fontId="57" fillId="50" borderId="45" xfId="0" applyFont="1" applyFill="1" applyAlignment="1">
      <alignment horizontal="center" wrapText="1"/>
    </xf>
    <xf numFmtId="0" fontId="56" fillId="49" borderId="45" xfId="0" applyFont="1" applyFill="1" applyAlignment="1">
      <alignment horizontal="center"/>
    </xf>
    <xf numFmtId="0" fontId="0" fillId="76" borderId="33" xfId="0" applyFill="1" applyBorder="1" applyAlignment="1">
      <alignment vertical="center" wrapText="1"/>
    </xf>
    <xf numFmtId="0" fontId="0" fillId="0" borderId="46" xfId="0" applyBorder="1"/>
    <xf numFmtId="0" fontId="0" fillId="0" borderId="48" xfId="0" applyBorder="1"/>
    <xf numFmtId="0" fontId="0" fillId="0" borderId="47" xfId="0" applyBorder="1"/>
    <xf numFmtId="0" fontId="0" fillId="0" borderId="49" xfId="0" applyBorder="1"/>
    <xf numFmtId="0" fontId="0" fillId="0" borderId="50" xfId="0" applyBorder="1"/>
    <xf numFmtId="0" fontId="0" fillId="0" borderId="13" xfId="0" applyBorder="1"/>
    <xf numFmtId="0" fontId="0" fillId="0" borderId="51" xfId="0" applyBorder="1"/>
    <xf numFmtId="0" fontId="68" fillId="76" borderId="33" xfId="0" applyFont="1" applyFill="1" applyBorder="1" applyAlignment="1">
      <alignment horizontal="center" vertical="center"/>
    </xf>
    <xf numFmtId="0" fontId="67" fillId="75" borderId="33" xfId="0" applyFont="1" applyFill="1" applyBorder="1" applyAlignment="1">
      <alignment horizontal="center"/>
    </xf>
    <xf numFmtId="0" fontId="0" fillId="0" borderId="52" xfId="0" applyBorder="1"/>
    <xf numFmtId="0" fontId="65" fillId="75" borderId="33" xfId="0" applyFont="1" applyFill="1" applyBorder="1" applyAlignment="1">
      <alignment horizontal="center"/>
    </xf>
    <xf numFmtId="0" fontId="0" fillId="0" borderId="53" xfId="0" applyBorder="1"/>
    <xf numFmtId="0" fontId="66" fillId="76" borderId="33" xfId="0" applyFont="1" applyFill="1" applyBorder="1" applyAlignment="1">
      <alignment horizontal="left"/>
    </xf>
    <xf numFmtId="0" fontId="66" fillId="76" borderId="33" xfId="0" applyFont="1" applyFill="1" applyBorder="1" applyAlignment="1">
      <alignment horizontal="center"/>
    </xf>
    <xf numFmtId="0" fontId="58" fillId="49" borderId="19" xfId="0" applyFont="1" applyFill="1" applyBorder="1" applyAlignment="1">
      <alignment vertical="top" wrapText="1"/>
    </xf>
    <xf numFmtId="0" fontId="57" fillId="50" borderId="19" xfId="0" applyFont="1" applyFill="1" applyBorder="1" applyAlignment="1">
      <alignment vertical="top" wrapText="1"/>
    </xf>
    <xf numFmtId="0" fontId="56" fillId="49" borderId="19" xfId="0" applyFont="1" applyFill="1" applyBorder="1" applyAlignment="1">
      <alignment vertical="top" wrapText="1"/>
    </xf>
    <xf numFmtId="0" fontId="64" fillId="79" borderId="45" xfId="0" applyFont="1" applyFill="1" applyAlignment="1">
      <alignment horizontal="left" wrapText="1"/>
    </xf>
    <xf numFmtId="0" fontId="0" fillId="0" borderId="16" xfId="0" applyBorder="1"/>
    <xf numFmtId="0" fontId="23" fillId="78" borderId="45" xfId="0" applyFont="1" applyFill="1" applyAlignment="1">
      <alignment horizontal="left"/>
    </xf>
    <xf numFmtId="0" fontId="8" fillId="78" borderId="45" xfId="0" applyFont="1" applyFill="1" applyAlignment="1">
      <alignment horizontal="left"/>
    </xf>
    <xf numFmtId="0" fontId="57" fillId="50" borderId="45" xfId="0" applyFont="1" applyFill="1" applyAlignment="1">
      <alignment horizontal="center" vertical="center" wrapText="1"/>
    </xf>
    <xf numFmtId="0" fontId="56" fillId="49" borderId="45" xfId="0" applyFont="1" applyFill="1" applyAlignment="1">
      <alignment horizontal="center" vertical="center"/>
    </xf>
    <xf numFmtId="0" fontId="56" fillId="49" borderId="45" xfId="0" applyFont="1" applyFill="1" applyAlignment="1">
      <alignment horizontal="left" vertical="center" wrapText="1"/>
    </xf>
    <xf numFmtId="0" fontId="57" fillId="50" borderId="45" xfId="0" applyFont="1" applyFill="1" applyAlignment="1">
      <alignment horizontal="left" vertical="center" wrapText="1"/>
    </xf>
    <xf numFmtId="0" fontId="56" fillId="49" borderId="45" xfId="0" applyFont="1" applyFill="1" applyAlignment="1">
      <alignment horizontal="center" vertical="center" wrapText="1"/>
    </xf>
    <xf numFmtId="0" fontId="56" fillId="49" borderId="45" xfId="0" applyFont="1" applyFill="1" applyAlignment="1">
      <alignment horizontal="left" vertical="center"/>
    </xf>
    <xf numFmtId="0" fontId="38" fillId="38" borderId="45" xfId="0" applyFont="1" applyFill="1" applyAlignment="1">
      <alignment vertical="top" wrapText="1"/>
    </xf>
    <xf numFmtId="0" fontId="37" fillId="37" borderId="45" xfId="0" applyFont="1" applyFill="1" applyAlignment="1">
      <alignment horizontal="left" vertical="center"/>
    </xf>
    <xf numFmtId="0" fontId="1" fillId="2" borderId="45" xfId="0" applyFont="1" applyFill="1" applyAlignment="1">
      <alignment vertical="top" wrapText="1"/>
    </xf>
    <xf numFmtId="0" fontId="12" fillId="5" borderId="17" xfId="0" applyFont="1" applyFill="1" applyBorder="1" applyAlignment="1">
      <alignment vertical="top" wrapText="1"/>
    </xf>
    <xf numFmtId="0" fontId="0" fillId="0" borderId="17" xfId="0" applyBorder="1"/>
    <xf numFmtId="0" fontId="8" fillId="25" borderId="45" xfId="0" applyFont="1" applyFill="1" applyAlignment="1">
      <alignment horizontal="left" vertical="center"/>
    </xf>
    <xf numFmtId="0" fontId="4" fillId="26" borderId="45" xfId="0" applyFont="1" applyFill="1" applyAlignment="1">
      <alignment horizontal="left"/>
    </xf>
    <xf numFmtId="0" fontId="1" fillId="2" borderId="45" xfId="0" applyFont="1" applyFill="1" applyAlignment="1">
      <alignment horizontal="left" vertical="center"/>
    </xf>
    <xf numFmtId="0" fontId="4" fillId="3" borderId="45" xfId="0" applyFont="1" applyFill="1" applyAlignment="1">
      <alignment horizontal="left"/>
    </xf>
    <xf numFmtId="0" fontId="8" fillId="25" borderId="45" xfId="0" applyFont="1" applyFill="1" applyAlignment="1">
      <alignment horizontal="left" vertical="center" wrapText="1"/>
    </xf>
    <xf numFmtId="0" fontId="4" fillId="26" borderId="45" xfId="0" applyFont="1" applyFill="1" applyAlignment="1">
      <alignment vertical="top" wrapText="1"/>
    </xf>
    <xf numFmtId="0" fontId="8" fillId="25" borderId="45" xfId="0" applyFont="1" applyFill="1" applyAlignment="1">
      <alignment horizontal="left" vertical="top" wrapText="1"/>
    </xf>
    <xf numFmtId="0" fontId="32" fillId="34" borderId="18" xfId="0" applyFont="1" applyFill="1" applyBorder="1" applyAlignment="1">
      <alignment horizontal="left" vertical="center" wrapText="1"/>
    </xf>
    <xf numFmtId="0" fontId="0" fillId="0" borderId="23" xfId="0" applyBorder="1"/>
    <xf numFmtId="0" fontId="0" fillId="0" borderId="24" xfId="0" applyBorder="1"/>
    <xf numFmtId="0" fontId="33" fillId="35" borderId="45" xfId="0" applyFont="1" applyFill="1" applyAlignment="1">
      <alignment wrapText="1"/>
    </xf>
    <xf numFmtId="0" fontId="43" fillId="44" borderId="45" xfId="0" applyFont="1" applyFill="1" applyAlignment="1">
      <alignment horizontal="left" vertical="center" wrapText="1"/>
    </xf>
    <xf numFmtId="0" fontId="49" fillId="46" borderId="45" xfId="0" applyFont="1" applyFill="1" applyAlignment="1">
      <alignment horizontal="left" vertical="center"/>
    </xf>
    <xf numFmtId="0" fontId="0" fillId="45" borderId="45" xfId="0" applyFill="1" applyAlignment="1">
      <alignment vertical="top" wrapText="1"/>
    </xf>
    <xf numFmtId="0" fontId="48" fillId="45" borderId="45" xfId="0" applyFont="1" applyFill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58" fillId="49" borderId="45" xfId="0" applyFont="1" applyFill="1"/>
    <xf numFmtId="0" fontId="1" fillId="2" borderId="45" xfId="0" applyFont="1" applyFill="1" applyAlignment="1">
      <alignment horizontal="center" vertical="center"/>
    </xf>
    <xf numFmtId="0" fontId="4" fillId="3" borderId="45" xfId="0" applyFont="1" applyFill="1" applyAlignment="1">
      <alignment horizontal="center"/>
    </xf>
    <xf numFmtId="0" fontId="8" fillId="16" borderId="45" xfId="0" applyFont="1" applyFill="1" applyAlignment="1">
      <alignment horizontal="left" vertical="center" wrapText="1"/>
    </xf>
    <xf numFmtId="0" fontId="25" fillId="0" borderId="45" xfId="0" applyFont="1" applyAlignment="1">
      <alignment horizontal="left"/>
    </xf>
    <xf numFmtId="0" fontId="8" fillId="25" borderId="45" xfId="0" applyFont="1" applyFill="1" applyAlignment="1">
      <alignment horizontal="left"/>
    </xf>
    <xf numFmtId="0" fontId="33" fillId="35" borderId="45" xfId="0" applyFont="1" applyFill="1"/>
    <xf numFmtId="0" fontId="5" fillId="7" borderId="45" xfId="0" applyFont="1" applyFill="1" applyAlignment="1">
      <alignment horizontal="left" vertical="center"/>
    </xf>
    <xf numFmtId="0" fontId="39" fillId="39" borderId="45" xfId="0" applyFont="1" applyFill="1" applyAlignment="1">
      <alignment vertical="top" wrapText="1"/>
    </xf>
    <xf numFmtId="0" fontId="8" fillId="18" borderId="45" xfId="0" applyFont="1" applyFill="1" applyAlignment="1">
      <alignment horizontal="left" vertical="center" wrapText="1"/>
    </xf>
    <xf numFmtId="0" fontId="8" fillId="18" borderId="45" xfId="0" applyFont="1" applyFill="1" applyAlignment="1">
      <alignment horizontal="left"/>
    </xf>
    <xf numFmtId="0" fontId="12" fillId="9" borderId="17" xfId="0" applyFont="1" applyFill="1" applyBorder="1" applyAlignment="1">
      <alignment vertical="top" wrapText="1"/>
    </xf>
    <xf numFmtId="0" fontId="12" fillId="6" borderId="17" xfId="0" applyFont="1" applyFill="1" applyBorder="1" applyAlignment="1">
      <alignment vertical="top" wrapText="1"/>
    </xf>
    <xf numFmtId="0" fontId="8" fillId="2" borderId="45" xfId="0" applyFont="1" applyFill="1" applyAlignment="1">
      <alignment horizontal="center"/>
    </xf>
    <xf numFmtId="0" fontId="6" fillId="2" borderId="45" xfId="0" applyFont="1" applyFill="1" applyAlignment="1">
      <alignment horizontal="center" vertical="center"/>
    </xf>
    <xf numFmtId="0" fontId="37" fillId="37" borderId="45" xfId="0" applyFont="1" applyFill="1" applyAlignment="1">
      <alignment vertical="top" wrapText="1"/>
    </xf>
    <xf numFmtId="0" fontId="18" fillId="10" borderId="45" xfId="0" applyFont="1" applyFill="1" applyAlignment="1">
      <alignment vertical="top" wrapText="1"/>
    </xf>
    <xf numFmtId="0" fontId="15" fillId="11" borderId="45" xfId="0" applyFont="1" applyFill="1" applyAlignment="1">
      <alignment vertical="top" wrapText="1"/>
    </xf>
    <xf numFmtId="0" fontId="17" fillId="10" borderId="45" xfId="0" applyFont="1" applyFill="1" applyAlignment="1">
      <alignment vertical="top" wrapText="1"/>
    </xf>
    <xf numFmtId="167" fontId="19" fillId="9" borderId="45" xfId="0" applyNumberFormat="1" applyFont="1" applyFill="1" applyAlignment="1">
      <alignment vertical="top" wrapText="1"/>
    </xf>
    <xf numFmtId="1" fontId="19" fillId="9" borderId="45" xfId="0" applyNumberFormat="1" applyFont="1" applyFill="1" applyAlignment="1">
      <alignment vertical="top" wrapText="1"/>
    </xf>
    <xf numFmtId="0" fontId="13" fillId="2" borderId="45" xfId="0" applyFont="1" applyFill="1" applyAlignment="1">
      <alignment vertical="top" wrapText="1"/>
    </xf>
    <xf numFmtId="9" fontId="19" fillId="9" borderId="45" xfId="0" applyNumberFormat="1" applyFont="1" applyFill="1" applyAlignment="1">
      <alignment vertical="top" wrapText="1"/>
    </xf>
    <xf numFmtId="0" fontId="14" fillId="10" borderId="45" xfId="0" applyFont="1" applyFill="1" applyAlignment="1">
      <alignment vertical="top" wrapText="1"/>
    </xf>
    <xf numFmtId="0" fontId="29" fillId="2" borderId="45" xfId="0" applyFont="1" applyFill="1" applyAlignment="1">
      <alignment vertical="top" wrapText="1"/>
    </xf>
    <xf numFmtId="0" fontId="4" fillId="45" borderId="45" xfId="0" applyFont="1" applyFill="1" applyAlignment="1">
      <alignment horizontal="left" wrapText="1"/>
    </xf>
    <xf numFmtId="0" fontId="53" fillId="44" borderId="45" xfId="0" applyFont="1" applyFill="1" applyAlignment="1">
      <alignment horizontal="left" wrapText="1"/>
    </xf>
  </cellXfs>
  <cellStyles count="3">
    <cellStyle name="Hipervínculo" xfId="2" xr:uid="{00000000-0005-0000-0000-000000000000}"/>
    <cellStyle name="Moneda [0]" xfId="1" xr:uid="{00000000-0005-0000-0000-000001000000}"/>
    <cellStyle name="Normal" xfId="0" builtinId="0"/>
  </cellStyles>
  <dxfs count="1003">
    <dxf>
      <fill>
        <patternFill>
          <bgColor rgb="FFEAF4E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AF4E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AED768"/>
        </patternFill>
      </fill>
    </dxf>
    <dxf>
      <fill>
        <patternFill>
          <bgColor rgb="FFF4CCCC"/>
        </patternFill>
      </fill>
    </dxf>
    <dxf>
      <fill>
        <patternFill>
          <bgColor rgb="FFAED768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EAF4E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EAF4E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EAF4E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EAF4E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F4E79"/>
      </font>
      <fill>
        <patternFill>
          <bgColor rgb="FFCFE2F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2F2F2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2F2F2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Distribución por activo (CLP)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 CLP</c:v>
          </c:tx>
          <c:spPr>
            <a:ln>
              <a:prstDash val="solid"/>
            </a:ln>
          </c:spPr>
          <c:invertIfNegative val="1"/>
          <c:cat>
            <c:strRef>
              <c:f>'17_Dashboard_Inversiones'!$D$5:$D$10</c:f>
              <c:strCache>
                <c:ptCount val="6"/>
                <c:pt idx="0">
                  <c:v>TQQQ</c:v>
                </c:pt>
                <c:pt idx="1">
                  <c:v>SOXX</c:v>
                </c:pt>
                <c:pt idx="2">
                  <c:v>APV banco estado</c:v>
                </c:pt>
                <c:pt idx="3">
                  <c:v>Inversiones generales 2</c:v>
                </c:pt>
                <c:pt idx="4">
                  <c:v>Inversiones generales 3</c:v>
                </c:pt>
                <c:pt idx="5">
                  <c:v>Caja</c:v>
                </c:pt>
              </c:strCache>
            </c:strRef>
          </c:cat>
          <c:val>
            <c:numRef>
              <c:f>'17_Dashboard_Inversiones'!$F$5:$F$10</c:f>
              <c:numCache>
                <c:formatCode>\$#,##0</c:formatCode>
                <c:ptCount val="6"/>
                <c:pt idx="0">
                  <c:v>172559.13416518172</c:v>
                </c:pt>
                <c:pt idx="1">
                  <c:v>62054.870961214307</c:v>
                </c:pt>
                <c:pt idx="2">
                  <c:v>1064</c:v>
                </c:pt>
                <c:pt idx="3">
                  <c:v>535</c:v>
                </c:pt>
                <c:pt idx="4">
                  <c:v>86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6-421F-9CBA-7117A0D9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Rentabilidad ETF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Rentabilidad</c:v>
          </c:tx>
          <c:spPr>
            <a:ln>
              <a:prstDash val="solid"/>
            </a:ln>
          </c:spPr>
          <c:invertIfNegative val="1"/>
          <c:cat>
            <c:strRef>
              <c:f>'17_Dashboard_Inversiones'!$A$16:$A$17</c:f>
              <c:strCache>
                <c:ptCount val="2"/>
                <c:pt idx="0">
                  <c:v>TQQQ</c:v>
                </c:pt>
                <c:pt idx="1">
                  <c:v>SOXX</c:v>
                </c:pt>
              </c:strCache>
            </c:strRef>
          </c:cat>
          <c:val>
            <c:numRef>
              <c:f>'17_Dashboard_Inversiones'!$H$16:$H$17</c:f>
              <c:numCache>
                <c:formatCode>0.00%</c:formatCode>
                <c:ptCount val="2"/>
                <c:pt idx="0">
                  <c:v>2.9887134195645638E-2</c:v>
                </c:pt>
                <c:pt idx="1">
                  <c:v>0.19635378756919813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9-41D6-AC50-03EF0241E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Evaluaciones por ramo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'58_Dashboard_Academico'!$B$16</c:f>
              <c:strCache>
                <c:ptCount val="1"/>
                <c:pt idx="0">
                  <c:v>Evaluaciones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'58_Dashboard_Academico'!$A$17:$A$20</c:f>
              <c:strCache>
                <c:ptCount val="4"/>
                <c:pt idx="0">
                  <c:v>Cálculo II</c:v>
                </c:pt>
                <c:pt idx="1">
                  <c:v>Comunicación y Argumentación</c:v>
                </c:pt>
                <c:pt idx="2">
                  <c:v>Probabilidad y Estadística</c:v>
                </c:pt>
                <c:pt idx="3">
                  <c:v>Física Mecánica</c:v>
                </c:pt>
              </c:strCache>
            </c:strRef>
          </c:cat>
          <c:val>
            <c:numRef>
              <c:f>'58_Dashboard_Academico'!$B$17:$B$20</c:f>
              <c:numCache>
                <c:formatCode>General</c:formatCode>
                <c:ptCount val="4"/>
                <c:pt idx="0">
                  <c:v>4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CF9-9BEE-523AD460C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t>Ramo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Evaluaciones por ramo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'65_T2_Dashboard'!$B$16</c:f>
              <c:strCache>
                <c:ptCount val="1"/>
                <c:pt idx="0">
                  <c:v>Evaluaciones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'65_T2_Dashboard'!$A$17:$A$20</c:f>
              <c:strCache>
                <c:ptCount val="4"/>
                <c:pt idx="0">
                  <c:v>Cálculo II</c:v>
                </c:pt>
                <c:pt idx="1">
                  <c:v>Comunicación y Argumentación</c:v>
                </c:pt>
                <c:pt idx="2">
                  <c:v>Probabilidad y Estadística</c:v>
                </c:pt>
                <c:pt idx="3">
                  <c:v>Física Mecánica</c:v>
                </c:pt>
              </c:strCache>
            </c:strRef>
          </c:cat>
          <c:val>
            <c:numRef>
              <c:f>'65_T2_Dashboard'!$B$17:$B$20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5-49BB-A70C-C0FE94E40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Score por unidad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'82_LNH_Corporate_System'!$C$4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'82_LNH_Corporate_System'!$A$5:$A$11</c:f>
              <c:strCache>
                <c:ptCount val="7"/>
                <c:pt idx="0">
                  <c:v>Finanzas</c:v>
                </c:pt>
                <c:pt idx="1">
                  <c:v>Universidad T2</c:v>
                </c:pt>
                <c:pt idx="2">
                  <c:v>Health &amp; Longevity</c:v>
                </c:pt>
                <c:pt idx="3">
                  <c:v>MGC</c:v>
                </c:pt>
                <c:pt idx="4">
                  <c:v>LNR</c:v>
                </c:pt>
                <c:pt idx="5">
                  <c:v>CaptaPropIA</c:v>
                </c:pt>
                <c:pt idx="6">
                  <c:v>Divina Obsesión 2042</c:v>
                </c:pt>
              </c:strCache>
            </c:strRef>
          </c:cat>
          <c:val>
            <c:numRef>
              <c:f>'82_LNH_Corporate_System'!$C$5:$C$11</c:f>
              <c:numCache>
                <c:formatCode>General</c:formatCode>
                <c:ptCount val="7"/>
                <c:pt idx="0">
                  <c:v>95</c:v>
                </c:pt>
                <c:pt idx="1">
                  <c:v>92</c:v>
                </c:pt>
                <c:pt idx="2">
                  <c:v>90</c:v>
                </c:pt>
                <c:pt idx="6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0-4735-AD56-A2D909F3F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>
                <a:solidFill>
                  <a:srgbClr val="757575"/>
                </a:solidFill>
                <a:latin typeface="+mn-lt"/>
                <a:ea typeface="+mn-lt"/>
                <a:cs typeface="+mn-lt"/>
              </a:rPr>
              <a:t>Pagos: estimado vs pagadoNone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Series 1</c:v>
          </c:tx>
          <c:spPr>
            <a:solidFill>
              <a:srgbClr val="4285F4"/>
            </a:solidFill>
            <a:ln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'18_Control_Pagos'!$Q$5:$Q$7</c:f>
              <c:strCache>
                <c:ptCount val="3"/>
                <c:pt idx="0">
                  <c:v>Total estimado</c:v>
                </c:pt>
                <c:pt idx="1">
                  <c:v>Total pagado</c:v>
                </c:pt>
                <c:pt idx="2">
                  <c:v>Pendiente estimado</c:v>
                </c:pt>
              </c:strCache>
            </c:strRef>
          </c:cat>
          <c:val>
            <c:numRef>
              <c:f>'18_Control_Pagos'!$R$5:$R$7</c:f>
              <c:numCache>
                <c:formatCode>\$#,##0;[Red]\(\$#,##0\);\-</c:formatCode>
                <c:ptCount val="3"/>
                <c:pt idx="0">
                  <c:v>478103</c:v>
                </c:pt>
                <c:pt idx="1">
                  <c:v>444307</c:v>
                </c:pt>
                <c:pt idx="2">
                  <c:v>33796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4B-4BB8-820A-8BDF220D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numFmt formatCode="\$#,##0;[Red]\(\$#,##0\);\-" sourceLinked="1"/>
        <c:majorTickMark val="none"/>
        <c:minorTickMark val="none"/>
        <c:tickLblPos val="nextTo"/>
        <c:spPr>
          <a:ln>
            <a:prstDash val="solid"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Evaluaciones por ramo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'54_Dashboard_Universidad'!$B$16</c:f>
              <c:strCache>
                <c:ptCount val="1"/>
                <c:pt idx="0">
                  <c:v>Evaluaciones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'54_Dashboard_Universidad'!$A$17:$A$20</c:f>
              <c:strCache>
                <c:ptCount val="4"/>
                <c:pt idx="0">
                  <c:v>Cálculo II</c:v>
                </c:pt>
                <c:pt idx="1">
                  <c:v>Comunicación y Argumentación</c:v>
                </c:pt>
                <c:pt idx="2">
                  <c:v>Probabilidad y Estadística</c:v>
                </c:pt>
                <c:pt idx="3">
                  <c:v>Física Mecánica</c:v>
                </c:pt>
              </c:strCache>
            </c:strRef>
          </c:cat>
          <c:val>
            <c:numRef>
              <c:f>'54_Dashboard_Universidad'!$B$17:$B$20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3-47BD-A5B4-BFCF17468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t>Ramo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4953000" cy="2667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18</xdr:row>
      <xdr:rowOff>114300</xdr:rowOff>
    </xdr:from>
    <xdr:ext cx="4953000" cy="2476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504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15</xdr:row>
      <xdr:rowOff>0</xdr:rowOff>
    </xdr:from>
    <xdr:ext cx="504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0</xdr:rowOff>
    </xdr:from>
    <xdr:ext cx="504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22</xdr:row>
      <xdr:rowOff>0</xdr:rowOff>
    </xdr:from>
    <xdr:ext cx="5657850" cy="28956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504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03_Presi&#243;n_Lo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03_Presión_Log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305A12-E235-4828-955B-22F1F617A3C7}" name="VisionBoard" displayName="VisionBoard" ref="A4:H14">
  <autoFilter ref="A4:H14" xr:uid="{5D305A12-E235-4828-955B-22F1F617A3C7}"/>
  <tableColumns count="8">
    <tableColumn id="1" xr3:uid="{3CEE1126-6218-4B32-8988-FBD07EA31AD3}" name="Categoría"/>
    <tableColumn id="2" xr3:uid="{39568C91-664E-4542-860E-6E985D88DDE2}" name="Objetivo 2042"/>
    <tableColumn id="3" xr3:uid="{B3B43777-6D44-4EBA-A930-BE143B3607A6}" name="Imagen / Referencia"/>
    <tableColumn id="4" xr3:uid="{259973F1-77C8-4BC0-BE38-482314C45DEA}" name="Ruta (09_PANEL_VISION)"/>
    <tableColumn id="5" xr3:uid="{393F06B6-6319-4A60-943C-EA8A0F9BC27F}" name="Fecha incorporación"/>
    <tableColumn id="6" xr3:uid="{68274DFF-15EF-4044-95D7-2C944271BC9B}" name="Estado"/>
    <tableColumn id="7" xr3:uid="{CB4E6B4D-24E0-41B1-8623-A25D376E1C6D}" name="Última revisión"/>
    <tableColumn id="8" xr3:uid="{C2AE53B4-8DE4-475F-8461-5238A6FC0722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0424CE-F1FB-4553-BFCE-340D626ECDCF}" name="TablaTurnos" displayName="TablaTurnos" ref="A10:N41">
  <autoFilter ref="A10:N41" xr:uid="{810424CE-F1FB-4553-BFCE-340D626ECDCF}"/>
  <tableColumns count="14">
    <tableColumn id="1" xr3:uid="{92AD84B2-3D53-4786-8657-872B5491BFD1}" name="Fecha"/>
    <tableColumn id="2" xr3:uid="{FEF2D86E-D9FA-44BB-BC44-4E55B96A34FD}" name="Día"/>
    <tableColumn id="3" xr3:uid="{E316FADA-6165-4FA6-8AFE-EDD53F27A2BE}" name="Turno"/>
    <tableColumn id="4" xr3:uid="{036A3117-E3D0-4302-9D90-ED4198BBA8BB}" name="Tipo"/>
    <tableColumn id="5" xr3:uid="{099DA502-FB7E-4F10-AF4C-F99A3F36C08F}" name="Salida Casa"/>
    <tableColumn id="6" xr3:uid="{FD34CF8E-462C-428E-8F4E-2E947E70065C}" name="Ingreso"/>
    <tableColumn id="7" xr3:uid="{7B029154-0A6D-46D1-B03B-627B18D6011F}" name="Colación"/>
    <tableColumn id="8" xr3:uid="{9C2A33CE-CFAD-4537-88A3-E05FC02340BD}" name="Salida"/>
    <tableColumn id="9" xr3:uid="{19E08534-ACAD-441D-A38C-6D28092C4C28}" name="Llegada Casa"/>
    <tableColumn id="10" xr3:uid="{969E19C1-88B2-45D2-9154-D6C9EAEF9140}" name="Trabajadas"/>
    <tableColumn id="11" xr3:uid="{B85E83EF-AF1E-493C-88C6-F9C6AEF5444D}" name="Nocturnas"/>
    <tableColumn id="12" xr3:uid="{57E5C687-BB70-438D-A2B5-811F465AFFDF}" name="Extras"/>
    <tableColumn id="13" xr3:uid="{41C25949-9E73-431A-B93E-982D9AD4F212}" name="Estado"/>
    <tableColumn id="14" xr3:uid="{94C5DFC8-D02C-4437-BE68-A60015F8BB45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05EF5B-CB75-4BE6-92E5-A210B4B03C96}" name="TablaPendientes" displayName="TablaPendientes" ref="A4:M54">
  <autoFilter ref="A4:M54" xr:uid="{A105EF5B-CB75-4BE6-92E5-A210B4B03C96}"/>
  <tableColumns count="13">
    <tableColumn id="1" xr3:uid="{168B48CC-59FB-4DF1-9A03-135A82A13B93}" name="ID"/>
    <tableColumn id="2" xr3:uid="{861EFB2A-9BF6-4BE8-AA62-361654458F51}" name="Área"/>
    <tableColumn id="3" xr3:uid="{48AF94FC-A177-4891-B610-30264B70BC8D}" name="Subárea"/>
    <tableColumn id="4" xr3:uid="{2F509D98-EFB6-434E-9A49-BAB2265B9C13}" name="Tarea"/>
    <tableColumn id="5" xr3:uid="{587368AB-8195-44DC-ADE2-E73FF820A3B0}" name="Prioridad"/>
    <tableColumn id="6" xr3:uid="{C6424576-909F-4625-80D2-EC7035C7F403}" name="Estado"/>
    <tableColumn id="7" xr3:uid="{F5B11CDA-80CA-4B66-A8F5-31D014704988}" name="Fecha Creación"/>
    <tableColumn id="8" xr3:uid="{FA08455B-E96C-4B52-BB16-D4D48D035E6C}" name="Fecha Límite"/>
    <tableColumn id="9" xr3:uid="{5C03AB10-93E3-4B7B-84EC-3F0EA931EB28}" name="Fecha Cierre"/>
    <tableColumn id="10" xr3:uid="{619C130D-34DC-4B1B-9D12-B7C88474310F}" name="Días Abiertos">
      <calculatedColumnFormula>IF(G5="","",TODAY()-G5)</calculatedColumnFormula>
    </tableColumn>
    <tableColumn id="11" xr3:uid="{95D2C854-241C-4191-BB48-F0C6844D80D8}" name="Avance %"/>
    <tableColumn id="12" xr3:uid="{4FFE0089-B614-451B-A1B1-88CF65B77EE1}" name="Evidencia"/>
    <tableColumn id="13" xr3:uid="{EE4361D7-4218-474A-9005-C9B8092689F4}" name="Observacion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F6163E-5CC2-424A-B4D2-A792DBCEA74B}" name="TablaLectura11" displayName="TablaLectura11" ref="A12:J42">
  <autoFilter ref="A12:J42" xr:uid="{B4F6163E-5CC2-424A-B4D2-A792DBCEA74B}"/>
  <tableColumns count="10">
    <tableColumn id="1" xr3:uid="{DEB6B097-5FFE-4AD6-84CA-93B54EA4B66C}" name="Leyendo"/>
    <tableColumn id="2" xr3:uid="{1436099F-7007-42B3-9E68-487E2355A6EC}" name="Hábitos Atómicos - James Clear"/>
    <tableColumn id="3" xr3:uid="{A1DEBE9B-9D80-4759-834D-CC0135159889}" name="Columna1"/>
    <tableColumn id="4" xr3:uid="{353C7C09-908F-47C8-9F5C-EB35F34CBD3A}" name="Columna2"/>
    <tableColumn id="5" xr3:uid="{9AD5B77F-27F0-4661-955E-2D915170AE90}" name="Columna3"/>
    <tableColumn id="6" xr3:uid="{DDD2D0F7-1FAE-40D3-9EFF-DF35565E2F3C}" name="Columna4"/>
    <tableColumn id="7" xr3:uid="{14655543-7349-4D31-8EB6-A1E1E7445F80}" name="Columna5">
      <calculatedColumnFormula>IF(F13=0,"",E13/F13)</calculatedColumnFormula>
    </tableColumn>
    <tableColumn id="8" xr3:uid="{679D8B9F-51AD-497A-A76E-3C212B29DEF0}" name="Columna6"/>
    <tableColumn id="9" xr3:uid="{D88166E0-BADF-4F28-9187-EC28BAEEE439}" name="Columna7"/>
    <tableColumn id="10" xr3:uid="{D6C78328-6843-418D-ABC6-F5F8CB8E58FD}" name="Columna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a_Operativo_Final" displayName="Mapa_Operativo_Final" ref="A4:I110">
  <autoFilter ref="A4:I110" xr:uid="{00000000-0009-0000-0100-000001000000}"/>
  <tableColumns count="9">
    <tableColumn id="1" xr3:uid="{00000000-0010-0000-0000-000001000000}" name="01_CEO_CONTROL"/>
    <tableColumn id="2" xr3:uid="{00000000-0010-0000-0000-000002000000}" name="09_Posicion_Actual"/>
    <tableColumn id="3" xr3:uid="{00000000-0010-0000-0000-000003000000}" name="MAESTRA / OPERATIVA"/>
    <tableColumn id="4" xr3:uid="{00000000-0010-0000-0000-000004000000}" name="visible"/>
    <tableColumn id="5" xr3:uid="{00000000-0010-0000-0000-000005000000}" name="Control ejecutivo central"/>
    <tableColumn id="6" xr3:uid="{00000000-0010-0000-0000-000006000000}" name="Debe permanecer visible dentro del sistema operativo 2026"/>
    <tableColumn id="7" xr3:uid="{00000000-0010-0000-0000-000007000000}" name="Columna1"/>
    <tableColumn id="8" xr3:uid="{00000000-0010-0000-0000-000008000000}" name="Columna2"/>
    <tableColumn id="9" xr3:uid="{00000000-0010-0000-0000-000009000000}" name="Columna3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Historial_Diario" displayName="tbl_Historial_Diario" ref="A4:M100">
  <tableColumns count="13">
    <tableColumn id="1" xr3:uid="{00000000-0010-0000-0100-000001000000}" name="Fecha"/>
    <tableColumn id="2" xr3:uid="{00000000-0010-0000-0100-000002000000}" name="Mes"/>
    <tableColumn id="3" xr3:uid="{00000000-0010-0000-0100-000003000000}" name="TQQQ % diario"/>
    <tableColumn id="4" xr3:uid="{00000000-0010-0000-0100-000004000000}" name="TQQQ Precio USD"/>
    <tableColumn id="5" xr3:uid="{00000000-0010-0000-0100-000005000000}" name="SOXX % diario"/>
    <tableColumn id="6" xr3:uid="{00000000-0010-0000-0100-000006000000}" name="SOXX Precio USD"/>
    <tableColumn id="7" xr3:uid="{00000000-0010-0000-0100-000007000000}" name="APV Banco Estado CLP"/>
    <tableColumn id="8" xr3:uid="{00000000-0010-0000-0100-000008000000}" name="Inv. Generales 2 CLP"/>
    <tableColumn id="9" xr3:uid="{00000000-0010-0000-0100-000009000000}" name="Inv. Generales 3 CLP"/>
    <tableColumn id="10" xr3:uid="{00000000-0010-0000-0100-00000A000000}" name="Caja CLP"/>
    <tableColumn id="11" xr3:uid="{00000000-0010-0000-0100-00000B000000}" name="Tipo Cambio"/>
    <tableColumn id="12" xr3:uid="{00000000-0010-0000-0100-00000C000000}" name="Patrimonio Total CLP"/>
    <tableColumn id="13" xr3:uid="{00000000-0010-0000-0100-00000D000000}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osicion_Actual" displayName="tbl_Posicion_Actual" ref="A4:O10">
  <tableColumns count="15">
    <tableColumn id="1" xr3:uid="{00000000-0010-0000-0200-000001000000}" name="Activo"/>
    <tableColumn id="2" xr3:uid="{00000000-0010-0000-0200-000002000000}" name="Clase"/>
    <tableColumn id="3" xr3:uid="{00000000-0010-0000-0200-000003000000}" name="Moneda"/>
    <tableColumn id="4" xr3:uid="{00000000-0010-0000-0200-000004000000}" name="Acciones"/>
    <tableColumn id="5" xr3:uid="{00000000-0010-0000-0200-000005000000}" name="Capital Neto Moneda"/>
    <tableColumn id="6" xr3:uid="{00000000-0010-0000-0200-000006000000}" name="Capital Neto CLP"/>
    <tableColumn id="7" xr3:uid="{00000000-0010-0000-0200-000007000000}" name="Precio Promedio USD"/>
    <tableColumn id="8" xr3:uid="{00000000-0010-0000-0200-000008000000}" name="Precio Actual USD"/>
    <tableColumn id="9" xr3:uid="{00000000-0010-0000-0200-000009000000}" name="Valor Actual USD"/>
    <tableColumn id="10" xr3:uid="{00000000-0010-0000-0200-00000A000000}" name="Valor Actual CLP"/>
    <tableColumn id="11" xr3:uid="{00000000-0010-0000-0200-00000B000000}" name="Ganancia/Pérdida CLP"/>
    <tableColumn id="12" xr3:uid="{00000000-0010-0000-0200-00000C000000}" name="Rentabilidad %"/>
    <tableColumn id="13" xr3:uid="{00000000-0010-0000-0200-00000D000000}" name="Fuente Valor"/>
    <tableColumn id="14" xr3:uid="{00000000-0010-0000-0200-00000E000000}" name="Estado"/>
    <tableColumn id="15" xr3:uid="{00000000-0010-0000-0200-00000F000000}" name="Última Actualiza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2EstudioErrores" displayName="T2EstudioErrores" ref="A4:Q304">
  <tableColumns count="17">
    <tableColumn id="1" xr3:uid="{00000000-0010-0000-0300-000001000000}" name="Fecha"/>
    <tableColumn id="2" xr3:uid="{00000000-0010-0000-0300-000002000000}" name="Semana"/>
    <tableColumn id="3" xr3:uid="{00000000-0010-0000-0300-000003000000}" name="Ramo"/>
    <tableColumn id="4" xr3:uid="{00000000-0010-0000-0300-000004000000}" name="Tema"/>
    <tableColumn id="5" xr3:uid="{00000000-0010-0000-0300-000005000000}" name="Tipo registro"/>
    <tableColumn id="6" xr3:uid="{00000000-0010-0000-0300-000006000000}" name="Duración min"/>
    <tableColumn id="7" xr3:uid="{00000000-0010-0000-0300-000007000000}" name="Resultado concreto"/>
    <tableColumn id="8" xr3:uid="{00000000-0010-0000-0300-000008000000}" name="Comprensión %"/>
    <tableColumn id="9" xr3:uid="{00000000-0010-0000-0300-000009000000}" name="Error detectado"/>
    <tableColumn id="10" xr3:uid="{00000000-0010-0000-0300-00000A000000}" name="Causa raíz"/>
    <tableColumn id="11" xr3:uid="{00000000-0010-0000-0300-00000B000000}" name="Corrección"/>
    <tableColumn id="12" xr3:uid="{00000000-0010-0000-0300-00000C000000}" name="Impacto nota"/>
    <tableColumn id="13" xr3:uid="{00000000-0010-0000-0300-00000D000000}" name="Estado error"/>
    <tableColumn id="14" xr3:uid="{00000000-0010-0000-0300-00000E000000}" name="Próximo repaso"/>
    <tableColumn id="15" xr3:uid="{00000000-0010-0000-0300-00000F000000}" name="Revisado"/>
    <tableColumn id="16" xr3:uid="{00000000-0010-0000-0300-000010000000}" name="Observación"/>
    <tableColumn id="17" xr3:uid="{00000000-0010-0000-0300-000011000000}" name="Hor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" displayName="Table_1" ref="A4:O54">
  <tableColumns count="15">
    <tableColumn id="1" xr3:uid="{00000000-0010-0000-0400-000001000000}" name="ID"/>
    <tableColumn id="2" xr3:uid="{00000000-0010-0000-0400-000002000000}" name="Pago / Obligación"/>
    <tableColumn id="3" xr3:uid="{00000000-0010-0000-0400-000003000000}" name="Categoría"/>
    <tableColumn id="4" xr3:uid="{00000000-0010-0000-0400-000004000000}" name="Monto estimado"/>
    <tableColumn id="5" xr3:uid="{00000000-0010-0000-0400-000005000000}" name="Fecha estimada"/>
    <tableColumn id="6" xr3:uid="{00000000-0010-0000-0400-000006000000}" name="Prioridad"/>
    <tableColumn id="7" xr3:uid="{00000000-0010-0000-0400-000007000000}" name="Tipo"/>
    <tableColumn id="8" xr3:uid="{00000000-0010-0000-0400-000008000000}" name="Estado"/>
    <tableColumn id="9" xr3:uid="{00000000-0010-0000-0400-000009000000}" name="Monto pagado"/>
    <tableColumn id="10" xr3:uid="{00000000-0010-0000-0400-00000A000000}" name="Fecha pago"/>
    <tableColumn id="11" xr3:uid="{00000000-0010-0000-0400-00000B000000}" name="Registrado en 12_Gastos"/>
    <tableColumn id="12" xr3:uid="{00000000-0010-0000-0400-00000C000000}" name="Días restantes"/>
    <tableColumn id="13" xr3:uid="{00000000-0010-0000-0400-00000D000000}" name="Alerta"/>
    <tableColumn id="14" xr3:uid="{00000000-0010-0000-0400-00000E000000}" name="Acción sugerida"/>
    <tableColumn id="15" xr3:uid="{00000000-0010-0000-0400-00000F000000}" name="Comentari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uditoria_Univ_T2" displayName="Auditoria_Univ_T2" ref="A3:F19">
  <autoFilter ref="A3:F19" xr:uid="{00000000-0009-0000-0100-000006000000}"/>
  <tableColumns count="6">
    <tableColumn id="1" xr3:uid="{00000000-0010-0000-0500-000001000000}" name="Hoja"/>
    <tableColumn id="2" xr3:uid="{00000000-0010-0000-0500-000002000000}" name="Tipo de actualización"/>
    <tableColumn id="3" xr3:uid="{00000000-0010-0000-0500-000003000000}" name="Estado"/>
    <tableColumn id="4" xr3:uid="{00000000-0010-0000-0500-000004000000}" name="Madurez actual"/>
    <tableColumn id="5" xr3:uid="{00000000-0010-0000-0500-000005000000}" name="Riesgo"/>
    <tableColumn id="6" xr3:uid="{00000000-0010-0000-0500-000006000000}" name="Siguiente mejor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C413-11A6-40D5-9D63-F54B4B76F299}">
  <dimension ref="A1:K14"/>
  <sheetViews>
    <sheetView tabSelected="1" workbookViewId="0">
      <selection activeCell="C12" sqref="C12"/>
    </sheetView>
  </sheetViews>
  <sheetFormatPr baseColWidth="10" defaultColWidth="8.7265625" defaultRowHeight="14.5"/>
  <cols>
    <col min="1" max="1" width="11.08984375" style="355" bestFit="1" customWidth="1"/>
    <col min="2" max="2" width="30.81640625" style="355" bestFit="1" customWidth="1"/>
    <col min="3" max="3" width="19.90625" style="355" bestFit="1" customWidth="1"/>
    <col min="4" max="4" width="24.7265625" style="355" bestFit="1" customWidth="1"/>
    <col min="5" max="5" width="20" style="355" bestFit="1" customWidth="1"/>
    <col min="6" max="6" width="8.81640625" style="355" bestFit="1" customWidth="1"/>
    <col min="7" max="7" width="15.6328125" style="355" bestFit="1" customWidth="1"/>
    <col min="8" max="8" width="15.26953125" style="355" bestFit="1" customWidth="1"/>
    <col min="9" max="16384" width="8.7265625" style="355"/>
  </cols>
  <sheetData>
    <row r="1" spans="1:11" ht="21">
      <c r="A1" s="420" t="s">
        <v>5140</v>
      </c>
      <c r="B1" s="421"/>
      <c r="C1" s="421"/>
      <c r="D1" s="421"/>
      <c r="E1" s="421"/>
      <c r="F1" s="421"/>
      <c r="G1" s="421"/>
      <c r="H1" s="421"/>
    </row>
    <row r="2" spans="1:11">
      <c r="J2" s="355" t="s">
        <v>90</v>
      </c>
    </row>
    <row r="3" spans="1:11">
      <c r="J3" s="355" t="s">
        <v>888</v>
      </c>
      <c r="K3" s="355">
        <f>COUNTA(A5:A14)</f>
        <v>10</v>
      </c>
    </row>
    <row r="4" spans="1:11">
      <c r="A4" s="418" t="s">
        <v>1457</v>
      </c>
      <c r="B4" s="418" t="s">
        <v>5141</v>
      </c>
      <c r="C4" s="418" t="s">
        <v>5142</v>
      </c>
      <c r="D4" s="418" t="s">
        <v>5143</v>
      </c>
      <c r="E4" s="418" t="s">
        <v>5144</v>
      </c>
      <c r="F4" s="418" t="s">
        <v>655</v>
      </c>
      <c r="G4" s="418" t="s">
        <v>2551</v>
      </c>
      <c r="H4" s="418" t="s">
        <v>1934</v>
      </c>
      <c r="J4" s="355" t="s">
        <v>5145</v>
      </c>
      <c r="K4" s="355">
        <f>COUNTIF(F5:F14,"Activo")</f>
        <v>10</v>
      </c>
    </row>
    <row r="5" spans="1:11">
      <c r="A5" s="355" t="s">
        <v>5146</v>
      </c>
      <c r="B5" s="355" t="s">
        <v>5147</v>
      </c>
      <c r="C5" s="355" t="s">
        <v>5148</v>
      </c>
      <c r="D5" s="355" t="s">
        <v>5149</v>
      </c>
      <c r="F5" s="355" t="s">
        <v>79</v>
      </c>
      <c r="J5" s="355" t="s">
        <v>5150</v>
      </c>
      <c r="K5" s="355">
        <f>COUNTIF(F5:F14,"Conseguido")</f>
        <v>0</v>
      </c>
    </row>
    <row r="6" spans="1:11">
      <c r="A6" s="355" t="s">
        <v>184</v>
      </c>
      <c r="B6" s="355" t="s">
        <v>5151</v>
      </c>
      <c r="C6" s="355" t="s">
        <v>5152</v>
      </c>
      <c r="D6" s="355" t="s">
        <v>5153</v>
      </c>
      <c r="F6" s="355" t="s">
        <v>79</v>
      </c>
      <c r="J6" s="355" t="s">
        <v>4070</v>
      </c>
      <c r="K6" s="355">
        <f>IF(K3=0,0,K5/K3)</f>
        <v>0</v>
      </c>
    </row>
    <row r="7" spans="1:11">
      <c r="A7" s="355" t="s">
        <v>184</v>
      </c>
      <c r="B7" s="355" t="s">
        <v>5154</v>
      </c>
      <c r="C7" s="355" t="s">
        <v>5155</v>
      </c>
      <c r="D7" s="355" t="s">
        <v>5156</v>
      </c>
      <c r="F7" s="355" t="s">
        <v>79</v>
      </c>
    </row>
    <row r="8" spans="1:11">
      <c r="A8" s="355" t="s">
        <v>184</v>
      </c>
      <c r="B8" s="355" t="s">
        <v>5157</v>
      </c>
      <c r="C8" s="355" t="s">
        <v>5158</v>
      </c>
      <c r="D8" s="355" t="s">
        <v>5159</v>
      </c>
      <c r="F8" s="355" t="s">
        <v>79</v>
      </c>
    </row>
    <row r="9" spans="1:11">
      <c r="A9" s="355" t="s">
        <v>322</v>
      </c>
      <c r="B9" s="355" t="s">
        <v>5160</v>
      </c>
      <c r="C9" s="355" t="s">
        <v>5161</v>
      </c>
      <c r="D9" s="355" t="s">
        <v>5162</v>
      </c>
      <c r="F9" s="355" t="s">
        <v>79</v>
      </c>
    </row>
    <row r="10" spans="1:11">
      <c r="A10" s="355" t="s">
        <v>5163</v>
      </c>
      <c r="B10" s="355" t="s">
        <v>5164</v>
      </c>
      <c r="C10" s="355" t="s">
        <v>5165</v>
      </c>
      <c r="D10" s="355" t="s">
        <v>5166</v>
      </c>
      <c r="F10" s="355" t="s">
        <v>79</v>
      </c>
    </row>
    <row r="11" spans="1:11">
      <c r="A11" s="355" t="s">
        <v>157</v>
      </c>
      <c r="B11" s="355" t="s">
        <v>5167</v>
      </c>
      <c r="C11" s="355" t="s">
        <v>5168</v>
      </c>
      <c r="D11" s="355" t="s">
        <v>5169</v>
      </c>
      <c r="F11" s="355" t="s">
        <v>79</v>
      </c>
    </row>
    <row r="12" spans="1:11">
      <c r="A12" s="355" t="s">
        <v>5170</v>
      </c>
      <c r="B12" s="355" t="s">
        <v>5171</v>
      </c>
      <c r="C12" s="355" t="s">
        <v>5172</v>
      </c>
      <c r="D12" s="355" t="s">
        <v>5173</v>
      </c>
      <c r="F12" s="355" t="s">
        <v>79</v>
      </c>
    </row>
    <row r="13" spans="1:11">
      <c r="A13" s="355" t="s">
        <v>5174</v>
      </c>
      <c r="B13" s="355" t="s">
        <v>5175</v>
      </c>
      <c r="C13" s="355" t="s">
        <v>5176</v>
      </c>
      <c r="D13" s="355" t="s">
        <v>5177</v>
      </c>
      <c r="F13" s="355" t="s">
        <v>79</v>
      </c>
    </row>
    <row r="14" spans="1:11">
      <c r="A14" s="355" t="s">
        <v>5178</v>
      </c>
      <c r="B14" s="355" t="s">
        <v>5179</v>
      </c>
      <c r="C14" s="355" t="s">
        <v>5180</v>
      </c>
      <c r="D14" s="355" t="s">
        <v>5181</v>
      </c>
      <c r="F14" s="355" t="s">
        <v>79</v>
      </c>
    </row>
  </sheetData>
  <mergeCells count="1">
    <mergeCell ref="A1:H1"/>
  </mergeCells>
  <dataValidations count="1">
    <dataValidation type="list" sqref="F5:F1000" xr:uid="{04AB6757-76FB-49E4-BC41-60D3F0D6FA65}">
      <formula1>"Activo,En progreso,Conseguido,Pausado,Descartado"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14BE-9677-4E0F-874C-AA47F5902CF0}">
  <dimension ref="A1:Q41"/>
  <sheetViews>
    <sheetView workbookViewId="0">
      <selection activeCell="E7" sqref="E7"/>
    </sheetView>
  </sheetViews>
  <sheetFormatPr baseColWidth="10" defaultColWidth="8.7265625" defaultRowHeight="14.5"/>
  <cols>
    <col min="1" max="1" width="10.08984375" style="355" bestFit="1" customWidth="1"/>
    <col min="2" max="3" width="8.7265625" style="355"/>
    <col min="4" max="4" width="11.81640625" style="355" bestFit="1" customWidth="1"/>
    <col min="5" max="5" width="12.36328125" style="355" bestFit="1" customWidth="1"/>
    <col min="6" max="6" width="10.90625" style="355" customWidth="1"/>
    <col min="7" max="7" width="10.1796875" style="355" bestFit="1" customWidth="1"/>
    <col min="8" max="8" width="8" style="355" bestFit="1" customWidth="1"/>
    <col min="9" max="9" width="13.7265625" style="355" bestFit="1" customWidth="1"/>
    <col min="10" max="10" width="12.36328125" style="355" bestFit="1" customWidth="1"/>
    <col min="11" max="11" width="11.7265625" style="355" bestFit="1" customWidth="1"/>
    <col min="12" max="12" width="8.26953125" style="355" bestFit="1" customWidth="1"/>
    <col min="13" max="13" width="9.1796875" style="355" bestFit="1" customWidth="1"/>
    <col min="14" max="14" width="15.26953125" style="355" bestFit="1" customWidth="1"/>
    <col min="15" max="16384" width="8.7265625" style="355"/>
  </cols>
  <sheetData>
    <row r="1" spans="1:17" ht="21">
      <c r="A1" s="420" t="s">
        <v>5029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</row>
    <row r="3" spans="1:17">
      <c r="P3" s="355" t="s">
        <v>90</v>
      </c>
    </row>
    <row r="4" spans="1:17">
      <c r="P4" s="355" t="s">
        <v>5030</v>
      </c>
      <c r="Q4" s="355">
        <f>COUNTIF(C11:C41,"&lt;&gt;Libre")</f>
        <v>23</v>
      </c>
    </row>
    <row r="5" spans="1:17">
      <c r="P5" s="355" t="s">
        <v>5031</v>
      </c>
      <c r="Q5" s="355">
        <f>COUNTIF(C11:C41,"Libre")</f>
        <v>8</v>
      </c>
    </row>
    <row r="6" spans="1:17">
      <c r="P6" s="355" t="s">
        <v>2440</v>
      </c>
      <c r="Q6" s="355">
        <f>SUM(J11:J41)</f>
        <v>193</v>
      </c>
    </row>
    <row r="10" spans="1:17">
      <c r="A10" s="418" t="s">
        <v>13</v>
      </c>
      <c r="B10" s="418" t="s">
        <v>2232</v>
      </c>
      <c r="C10" s="418" t="s">
        <v>323</v>
      </c>
      <c r="D10" s="418" t="s">
        <v>8</v>
      </c>
      <c r="E10" s="418" t="s">
        <v>5032</v>
      </c>
      <c r="F10" s="418" t="s">
        <v>5033</v>
      </c>
      <c r="G10" s="418" t="s">
        <v>5034</v>
      </c>
      <c r="H10" s="418" t="s">
        <v>1750</v>
      </c>
      <c r="I10" s="418" t="s">
        <v>5035</v>
      </c>
      <c r="J10" s="418" t="s">
        <v>5036</v>
      </c>
      <c r="K10" s="418" t="s">
        <v>5037</v>
      </c>
      <c r="L10" s="418" t="s">
        <v>5038</v>
      </c>
      <c r="M10" s="418" t="s">
        <v>655</v>
      </c>
      <c r="N10" s="418" t="s">
        <v>1934</v>
      </c>
    </row>
    <row r="11" spans="1:17">
      <c r="A11" s="355" t="s">
        <v>5039</v>
      </c>
      <c r="B11" s="355" t="s">
        <v>5040</v>
      </c>
      <c r="C11" s="355" t="s">
        <v>5041</v>
      </c>
      <c r="D11" s="355" t="s">
        <v>5042</v>
      </c>
      <c r="F11" s="419">
        <v>0.33333333333333331</v>
      </c>
      <c r="H11" s="419">
        <v>0.70833333333333337</v>
      </c>
      <c r="J11" s="355">
        <v>9</v>
      </c>
      <c r="K11" s="355">
        <f t="shared" ref="K11:K41" si="0">IF(C11="N",8,0)</f>
        <v>0</v>
      </c>
      <c r="L11" s="355">
        <v>0</v>
      </c>
      <c r="M11" s="355" t="s">
        <v>49</v>
      </c>
    </row>
    <row r="12" spans="1:17">
      <c r="A12" s="355" t="s">
        <v>5043</v>
      </c>
      <c r="B12" s="355" t="s">
        <v>5044</v>
      </c>
      <c r="C12" s="355" t="s">
        <v>5045</v>
      </c>
      <c r="D12" s="355" t="s">
        <v>5046</v>
      </c>
      <c r="F12" s="419">
        <v>0.5</v>
      </c>
      <c r="H12" s="419">
        <v>0.875</v>
      </c>
      <c r="J12" s="355">
        <v>9</v>
      </c>
      <c r="K12" s="355">
        <f t="shared" si="0"/>
        <v>0</v>
      </c>
      <c r="L12" s="355">
        <v>0</v>
      </c>
      <c r="M12" s="355" t="s">
        <v>49</v>
      </c>
    </row>
    <row r="13" spans="1:17">
      <c r="A13" s="355" t="s">
        <v>5047</v>
      </c>
      <c r="B13" s="355" t="s">
        <v>5048</v>
      </c>
      <c r="C13" s="355" t="s">
        <v>5045</v>
      </c>
      <c r="D13" s="355" t="s">
        <v>5046</v>
      </c>
      <c r="F13" s="419">
        <v>0.5</v>
      </c>
      <c r="H13" s="419">
        <v>0.875</v>
      </c>
      <c r="J13" s="355">
        <v>9</v>
      </c>
      <c r="K13" s="355">
        <f t="shared" si="0"/>
        <v>0</v>
      </c>
      <c r="L13" s="355">
        <v>0</v>
      </c>
      <c r="M13" s="355" t="s">
        <v>49</v>
      </c>
    </row>
    <row r="14" spans="1:17">
      <c r="A14" s="355" t="s">
        <v>5049</v>
      </c>
      <c r="B14" s="355" t="s">
        <v>5050</v>
      </c>
      <c r="C14" s="355" t="s">
        <v>275</v>
      </c>
      <c r="D14" s="355" t="s">
        <v>275</v>
      </c>
      <c r="J14" s="355">
        <f t="shared" ref="J14:J38" si="1">IF(C14="Libre",0,8)</f>
        <v>0</v>
      </c>
      <c r="K14" s="355">
        <f t="shared" si="0"/>
        <v>0</v>
      </c>
      <c r="L14" s="355">
        <f t="shared" ref="L14:L38" si="2">MAX(J14-8,0)</f>
        <v>0</v>
      </c>
      <c r="M14" s="355" t="s">
        <v>49</v>
      </c>
    </row>
    <row r="15" spans="1:17">
      <c r="A15" s="355" t="s">
        <v>5051</v>
      </c>
      <c r="B15" s="355" t="s">
        <v>5052</v>
      </c>
      <c r="C15" s="355" t="s">
        <v>5041</v>
      </c>
      <c r="D15" s="355" t="s">
        <v>5042</v>
      </c>
      <c r="F15" s="419">
        <v>0.33333333333333331</v>
      </c>
      <c r="H15" s="419">
        <v>0.6875</v>
      </c>
      <c r="J15" s="355">
        <v>8.5</v>
      </c>
      <c r="K15" s="355">
        <f t="shared" si="0"/>
        <v>0</v>
      </c>
      <c r="L15" s="355">
        <v>0</v>
      </c>
      <c r="M15" s="355" t="s">
        <v>49</v>
      </c>
    </row>
    <row r="16" spans="1:17">
      <c r="A16" s="355" t="s">
        <v>5053</v>
      </c>
      <c r="B16" s="355" t="s">
        <v>5054</v>
      </c>
      <c r="C16" s="355" t="s">
        <v>5045</v>
      </c>
      <c r="D16" s="355" t="s">
        <v>5046</v>
      </c>
      <c r="F16" s="419">
        <v>0.5</v>
      </c>
      <c r="H16" s="419">
        <v>0.875</v>
      </c>
      <c r="J16" s="355">
        <v>9</v>
      </c>
      <c r="K16" s="355">
        <f t="shared" si="0"/>
        <v>0</v>
      </c>
      <c r="L16" s="355">
        <v>0</v>
      </c>
      <c r="M16" s="355" t="s">
        <v>49</v>
      </c>
    </row>
    <row r="17" spans="1:13">
      <c r="A17" s="355" t="s">
        <v>5055</v>
      </c>
      <c r="B17" s="355" t="s">
        <v>5056</v>
      </c>
      <c r="C17" s="355" t="s">
        <v>5045</v>
      </c>
      <c r="D17" s="355" t="s">
        <v>5046</v>
      </c>
      <c r="F17" s="419">
        <v>0.5</v>
      </c>
      <c r="H17" s="419">
        <v>0.875</v>
      </c>
      <c r="J17" s="355">
        <v>9</v>
      </c>
      <c r="K17" s="355">
        <f t="shared" si="0"/>
        <v>0</v>
      </c>
      <c r="L17" s="355">
        <v>0</v>
      </c>
      <c r="M17" s="355" t="s">
        <v>49</v>
      </c>
    </row>
    <row r="18" spans="1:13">
      <c r="A18" s="355" t="s">
        <v>5057</v>
      </c>
      <c r="B18" s="355" t="s">
        <v>5040</v>
      </c>
      <c r="C18" s="355" t="s">
        <v>5045</v>
      </c>
      <c r="D18" s="355" t="s">
        <v>5046</v>
      </c>
      <c r="F18" s="419">
        <v>0.5</v>
      </c>
      <c r="H18" s="419">
        <v>0.875</v>
      </c>
      <c r="J18" s="355">
        <v>9</v>
      </c>
      <c r="K18" s="355">
        <f t="shared" si="0"/>
        <v>0</v>
      </c>
      <c r="L18" s="355">
        <v>0</v>
      </c>
      <c r="M18" s="355" t="s">
        <v>49</v>
      </c>
    </row>
    <row r="19" spans="1:13">
      <c r="A19" s="355" t="s">
        <v>5058</v>
      </c>
      <c r="B19" s="355" t="s">
        <v>5044</v>
      </c>
      <c r="C19" s="355" t="s">
        <v>5045</v>
      </c>
      <c r="D19" s="355" t="s">
        <v>5046</v>
      </c>
      <c r="F19" s="419">
        <v>0.52083333333333337</v>
      </c>
      <c r="H19" s="419">
        <v>0.875</v>
      </c>
      <c r="J19" s="355">
        <v>9</v>
      </c>
      <c r="K19" s="355">
        <f t="shared" si="0"/>
        <v>0</v>
      </c>
      <c r="L19" s="355">
        <v>0</v>
      </c>
      <c r="M19" s="355" t="s">
        <v>49</v>
      </c>
    </row>
    <row r="20" spans="1:13">
      <c r="A20" s="355" t="s">
        <v>5059</v>
      </c>
      <c r="B20" s="355" t="s">
        <v>5048</v>
      </c>
      <c r="C20" s="355" t="s">
        <v>281</v>
      </c>
      <c r="D20" s="355" t="s">
        <v>1106</v>
      </c>
      <c r="J20" s="355">
        <v>0</v>
      </c>
      <c r="K20" s="355">
        <f t="shared" si="0"/>
        <v>0</v>
      </c>
      <c r="L20" s="355">
        <f t="shared" si="2"/>
        <v>0</v>
      </c>
      <c r="M20" s="355" t="s">
        <v>49</v>
      </c>
    </row>
    <row r="21" spans="1:13">
      <c r="A21" s="355" t="s">
        <v>5060</v>
      </c>
      <c r="B21" s="355" t="s">
        <v>5050</v>
      </c>
      <c r="C21" s="355" t="s">
        <v>275</v>
      </c>
      <c r="D21" s="355" t="s">
        <v>275</v>
      </c>
      <c r="J21" s="355">
        <f t="shared" si="1"/>
        <v>0</v>
      </c>
      <c r="K21" s="355">
        <f t="shared" si="0"/>
        <v>0</v>
      </c>
      <c r="L21" s="355">
        <f t="shared" si="2"/>
        <v>0</v>
      </c>
      <c r="M21" s="355" t="s">
        <v>49</v>
      </c>
    </row>
    <row r="22" spans="1:13">
      <c r="A22" s="355" t="s">
        <v>5061</v>
      </c>
      <c r="B22" s="355" t="s">
        <v>5052</v>
      </c>
      <c r="C22" s="355" t="s">
        <v>275</v>
      </c>
      <c r="D22" s="355" t="s">
        <v>275</v>
      </c>
      <c r="J22" s="355">
        <f t="shared" si="1"/>
        <v>0</v>
      </c>
      <c r="K22" s="355">
        <f t="shared" si="0"/>
        <v>0</v>
      </c>
      <c r="L22" s="355">
        <f t="shared" si="2"/>
        <v>0</v>
      </c>
      <c r="M22" s="355" t="s">
        <v>49</v>
      </c>
    </row>
    <row r="23" spans="1:13">
      <c r="A23" s="355" t="s">
        <v>5062</v>
      </c>
      <c r="B23" s="355" t="s">
        <v>5054</v>
      </c>
      <c r="C23" s="355" t="s">
        <v>5063</v>
      </c>
      <c r="D23" s="355" t="s">
        <v>324</v>
      </c>
      <c r="F23" s="419">
        <v>0.875</v>
      </c>
      <c r="H23" s="419">
        <v>0.33333333333333331</v>
      </c>
      <c r="J23" s="355">
        <v>11</v>
      </c>
      <c r="K23" s="355">
        <v>9</v>
      </c>
      <c r="L23" s="355">
        <v>2</v>
      </c>
      <c r="M23" s="355" t="s">
        <v>49</v>
      </c>
    </row>
    <row r="24" spans="1:13">
      <c r="A24" s="355" t="s">
        <v>5064</v>
      </c>
      <c r="B24" s="355" t="s">
        <v>5056</v>
      </c>
      <c r="C24" s="355" t="s">
        <v>5063</v>
      </c>
      <c r="D24" s="355" t="s">
        <v>324</v>
      </c>
      <c r="F24" s="419">
        <v>0.875</v>
      </c>
      <c r="H24" s="419">
        <v>0.33333333333333331</v>
      </c>
      <c r="J24" s="355">
        <v>11</v>
      </c>
      <c r="K24" s="355">
        <v>9</v>
      </c>
      <c r="L24" s="355">
        <v>2</v>
      </c>
      <c r="M24" s="355" t="s">
        <v>49</v>
      </c>
    </row>
    <row r="25" spans="1:13">
      <c r="A25" s="355" t="s">
        <v>5065</v>
      </c>
      <c r="B25" s="355" t="s">
        <v>5040</v>
      </c>
      <c r="C25" s="355" t="s">
        <v>5063</v>
      </c>
      <c r="D25" s="355" t="s">
        <v>324</v>
      </c>
      <c r="F25" s="419">
        <v>0.875</v>
      </c>
      <c r="H25" s="419">
        <v>0.33333333333333331</v>
      </c>
      <c r="J25" s="355">
        <v>11</v>
      </c>
      <c r="K25" s="355">
        <v>9</v>
      </c>
      <c r="L25" s="355">
        <v>2</v>
      </c>
      <c r="M25" s="355" t="s">
        <v>49</v>
      </c>
    </row>
    <row r="26" spans="1:13">
      <c r="A26" s="355" t="s">
        <v>5066</v>
      </c>
      <c r="B26" s="355" t="s">
        <v>5044</v>
      </c>
      <c r="C26" s="355" t="s">
        <v>275</v>
      </c>
      <c r="D26" s="355" t="s">
        <v>275</v>
      </c>
      <c r="J26" s="355">
        <f t="shared" si="1"/>
        <v>0</v>
      </c>
      <c r="K26" s="355">
        <f t="shared" si="0"/>
        <v>0</v>
      </c>
      <c r="L26" s="355">
        <f t="shared" si="2"/>
        <v>0</v>
      </c>
      <c r="M26" s="355" t="s">
        <v>49</v>
      </c>
    </row>
    <row r="27" spans="1:13">
      <c r="A27" s="355" t="s">
        <v>5067</v>
      </c>
      <c r="B27" s="355" t="s">
        <v>5048</v>
      </c>
      <c r="C27" s="355" t="s">
        <v>5045</v>
      </c>
      <c r="D27" s="355" t="s">
        <v>5046</v>
      </c>
      <c r="F27" s="419">
        <v>0.52083333333333337</v>
      </c>
      <c r="H27" s="419">
        <v>0.875</v>
      </c>
      <c r="J27" s="355">
        <v>9</v>
      </c>
      <c r="K27" s="355">
        <f t="shared" si="0"/>
        <v>0</v>
      </c>
      <c r="L27" s="355">
        <v>0</v>
      </c>
      <c r="M27" s="355" t="s">
        <v>49</v>
      </c>
    </row>
    <row r="28" spans="1:13">
      <c r="A28" s="355" t="s">
        <v>5068</v>
      </c>
      <c r="B28" s="355" t="s">
        <v>5050</v>
      </c>
      <c r="C28" s="355" t="s">
        <v>275</v>
      </c>
      <c r="D28" s="355" t="s">
        <v>275</v>
      </c>
      <c r="J28" s="355">
        <f t="shared" si="1"/>
        <v>0</v>
      </c>
      <c r="K28" s="355">
        <f t="shared" si="0"/>
        <v>0</v>
      </c>
      <c r="L28" s="355">
        <f t="shared" si="2"/>
        <v>0</v>
      </c>
      <c r="M28" s="355" t="s">
        <v>49</v>
      </c>
    </row>
    <row r="29" spans="1:13">
      <c r="A29" s="355" t="s">
        <v>2477</v>
      </c>
      <c r="B29" s="355" t="s">
        <v>5052</v>
      </c>
      <c r="C29" s="355" t="s">
        <v>5063</v>
      </c>
      <c r="D29" s="355" t="s">
        <v>324</v>
      </c>
      <c r="F29" s="419">
        <v>0.875</v>
      </c>
      <c r="H29" s="419">
        <v>0.33333333333333331</v>
      </c>
      <c r="J29" s="355">
        <v>11</v>
      </c>
      <c r="K29" s="355">
        <v>9</v>
      </c>
      <c r="L29" s="355">
        <v>2</v>
      </c>
      <c r="M29" s="355" t="s">
        <v>49</v>
      </c>
    </row>
    <row r="30" spans="1:13">
      <c r="A30" s="355" t="s">
        <v>5069</v>
      </c>
      <c r="B30" s="355" t="s">
        <v>5054</v>
      </c>
      <c r="C30" s="355" t="s">
        <v>275</v>
      </c>
      <c r="D30" s="355" t="s">
        <v>275</v>
      </c>
      <c r="J30" s="355">
        <f t="shared" si="1"/>
        <v>0</v>
      </c>
      <c r="K30" s="355">
        <f t="shared" si="0"/>
        <v>0</v>
      </c>
      <c r="L30" s="355">
        <f t="shared" si="2"/>
        <v>0</v>
      </c>
      <c r="M30" s="355" t="s">
        <v>49</v>
      </c>
    </row>
    <row r="31" spans="1:13">
      <c r="A31" s="355" t="s">
        <v>5070</v>
      </c>
      <c r="B31" s="355" t="s">
        <v>5056</v>
      </c>
      <c r="C31" s="355" t="s">
        <v>281</v>
      </c>
      <c r="D31" s="355" t="s">
        <v>1106</v>
      </c>
      <c r="J31" s="355">
        <v>0</v>
      </c>
      <c r="K31" s="355">
        <f t="shared" si="0"/>
        <v>0</v>
      </c>
      <c r="L31" s="355">
        <f t="shared" si="2"/>
        <v>0</v>
      </c>
      <c r="M31" s="355" t="s">
        <v>49</v>
      </c>
    </row>
    <row r="32" spans="1:13">
      <c r="A32" s="355" t="s">
        <v>5071</v>
      </c>
      <c r="B32" s="355" t="s">
        <v>5040</v>
      </c>
      <c r="C32" s="355" t="s">
        <v>5045</v>
      </c>
      <c r="D32" s="355" t="s">
        <v>5046</v>
      </c>
      <c r="F32" s="419">
        <v>0.52083333333333337</v>
      </c>
      <c r="H32" s="419">
        <v>0.875</v>
      </c>
      <c r="J32" s="355">
        <v>8.5</v>
      </c>
      <c r="K32" s="355">
        <f t="shared" si="0"/>
        <v>0</v>
      </c>
      <c r="L32" s="355">
        <v>0</v>
      </c>
      <c r="M32" s="355" t="s">
        <v>49</v>
      </c>
    </row>
    <row r="33" spans="1:13">
      <c r="A33" s="355" t="s">
        <v>5072</v>
      </c>
      <c r="B33" s="355" t="s">
        <v>5044</v>
      </c>
      <c r="C33" s="355" t="s">
        <v>5063</v>
      </c>
      <c r="D33" s="355" t="s">
        <v>324</v>
      </c>
      <c r="F33" s="419">
        <v>0.875</v>
      </c>
      <c r="H33" s="419">
        <v>0.33333333333333331</v>
      </c>
      <c r="J33" s="355">
        <v>11</v>
      </c>
      <c r="K33" s="355">
        <v>9</v>
      </c>
      <c r="L33" s="355">
        <v>2</v>
      </c>
      <c r="M33" s="355" t="s">
        <v>49</v>
      </c>
    </row>
    <row r="34" spans="1:13">
      <c r="A34" s="355" t="s">
        <v>5073</v>
      </c>
      <c r="B34" s="355" t="s">
        <v>5048</v>
      </c>
      <c r="C34" s="355" t="s">
        <v>5063</v>
      </c>
      <c r="D34" s="355" t="s">
        <v>324</v>
      </c>
      <c r="F34" s="419">
        <v>0.875</v>
      </c>
      <c r="H34" s="419">
        <v>0.33333333333333331</v>
      </c>
      <c r="J34" s="355">
        <v>11</v>
      </c>
      <c r="K34" s="355">
        <v>9</v>
      </c>
      <c r="L34" s="355">
        <v>2</v>
      </c>
      <c r="M34" s="355" t="s">
        <v>49</v>
      </c>
    </row>
    <row r="35" spans="1:13">
      <c r="A35" s="355" t="s">
        <v>5074</v>
      </c>
      <c r="B35" s="355" t="s">
        <v>5050</v>
      </c>
      <c r="C35" s="355" t="s">
        <v>5063</v>
      </c>
      <c r="D35" s="355" t="s">
        <v>324</v>
      </c>
      <c r="F35" s="419">
        <v>0.875</v>
      </c>
      <c r="H35" s="419">
        <v>0.33333333333333331</v>
      </c>
      <c r="J35" s="355">
        <v>11</v>
      </c>
      <c r="K35" s="355">
        <v>9</v>
      </c>
      <c r="L35" s="355">
        <v>2</v>
      </c>
      <c r="M35" s="355" t="s">
        <v>49</v>
      </c>
    </row>
    <row r="36" spans="1:13">
      <c r="A36" s="355" t="s">
        <v>2484</v>
      </c>
      <c r="B36" s="355" t="s">
        <v>5052</v>
      </c>
      <c r="C36" s="355" t="s">
        <v>275</v>
      </c>
      <c r="D36" s="355" t="s">
        <v>275</v>
      </c>
      <c r="J36" s="355">
        <f t="shared" si="1"/>
        <v>0</v>
      </c>
      <c r="K36" s="355">
        <f t="shared" si="0"/>
        <v>0</v>
      </c>
      <c r="L36" s="355">
        <f t="shared" si="2"/>
        <v>0</v>
      </c>
      <c r="M36" s="355" t="s">
        <v>49</v>
      </c>
    </row>
    <row r="37" spans="1:13">
      <c r="A37" s="355" t="s">
        <v>5075</v>
      </c>
      <c r="B37" s="355" t="s">
        <v>5054</v>
      </c>
      <c r="C37" s="355" t="s">
        <v>281</v>
      </c>
      <c r="D37" s="355" t="s">
        <v>1106</v>
      </c>
      <c r="J37" s="355">
        <v>0</v>
      </c>
      <c r="K37" s="355">
        <f t="shared" si="0"/>
        <v>0</v>
      </c>
      <c r="L37" s="355">
        <f t="shared" si="2"/>
        <v>0</v>
      </c>
      <c r="M37" s="355" t="s">
        <v>49</v>
      </c>
    </row>
    <row r="38" spans="1:13">
      <c r="A38" s="355" t="s">
        <v>5076</v>
      </c>
      <c r="B38" s="355" t="s">
        <v>5056</v>
      </c>
      <c r="C38" s="355" t="s">
        <v>275</v>
      </c>
      <c r="D38" s="355" t="s">
        <v>275</v>
      </c>
      <c r="J38" s="355">
        <f t="shared" si="1"/>
        <v>0</v>
      </c>
      <c r="K38" s="355">
        <f t="shared" si="0"/>
        <v>0</v>
      </c>
      <c r="L38" s="355">
        <f t="shared" si="2"/>
        <v>0</v>
      </c>
      <c r="M38" s="355" t="s">
        <v>49</v>
      </c>
    </row>
    <row r="39" spans="1:13">
      <c r="A39" s="355" t="s">
        <v>5077</v>
      </c>
      <c r="B39" s="355" t="s">
        <v>5040</v>
      </c>
      <c r="C39" s="355" t="s">
        <v>5045</v>
      </c>
      <c r="D39" s="355" t="s">
        <v>5046</v>
      </c>
      <c r="F39" s="419">
        <v>0.5</v>
      </c>
      <c r="H39" s="419">
        <v>0.875</v>
      </c>
      <c r="J39" s="355">
        <v>9</v>
      </c>
      <c r="K39" s="355">
        <f t="shared" si="0"/>
        <v>0</v>
      </c>
      <c r="L39" s="355">
        <v>0</v>
      </c>
      <c r="M39" s="355" t="s">
        <v>49</v>
      </c>
    </row>
    <row r="40" spans="1:13">
      <c r="A40" s="355" t="s">
        <v>5078</v>
      </c>
      <c r="B40" s="355" t="s">
        <v>5044</v>
      </c>
      <c r="C40" s="355" t="s">
        <v>5045</v>
      </c>
      <c r="D40" s="355" t="s">
        <v>5046</v>
      </c>
      <c r="F40" s="419">
        <v>0.5</v>
      </c>
      <c r="H40" s="419">
        <v>0.875</v>
      </c>
      <c r="J40" s="355">
        <v>9</v>
      </c>
      <c r="K40" s="355">
        <f t="shared" si="0"/>
        <v>0</v>
      </c>
      <c r="L40" s="355">
        <v>0</v>
      </c>
      <c r="M40" s="355" t="s">
        <v>49</v>
      </c>
    </row>
    <row r="41" spans="1:13">
      <c r="A41" s="355" t="s">
        <v>5079</v>
      </c>
      <c r="B41" s="355" t="s">
        <v>5048</v>
      </c>
      <c r="C41" s="355" t="s">
        <v>5045</v>
      </c>
      <c r="D41" s="355" t="s">
        <v>5046</v>
      </c>
      <c r="F41" s="419">
        <v>0.5</v>
      </c>
      <c r="H41" s="419">
        <v>0.875</v>
      </c>
      <c r="J41" s="355">
        <v>9</v>
      </c>
      <c r="K41" s="355">
        <f t="shared" si="0"/>
        <v>0</v>
      </c>
      <c r="L41" s="355">
        <v>0</v>
      </c>
      <c r="M41" s="355" t="s">
        <v>49</v>
      </c>
    </row>
  </sheetData>
  <mergeCells count="1">
    <mergeCell ref="A1:N1"/>
  </mergeCells>
  <dataValidations count="1">
    <dataValidation type="list" sqref="C11:C41" xr:uid="{176F6019-2DC1-45CA-A723-8392A5ADC4A9}">
      <formula1>"M,T,N,TEX,Libre"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AB40-3665-4E52-B78B-5EFCF72C3865}">
  <dimension ref="A1:Q54"/>
  <sheetViews>
    <sheetView workbookViewId="0">
      <selection activeCell="N5" sqref="N5"/>
    </sheetView>
  </sheetViews>
  <sheetFormatPr baseColWidth="10" defaultColWidth="8.7265625" defaultRowHeight="14.5"/>
  <cols>
    <col min="1" max="1" width="6.453125" style="355" bestFit="1" customWidth="1"/>
    <col min="2" max="2" width="10.7265625" style="355" bestFit="1" customWidth="1"/>
    <col min="3" max="3" width="10.1796875" style="355" bestFit="1" customWidth="1"/>
    <col min="4" max="4" width="7.81640625" style="355" bestFit="1" customWidth="1"/>
    <col min="5" max="5" width="10.81640625" style="355" bestFit="1" customWidth="1"/>
    <col min="6" max="6" width="9.1796875" style="355" bestFit="1" customWidth="1"/>
    <col min="7" max="7" width="15.6328125" style="355" bestFit="1" customWidth="1"/>
    <col min="8" max="8" width="13.453125" style="355" bestFit="1" customWidth="1"/>
    <col min="9" max="9" width="13.36328125" style="355" bestFit="1" customWidth="1"/>
    <col min="10" max="10" width="14.1796875" style="355" bestFit="1" customWidth="1"/>
    <col min="11" max="11" width="11" style="355" bestFit="1" customWidth="1"/>
    <col min="12" max="12" width="10.90625" style="355" bestFit="1" customWidth="1"/>
    <col min="13" max="13" width="15.26953125" style="355" bestFit="1" customWidth="1"/>
    <col min="14" max="15" width="8.7265625" style="355"/>
    <col min="16" max="16" width="11.81640625" style="355" bestFit="1" customWidth="1"/>
    <col min="17" max="16384" width="8.7265625" style="355"/>
  </cols>
  <sheetData>
    <row r="1" spans="1:17" ht="21">
      <c r="A1" s="420" t="s">
        <v>5080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</row>
    <row r="2" spans="1:17">
      <c r="P2" s="355" t="s">
        <v>90</v>
      </c>
    </row>
    <row r="3" spans="1:17">
      <c r="P3" s="355" t="s">
        <v>2215</v>
      </c>
      <c r="Q3" s="355">
        <f>COUNTIF(F5:F200,"Pendiente")</f>
        <v>3</v>
      </c>
    </row>
    <row r="4" spans="1:17">
      <c r="A4" s="418" t="s">
        <v>73</v>
      </c>
      <c r="B4" s="418" t="s">
        <v>66</v>
      </c>
      <c r="C4" s="418" t="s">
        <v>5081</v>
      </c>
      <c r="D4" s="418" t="s">
        <v>2569</v>
      </c>
      <c r="E4" s="418" t="s">
        <v>248</v>
      </c>
      <c r="F4" s="418" t="s">
        <v>655</v>
      </c>
      <c r="G4" s="418" t="s">
        <v>5082</v>
      </c>
      <c r="H4" s="418" t="s">
        <v>5083</v>
      </c>
      <c r="I4" s="418" t="s">
        <v>5084</v>
      </c>
      <c r="J4" s="418" t="s">
        <v>5085</v>
      </c>
      <c r="K4" s="418" t="s">
        <v>2245</v>
      </c>
      <c r="L4" s="418" t="s">
        <v>2699</v>
      </c>
      <c r="M4" s="418" t="s">
        <v>1934</v>
      </c>
      <c r="P4" s="355" t="s">
        <v>2190</v>
      </c>
      <c r="Q4" s="355">
        <f>COUNTIF(F5:F200,"En proceso")</f>
        <v>0</v>
      </c>
    </row>
    <row r="5" spans="1:17">
      <c r="A5" s="355" t="s">
        <v>5086</v>
      </c>
      <c r="B5" s="355" t="s">
        <v>286</v>
      </c>
      <c r="C5" s="355" t="s">
        <v>2184</v>
      </c>
      <c r="E5" s="355" t="s">
        <v>332</v>
      </c>
      <c r="F5" s="355" t="s">
        <v>49</v>
      </c>
      <c r="J5" s="355" t="str">
        <f t="shared" ref="J5:J54" ca="1" si="0">IF(G5="","",TODAY()-G5)</f>
        <v/>
      </c>
      <c r="K5" s="355">
        <v>0</v>
      </c>
      <c r="P5" s="355" t="s">
        <v>5087</v>
      </c>
      <c r="Q5" s="355">
        <f>COUNTIF(F5:F200,"Completado")</f>
        <v>0</v>
      </c>
    </row>
    <row r="6" spans="1:17">
      <c r="A6" s="355" t="s">
        <v>5088</v>
      </c>
      <c r="B6" s="355" t="s">
        <v>322</v>
      </c>
      <c r="C6" s="355" t="s">
        <v>1914</v>
      </c>
      <c r="E6" s="355" t="s">
        <v>1907</v>
      </c>
      <c r="F6" s="355" t="s">
        <v>49</v>
      </c>
      <c r="J6" s="355" t="str">
        <f t="shared" ca="1" si="0"/>
        <v/>
      </c>
      <c r="K6" s="355">
        <v>0</v>
      </c>
      <c r="P6" s="355" t="s">
        <v>5089</v>
      </c>
      <c r="Q6" s="355">
        <f>COUNTIF(E5:E200,"Crítica")</f>
        <v>1</v>
      </c>
    </row>
    <row r="7" spans="1:17">
      <c r="A7" s="355" t="s">
        <v>5090</v>
      </c>
      <c r="B7" s="355" t="s">
        <v>256</v>
      </c>
      <c r="C7" s="355" t="s">
        <v>5091</v>
      </c>
      <c r="E7" s="355" t="s">
        <v>1289</v>
      </c>
      <c r="F7" s="355" t="s">
        <v>49</v>
      </c>
      <c r="J7" s="355" t="str">
        <f t="shared" ca="1" si="0"/>
        <v/>
      </c>
      <c r="K7" s="355">
        <v>0</v>
      </c>
    </row>
    <row r="8" spans="1:17">
      <c r="J8" s="355" t="str">
        <f t="shared" ca="1" si="0"/>
        <v/>
      </c>
      <c r="K8" s="355">
        <v>0</v>
      </c>
    </row>
    <row r="9" spans="1:17">
      <c r="J9" s="355" t="str">
        <f t="shared" ca="1" si="0"/>
        <v/>
      </c>
      <c r="K9" s="355">
        <v>0</v>
      </c>
    </row>
    <row r="10" spans="1:17">
      <c r="J10" s="355" t="str">
        <f t="shared" ca="1" si="0"/>
        <v/>
      </c>
      <c r="K10" s="355">
        <v>0</v>
      </c>
    </row>
    <row r="11" spans="1:17">
      <c r="J11" s="355" t="str">
        <f t="shared" ca="1" si="0"/>
        <v/>
      </c>
      <c r="K11" s="355">
        <v>0</v>
      </c>
    </row>
    <row r="12" spans="1:17">
      <c r="J12" s="355" t="str">
        <f t="shared" ca="1" si="0"/>
        <v/>
      </c>
      <c r="K12" s="355">
        <v>0</v>
      </c>
    </row>
    <row r="13" spans="1:17">
      <c r="J13" s="355" t="str">
        <f t="shared" ca="1" si="0"/>
        <v/>
      </c>
      <c r="K13" s="355">
        <v>0</v>
      </c>
    </row>
    <row r="14" spans="1:17">
      <c r="J14" s="355" t="str">
        <f t="shared" ca="1" si="0"/>
        <v/>
      </c>
      <c r="K14" s="355">
        <v>0</v>
      </c>
    </row>
    <row r="15" spans="1:17">
      <c r="J15" s="355" t="str">
        <f t="shared" ca="1" si="0"/>
        <v/>
      </c>
      <c r="K15" s="355">
        <v>0</v>
      </c>
    </row>
    <row r="16" spans="1:17">
      <c r="J16" s="355" t="str">
        <f t="shared" ca="1" si="0"/>
        <v/>
      </c>
      <c r="K16" s="355">
        <v>0</v>
      </c>
    </row>
    <row r="17" spans="10:11">
      <c r="J17" s="355" t="str">
        <f t="shared" ca="1" si="0"/>
        <v/>
      </c>
      <c r="K17" s="355">
        <v>0</v>
      </c>
    </row>
    <row r="18" spans="10:11">
      <c r="J18" s="355" t="str">
        <f t="shared" ca="1" si="0"/>
        <v/>
      </c>
      <c r="K18" s="355">
        <v>0</v>
      </c>
    </row>
    <row r="19" spans="10:11">
      <c r="J19" s="355" t="str">
        <f t="shared" ca="1" si="0"/>
        <v/>
      </c>
      <c r="K19" s="355">
        <v>0</v>
      </c>
    </row>
    <row r="20" spans="10:11">
      <c r="J20" s="355" t="str">
        <f t="shared" ca="1" si="0"/>
        <v/>
      </c>
      <c r="K20" s="355">
        <v>0</v>
      </c>
    </row>
    <row r="21" spans="10:11">
      <c r="J21" s="355" t="str">
        <f t="shared" ca="1" si="0"/>
        <v/>
      </c>
      <c r="K21" s="355">
        <v>0</v>
      </c>
    </row>
    <row r="22" spans="10:11">
      <c r="J22" s="355" t="str">
        <f t="shared" ca="1" si="0"/>
        <v/>
      </c>
      <c r="K22" s="355">
        <v>0</v>
      </c>
    </row>
    <row r="23" spans="10:11">
      <c r="J23" s="355" t="str">
        <f t="shared" ca="1" si="0"/>
        <v/>
      </c>
      <c r="K23" s="355">
        <v>0</v>
      </c>
    </row>
    <row r="24" spans="10:11">
      <c r="J24" s="355" t="str">
        <f t="shared" ca="1" si="0"/>
        <v/>
      </c>
      <c r="K24" s="355">
        <v>0</v>
      </c>
    </row>
    <row r="25" spans="10:11">
      <c r="J25" s="355" t="str">
        <f t="shared" ca="1" si="0"/>
        <v/>
      </c>
      <c r="K25" s="355">
        <v>0</v>
      </c>
    </row>
    <row r="26" spans="10:11">
      <c r="J26" s="355" t="str">
        <f t="shared" ca="1" si="0"/>
        <v/>
      </c>
      <c r="K26" s="355">
        <v>0</v>
      </c>
    </row>
    <row r="27" spans="10:11">
      <c r="J27" s="355" t="str">
        <f t="shared" ca="1" si="0"/>
        <v/>
      </c>
      <c r="K27" s="355">
        <v>0</v>
      </c>
    </row>
    <row r="28" spans="10:11">
      <c r="J28" s="355" t="str">
        <f t="shared" ca="1" si="0"/>
        <v/>
      </c>
      <c r="K28" s="355">
        <v>0</v>
      </c>
    </row>
    <row r="29" spans="10:11">
      <c r="J29" s="355" t="str">
        <f t="shared" ca="1" si="0"/>
        <v/>
      </c>
      <c r="K29" s="355">
        <v>0</v>
      </c>
    </row>
    <row r="30" spans="10:11">
      <c r="J30" s="355" t="str">
        <f t="shared" ca="1" si="0"/>
        <v/>
      </c>
      <c r="K30" s="355">
        <v>0</v>
      </c>
    </row>
    <row r="31" spans="10:11">
      <c r="J31" s="355" t="str">
        <f t="shared" ca="1" si="0"/>
        <v/>
      </c>
      <c r="K31" s="355">
        <v>0</v>
      </c>
    </row>
    <row r="32" spans="10:11">
      <c r="J32" s="355" t="str">
        <f t="shared" ca="1" si="0"/>
        <v/>
      </c>
      <c r="K32" s="355">
        <v>0</v>
      </c>
    </row>
    <row r="33" spans="10:11">
      <c r="J33" s="355" t="str">
        <f t="shared" ca="1" si="0"/>
        <v/>
      </c>
      <c r="K33" s="355">
        <v>0</v>
      </c>
    </row>
    <row r="34" spans="10:11">
      <c r="J34" s="355" t="str">
        <f t="shared" ca="1" si="0"/>
        <v/>
      </c>
      <c r="K34" s="355">
        <v>0</v>
      </c>
    </row>
    <row r="35" spans="10:11">
      <c r="J35" s="355" t="str">
        <f t="shared" ca="1" si="0"/>
        <v/>
      </c>
      <c r="K35" s="355">
        <v>0</v>
      </c>
    </row>
    <row r="36" spans="10:11">
      <c r="J36" s="355" t="str">
        <f t="shared" ca="1" si="0"/>
        <v/>
      </c>
      <c r="K36" s="355">
        <v>0</v>
      </c>
    </row>
    <row r="37" spans="10:11">
      <c r="J37" s="355" t="str">
        <f t="shared" ca="1" si="0"/>
        <v/>
      </c>
      <c r="K37" s="355">
        <v>0</v>
      </c>
    </row>
    <row r="38" spans="10:11">
      <c r="J38" s="355" t="str">
        <f t="shared" ca="1" si="0"/>
        <v/>
      </c>
      <c r="K38" s="355">
        <v>0</v>
      </c>
    </row>
    <row r="39" spans="10:11">
      <c r="J39" s="355" t="str">
        <f t="shared" ca="1" si="0"/>
        <v/>
      </c>
      <c r="K39" s="355">
        <v>0</v>
      </c>
    </row>
    <row r="40" spans="10:11">
      <c r="J40" s="355" t="str">
        <f t="shared" ca="1" si="0"/>
        <v/>
      </c>
      <c r="K40" s="355">
        <v>0</v>
      </c>
    </row>
    <row r="41" spans="10:11">
      <c r="J41" s="355" t="str">
        <f t="shared" ca="1" si="0"/>
        <v/>
      </c>
      <c r="K41" s="355">
        <v>0</v>
      </c>
    </row>
    <row r="42" spans="10:11">
      <c r="J42" s="355" t="str">
        <f t="shared" ca="1" si="0"/>
        <v/>
      </c>
      <c r="K42" s="355">
        <v>0</v>
      </c>
    </row>
    <row r="43" spans="10:11">
      <c r="J43" s="355" t="str">
        <f t="shared" ca="1" si="0"/>
        <v/>
      </c>
      <c r="K43" s="355">
        <v>0</v>
      </c>
    </row>
    <row r="44" spans="10:11">
      <c r="J44" s="355" t="str">
        <f t="shared" ca="1" si="0"/>
        <v/>
      </c>
      <c r="K44" s="355">
        <v>0</v>
      </c>
    </row>
    <row r="45" spans="10:11">
      <c r="J45" s="355" t="str">
        <f t="shared" ca="1" si="0"/>
        <v/>
      </c>
      <c r="K45" s="355">
        <v>0</v>
      </c>
    </row>
    <row r="46" spans="10:11">
      <c r="J46" s="355" t="str">
        <f t="shared" ca="1" si="0"/>
        <v/>
      </c>
      <c r="K46" s="355">
        <v>0</v>
      </c>
    </row>
    <row r="47" spans="10:11">
      <c r="J47" s="355" t="str">
        <f t="shared" ca="1" si="0"/>
        <v/>
      </c>
      <c r="K47" s="355">
        <v>0</v>
      </c>
    </row>
    <row r="48" spans="10:11">
      <c r="J48" s="355" t="str">
        <f t="shared" ca="1" si="0"/>
        <v/>
      </c>
      <c r="K48" s="355">
        <v>0</v>
      </c>
    </row>
    <row r="49" spans="10:11">
      <c r="J49" s="355" t="str">
        <f t="shared" ca="1" si="0"/>
        <v/>
      </c>
      <c r="K49" s="355">
        <v>0</v>
      </c>
    </row>
    <row r="50" spans="10:11">
      <c r="J50" s="355" t="str">
        <f t="shared" ca="1" si="0"/>
        <v/>
      </c>
      <c r="K50" s="355">
        <v>0</v>
      </c>
    </row>
    <row r="51" spans="10:11">
      <c r="J51" s="355" t="str">
        <f t="shared" ca="1" si="0"/>
        <v/>
      </c>
      <c r="K51" s="355">
        <v>0</v>
      </c>
    </row>
    <row r="52" spans="10:11">
      <c r="J52" s="355" t="str">
        <f t="shared" ca="1" si="0"/>
        <v/>
      </c>
      <c r="K52" s="355">
        <v>0</v>
      </c>
    </row>
    <row r="53" spans="10:11">
      <c r="J53" s="355" t="str">
        <f t="shared" ca="1" si="0"/>
        <v/>
      </c>
      <c r="K53" s="355">
        <v>0</v>
      </c>
    </row>
    <row r="54" spans="10:11">
      <c r="J54" s="355" t="str">
        <f t="shared" ca="1" si="0"/>
        <v/>
      </c>
      <c r="K54" s="355">
        <v>0</v>
      </c>
    </row>
  </sheetData>
  <mergeCells count="1">
    <mergeCell ref="A1:M1"/>
  </mergeCells>
  <dataValidations count="3">
    <dataValidation type="list" sqref="F5:F200" xr:uid="{DD37AF35-B201-448C-B229-EBB7FF6522E0}">
      <formula1>"Pendiente,En proceso,Bloqueado,Completado,Cancelado"</formula1>
    </dataValidation>
    <dataValidation type="list" sqref="E5:E200" xr:uid="{C46F119F-EA74-4E84-8389-A43565348EC9}">
      <formula1>"Crítica,Alta,Media,Baja"</formula1>
    </dataValidation>
    <dataValidation type="list" sqref="B5:B200" xr:uid="{1ADD1ECD-B986-464E-833A-835433913780}">
      <formula1>"Universidad,Salud,Finanzas,SERPAT,MGC,Latitud Norte,CaptaPropIA,Personal"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8F8E-58D9-4713-A6D2-7B438CCA071E}">
  <dimension ref="A1:J120"/>
  <sheetViews>
    <sheetView workbookViewId="0">
      <selection activeCell="B17" sqref="B17"/>
    </sheetView>
  </sheetViews>
  <sheetFormatPr baseColWidth="10" defaultColWidth="8.7265625" defaultRowHeight="14.5"/>
  <cols>
    <col min="1" max="1" width="27.1796875" style="355" bestFit="1" customWidth="1"/>
    <col min="2" max="2" width="100.1796875" style="355" bestFit="1" customWidth="1"/>
    <col min="3" max="4" width="11.54296875" style="355" bestFit="1" customWidth="1"/>
    <col min="5" max="5" width="14.54296875" style="355" bestFit="1" customWidth="1"/>
    <col min="6" max="9" width="11.54296875" style="355" bestFit="1" customWidth="1"/>
    <col min="10" max="10" width="17.7265625" style="355" bestFit="1" customWidth="1"/>
    <col min="11" max="16384" width="8.7265625" style="355"/>
  </cols>
  <sheetData>
    <row r="1" spans="1:10" ht="21" customHeight="1">
      <c r="A1" s="420" t="s">
        <v>5110</v>
      </c>
      <c r="B1" s="421"/>
      <c r="C1" s="421"/>
      <c r="D1" s="421"/>
      <c r="E1" s="421"/>
      <c r="F1" s="421"/>
      <c r="G1" s="421"/>
      <c r="H1" s="421"/>
      <c r="I1" s="421"/>
      <c r="J1" s="421"/>
    </row>
    <row r="2" spans="1:10">
      <c r="A2" s="383"/>
      <c r="B2" s="383"/>
      <c r="C2" s="383"/>
      <c r="D2" s="383"/>
      <c r="E2" s="383"/>
      <c r="F2" s="383"/>
      <c r="G2" s="383"/>
      <c r="H2" s="383"/>
      <c r="I2" s="383"/>
      <c r="J2" s="383"/>
    </row>
    <row r="3" spans="1:10">
      <c r="A3" s="418" t="s">
        <v>5092</v>
      </c>
      <c r="B3" s="383"/>
      <c r="C3" s="383"/>
      <c r="D3" s="383"/>
      <c r="E3" s="383"/>
      <c r="F3" s="383"/>
      <c r="G3" s="383"/>
      <c r="H3" s="383"/>
      <c r="I3" s="383"/>
      <c r="J3" s="383"/>
    </row>
    <row r="4" spans="1:10">
      <c r="A4" s="383" t="s">
        <v>5093</v>
      </c>
      <c r="B4" s="383" t="s">
        <v>5111</v>
      </c>
      <c r="C4" s="383"/>
      <c r="D4" s="383"/>
      <c r="E4" s="383"/>
      <c r="F4" s="383"/>
      <c r="G4" s="383"/>
      <c r="H4" s="383"/>
      <c r="I4" s="383"/>
      <c r="J4" s="383"/>
    </row>
    <row r="5" spans="1:10">
      <c r="A5" s="383" t="s">
        <v>5094</v>
      </c>
      <c r="B5" s="383" t="s">
        <v>5112</v>
      </c>
      <c r="C5" s="383"/>
      <c r="D5" s="383"/>
      <c r="E5" s="383"/>
      <c r="F5" s="383"/>
      <c r="G5" s="383"/>
      <c r="H5" s="383"/>
      <c r="I5" s="383"/>
      <c r="J5" s="383"/>
    </row>
    <row r="6" spans="1:10">
      <c r="A6" s="383" t="s">
        <v>5098</v>
      </c>
      <c r="B6" s="383" t="s">
        <v>5113</v>
      </c>
      <c r="C6" s="383"/>
      <c r="D6" s="383"/>
      <c r="E6" s="383"/>
      <c r="F6" s="383"/>
      <c r="G6" s="383"/>
      <c r="H6" s="383"/>
      <c r="I6" s="383"/>
      <c r="J6" s="383"/>
    </row>
    <row r="7" spans="1:10">
      <c r="A7" s="383" t="s">
        <v>5095</v>
      </c>
      <c r="B7" s="383" t="s">
        <v>5114</v>
      </c>
      <c r="C7" s="383"/>
      <c r="D7" s="383"/>
      <c r="E7" s="383"/>
      <c r="F7" s="383"/>
      <c r="G7" s="383"/>
      <c r="H7" s="383"/>
      <c r="I7" s="383"/>
      <c r="J7" s="383"/>
    </row>
    <row r="8" spans="1:10">
      <c r="A8" s="383" t="s">
        <v>5097</v>
      </c>
      <c r="B8" s="383" t="s">
        <v>5115</v>
      </c>
      <c r="C8" s="383"/>
      <c r="D8" s="383"/>
      <c r="E8" s="383"/>
      <c r="F8" s="383"/>
      <c r="G8" s="383"/>
      <c r="H8" s="383"/>
      <c r="I8" s="383"/>
      <c r="J8" s="383"/>
    </row>
    <row r="9" spans="1:10">
      <c r="A9" s="383" t="s">
        <v>5099</v>
      </c>
      <c r="B9" s="383" t="s">
        <v>5116</v>
      </c>
      <c r="C9" s="383"/>
      <c r="D9" s="383"/>
      <c r="E9" s="383"/>
      <c r="F9" s="383"/>
      <c r="G9" s="383"/>
      <c r="H9" s="383"/>
      <c r="I9" s="383"/>
      <c r="J9" s="383"/>
    </row>
    <row r="10" spans="1:10">
      <c r="A10" s="383"/>
      <c r="B10" s="383"/>
      <c r="C10" s="383"/>
      <c r="D10" s="383"/>
      <c r="E10" s="383"/>
      <c r="F10" s="383"/>
      <c r="G10" s="383"/>
      <c r="H10" s="383"/>
      <c r="I10" s="383"/>
      <c r="J10" s="383"/>
    </row>
    <row r="11" spans="1:10">
      <c r="A11" s="418" t="s">
        <v>5117</v>
      </c>
      <c r="B11" s="383"/>
      <c r="C11" s="383"/>
      <c r="D11" s="383"/>
      <c r="E11" s="383"/>
      <c r="F11" s="383"/>
      <c r="G11" s="383"/>
      <c r="H11" s="383"/>
      <c r="I11" s="383"/>
      <c r="J11" s="383"/>
    </row>
    <row r="12" spans="1:10">
      <c r="A12" s="383" t="s">
        <v>5118</v>
      </c>
      <c r="B12" s="383" t="s">
        <v>5119</v>
      </c>
      <c r="C12" s="383" t="s">
        <v>842</v>
      </c>
      <c r="D12" s="383" t="s">
        <v>843</v>
      </c>
      <c r="E12" s="383" t="s">
        <v>844</v>
      </c>
      <c r="F12" s="383" t="s">
        <v>5120</v>
      </c>
      <c r="G12" s="383" t="s">
        <v>5121</v>
      </c>
      <c r="H12" s="383" t="s">
        <v>5122</v>
      </c>
      <c r="I12" s="383" t="s">
        <v>5123</v>
      </c>
      <c r="J12" s="383" t="s">
        <v>5124</v>
      </c>
    </row>
    <row r="13" spans="1:10">
      <c r="A13" s="383" t="s">
        <v>5125</v>
      </c>
      <c r="B13" s="383" t="s">
        <v>5126</v>
      </c>
      <c r="C13" s="383"/>
      <c r="D13" s="383"/>
      <c r="E13" s="383"/>
      <c r="F13" s="383"/>
      <c r="G13" s="383"/>
      <c r="H13" s="383"/>
      <c r="I13" s="383"/>
      <c r="J13" s="383"/>
    </row>
    <row r="14" spans="1:10">
      <c r="A14" s="383" t="s">
        <v>655</v>
      </c>
      <c r="B14" s="383" t="s">
        <v>5127</v>
      </c>
      <c r="C14" s="383"/>
      <c r="D14" s="383"/>
      <c r="E14" s="383"/>
      <c r="F14" s="383"/>
      <c r="G14" s="383"/>
      <c r="H14" s="383"/>
      <c r="I14" s="383"/>
      <c r="J14" s="383"/>
    </row>
    <row r="15" spans="1:10">
      <c r="A15" s="383" t="s">
        <v>5128</v>
      </c>
      <c r="B15" s="383" t="s">
        <v>5129</v>
      </c>
      <c r="C15" s="383"/>
      <c r="D15" s="383"/>
      <c r="E15" s="383"/>
      <c r="F15" s="383"/>
      <c r="G15" s="383"/>
      <c r="H15" s="383"/>
      <c r="I15" s="383"/>
      <c r="J15" s="383"/>
    </row>
    <row r="16" spans="1:10">
      <c r="A16" s="383"/>
      <c r="B16" s="383"/>
      <c r="C16" s="383"/>
      <c r="D16" s="383"/>
      <c r="E16" s="383"/>
      <c r="F16" s="383"/>
      <c r="G16" s="383"/>
      <c r="H16" s="383"/>
      <c r="I16" s="383"/>
      <c r="J16" s="383"/>
    </row>
    <row r="17" spans="1:10">
      <c r="A17" s="418" t="s">
        <v>5100</v>
      </c>
      <c r="B17" s="383"/>
      <c r="C17" s="383"/>
      <c r="D17" s="383"/>
      <c r="E17" s="383"/>
      <c r="F17" s="383"/>
      <c r="G17" s="383"/>
      <c r="H17" s="383"/>
      <c r="I17" s="383"/>
      <c r="J17" s="383"/>
    </row>
    <row r="18" spans="1:10">
      <c r="A18" s="383" t="s">
        <v>1844</v>
      </c>
      <c r="B18" s="383" t="s">
        <v>5130</v>
      </c>
      <c r="C18" s="383"/>
      <c r="D18" s="383"/>
      <c r="E18" s="383"/>
      <c r="F18" s="383"/>
      <c r="G18" s="383"/>
      <c r="H18" s="383"/>
      <c r="I18" s="383"/>
      <c r="J18" s="383"/>
    </row>
    <row r="19" spans="1:10">
      <c r="A19" s="383" t="s">
        <v>5102</v>
      </c>
      <c r="B19" s="383" t="s">
        <v>1313</v>
      </c>
      <c r="C19" s="383"/>
      <c r="D19" s="383"/>
      <c r="E19" s="383"/>
      <c r="F19" s="383"/>
      <c r="G19" s="383"/>
      <c r="H19" s="383"/>
      <c r="I19" s="383"/>
      <c r="J19" s="383"/>
    </row>
    <row r="20" spans="1:10">
      <c r="A20" s="383" t="s">
        <v>5101</v>
      </c>
      <c r="B20" s="383" t="s">
        <v>1313</v>
      </c>
      <c r="C20" s="383"/>
      <c r="D20" s="383"/>
      <c r="E20" s="383"/>
      <c r="F20" s="383"/>
      <c r="G20" s="383"/>
      <c r="H20" s="383"/>
      <c r="I20" s="383"/>
      <c r="J20" s="383"/>
    </row>
    <row r="21" spans="1:10">
      <c r="A21" s="383" t="s">
        <v>2191</v>
      </c>
      <c r="B21" s="383" t="s">
        <v>5131</v>
      </c>
      <c r="C21" s="383"/>
      <c r="D21" s="383"/>
      <c r="E21" s="383"/>
      <c r="F21" s="383"/>
      <c r="G21" s="383"/>
      <c r="H21" s="383"/>
      <c r="I21" s="383"/>
      <c r="J21" s="383"/>
    </row>
    <row r="22" spans="1:10">
      <c r="A22" s="383" t="s">
        <v>5103</v>
      </c>
      <c r="B22" s="383" t="s">
        <v>5130</v>
      </c>
      <c r="C22" s="383"/>
      <c r="D22" s="383"/>
      <c r="E22" s="383"/>
      <c r="F22" s="383"/>
      <c r="G22" s="383"/>
      <c r="H22" s="383"/>
      <c r="I22" s="383"/>
      <c r="J22" s="383"/>
    </row>
    <row r="23" spans="1:10">
      <c r="A23" s="383" t="s">
        <v>989</v>
      </c>
      <c r="B23" s="383" t="s">
        <v>1313</v>
      </c>
      <c r="C23" s="383"/>
      <c r="D23" s="383"/>
      <c r="E23" s="383"/>
      <c r="F23" s="383"/>
      <c r="G23" s="383"/>
      <c r="H23" s="383"/>
      <c r="I23" s="383"/>
      <c r="J23" s="383"/>
    </row>
    <row r="24" spans="1:10">
      <c r="A24" s="383"/>
      <c r="B24" s="383"/>
      <c r="C24" s="383"/>
      <c r="D24" s="383"/>
      <c r="E24" s="383"/>
      <c r="F24" s="383"/>
      <c r="G24" s="383"/>
      <c r="H24" s="383"/>
      <c r="I24" s="383"/>
      <c r="J24" s="383"/>
    </row>
    <row r="25" spans="1:10">
      <c r="A25" s="418" t="s">
        <v>5132</v>
      </c>
      <c r="B25" s="383"/>
      <c r="C25" s="383"/>
      <c r="D25" s="383"/>
      <c r="E25" s="383"/>
      <c r="F25" s="383"/>
      <c r="G25" s="383"/>
      <c r="H25" s="383"/>
      <c r="I25" s="383"/>
      <c r="J25" s="383"/>
    </row>
    <row r="26" spans="1:10">
      <c r="A26" s="383" t="s">
        <v>5104</v>
      </c>
      <c r="B26" s="383" t="s">
        <v>5133</v>
      </c>
      <c r="C26" s="383"/>
      <c r="D26" s="383"/>
      <c r="E26" s="383"/>
      <c r="F26" s="383"/>
      <c r="G26" s="383"/>
      <c r="H26" s="383"/>
      <c r="I26" s="383"/>
      <c r="J26" s="383"/>
    </row>
    <row r="27" spans="1:10">
      <c r="A27" s="383" t="s">
        <v>5105</v>
      </c>
      <c r="B27" s="383" t="s">
        <v>5096</v>
      </c>
      <c r="C27" s="383"/>
      <c r="D27" s="383"/>
      <c r="E27" s="383"/>
      <c r="F27" s="383"/>
      <c r="G27" s="383"/>
      <c r="H27" s="383"/>
      <c r="I27" s="383"/>
      <c r="J27" s="383"/>
    </row>
    <row r="28" spans="1:10">
      <c r="A28" s="383" t="s">
        <v>5106</v>
      </c>
      <c r="B28" s="383" t="s">
        <v>5134</v>
      </c>
      <c r="C28" s="383"/>
      <c r="D28" s="383"/>
      <c r="E28" s="383"/>
      <c r="F28" s="383"/>
      <c r="G28" s="383"/>
      <c r="H28" s="383"/>
      <c r="I28" s="383"/>
      <c r="J28" s="383"/>
    </row>
    <row r="29" spans="1:10">
      <c r="A29" s="383" t="s">
        <v>2773</v>
      </c>
      <c r="B29" s="383" t="s">
        <v>5135</v>
      </c>
      <c r="C29" s="383"/>
      <c r="D29" s="383"/>
      <c r="E29" s="383"/>
      <c r="F29" s="383"/>
      <c r="G29" s="383"/>
      <c r="H29" s="383"/>
      <c r="I29" s="383"/>
      <c r="J29" s="383"/>
    </row>
    <row r="30" spans="1:10">
      <c r="A30" s="383" t="s">
        <v>5107</v>
      </c>
      <c r="B30" s="383" t="s">
        <v>5136</v>
      </c>
      <c r="C30" s="383"/>
      <c r="D30" s="383"/>
      <c r="E30" s="383"/>
      <c r="F30" s="383"/>
      <c r="G30" s="383"/>
      <c r="H30" s="383"/>
      <c r="I30" s="383"/>
      <c r="J30" s="383"/>
    </row>
    <row r="31" spans="1:10">
      <c r="A31" s="383" t="s">
        <v>5108</v>
      </c>
      <c r="B31" s="383" t="s">
        <v>5137</v>
      </c>
      <c r="C31" s="383"/>
      <c r="D31" s="383"/>
      <c r="E31" s="383"/>
      <c r="F31" s="383"/>
      <c r="G31" s="383"/>
      <c r="H31" s="383"/>
      <c r="I31" s="383"/>
      <c r="J31" s="383"/>
    </row>
    <row r="32" spans="1:10">
      <c r="A32" s="383" t="s">
        <v>63</v>
      </c>
      <c r="B32" s="383" t="s">
        <v>5138</v>
      </c>
      <c r="C32" s="383"/>
      <c r="D32" s="383"/>
      <c r="E32" s="383"/>
      <c r="F32" s="383"/>
      <c r="G32" s="383"/>
      <c r="H32" s="383"/>
      <c r="I32" s="383"/>
      <c r="J32" s="383"/>
    </row>
    <row r="33" spans="1:10">
      <c r="A33" s="383" t="s">
        <v>5109</v>
      </c>
      <c r="B33" s="383" t="s">
        <v>5139</v>
      </c>
      <c r="C33" s="383"/>
      <c r="D33" s="383"/>
      <c r="E33" s="383"/>
      <c r="F33" s="383"/>
      <c r="G33" s="383"/>
      <c r="H33" s="383"/>
      <c r="I33" s="383"/>
      <c r="J33" s="383"/>
    </row>
    <row r="34" spans="1:10">
      <c r="A34" s="383"/>
      <c r="B34" s="383"/>
      <c r="C34" s="383"/>
      <c r="D34" s="383"/>
      <c r="E34" s="383"/>
      <c r="F34" s="383"/>
      <c r="G34" s="383"/>
      <c r="H34" s="383"/>
      <c r="I34" s="383"/>
      <c r="J34" s="383"/>
    </row>
    <row r="35" spans="1:10">
      <c r="A35" s="383"/>
      <c r="B35" s="383"/>
      <c r="C35" s="383"/>
      <c r="D35" s="383"/>
      <c r="E35" s="383"/>
      <c r="F35" s="383"/>
      <c r="G35" s="383"/>
      <c r="H35" s="383"/>
      <c r="I35" s="383"/>
      <c r="J35" s="383"/>
    </row>
    <row r="36" spans="1:10">
      <c r="A36" s="383"/>
      <c r="B36" s="383"/>
      <c r="C36" s="383"/>
      <c r="D36" s="383"/>
      <c r="E36" s="383"/>
      <c r="F36" s="383"/>
      <c r="G36" s="383"/>
      <c r="H36" s="383"/>
      <c r="I36" s="383"/>
      <c r="J36" s="383"/>
    </row>
    <row r="37" spans="1:10">
      <c r="A37" s="383"/>
      <c r="B37" s="383"/>
      <c r="C37" s="383"/>
      <c r="D37" s="383"/>
      <c r="E37" s="383"/>
      <c r="F37" s="383"/>
      <c r="G37" s="383"/>
      <c r="H37" s="383"/>
      <c r="I37" s="383"/>
      <c r="J37" s="383"/>
    </row>
    <row r="38" spans="1:10">
      <c r="A38" s="383"/>
      <c r="B38" s="383"/>
      <c r="C38" s="383"/>
      <c r="D38" s="383"/>
      <c r="E38" s="383"/>
      <c r="F38" s="383"/>
      <c r="G38" s="383"/>
      <c r="H38" s="383"/>
      <c r="I38" s="383"/>
      <c r="J38" s="383"/>
    </row>
    <row r="39" spans="1:10">
      <c r="A39" s="383"/>
      <c r="B39" s="383"/>
      <c r="C39" s="383"/>
      <c r="D39" s="383"/>
      <c r="E39" s="383"/>
      <c r="F39" s="383"/>
      <c r="G39" s="383"/>
      <c r="H39" s="383"/>
      <c r="I39" s="383"/>
      <c r="J39" s="383"/>
    </row>
    <row r="40" spans="1:10">
      <c r="A40" s="383"/>
      <c r="B40" s="383"/>
      <c r="C40" s="383"/>
      <c r="D40" s="383"/>
      <c r="E40" s="383"/>
      <c r="F40" s="383"/>
      <c r="G40" s="383"/>
      <c r="H40" s="383"/>
      <c r="I40" s="383"/>
      <c r="J40" s="383"/>
    </row>
    <row r="41" spans="1:10">
      <c r="A41" s="383"/>
      <c r="B41" s="383"/>
      <c r="C41" s="383"/>
      <c r="D41" s="383"/>
      <c r="E41" s="383"/>
      <c r="F41" s="383"/>
      <c r="G41" s="383"/>
      <c r="H41" s="383"/>
      <c r="I41" s="383"/>
      <c r="J41" s="383"/>
    </row>
    <row r="42" spans="1:10">
      <c r="A42" s="383"/>
      <c r="B42" s="383"/>
      <c r="C42" s="383"/>
      <c r="D42" s="383"/>
      <c r="E42" s="383"/>
      <c r="F42" s="383"/>
      <c r="G42" s="383"/>
      <c r="H42" s="383"/>
      <c r="I42" s="383"/>
      <c r="J42" s="383"/>
    </row>
    <row r="43" spans="1:10">
      <c r="A43" s="383"/>
      <c r="B43" s="383"/>
      <c r="C43" s="383"/>
      <c r="D43" s="383"/>
      <c r="E43" s="383"/>
      <c r="F43" s="383"/>
      <c r="G43" s="383"/>
      <c r="H43" s="383"/>
      <c r="I43" s="383"/>
      <c r="J43" s="383"/>
    </row>
    <row r="44" spans="1:10">
      <c r="A44" s="383"/>
      <c r="B44" s="383"/>
      <c r="C44" s="383"/>
      <c r="D44" s="383"/>
      <c r="E44" s="383"/>
      <c r="F44" s="383"/>
      <c r="G44" s="383"/>
      <c r="H44" s="383"/>
      <c r="I44" s="383"/>
      <c r="J44" s="383"/>
    </row>
    <row r="45" spans="1:10">
      <c r="A45" s="383"/>
      <c r="B45" s="383"/>
      <c r="C45" s="383"/>
      <c r="D45" s="383"/>
      <c r="E45" s="383"/>
      <c r="F45" s="383"/>
      <c r="G45" s="383"/>
      <c r="H45" s="383"/>
      <c r="I45" s="383"/>
      <c r="J45" s="383"/>
    </row>
    <row r="46" spans="1:10">
      <c r="A46" s="383"/>
      <c r="B46" s="383"/>
      <c r="C46" s="383"/>
      <c r="D46" s="383"/>
      <c r="E46" s="383"/>
      <c r="F46" s="383"/>
      <c r="G46" s="383"/>
      <c r="H46" s="383"/>
      <c r="I46" s="383"/>
      <c r="J46" s="383"/>
    </row>
    <row r="47" spans="1:10">
      <c r="A47" s="383"/>
      <c r="B47" s="383"/>
      <c r="C47" s="383"/>
      <c r="D47" s="383"/>
      <c r="E47" s="383"/>
      <c r="F47" s="383"/>
      <c r="G47" s="383"/>
      <c r="H47" s="383"/>
      <c r="I47" s="383"/>
      <c r="J47" s="383"/>
    </row>
    <row r="48" spans="1:10">
      <c r="A48" s="383"/>
      <c r="B48" s="383"/>
      <c r="C48" s="383"/>
      <c r="D48" s="383"/>
      <c r="E48" s="383"/>
      <c r="F48" s="383"/>
      <c r="G48" s="383"/>
      <c r="H48" s="383"/>
      <c r="I48" s="383"/>
      <c r="J48" s="383"/>
    </row>
    <row r="49" spans="1:10">
      <c r="A49" s="383"/>
      <c r="B49" s="383"/>
      <c r="C49" s="383"/>
      <c r="D49" s="383"/>
      <c r="E49" s="383"/>
      <c r="F49" s="383"/>
      <c r="G49" s="383"/>
      <c r="H49" s="383"/>
      <c r="I49" s="383"/>
      <c r="J49" s="383"/>
    </row>
    <row r="50" spans="1:10">
      <c r="A50" s="383"/>
      <c r="B50" s="383"/>
      <c r="C50" s="383"/>
      <c r="D50" s="383"/>
      <c r="E50" s="383"/>
      <c r="F50" s="383"/>
      <c r="G50" s="383"/>
      <c r="H50" s="383"/>
      <c r="I50" s="383"/>
      <c r="J50" s="383"/>
    </row>
    <row r="51" spans="1:10">
      <c r="A51" s="383"/>
      <c r="B51" s="383"/>
      <c r="C51" s="383"/>
      <c r="D51" s="383"/>
      <c r="E51" s="383"/>
      <c r="F51" s="383"/>
      <c r="G51" s="383"/>
      <c r="H51" s="383"/>
      <c r="I51" s="383"/>
      <c r="J51" s="383"/>
    </row>
    <row r="52" spans="1:10">
      <c r="A52" s="383"/>
      <c r="B52" s="383"/>
      <c r="C52" s="383"/>
      <c r="D52" s="383"/>
      <c r="E52" s="383"/>
      <c r="F52" s="383"/>
      <c r="G52" s="383"/>
      <c r="H52" s="383"/>
      <c r="I52" s="383"/>
      <c r="J52" s="383"/>
    </row>
    <row r="53" spans="1:10">
      <c r="A53" s="383"/>
      <c r="B53" s="383"/>
      <c r="C53" s="383"/>
      <c r="D53" s="383"/>
      <c r="E53" s="383"/>
      <c r="F53" s="383"/>
      <c r="G53" s="383"/>
      <c r="H53" s="383"/>
      <c r="I53" s="383"/>
      <c r="J53" s="383"/>
    </row>
    <row r="54" spans="1:10">
      <c r="A54" s="383"/>
      <c r="B54" s="383"/>
      <c r="C54" s="383"/>
      <c r="D54" s="383"/>
      <c r="E54" s="383"/>
      <c r="F54" s="383"/>
      <c r="G54" s="383"/>
      <c r="H54" s="383"/>
      <c r="I54" s="383"/>
      <c r="J54" s="383"/>
    </row>
    <row r="55" spans="1:10">
      <c r="A55" s="383"/>
      <c r="B55" s="383"/>
      <c r="C55" s="383"/>
      <c r="D55" s="383"/>
      <c r="E55" s="383"/>
      <c r="F55" s="383"/>
      <c r="G55" s="383"/>
      <c r="H55" s="383"/>
      <c r="I55" s="383"/>
      <c r="J55" s="383"/>
    </row>
    <row r="56" spans="1:10">
      <c r="A56" s="383"/>
      <c r="B56" s="383"/>
      <c r="C56" s="383"/>
      <c r="D56" s="383"/>
      <c r="E56" s="383"/>
      <c r="F56" s="383"/>
      <c r="G56" s="383"/>
      <c r="H56" s="383"/>
      <c r="I56" s="383"/>
      <c r="J56" s="383"/>
    </row>
    <row r="57" spans="1:10">
      <c r="A57" s="383"/>
      <c r="B57" s="383"/>
      <c r="C57" s="383"/>
      <c r="D57" s="383"/>
      <c r="E57" s="383"/>
      <c r="F57" s="383"/>
      <c r="G57" s="383"/>
      <c r="H57" s="383"/>
      <c r="I57" s="383"/>
      <c r="J57" s="383"/>
    </row>
    <row r="58" spans="1:10">
      <c r="A58" s="383"/>
      <c r="B58" s="383"/>
      <c r="C58" s="383"/>
      <c r="D58" s="383"/>
      <c r="E58" s="383"/>
      <c r="F58" s="383"/>
      <c r="G58" s="383"/>
      <c r="H58" s="383"/>
      <c r="I58" s="383"/>
      <c r="J58" s="383"/>
    </row>
    <row r="59" spans="1:10">
      <c r="A59" s="383"/>
      <c r="B59" s="383"/>
      <c r="C59" s="383"/>
      <c r="D59" s="383"/>
      <c r="E59" s="383"/>
      <c r="F59" s="383"/>
      <c r="G59" s="383"/>
      <c r="H59" s="383"/>
      <c r="I59" s="383"/>
      <c r="J59" s="383"/>
    </row>
    <row r="60" spans="1:10">
      <c r="A60" s="383"/>
      <c r="B60" s="383"/>
      <c r="C60" s="383"/>
      <c r="D60" s="383"/>
      <c r="E60" s="383"/>
      <c r="F60" s="383"/>
      <c r="G60" s="383"/>
      <c r="H60" s="383"/>
      <c r="I60" s="383"/>
      <c r="J60" s="383"/>
    </row>
    <row r="61" spans="1:10">
      <c r="A61" s="383"/>
      <c r="B61" s="383"/>
      <c r="C61" s="383"/>
      <c r="D61" s="383"/>
      <c r="E61" s="383"/>
      <c r="F61" s="383"/>
      <c r="G61" s="383"/>
      <c r="H61" s="383"/>
      <c r="I61" s="383"/>
      <c r="J61" s="383"/>
    </row>
    <row r="62" spans="1:10">
      <c r="A62" s="383"/>
      <c r="B62" s="383"/>
      <c r="C62" s="383"/>
      <c r="D62" s="383"/>
      <c r="E62" s="383"/>
      <c r="F62" s="383"/>
      <c r="G62" s="383"/>
      <c r="H62" s="383"/>
      <c r="I62" s="383"/>
      <c r="J62" s="383"/>
    </row>
    <row r="63" spans="1:10">
      <c r="A63" s="383"/>
      <c r="B63" s="383"/>
      <c r="C63" s="383"/>
      <c r="D63" s="383"/>
      <c r="E63" s="383"/>
      <c r="F63" s="383"/>
      <c r="G63" s="383"/>
      <c r="H63" s="383"/>
      <c r="I63" s="383"/>
      <c r="J63" s="383"/>
    </row>
    <row r="64" spans="1:10">
      <c r="A64" s="383"/>
      <c r="B64" s="383"/>
      <c r="C64" s="383"/>
      <c r="D64" s="383"/>
      <c r="E64" s="383"/>
      <c r="F64" s="383"/>
      <c r="G64" s="383"/>
      <c r="H64" s="383"/>
      <c r="I64" s="383"/>
      <c r="J64" s="383"/>
    </row>
    <row r="65" spans="1:10">
      <c r="A65" s="383"/>
      <c r="B65" s="383"/>
      <c r="C65" s="383"/>
      <c r="D65" s="383"/>
      <c r="E65" s="383"/>
      <c r="F65" s="383"/>
      <c r="G65" s="383"/>
      <c r="H65" s="383"/>
      <c r="I65" s="383"/>
      <c r="J65" s="383"/>
    </row>
    <row r="66" spans="1:10">
      <c r="A66" s="383"/>
      <c r="B66" s="383"/>
      <c r="C66" s="383"/>
      <c r="D66" s="383"/>
      <c r="E66" s="383"/>
      <c r="F66" s="383"/>
      <c r="G66" s="383"/>
      <c r="H66" s="383"/>
      <c r="I66" s="383"/>
      <c r="J66" s="383"/>
    </row>
    <row r="67" spans="1:10">
      <c r="A67" s="383"/>
      <c r="B67" s="383"/>
      <c r="C67" s="383"/>
      <c r="D67" s="383"/>
      <c r="E67" s="383"/>
      <c r="F67" s="383"/>
      <c r="G67" s="383"/>
      <c r="H67" s="383"/>
      <c r="I67" s="383"/>
      <c r="J67" s="383"/>
    </row>
    <row r="68" spans="1:10">
      <c r="A68" s="383"/>
      <c r="B68" s="383"/>
      <c r="C68" s="383"/>
      <c r="D68" s="383"/>
      <c r="E68" s="383"/>
      <c r="F68" s="383"/>
      <c r="G68" s="383"/>
      <c r="H68" s="383"/>
      <c r="I68" s="383"/>
      <c r="J68" s="383"/>
    </row>
    <row r="69" spans="1:10">
      <c r="A69" s="383"/>
      <c r="B69" s="383"/>
      <c r="C69" s="383"/>
      <c r="D69" s="383"/>
      <c r="E69" s="383"/>
      <c r="F69" s="383"/>
      <c r="G69" s="383"/>
      <c r="H69" s="383"/>
      <c r="I69" s="383"/>
      <c r="J69" s="383"/>
    </row>
    <row r="70" spans="1:10">
      <c r="A70" s="383"/>
      <c r="B70" s="383"/>
      <c r="C70" s="383"/>
      <c r="D70" s="383"/>
      <c r="E70" s="383"/>
      <c r="F70" s="383"/>
      <c r="G70" s="383"/>
      <c r="H70" s="383"/>
      <c r="I70" s="383"/>
      <c r="J70" s="383"/>
    </row>
    <row r="71" spans="1:10">
      <c r="A71" s="383"/>
      <c r="B71" s="383"/>
      <c r="C71" s="383"/>
      <c r="D71" s="383"/>
      <c r="E71" s="383"/>
      <c r="F71" s="383"/>
      <c r="G71" s="383"/>
      <c r="H71" s="383"/>
      <c r="I71" s="383"/>
      <c r="J71" s="383"/>
    </row>
    <row r="72" spans="1:10">
      <c r="A72" s="383"/>
      <c r="B72" s="383"/>
      <c r="C72" s="383"/>
      <c r="D72" s="383"/>
      <c r="E72" s="383"/>
      <c r="F72" s="383"/>
      <c r="G72" s="383"/>
      <c r="H72" s="383"/>
      <c r="I72" s="383"/>
      <c r="J72" s="383"/>
    </row>
    <row r="73" spans="1:10">
      <c r="A73" s="383"/>
      <c r="B73" s="383"/>
      <c r="C73" s="383"/>
      <c r="D73" s="383"/>
      <c r="E73" s="383"/>
      <c r="F73" s="383"/>
      <c r="G73" s="383"/>
      <c r="H73" s="383"/>
      <c r="I73" s="383"/>
      <c r="J73" s="383"/>
    </row>
    <row r="74" spans="1:10">
      <c r="A74" s="383"/>
      <c r="B74" s="383"/>
      <c r="C74" s="383"/>
      <c r="D74" s="383"/>
      <c r="E74" s="383"/>
      <c r="F74" s="383"/>
      <c r="G74" s="383"/>
      <c r="H74" s="383"/>
      <c r="I74" s="383"/>
      <c r="J74" s="383"/>
    </row>
    <row r="75" spans="1:10">
      <c r="A75" s="383"/>
      <c r="B75" s="383"/>
      <c r="C75" s="383"/>
      <c r="D75" s="383"/>
      <c r="E75" s="383"/>
      <c r="F75" s="383"/>
      <c r="G75" s="383"/>
      <c r="H75" s="383"/>
      <c r="I75" s="383"/>
      <c r="J75" s="383"/>
    </row>
    <row r="76" spans="1:10">
      <c r="A76" s="383"/>
      <c r="B76" s="383"/>
      <c r="C76" s="383"/>
      <c r="D76" s="383"/>
      <c r="E76" s="383"/>
      <c r="F76" s="383"/>
      <c r="G76" s="383"/>
      <c r="H76" s="383"/>
      <c r="I76" s="383"/>
      <c r="J76" s="383"/>
    </row>
    <row r="77" spans="1:10">
      <c r="A77" s="383"/>
      <c r="B77" s="383"/>
      <c r="C77" s="383"/>
      <c r="D77" s="383"/>
      <c r="E77" s="383"/>
      <c r="F77" s="383"/>
      <c r="G77" s="383"/>
      <c r="H77" s="383"/>
      <c r="I77" s="383"/>
      <c r="J77" s="383"/>
    </row>
    <row r="78" spans="1:10">
      <c r="A78" s="383"/>
      <c r="B78" s="383"/>
      <c r="C78" s="383"/>
      <c r="D78" s="383"/>
      <c r="E78" s="383"/>
      <c r="F78" s="383"/>
      <c r="G78" s="383"/>
      <c r="H78" s="383"/>
      <c r="I78" s="383"/>
      <c r="J78" s="383"/>
    </row>
    <row r="79" spans="1:10">
      <c r="A79" s="383"/>
      <c r="B79" s="383"/>
      <c r="C79" s="383"/>
      <c r="D79" s="383"/>
      <c r="E79" s="383"/>
      <c r="F79" s="383"/>
      <c r="G79" s="383"/>
      <c r="H79" s="383"/>
      <c r="I79" s="383"/>
      <c r="J79" s="383"/>
    </row>
    <row r="80" spans="1:10">
      <c r="A80" s="383"/>
      <c r="B80" s="383"/>
      <c r="C80" s="383"/>
      <c r="D80" s="383"/>
      <c r="E80" s="383"/>
      <c r="F80" s="383"/>
      <c r="G80" s="383"/>
      <c r="H80" s="383"/>
      <c r="I80" s="383"/>
      <c r="J80" s="383"/>
    </row>
    <row r="81" spans="1:10">
      <c r="A81" s="383"/>
      <c r="B81" s="383"/>
      <c r="C81" s="383"/>
      <c r="D81" s="383"/>
      <c r="E81" s="383"/>
      <c r="F81" s="383"/>
      <c r="G81" s="383"/>
      <c r="H81" s="383"/>
      <c r="I81" s="383"/>
      <c r="J81" s="383"/>
    </row>
    <row r="82" spans="1:10">
      <c r="A82" s="383"/>
      <c r="B82" s="383"/>
      <c r="C82" s="383"/>
      <c r="D82" s="383"/>
      <c r="E82" s="383"/>
      <c r="F82" s="383"/>
      <c r="G82" s="383"/>
      <c r="H82" s="383"/>
      <c r="I82" s="383"/>
      <c r="J82" s="383"/>
    </row>
    <row r="83" spans="1:10">
      <c r="A83" s="383"/>
      <c r="B83" s="383"/>
      <c r="C83" s="383"/>
      <c r="D83" s="383"/>
      <c r="E83" s="383"/>
      <c r="F83" s="383"/>
      <c r="G83" s="383"/>
      <c r="H83" s="383"/>
      <c r="I83" s="383"/>
      <c r="J83" s="383"/>
    </row>
    <row r="84" spans="1:10">
      <c r="A84" s="383"/>
      <c r="B84" s="383"/>
      <c r="C84" s="383"/>
      <c r="D84" s="383"/>
      <c r="E84" s="383"/>
      <c r="F84" s="383"/>
      <c r="G84" s="383"/>
      <c r="H84" s="383"/>
      <c r="I84" s="383"/>
      <c r="J84" s="383"/>
    </row>
    <row r="85" spans="1:10">
      <c r="A85" s="383"/>
      <c r="B85" s="383"/>
      <c r="C85" s="383"/>
      <c r="D85" s="383"/>
      <c r="E85" s="383"/>
      <c r="F85" s="383"/>
      <c r="G85" s="383"/>
      <c r="H85" s="383"/>
      <c r="I85" s="383"/>
      <c r="J85" s="383"/>
    </row>
    <row r="86" spans="1:10">
      <c r="A86" s="383"/>
      <c r="B86" s="383"/>
      <c r="C86" s="383"/>
      <c r="D86" s="383"/>
      <c r="E86" s="383"/>
      <c r="F86" s="383"/>
      <c r="G86" s="383"/>
      <c r="H86" s="383"/>
      <c r="I86" s="383"/>
      <c r="J86" s="383"/>
    </row>
    <row r="87" spans="1:10">
      <c r="A87" s="383"/>
      <c r="B87" s="383"/>
      <c r="C87" s="383"/>
      <c r="D87" s="383"/>
      <c r="E87" s="383"/>
      <c r="F87" s="383"/>
      <c r="G87" s="383"/>
      <c r="H87" s="383"/>
      <c r="I87" s="383"/>
      <c r="J87" s="383"/>
    </row>
    <row r="88" spans="1:10">
      <c r="A88" s="383"/>
      <c r="B88" s="383"/>
      <c r="C88" s="383"/>
      <c r="D88" s="383"/>
      <c r="E88" s="383"/>
      <c r="F88" s="383"/>
      <c r="G88" s="383"/>
      <c r="H88" s="383"/>
      <c r="I88" s="383"/>
      <c r="J88" s="383"/>
    </row>
    <row r="89" spans="1:10">
      <c r="A89" s="383"/>
      <c r="B89" s="383"/>
      <c r="C89" s="383"/>
      <c r="D89" s="383"/>
      <c r="E89" s="383"/>
      <c r="F89" s="383"/>
      <c r="G89" s="383"/>
      <c r="H89" s="383"/>
      <c r="I89" s="383"/>
      <c r="J89" s="383"/>
    </row>
    <row r="90" spans="1:10">
      <c r="A90" s="383"/>
      <c r="B90" s="383"/>
      <c r="C90" s="383"/>
      <c r="D90" s="383"/>
      <c r="E90" s="383"/>
      <c r="F90" s="383"/>
      <c r="G90" s="383"/>
      <c r="H90" s="383"/>
      <c r="I90" s="383"/>
      <c r="J90" s="383"/>
    </row>
    <row r="91" spans="1:10">
      <c r="A91" s="383"/>
      <c r="B91" s="383"/>
      <c r="C91" s="383"/>
      <c r="D91" s="383"/>
      <c r="E91" s="383"/>
      <c r="F91" s="383"/>
      <c r="G91" s="383"/>
      <c r="H91" s="383"/>
      <c r="I91" s="383"/>
      <c r="J91" s="383"/>
    </row>
    <row r="92" spans="1:10">
      <c r="A92" s="383"/>
      <c r="B92" s="383"/>
      <c r="C92" s="383"/>
      <c r="D92" s="383"/>
      <c r="E92" s="383"/>
      <c r="F92" s="383"/>
      <c r="G92" s="383"/>
      <c r="H92" s="383"/>
      <c r="I92" s="383"/>
      <c r="J92" s="383"/>
    </row>
    <row r="93" spans="1:10">
      <c r="A93" s="383"/>
      <c r="B93" s="383"/>
      <c r="C93" s="383"/>
      <c r="D93" s="383"/>
      <c r="E93" s="383"/>
      <c r="F93" s="383"/>
      <c r="G93" s="383"/>
      <c r="H93" s="383"/>
      <c r="I93" s="383"/>
      <c r="J93" s="383"/>
    </row>
    <row r="94" spans="1:10">
      <c r="A94" s="383"/>
      <c r="B94" s="383"/>
      <c r="C94" s="383"/>
      <c r="D94" s="383"/>
      <c r="E94" s="383"/>
      <c r="F94" s="383"/>
      <c r="G94" s="383"/>
      <c r="H94" s="383"/>
      <c r="I94" s="383"/>
      <c r="J94" s="383"/>
    </row>
    <row r="95" spans="1:10">
      <c r="A95" s="383"/>
      <c r="B95" s="383"/>
      <c r="C95" s="383"/>
      <c r="D95" s="383"/>
      <c r="E95" s="383"/>
      <c r="F95" s="383"/>
      <c r="G95" s="383"/>
      <c r="H95" s="383"/>
      <c r="I95" s="383"/>
      <c r="J95" s="383"/>
    </row>
    <row r="96" spans="1:10">
      <c r="A96" s="383"/>
      <c r="B96" s="383"/>
      <c r="C96" s="383"/>
      <c r="D96" s="383"/>
      <c r="E96" s="383"/>
      <c r="F96" s="383"/>
      <c r="G96" s="383"/>
      <c r="H96" s="383"/>
      <c r="I96" s="383"/>
      <c r="J96" s="383"/>
    </row>
    <row r="97" spans="1:10">
      <c r="A97" s="383"/>
      <c r="B97" s="383"/>
      <c r="C97" s="383"/>
      <c r="D97" s="383"/>
      <c r="E97" s="383"/>
      <c r="F97" s="383"/>
      <c r="G97" s="383"/>
      <c r="H97" s="383"/>
      <c r="I97" s="383"/>
      <c r="J97" s="383"/>
    </row>
    <row r="98" spans="1:10">
      <c r="A98" s="383"/>
      <c r="B98" s="383"/>
      <c r="C98" s="383"/>
      <c r="D98" s="383"/>
      <c r="E98" s="383"/>
      <c r="F98" s="383"/>
      <c r="G98" s="383"/>
      <c r="H98" s="383"/>
      <c r="I98" s="383"/>
      <c r="J98" s="383"/>
    </row>
    <row r="99" spans="1:10">
      <c r="A99" s="383"/>
      <c r="B99" s="383"/>
      <c r="C99" s="383"/>
      <c r="D99" s="383"/>
      <c r="E99" s="383"/>
      <c r="F99" s="383"/>
      <c r="G99" s="383"/>
      <c r="H99" s="383"/>
      <c r="I99" s="383"/>
      <c r="J99" s="383"/>
    </row>
    <row r="100" spans="1:10">
      <c r="A100" s="383"/>
      <c r="B100" s="383"/>
      <c r="C100" s="383"/>
      <c r="D100" s="383"/>
      <c r="E100" s="383"/>
      <c r="F100" s="383"/>
      <c r="G100" s="383"/>
      <c r="H100" s="383"/>
      <c r="I100" s="383"/>
      <c r="J100" s="383"/>
    </row>
    <row r="101" spans="1:10">
      <c r="A101" s="383"/>
      <c r="B101" s="383"/>
      <c r="C101" s="383"/>
      <c r="D101" s="383"/>
      <c r="E101" s="383"/>
      <c r="F101" s="383"/>
      <c r="G101" s="383"/>
      <c r="H101" s="383"/>
      <c r="I101" s="383"/>
      <c r="J101" s="383"/>
    </row>
    <row r="102" spans="1:10">
      <c r="A102" s="383"/>
      <c r="B102" s="383"/>
      <c r="C102" s="383"/>
      <c r="D102" s="383"/>
      <c r="E102" s="383"/>
      <c r="F102" s="383"/>
      <c r="G102" s="383"/>
      <c r="H102" s="383"/>
      <c r="I102" s="383"/>
      <c r="J102" s="383"/>
    </row>
    <row r="103" spans="1:10">
      <c r="A103" s="383"/>
      <c r="B103" s="383"/>
      <c r="C103" s="383"/>
      <c r="D103" s="383"/>
      <c r="E103" s="383"/>
      <c r="F103" s="383"/>
      <c r="G103" s="383"/>
      <c r="H103" s="383"/>
      <c r="I103" s="383"/>
      <c r="J103" s="383"/>
    </row>
    <row r="104" spans="1:10">
      <c r="A104" s="383"/>
      <c r="B104" s="383"/>
      <c r="C104" s="383"/>
      <c r="D104" s="383"/>
      <c r="E104" s="383"/>
      <c r="F104" s="383"/>
      <c r="G104" s="383"/>
      <c r="H104" s="383"/>
      <c r="I104" s="383"/>
      <c r="J104" s="383"/>
    </row>
    <row r="105" spans="1:10">
      <c r="A105" s="383"/>
      <c r="B105" s="383"/>
      <c r="C105" s="383"/>
      <c r="D105" s="383"/>
      <c r="E105" s="383"/>
      <c r="F105" s="383"/>
      <c r="G105" s="383"/>
      <c r="H105" s="383"/>
      <c r="I105" s="383"/>
      <c r="J105" s="383"/>
    </row>
    <row r="106" spans="1:10">
      <c r="A106" s="383"/>
      <c r="B106" s="383"/>
      <c r="C106" s="383"/>
      <c r="D106" s="383"/>
      <c r="E106" s="383"/>
      <c r="F106" s="383"/>
      <c r="G106" s="383"/>
      <c r="H106" s="383"/>
      <c r="I106" s="383"/>
      <c r="J106" s="383"/>
    </row>
    <row r="107" spans="1:10">
      <c r="A107" s="383"/>
      <c r="B107" s="383"/>
      <c r="C107" s="383"/>
      <c r="D107" s="383"/>
      <c r="E107" s="383"/>
      <c r="F107" s="383"/>
      <c r="G107" s="383"/>
      <c r="H107" s="383"/>
      <c r="I107" s="383"/>
      <c r="J107" s="383"/>
    </row>
    <row r="108" spans="1:10">
      <c r="A108" s="383"/>
      <c r="B108" s="383"/>
      <c r="C108" s="383"/>
      <c r="D108" s="383"/>
      <c r="E108" s="383"/>
      <c r="F108" s="383"/>
      <c r="G108" s="383"/>
      <c r="H108" s="383"/>
      <c r="I108" s="383"/>
      <c r="J108" s="383"/>
    </row>
    <row r="109" spans="1:10">
      <c r="A109" s="383"/>
      <c r="B109" s="383"/>
      <c r="C109" s="383"/>
      <c r="D109" s="383"/>
      <c r="E109" s="383"/>
      <c r="F109" s="383"/>
      <c r="G109" s="383"/>
      <c r="H109" s="383"/>
      <c r="I109" s="383"/>
      <c r="J109" s="383"/>
    </row>
    <row r="110" spans="1:10">
      <c r="A110" s="383"/>
      <c r="B110" s="383"/>
      <c r="C110" s="383"/>
      <c r="D110" s="383"/>
      <c r="E110" s="383"/>
      <c r="F110" s="383"/>
      <c r="G110" s="383"/>
      <c r="H110" s="383"/>
      <c r="I110" s="383"/>
      <c r="J110" s="383"/>
    </row>
    <row r="111" spans="1:10">
      <c r="A111" s="383"/>
      <c r="B111" s="383"/>
      <c r="C111" s="383"/>
      <c r="D111" s="383"/>
      <c r="E111" s="383"/>
      <c r="F111" s="383"/>
      <c r="G111" s="383"/>
      <c r="H111" s="383"/>
      <c r="I111" s="383"/>
      <c r="J111" s="383"/>
    </row>
    <row r="112" spans="1:10">
      <c r="A112" s="383"/>
      <c r="B112" s="383"/>
      <c r="C112" s="383"/>
      <c r="D112" s="383"/>
      <c r="E112" s="383"/>
      <c r="F112" s="383"/>
      <c r="G112" s="383"/>
      <c r="H112" s="383"/>
      <c r="I112" s="383"/>
      <c r="J112" s="383"/>
    </row>
    <row r="113" spans="1:10">
      <c r="A113" s="383"/>
      <c r="B113" s="383"/>
      <c r="C113" s="383"/>
      <c r="D113" s="383"/>
      <c r="E113" s="383"/>
      <c r="F113" s="383"/>
      <c r="G113" s="383"/>
      <c r="H113" s="383"/>
      <c r="I113" s="383"/>
      <c r="J113" s="383"/>
    </row>
    <row r="114" spans="1:10">
      <c r="A114" s="383"/>
      <c r="B114" s="383"/>
      <c r="C114" s="383"/>
      <c r="D114" s="383"/>
      <c r="E114" s="383"/>
      <c r="F114" s="383"/>
      <c r="G114" s="383"/>
      <c r="H114" s="383"/>
      <c r="I114" s="383"/>
      <c r="J114" s="383"/>
    </row>
    <row r="115" spans="1:10">
      <c r="A115" s="383"/>
      <c r="B115" s="383"/>
      <c r="C115" s="383"/>
      <c r="D115" s="383"/>
      <c r="E115" s="383"/>
      <c r="F115" s="383"/>
      <c r="G115" s="383"/>
      <c r="H115" s="383"/>
      <c r="I115" s="383"/>
      <c r="J115" s="383"/>
    </row>
    <row r="116" spans="1:10">
      <c r="A116" s="383"/>
      <c r="B116" s="383"/>
      <c r="C116" s="383"/>
      <c r="D116" s="383"/>
      <c r="E116" s="383"/>
      <c r="F116" s="383"/>
      <c r="G116" s="383"/>
      <c r="H116" s="383"/>
      <c r="I116" s="383"/>
      <c r="J116" s="383"/>
    </row>
    <row r="117" spans="1:10">
      <c r="A117" s="383"/>
      <c r="B117" s="383"/>
      <c r="C117" s="383"/>
      <c r="D117" s="383"/>
      <c r="E117" s="383"/>
      <c r="F117" s="383"/>
      <c r="G117" s="383"/>
      <c r="H117" s="383"/>
      <c r="I117" s="383"/>
      <c r="J117" s="383"/>
    </row>
    <row r="118" spans="1:10">
      <c r="A118" s="383"/>
      <c r="B118" s="383"/>
      <c r="C118" s="383"/>
      <c r="D118" s="383"/>
      <c r="E118" s="383"/>
      <c r="F118" s="383"/>
      <c r="G118" s="383"/>
      <c r="H118" s="383"/>
      <c r="I118" s="383"/>
      <c r="J118" s="383"/>
    </row>
    <row r="119" spans="1:10">
      <c r="A119" s="383"/>
      <c r="B119" s="383"/>
      <c r="C119" s="383"/>
      <c r="D119" s="383"/>
      <c r="E119" s="383"/>
      <c r="F119" s="383"/>
      <c r="G119" s="383"/>
      <c r="H119" s="383"/>
      <c r="I119" s="383"/>
      <c r="J119" s="383"/>
    </row>
    <row r="120" spans="1:10">
      <c r="A120" s="383"/>
      <c r="B120" s="383"/>
      <c r="C120" s="383"/>
      <c r="D120" s="383"/>
      <c r="E120" s="383"/>
      <c r="F120" s="383"/>
      <c r="G120" s="383"/>
      <c r="H120" s="383"/>
      <c r="I120" s="383"/>
      <c r="J120" s="383"/>
    </row>
  </sheetData>
  <mergeCells count="1">
    <mergeCell ref="A1:J1"/>
  </mergeCells>
  <dataValidations disablePrompts="1" count="1">
    <dataValidation type="list" sqref="H13:H42" xr:uid="{F402310F-F1A1-4F36-BC7C-B8F4656AC9C4}">
      <formula1>"No iniciado,En progreso,Terminado"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workbookViewId="0">
      <selection sqref="A1:F1"/>
    </sheetView>
  </sheetViews>
  <sheetFormatPr baseColWidth="10" defaultColWidth="9.453125" defaultRowHeight="14.5"/>
  <cols>
    <col min="1" max="5" width="24" style="355" customWidth="1"/>
    <col min="6" max="6" width="52.36328125" style="355" customWidth="1"/>
    <col min="7" max="16384" width="9.453125" style="355"/>
  </cols>
  <sheetData>
    <row r="1" spans="1:6" ht="15">
      <c r="A1" s="424" t="s">
        <v>0</v>
      </c>
      <c r="B1" s="423"/>
      <c r="C1" s="423"/>
      <c r="D1" s="423"/>
      <c r="E1" s="423"/>
      <c r="F1" s="423"/>
    </row>
    <row r="2" spans="1:6" ht="72.5">
      <c r="A2" s="359" t="s">
        <v>1</v>
      </c>
      <c r="B2" s="359" t="s">
        <v>2</v>
      </c>
      <c r="C2" s="359"/>
      <c r="D2" s="359"/>
      <c r="E2" s="359"/>
      <c r="F2" s="359"/>
    </row>
    <row r="3" spans="1:6" ht="43.5">
      <c r="A3" s="359" t="s">
        <v>3</v>
      </c>
      <c r="B3" s="359" t="s">
        <v>4</v>
      </c>
      <c r="C3" s="359"/>
      <c r="D3" s="359"/>
      <c r="E3" s="359"/>
      <c r="F3" s="359"/>
    </row>
    <row r="4" spans="1:6">
      <c r="A4" s="359"/>
      <c r="B4" s="359"/>
      <c r="C4" s="359"/>
      <c r="D4" s="359"/>
      <c r="E4" s="359"/>
      <c r="F4" s="359"/>
    </row>
    <row r="5" spans="1:6">
      <c r="A5" s="422" t="s">
        <v>5</v>
      </c>
      <c r="B5" s="423"/>
      <c r="C5" s="423"/>
      <c r="D5" s="423"/>
      <c r="E5" s="423"/>
      <c r="F5" s="423"/>
    </row>
    <row r="6" spans="1:6">
      <c r="A6" s="404" t="s">
        <v>6</v>
      </c>
      <c r="B6" s="404" t="s">
        <v>7</v>
      </c>
      <c r="C6" s="404" t="s">
        <v>8</v>
      </c>
      <c r="D6" s="404" t="s">
        <v>9</v>
      </c>
      <c r="E6" s="404" t="s">
        <v>10</v>
      </c>
      <c r="F6" s="404" t="s">
        <v>11</v>
      </c>
    </row>
    <row r="7" spans="1:6" ht="29">
      <c r="A7" s="359" t="s">
        <v>12</v>
      </c>
      <c r="B7" s="405">
        <v>46200</v>
      </c>
      <c r="C7" s="359" t="s">
        <v>13</v>
      </c>
      <c r="D7" s="359" t="s">
        <v>14</v>
      </c>
      <c r="E7" s="359" t="s">
        <v>15</v>
      </c>
      <c r="F7" s="359" t="s">
        <v>16</v>
      </c>
    </row>
    <row r="8" spans="1:6">
      <c r="A8" s="359" t="s">
        <v>17</v>
      </c>
      <c r="B8" s="359" t="s">
        <v>18</v>
      </c>
      <c r="C8" s="359" t="s">
        <v>19</v>
      </c>
      <c r="D8" s="359" t="s">
        <v>20</v>
      </c>
      <c r="E8" s="359" t="s">
        <v>21</v>
      </c>
      <c r="F8" s="359" t="s">
        <v>22</v>
      </c>
    </row>
    <row r="9" spans="1:6">
      <c r="A9" s="359" t="s">
        <v>23</v>
      </c>
      <c r="B9" s="359" t="s">
        <v>24</v>
      </c>
      <c r="C9" s="359" t="s">
        <v>25</v>
      </c>
      <c r="D9" s="359" t="s">
        <v>26</v>
      </c>
      <c r="E9" s="359" t="s">
        <v>27</v>
      </c>
      <c r="F9" s="359" t="s">
        <v>28</v>
      </c>
    </row>
    <row r="10" spans="1:6">
      <c r="A10" s="359" t="s">
        <v>29</v>
      </c>
      <c r="B10" s="359" t="s">
        <v>30</v>
      </c>
      <c r="C10" s="359" t="s">
        <v>25</v>
      </c>
      <c r="D10" s="359" t="s">
        <v>31</v>
      </c>
      <c r="E10" s="359" t="s">
        <v>32</v>
      </c>
      <c r="F10" s="359" t="s">
        <v>33</v>
      </c>
    </row>
    <row r="11" spans="1:6">
      <c r="A11" s="359" t="s">
        <v>34</v>
      </c>
      <c r="B11" s="359" t="s">
        <v>35</v>
      </c>
      <c r="C11" s="359" t="s">
        <v>25</v>
      </c>
      <c r="D11" s="359" t="s">
        <v>36</v>
      </c>
      <c r="E11" s="359" t="s">
        <v>37</v>
      </c>
      <c r="F11" s="359" t="s">
        <v>38</v>
      </c>
    </row>
    <row r="12" spans="1:6" ht="29">
      <c r="A12" s="359" t="s">
        <v>39</v>
      </c>
      <c r="B12" s="359" t="s">
        <v>40</v>
      </c>
      <c r="C12" s="359" t="s">
        <v>25</v>
      </c>
      <c r="D12" s="359" t="s">
        <v>36</v>
      </c>
      <c r="E12" s="359" t="s">
        <v>41</v>
      </c>
      <c r="F12" s="359" t="s">
        <v>42</v>
      </c>
    </row>
    <row r="13" spans="1:6" ht="29">
      <c r="A13" s="359" t="s">
        <v>43</v>
      </c>
      <c r="B13" s="359" t="s">
        <v>44</v>
      </c>
      <c r="C13" s="359" t="s">
        <v>25</v>
      </c>
      <c r="D13" s="359" t="s">
        <v>45</v>
      </c>
      <c r="E13" s="359" t="s">
        <v>46</v>
      </c>
      <c r="F13" s="359" t="s">
        <v>47</v>
      </c>
    </row>
    <row r="14" spans="1:6">
      <c r="A14" s="359" t="s">
        <v>48</v>
      </c>
      <c r="B14" s="359" t="s">
        <v>49</v>
      </c>
      <c r="C14" s="359" t="s">
        <v>19</v>
      </c>
      <c r="D14" s="359" t="s">
        <v>50</v>
      </c>
      <c r="E14" s="359" t="s">
        <v>51</v>
      </c>
      <c r="F14" s="359" t="s">
        <v>52</v>
      </c>
    </row>
    <row r="15" spans="1:6">
      <c r="A15" s="359" t="s">
        <v>53</v>
      </c>
      <c r="B15" s="359" t="s">
        <v>49</v>
      </c>
      <c r="C15" s="359" t="s">
        <v>19</v>
      </c>
      <c r="D15" s="359" t="s">
        <v>54</v>
      </c>
      <c r="E15" s="359" t="s">
        <v>55</v>
      </c>
      <c r="F15" s="359" t="s">
        <v>56</v>
      </c>
    </row>
    <row r="16" spans="1:6">
      <c r="A16" s="359" t="s">
        <v>57</v>
      </c>
      <c r="B16" s="359" t="s">
        <v>58</v>
      </c>
      <c r="C16" s="359" t="s">
        <v>19</v>
      </c>
      <c r="D16" s="359" t="s">
        <v>59</v>
      </c>
      <c r="E16" s="359" t="s">
        <v>60</v>
      </c>
      <c r="F16" s="359" t="s">
        <v>61</v>
      </c>
    </row>
    <row r="17" spans="1:6">
      <c r="A17" s="359"/>
      <c r="B17" s="359"/>
      <c r="C17" s="359"/>
      <c r="D17" s="359"/>
      <c r="E17" s="359"/>
      <c r="F17" s="359"/>
    </row>
    <row r="18" spans="1:6">
      <c r="A18" s="422" t="s">
        <v>62</v>
      </c>
      <c r="B18" s="423"/>
      <c r="C18" s="423"/>
      <c r="D18" s="423"/>
      <c r="E18" s="423"/>
      <c r="F18" s="423"/>
    </row>
    <row r="19" spans="1:6">
      <c r="A19" s="404" t="s">
        <v>63</v>
      </c>
      <c r="B19" s="404" t="s">
        <v>64</v>
      </c>
      <c r="C19" s="404" t="s">
        <v>65</v>
      </c>
      <c r="D19" s="404" t="s">
        <v>66</v>
      </c>
      <c r="E19" s="404" t="s">
        <v>67</v>
      </c>
      <c r="F19" s="404" t="s">
        <v>68</v>
      </c>
    </row>
    <row r="20" spans="1:6">
      <c r="A20" s="359">
        <v>1</v>
      </c>
      <c r="B20" s="359"/>
      <c r="C20" s="359"/>
      <c r="D20" s="359"/>
      <c r="E20" s="359"/>
      <c r="F20" s="359"/>
    </row>
    <row r="21" spans="1:6">
      <c r="A21" s="359">
        <v>2</v>
      </c>
      <c r="B21" s="359"/>
      <c r="C21" s="359"/>
      <c r="D21" s="359"/>
      <c r="E21" s="359"/>
      <c r="F21" s="359"/>
    </row>
    <row r="22" spans="1:6">
      <c r="A22" s="359">
        <v>3</v>
      </c>
      <c r="B22" s="359"/>
      <c r="C22" s="359"/>
      <c r="D22" s="359"/>
      <c r="E22" s="359"/>
      <c r="F22" s="359"/>
    </row>
    <row r="23" spans="1:6">
      <c r="A23" s="359">
        <v>4</v>
      </c>
      <c r="B23" s="359"/>
      <c r="C23" s="359"/>
      <c r="D23" s="359"/>
      <c r="E23" s="359"/>
      <c r="F23" s="359"/>
    </row>
    <row r="24" spans="1:6">
      <c r="A24" s="359">
        <v>5</v>
      </c>
      <c r="B24" s="359"/>
      <c r="C24" s="359"/>
      <c r="D24" s="359"/>
      <c r="E24" s="359"/>
      <c r="F24" s="359"/>
    </row>
    <row r="25" spans="1:6">
      <c r="A25" s="359">
        <v>6</v>
      </c>
      <c r="B25" s="359"/>
      <c r="C25" s="359"/>
      <c r="D25" s="359"/>
      <c r="E25" s="359"/>
      <c r="F25" s="359"/>
    </row>
    <row r="26" spans="1:6">
      <c r="A26" s="359">
        <v>7</v>
      </c>
      <c r="B26" s="359"/>
      <c r="C26" s="359"/>
      <c r="D26" s="359"/>
      <c r="E26" s="359"/>
      <c r="F26" s="359"/>
    </row>
    <row r="27" spans="1:6">
      <c r="A27" s="359">
        <v>8</v>
      </c>
      <c r="B27" s="359"/>
      <c r="C27" s="359"/>
      <c r="D27" s="359"/>
      <c r="E27" s="359"/>
      <c r="F27" s="359"/>
    </row>
    <row r="28" spans="1:6">
      <c r="A28" s="359">
        <v>9</v>
      </c>
      <c r="B28" s="359"/>
      <c r="C28" s="359"/>
      <c r="D28" s="359"/>
      <c r="E28" s="359"/>
      <c r="F28" s="359"/>
    </row>
    <row r="29" spans="1:6">
      <c r="A29" s="359">
        <v>10</v>
      </c>
      <c r="B29" s="359"/>
      <c r="C29" s="359"/>
      <c r="D29" s="359"/>
      <c r="E29" s="359"/>
      <c r="F29" s="359"/>
    </row>
    <row r="30" spans="1:6">
      <c r="A30" s="359">
        <v>11</v>
      </c>
      <c r="B30" s="359"/>
      <c r="C30" s="359"/>
      <c r="D30" s="359"/>
      <c r="E30" s="359"/>
      <c r="F30" s="359"/>
    </row>
    <row r="31" spans="1:6">
      <c r="A31" s="359">
        <v>12</v>
      </c>
      <c r="B31" s="359"/>
      <c r="C31" s="359"/>
      <c r="D31" s="359"/>
      <c r="E31" s="359"/>
      <c r="F31" s="359"/>
    </row>
    <row r="32" spans="1:6">
      <c r="A32" s="359">
        <v>13</v>
      </c>
      <c r="B32" s="359"/>
      <c r="C32" s="359"/>
      <c r="D32" s="359"/>
      <c r="E32" s="359"/>
      <c r="F32" s="359"/>
    </row>
    <row r="33" spans="1:6">
      <c r="A33" s="359">
        <v>14</v>
      </c>
      <c r="B33" s="359"/>
      <c r="C33" s="359"/>
      <c r="D33" s="359"/>
      <c r="E33" s="359"/>
      <c r="F33" s="359"/>
    </row>
    <row r="34" spans="1:6">
      <c r="A34" s="359">
        <v>15</v>
      </c>
      <c r="B34" s="359"/>
      <c r="C34" s="359"/>
      <c r="D34" s="359"/>
      <c r="E34" s="359"/>
      <c r="F34" s="359"/>
    </row>
    <row r="35" spans="1:6">
      <c r="A35" s="359">
        <v>16</v>
      </c>
      <c r="B35" s="359"/>
      <c r="C35" s="359"/>
      <c r="D35" s="359"/>
      <c r="E35" s="359"/>
      <c r="F35" s="359"/>
    </row>
    <row r="36" spans="1:6">
      <c r="A36" s="359">
        <v>17</v>
      </c>
      <c r="B36" s="359"/>
      <c r="C36" s="359"/>
      <c r="D36" s="359"/>
      <c r="E36" s="359"/>
      <c r="F36" s="359"/>
    </row>
    <row r="37" spans="1:6">
      <c r="A37" s="359">
        <v>18</v>
      </c>
      <c r="B37" s="359"/>
      <c r="C37" s="359"/>
      <c r="D37" s="359"/>
      <c r="E37" s="359"/>
      <c r="F37" s="359"/>
    </row>
    <row r="38" spans="1:6">
      <c r="A38" s="359">
        <v>19</v>
      </c>
      <c r="B38" s="359"/>
      <c r="C38" s="359"/>
      <c r="D38" s="359"/>
      <c r="E38" s="359"/>
      <c r="F38" s="359"/>
    </row>
    <row r="39" spans="1:6">
      <c r="A39" s="359">
        <v>20</v>
      </c>
      <c r="B39" s="359"/>
      <c r="C39" s="359"/>
      <c r="D39" s="359"/>
      <c r="E39" s="359"/>
      <c r="F39" s="359"/>
    </row>
    <row r="40" spans="1:6">
      <c r="A40" s="359">
        <v>21</v>
      </c>
      <c r="B40" s="359"/>
      <c r="C40" s="359"/>
      <c r="D40" s="359"/>
      <c r="E40" s="359"/>
      <c r="F40" s="359"/>
    </row>
    <row r="41" spans="1:6">
      <c r="A41" s="359">
        <v>22</v>
      </c>
      <c r="B41" s="359"/>
      <c r="C41" s="359"/>
      <c r="D41" s="359"/>
      <c r="E41" s="359"/>
      <c r="F41" s="359"/>
    </row>
    <row r="42" spans="1:6">
      <c r="A42" s="359">
        <v>23</v>
      </c>
      <c r="B42" s="359"/>
      <c r="C42" s="359"/>
      <c r="D42" s="359"/>
      <c r="E42" s="359"/>
      <c r="F42" s="359"/>
    </row>
    <row r="43" spans="1:6">
      <c r="A43" s="359">
        <v>24</v>
      </c>
      <c r="B43" s="359"/>
      <c r="C43" s="359"/>
      <c r="D43" s="359"/>
      <c r="E43" s="359"/>
      <c r="F43" s="359"/>
    </row>
    <row r="44" spans="1:6">
      <c r="A44" s="359">
        <v>25</v>
      </c>
      <c r="B44" s="359"/>
      <c r="C44" s="359"/>
      <c r="D44" s="359"/>
      <c r="E44" s="359"/>
      <c r="F44" s="359"/>
    </row>
    <row r="45" spans="1:6">
      <c r="A45" s="359">
        <v>26</v>
      </c>
      <c r="B45" s="359"/>
      <c r="C45" s="359"/>
      <c r="D45" s="359"/>
      <c r="E45" s="359"/>
      <c r="F45" s="359"/>
    </row>
    <row r="46" spans="1:6">
      <c r="A46" s="359">
        <v>27</v>
      </c>
      <c r="B46" s="359"/>
      <c r="C46" s="359"/>
      <c r="D46" s="359"/>
      <c r="E46" s="359"/>
      <c r="F46" s="359"/>
    </row>
    <row r="47" spans="1:6">
      <c r="A47" s="359">
        <v>28</v>
      </c>
      <c r="B47" s="359"/>
      <c r="C47" s="359"/>
      <c r="D47" s="359"/>
      <c r="E47" s="359"/>
      <c r="F47" s="359"/>
    </row>
    <row r="48" spans="1:6">
      <c r="A48" s="359">
        <v>29</v>
      </c>
      <c r="B48" s="359"/>
      <c r="C48" s="359"/>
      <c r="D48" s="359"/>
      <c r="E48" s="359"/>
      <c r="F48" s="359"/>
    </row>
    <row r="49" spans="1:6">
      <c r="A49" s="359">
        <v>30</v>
      </c>
      <c r="B49" s="359"/>
      <c r="C49" s="359"/>
      <c r="D49" s="359"/>
      <c r="E49" s="359"/>
      <c r="F49" s="359"/>
    </row>
    <row r="50" spans="1:6">
      <c r="A50" s="359">
        <v>31</v>
      </c>
      <c r="B50" s="359"/>
      <c r="C50" s="359"/>
      <c r="D50" s="359"/>
      <c r="E50" s="359"/>
      <c r="F50" s="359"/>
    </row>
    <row r="51" spans="1:6">
      <c r="A51" s="359">
        <v>32</v>
      </c>
      <c r="B51" s="359"/>
      <c r="C51" s="359"/>
      <c r="D51" s="359"/>
      <c r="E51" s="359"/>
      <c r="F51" s="359"/>
    </row>
    <row r="52" spans="1:6">
      <c r="A52" s="359">
        <v>33</v>
      </c>
      <c r="B52" s="359"/>
      <c r="C52" s="359"/>
      <c r="D52" s="359"/>
      <c r="E52" s="359"/>
      <c r="F52" s="359"/>
    </row>
    <row r="53" spans="1:6">
      <c r="A53" s="359">
        <v>34</v>
      </c>
      <c r="B53" s="359"/>
      <c r="C53" s="359"/>
      <c r="D53" s="359"/>
      <c r="E53" s="359"/>
      <c r="F53" s="359"/>
    </row>
    <row r="54" spans="1:6">
      <c r="A54" s="359">
        <v>35</v>
      </c>
      <c r="B54" s="359"/>
      <c r="C54" s="359"/>
      <c r="D54" s="359"/>
      <c r="E54" s="359"/>
      <c r="F54" s="359"/>
    </row>
    <row r="55" spans="1:6">
      <c r="A55" s="359">
        <v>36</v>
      </c>
      <c r="B55" s="359"/>
      <c r="C55" s="359"/>
      <c r="D55" s="359"/>
      <c r="E55" s="359"/>
      <c r="F55" s="359"/>
    </row>
    <row r="56" spans="1:6">
      <c r="A56" s="359">
        <v>37</v>
      </c>
      <c r="B56" s="359"/>
      <c r="C56" s="359"/>
      <c r="D56" s="359"/>
      <c r="E56" s="359"/>
      <c r="F56" s="359"/>
    </row>
    <row r="57" spans="1:6">
      <c r="A57" s="359">
        <v>38</v>
      </c>
      <c r="B57" s="359"/>
      <c r="C57" s="359"/>
      <c r="D57" s="359"/>
      <c r="E57" s="359"/>
      <c r="F57" s="359"/>
    </row>
    <row r="58" spans="1:6">
      <c r="A58" s="359">
        <v>39</v>
      </c>
      <c r="B58" s="359"/>
      <c r="C58" s="359"/>
      <c r="D58" s="359"/>
      <c r="E58" s="359"/>
      <c r="F58" s="359"/>
    </row>
    <row r="59" spans="1:6">
      <c r="A59" s="359">
        <v>40</v>
      </c>
      <c r="B59" s="359"/>
      <c r="C59" s="359"/>
      <c r="D59" s="359"/>
      <c r="E59" s="359"/>
      <c r="F59" s="359"/>
    </row>
    <row r="60" spans="1:6">
      <c r="A60" s="359"/>
      <c r="B60" s="359"/>
      <c r="C60" s="359"/>
      <c r="D60" s="359"/>
      <c r="E60" s="359"/>
      <c r="F60" s="359"/>
    </row>
    <row r="61" spans="1:6">
      <c r="A61" s="422" t="s">
        <v>69</v>
      </c>
      <c r="B61" s="423"/>
      <c r="C61" s="423"/>
      <c r="D61" s="423"/>
      <c r="E61" s="423"/>
      <c r="F61" s="423"/>
    </row>
    <row r="62" spans="1:6">
      <c r="A62" s="359"/>
      <c r="B62" s="359"/>
      <c r="C62" s="359"/>
      <c r="D62" s="359"/>
      <c r="E62" s="359"/>
      <c r="F62" s="359"/>
    </row>
    <row r="63" spans="1:6">
      <c r="A63" s="359"/>
      <c r="B63" s="359"/>
      <c r="C63" s="359"/>
      <c r="D63" s="359"/>
      <c r="E63" s="359"/>
      <c r="F63" s="359"/>
    </row>
    <row r="64" spans="1:6">
      <c r="A64" s="359"/>
      <c r="B64" s="359"/>
      <c r="C64" s="359"/>
      <c r="D64" s="359"/>
      <c r="E64" s="359"/>
      <c r="F64" s="359"/>
    </row>
    <row r="65" spans="1:6">
      <c r="A65" s="359"/>
      <c r="B65" s="359"/>
      <c r="C65" s="359"/>
      <c r="D65" s="359"/>
      <c r="E65" s="359"/>
      <c r="F65" s="359"/>
    </row>
    <row r="66" spans="1:6">
      <c r="A66" s="359"/>
      <c r="B66" s="359"/>
      <c r="C66" s="359"/>
      <c r="D66" s="359"/>
      <c r="E66" s="359"/>
      <c r="F66" s="359"/>
    </row>
    <row r="67" spans="1:6">
      <c r="A67" s="359"/>
      <c r="B67" s="359"/>
      <c r="C67" s="359"/>
      <c r="D67" s="359"/>
      <c r="E67" s="359"/>
      <c r="F67" s="359"/>
    </row>
    <row r="68" spans="1:6">
      <c r="A68" s="359"/>
      <c r="B68" s="359"/>
      <c r="C68" s="359"/>
      <c r="D68" s="359"/>
      <c r="E68" s="359"/>
      <c r="F68" s="359"/>
    </row>
    <row r="69" spans="1:6">
      <c r="A69" s="359"/>
      <c r="B69" s="359"/>
      <c r="C69" s="359"/>
      <c r="D69" s="359"/>
      <c r="E69" s="359"/>
      <c r="F69" s="359"/>
    </row>
    <row r="70" spans="1:6">
      <c r="A70" s="359"/>
      <c r="B70" s="359"/>
      <c r="C70" s="359"/>
      <c r="D70" s="359"/>
      <c r="E70" s="359"/>
      <c r="F70" s="359"/>
    </row>
    <row r="71" spans="1:6">
      <c r="A71" s="359"/>
      <c r="B71" s="359"/>
      <c r="C71" s="359"/>
      <c r="D71" s="359"/>
      <c r="E71" s="359"/>
      <c r="F71" s="359"/>
    </row>
    <row r="72" spans="1:6">
      <c r="A72" s="359"/>
      <c r="B72" s="359"/>
      <c r="C72" s="359"/>
      <c r="D72" s="359"/>
      <c r="E72" s="359"/>
      <c r="F72" s="359"/>
    </row>
    <row r="73" spans="1:6">
      <c r="A73" s="359"/>
      <c r="B73" s="359"/>
      <c r="C73" s="359"/>
      <c r="D73" s="359"/>
      <c r="E73" s="359"/>
      <c r="F73" s="359"/>
    </row>
    <row r="74" spans="1:6">
      <c r="A74" s="359"/>
      <c r="B74" s="359"/>
      <c r="C74" s="359"/>
      <c r="D74" s="359"/>
      <c r="E74" s="359"/>
      <c r="F74" s="359"/>
    </row>
    <row r="75" spans="1:6">
      <c r="A75" s="359"/>
      <c r="B75" s="359"/>
      <c r="C75" s="359"/>
      <c r="D75" s="359"/>
      <c r="E75" s="359"/>
      <c r="F75" s="359"/>
    </row>
    <row r="76" spans="1:6">
      <c r="A76" s="359"/>
      <c r="B76" s="359"/>
      <c r="C76" s="359"/>
      <c r="D76" s="359"/>
      <c r="E76" s="359"/>
      <c r="F76" s="359"/>
    </row>
    <row r="77" spans="1:6">
      <c r="A77" s="359"/>
      <c r="B77" s="359"/>
      <c r="C77" s="359"/>
      <c r="D77" s="359"/>
      <c r="E77" s="359"/>
      <c r="F77" s="359"/>
    </row>
    <row r="78" spans="1:6">
      <c r="A78" s="359"/>
      <c r="B78" s="359"/>
      <c r="C78" s="359"/>
      <c r="D78" s="359"/>
      <c r="E78" s="359"/>
      <c r="F78" s="359"/>
    </row>
    <row r="79" spans="1:6">
      <c r="A79" s="359"/>
      <c r="B79" s="359"/>
      <c r="C79" s="359"/>
      <c r="D79" s="359"/>
      <c r="E79" s="359"/>
      <c r="F79" s="359"/>
    </row>
    <row r="80" spans="1:6">
      <c r="A80" s="359"/>
      <c r="B80" s="359"/>
      <c r="C80" s="359"/>
      <c r="D80" s="359"/>
      <c r="E80" s="359"/>
      <c r="F80" s="359"/>
    </row>
    <row r="81" spans="1:6">
      <c r="A81" s="359"/>
      <c r="B81" s="359"/>
      <c r="C81" s="359"/>
      <c r="D81" s="359"/>
      <c r="E81" s="359"/>
      <c r="F81" s="359"/>
    </row>
    <row r="82" spans="1:6">
      <c r="A82" s="359"/>
      <c r="B82" s="359"/>
      <c r="C82" s="359"/>
      <c r="D82" s="359"/>
      <c r="E82" s="359"/>
      <c r="F82" s="359"/>
    </row>
    <row r="83" spans="1:6">
      <c r="A83" s="359"/>
      <c r="B83" s="359"/>
      <c r="C83" s="359"/>
      <c r="D83" s="359"/>
      <c r="E83" s="359"/>
      <c r="F83" s="359"/>
    </row>
    <row r="84" spans="1:6">
      <c r="A84" s="359"/>
      <c r="B84" s="359"/>
      <c r="C84" s="359"/>
      <c r="D84" s="359"/>
      <c r="E84" s="359"/>
      <c r="F84" s="359"/>
    </row>
    <row r="85" spans="1:6">
      <c r="A85" s="359"/>
      <c r="B85" s="359"/>
      <c r="C85" s="359"/>
      <c r="D85" s="359"/>
      <c r="E85" s="359"/>
      <c r="F85" s="359"/>
    </row>
    <row r="86" spans="1:6">
      <c r="A86" s="359"/>
      <c r="B86" s="359"/>
      <c r="C86" s="359"/>
      <c r="D86" s="359"/>
      <c r="E86" s="359"/>
      <c r="F86" s="359"/>
    </row>
    <row r="87" spans="1:6">
      <c r="A87" s="359"/>
      <c r="B87" s="359"/>
      <c r="C87" s="359"/>
      <c r="D87" s="359"/>
      <c r="E87" s="359"/>
      <c r="F87" s="359"/>
    </row>
    <row r="88" spans="1:6">
      <c r="A88" s="359"/>
      <c r="B88" s="359"/>
      <c r="C88" s="359"/>
      <c r="D88" s="359"/>
      <c r="E88" s="359"/>
      <c r="F88" s="359"/>
    </row>
    <row r="89" spans="1:6">
      <c r="A89" s="359"/>
      <c r="B89" s="359"/>
      <c r="C89" s="359"/>
      <c r="D89" s="359"/>
      <c r="E89" s="359"/>
      <c r="F89" s="359"/>
    </row>
    <row r="90" spans="1:6">
      <c r="A90" s="359"/>
      <c r="B90" s="359"/>
      <c r="C90" s="359"/>
      <c r="D90" s="359"/>
      <c r="E90" s="359"/>
      <c r="F90" s="359"/>
    </row>
    <row r="91" spans="1:6">
      <c r="A91" s="359"/>
      <c r="B91" s="359"/>
      <c r="C91" s="359"/>
      <c r="D91" s="359"/>
      <c r="E91" s="359"/>
      <c r="F91" s="359"/>
    </row>
    <row r="92" spans="1:6">
      <c r="A92" s="359"/>
      <c r="B92" s="359"/>
      <c r="C92" s="359"/>
      <c r="D92" s="359"/>
      <c r="E92" s="359"/>
      <c r="F92" s="359"/>
    </row>
    <row r="93" spans="1:6">
      <c r="A93" s="359"/>
      <c r="B93" s="359"/>
      <c r="C93" s="359"/>
      <c r="D93" s="359"/>
      <c r="E93" s="359"/>
      <c r="F93" s="359"/>
    </row>
    <row r="94" spans="1:6">
      <c r="A94" s="359"/>
      <c r="B94" s="359"/>
      <c r="C94" s="359"/>
      <c r="D94" s="359"/>
      <c r="E94" s="359"/>
      <c r="F94" s="359"/>
    </row>
    <row r="95" spans="1:6">
      <c r="A95" s="359"/>
      <c r="B95" s="359"/>
      <c r="C95" s="359"/>
      <c r="D95" s="359"/>
      <c r="E95" s="359"/>
      <c r="F95" s="359"/>
    </row>
    <row r="96" spans="1:6">
      <c r="A96" s="359"/>
      <c r="B96" s="359"/>
      <c r="C96" s="359"/>
      <c r="D96" s="359"/>
      <c r="E96" s="359"/>
      <c r="F96" s="359"/>
    </row>
    <row r="97" spans="1:6">
      <c r="A97" s="359"/>
      <c r="B97" s="359"/>
      <c r="C97" s="359"/>
      <c r="D97" s="359"/>
      <c r="E97" s="359"/>
      <c r="F97" s="359"/>
    </row>
    <row r="98" spans="1:6">
      <c r="A98" s="359"/>
      <c r="B98" s="359"/>
      <c r="C98" s="359"/>
      <c r="D98" s="359"/>
      <c r="E98" s="359"/>
      <c r="F98" s="359"/>
    </row>
    <row r="99" spans="1:6">
      <c r="A99" s="359"/>
      <c r="B99" s="359"/>
      <c r="C99" s="359"/>
      <c r="D99" s="359"/>
      <c r="E99" s="359"/>
      <c r="F99" s="359"/>
    </row>
    <row r="100" spans="1:6">
      <c r="A100" s="359"/>
      <c r="B100" s="359"/>
      <c r="C100" s="359"/>
      <c r="D100" s="359"/>
      <c r="E100" s="359"/>
      <c r="F100" s="359"/>
    </row>
    <row r="101" spans="1:6">
      <c r="A101" s="359"/>
      <c r="B101" s="359"/>
      <c r="C101" s="359"/>
      <c r="D101" s="359"/>
      <c r="E101" s="359"/>
      <c r="F101" s="359"/>
    </row>
    <row r="102" spans="1:6">
      <c r="A102" s="359"/>
      <c r="B102" s="359"/>
      <c r="C102" s="359"/>
      <c r="D102" s="359"/>
      <c r="E102" s="359"/>
      <c r="F102" s="359"/>
    </row>
    <row r="103" spans="1:6">
      <c r="A103" s="359"/>
      <c r="B103" s="359"/>
      <c r="C103" s="359"/>
      <c r="D103" s="359"/>
      <c r="E103" s="359"/>
      <c r="F103" s="359"/>
    </row>
    <row r="104" spans="1:6">
      <c r="A104" s="359"/>
      <c r="B104" s="359"/>
      <c r="C104" s="359"/>
      <c r="D104" s="359"/>
      <c r="E104" s="359"/>
      <c r="F104" s="359"/>
    </row>
    <row r="105" spans="1:6">
      <c r="A105" s="359"/>
      <c r="B105" s="359"/>
      <c r="C105" s="359"/>
      <c r="D105" s="359"/>
      <c r="E105" s="359"/>
      <c r="F105" s="359"/>
    </row>
    <row r="106" spans="1:6">
      <c r="A106" s="359"/>
      <c r="B106" s="359"/>
      <c r="C106" s="359"/>
      <c r="D106" s="359"/>
      <c r="E106" s="359"/>
      <c r="F106" s="359"/>
    </row>
    <row r="107" spans="1:6">
      <c r="A107" s="359"/>
      <c r="B107" s="359"/>
      <c r="C107" s="359"/>
      <c r="D107" s="359"/>
      <c r="E107" s="359"/>
      <c r="F107" s="359"/>
    </row>
    <row r="108" spans="1:6">
      <c r="A108" s="359"/>
      <c r="B108" s="359"/>
      <c r="C108" s="359"/>
      <c r="D108" s="359"/>
      <c r="E108" s="359"/>
      <c r="F108" s="359"/>
    </row>
    <row r="109" spans="1:6">
      <c r="A109" s="359"/>
      <c r="B109" s="359"/>
      <c r="C109" s="359"/>
      <c r="D109" s="359"/>
      <c r="E109" s="359"/>
      <c r="F109" s="359"/>
    </row>
    <row r="110" spans="1:6">
      <c r="A110" s="359"/>
      <c r="B110" s="359"/>
      <c r="C110" s="359"/>
      <c r="D110" s="359"/>
      <c r="E110" s="359"/>
      <c r="F110" s="359"/>
    </row>
    <row r="111" spans="1:6">
      <c r="A111" s="359"/>
      <c r="B111" s="359"/>
      <c r="C111" s="359"/>
      <c r="D111" s="359"/>
      <c r="E111" s="359"/>
      <c r="F111" s="359"/>
    </row>
    <row r="112" spans="1:6">
      <c r="A112" s="359"/>
      <c r="B112" s="359"/>
      <c r="C112" s="359"/>
      <c r="D112" s="359"/>
      <c r="E112" s="359"/>
      <c r="F112" s="359"/>
    </row>
    <row r="113" spans="1:6">
      <c r="A113" s="359"/>
      <c r="B113" s="359"/>
      <c r="C113" s="359"/>
      <c r="D113" s="359"/>
      <c r="E113" s="359"/>
      <c r="F113" s="359"/>
    </row>
    <row r="114" spans="1:6">
      <c r="A114" s="359"/>
      <c r="B114" s="359"/>
      <c r="C114" s="359"/>
      <c r="D114" s="359"/>
      <c r="E114" s="359"/>
      <c r="F114" s="359"/>
    </row>
    <row r="115" spans="1:6">
      <c r="A115" s="359"/>
      <c r="B115" s="359"/>
      <c r="C115" s="359"/>
      <c r="D115" s="359"/>
      <c r="E115" s="359"/>
      <c r="F115" s="359"/>
    </row>
    <row r="116" spans="1:6">
      <c r="A116" s="359"/>
      <c r="B116" s="359"/>
      <c r="C116" s="359"/>
      <c r="D116" s="359"/>
      <c r="E116" s="359"/>
      <c r="F116" s="359"/>
    </row>
    <row r="117" spans="1:6">
      <c r="A117" s="359"/>
      <c r="B117" s="359"/>
      <c r="C117" s="359"/>
      <c r="D117" s="359"/>
      <c r="E117" s="359"/>
      <c r="F117" s="359"/>
    </row>
    <row r="118" spans="1:6">
      <c r="A118" s="359"/>
      <c r="B118" s="359"/>
      <c r="C118" s="359"/>
      <c r="D118" s="359"/>
      <c r="E118" s="359"/>
      <c r="F118" s="359"/>
    </row>
    <row r="119" spans="1:6">
      <c r="A119" s="359"/>
      <c r="B119" s="359"/>
      <c r="C119" s="359"/>
      <c r="D119" s="359"/>
      <c r="E119" s="359"/>
      <c r="F119" s="359"/>
    </row>
    <row r="120" spans="1:6">
      <c r="A120" s="359"/>
      <c r="B120" s="359"/>
      <c r="C120" s="359"/>
      <c r="D120" s="359"/>
      <c r="E120" s="359"/>
      <c r="F120" s="359"/>
    </row>
    <row r="121" spans="1:6">
      <c r="A121" s="359"/>
      <c r="B121" s="359"/>
      <c r="C121" s="359"/>
      <c r="D121" s="359"/>
      <c r="E121" s="359"/>
      <c r="F121" s="359"/>
    </row>
    <row r="122" spans="1:6">
      <c r="A122" s="359"/>
      <c r="B122" s="359"/>
      <c r="C122" s="359"/>
      <c r="D122" s="359"/>
      <c r="E122" s="359"/>
      <c r="F122" s="359"/>
    </row>
    <row r="123" spans="1:6">
      <c r="A123" s="359"/>
      <c r="B123" s="359"/>
      <c r="C123" s="359"/>
      <c r="D123" s="359"/>
      <c r="E123" s="359"/>
      <c r="F123" s="359"/>
    </row>
    <row r="124" spans="1:6">
      <c r="A124" s="359"/>
      <c r="B124" s="359"/>
      <c r="C124" s="359"/>
      <c r="D124" s="359"/>
      <c r="E124" s="359"/>
      <c r="F124" s="359"/>
    </row>
    <row r="125" spans="1:6">
      <c r="A125" s="359"/>
      <c r="B125" s="359"/>
      <c r="C125" s="359"/>
      <c r="D125" s="359"/>
      <c r="E125" s="359"/>
      <c r="F125" s="359"/>
    </row>
    <row r="126" spans="1:6">
      <c r="A126" s="359"/>
      <c r="B126" s="359"/>
      <c r="C126" s="359"/>
      <c r="D126" s="359"/>
      <c r="E126" s="359"/>
      <c r="F126" s="359"/>
    </row>
    <row r="127" spans="1:6">
      <c r="A127" s="359"/>
      <c r="B127" s="359"/>
      <c r="C127" s="359"/>
      <c r="D127" s="359"/>
      <c r="E127" s="359"/>
      <c r="F127" s="359"/>
    </row>
    <row r="128" spans="1:6">
      <c r="A128" s="359"/>
      <c r="B128" s="359"/>
      <c r="C128" s="359"/>
      <c r="D128" s="359"/>
      <c r="E128" s="359"/>
      <c r="F128" s="359"/>
    </row>
    <row r="129" spans="1:6">
      <c r="A129" s="359"/>
      <c r="B129" s="359"/>
      <c r="C129" s="359"/>
      <c r="D129" s="359"/>
      <c r="E129" s="359"/>
      <c r="F129" s="359"/>
    </row>
    <row r="130" spans="1:6">
      <c r="A130" s="359"/>
      <c r="B130" s="359"/>
      <c r="C130" s="359"/>
      <c r="D130" s="359"/>
      <c r="E130" s="359"/>
      <c r="F130" s="359"/>
    </row>
    <row r="131" spans="1:6">
      <c r="A131" s="359"/>
      <c r="B131" s="359"/>
      <c r="C131" s="359"/>
      <c r="D131" s="359"/>
      <c r="E131" s="359"/>
      <c r="F131" s="359"/>
    </row>
    <row r="132" spans="1:6">
      <c r="A132" s="359"/>
      <c r="B132" s="359"/>
      <c r="C132" s="359"/>
      <c r="D132" s="359"/>
      <c r="E132" s="359"/>
      <c r="F132" s="359"/>
    </row>
    <row r="133" spans="1:6">
      <c r="A133" s="359"/>
      <c r="B133" s="359"/>
      <c r="C133" s="359"/>
      <c r="D133" s="359"/>
      <c r="E133" s="359"/>
      <c r="F133" s="359"/>
    </row>
    <row r="134" spans="1:6">
      <c r="A134" s="359"/>
      <c r="B134" s="359"/>
      <c r="C134" s="359"/>
      <c r="D134" s="359"/>
      <c r="E134" s="359"/>
      <c r="F134" s="359"/>
    </row>
    <row r="135" spans="1:6">
      <c r="A135" s="359"/>
      <c r="B135" s="359"/>
      <c r="C135" s="359"/>
      <c r="D135" s="359"/>
      <c r="E135" s="359"/>
      <c r="F135" s="359"/>
    </row>
    <row r="136" spans="1:6">
      <c r="A136" s="359"/>
      <c r="B136" s="359"/>
      <c r="C136" s="359"/>
      <c r="D136" s="359"/>
      <c r="E136" s="359"/>
      <c r="F136" s="359"/>
    </row>
    <row r="137" spans="1:6">
      <c r="A137" s="359"/>
      <c r="B137" s="359"/>
      <c r="C137" s="359"/>
      <c r="D137" s="359"/>
      <c r="E137" s="359"/>
      <c r="F137" s="359"/>
    </row>
    <row r="138" spans="1:6">
      <c r="A138" s="359"/>
      <c r="B138" s="359"/>
      <c r="C138" s="359"/>
      <c r="D138" s="359"/>
      <c r="E138" s="359"/>
      <c r="F138" s="359"/>
    </row>
    <row r="139" spans="1:6">
      <c r="A139" s="359"/>
      <c r="B139" s="359"/>
      <c r="C139" s="359"/>
      <c r="D139" s="359"/>
      <c r="E139" s="359"/>
      <c r="F139" s="359"/>
    </row>
    <row r="140" spans="1:6">
      <c r="A140" s="359"/>
      <c r="B140" s="359"/>
      <c r="C140" s="359"/>
      <c r="D140" s="359"/>
      <c r="E140" s="359"/>
      <c r="F140" s="359"/>
    </row>
    <row r="141" spans="1:6">
      <c r="A141" s="359"/>
      <c r="B141" s="359"/>
      <c r="C141" s="359"/>
      <c r="D141" s="359"/>
      <c r="E141" s="359"/>
      <c r="F141" s="359"/>
    </row>
  </sheetData>
  <mergeCells count="4">
    <mergeCell ref="A18:F18"/>
    <mergeCell ref="A61:F61"/>
    <mergeCell ref="A1:F1"/>
    <mergeCell ref="A5:F5"/>
  </mergeCells>
  <conditionalFormatting sqref="O22:O61">
    <cfRule type="expression" dxfId="1002" priority="1">
      <formula>$O22="Generado"</formula>
    </cfRule>
    <cfRule type="expression" dxfId="1001" priority="2">
      <formula>$O22="Pendiente motor"</formula>
    </cfRule>
    <cfRule type="expression" dxfId="1000" priority="3">
      <formula>$O22="Generado"</formula>
    </cfRule>
  </conditionalFormatting>
  <dataValidations count="3">
    <dataValidation type="list" sqref="B16" xr:uid="{00000000-0002-0000-0000-000000000000}">
      <formula1>"Sí,No"</formula1>
    </dataValidation>
    <dataValidation type="list" sqref="B14:B15" xr:uid="{00000000-0002-0000-0000-000001000000}">
      <formula1>"Alto,Medio,Bajo,Pendiente"</formula1>
    </dataValidation>
    <dataValidation type="list" sqref="B8" xr:uid="{00000000-0002-0000-0000-000002000000}">
      <formula1>"Turno de Noche,Turno de Mañana,Turno de Tarde,Libre,TEX"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/>
  </sheetViews>
  <sheetFormatPr baseColWidth="10" defaultColWidth="9.453125" defaultRowHeight="14.5"/>
  <cols>
    <col min="1" max="2" width="19.6328125" style="355" customWidth="1"/>
    <col min="3" max="7" width="30.54296875" style="355" customWidth="1"/>
    <col min="8" max="9" width="19.6328125" style="355" customWidth="1"/>
    <col min="10" max="10" width="37.08984375" style="355" customWidth="1"/>
    <col min="11" max="16384" width="9.453125" style="355"/>
  </cols>
  <sheetData>
    <row r="1" spans="1:10" ht="15">
      <c r="A1" s="424" t="s">
        <v>70</v>
      </c>
      <c r="B1" s="423"/>
      <c r="C1" s="423"/>
      <c r="D1" s="423"/>
      <c r="E1" s="423"/>
      <c r="F1" s="423"/>
      <c r="G1" s="423"/>
      <c r="H1" s="423"/>
      <c r="I1" s="423"/>
      <c r="J1" s="423"/>
    </row>
    <row r="2" spans="1:10" ht="72.5">
      <c r="A2" s="359" t="s">
        <v>1</v>
      </c>
      <c r="B2" s="359" t="s">
        <v>71</v>
      </c>
      <c r="C2" s="359"/>
      <c r="D2" s="359"/>
      <c r="E2" s="359"/>
      <c r="F2" s="359"/>
      <c r="G2" s="359"/>
      <c r="H2" s="359"/>
      <c r="I2" s="359"/>
      <c r="J2" s="359"/>
    </row>
    <row r="3" spans="1:10" ht="72.5">
      <c r="A3" s="359" t="s">
        <v>3</v>
      </c>
      <c r="B3" s="359" t="s">
        <v>72</v>
      </c>
      <c r="C3" s="359"/>
      <c r="D3" s="359"/>
      <c r="E3" s="359"/>
      <c r="F3" s="359"/>
      <c r="G3" s="359"/>
      <c r="H3" s="359"/>
      <c r="I3" s="359"/>
      <c r="J3" s="359"/>
    </row>
    <row r="4" spans="1:10">
      <c r="A4" s="359"/>
      <c r="B4" s="359"/>
      <c r="C4" s="359"/>
      <c r="D4" s="359"/>
      <c r="E4" s="359"/>
      <c r="F4" s="359"/>
      <c r="G4" s="359"/>
      <c r="H4" s="359"/>
      <c r="I4" s="359"/>
      <c r="J4" s="359"/>
    </row>
    <row r="5" spans="1:10">
      <c r="A5" s="404" t="s">
        <v>73</v>
      </c>
      <c r="B5" s="404" t="s">
        <v>74</v>
      </c>
      <c r="C5" s="404" t="s">
        <v>75</v>
      </c>
      <c r="D5" s="404" t="s">
        <v>76</v>
      </c>
      <c r="E5" s="404" t="s">
        <v>77</v>
      </c>
      <c r="F5" s="404" t="s">
        <v>78</v>
      </c>
      <c r="G5" s="404" t="s">
        <v>10</v>
      </c>
      <c r="H5" s="404" t="s">
        <v>79</v>
      </c>
      <c r="I5" s="404" t="s">
        <v>80</v>
      </c>
      <c r="J5" s="404" t="s">
        <v>11</v>
      </c>
    </row>
    <row r="6" spans="1:10" ht="29">
      <c r="A6" s="359" t="s">
        <v>81</v>
      </c>
      <c r="B6" s="359" t="s">
        <v>82</v>
      </c>
      <c r="C6" s="359" t="s">
        <v>20</v>
      </c>
      <c r="D6" s="359" t="s">
        <v>83</v>
      </c>
      <c r="E6" s="359" t="s">
        <v>84</v>
      </c>
      <c r="F6" s="359" t="s">
        <v>85</v>
      </c>
      <c r="G6" s="359" t="s">
        <v>86</v>
      </c>
      <c r="H6" s="359" t="s">
        <v>87</v>
      </c>
      <c r="I6" s="359" t="s">
        <v>87</v>
      </c>
      <c r="J6" s="359" t="s">
        <v>88</v>
      </c>
    </row>
    <row r="7" spans="1:10" ht="29">
      <c r="A7" s="359" t="s">
        <v>89</v>
      </c>
      <c r="B7" s="359" t="s">
        <v>90</v>
      </c>
      <c r="C7" s="359" t="s">
        <v>91</v>
      </c>
      <c r="D7" s="359" t="s">
        <v>92</v>
      </c>
      <c r="E7" s="359" t="s">
        <v>93</v>
      </c>
      <c r="F7" s="359" t="s">
        <v>85</v>
      </c>
      <c r="G7" s="359" t="s">
        <v>94</v>
      </c>
      <c r="H7" s="359" t="s">
        <v>87</v>
      </c>
      <c r="I7" s="359" t="s">
        <v>87</v>
      </c>
      <c r="J7" s="359" t="s">
        <v>95</v>
      </c>
    </row>
    <row r="8" spans="1:10" ht="29">
      <c r="A8" s="359" t="s">
        <v>96</v>
      </c>
      <c r="B8" s="359" t="s">
        <v>59</v>
      </c>
      <c r="C8" s="359" t="s">
        <v>97</v>
      </c>
      <c r="D8" s="359" t="s">
        <v>59</v>
      </c>
      <c r="E8" s="359" t="s">
        <v>98</v>
      </c>
      <c r="F8" s="359" t="s">
        <v>99</v>
      </c>
      <c r="G8" s="359" t="s">
        <v>100</v>
      </c>
      <c r="H8" s="359" t="s">
        <v>87</v>
      </c>
      <c r="I8" s="359" t="s">
        <v>87</v>
      </c>
      <c r="J8" s="359" t="s">
        <v>101</v>
      </c>
    </row>
    <row r="9" spans="1:10" ht="29">
      <c r="A9" s="359" t="s">
        <v>102</v>
      </c>
      <c r="B9" s="359" t="s">
        <v>103</v>
      </c>
      <c r="C9" s="359" t="s">
        <v>104</v>
      </c>
      <c r="D9" s="359" t="s">
        <v>103</v>
      </c>
      <c r="E9" s="359" t="s">
        <v>105</v>
      </c>
      <c r="F9" s="359" t="s">
        <v>85</v>
      </c>
      <c r="G9" s="359" t="s">
        <v>106</v>
      </c>
      <c r="H9" s="359" t="s">
        <v>87</v>
      </c>
      <c r="I9" s="359" t="s">
        <v>87</v>
      </c>
      <c r="J9" s="359" t="s">
        <v>107</v>
      </c>
    </row>
    <row r="10" spans="1:10" ht="29">
      <c r="A10" s="359" t="s">
        <v>108</v>
      </c>
      <c r="B10" s="359" t="s">
        <v>109</v>
      </c>
      <c r="C10" s="359" t="s">
        <v>110</v>
      </c>
      <c r="D10" s="359" t="s">
        <v>111</v>
      </c>
      <c r="E10" s="359" t="s">
        <v>112</v>
      </c>
      <c r="F10" s="359" t="s">
        <v>82</v>
      </c>
      <c r="G10" s="359" t="s">
        <v>113</v>
      </c>
      <c r="H10" s="359" t="s">
        <v>87</v>
      </c>
      <c r="I10" s="359" t="s">
        <v>87</v>
      </c>
      <c r="J10" s="359" t="s">
        <v>114</v>
      </c>
    </row>
    <row r="11" spans="1:10" ht="29">
      <c r="A11" s="359" t="s">
        <v>115</v>
      </c>
      <c r="B11" s="359" t="s">
        <v>116</v>
      </c>
      <c r="C11" s="359" t="s">
        <v>117</v>
      </c>
      <c r="D11" s="359" t="s">
        <v>118</v>
      </c>
      <c r="E11" s="359" t="s">
        <v>119</v>
      </c>
      <c r="F11" s="359" t="s">
        <v>85</v>
      </c>
      <c r="G11" s="359" t="s">
        <v>120</v>
      </c>
      <c r="H11" s="359" t="s">
        <v>87</v>
      </c>
      <c r="I11" s="359" t="s">
        <v>87</v>
      </c>
      <c r="J11" s="359" t="s">
        <v>121</v>
      </c>
    </row>
    <row r="12" spans="1:10" ht="29">
      <c r="A12" s="359" t="s">
        <v>122</v>
      </c>
      <c r="B12" s="359" t="s">
        <v>123</v>
      </c>
      <c r="C12" s="359" t="s">
        <v>124</v>
      </c>
      <c r="D12" s="359" t="s">
        <v>125</v>
      </c>
      <c r="E12" s="359" t="s">
        <v>126</v>
      </c>
      <c r="F12" s="359" t="s">
        <v>82</v>
      </c>
      <c r="G12" s="359" t="s">
        <v>127</v>
      </c>
      <c r="H12" s="359" t="s">
        <v>87</v>
      </c>
      <c r="I12" s="359" t="s">
        <v>87</v>
      </c>
      <c r="J12" s="359" t="s">
        <v>128</v>
      </c>
    </row>
    <row r="13" spans="1:10" ht="29">
      <c r="A13" s="359" t="s">
        <v>129</v>
      </c>
      <c r="B13" s="359" t="s">
        <v>130</v>
      </c>
      <c r="C13" s="359" t="s">
        <v>131</v>
      </c>
      <c r="D13" s="359" t="s">
        <v>132</v>
      </c>
      <c r="E13" s="359" t="s">
        <v>133</v>
      </c>
      <c r="F13" s="359" t="s">
        <v>85</v>
      </c>
      <c r="G13" s="359" t="s">
        <v>134</v>
      </c>
      <c r="H13" s="359" t="s">
        <v>87</v>
      </c>
      <c r="I13" s="359" t="s">
        <v>87</v>
      </c>
      <c r="J13" s="359" t="s">
        <v>135</v>
      </c>
    </row>
    <row r="14" spans="1:10" ht="29">
      <c r="A14" s="359" t="s">
        <v>136</v>
      </c>
      <c r="B14" s="359" t="s">
        <v>137</v>
      </c>
      <c r="C14" s="359" t="s">
        <v>31</v>
      </c>
      <c r="D14" s="359" t="s">
        <v>138</v>
      </c>
      <c r="E14" s="359" t="s">
        <v>139</v>
      </c>
      <c r="F14" s="359" t="s">
        <v>82</v>
      </c>
      <c r="G14" s="359" t="s">
        <v>140</v>
      </c>
      <c r="H14" s="359" t="s">
        <v>87</v>
      </c>
      <c r="I14" s="359" t="s">
        <v>87</v>
      </c>
      <c r="J14" s="359" t="s">
        <v>141</v>
      </c>
    </row>
    <row r="15" spans="1:10" ht="29">
      <c r="A15" s="359" t="s">
        <v>142</v>
      </c>
      <c r="B15" s="359" t="s">
        <v>143</v>
      </c>
      <c r="C15" s="359" t="s">
        <v>50</v>
      </c>
      <c r="D15" s="359" t="s">
        <v>144</v>
      </c>
      <c r="E15" s="359" t="s">
        <v>145</v>
      </c>
      <c r="F15" s="359" t="s">
        <v>85</v>
      </c>
      <c r="G15" s="359" t="s">
        <v>146</v>
      </c>
      <c r="H15" s="359" t="s">
        <v>87</v>
      </c>
      <c r="I15" s="359" t="s">
        <v>87</v>
      </c>
      <c r="J15" s="359" t="s">
        <v>147</v>
      </c>
    </row>
    <row r="16" spans="1:10">
      <c r="A16" s="359" t="s">
        <v>148</v>
      </c>
      <c r="B16" s="359" t="s">
        <v>149</v>
      </c>
      <c r="C16" s="359" t="s">
        <v>54</v>
      </c>
      <c r="D16" s="359" t="s">
        <v>150</v>
      </c>
      <c r="E16" s="359" t="s">
        <v>151</v>
      </c>
      <c r="F16" s="359" t="s">
        <v>85</v>
      </c>
      <c r="G16" s="359" t="s">
        <v>152</v>
      </c>
      <c r="H16" s="359" t="s">
        <v>87</v>
      </c>
      <c r="I16" s="359" t="s">
        <v>87</v>
      </c>
      <c r="J16" s="359" t="s">
        <v>153</v>
      </c>
    </row>
    <row r="17" spans="1:10">
      <c r="A17" s="359" t="s">
        <v>154</v>
      </c>
      <c r="B17" s="359" t="s">
        <v>155</v>
      </c>
      <c r="C17" s="359" t="s">
        <v>156</v>
      </c>
      <c r="D17" s="359" t="s">
        <v>157</v>
      </c>
      <c r="E17" s="359" t="s">
        <v>158</v>
      </c>
      <c r="F17" s="359" t="s">
        <v>159</v>
      </c>
      <c r="G17" s="359" t="s">
        <v>160</v>
      </c>
      <c r="H17" s="359" t="s">
        <v>87</v>
      </c>
      <c r="I17" s="359" t="s">
        <v>87</v>
      </c>
      <c r="J17" s="359" t="s">
        <v>161</v>
      </c>
    </row>
    <row r="18" spans="1:10" ht="29">
      <c r="A18" s="359" t="s">
        <v>162</v>
      </c>
      <c r="B18" s="359" t="s">
        <v>163</v>
      </c>
      <c r="C18" s="359" t="s">
        <v>164</v>
      </c>
      <c r="D18" s="359" t="s">
        <v>157</v>
      </c>
      <c r="E18" s="359" t="s">
        <v>165</v>
      </c>
      <c r="F18" s="359" t="s">
        <v>159</v>
      </c>
      <c r="G18" s="359" t="s">
        <v>166</v>
      </c>
      <c r="H18" s="359" t="s">
        <v>87</v>
      </c>
      <c r="I18" s="359" t="s">
        <v>87</v>
      </c>
      <c r="J18" s="359" t="s">
        <v>167</v>
      </c>
    </row>
    <row r="19" spans="1:10" ht="29">
      <c r="A19" s="359" t="s">
        <v>168</v>
      </c>
      <c r="B19" s="359" t="s">
        <v>169</v>
      </c>
      <c r="C19" s="359" t="s">
        <v>170</v>
      </c>
      <c r="D19" s="359" t="s">
        <v>157</v>
      </c>
      <c r="E19" s="359" t="s">
        <v>171</v>
      </c>
      <c r="F19" s="359" t="s">
        <v>159</v>
      </c>
      <c r="G19" s="359" t="s">
        <v>172</v>
      </c>
      <c r="H19" s="359" t="s">
        <v>87</v>
      </c>
      <c r="I19" s="359" t="s">
        <v>87</v>
      </c>
      <c r="J19" s="359" t="s">
        <v>173</v>
      </c>
    </row>
    <row r="20" spans="1:10" ht="29">
      <c r="A20" s="359" t="s">
        <v>174</v>
      </c>
      <c r="B20" s="359" t="s">
        <v>175</v>
      </c>
      <c r="C20" s="359" t="s">
        <v>176</v>
      </c>
      <c r="D20" s="359" t="s">
        <v>157</v>
      </c>
      <c r="E20" s="359" t="s">
        <v>177</v>
      </c>
      <c r="F20" s="359" t="s">
        <v>178</v>
      </c>
      <c r="G20" s="359" t="s">
        <v>179</v>
      </c>
      <c r="H20" s="359" t="s">
        <v>87</v>
      </c>
      <c r="I20" s="359" t="s">
        <v>87</v>
      </c>
      <c r="J20" s="359" t="s">
        <v>180</v>
      </c>
    </row>
    <row r="21" spans="1:10" ht="29">
      <c r="A21" s="359" t="s">
        <v>181</v>
      </c>
      <c r="B21" s="359" t="s">
        <v>182</v>
      </c>
      <c r="C21" s="359" t="s">
        <v>183</v>
      </c>
      <c r="D21" s="359" t="s">
        <v>184</v>
      </c>
      <c r="E21" s="359" t="s">
        <v>185</v>
      </c>
      <c r="F21" s="359" t="s">
        <v>82</v>
      </c>
      <c r="G21" s="359" t="s">
        <v>186</v>
      </c>
      <c r="H21" s="359" t="s">
        <v>87</v>
      </c>
      <c r="I21" s="359" t="s">
        <v>58</v>
      </c>
      <c r="J21" s="359" t="s">
        <v>187</v>
      </c>
    </row>
    <row r="22" spans="1:10" ht="29">
      <c r="A22" s="359" t="s">
        <v>188</v>
      </c>
      <c r="B22" s="359" t="s">
        <v>189</v>
      </c>
      <c r="C22" s="359" t="s">
        <v>190</v>
      </c>
      <c r="D22" s="359" t="s">
        <v>184</v>
      </c>
      <c r="E22" s="359" t="s">
        <v>191</v>
      </c>
      <c r="F22" s="359" t="s">
        <v>82</v>
      </c>
      <c r="G22" s="359" t="s">
        <v>192</v>
      </c>
      <c r="H22" s="359" t="s">
        <v>87</v>
      </c>
      <c r="I22" s="359" t="s">
        <v>58</v>
      </c>
      <c r="J22" s="359" t="s">
        <v>193</v>
      </c>
    </row>
    <row r="23" spans="1:10" ht="29">
      <c r="A23" s="359" t="s">
        <v>194</v>
      </c>
      <c r="B23" s="359" t="s">
        <v>195</v>
      </c>
      <c r="C23" s="359" t="s">
        <v>196</v>
      </c>
      <c r="D23" s="359" t="s">
        <v>184</v>
      </c>
      <c r="E23" s="359" t="s">
        <v>197</v>
      </c>
      <c r="F23" s="359" t="s">
        <v>82</v>
      </c>
      <c r="G23" s="359" t="s">
        <v>198</v>
      </c>
      <c r="H23" s="359" t="s">
        <v>87</v>
      </c>
      <c r="I23" s="359" t="s">
        <v>58</v>
      </c>
      <c r="J23" s="359" t="s">
        <v>199</v>
      </c>
    </row>
    <row r="24" spans="1:10">
      <c r="A24" s="359" t="s">
        <v>200</v>
      </c>
      <c r="B24" s="359" t="s">
        <v>201</v>
      </c>
      <c r="C24" s="359" t="s">
        <v>202</v>
      </c>
      <c r="D24" s="359" t="s">
        <v>184</v>
      </c>
      <c r="E24" s="359" t="s">
        <v>203</v>
      </c>
      <c r="F24" s="359" t="s">
        <v>82</v>
      </c>
      <c r="G24" s="359" t="s">
        <v>204</v>
      </c>
      <c r="H24" s="359" t="s">
        <v>87</v>
      </c>
      <c r="I24" s="359" t="s">
        <v>58</v>
      </c>
      <c r="J24" s="359" t="s">
        <v>205</v>
      </c>
    </row>
    <row r="25" spans="1:10">
      <c r="A25" s="359" t="s">
        <v>206</v>
      </c>
      <c r="B25" s="359" t="s">
        <v>207</v>
      </c>
      <c r="C25" s="359" t="s">
        <v>208</v>
      </c>
      <c r="D25" s="359" t="s">
        <v>184</v>
      </c>
      <c r="E25" s="359" t="s">
        <v>209</v>
      </c>
      <c r="F25" s="359" t="s">
        <v>82</v>
      </c>
      <c r="G25" s="359" t="s">
        <v>210</v>
      </c>
      <c r="H25" s="359" t="s">
        <v>87</v>
      </c>
      <c r="I25" s="359" t="s">
        <v>58</v>
      </c>
      <c r="J25" s="359" t="s">
        <v>211</v>
      </c>
    </row>
    <row r="26" spans="1:10">
      <c r="A26" s="359" t="s">
        <v>212</v>
      </c>
      <c r="B26" s="359" t="s">
        <v>213</v>
      </c>
      <c r="C26" s="359" t="s">
        <v>214</v>
      </c>
      <c r="D26" s="359" t="s">
        <v>215</v>
      </c>
      <c r="E26" s="359" t="s">
        <v>216</v>
      </c>
      <c r="F26" s="359" t="s">
        <v>159</v>
      </c>
      <c r="G26" s="359" t="s">
        <v>217</v>
      </c>
      <c r="H26" s="359" t="s">
        <v>87</v>
      </c>
      <c r="I26" s="359" t="s">
        <v>58</v>
      </c>
      <c r="J26" s="359" t="s">
        <v>218</v>
      </c>
    </row>
    <row r="27" spans="1:10">
      <c r="A27" s="359" t="s">
        <v>219</v>
      </c>
      <c r="B27" s="359" t="s">
        <v>220</v>
      </c>
      <c r="C27" s="359" t="s">
        <v>221</v>
      </c>
      <c r="D27" s="359" t="s">
        <v>222</v>
      </c>
      <c r="E27" s="359" t="s">
        <v>223</v>
      </c>
      <c r="F27" s="359" t="s">
        <v>224</v>
      </c>
      <c r="G27" s="359" t="s">
        <v>225</v>
      </c>
      <c r="H27" s="359" t="s">
        <v>87</v>
      </c>
      <c r="I27" s="359" t="s">
        <v>87</v>
      </c>
      <c r="J27" s="359" t="s">
        <v>226</v>
      </c>
    </row>
    <row r="28" spans="1:10">
      <c r="A28" s="359" t="s">
        <v>227</v>
      </c>
      <c r="B28" s="359" t="s">
        <v>228</v>
      </c>
      <c r="C28" s="359" t="s">
        <v>229</v>
      </c>
      <c r="D28" s="359" t="s">
        <v>230</v>
      </c>
      <c r="E28" s="359" t="s">
        <v>231</v>
      </c>
      <c r="F28" s="359" t="s">
        <v>224</v>
      </c>
      <c r="G28" s="359" t="s">
        <v>232</v>
      </c>
      <c r="H28" s="359" t="s">
        <v>87</v>
      </c>
      <c r="I28" s="359" t="s">
        <v>87</v>
      </c>
      <c r="J28" s="359" t="s">
        <v>233</v>
      </c>
    </row>
    <row r="29" spans="1:10">
      <c r="A29" s="359" t="s">
        <v>234</v>
      </c>
      <c r="B29" s="359" t="s">
        <v>235</v>
      </c>
      <c r="C29" s="359" t="s">
        <v>236</v>
      </c>
      <c r="D29" s="359" t="s">
        <v>237</v>
      </c>
      <c r="E29" s="359" t="s">
        <v>238</v>
      </c>
      <c r="F29" s="359" t="s">
        <v>239</v>
      </c>
      <c r="G29" s="359" t="s">
        <v>240</v>
      </c>
      <c r="H29" s="359" t="s">
        <v>87</v>
      </c>
      <c r="I29" s="359" t="s">
        <v>87</v>
      </c>
      <c r="J29" s="359" t="s">
        <v>241</v>
      </c>
    </row>
  </sheetData>
  <mergeCells count="1">
    <mergeCell ref="A1:J1"/>
  </mergeCells>
  <dataValidations count="1">
    <dataValidation type="list" sqref="H6:I200" xr:uid="{00000000-0002-0000-0100-000000000000}">
      <formula1>"Sí,No"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/>
  </sheetViews>
  <sheetFormatPr baseColWidth="10" defaultColWidth="9.453125" defaultRowHeight="14.5"/>
  <cols>
    <col min="1" max="6" width="18.54296875" style="355" customWidth="1"/>
    <col min="7" max="8" width="39.26953125" style="355" customWidth="1"/>
    <col min="9" max="10" width="18.54296875" style="355" customWidth="1"/>
    <col min="11" max="12" width="32.7265625" style="355" customWidth="1"/>
    <col min="13" max="16384" width="9.453125" style="355"/>
  </cols>
  <sheetData>
    <row r="1" spans="1:12" ht="15">
      <c r="A1" s="424" t="s">
        <v>242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</row>
    <row r="2" spans="1:12" ht="87">
      <c r="A2" s="359" t="s">
        <v>1</v>
      </c>
      <c r="B2" s="359" t="s">
        <v>243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2" ht="72.5">
      <c r="A3" s="359" t="s">
        <v>3</v>
      </c>
      <c r="B3" s="359" t="s">
        <v>244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</row>
    <row r="4" spans="1:12">
      <c r="A4" s="359"/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</row>
    <row r="5" spans="1:12">
      <c r="A5" s="404" t="s">
        <v>245</v>
      </c>
      <c r="B5" s="404" t="s">
        <v>66</v>
      </c>
      <c r="C5" s="404" t="s">
        <v>246</v>
      </c>
      <c r="D5" s="404" t="s">
        <v>247</v>
      </c>
      <c r="E5" s="404" t="s">
        <v>7</v>
      </c>
      <c r="F5" s="404" t="s">
        <v>248</v>
      </c>
      <c r="G5" s="404" t="s">
        <v>249</v>
      </c>
      <c r="H5" s="404" t="s">
        <v>250</v>
      </c>
      <c r="I5" s="404" t="s">
        <v>251</v>
      </c>
      <c r="J5" s="404" t="s">
        <v>252</v>
      </c>
      <c r="K5" s="404" t="s">
        <v>253</v>
      </c>
      <c r="L5" s="404" t="s">
        <v>254</v>
      </c>
    </row>
    <row r="6" spans="1:12" ht="58">
      <c r="A6" s="359" t="s">
        <v>255</v>
      </c>
      <c r="B6" s="359" t="s">
        <v>256</v>
      </c>
      <c r="C6" s="359" t="s">
        <v>17</v>
      </c>
      <c r="D6" s="359" t="s">
        <v>257</v>
      </c>
      <c r="E6" s="359" t="s">
        <v>18</v>
      </c>
      <c r="F6" s="359">
        <v>100</v>
      </c>
      <c r="G6" s="359" t="s">
        <v>258</v>
      </c>
      <c r="H6" s="359" t="s">
        <v>259</v>
      </c>
      <c r="I6" s="359" t="s">
        <v>87</v>
      </c>
      <c r="J6" s="359" t="s">
        <v>20</v>
      </c>
      <c r="K6" s="359" t="s">
        <v>260</v>
      </c>
      <c r="L6" s="359" t="s">
        <v>261</v>
      </c>
    </row>
    <row r="7" spans="1:12" ht="43.5">
      <c r="A7" s="359" t="s">
        <v>262</v>
      </c>
      <c r="B7" s="359" t="s">
        <v>256</v>
      </c>
      <c r="C7" s="359" t="s">
        <v>17</v>
      </c>
      <c r="D7" s="359" t="s">
        <v>257</v>
      </c>
      <c r="E7" s="359" t="s">
        <v>263</v>
      </c>
      <c r="F7" s="359">
        <v>90</v>
      </c>
      <c r="G7" s="359" t="s">
        <v>264</v>
      </c>
      <c r="H7" s="359" t="s">
        <v>265</v>
      </c>
      <c r="I7" s="359" t="s">
        <v>87</v>
      </c>
      <c r="J7" s="359" t="s">
        <v>20</v>
      </c>
      <c r="K7" s="359" t="s">
        <v>266</v>
      </c>
      <c r="L7" s="359" t="s">
        <v>267</v>
      </c>
    </row>
    <row r="8" spans="1:12" ht="29">
      <c r="A8" s="359" t="s">
        <v>268</v>
      </c>
      <c r="B8" s="359" t="s">
        <v>256</v>
      </c>
      <c r="C8" s="359" t="s">
        <v>17</v>
      </c>
      <c r="D8" s="359" t="s">
        <v>257</v>
      </c>
      <c r="E8" s="359" t="s">
        <v>269</v>
      </c>
      <c r="F8" s="359">
        <v>90</v>
      </c>
      <c r="G8" s="359" t="s">
        <v>270</v>
      </c>
      <c r="H8" s="359" t="s">
        <v>271</v>
      </c>
      <c r="I8" s="359" t="s">
        <v>87</v>
      </c>
      <c r="J8" s="359" t="s">
        <v>20</v>
      </c>
      <c r="K8" s="359" t="s">
        <v>272</v>
      </c>
      <c r="L8" s="359" t="s">
        <v>273</v>
      </c>
    </row>
    <row r="9" spans="1:12" ht="43.5">
      <c r="A9" s="359" t="s">
        <v>274</v>
      </c>
      <c r="B9" s="359" t="s">
        <v>256</v>
      </c>
      <c r="C9" s="359" t="s">
        <v>17</v>
      </c>
      <c r="D9" s="359" t="s">
        <v>257</v>
      </c>
      <c r="E9" s="359" t="s">
        <v>275</v>
      </c>
      <c r="F9" s="359">
        <v>85</v>
      </c>
      <c r="G9" s="359" t="s">
        <v>276</v>
      </c>
      <c r="H9" s="359" t="s">
        <v>277</v>
      </c>
      <c r="I9" s="359" t="s">
        <v>87</v>
      </c>
      <c r="J9" s="359" t="s">
        <v>20</v>
      </c>
      <c r="K9" s="359" t="s">
        <v>278</v>
      </c>
      <c r="L9" s="359" t="s">
        <v>279</v>
      </c>
    </row>
    <row r="10" spans="1:12" ht="29">
      <c r="A10" s="359" t="s">
        <v>280</v>
      </c>
      <c r="B10" s="359" t="s">
        <v>256</v>
      </c>
      <c r="C10" s="359" t="s">
        <v>17</v>
      </c>
      <c r="D10" s="359" t="s">
        <v>257</v>
      </c>
      <c r="E10" s="359" t="s">
        <v>281</v>
      </c>
      <c r="F10" s="359">
        <v>80</v>
      </c>
      <c r="G10" s="359" t="s">
        <v>281</v>
      </c>
      <c r="H10" s="359" t="s">
        <v>282</v>
      </c>
      <c r="I10" s="359" t="s">
        <v>87</v>
      </c>
      <c r="J10" s="359" t="s">
        <v>20</v>
      </c>
      <c r="K10" s="359" t="s">
        <v>283</v>
      </c>
      <c r="L10" s="359" t="s">
        <v>284</v>
      </c>
    </row>
    <row r="11" spans="1:12" ht="29">
      <c r="A11" s="359" t="s">
        <v>285</v>
      </c>
      <c r="B11" s="359" t="s">
        <v>286</v>
      </c>
      <c r="C11" s="359" t="s">
        <v>287</v>
      </c>
      <c r="D11" s="359" t="s">
        <v>288</v>
      </c>
      <c r="E11" s="359" t="s">
        <v>289</v>
      </c>
      <c r="F11" s="359">
        <v>98</v>
      </c>
      <c r="G11" s="359" t="s">
        <v>290</v>
      </c>
      <c r="H11" s="359" t="s">
        <v>291</v>
      </c>
      <c r="I11" s="359" t="s">
        <v>87</v>
      </c>
      <c r="J11" s="359" t="s">
        <v>36</v>
      </c>
      <c r="K11" s="359" t="s">
        <v>292</v>
      </c>
      <c r="L11" s="359" t="s">
        <v>293</v>
      </c>
    </row>
    <row r="12" spans="1:12" ht="29">
      <c r="A12" s="359" t="s">
        <v>294</v>
      </c>
      <c r="B12" s="359" t="s">
        <v>286</v>
      </c>
      <c r="C12" s="359" t="s">
        <v>287</v>
      </c>
      <c r="D12" s="359" t="s">
        <v>288</v>
      </c>
      <c r="E12" s="359" t="s">
        <v>295</v>
      </c>
      <c r="F12" s="359">
        <v>100</v>
      </c>
      <c r="G12" s="359" t="s">
        <v>296</v>
      </c>
      <c r="H12" s="359" t="s">
        <v>297</v>
      </c>
      <c r="I12" s="359" t="s">
        <v>87</v>
      </c>
      <c r="J12" s="359" t="s">
        <v>36</v>
      </c>
      <c r="K12" s="359" t="s">
        <v>298</v>
      </c>
      <c r="L12" s="359" t="s">
        <v>299</v>
      </c>
    </row>
    <row r="13" spans="1:12" ht="29">
      <c r="A13" s="359" t="s">
        <v>300</v>
      </c>
      <c r="B13" s="359" t="s">
        <v>286</v>
      </c>
      <c r="C13" s="359" t="s">
        <v>301</v>
      </c>
      <c r="D13" s="359" t="s">
        <v>257</v>
      </c>
      <c r="E13" s="359" t="s">
        <v>87</v>
      </c>
      <c r="F13" s="359">
        <v>95</v>
      </c>
      <c r="G13" s="359" t="s">
        <v>302</v>
      </c>
      <c r="H13" s="359" t="s">
        <v>303</v>
      </c>
      <c r="I13" s="359" t="s">
        <v>87</v>
      </c>
      <c r="J13" s="359" t="s">
        <v>36</v>
      </c>
      <c r="K13" s="359" t="s">
        <v>304</v>
      </c>
      <c r="L13" s="359" t="s">
        <v>305</v>
      </c>
    </row>
    <row r="14" spans="1:12" ht="29">
      <c r="A14" s="359" t="s">
        <v>306</v>
      </c>
      <c r="B14" s="359" t="s">
        <v>286</v>
      </c>
      <c r="C14" s="359" t="s">
        <v>307</v>
      </c>
      <c r="D14" s="359" t="s">
        <v>308</v>
      </c>
      <c r="E14" s="359" t="s">
        <v>87</v>
      </c>
      <c r="F14" s="359">
        <v>92</v>
      </c>
      <c r="G14" s="359" t="s">
        <v>309</v>
      </c>
      <c r="H14" s="359" t="s">
        <v>310</v>
      </c>
      <c r="I14" s="359" t="s">
        <v>87</v>
      </c>
      <c r="J14" s="359" t="s">
        <v>311</v>
      </c>
      <c r="K14" s="359" t="s">
        <v>312</v>
      </c>
      <c r="L14" s="359" t="s">
        <v>313</v>
      </c>
    </row>
    <row r="15" spans="1:12" ht="29">
      <c r="A15" s="359" t="s">
        <v>314</v>
      </c>
      <c r="B15" s="359" t="s">
        <v>286</v>
      </c>
      <c r="C15" s="359" t="s">
        <v>315</v>
      </c>
      <c r="D15" s="359" t="s">
        <v>308</v>
      </c>
      <c r="E15" s="359" t="s">
        <v>87</v>
      </c>
      <c r="F15" s="359">
        <v>94</v>
      </c>
      <c r="G15" s="359" t="s">
        <v>316</v>
      </c>
      <c r="H15" s="359" t="s">
        <v>317</v>
      </c>
      <c r="I15" s="359" t="s">
        <v>87</v>
      </c>
      <c r="J15" s="359" t="s">
        <v>318</v>
      </c>
      <c r="K15" s="359" t="s">
        <v>319</v>
      </c>
      <c r="L15" s="359" t="s">
        <v>320</v>
      </c>
    </row>
    <row r="16" spans="1:12" ht="29">
      <c r="A16" s="359" t="s">
        <v>321</v>
      </c>
      <c r="B16" s="359" t="s">
        <v>322</v>
      </c>
      <c r="C16" s="359" t="s">
        <v>323</v>
      </c>
      <c r="D16" s="359" t="s">
        <v>257</v>
      </c>
      <c r="E16" s="359" t="s">
        <v>324</v>
      </c>
      <c r="F16" s="359">
        <v>95</v>
      </c>
      <c r="G16" s="359" t="s">
        <v>325</v>
      </c>
      <c r="H16" s="359" t="s">
        <v>326</v>
      </c>
      <c r="I16" s="359" t="s">
        <v>87</v>
      </c>
      <c r="J16" s="359" t="s">
        <v>327</v>
      </c>
      <c r="K16" s="359" t="s">
        <v>328</v>
      </c>
      <c r="L16" s="359" t="s">
        <v>329</v>
      </c>
    </row>
    <row r="17" spans="1:12" ht="29">
      <c r="A17" s="359" t="s">
        <v>330</v>
      </c>
      <c r="B17" s="359" t="s">
        <v>322</v>
      </c>
      <c r="C17" s="359" t="s">
        <v>331</v>
      </c>
      <c r="D17" s="359" t="s">
        <v>257</v>
      </c>
      <c r="E17" s="359" t="s">
        <v>332</v>
      </c>
      <c r="F17" s="359">
        <v>100</v>
      </c>
      <c r="G17" s="359" t="s">
        <v>333</v>
      </c>
      <c r="H17" s="359" t="s">
        <v>334</v>
      </c>
      <c r="I17" s="359" t="s">
        <v>87</v>
      </c>
      <c r="J17" s="359" t="s">
        <v>54</v>
      </c>
      <c r="K17" s="359" t="s">
        <v>335</v>
      </c>
      <c r="L17" s="359" t="s">
        <v>336</v>
      </c>
    </row>
    <row r="18" spans="1:12" ht="29">
      <c r="A18" s="359" t="s">
        <v>337</v>
      </c>
      <c r="B18" s="359" t="s">
        <v>322</v>
      </c>
      <c r="C18" s="359" t="s">
        <v>338</v>
      </c>
      <c r="D18" s="359" t="s">
        <v>288</v>
      </c>
      <c r="E18" s="359" t="s">
        <v>339</v>
      </c>
      <c r="F18" s="359">
        <v>90</v>
      </c>
      <c r="G18" s="359" t="s">
        <v>340</v>
      </c>
      <c r="H18" s="359" t="s">
        <v>341</v>
      </c>
      <c r="I18" s="359" t="s">
        <v>87</v>
      </c>
      <c r="J18" s="359" t="s">
        <v>50</v>
      </c>
      <c r="K18" s="359" t="s">
        <v>342</v>
      </c>
      <c r="L18" s="359" t="s">
        <v>343</v>
      </c>
    </row>
    <row r="19" spans="1:12" ht="29">
      <c r="A19" s="359" t="s">
        <v>344</v>
      </c>
      <c r="B19" s="359" t="s">
        <v>157</v>
      </c>
      <c r="C19" s="359" t="s">
        <v>345</v>
      </c>
      <c r="D19" s="359" t="s">
        <v>257</v>
      </c>
      <c r="E19" s="359" t="s">
        <v>346</v>
      </c>
      <c r="F19" s="359">
        <v>80</v>
      </c>
      <c r="G19" s="359" t="s">
        <v>347</v>
      </c>
      <c r="H19" s="359" t="s">
        <v>348</v>
      </c>
      <c r="I19" s="359" t="s">
        <v>87</v>
      </c>
      <c r="J19" s="359" t="s">
        <v>349</v>
      </c>
      <c r="K19" s="359" t="s">
        <v>350</v>
      </c>
      <c r="L19" s="359" t="s">
        <v>351</v>
      </c>
    </row>
    <row r="20" spans="1:12" ht="29">
      <c r="A20" s="359" t="s">
        <v>352</v>
      </c>
      <c r="B20" s="359" t="s">
        <v>157</v>
      </c>
      <c r="C20" s="359" t="s">
        <v>353</v>
      </c>
      <c r="D20" s="359" t="s">
        <v>354</v>
      </c>
      <c r="E20" s="359" t="s">
        <v>355</v>
      </c>
      <c r="F20" s="359">
        <v>95</v>
      </c>
      <c r="G20" s="359" t="s">
        <v>356</v>
      </c>
      <c r="H20" s="359" t="s">
        <v>357</v>
      </c>
      <c r="I20" s="359" t="s">
        <v>87</v>
      </c>
      <c r="J20" s="359" t="s">
        <v>358</v>
      </c>
      <c r="K20" s="359" t="s">
        <v>359</v>
      </c>
      <c r="L20" s="359" t="s">
        <v>360</v>
      </c>
    </row>
    <row r="21" spans="1:12" ht="29">
      <c r="A21" s="359" t="s">
        <v>361</v>
      </c>
      <c r="B21" s="359" t="s">
        <v>157</v>
      </c>
      <c r="C21" s="359" t="s">
        <v>362</v>
      </c>
      <c r="D21" s="359" t="s">
        <v>257</v>
      </c>
      <c r="E21" s="359" t="s">
        <v>87</v>
      </c>
      <c r="F21" s="359">
        <v>100</v>
      </c>
      <c r="G21" s="359" t="s">
        <v>363</v>
      </c>
      <c r="H21" s="359" t="s">
        <v>364</v>
      </c>
      <c r="I21" s="359" t="s">
        <v>87</v>
      </c>
      <c r="J21" s="359" t="s">
        <v>365</v>
      </c>
      <c r="K21" s="359" t="s">
        <v>366</v>
      </c>
      <c r="L21" s="359" t="s">
        <v>367</v>
      </c>
    </row>
    <row r="22" spans="1:12" ht="29">
      <c r="A22" s="359" t="s">
        <v>368</v>
      </c>
      <c r="B22" s="359" t="s">
        <v>184</v>
      </c>
      <c r="C22" s="359" t="s">
        <v>39</v>
      </c>
      <c r="D22" s="359" t="s">
        <v>257</v>
      </c>
      <c r="E22" s="359" t="s">
        <v>87</v>
      </c>
      <c r="F22" s="359">
        <v>75</v>
      </c>
      <c r="G22" s="359" t="s">
        <v>369</v>
      </c>
      <c r="H22" s="359" t="s">
        <v>370</v>
      </c>
      <c r="I22" s="359" t="s">
        <v>87</v>
      </c>
      <c r="J22" s="359" t="s">
        <v>36</v>
      </c>
      <c r="K22" s="359" t="s">
        <v>371</v>
      </c>
      <c r="L22" s="359" t="s">
        <v>372</v>
      </c>
    </row>
    <row r="23" spans="1:12" ht="29">
      <c r="A23" s="359" t="s">
        <v>373</v>
      </c>
      <c r="B23" s="359" t="s">
        <v>184</v>
      </c>
      <c r="C23" s="359" t="s">
        <v>374</v>
      </c>
      <c r="D23" s="359" t="s">
        <v>257</v>
      </c>
      <c r="E23" s="359" t="s">
        <v>87</v>
      </c>
      <c r="F23" s="359">
        <v>80</v>
      </c>
      <c r="G23" s="359" t="s">
        <v>375</v>
      </c>
      <c r="H23" s="359" t="s">
        <v>376</v>
      </c>
      <c r="I23" s="359" t="s">
        <v>87</v>
      </c>
      <c r="J23" s="359" t="s">
        <v>377</v>
      </c>
      <c r="K23" s="359" t="s">
        <v>378</v>
      </c>
      <c r="L23" s="359" t="s">
        <v>379</v>
      </c>
    </row>
    <row r="24" spans="1:12" ht="29">
      <c r="A24" s="359" t="s">
        <v>380</v>
      </c>
      <c r="B24" s="359" t="s">
        <v>381</v>
      </c>
      <c r="C24" s="359" t="s">
        <v>382</v>
      </c>
      <c r="D24" s="359" t="s">
        <v>257</v>
      </c>
      <c r="E24" s="359" t="s">
        <v>87</v>
      </c>
      <c r="F24" s="359">
        <v>90</v>
      </c>
      <c r="G24" s="359" t="s">
        <v>383</v>
      </c>
      <c r="H24" s="359" t="s">
        <v>384</v>
      </c>
      <c r="I24" s="359" t="s">
        <v>87</v>
      </c>
      <c r="J24" s="359" t="s">
        <v>385</v>
      </c>
      <c r="K24" s="359" t="s">
        <v>386</v>
      </c>
      <c r="L24" s="359" t="s">
        <v>387</v>
      </c>
    </row>
    <row r="25" spans="1:12" ht="29">
      <c r="A25" s="359" t="s">
        <v>388</v>
      </c>
      <c r="B25" s="359" t="s">
        <v>389</v>
      </c>
      <c r="C25" s="359" t="s">
        <v>390</v>
      </c>
      <c r="D25" s="359" t="s">
        <v>257</v>
      </c>
      <c r="E25" s="359" t="s">
        <v>332</v>
      </c>
      <c r="F25" s="359">
        <v>90</v>
      </c>
      <c r="G25" s="359" t="s">
        <v>391</v>
      </c>
      <c r="H25" s="359" t="s">
        <v>392</v>
      </c>
      <c r="I25" s="359" t="s">
        <v>87</v>
      </c>
      <c r="J25" s="359" t="s">
        <v>50</v>
      </c>
      <c r="K25" s="359" t="s">
        <v>393</v>
      </c>
      <c r="L25" s="359" t="s">
        <v>394</v>
      </c>
    </row>
    <row r="26" spans="1:12" ht="29">
      <c r="A26" s="359" t="s">
        <v>395</v>
      </c>
      <c r="B26" s="359" t="s">
        <v>396</v>
      </c>
      <c r="C26" s="359" t="s">
        <v>397</v>
      </c>
      <c r="D26" s="359" t="s">
        <v>257</v>
      </c>
      <c r="E26" s="359" t="s">
        <v>346</v>
      </c>
      <c r="F26" s="359">
        <v>85</v>
      </c>
      <c r="G26" s="359" t="s">
        <v>398</v>
      </c>
      <c r="H26" s="359" t="s">
        <v>399</v>
      </c>
      <c r="I26" s="359" t="s">
        <v>87</v>
      </c>
      <c r="J26" s="359" t="s">
        <v>400</v>
      </c>
      <c r="K26" s="359" t="s">
        <v>401</v>
      </c>
      <c r="L26" s="359" t="s">
        <v>402</v>
      </c>
    </row>
    <row r="27" spans="1:12" ht="29">
      <c r="A27" s="359" t="s">
        <v>403</v>
      </c>
      <c r="B27" s="359" t="s">
        <v>404</v>
      </c>
      <c r="C27" s="359" t="s">
        <v>405</v>
      </c>
      <c r="D27" s="359" t="s">
        <v>257</v>
      </c>
      <c r="E27" s="359" t="s">
        <v>346</v>
      </c>
      <c r="F27" s="359">
        <v>100</v>
      </c>
      <c r="G27" s="359" t="s">
        <v>406</v>
      </c>
      <c r="H27" s="359" t="s">
        <v>407</v>
      </c>
      <c r="I27" s="359" t="s">
        <v>87</v>
      </c>
      <c r="J27" s="359" t="s">
        <v>229</v>
      </c>
      <c r="K27" s="359" t="s">
        <v>408</v>
      </c>
      <c r="L27" s="359" t="s">
        <v>409</v>
      </c>
    </row>
  </sheetData>
  <mergeCells count="1">
    <mergeCell ref="A1:L1"/>
  </mergeCells>
  <conditionalFormatting sqref="I4:I80">
    <cfRule type="expression" dxfId="999" priority="1">
      <formula>$I4="Sí"</formula>
    </cfRule>
    <cfRule type="expression" dxfId="998" priority="2">
      <formula>$I4="No"</formula>
    </cfRule>
  </conditionalFormatting>
  <dataValidations count="1">
    <dataValidation type="list" sqref="I6:I200" xr:uid="{00000000-0002-0000-0200-000000000000}">
      <formula1>"Sí,No"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1"/>
  <sheetViews>
    <sheetView workbookViewId="0"/>
  </sheetViews>
  <sheetFormatPr baseColWidth="10" defaultColWidth="9.453125" defaultRowHeight="14.5"/>
  <cols>
    <col min="1" max="9" width="17.453125" style="355" customWidth="1"/>
    <col min="10" max="12" width="38.1796875" style="355" customWidth="1"/>
    <col min="13" max="19" width="30.54296875" style="355" customWidth="1"/>
    <col min="20" max="16384" width="9.453125" style="355"/>
  </cols>
  <sheetData>
    <row r="1" spans="1:19" ht="15">
      <c r="A1" s="424" t="s">
        <v>410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</row>
    <row r="2" spans="1:19" ht="72.5">
      <c r="A2" s="359" t="s">
        <v>1</v>
      </c>
      <c r="B2" s="359" t="s">
        <v>411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</row>
    <row r="3" spans="1:19" ht="58">
      <c r="A3" s="359" t="s">
        <v>3</v>
      </c>
      <c r="B3" s="359" t="s">
        <v>412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</row>
    <row r="4" spans="1:19">
      <c r="A4" s="359"/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</row>
    <row r="5" spans="1:19" ht="28">
      <c r="A5" s="404" t="s">
        <v>413</v>
      </c>
      <c r="B5" s="404" t="s">
        <v>79</v>
      </c>
      <c r="C5" s="404" t="s">
        <v>414</v>
      </c>
      <c r="D5" s="404" t="s">
        <v>415</v>
      </c>
      <c r="E5" s="404" t="s">
        <v>416</v>
      </c>
      <c r="F5" s="404" t="s">
        <v>417</v>
      </c>
      <c r="G5" s="404" t="s">
        <v>418</v>
      </c>
      <c r="H5" s="404" t="s">
        <v>419</v>
      </c>
      <c r="I5" s="404" t="s">
        <v>66</v>
      </c>
      <c r="J5" s="404" t="s">
        <v>420</v>
      </c>
      <c r="K5" s="404" t="s">
        <v>421</v>
      </c>
      <c r="L5" s="404" t="s">
        <v>422</v>
      </c>
      <c r="M5" s="404" t="s">
        <v>423</v>
      </c>
      <c r="N5" s="404" t="s">
        <v>424</v>
      </c>
      <c r="O5" s="404" t="s">
        <v>425</v>
      </c>
      <c r="P5" s="404" t="s">
        <v>426</v>
      </c>
      <c r="Q5" s="404" t="s">
        <v>427</v>
      </c>
      <c r="R5" s="404" t="s">
        <v>428</v>
      </c>
      <c r="S5" s="404" t="s">
        <v>429</v>
      </c>
    </row>
    <row r="6" spans="1:19" ht="43.5">
      <c r="A6" s="359" t="s">
        <v>430</v>
      </c>
      <c r="B6" s="359" t="s">
        <v>87</v>
      </c>
      <c r="C6" s="359" t="s">
        <v>18</v>
      </c>
      <c r="D6" s="359">
        <v>1</v>
      </c>
      <c r="E6" s="359"/>
      <c r="F6" s="359"/>
      <c r="G6" s="359"/>
      <c r="H6" s="359">
        <v>20</v>
      </c>
      <c r="I6" s="359" t="s">
        <v>256</v>
      </c>
      <c r="J6" s="359" t="s">
        <v>431</v>
      </c>
      <c r="K6" s="359" t="s">
        <v>432</v>
      </c>
      <c r="L6" s="359" t="s">
        <v>433</v>
      </c>
      <c r="M6" s="359" t="s">
        <v>434</v>
      </c>
      <c r="N6" s="359" t="s">
        <v>435</v>
      </c>
      <c r="O6" s="359" t="s">
        <v>436</v>
      </c>
      <c r="P6" s="359" t="s">
        <v>437</v>
      </c>
      <c r="Q6" s="359" t="s">
        <v>437</v>
      </c>
      <c r="R6" s="359" t="s">
        <v>438</v>
      </c>
      <c r="S6" s="359" t="s">
        <v>439</v>
      </c>
    </row>
    <row r="7" spans="1:19" ht="43.5">
      <c r="A7" s="359" t="s">
        <v>440</v>
      </c>
      <c r="B7" s="359" t="s">
        <v>87</v>
      </c>
      <c r="C7" s="359" t="s">
        <v>18</v>
      </c>
      <c r="D7" s="359">
        <v>2</v>
      </c>
      <c r="E7" s="359"/>
      <c r="F7" s="359"/>
      <c r="G7" s="359"/>
      <c r="H7" s="359">
        <v>50</v>
      </c>
      <c r="I7" s="359" t="s">
        <v>322</v>
      </c>
      <c r="J7" s="359" t="s">
        <v>441</v>
      </c>
      <c r="K7" s="359" t="s">
        <v>442</v>
      </c>
      <c r="L7" s="359" t="s">
        <v>443</v>
      </c>
      <c r="M7" s="359" t="s">
        <v>434</v>
      </c>
      <c r="N7" s="359" t="s">
        <v>444</v>
      </c>
      <c r="O7" s="359" t="s">
        <v>445</v>
      </c>
      <c r="P7" s="359" t="s">
        <v>437</v>
      </c>
      <c r="Q7" s="359" t="s">
        <v>437</v>
      </c>
      <c r="R7" s="359" t="s">
        <v>446</v>
      </c>
      <c r="S7" s="359" t="s">
        <v>447</v>
      </c>
    </row>
    <row r="8" spans="1:19" ht="29">
      <c r="A8" s="359" t="s">
        <v>448</v>
      </c>
      <c r="B8" s="359" t="s">
        <v>87</v>
      </c>
      <c r="C8" s="359" t="s">
        <v>18</v>
      </c>
      <c r="D8" s="359">
        <v>3</v>
      </c>
      <c r="E8" s="359"/>
      <c r="F8" s="359"/>
      <c r="G8" s="359"/>
      <c r="H8" s="359">
        <v>320</v>
      </c>
      <c r="I8" s="359" t="s">
        <v>322</v>
      </c>
      <c r="J8" s="359" t="s">
        <v>449</v>
      </c>
      <c r="K8" s="359" t="s">
        <v>450</v>
      </c>
      <c r="L8" s="359" t="s">
        <v>451</v>
      </c>
      <c r="M8" s="359" t="s">
        <v>434</v>
      </c>
      <c r="N8" s="359" t="s">
        <v>444</v>
      </c>
      <c r="O8" s="359" t="s">
        <v>452</v>
      </c>
      <c r="P8" s="359" t="s">
        <v>437</v>
      </c>
      <c r="Q8" s="359" t="s">
        <v>437</v>
      </c>
      <c r="R8" s="359" t="s">
        <v>453</v>
      </c>
      <c r="S8" s="359" t="s">
        <v>454</v>
      </c>
    </row>
    <row r="9" spans="1:19" ht="58">
      <c r="A9" s="359" t="s">
        <v>455</v>
      </c>
      <c r="B9" s="359" t="s">
        <v>87</v>
      </c>
      <c r="C9" s="359" t="s">
        <v>456</v>
      </c>
      <c r="D9" s="359">
        <v>4</v>
      </c>
      <c r="E9" s="359">
        <v>1</v>
      </c>
      <c r="F9" s="359">
        <v>1</v>
      </c>
      <c r="G9" s="359">
        <v>1</v>
      </c>
      <c r="H9" s="359">
        <v>30</v>
      </c>
      <c r="I9" s="359" t="s">
        <v>322</v>
      </c>
      <c r="J9" s="359" t="s">
        <v>457</v>
      </c>
      <c r="K9" s="359" t="s">
        <v>458</v>
      </c>
      <c r="L9" s="359" t="s">
        <v>459</v>
      </c>
      <c r="M9" s="359" t="s">
        <v>460</v>
      </c>
      <c r="N9" s="359" t="s">
        <v>444</v>
      </c>
      <c r="O9" s="359" t="s">
        <v>461</v>
      </c>
      <c r="P9" s="359" t="s">
        <v>437</v>
      </c>
      <c r="Q9" s="359" t="s">
        <v>437</v>
      </c>
      <c r="R9" s="359" t="s">
        <v>462</v>
      </c>
      <c r="S9" s="359" t="s">
        <v>463</v>
      </c>
    </row>
    <row r="10" spans="1:19" ht="29">
      <c r="A10" s="359" t="s">
        <v>464</v>
      </c>
      <c r="B10" s="359" t="s">
        <v>87</v>
      </c>
      <c r="C10" s="359" t="s">
        <v>456</v>
      </c>
      <c r="D10" s="359"/>
      <c r="E10" s="359" t="s">
        <v>465</v>
      </c>
      <c r="F10" s="359">
        <v>2</v>
      </c>
      <c r="G10" s="359">
        <v>2</v>
      </c>
      <c r="H10" s="359">
        <v>30</v>
      </c>
      <c r="I10" s="359" t="s">
        <v>322</v>
      </c>
      <c r="J10" s="359" t="s">
        <v>466</v>
      </c>
      <c r="K10" s="359" t="s">
        <v>467</v>
      </c>
      <c r="L10" s="359" t="s">
        <v>468</v>
      </c>
      <c r="M10" s="359" t="s">
        <v>50</v>
      </c>
      <c r="N10" s="359" t="s">
        <v>444</v>
      </c>
      <c r="O10" s="359" t="s">
        <v>469</v>
      </c>
      <c r="P10" s="359" t="s">
        <v>437</v>
      </c>
      <c r="Q10" s="359" t="s">
        <v>437</v>
      </c>
      <c r="R10" s="359" t="s">
        <v>470</v>
      </c>
      <c r="S10" s="359" t="s">
        <v>471</v>
      </c>
    </row>
    <row r="11" spans="1:19" ht="58">
      <c r="A11" s="359" t="s">
        <v>472</v>
      </c>
      <c r="B11" s="359" t="s">
        <v>87</v>
      </c>
      <c r="C11" s="359" t="s">
        <v>456</v>
      </c>
      <c r="D11" s="359">
        <v>6</v>
      </c>
      <c r="E11" s="359">
        <v>3</v>
      </c>
      <c r="F11" s="359">
        <v>3</v>
      </c>
      <c r="G11" s="359">
        <v>3</v>
      </c>
      <c r="H11" s="359">
        <v>20</v>
      </c>
      <c r="I11" s="359" t="s">
        <v>396</v>
      </c>
      <c r="J11" s="359" t="s">
        <v>473</v>
      </c>
      <c r="K11" s="359" t="s">
        <v>474</v>
      </c>
      <c r="L11" s="359" t="s">
        <v>475</v>
      </c>
      <c r="M11" s="359" t="s">
        <v>476</v>
      </c>
      <c r="N11" s="359" t="s">
        <v>477</v>
      </c>
      <c r="O11" s="359" t="s">
        <v>478</v>
      </c>
      <c r="P11" s="359" t="s">
        <v>437</v>
      </c>
      <c r="Q11" s="359" t="s">
        <v>437</v>
      </c>
      <c r="R11" s="359" t="s">
        <v>479</v>
      </c>
      <c r="S11" s="359" t="s">
        <v>480</v>
      </c>
    </row>
    <row r="12" spans="1:19" ht="43.5">
      <c r="A12" s="359" t="s">
        <v>481</v>
      </c>
      <c r="B12" s="359" t="s">
        <v>87</v>
      </c>
      <c r="C12" s="359" t="s">
        <v>456</v>
      </c>
      <c r="D12" s="359">
        <v>7</v>
      </c>
      <c r="E12" s="359">
        <v>4</v>
      </c>
      <c r="F12" s="359">
        <v>4</v>
      </c>
      <c r="G12" s="359">
        <v>4</v>
      </c>
      <c r="H12" s="359">
        <v>15</v>
      </c>
      <c r="I12" s="359" t="s">
        <v>286</v>
      </c>
      <c r="J12" s="359" t="s">
        <v>482</v>
      </c>
      <c r="K12" s="359" t="s">
        <v>483</v>
      </c>
      <c r="L12" s="359" t="s">
        <v>484</v>
      </c>
      <c r="M12" s="359" t="s">
        <v>485</v>
      </c>
      <c r="N12" s="359" t="s">
        <v>486</v>
      </c>
      <c r="O12" s="359" t="s">
        <v>487</v>
      </c>
      <c r="P12" s="359" t="s">
        <v>488</v>
      </c>
      <c r="Q12" s="359" t="s">
        <v>489</v>
      </c>
      <c r="R12" s="359" t="s">
        <v>490</v>
      </c>
      <c r="S12" s="359" t="s">
        <v>491</v>
      </c>
    </row>
    <row r="13" spans="1:19" ht="72.5">
      <c r="A13" s="359" t="s">
        <v>492</v>
      </c>
      <c r="B13" s="359" t="s">
        <v>87</v>
      </c>
      <c r="C13" s="359" t="s">
        <v>456</v>
      </c>
      <c r="D13" s="359">
        <v>8</v>
      </c>
      <c r="E13" s="359">
        <v>5</v>
      </c>
      <c r="F13" s="359">
        <v>5</v>
      </c>
      <c r="G13" s="359">
        <v>5</v>
      </c>
      <c r="H13" s="359">
        <v>80</v>
      </c>
      <c r="I13" s="359" t="s">
        <v>286</v>
      </c>
      <c r="J13" s="359" t="s">
        <v>493</v>
      </c>
      <c r="K13" s="359" t="s">
        <v>494</v>
      </c>
      <c r="L13" s="359" t="s">
        <v>495</v>
      </c>
      <c r="M13" s="359" t="s">
        <v>496</v>
      </c>
      <c r="N13" s="359" t="s">
        <v>486</v>
      </c>
      <c r="O13" s="359" t="s">
        <v>497</v>
      </c>
      <c r="P13" s="359" t="s">
        <v>498</v>
      </c>
      <c r="Q13" s="359" t="s">
        <v>499</v>
      </c>
      <c r="R13" s="359" t="s">
        <v>500</v>
      </c>
      <c r="S13" s="359" t="s">
        <v>501</v>
      </c>
    </row>
    <row r="14" spans="1:19" ht="43.5">
      <c r="A14" s="359" t="s">
        <v>502</v>
      </c>
      <c r="B14" s="359" t="s">
        <v>87</v>
      </c>
      <c r="C14" s="359" t="s">
        <v>456</v>
      </c>
      <c r="D14" s="359">
        <v>9</v>
      </c>
      <c r="E14" s="359">
        <v>6</v>
      </c>
      <c r="F14" s="359">
        <v>6</v>
      </c>
      <c r="G14" s="359">
        <v>6</v>
      </c>
      <c r="H14" s="359">
        <v>40</v>
      </c>
      <c r="I14" s="359" t="s">
        <v>286</v>
      </c>
      <c r="J14" s="359" t="s">
        <v>503</v>
      </c>
      <c r="K14" s="359" t="s">
        <v>504</v>
      </c>
      <c r="L14" s="359" t="s">
        <v>505</v>
      </c>
      <c r="M14" s="359" t="s">
        <v>506</v>
      </c>
      <c r="N14" s="359" t="s">
        <v>486</v>
      </c>
      <c r="O14" s="359" t="s">
        <v>507</v>
      </c>
      <c r="P14" s="359" t="s">
        <v>508</v>
      </c>
      <c r="Q14" s="359" t="s">
        <v>509</v>
      </c>
      <c r="R14" s="359" t="s">
        <v>510</v>
      </c>
      <c r="S14" s="359" t="s">
        <v>511</v>
      </c>
    </row>
    <row r="15" spans="1:19" ht="43.5">
      <c r="A15" s="359" t="s">
        <v>512</v>
      </c>
      <c r="B15" s="359" t="s">
        <v>87</v>
      </c>
      <c r="C15" s="359" t="s">
        <v>456</v>
      </c>
      <c r="D15" s="359">
        <v>10</v>
      </c>
      <c r="E15" s="359">
        <v>7</v>
      </c>
      <c r="F15" s="359">
        <v>7</v>
      </c>
      <c r="G15" s="359">
        <v>7</v>
      </c>
      <c r="H15" s="359">
        <v>30</v>
      </c>
      <c r="I15" s="359" t="s">
        <v>286</v>
      </c>
      <c r="J15" s="359" t="s">
        <v>513</v>
      </c>
      <c r="K15" s="359" t="s">
        <v>514</v>
      </c>
      <c r="L15" s="359" t="s">
        <v>515</v>
      </c>
      <c r="M15" s="359" t="s">
        <v>516</v>
      </c>
      <c r="N15" s="359" t="s">
        <v>486</v>
      </c>
      <c r="O15" s="359" t="s">
        <v>517</v>
      </c>
      <c r="P15" s="359" t="s">
        <v>518</v>
      </c>
      <c r="Q15" s="359" t="s">
        <v>519</v>
      </c>
      <c r="R15" s="359" t="s">
        <v>520</v>
      </c>
      <c r="S15" s="359" t="s">
        <v>521</v>
      </c>
    </row>
    <row r="16" spans="1:19" ht="29">
      <c r="A16" s="359" t="s">
        <v>522</v>
      </c>
      <c r="B16" s="359" t="s">
        <v>87</v>
      </c>
      <c r="C16" s="359" t="s">
        <v>456</v>
      </c>
      <c r="D16" s="359">
        <v>11</v>
      </c>
      <c r="E16" s="359">
        <v>8</v>
      </c>
      <c r="F16" s="359">
        <v>8</v>
      </c>
      <c r="G16" s="359">
        <v>8</v>
      </c>
      <c r="H16" s="359">
        <v>25</v>
      </c>
      <c r="I16" s="359" t="s">
        <v>286</v>
      </c>
      <c r="J16" s="359" t="s">
        <v>523</v>
      </c>
      <c r="K16" s="359" t="s">
        <v>524</v>
      </c>
      <c r="L16" s="359" t="s">
        <v>525</v>
      </c>
      <c r="M16" s="359" t="s">
        <v>516</v>
      </c>
      <c r="N16" s="359" t="s">
        <v>486</v>
      </c>
      <c r="O16" s="359" t="s">
        <v>526</v>
      </c>
      <c r="P16" s="359" t="s">
        <v>518</v>
      </c>
      <c r="Q16" s="359" t="s">
        <v>527</v>
      </c>
      <c r="R16" s="359" t="s">
        <v>528</v>
      </c>
      <c r="S16" s="359" t="s">
        <v>529</v>
      </c>
    </row>
    <row r="17" spans="1:19" ht="58">
      <c r="A17" s="359" t="s">
        <v>530</v>
      </c>
      <c r="B17" s="359" t="s">
        <v>87</v>
      </c>
      <c r="C17" s="359" t="s">
        <v>456</v>
      </c>
      <c r="D17" s="359">
        <v>12</v>
      </c>
      <c r="E17" s="359">
        <v>9</v>
      </c>
      <c r="F17" s="359">
        <v>9</v>
      </c>
      <c r="G17" s="359">
        <v>9</v>
      </c>
      <c r="H17" s="359">
        <v>30</v>
      </c>
      <c r="I17" s="359" t="s">
        <v>184</v>
      </c>
      <c r="J17" s="359" t="s">
        <v>531</v>
      </c>
      <c r="K17" s="359" t="s">
        <v>532</v>
      </c>
      <c r="L17" s="359" t="s">
        <v>533</v>
      </c>
      <c r="M17" s="359" t="s">
        <v>534</v>
      </c>
      <c r="N17" s="359" t="s">
        <v>535</v>
      </c>
      <c r="O17" s="359" t="s">
        <v>536</v>
      </c>
      <c r="P17" s="359" t="s">
        <v>437</v>
      </c>
      <c r="Q17" s="359" t="s">
        <v>437</v>
      </c>
      <c r="R17" s="359" t="s">
        <v>537</v>
      </c>
      <c r="S17" s="359" t="s">
        <v>538</v>
      </c>
    </row>
    <row r="18" spans="1:19" ht="43.5">
      <c r="A18" s="359" t="s">
        <v>539</v>
      </c>
      <c r="B18" s="359" t="s">
        <v>87</v>
      </c>
      <c r="C18" s="359" t="s">
        <v>456</v>
      </c>
      <c r="D18" s="359">
        <v>13</v>
      </c>
      <c r="E18" s="359">
        <v>10</v>
      </c>
      <c r="F18" s="359">
        <v>10</v>
      </c>
      <c r="G18" s="359">
        <v>10</v>
      </c>
      <c r="H18" s="359">
        <v>30</v>
      </c>
      <c r="I18" s="359" t="s">
        <v>184</v>
      </c>
      <c r="J18" s="359" t="s">
        <v>540</v>
      </c>
      <c r="K18" s="359" t="s">
        <v>541</v>
      </c>
      <c r="L18" s="359" t="s">
        <v>542</v>
      </c>
      <c r="M18" s="359" t="s">
        <v>543</v>
      </c>
      <c r="N18" s="359" t="s">
        <v>544</v>
      </c>
      <c r="O18" s="359" t="s">
        <v>545</v>
      </c>
      <c r="P18" s="359" t="s">
        <v>437</v>
      </c>
      <c r="Q18" s="359" t="s">
        <v>437</v>
      </c>
      <c r="R18" s="359" t="s">
        <v>546</v>
      </c>
      <c r="S18" s="359" t="s">
        <v>547</v>
      </c>
    </row>
    <row r="19" spans="1:19" ht="72.5">
      <c r="A19" s="359" t="s">
        <v>347</v>
      </c>
      <c r="B19" s="359" t="s">
        <v>87</v>
      </c>
      <c r="C19" s="359" t="s">
        <v>456</v>
      </c>
      <c r="D19" s="359">
        <v>14</v>
      </c>
      <c r="E19" s="359">
        <v>11</v>
      </c>
      <c r="F19" s="359">
        <v>11</v>
      </c>
      <c r="G19" s="359">
        <v>11</v>
      </c>
      <c r="H19" s="359">
        <v>20</v>
      </c>
      <c r="I19" s="359" t="s">
        <v>157</v>
      </c>
      <c r="J19" s="359" t="s">
        <v>548</v>
      </c>
      <c r="K19" s="359" t="s">
        <v>549</v>
      </c>
      <c r="L19" s="359" t="s">
        <v>550</v>
      </c>
      <c r="M19" s="359" t="s">
        <v>551</v>
      </c>
      <c r="N19" s="359" t="s">
        <v>552</v>
      </c>
      <c r="O19" s="359" t="s">
        <v>553</v>
      </c>
      <c r="P19" s="359" t="s">
        <v>437</v>
      </c>
      <c r="Q19" s="359" t="s">
        <v>437</v>
      </c>
      <c r="R19" s="359" t="s">
        <v>554</v>
      </c>
      <c r="S19" s="359" t="s">
        <v>555</v>
      </c>
    </row>
    <row r="20" spans="1:19" ht="43.5">
      <c r="A20" s="359" t="s">
        <v>556</v>
      </c>
      <c r="B20" s="359" t="s">
        <v>87</v>
      </c>
      <c r="C20" s="359" t="s">
        <v>456</v>
      </c>
      <c r="D20" s="359"/>
      <c r="E20" s="359">
        <v>12</v>
      </c>
      <c r="F20" s="359">
        <v>12</v>
      </c>
      <c r="G20" s="359">
        <v>12</v>
      </c>
      <c r="H20" s="359">
        <v>35</v>
      </c>
      <c r="I20" s="359" t="s">
        <v>322</v>
      </c>
      <c r="J20" s="359" t="s">
        <v>557</v>
      </c>
      <c r="K20" s="359" t="s">
        <v>558</v>
      </c>
      <c r="L20" s="359" t="s">
        <v>559</v>
      </c>
      <c r="M20" s="359" t="s">
        <v>460</v>
      </c>
      <c r="N20" s="359" t="s">
        <v>444</v>
      </c>
      <c r="O20" s="359" t="s">
        <v>560</v>
      </c>
      <c r="P20" s="359" t="s">
        <v>437</v>
      </c>
      <c r="Q20" s="359" t="s">
        <v>437</v>
      </c>
      <c r="R20" s="359" t="s">
        <v>561</v>
      </c>
      <c r="S20" s="359" t="s">
        <v>562</v>
      </c>
    </row>
    <row r="21" spans="1:19" ht="43.5">
      <c r="A21" s="359" t="s">
        <v>563</v>
      </c>
      <c r="B21" s="359" t="s">
        <v>87</v>
      </c>
      <c r="C21" s="359" t="s">
        <v>456</v>
      </c>
      <c r="D21" s="359"/>
      <c r="E21" s="359">
        <v>13</v>
      </c>
      <c r="F21" s="359">
        <v>13</v>
      </c>
      <c r="G21" s="359">
        <v>13</v>
      </c>
      <c r="H21" s="359">
        <v>35</v>
      </c>
      <c r="I21" s="359" t="s">
        <v>381</v>
      </c>
      <c r="J21" s="359" t="s">
        <v>564</v>
      </c>
      <c r="K21" s="359" t="s">
        <v>565</v>
      </c>
      <c r="L21" s="359" t="s">
        <v>566</v>
      </c>
      <c r="M21" s="359" t="s">
        <v>567</v>
      </c>
      <c r="N21" s="359" t="s">
        <v>568</v>
      </c>
      <c r="O21" s="359" t="s">
        <v>569</v>
      </c>
      <c r="P21" s="359" t="s">
        <v>437</v>
      </c>
      <c r="Q21" s="359" t="s">
        <v>437</v>
      </c>
      <c r="R21" s="359" t="s">
        <v>570</v>
      </c>
      <c r="S21" s="359" t="s">
        <v>571</v>
      </c>
    </row>
    <row r="22" spans="1:19" ht="58">
      <c r="A22" s="359" t="s">
        <v>572</v>
      </c>
      <c r="B22" s="359" t="s">
        <v>87</v>
      </c>
      <c r="C22" s="359" t="s">
        <v>456</v>
      </c>
      <c r="D22" s="359"/>
      <c r="E22" s="359">
        <v>14</v>
      </c>
      <c r="F22" s="359">
        <v>14</v>
      </c>
      <c r="G22" s="359">
        <v>14</v>
      </c>
      <c r="H22" s="359">
        <v>30</v>
      </c>
      <c r="I22" s="359" t="s">
        <v>396</v>
      </c>
      <c r="J22" s="359" t="s">
        <v>573</v>
      </c>
      <c r="K22" s="359" t="s">
        <v>574</v>
      </c>
      <c r="L22" s="359" t="s">
        <v>575</v>
      </c>
      <c r="M22" s="359" t="s">
        <v>576</v>
      </c>
      <c r="N22" s="359" t="s">
        <v>577</v>
      </c>
      <c r="O22" s="359" t="s">
        <v>578</v>
      </c>
      <c r="P22" s="359" t="s">
        <v>437</v>
      </c>
      <c r="Q22" s="359" t="s">
        <v>437</v>
      </c>
      <c r="R22" s="359" t="s">
        <v>579</v>
      </c>
      <c r="S22" s="359" t="s">
        <v>580</v>
      </c>
    </row>
    <row r="23" spans="1:19" ht="43.5">
      <c r="A23" s="359" t="s">
        <v>581</v>
      </c>
      <c r="B23" s="359" t="s">
        <v>87</v>
      </c>
      <c r="C23" s="359" t="s">
        <v>18</v>
      </c>
      <c r="D23" s="359">
        <v>15</v>
      </c>
      <c r="E23" s="359"/>
      <c r="F23" s="359"/>
      <c r="G23" s="359"/>
      <c r="H23" s="359">
        <v>10</v>
      </c>
      <c r="I23" s="359" t="s">
        <v>256</v>
      </c>
      <c r="J23" s="359" t="s">
        <v>582</v>
      </c>
      <c r="K23" s="359" t="s">
        <v>583</v>
      </c>
      <c r="L23" s="359" t="s">
        <v>584</v>
      </c>
      <c r="M23" s="359" t="s">
        <v>434</v>
      </c>
      <c r="N23" s="359" t="s">
        <v>435</v>
      </c>
      <c r="O23" s="359" t="s">
        <v>585</v>
      </c>
      <c r="P23" s="359" t="s">
        <v>437</v>
      </c>
      <c r="Q23" s="359" t="s">
        <v>437</v>
      </c>
      <c r="R23" s="359" t="s">
        <v>586</v>
      </c>
      <c r="S23" s="359" t="s">
        <v>587</v>
      </c>
    </row>
    <row r="24" spans="1:19" ht="58">
      <c r="A24" s="359" t="s">
        <v>588</v>
      </c>
      <c r="B24" s="359" t="s">
        <v>87</v>
      </c>
      <c r="C24" s="359" t="s">
        <v>18</v>
      </c>
      <c r="D24" s="359">
        <v>16</v>
      </c>
      <c r="E24" s="359"/>
      <c r="F24" s="359"/>
      <c r="G24" s="359"/>
      <c r="H24" s="359">
        <v>60</v>
      </c>
      <c r="I24" s="359" t="s">
        <v>256</v>
      </c>
      <c r="J24" s="359" t="s">
        <v>589</v>
      </c>
      <c r="K24" s="359" t="s">
        <v>590</v>
      </c>
      <c r="L24" s="359" t="s">
        <v>591</v>
      </c>
      <c r="M24" s="359" t="s">
        <v>434</v>
      </c>
      <c r="N24" s="359" t="s">
        <v>435</v>
      </c>
      <c r="O24" s="359" t="s">
        <v>592</v>
      </c>
      <c r="P24" s="359" t="s">
        <v>437</v>
      </c>
      <c r="Q24" s="359" t="s">
        <v>437</v>
      </c>
      <c r="R24" s="359" t="s">
        <v>593</v>
      </c>
      <c r="S24" s="359" t="s">
        <v>594</v>
      </c>
    </row>
    <row r="25" spans="1:19" ht="43.5">
      <c r="A25" s="359" t="s">
        <v>595</v>
      </c>
      <c r="B25" s="359" t="s">
        <v>87</v>
      </c>
      <c r="C25" s="359" t="s">
        <v>18</v>
      </c>
      <c r="D25" s="359">
        <v>17</v>
      </c>
      <c r="E25" s="359"/>
      <c r="F25" s="359"/>
      <c r="G25" s="359"/>
      <c r="H25" s="359">
        <v>40</v>
      </c>
      <c r="I25" s="359" t="s">
        <v>256</v>
      </c>
      <c r="J25" s="359" t="s">
        <v>596</v>
      </c>
      <c r="K25" s="359" t="s">
        <v>597</v>
      </c>
      <c r="L25" s="359" t="s">
        <v>598</v>
      </c>
      <c r="M25" s="359" t="s">
        <v>434</v>
      </c>
      <c r="N25" s="359" t="s">
        <v>599</v>
      </c>
      <c r="O25" s="359" t="s">
        <v>600</v>
      </c>
      <c r="P25" s="359" t="s">
        <v>437</v>
      </c>
      <c r="Q25" s="359" t="s">
        <v>437</v>
      </c>
      <c r="R25" s="359" t="s">
        <v>601</v>
      </c>
      <c r="S25" s="359" t="s">
        <v>602</v>
      </c>
    </row>
    <row r="26" spans="1:19" ht="58">
      <c r="A26" s="359" t="s">
        <v>603</v>
      </c>
      <c r="B26" s="359" t="s">
        <v>87</v>
      </c>
      <c r="C26" s="359" t="s">
        <v>18</v>
      </c>
      <c r="D26" s="359">
        <v>18</v>
      </c>
      <c r="E26" s="359"/>
      <c r="F26" s="359"/>
      <c r="G26" s="359"/>
      <c r="H26" s="359">
        <v>660</v>
      </c>
      <c r="I26" s="359" t="s">
        <v>256</v>
      </c>
      <c r="J26" s="359" t="s">
        <v>604</v>
      </c>
      <c r="K26" s="359" t="s">
        <v>605</v>
      </c>
      <c r="L26" s="359" t="s">
        <v>606</v>
      </c>
      <c r="M26" s="359" t="s">
        <v>434</v>
      </c>
      <c r="N26" s="359" t="s">
        <v>607</v>
      </c>
      <c r="O26" s="359" t="s">
        <v>608</v>
      </c>
      <c r="P26" s="359" t="s">
        <v>437</v>
      </c>
      <c r="Q26" s="359" t="s">
        <v>437</v>
      </c>
      <c r="R26" s="359" t="s">
        <v>609</v>
      </c>
      <c r="S26" s="359" t="s">
        <v>610</v>
      </c>
    </row>
    <row r="27" spans="1:19" ht="58">
      <c r="A27" s="359" t="s">
        <v>611</v>
      </c>
      <c r="B27" s="359" t="s">
        <v>87</v>
      </c>
      <c r="C27" s="359" t="s">
        <v>18</v>
      </c>
      <c r="D27" s="359">
        <v>19</v>
      </c>
      <c r="E27" s="359"/>
      <c r="F27" s="359"/>
      <c r="G27" s="359"/>
      <c r="H27" s="359">
        <v>20</v>
      </c>
      <c r="I27" s="359" t="s">
        <v>256</v>
      </c>
      <c r="J27" s="359" t="s">
        <v>612</v>
      </c>
      <c r="K27" s="359" t="s">
        <v>613</v>
      </c>
      <c r="L27" s="359" t="s">
        <v>614</v>
      </c>
      <c r="M27" s="359" t="s">
        <v>434</v>
      </c>
      <c r="N27" s="359" t="s">
        <v>607</v>
      </c>
      <c r="O27" s="359" t="s">
        <v>436</v>
      </c>
      <c r="P27" s="359" t="s">
        <v>437</v>
      </c>
      <c r="Q27" s="359" t="s">
        <v>437</v>
      </c>
      <c r="R27" s="359" t="s">
        <v>615</v>
      </c>
      <c r="S27" s="359" t="s">
        <v>616</v>
      </c>
    </row>
    <row r="28" spans="1:19" ht="43.5">
      <c r="A28" s="359" t="s">
        <v>617</v>
      </c>
      <c r="B28" s="359" t="s">
        <v>87</v>
      </c>
      <c r="C28" s="359" t="s">
        <v>18</v>
      </c>
      <c r="D28" s="359">
        <v>20</v>
      </c>
      <c r="E28" s="359"/>
      <c r="F28" s="359"/>
      <c r="G28" s="359"/>
      <c r="H28" s="359">
        <v>50</v>
      </c>
      <c r="I28" s="359" t="s">
        <v>322</v>
      </c>
      <c r="J28" s="359" t="s">
        <v>618</v>
      </c>
      <c r="K28" s="359" t="s">
        <v>619</v>
      </c>
      <c r="L28" s="359" t="s">
        <v>620</v>
      </c>
      <c r="M28" s="359" t="s">
        <v>434</v>
      </c>
      <c r="N28" s="359" t="s">
        <v>444</v>
      </c>
      <c r="O28" s="359" t="s">
        <v>445</v>
      </c>
      <c r="P28" s="359" t="s">
        <v>437</v>
      </c>
      <c r="Q28" s="359" t="s">
        <v>437</v>
      </c>
      <c r="R28" s="359" t="s">
        <v>621</v>
      </c>
      <c r="S28" s="359" t="s">
        <v>622</v>
      </c>
    </row>
    <row r="29" spans="1:19" ht="43.5">
      <c r="A29" s="359" t="s">
        <v>623</v>
      </c>
      <c r="B29" s="359" t="s">
        <v>87</v>
      </c>
      <c r="C29" s="359" t="s">
        <v>18</v>
      </c>
      <c r="D29" s="359">
        <v>21</v>
      </c>
      <c r="E29" s="359"/>
      <c r="F29" s="359"/>
      <c r="G29" s="359"/>
      <c r="H29" s="359">
        <v>10</v>
      </c>
      <c r="I29" s="359" t="s">
        <v>389</v>
      </c>
      <c r="J29" s="359" t="s">
        <v>624</v>
      </c>
      <c r="K29" s="359" t="s">
        <v>625</v>
      </c>
      <c r="L29" s="359" t="s">
        <v>626</v>
      </c>
      <c r="M29" s="359" t="s">
        <v>627</v>
      </c>
      <c r="N29" s="359" t="s">
        <v>628</v>
      </c>
      <c r="O29" s="359" t="s">
        <v>629</v>
      </c>
      <c r="P29" s="359" t="s">
        <v>437</v>
      </c>
      <c r="Q29" s="359" t="s">
        <v>437</v>
      </c>
      <c r="R29" s="359" t="s">
        <v>630</v>
      </c>
      <c r="S29" s="359" t="s">
        <v>631</v>
      </c>
    </row>
    <row r="30" spans="1:19" ht="87">
      <c r="A30" s="359" t="s">
        <v>363</v>
      </c>
      <c r="B30" s="359" t="s">
        <v>87</v>
      </c>
      <c r="C30" s="359" t="s">
        <v>456</v>
      </c>
      <c r="D30" s="359"/>
      <c r="E30" s="359">
        <v>15</v>
      </c>
      <c r="F30" s="359">
        <v>15</v>
      </c>
      <c r="G30" s="359">
        <v>15</v>
      </c>
      <c r="H30" s="359">
        <v>45</v>
      </c>
      <c r="I30" s="359" t="s">
        <v>178</v>
      </c>
      <c r="J30" s="359" t="s">
        <v>632</v>
      </c>
      <c r="K30" s="359" t="s">
        <v>633</v>
      </c>
      <c r="L30" s="359" t="s">
        <v>634</v>
      </c>
      <c r="M30" s="359" t="s">
        <v>635</v>
      </c>
      <c r="N30" s="359" t="s">
        <v>178</v>
      </c>
      <c r="O30" s="359" t="s">
        <v>636</v>
      </c>
      <c r="P30" s="359" t="s">
        <v>437</v>
      </c>
      <c r="Q30" s="359" t="s">
        <v>637</v>
      </c>
      <c r="R30" s="359" t="s">
        <v>638</v>
      </c>
      <c r="S30" s="359" t="s">
        <v>639</v>
      </c>
    </row>
    <row r="31" spans="1:19" ht="72.5">
      <c r="A31" s="359" t="s">
        <v>640</v>
      </c>
      <c r="B31" s="359" t="s">
        <v>87</v>
      </c>
      <c r="C31" s="359" t="s">
        <v>456</v>
      </c>
      <c r="D31" s="359"/>
      <c r="E31" s="359">
        <v>16</v>
      </c>
      <c r="F31" s="359">
        <v>16</v>
      </c>
      <c r="G31" s="359">
        <v>16</v>
      </c>
      <c r="H31" s="359">
        <v>30</v>
      </c>
      <c r="I31" s="359" t="s">
        <v>389</v>
      </c>
      <c r="J31" s="359" t="s">
        <v>641</v>
      </c>
      <c r="K31" s="359" t="s">
        <v>642</v>
      </c>
      <c r="L31" s="359" t="s">
        <v>643</v>
      </c>
      <c r="M31" s="359" t="s">
        <v>627</v>
      </c>
      <c r="N31" s="359" t="s">
        <v>628</v>
      </c>
      <c r="O31" s="359" t="s">
        <v>644</v>
      </c>
      <c r="P31" s="359" t="s">
        <v>437</v>
      </c>
      <c r="Q31" s="359" t="s">
        <v>437</v>
      </c>
      <c r="R31" s="359" t="s">
        <v>645</v>
      </c>
      <c r="S31" s="359" t="s">
        <v>646</v>
      </c>
    </row>
  </sheetData>
  <mergeCells count="1">
    <mergeCell ref="A1:S1"/>
  </mergeCells>
  <conditionalFormatting sqref="H4:H80">
    <cfRule type="expression" dxfId="997" priority="1">
      <formula>$H4&lt;&gt;""</formula>
    </cfRule>
  </conditionalFormatting>
  <dataValidations count="1">
    <dataValidation type="list" sqref="B6:B200" xr:uid="{00000000-0002-0000-0300-000000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</sheetPr>
  <dimension ref="A1:H13"/>
  <sheetViews>
    <sheetView showGridLines="0" workbookViewId="0"/>
  </sheetViews>
  <sheetFormatPr baseColWidth="10" defaultColWidth="8.7265625" defaultRowHeight="14.5"/>
  <cols>
    <col min="1" max="1" width="18.26953125" customWidth="1"/>
    <col min="2" max="2" width="32" customWidth="1"/>
    <col min="3" max="3" width="13.90625" customWidth="1"/>
    <col min="4" max="4" width="26" customWidth="1"/>
    <col min="5" max="5" width="14.81640625" customWidth="1"/>
    <col min="6" max="6" width="14.7265625" customWidth="1"/>
    <col min="7" max="7" width="11.6328125" customWidth="1"/>
    <col min="8" max="8" width="41.81640625" customWidth="1"/>
  </cols>
  <sheetData>
    <row r="1" spans="1:8">
      <c r="A1" s="427" t="s">
        <v>647</v>
      </c>
      <c r="B1" s="426"/>
      <c r="C1" s="426"/>
      <c r="D1" s="426"/>
      <c r="E1" s="426"/>
      <c r="F1" s="426"/>
      <c r="G1" s="426"/>
      <c r="H1" s="426"/>
    </row>
    <row r="2" spans="1:8" ht="5.5" customHeight="1"/>
    <row r="3" spans="1:8">
      <c r="A3" s="57" t="s">
        <v>648</v>
      </c>
      <c r="B3" s="425" t="s">
        <v>649</v>
      </c>
      <c r="C3" s="426"/>
      <c r="D3" s="426"/>
      <c r="E3" s="426"/>
      <c r="F3" s="426"/>
    </row>
    <row r="4" spans="1:8" ht="4.5" customHeight="1">
      <c r="G4" s="83"/>
    </row>
    <row r="5" spans="1:8" ht="29" customHeight="1">
      <c r="A5" s="54" t="s">
        <v>66</v>
      </c>
      <c r="B5" s="54" t="s">
        <v>650</v>
      </c>
      <c r="C5" s="54" t="s">
        <v>651</v>
      </c>
      <c r="D5" s="54" t="s">
        <v>652</v>
      </c>
      <c r="E5" s="54" t="s">
        <v>653</v>
      </c>
      <c r="F5" s="54" t="s">
        <v>654</v>
      </c>
      <c r="G5" s="82" t="s">
        <v>655</v>
      </c>
      <c r="H5" s="54" t="s">
        <v>656</v>
      </c>
    </row>
    <row r="6" spans="1:8">
      <c r="A6" t="s">
        <v>657</v>
      </c>
      <c r="B6" t="s">
        <v>658</v>
      </c>
      <c r="C6" s="55">
        <v>100000</v>
      </c>
      <c r="D6" t="s">
        <v>659</v>
      </c>
      <c r="E6" s="55">
        <f>SUM('10_Apertura'!C3:C8)+SUMIFS('14_Inversiones'!G:G,'14_Inversiones'!A:A,"&gt;=2026-05-01")</f>
        <v>15732.92</v>
      </c>
      <c r="F6" s="56">
        <f>IFERROR(E6/C6,0)</f>
        <v>0.1573292</v>
      </c>
      <c r="G6" s="83" t="str">
        <f>IF(F6&gt;=1,"🟢 Cumple","🟡 Bajo meta")</f>
        <v>🟡 Bajo meta</v>
      </c>
      <c r="H6" t="s">
        <v>660</v>
      </c>
    </row>
    <row r="7" spans="1:8">
      <c r="A7" t="s">
        <v>661</v>
      </c>
      <c r="B7" t="s">
        <v>662</v>
      </c>
      <c r="C7" s="55">
        <v>50000</v>
      </c>
      <c r="D7" t="s">
        <v>663</v>
      </c>
      <c r="E7" s="55">
        <f>SUM('14_Inversiones'!D5:D103)</f>
        <v>0</v>
      </c>
      <c r="F7" s="56">
        <f>IFERROR(E7/C7,0)</f>
        <v>0</v>
      </c>
      <c r="G7" s="83" t="str">
        <f>IF(F7&gt;=1,"🟢 Cumple","🟡 Bajo meta")</f>
        <v>🟡 Bajo meta</v>
      </c>
      <c r="H7" t="s">
        <v>664</v>
      </c>
    </row>
    <row r="8" spans="1:8">
      <c r="A8" t="s">
        <v>665</v>
      </c>
      <c r="B8" t="s">
        <v>666</v>
      </c>
      <c r="C8" s="58">
        <v>1</v>
      </c>
      <c r="D8" t="s">
        <v>667</v>
      </c>
      <c r="E8" s="58">
        <f>IF(COUNTA('12_Gastos'!A5:A403)&gt;0,1,0)</f>
        <v>1</v>
      </c>
      <c r="F8" s="56">
        <f>E8/C8</f>
        <v>1</v>
      </c>
      <c r="G8" s="83" t="str">
        <f>IF(F8&gt;=1,"🟢 Activo","🔴 Sin registro")</f>
        <v>🟢 Activo</v>
      </c>
      <c r="H8" t="s">
        <v>668</v>
      </c>
    </row>
    <row r="9" spans="1:8">
      <c r="A9" t="s">
        <v>175</v>
      </c>
      <c r="B9" t="s">
        <v>669</v>
      </c>
      <c r="C9" s="58">
        <v>4</v>
      </c>
      <c r="D9" t="s">
        <v>670</v>
      </c>
      <c r="E9" s="58"/>
      <c r="F9" s="56"/>
      <c r="G9" s="83" t="s">
        <v>671</v>
      </c>
      <c r="H9" t="s">
        <v>672</v>
      </c>
    </row>
    <row r="10" spans="1:8">
      <c r="A10" t="s">
        <v>673</v>
      </c>
      <c r="B10" t="s">
        <v>674</v>
      </c>
      <c r="C10" s="58">
        <v>25</v>
      </c>
      <c r="D10" t="s">
        <v>675</v>
      </c>
      <c r="E10" s="58">
        <f>COUNTA('40_Estudio_Empresas'!A3:A202)</f>
        <v>200</v>
      </c>
      <c r="F10" s="56">
        <f>IFERROR(E10/C10,0)</f>
        <v>8</v>
      </c>
      <c r="G10" s="83" t="str">
        <f>IF(F10&gt;=1,"🟢 Cumple","🟡 En construcción")</f>
        <v>🟢 Cumple</v>
      </c>
      <c r="H10" t="s">
        <v>676</v>
      </c>
    </row>
    <row r="11" spans="1:8">
      <c r="A11" t="s">
        <v>677</v>
      </c>
      <c r="B11" t="s">
        <v>678</v>
      </c>
      <c r="C11" s="58">
        <v>1</v>
      </c>
      <c r="D11" t="s">
        <v>183</v>
      </c>
      <c r="E11" s="58">
        <f>IF(COUNTA('30_MGC_CRM'!E5:E213)&gt;0,1,0)</f>
        <v>1</v>
      </c>
      <c r="F11" s="56">
        <f>E11/C11</f>
        <v>1</v>
      </c>
      <c r="G11" s="83" t="str">
        <f>IF(F11&gt;=1,"🟢 Activo","🔴 Sin CRM")</f>
        <v>🟢 Activo</v>
      </c>
      <c r="H11" t="s">
        <v>679</v>
      </c>
    </row>
    <row r="12" spans="1:8">
      <c r="A12" t="s">
        <v>286</v>
      </c>
      <c r="B12" t="s">
        <v>680</v>
      </c>
      <c r="C12" s="58">
        <v>12</v>
      </c>
      <c r="D12" t="s">
        <v>681</v>
      </c>
      <c r="E12" s="58">
        <f>COUNTA('51_Bloques_Estudio'!A5:A204)</f>
        <v>95</v>
      </c>
      <c r="F12" s="56">
        <f>IFERROR(E12/C12,0)</f>
        <v>7.916666666666667</v>
      </c>
      <c r="G12" s="83" t="str">
        <f>IF(F12&gt;=1,"🟢 Cumple","🟡 En riesgo")</f>
        <v>🟢 Cumple</v>
      </c>
      <c r="H12" t="s">
        <v>682</v>
      </c>
    </row>
    <row r="13" spans="1:8">
      <c r="A13" t="s">
        <v>683</v>
      </c>
      <c r="B13" t="s">
        <v>684</v>
      </c>
      <c r="C13" s="58">
        <v>20</v>
      </c>
      <c r="D13" t="s">
        <v>685</v>
      </c>
      <c r="E13" s="58">
        <f>COUNT('20_Registro_CEO_V4'!K5:K34)</f>
        <v>28</v>
      </c>
      <c r="F13" s="56">
        <f>IFERROR(E13/C13,0)</f>
        <v>1.4</v>
      </c>
      <c r="G13" s="83" t="str">
        <f>IF(F13&gt;=1,"🟢 Fuerte","🟡 Medio")</f>
        <v>🟢 Fuerte</v>
      </c>
      <c r="H13" t="s">
        <v>686</v>
      </c>
    </row>
  </sheetData>
  <mergeCells count="2">
    <mergeCell ref="B3:F3"/>
    <mergeCell ref="A1:H1"/>
  </mergeCells>
  <conditionalFormatting sqref="G4:G13">
    <cfRule type="expression" dxfId="996" priority="5">
      <formula>ISNUMBER(SEARCH("Riesgo",G4))</formula>
    </cfRule>
    <cfRule type="expression" dxfId="995" priority="6">
      <formula>ISNUMBER(SEARCH("Crítico",G4))</formula>
    </cfRule>
    <cfRule type="expression" dxfId="994" priority="7">
      <formula>ISNUMBER(SEARCH("Pendiente",G4))</formula>
    </cfRule>
    <cfRule type="expression" dxfId="993" priority="8">
      <formula>ISNUMBER(SEARCH("En riesgo",G4))</formula>
    </cfRule>
    <cfRule type="expression" dxfId="992" priority="9">
      <formula>ISNUMBER(SEARCH("Atención",G4))</formula>
    </cfRule>
    <cfRule type="expression" dxfId="991" priority="10">
      <formula>ISNUMBER(SEARCH("En proceso",G4))</formula>
    </cfRule>
    <cfRule type="expression" dxfId="990" priority="11">
      <formula>ISNUMBER(SEARCH("Meta",G4))</formula>
    </cfRule>
    <cfRule type="expression" dxfId="989" priority="12">
      <formula>ISNUMBER(SEARCH("Cumple",G4))</formula>
    </cfRule>
    <cfRule type="expression" dxfId="988" priority="13">
      <formula>ISNUMBER(SEARCH("Cumplido",G4))</formula>
    </cfRule>
    <cfRule type="expression" dxfId="987" priority="14">
      <formula>ISNUMBER(SEARCH("Positivo",G4))</formula>
    </cfRule>
    <cfRule type="expression" dxfId="986" priority="15">
      <formula>ISNUMBER(SEARCH("Dominio",G4))</formula>
    </cfRule>
    <cfRule type="expression" dxfId="985" priority="16">
      <formula>ISNUMBER(SEARCH("Alto",G4))</formula>
    </cfRule>
    <cfRule type="expression" dxfId="984" priority="17">
      <formula>ISNUMBER(SEARCH("Superado",G4))</formula>
    </cfRule>
    <cfRule type="expression" dxfId="983" priority="18">
      <formula>ISNUMBER(SEARCH("Cuadrado",G4))</formula>
    </cfRule>
    <cfRule type="expression" dxfId="982" priority="19">
      <formula>ISNUMBER(SEARCH("Revisar",G4))</formula>
    </cfRule>
    <cfRule type="expression" dxfId="981" priority="20">
      <formula>ISNUMBER(SEARCH("Vacío",G4))</formula>
    </cfRule>
  </conditionalFormatting>
  <conditionalFormatting sqref="G6:G13">
    <cfRule type="expression" dxfId="980" priority="1">
      <formula>OR(ISNUMBER(SEARCH("Crítico",G6)),ISNUMBER(SEARCH("Controlar",G6)),ISNUMBER(SEARCH("Pendiente",G6)))</formula>
    </cfRule>
    <cfRule type="expression" dxfId="979" priority="2">
      <formula>OR(ISNUMBER(SEARCH("Atención",G6)),ISNUMBER(SEARCH("En construcción",G6)),ISNUMBER(SEARCH("Revisar",G6)),ISNUMBER(SEARCH("Manual",G6)),ISNUMBER(SEARCH("Vacío",G6)))</formula>
    </cfRule>
    <cfRule type="expression" dxfId="978" priority="3">
      <formula>OR(ISNUMBER(SEARCH("Cumple",G6)),ISNUMBER(SEARCH("Meta",G6)),ISNUMBER(SEARCH("Positivo",G6)),ISNUMBER(SEARCH("Activo",G6)),ISNUMBER(SEARCH("Fuerte",G6)),ISNUMBER(SEARCH("Cuadrado",G6)),ISNUMBER(SEARCH("OK",G6)))</formula>
    </cfRule>
    <cfRule type="expression" dxfId="977" priority="4">
      <formula>ISNUMBER(SEARCH("Dominio",G6))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0"/>
  <sheetViews>
    <sheetView workbookViewId="0"/>
  </sheetViews>
  <sheetFormatPr baseColWidth="10" defaultColWidth="8.7265625" defaultRowHeight="14.5"/>
  <cols>
    <col min="1" max="1" width="42" customWidth="1"/>
    <col min="2" max="2" width="24" customWidth="1"/>
    <col min="3" max="3" width="14" customWidth="1"/>
    <col min="4" max="4" width="42" customWidth="1"/>
    <col min="5" max="5" width="24" customWidth="1"/>
  </cols>
  <sheetData>
    <row r="1" spans="1:9" ht="7.25" customHeight="1">
      <c r="A1" s="247" t="s">
        <v>687</v>
      </c>
      <c r="B1" s="247"/>
      <c r="C1" s="247"/>
      <c r="D1" s="247"/>
      <c r="E1" s="247"/>
      <c r="F1" s="245"/>
      <c r="G1" s="245"/>
      <c r="H1" s="245"/>
      <c r="I1" s="245"/>
    </row>
    <row r="2" spans="1:9" ht="11.4" customHeight="1">
      <c r="A2" s="248" t="s">
        <v>688</v>
      </c>
      <c r="B2" s="248"/>
      <c r="C2" s="248"/>
      <c r="D2" s="248"/>
      <c r="E2" s="248"/>
      <c r="F2" s="246"/>
      <c r="G2" s="246"/>
      <c r="H2" s="246"/>
      <c r="I2" s="246"/>
    </row>
    <row r="3" spans="1:9">
      <c r="A3" s="98"/>
      <c r="B3" s="98"/>
      <c r="C3" s="98"/>
      <c r="D3" s="98"/>
      <c r="E3" s="98"/>
    </row>
    <row r="4" spans="1:9">
      <c r="A4" s="249" t="s">
        <v>689</v>
      </c>
      <c r="B4" s="98">
        <v>148</v>
      </c>
      <c r="C4" s="98"/>
      <c r="D4" s="98"/>
      <c r="E4" s="98"/>
    </row>
    <row r="5" spans="1:9">
      <c r="A5" s="249" t="s">
        <v>690</v>
      </c>
      <c r="B5" s="98">
        <v>77</v>
      </c>
      <c r="C5" s="98"/>
      <c r="D5" s="98"/>
      <c r="E5" s="98"/>
    </row>
    <row r="6" spans="1:9">
      <c r="A6" s="249" t="s">
        <v>691</v>
      </c>
      <c r="B6" s="98">
        <v>71</v>
      </c>
      <c r="C6" s="98"/>
      <c r="D6" s="98"/>
      <c r="E6" s="98"/>
    </row>
    <row r="7" spans="1:9" ht="14.4" customHeight="1">
      <c r="A7" s="249" t="s">
        <v>692</v>
      </c>
      <c r="B7" s="98" t="s">
        <v>693</v>
      </c>
      <c r="C7" s="98"/>
      <c r="D7" s="98"/>
      <c r="E7" s="98"/>
    </row>
    <row r="8" spans="1:9">
      <c r="A8" s="98"/>
      <c r="B8" s="98"/>
      <c r="C8" s="98"/>
      <c r="D8" s="98"/>
      <c r="E8" s="98"/>
    </row>
    <row r="9" spans="1:9">
      <c r="A9" s="98"/>
      <c r="B9" s="98"/>
      <c r="C9" s="98"/>
      <c r="D9" s="98"/>
      <c r="E9" s="98"/>
    </row>
    <row r="10" spans="1:9">
      <c r="A10" s="250" t="s">
        <v>694</v>
      </c>
      <c r="B10" s="250" t="s">
        <v>67</v>
      </c>
      <c r="C10" s="250" t="s">
        <v>655</v>
      </c>
      <c r="D10" s="250" t="s">
        <v>695</v>
      </c>
      <c r="E10" s="250" t="s">
        <v>696</v>
      </c>
    </row>
    <row r="11" spans="1:9">
      <c r="A11" s="98" t="s">
        <v>697</v>
      </c>
      <c r="B11" s="98" t="s">
        <v>698</v>
      </c>
      <c r="C11" s="98" t="s">
        <v>699</v>
      </c>
      <c r="D11" s="98" t="s">
        <v>700</v>
      </c>
      <c r="E11" s="98" t="s">
        <v>701</v>
      </c>
    </row>
    <row r="12" spans="1:9">
      <c r="A12" s="98" t="s">
        <v>702</v>
      </c>
      <c r="B12" s="98" t="s">
        <v>698</v>
      </c>
      <c r="C12" s="98" t="s">
        <v>699</v>
      </c>
      <c r="D12" s="98" t="s">
        <v>700</v>
      </c>
      <c r="E12" s="98" t="s">
        <v>701</v>
      </c>
    </row>
    <row r="13" spans="1:9">
      <c r="A13" s="98" t="s">
        <v>703</v>
      </c>
      <c r="B13" s="98" t="s">
        <v>698</v>
      </c>
      <c r="C13" s="98" t="s">
        <v>699</v>
      </c>
      <c r="D13" s="98" t="s">
        <v>700</v>
      </c>
      <c r="E13" s="98" t="s">
        <v>701</v>
      </c>
    </row>
    <row r="14" spans="1:9">
      <c r="A14" s="98" t="s">
        <v>704</v>
      </c>
      <c r="B14" s="98" t="s">
        <v>705</v>
      </c>
      <c r="C14" s="98" t="s">
        <v>699</v>
      </c>
      <c r="D14" s="98" t="s">
        <v>700</v>
      </c>
      <c r="E14" s="98" t="s">
        <v>701</v>
      </c>
    </row>
    <row r="15" spans="1:9">
      <c r="A15" s="98" t="s">
        <v>706</v>
      </c>
      <c r="B15" s="98" t="s">
        <v>698</v>
      </c>
      <c r="C15" s="98" t="s">
        <v>699</v>
      </c>
      <c r="D15" s="98" t="s">
        <v>700</v>
      </c>
      <c r="E15" s="98" t="s">
        <v>701</v>
      </c>
    </row>
    <row r="16" spans="1:9">
      <c r="A16" s="98" t="s">
        <v>104</v>
      </c>
      <c r="B16" s="98" t="s">
        <v>698</v>
      </c>
      <c r="C16" s="98" t="s">
        <v>699</v>
      </c>
      <c r="D16" s="98" t="s">
        <v>700</v>
      </c>
      <c r="E16" s="98" t="s">
        <v>701</v>
      </c>
    </row>
    <row r="17" spans="1:5">
      <c r="A17" s="98" t="s">
        <v>707</v>
      </c>
      <c r="B17" s="98" t="s">
        <v>705</v>
      </c>
      <c r="C17" s="98" t="s">
        <v>699</v>
      </c>
      <c r="D17" s="98" t="s">
        <v>700</v>
      </c>
      <c r="E17" s="98" t="s">
        <v>701</v>
      </c>
    </row>
    <row r="18" spans="1:5">
      <c r="A18" s="98" t="s">
        <v>708</v>
      </c>
      <c r="B18" s="98" t="s">
        <v>698</v>
      </c>
      <c r="C18" s="98" t="s">
        <v>699</v>
      </c>
      <c r="D18" s="98" t="s">
        <v>700</v>
      </c>
      <c r="E18" s="98" t="s">
        <v>701</v>
      </c>
    </row>
    <row r="19" spans="1:5">
      <c r="A19" s="98" t="s">
        <v>709</v>
      </c>
      <c r="B19" s="98" t="s">
        <v>157</v>
      </c>
      <c r="C19" s="98" t="s">
        <v>699</v>
      </c>
      <c r="D19" s="98" t="s">
        <v>700</v>
      </c>
      <c r="E19" s="98" t="s">
        <v>701</v>
      </c>
    </row>
    <row r="20" spans="1:5">
      <c r="A20" s="98" t="s">
        <v>156</v>
      </c>
      <c r="B20" s="98" t="s">
        <v>157</v>
      </c>
      <c r="C20" s="98" t="s">
        <v>699</v>
      </c>
      <c r="D20" s="98" t="s">
        <v>700</v>
      </c>
      <c r="E20" s="98" t="s">
        <v>701</v>
      </c>
    </row>
    <row r="21" spans="1:5">
      <c r="A21" s="98" t="s">
        <v>164</v>
      </c>
      <c r="B21" s="98" t="s">
        <v>157</v>
      </c>
      <c r="C21" s="98" t="s">
        <v>699</v>
      </c>
      <c r="D21" s="98" t="s">
        <v>700</v>
      </c>
      <c r="E21" s="98" t="s">
        <v>701</v>
      </c>
    </row>
    <row r="22" spans="1:5">
      <c r="A22" s="98" t="s">
        <v>170</v>
      </c>
      <c r="B22" s="98" t="s">
        <v>157</v>
      </c>
      <c r="C22" s="98" t="s">
        <v>699</v>
      </c>
      <c r="D22" s="98" t="s">
        <v>700</v>
      </c>
      <c r="E22" s="98" t="s">
        <v>701</v>
      </c>
    </row>
    <row r="23" spans="1:5">
      <c r="A23" s="98" t="s">
        <v>663</v>
      </c>
      <c r="B23" s="98" t="s">
        <v>157</v>
      </c>
      <c r="C23" s="98" t="s">
        <v>699</v>
      </c>
      <c r="D23" s="98" t="s">
        <v>700</v>
      </c>
      <c r="E23" s="98" t="s">
        <v>701</v>
      </c>
    </row>
    <row r="24" spans="1:5">
      <c r="A24" s="98" t="s">
        <v>176</v>
      </c>
      <c r="B24" s="98" t="s">
        <v>157</v>
      </c>
      <c r="C24" s="98" t="s">
        <v>699</v>
      </c>
      <c r="D24" s="98" t="s">
        <v>700</v>
      </c>
      <c r="E24" s="98" t="s">
        <v>701</v>
      </c>
    </row>
    <row r="25" spans="1:5">
      <c r="A25" s="98" t="s">
        <v>710</v>
      </c>
      <c r="B25" s="98" t="s">
        <v>705</v>
      </c>
      <c r="C25" s="98" t="s">
        <v>699</v>
      </c>
      <c r="D25" s="98" t="s">
        <v>700</v>
      </c>
      <c r="E25" s="98" t="s">
        <v>701</v>
      </c>
    </row>
    <row r="26" spans="1:5">
      <c r="A26" s="98" t="s">
        <v>20</v>
      </c>
      <c r="B26" s="98" t="s">
        <v>711</v>
      </c>
      <c r="C26" s="98" t="s">
        <v>699</v>
      </c>
      <c r="D26" s="98" t="s">
        <v>700</v>
      </c>
      <c r="E26" s="98" t="s">
        <v>701</v>
      </c>
    </row>
    <row r="27" spans="1:5">
      <c r="A27" s="98" t="s">
        <v>91</v>
      </c>
      <c r="B27" s="98" t="s">
        <v>711</v>
      </c>
      <c r="C27" s="98" t="s">
        <v>699</v>
      </c>
      <c r="D27" s="98" t="s">
        <v>700</v>
      </c>
      <c r="E27" s="98" t="s">
        <v>701</v>
      </c>
    </row>
    <row r="28" spans="1:5">
      <c r="A28" s="98" t="s">
        <v>712</v>
      </c>
      <c r="B28" s="98" t="s">
        <v>711</v>
      </c>
      <c r="C28" s="98" t="s">
        <v>699</v>
      </c>
      <c r="D28" s="98" t="s">
        <v>700</v>
      </c>
      <c r="E28" s="98" t="s">
        <v>701</v>
      </c>
    </row>
    <row r="29" spans="1:5">
      <c r="A29" s="98" t="s">
        <v>713</v>
      </c>
      <c r="B29" s="98" t="s">
        <v>711</v>
      </c>
      <c r="C29" s="98" t="s">
        <v>699</v>
      </c>
      <c r="D29" s="98" t="s">
        <v>700</v>
      </c>
      <c r="E29" s="98" t="s">
        <v>701</v>
      </c>
    </row>
    <row r="30" spans="1:5">
      <c r="A30" s="98" t="s">
        <v>714</v>
      </c>
      <c r="B30" s="98" t="s">
        <v>711</v>
      </c>
      <c r="C30" s="98" t="s">
        <v>699</v>
      </c>
      <c r="D30" s="98" t="s">
        <v>700</v>
      </c>
      <c r="E30" s="98" t="s">
        <v>701</v>
      </c>
    </row>
    <row r="31" spans="1:5">
      <c r="A31" s="98" t="s">
        <v>715</v>
      </c>
      <c r="B31" s="98" t="s">
        <v>711</v>
      </c>
      <c r="C31" s="98" t="s">
        <v>699</v>
      </c>
      <c r="D31" s="98" t="s">
        <v>700</v>
      </c>
      <c r="E31" s="98" t="s">
        <v>701</v>
      </c>
    </row>
    <row r="32" spans="1:5">
      <c r="A32" s="98" t="s">
        <v>716</v>
      </c>
      <c r="B32" s="98" t="s">
        <v>717</v>
      </c>
      <c r="C32" s="98" t="s">
        <v>699</v>
      </c>
      <c r="D32" s="98" t="s">
        <v>700</v>
      </c>
      <c r="E32" s="98" t="s">
        <v>701</v>
      </c>
    </row>
    <row r="33" spans="1:5">
      <c r="A33" s="98" t="s">
        <v>718</v>
      </c>
      <c r="B33" s="98" t="s">
        <v>717</v>
      </c>
      <c r="C33" s="98" t="s">
        <v>699</v>
      </c>
      <c r="D33" s="98" t="s">
        <v>700</v>
      </c>
      <c r="E33" s="98" t="s">
        <v>701</v>
      </c>
    </row>
    <row r="34" spans="1:5">
      <c r="A34" s="98" t="s">
        <v>719</v>
      </c>
      <c r="B34" s="98" t="s">
        <v>717</v>
      </c>
      <c r="C34" s="98" t="s">
        <v>699</v>
      </c>
      <c r="D34" s="98" t="s">
        <v>700</v>
      </c>
      <c r="E34" s="98" t="s">
        <v>701</v>
      </c>
    </row>
    <row r="35" spans="1:5">
      <c r="A35" s="98" t="s">
        <v>720</v>
      </c>
      <c r="B35" s="98" t="s">
        <v>717</v>
      </c>
      <c r="C35" s="98" t="s">
        <v>699</v>
      </c>
      <c r="D35" s="98" t="s">
        <v>700</v>
      </c>
      <c r="E35" s="98" t="s">
        <v>701</v>
      </c>
    </row>
    <row r="36" spans="1:5">
      <c r="A36" s="98" t="s">
        <v>721</v>
      </c>
      <c r="B36" s="98" t="s">
        <v>717</v>
      </c>
      <c r="C36" s="98" t="s">
        <v>699</v>
      </c>
      <c r="D36" s="98" t="s">
        <v>700</v>
      </c>
      <c r="E36" s="98" t="s">
        <v>701</v>
      </c>
    </row>
    <row r="37" spans="1:5">
      <c r="A37" s="98" t="s">
        <v>722</v>
      </c>
      <c r="B37" s="98" t="s">
        <v>717</v>
      </c>
      <c r="C37" s="98" t="s">
        <v>699</v>
      </c>
      <c r="D37" s="98" t="s">
        <v>700</v>
      </c>
      <c r="E37" s="98" t="s">
        <v>701</v>
      </c>
    </row>
    <row r="38" spans="1:5">
      <c r="A38" s="98" t="s">
        <v>723</v>
      </c>
      <c r="B38" s="98" t="s">
        <v>717</v>
      </c>
      <c r="C38" s="98" t="s">
        <v>699</v>
      </c>
      <c r="D38" s="98" t="s">
        <v>700</v>
      </c>
      <c r="E38" s="98" t="s">
        <v>701</v>
      </c>
    </row>
    <row r="39" spans="1:5">
      <c r="A39" s="98" t="s">
        <v>724</v>
      </c>
      <c r="B39" s="98" t="s">
        <v>717</v>
      </c>
      <c r="C39" s="98" t="s">
        <v>699</v>
      </c>
      <c r="D39" s="98" t="s">
        <v>700</v>
      </c>
      <c r="E39" s="98" t="s">
        <v>701</v>
      </c>
    </row>
    <row r="40" spans="1:5">
      <c r="A40" s="98" t="s">
        <v>725</v>
      </c>
      <c r="B40" s="98" t="s">
        <v>717</v>
      </c>
      <c r="C40" s="98" t="s">
        <v>699</v>
      </c>
      <c r="D40" s="98" t="s">
        <v>700</v>
      </c>
      <c r="E40" s="98" t="s">
        <v>701</v>
      </c>
    </row>
    <row r="41" spans="1:5">
      <c r="A41" s="98" t="s">
        <v>726</v>
      </c>
      <c r="B41" s="98" t="s">
        <v>717</v>
      </c>
      <c r="C41" s="98" t="s">
        <v>699</v>
      </c>
      <c r="D41" s="98" t="s">
        <v>700</v>
      </c>
      <c r="E41" s="98" t="s">
        <v>701</v>
      </c>
    </row>
    <row r="42" spans="1:5">
      <c r="A42" s="98" t="s">
        <v>727</v>
      </c>
      <c r="B42" s="98" t="s">
        <v>717</v>
      </c>
      <c r="C42" s="98" t="s">
        <v>699</v>
      </c>
      <c r="D42" s="98" t="s">
        <v>700</v>
      </c>
      <c r="E42" s="98" t="s">
        <v>701</v>
      </c>
    </row>
    <row r="43" spans="1:5">
      <c r="A43" s="98" t="s">
        <v>728</v>
      </c>
      <c r="B43" s="98" t="s">
        <v>717</v>
      </c>
      <c r="C43" s="98" t="s">
        <v>699</v>
      </c>
      <c r="D43" s="98" t="s">
        <v>700</v>
      </c>
      <c r="E43" s="98" t="s">
        <v>701</v>
      </c>
    </row>
    <row r="44" spans="1:5">
      <c r="A44" s="98" t="s">
        <v>729</v>
      </c>
      <c r="B44" s="98" t="s">
        <v>717</v>
      </c>
      <c r="C44" s="98" t="s">
        <v>699</v>
      </c>
      <c r="D44" s="98" t="s">
        <v>700</v>
      </c>
      <c r="E44" s="98" t="s">
        <v>701</v>
      </c>
    </row>
    <row r="45" spans="1:5">
      <c r="A45" s="98" t="s">
        <v>730</v>
      </c>
      <c r="B45" s="98" t="s">
        <v>705</v>
      </c>
      <c r="C45" s="98" t="s">
        <v>699</v>
      </c>
      <c r="D45" s="98" t="s">
        <v>700</v>
      </c>
      <c r="E45" s="98" t="s">
        <v>701</v>
      </c>
    </row>
    <row r="46" spans="1:5">
      <c r="A46" s="98" t="s">
        <v>731</v>
      </c>
      <c r="B46" s="98" t="s">
        <v>286</v>
      </c>
      <c r="C46" s="98" t="s">
        <v>699</v>
      </c>
      <c r="D46" s="98" t="s">
        <v>700</v>
      </c>
      <c r="E46" s="98" t="s">
        <v>701</v>
      </c>
    </row>
    <row r="47" spans="1:5">
      <c r="A47" s="98" t="s">
        <v>681</v>
      </c>
      <c r="B47" s="98" t="s">
        <v>286</v>
      </c>
      <c r="C47" s="98" t="s">
        <v>699</v>
      </c>
      <c r="D47" s="98" t="s">
        <v>700</v>
      </c>
      <c r="E47" s="98" t="s">
        <v>701</v>
      </c>
    </row>
    <row r="48" spans="1:5">
      <c r="A48" s="98" t="s">
        <v>732</v>
      </c>
      <c r="B48" s="98" t="s">
        <v>286</v>
      </c>
      <c r="C48" s="98" t="s">
        <v>699</v>
      </c>
      <c r="D48" s="98" t="s">
        <v>700</v>
      </c>
      <c r="E48" s="98" t="s">
        <v>701</v>
      </c>
    </row>
    <row r="49" spans="1:5">
      <c r="A49" s="98" t="s">
        <v>733</v>
      </c>
      <c r="B49" s="98" t="s">
        <v>286</v>
      </c>
      <c r="C49" s="98" t="s">
        <v>699</v>
      </c>
      <c r="D49" s="98" t="s">
        <v>700</v>
      </c>
      <c r="E49" s="98" t="s">
        <v>701</v>
      </c>
    </row>
    <row r="50" spans="1:5">
      <c r="A50" s="98" t="s">
        <v>734</v>
      </c>
      <c r="B50" s="98" t="s">
        <v>286</v>
      </c>
      <c r="C50" s="98" t="s">
        <v>699</v>
      </c>
      <c r="D50" s="98" t="s">
        <v>700</v>
      </c>
      <c r="E50" s="98" t="s">
        <v>701</v>
      </c>
    </row>
    <row r="51" spans="1:5">
      <c r="A51" s="98" t="s">
        <v>735</v>
      </c>
      <c r="B51" s="98" t="s">
        <v>286</v>
      </c>
      <c r="C51" s="98" t="s">
        <v>699</v>
      </c>
      <c r="D51" s="98" t="s">
        <v>700</v>
      </c>
      <c r="E51" s="98" t="s">
        <v>701</v>
      </c>
    </row>
    <row r="52" spans="1:5">
      <c r="A52" s="98" t="s">
        <v>736</v>
      </c>
      <c r="B52" s="98" t="s">
        <v>286</v>
      </c>
      <c r="C52" s="98" t="s">
        <v>699</v>
      </c>
      <c r="D52" s="98" t="s">
        <v>700</v>
      </c>
      <c r="E52" s="98" t="s">
        <v>701</v>
      </c>
    </row>
    <row r="53" spans="1:5">
      <c r="A53" s="98" t="s">
        <v>737</v>
      </c>
      <c r="B53" s="98" t="s">
        <v>286</v>
      </c>
      <c r="C53" s="98" t="s">
        <v>699</v>
      </c>
      <c r="D53" s="98" t="s">
        <v>700</v>
      </c>
      <c r="E53" s="98" t="s">
        <v>701</v>
      </c>
    </row>
    <row r="54" spans="1:5">
      <c r="A54" s="98" t="s">
        <v>738</v>
      </c>
      <c r="B54" s="98" t="s">
        <v>286</v>
      </c>
      <c r="C54" s="98" t="s">
        <v>699</v>
      </c>
      <c r="D54" s="98" t="s">
        <v>700</v>
      </c>
      <c r="E54" s="98" t="s">
        <v>701</v>
      </c>
    </row>
    <row r="55" spans="1:5">
      <c r="A55" s="98" t="s">
        <v>739</v>
      </c>
      <c r="B55" s="98" t="s">
        <v>286</v>
      </c>
      <c r="C55" s="98" t="s">
        <v>699</v>
      </c>
      <c r="D55" s="98" t="s">
        <v>700</v>
      </c>
      <c r="E55" s="98" t="s">
        <v>701</v>
      </c>
    </row>
    <row r="56" spans="1:5">
      <c r="A56" s="98" t="s">
        <v>740</v>
      </c>
      <c r="B56" s="98" t="s">
        <v>286</v>
      </c>
      <c r="C56" s="98" t="s">
        <v>699</v>
      </c>
      <c r="D56" s="98" t="s">
        <v>700</v>
      </c>
      <c r="E56" s="98" t="s">
        <v>701</v>
      </c>
    </row>
    <row r="57" spans="1:5">
      <c r="A57" s="98" t="s">
        <v>741</v>
      </c>
      <c r="B57" s="98" t="s">
        <v>286</v>
      </c>
      <c r="C57" s="98" t="s">
        <v>699</v>
      </c>
      <c r="D57" s="98" t="s">
        <v>700</v>
      </c>
      <c r="E57" s="98" t="s">
        <v>701</v>
      </c>
    </row>
    <row r="58" spans="1:5">
      <c r="A58" s="98" t="s">
        <v>36</v>
      </c>
      <c r="B58" s="98" t="s">
        <v>286</v>
      </c>
      <c r="C58" s="98" t="s">
        <v>699</v>
      </c>
      <c r="D58" s="98" t="s">
        <v>700</v>
      </c>
      <c r="E58" s="98" t="s">
        <v>701</v>
      </c>
    </row>
    <row r="59" spans="1:5">
      <c r="A59" s="98" t="s">
        <v>311</v>
      </c>
      <c r="B59" s="98" t="s">
        <v>286</v>
      </c>
      <c r="C59" s="98" t="s">
        <v>699</v>
      </c>
      <c r="D59" s="98" t="s">
        <v>700</v>
      </c>
      <c r="E59" s="98" t="s">
        <v>701</v>
      </c>
    </row>
    <row r="60" spans="1:5">
      <c r="A60" s="98" t="s">
        <v>318</v>
      </c>
      <c r="B60" s="98" t="s">
        <v>286</v>
      </c>
      <c r="C60" s="98" t="s">
        <v>699</v>
      </c>
      <c r="D60" s="98" t="s">
        <v>700</v>
      </c>
      <c r="E60" s="98" t="s">
        <v>701</v>
      </c>
    </row>
    <row r="61" spans="1:5">
      <c r="A61" s="98" t="s">
        <v>742</v>
      </c>
      <c r="B61" s="98" t="s">
        <v>286</v>
      </c>
      <c r="C61" s="98" t="s">
        <v>699</v>
      </c>
      <c r="D61" s="98" t="s">
        <v>700</v>
      </c>
      <c r="E61" s="98" t="s">
        <v>701</v>
      </c>
    </row>
    <row r="62" spans="1:5">
      <c r="A62" s="98" t="s">
        <v>31</v>
      </c>
      <c r="B62" s="98" t="s">
        <v>286</v>
      </c>
      <c r="C62" s="98" t="s">
        <v>699</v>
      </c>
      <c r="D62" s="98" t="s">
        <v>700</v>
      </c>
      <c r="E62" s="98" t="s">
        <v>701</v>
      </c>
    </row>
    <row r="63" spans="1:5">
      <c r="A63" s="98" t="s">
        <v>743</v>
      </c>
      <c r="B63" s="98" t="s">
        <v>286</v>
      </c>
      <c r="C63" s="98" t="s">
        <v>699</v>
      </c>
      <c r="D63" s="98" t="s">
        <v>700</v>
      </c>
      <c r="E63" s="98" t="s">
        <v>701</v>
      </c>
    </row>
    <row r="64" spans="1:5">
      <c r="A64" s="98" t="s">
        <v>744</v>
      </c>
      <c r="B64" s="98" t="s">
        <v>705</v>
      </c>
      <c r="C64" s="98" t="s">
        <v>699</v>
      </c>
      <c r="D64" s="98" t="s">
        <v>700</v>
      </c>
      <c r="E64" s="98" t="s">
        <v>701</v>
      </c>
    </row>
    <row r="65" spans="1:5">
      <c r="A65" s="98" t="s">
        <v>183</v>
      </c>
      <c r="B65" s="98" t="s">
        <v>745</v>
      </c>
      <c r="C65" s="98" t="s">
        <v>699</v>
      </c>
      <c r="D65" s="98" t="s">
        <v>700</v>
      </c>
      <c r="E65" s="98" t="s">
        <v>701</v>
      </c>
    </row>
    <row r="66" spans="1:5">
      <c r="A66" s="98" t="s">
        <v>746</v>
      </c>
      <c r="B66" s="98" t="s">
        <v>745</v>
      </c>
      <c r="C66" s="98" t="s">
        <v>699</v>
      </c>
      <c r="D66" s="98" t="s">
        <v>700</v>
      </c>
      <c r="E66" s="98" t="s">
        <v>701</v>
      </c>
    </row>
    <row r="67" spans="1:5">
      <c r="A67" s="98" t="s">
        <v>747</v>
      </c>
      <c r="B67" s="98" t="s">
        <v>745</v>
      </c>
      <c r="C67" s="98" t="s">
        <v>699</v>
      </c>
      <c r="D67" s="98" t="s">
        <v>700</v>
      </c>
      <c r="E67" s="98" t="s">
        <v>701</v>
      </c>
    </row>
    <row r="68" spans="1:5">
      <c r="A68" s="98" t="s">
        <v>190</v>
      </c>
      <c r="B68" s="98" t="s">
        <v>745</v>
      </c>
      <c r="C68" s="98" t="s">
        <v>699</v>
      </c>
      <c r="D68" s="98" t="s">
        <v>700</v>
      </c>
      <c r="E68" s="98" t="s">
        <v>701</v>
      </c>
    </row>
    <row r="69" spans="1:5">
      <c r="A69" s="98" t="s">
        <v>675</v>
      </c>
      <c r="B69" s="98" t="s">
        <v>745</v>
      </c>
      <c r="C69" s="98" t="s">
        <v>699</v>
      </c>
      <c r="D69" s="98" t="s">
        <v>700</v>
      </c>
      <c r="E69" s="98" t="s">
        <v>701</v>
      </c>
    </row>
    <row r="70" spans="1:5">
      <c r="A70" s="98" t="s">
        <v>748</v>
      </c>
      <c r="B70" s="98" t="s">
        <v>745</v>
      </c>
      <c r="C70" s="98" t="s">
        <v>699</v>
      </c>
      <c r="D70" s="98" t="s">
        <v>700</v>
      </c>
      <c r="E70" s="98" t="s">
        <v>701</v>
      </c>
    </row>
    <row r="71" spans="1:5">
      <c r="A71" s="98" t="s">
        <v>749</v>
      </c>
      <c r="B71" s="98" t="s">
        <v>745</v>
      </c>
      <c r="C71" s="98" t="s">
        <v>699</v>
      </c>
      <c r="D71" s="98" t="s">
        <v>700</v>
      </c>
      <c r="E71" s="98" t="s">
        <v>701</v>
      </c>
    </row>
    <row r="72" spans="1:5">
      <c r="A72" s="98" t="s">
        <v>750</v>
      </c>
      <c r="B72" s="98" t="s">
        <v>745</v>
      </c>
      <c r="C72" s="98" t="s">
        <v>699</v>
      </c>
      <c r="D72" s="98" t="s">
        <v>700</v>
      </c>
      <c r="E72" s="98" t="s">
        <v>701</v>
      </c>
    </row>
    <row r="73" spans="1:5">
      <c r="A73" s="98" t="s">
        <v>196</v>
      </c>
      <c r="B73" s="98" t="s">
        <v>745</v>
      </c>
      <c r="C73" s="98" t="s">
        <v>699</v>
      </c>
      <c r="D73" s="98" t="s">
        <v>700</v>
      </c>
      <c r="E73" s="98" t="s">
        <v>701</v>
      </c>
    </row>
    <row r="74" spans="1:5">
      <c r="A74" s="98" t="s">
        <v>751</v>
      </c>
      <c r="B74" s="98" t="s">
        <v>705</v>
      </c>
      <c r="C74" s="98" t="s">
        <v>699</v>
      </c>
      <c r="D74" s="98" t="s">
        <v>700</v>
      </c>
      <c r="E74" s="98" t="s">
        <v>701</v>
      </c>
    </row>
    <row r="75" spans="1:5">
      <c r="A75" s="98" t="s">
        <v>202</v>
      </c>
      <c r="B75" s="98" t="s">
        <v>201</v>
      </c>
      <c r="C75" s="98" t="s">
        <v>699</v>
      </c>
      <c r="D75" s="98" t="s">
        <v>700</v>
      </c>
      <c r="E75" s="98" t="s">
        <v>701</v>
      </c>
    </row>
    <row r="76" spans="1:5">
      <c r="A76" s="98" t="s">
        <v>752</v>
      </c>
      <c r="B76" s="98" t="s">
        <v>201</v>
      </c>
      <c r="C76" s="98" t="s">
        <v>699</v>
      </c>
      <c r="D76" s="98" t="s">
        <v>700</v>
      </c>
      <c r="E76" s="98" t="s">
        <v>701</v>
      </c>
    </row>
    <row r="77" spans="1:5">
      <c r="A77" s="98" t="s">
        <v>753</v>
      </c>
      <c r="B77" s="98" t="s">
        <v>201</v>
      </c>
      <c r="C77" s="98" t="s">
        <v>699</v>
      </c>
      <c r="D77" s="98" t="s">
        <v>700</v>
      </c>
      <c r="E77" s="98" t="s">
        <v>701</v>
      </c>
    </row>
    <row r="78" spans="1:5">
      <c r="A78" s="98" t="s">
        <v>754</v>
      </c>
      <c r="B78" s="98" t="s">
        <v>201</v>
      </c>
      <c r="C78" s="98" t="s">
        <v>699</v>
      </c>
      <c r="D78" s="98" t="s">
        <v>700</v>
      </c>
      <c r="E78" s="98" t="s">
        <v>701</v>
      </c>
    </row>
    <row r="79" spans="1:5">
      <c r="A79" s="98" t="s">
        <v>755</v>
      </c>
      <c r="B79" s="98" t="s">
        <v>201</v>
      </c>
      <c r="C79" s="98" t="s">
        <v>699</v>
      </c>
      <c r="D79" s="98" t="s">
        <v>700</v>
      </c>
      <c r="E79" s="98" t="s">
        <v>701</v>
      </c>
    </row>
    <row r="80" spans="1:5">
      <c r="A80" s="98" t="s">
        <v>756</v>
      </c>
      <c r="B80" s="98" t="s">
        <v>705</v>
      </c>
      <c r="C80" s="98" t="s">
        <v>699</v>
      </c>
      <c r="D80" s="98" t="s">
        <v>700</v>
      </c>
      <c r="E80" s="98" t="s">
        <v>701</v>
      </c>
    </row>
    <row r="81" spans="1:5">
      <c r="A81" s="98" t="s">
        <v>208</v>
      </c>
      <c r="B81" s="98" t="s">
        <v>207</v>
      </c>
      <c r="C81" s="98" t="s">
        <v>699</v>
      </c>
      <c r="D81" s="98" t="s">
        <v>700</v>
      </c>
      <c r="E81" s="98" t="s">
        <v>701</v>
      </c>
    </row>
    <row r="82" spans="1:5">
      <c r="A82" s="98" t="s">
        <v>757</v>
      </c>
      <c r="B82" s="98" t="s">
        <v>207</v>
      </c>
      <c r="C82" s="98" t="s">
        <v>699</v>
      </c>
      <c r="D82" s="98" t="s">
        <v>700</v>
      </c>
      <c r="E82" s="98" t="s">
        <v>701</v>
      </c>
    </row>
    <row r="83" spans="1:5">
      <c r="A83" s="98" t="s">
        <v>758</v>
      </c>
      <c r="B83" s="98" t="s">
        <v>207</v>
      </c>
      <c r="C83" s="98" t="s">
        <v>699</v>
      </c>
      <c r="D83" s="98" t="s">
        <v>700</v>
      </c>
      <c r="E83" s="98" t="s">
        <v>701</v>
      </c>
    </row>
    <row r="84" spans="1:5">
      <c r="A84" s="98" t="s">
        <v>759</v>
      </c>
      <c r="B84" s="98" t="s">
        <v>207</v>
      </c>
      <c r="C84" s="98" t="s">
        <v>699</v>
      </c>
      <c r="D84" s="98" t="s">
        <v>700</v>
      </c>
      <c r="E84" s="98" t="s">
        <v>701</v>
      </c>
    </row>
    <row r="85" spans="1:5">
      <c r="A85" s="98" t="s">
        <v>760</v>
      </c>
      <c r="B85" s="98" t="s">
        <v>207</v>
      </c>
      <c r="C85" s="98" t="s">
        <v>699</v>
      </c>
      <c r="D85" s="98" t="s">
        <v>700</v>
      </c>
      <c r="E85" s="98" t="s">
        <v>701</v>
      </c>
    </row>
    <row r="86" spans="1:5">
      <c r="A86" s="98" t="s">
        <v>761</v>
      </c>
      <c r="B86" s="98" t="s">
        <v>705</v>
      </c>
      <c r="C86" s="98" t="s">
        <v>699</v>
      </c>
      <c r="D86" s="98" t="s">
        <v>700</v>
      </c>
      <c r="E86" s="98" t="s">
        <v>701</v>
      </c>
    </row>
    <row r="87" spans="1:5">
      <c r="A87" s="98" t="s">
        <v>214</v>
      </c>
      <c r="B87" s="98" t="s">
        <v>213</v>
      </c>
      <c r="C87" s="98" t="s">
        <v>699</v>
      </c>
      <c r="D87" s="98" t="s">
        <v>700</v>
      </c>
      <c r="E87" s="98" t="s">
        <v>701</v>
      </c>
    </row>
    <row r="88" spans="1:5">
      <c r="A88" s="98"/>
      <c r="B88" s="98"/>
      <c r="C88" s="98"/>
      <c r="D88" s="98"/>
      <c r="E88" s="98"/>
    </row>
    <row r="89" spans="1:5">
      <c r="A89" s="250" t="s">
        <v>762</v>
      </c>
      <c r="B89" s="250" t="s">
        <v>67</v>
      </c>
      <c r="C89" s="250" t="s">
        <v>655</v>
      </c>
      <c r="D89" s="250" t="s">
        <v>695</v>
      </c>
      <c r="E89" s="250" t="s">
        <v>696</v>
      </c>
    </row>
    <row r="90" spans="1:5">
      <c r="A90" s="98" t="s">
        <v>763</v>
      </c>
      <c r="B90" s="98" t="s">
        <v>764</v>
      </c>
      <c r="C90" s="98" t="s">
        <v>765</v>
      </c>
      <c r="D90" s="98" t="s">
        <v>766</v>
      </c>
      <c r="E90" s="98" t="s">
        <v>767</v>
      </c>
    </row>
    <row r="91" spans="1:5">
      <c r="A91" s="98" t="s">
        <v>768</v>
      </c>
      <c r="B91" s="98" t="s">
        <v>764</v>
      </c>
      <c r="C91" s="98" t="s">
        <v>765</v>
      </c>
      <c r="D91" s="98" t="s">
        <v>766</v>
      </c>
      <c r="E91" s="98" t="s">
        <v>767</v>
      </c>
    </row>
    <row r="92" spans="1:5">
      <c r="A92" s="98" t="s">
        <v>769</v>
      </c>
      <c r="B92" s="98" t="s">
        <v>764</v>
      </c>
      <c r="C92" s="98" t="s">
        <v>765</v>
      </c>
      <c r="D92" s="98" t="s">
        <v>766</v>
      </c>
      <c r="E92" s="98" t="s">
        <v>767</v>
      </c>
    </row>
    <row r="93" spans="1:5">
      <c r="A93" s="98" t="s">
        <v>770</v>
      </c>
      <c r="B93" s="98" t="s">
        <v>764</v>
      </c>
      <c r="C93" s="98" t="s">
        <v>765</v>
      </c>
      <c r="D93" s="98" t="s">
        <v>766</v>
      </c>
      <c r="E93" s="98" t="s">
        <v>767</v>
      </c>
    </row>
    <row r="94" spans="1:5">
      <c r="A94" s="98" t="s">
        <v>771</v>
      </c>
      <c r="B94" s="98" t="s">
        <v>764</v>
      </c>
      <c r="C94" s="98" t="s">
        <v>765</v>
      </c>
      <c r="D94" s="98" t="s">
        <v>766</v>
      </c>
      <c r="E94" s="98" t="s">
        <v>767</v>
      </c>
    </row>
    <row r="95" spans="1:5">
      <c r="A95" s="98" t="s">
        <v>772</v>
      </c>
      <c r="B95" s="98" t="s">
        <v>698</v>
      </c>
      <c r="C95" s="98" t="s">
        <v>765</v>
      </c>
      <c r="D95" s="98" t="s">
        <v>766</v>
      </c>
      <c r="E95" s="98" t="s">
        <v>767</v>
      </c>
    </row>
    <row r="96" spans="1:5">
      <c r="A96" s="98" t="s">
        <v>773</v>
      </c>
      <c r="B96" s="98" t="s">
        <v>764</v>
      </c>
      <c r="C96" s="98" t="s">
        <v>765</v>
      </c>
      <c r="D96" s="98" t="s">
        <v>766</v>
      </c>
      <c r="E96" s="98" t="s">
        <v>767</v>
      </c>
    </row>
    <row r="97" spans="1:5">
      <c r="A97" s="98" t="s">
        <v>774</v>
      </c>
      <c r="B97" s="98" t="s">
        <v>698</v>
      </c>
      <c r="C97" s="98" t="s">
        <v>765</v>
      </c>
      <c r="D97" s="98" t="s">
        <v>766</v>
      </c>
      <c r="E97" s="98" t="s">
        <v>767</v>
      </c>
    </row>
    <row r="98" spans="1:5">
      <c r="A98" s="98" t="s">
        <v>775</v>
      </c>
      <c r="B98" s="98" t="s">
        <v>698</v>
      </c>
      <c r="C98" s="98" t="s">
        <v>765</v>
      </c>
      <c r="D98" s="98" t="s">
        <v>766</v>
      </c>
      <c r="E98" s="98" t="s">
        <v>767</v>
      </c>
    </row>
    <row r="99" spans="1:5">
      <c r="A99" s="98" t="s">
        <v>776</v>
      </c>
      <c r="B99" s="98" t="s">
        <v>698</v>
      </c>
      <c r="C99" s="98" t="s">
        <v>765</v>
      </c>
      <c r="D99" s="98" t="s">
        <v>766</v>
      </c>
      <c r="E99" s="98" t="s">
        <v>767</v>
      </c>
    </row>
    <row r="100" spans="1:5">
      <c r="A100" s="98" t="s">
        <v>777</v>
      </c>
      <c r="B100" s="98" t="s">
        <v>764</v>
      </c>
      <c r="C100" s="98" t="s">
        <v>765</v>
      </c>
      <c r="D100" s="98" t="s">
        <v>766</v>
      </c>
      <c r="E100" s="98" t="s">
        <v>767</v>
      </c>
    </row>
    <row r="101" spans="1:5">
      <c r="A101" s="98" t="s">
        <v>685</v>
      </c>
      <c r="B101" s="98" t="s">
        <v>711</v>
      </c>
      <c r="C101" s="98" t="s">
        <v>765</v>
      </c>
      <c r="D101" s="98" t="s">
        <v>766</v>
      </c>
      <c r="E101" s="98" t="s">
        <v>767</v>
      </c>
    </row>
    <row r="102" spans="1:5">
      <c r="A102" s="98" t="s">
        <v>778</v>
      </c>
      <c r="B102" s="98" t="s">
        <v>764</v>
      </c>
      <c r="C102" s="98" t="s">
        <v>765</v>
      </c>
      <c r="D102" s="98" t="s">
        <v>766</v>
      </c>
      <c r="E102" s="98" t="s">
        <v>767</v>
      </c>
    </row>
    <row r="103" spans="1:5">
      <c r="A103" s="98" t="s">
        <v>779</v>
      </c>
      <c r="B103" s="98" t="s">
        <v>764</v>
      </c>
      <c r="C103" s="98" t="s">
        <v>765</v>
      </c>
      <c r="D103" s="98" t="s">
        <v>766</v>
      </c>
      <c r="E103" s="98" t="s">
        <v>767</v>
      </c>
    </row>
    <row r="104" spans="1:5">
      <c r="A104" s="98" t="s">
        <v>780</v>
      </c>
      <c r="B104" s="98" t="s">
        <v>745</v>
      </c>
      <c r="C104" s="98" t="s">
        <v>765</v>
      </c>
      <c r="D104" s="98" t="s">
        <v>766</v>
      </c>
      <c r="E104" s="98" t="s">
        <v>767</v>
      </c>
    </row>
    <row r="105" spans="1:5">
      <c r="A105" s="98" t="s">
        <v>781</v>
      </c>
      <c r="B105" s="98" t="s">
        <v>698</v>
      </c>
      <c r="C105" s="98" t="s">
        <v>765</v>
      </c>
      <c r="D105" s="98" t="s">
        <v>766</v>
      </c>
      <c r="E105" s="98" t="s">
        <v>767</v>
      </c>
    </row>
    <row r="106" spans="1:5">
      <c r="A106" s="98" t="s">
        <v>782</v>
      </c>
      <c r="B106" s="98" t="s">
        <v>698</v>
      </c>
      <c r="C106" s="98" t="s">
        <v>765</v>
      </c>
      <c r="D106" s="98" t="s">
        <v>766</v>
      </c>
      <c r="E106" s="98" t="s">
        <v>767</v>
      </c>
    </row>
    <row r="107" spans="1:5">
      <c r="A107" s="98" t="s">
        <v>783</v>
      </c>
      <c r="B107" s="98" t="s">
        <v>698</v>
      </c>
      <c r="C107" s="98" t="s">
        <v>765</v>
      </c>
      <c r="D107" s="98" t="s">
        <v>766</v>
      </c>
      <c r="E107" s="98" t="s">
        <v>767</v>
      </c>
    </row>
    <row r="108" spans="1:5">
      <c r="A108" s="98" t="s">
        <v>784</v>
      </c>
      <c r="B108" s="98" t="s">
        <v>764</v>
      </c>
      <c r="C108" s="98" t="s">
        <v>765</v>
      </c>
      <c r="D108" s="98" t="s">
        <v>766</v>
      </c>
      <c r="E108" s="98" t="s">
        <v>767</v>
      </c>
    </row>
    <row r="109" spans="1:5">
      <c r="A109" s="98" t="s">
        <v>785</v>
      </c>
      <c r="B109" s="98" t="s">
        <v>764</v>
      </c>
      <c r="C109" s="98" t="s">
        <v>765</v>
      </c>
      <c r="D109" s="98" t="s">
        <v>766</v>
      </c>
      <c r="E109" s="98" t="s">
        <v>767</v>
      </c>
    </row>
    <row r="110" spans="1:5">
      <c r="A110" s="98" t="s">
        <v>786</v>
      </c>
      <c r="B110" s="98" t="s">
        <v>764</v>
      </c>
      <c r="C110" s="98" t="s">
        <v>765</v>
      </c>
      <c r="D110" s="98" t="s">
        <v>766</v>
      </c>
      <c r="E110" s="98" t="s">
        <v>767</v>
      </c>
    </row>
    <row r="111" spans="1:5">
      <c r="A111" s="98" t="s">
        <v>787</v>
      </c>
      <c r="B111" s="98" t="s">
        <v>764</v>
      </c>
      <c r="C111" s="98" t="s">
        <v>765</v>
      </c>
      <c r="D111" s="98" t="s">
        <v>766</v>
      </c>
      <c r="E111" s="98" t="s">
        <v>767</v>
      </c>
    </row>
    <row r="112" spans="1:5">
      <c r="A112" s="98" t="s">
        <v>670</v>
      </c>
      <c r="B112" s="98" t="s">
        <v>764</v>
      </c>
      <c r="C112" s="98" t="s">
        <v>765</v>
      </c>
      <c r="D112" s="98" t="s">
        <v>766</v>
      </c>
      <c r="E112" s="98" t="s">
        <v>767</v>
      </c>
    </row>
    <row r="113" spans="1:5">
      <c r="A113" s="98" t="s">
        <v>788</v>
      </c>
      <c r="B113" s="98" t="s">
        <v>764</v>
      </c>
      <c r="C113" s="98" t="s">
        <v>765</v>
      </c>
      <c r="D113" s="98" t="s">
        <v>766</v>
      </c>
      <c r="E113" s="98" t="s">
        <v>767</v>
      </c>
    </row>
    <row r="114" spans="1:5">
      <c r="A114" s="98" t="s">
        <v>789</v>
      </c>
      <c r="B114" s="98" t="s">
        <v>764</v>
      </c>
      <c r="C114" s="98" t="s">
        <v>765</v>
      </c>
      <c r="D114" s="98" t="s">
        <v>766</v>
      </c>
      <c r="E114" s="98" t="s">
        <v>767</v>
      </c>
    </row>
    <row r="115" spans="1:5">
      <c r="A115" s="98" t="s">
        <v>790</v>
      </c>
      <c r="B115" s="98" t="s">
        <v>698</v>
      </c>
      <c r="C115" s="98" t="s">
        <v>765</v>
      </c>
      <c r="D115" s="98" t="s">
        <v>766</v>
      </c>
      <c r="E115" s="98" t="s">
        <v>767</v>
      </c>
    </row>
    <row r="116" spans="1:5">
      <c r="A116" s="98" t="s">
        <v>791</v>
      </c>
      <c r="B116" s="98" t="s">
        <v>698</v>
      </c>
      <c r="C116" s="98" t="s">
        <v>765</v>
      </c>
      <c r="D116" s="98" t="s">
        <v>766</v>
      </c>
      <c r="E116" s="98" t="s">
        <v>767</v>
      </c>
    </row>
    <row r="117" spans="1:5">
      <c r="A117" s="98" t="s">
        <v>792</v>
      </c>
      <c r="B117" s="98" t="s">
        <v>698</v>
      </c>
      <c r="C117" s="98" t="s">
        <v>765</v>
      </c>
      <c r="D117" s="98" t="s">
        <v>766</v>
      </c>
      <c r="E117" s="98" t="s">
        <v>767</v>
      </c>
    </row>
    <row r="118" spans="1:5">
      <c r="A118" s="98" t="s">
        <v>793</v>
      </c>
      <c r="B118" s="98" t="s">
        <v>764</v>
      </c>
      <c r="C118" s="98" t="s">
        <v>765</v>
      </c>
      <c r="D118" s="98" t="s">
        <v>766</v>
      </c>
      <c r="E118" s="98" t="s">
        <v>767</v>
      </c>
    </row>
    <row r="119" spans="1:5">
      <c r="A119" s="98" t="s">
        <v>794</v>
      </c>
      <c r="B119" s="98" t="s">
        <v>764</v>
      </c>
      <c r="C119" s="98" t="s">
        <v>765</v>
      </c>
      <c r="D119" s="98" t="s">
        <v>766</v>
      </c>
      <c r="E119" s="98" t="s">
        <v>767</v>
      </c>
    </row>
    <row r="120" spans="1:5">
      <c r="A120" s="98" t="s">
        <v>795</v>
      </c>
      <c r="B120" s="98" t="s">
        <v>764</v>
      </c>
      <c r="C120" s="98" t="s">
        <v>765</v>
      </c>
      <c r="D120" s="98" t="s">
        <v>766</v>
      </c>
      <c r="E120" s="98" t="s">
        <v>767</v>
      </c>
    </row>
    <row r="121" spans="1:5">
      <c r="A121" s="98" t="s">
        <v>796</v>
      </c>
      <c r="B121" s="98" t="s">
        <v>764</v>
      </c>
      <c r="C121" s="98" t="s">
        <v>765</v>
      </c>
      <c r="D121" s="98" t="s">
        <v>766</v>
      </c>
      <c r="E121" s="98" t="s">
        <v>767</v>
      </c>
    </row>
    <row r="122" spans="1:5">
      <c r="A122" s="98" t="s">
        <v>797</v>
      </c>
      <c r="B122" s="98" t="s">
        <v>764</v>
      </c>
      <c r="C122" s="98" t="s">
        <v>765</v>
      </c>
      <c r="D122" s="98" t="s">
        <v>766</v>
      </c>
      <c r="E122" s="98" t="s">
        <v>767</v>
      </c>
    </row>
    <row r="123" spans="1:5">
      <c r="A123" s="98" t="s">
        <v>798</v>
      </c>
      <c r="B123" s="98" t="s">
        <v>764</v>
      </c>
      <c r="C123" s="98" t="s">
        <v>765</v>
      </c>
      <c r="D123" s="98" t="s">
        <v>766</v>
      </c>
      <c r="E123" s="98" t="s">
        <v>767</v>
      </c>
    </row>
    <row r="124" spans="1:5">
      <c r="A124" s="98" t="s">
        <v>799</v>
      </c>
      <c r="B124" s="98" t="s">
        <v>764</v>
      </c>
      <c r="C124" s="98" t="s">
        <v>765</v>
      </c>
      <c r="D124" s="98" t="s">
        <v>766</v>
      </c>
      <c r="E124" s="98" t="s">
        <v>767</v>
      </c>
    </row>
    <row r="125" spans="1:5">
      <c r="A125" s="98" t="s">
        <v>800</v>
      </c>
      <c r="B125" s="98" t="s">
        <v>286</v>
      </c>
      <c r="C125" s="98" t="s">
        <v>765</v>
      </c>
      <c r="D125" s="98" t="s">
        <v>766</v>
      </c>
      <c r="E125" s="98" t="s">
        <v>767</v>
      </c>
    </row>
    <row r="126" spans="1:5">
      <c r="A126" s="98" t="s">
        <v>801</v>
      </c>
      <c r="B126" s="98" t="s">
        <v>286</v>
      </c>
      <c r="C126" s="98" t="s">
        <v>765</v>
      </c>
      <c r="D126" s="98" t="s">
        <v>766</v>
      </c>
      <c r="E126" s="98" t="s">
        <v>767</v>
      </c>
    </row>
    <row r="127" spans="1:5">
      <c r="A127" s="98" t="s">
        <v>802</v>
      </c>
      <c r="B127" s="98" t="s">
        <v>286</v>
      </c>
      <c r="C127" s="98" t="s">
        <v>765</v>
      </c>
      <c r="D127" s="98" t="s">
        <v>766</v>
      </c>
      <c r="E127" s="98" t="s">
        <v>767</v>
      </c>
    </row>
    <row r="128" spans="1:5">
      <c r="A128" s="98" t="s">
        <v>803</v>
      </c>
      <c r="B128" s="98" t="s">
        <v>764</v>
      </c>
      <c r="C128" s="98" t="s">
        <v>765</v>
      </c>
      <c r="D128" s="98" t="s">
        <v>766</v>
      </c>
      <c r="E128" s="98" t="s">
        <v>767</v>
      </c>
    </row>
    <row r="129" spans="1:5">
      <c r="A129" s="98" t="s">
        <v>804</v>
      </c>
      <c r="B129" s="98" t="s">
        <v>764</v>
      </c>
      <c r="C129" s="98" t="s">
        <v>765</v>
      </c>
      <c r="D129" s="98" t="s">
        <v>766</v>
      </c>
      <c r="E129" s="98" t="s">
        <v>767</v>
      </c>
    </row>
    <row r="130" spans="1:5">
      <c r="A130" s="98" t="s">
        <v>805</v>
      </c>
      <c r="B130" s="98" t="s">
        <v>764</v>
      </c>
      <c r="C130" s="98" t="s">
        <v>765</v>
      </c>
      <c r="D130" s="98" t="s">
        <v>766</v>
      </c>
      <c r="E130" s="98" t="s">
        <v>767</v>
      </c>
    </row>
    <row r="131" spans="1:5">
      <c r="A131" s="98" t="s">
        <v>806</v>
      </c>
      <c r="B131" s="98" t="s">
        <v>764</v>
      </c>
      <c r="C131" s="98" t="s">
        <v>765</v>
      </c>
      <c r="D131" s="98" t="s">
        <v>766</v>
      </c>
      <c r="E131" s="98" t="s">
        <v>767</v>
      </c>
    </row>
    <row r="132" spans="1:5">
      <c r="A132" s="98" t="s">
        <v>807</v>
      </c>
      <c r="B132" s="98" t="s">
        <v>764</v>
      </c>
      <c r="C132" s="98" t="s">
        <v>765</v>
      </c>
      <c r="D132" s="98" t="s">
        <v>766</v>
      </c>
      <c r="E132" s="98" t="s">
        <v>767</v>
      </c>
    </row>
    <row r="133" spans="1:5">
      <c r="A133" s="98" t="s">
        <v>808</v>
      </c>
      <c r="B133" s="98" t="s">
        <v>764</v>
      </c>
      <c r="C133" s="98" t="s">
        <v>765</v>
      </c>
      <c r="D133" s="98" t="s">
        <v>766</v>
      </c>
      <c r="E133" s="98" t="s">
        <v>767</v>
      </c>
    </row>
    <row r="134" spans="1:5">
      <c r="A134" s="98" t="s">
        <v>809</v>
      </c>
      <c r="B134" s="98" t="s">
        <v>764</v>
      </c>
      <c r="C134" s="98" t="s">
        <v>765</v>
      </c>
      <c r="D134" s="98" t="s">
        <v>766</v>
      </c>
      <c r="E134" s="98" t="s">
        <v>767</v>
      </c>
    </row>
    <row r="135" spans="1:5">
      <c r="A135" s="98" t="s">
        <v>810</v>
      </c>
      <c r="B135" s="98" t="s">
        <v>764</v>
      </c>
      <c r="C135" s="98" t="s">
        <v>765</v>
      </c>
      <c r="D135" s="98" t="s">
        <v>766</v>
      </c>
      <c r="E135" s="98" t="s">
        <v>767</v>
      </c>
    </row>
    <row r="136" spans="1:5">
      <c r="A136" s="98" t="s">
        <v>811</v>
      </c>
      <c r="B136" s="98" t="s">
        <v>764</v>
      </c>
      <c r="C136" s="98" t="s">
        <v>765</v>
      </c>
      <c r="D136" s="98" t="s">
        <v>766</v>
      </c>
      <c r="E136" s="98" t="s">
        <v>767</v>
      </c>
    </row>
    <row r="137" spans="1:5">
      <c r="A137" s="98" t="s">
        <v>812</v>
      </c>
      <c r="B137" s="98" t="s">
        <v>764</v>
      </c>
      <c r="C137" s="98" t="s">
        <v>765</v>
      </c>
      <c r="D137" s="98" t="s">
        <v>766</v>
      </c>
      <c r="E137" s="98" t="s">
        <v>767</v>
      </c>
    </row>
    <row r="138" spans="1:5">
      <c r="A138" s="98" t="s">
        <v>813</v>
      </c>
      <c r="B138" s="98" t="s">
        <v>764</v>
      </c>
      <c r="C138" s="98" t="s">
        <v>765</v>
      </c>
      <c r="D138" s="98" t="s">
        <v>766</v>
      </c>
      <c r="E138" s="98" t="s">
        <v>767</v>
      </c>
    </row>
    <row r="139" spans="1:5">
      <c r="A139" s="98" t="s">
        <v>814</v>
      </c>
      <c r="B139" s="98" t="s">
        <v>764</v>
      </c>
      <c r="C139" s="98" t="s">
        <v>765</v>
      </c>
      <c r="D139" s="98" t="s">
        <v>766</v>
      </c>
      <c r="E139" s="98" t="s">
        <v>767</v>
      </c>
    </row>
    <row r="140" spans="1:5">
      <c r="A140" s="98" t="s">
        <v>815</v>
      </c>
      <c r="B140" s="98" t="s">
        <v>764</v>
      </c>
      <c r="C140" s="98" t="s">
        <v>765</v>
      </c>
      <c r="D140" s="98" t="s">
        <v>766</v>
      </c>
      <c r="E140" s="98" t="s">
        <v>767</v>
      </c>
    </row>
    <row r="141" spans="1:5">
      <c r="A141" s="98" t="s">
        <v>816</v>
      </c>
      <c r="B141" s="98" t="s">
        <v>764</v>
      </c>
      <c r="C141" s="98" t="s">
        <v>765</v>
      </c>
      <c r="D141" s="98" t="s">
        <v>766</v>
      </c>
      <c r="E141" s="98" t="s">
        <v>767</v>
      </c>
    </row>
    <row r="142" spans="1:5">
      <c r="A142" s="98" t="s">
        <v>817</v>
      </c>
      <c r="B142" s="98" t="s">
        <v>764</v>
      </c>
      <c r="C142" s="98" t="s">
        <v>765</v>
      </c>
      <c r="D142" s="98" t="s">
        <v>766</v>
      </c>
      <c r="E142" s="98" t="s">
        <v>767</v>
      </c>
    </row>
    <row r="143" spans="1:5">
      <c r="A143" s="98" t="s">
        <v>818</v>
      </c>
      <c r="B143" s="98" t="s">
        <v>764</v>
      </c>
      <c r="C143" s="98" t="s">
        <v>765</v>
      </c>
      <c r="D143" s="98" t="s">
        <v>766</v>
      </c>
      <c r="E143" s="98" t="s">
        <v>767</v>
      </c>
    </row>
    <row r="144" spans="1:5">
      <c r="A144" s="98" t="s">
        <v>819</v>
      </c>
      <c r="B144" s="98" t="s">
        <v>764</v>
      </c>
      <c r="C144" s="98" t="s">
        <v>765</v>
      </c>
      <c r="D144" s="98" t="s">
        <v>766</v>
      </c>
      <c r="E144" s="98" t="s">
        <v>767</v>
      </c>
    </row>
    <row r="145" spans="1:5">
      <c r="A145" s="98" t="s">
        <v>820</v>
      </c>
      <c r="B145" s="98" t="s">
        <v>764</v>
      </c>
      <c r="C145" s="98" t="s">
        <v>765</v>
      </c>
      <c r="D145" s="98" t="s">
        <v>766</v>
      </c>
      <c r="E145" s="98" t="s">
        <v>767</v>
      </c>
    </row>
    <row r="146" spans="1:5">
      <c r="A146" s="98" t="s">
        <v>821</v>
      </c>
      <c r="B146" s="98" t="s">
        <v>764</v>
      </c>
      <c r="C146" s="98" t="s">
        <v>765</v>
      </c>
      <c r="D146" s="98" t="s">
        <v>766</v>
      </c>
      <c r="E146" s="98" t="s">
        <v>767</v>
      </c>
    </row>
    <row r="147" spans="1:5">
      <c r="A147" s="98" t="s">
        <v>822</v>
      </c>
      <c r="B147" s="98" t="s">
        <v>764</v>
      </c>
      <c r="C147" s="98" t="s">
        <v>765</v>
      </c>
      <c r="D147" s="98" t="s">
        <v>766</v>
      </c>
      <c r="E147" s="98" t="s">
        <v>767</v>
      </c>
    </row>
    <row r="148" spans="1:5">
      <c r="A148" s="98" t="s">
        <v>823</v>
      </c>
      <c r="B148" s="98" t="s">
        <v>764</v>
      </c>
      <c r="C148" s="98" t="s">
        <v>765</v>
      </c>
      <c r="D148" s="98" t="s">
        <v>766</v>
      </c>
      <c r="E148" s="98" t="s">
        <v>767</v>
      </c>
    </row>
    <row r="149" spans="1:5">
      <c r="A149" s="98" t="s">
        <v>824</v>
      </c>
      <c r="B149" s="98" t="s">
        <v>764</v>
      </c>
      <c r="C149" s="98" t="s">
        <v>765</v>
      </c>
      <c r="D149" s="98" t="s">
        <v>766</v>
      </c>
      <c r="E149" s="98" t="s">
        <v>767</v>
      </c>
    </row>
    <row r="150" spans="1:5">
      <c r="A150" s="98" t="s">
        <v>825</v>
      </c>
      <c r="B150" s="98" t="s">
        <v>764</v>
      </c>
      <c r="C150" s="98" t="s">
        <v>765</v>
      </c>
      <c r="D150" s="98" t="s">
        <v>766</v>
      </c>
      <c r="E150" s="98" t="s">
        <v>767</v>
      </c>
    </row>
    <row r="151" spans="1:5">
      <c r="A151" s="98" t="s">
        <v>826</v>
      </c>
      <c r="B151" s="98" t="s">
        <v>764</v>
      </c>
      <c r="C151" s="98" t="s">
        <v>765</v>
      </c>
      <c r="D151" s="98" t="s">
        <v>766</v>
      </c>
      <c r="E151" s="98" t="s">
        <v>767</v>
      </c>
    </row>
    <row r="152" spans="1:5">
      <c r="A152" s="98" t="s">
        <v>827</v>
      </c>
      <c r="B152" s="98" t="s">
        <v>764</v>
      </c>
      <c r="C152" s="98" t="s">
        <v>765</v>
      </c>
      <c r="D152" s="98" t="s">
        <v>766</v>
      </c>
      <c r="E152" s="98" t="s">
        <v>767</v>
      </c>
    </row>
    <row r="153" spans="1:5">
      <c r="A153" s="98" t="s">
        <v>828</v>
      </c>
      <c r="B153" s="98" t="s">
        <v>286</v>
      </c>
      <c r="C153" s="98" t="s">
        <v>765</v>
      </c>
      <c r="D153" s="98" t="s">
        <v>766</v>
      </c>
      <c r="E153" s="98" t="s">
        <v>767</v>
      </c>
    </row>
    <row r="154" spans="1:5">
      <c r="A154" s="98" t="s">
        <v>829</v>
      </c>
      <c r="B154" s="98" t="s">
        <v>286</v>
      </c>
      <c r="C154" s="98" t="s">
        <v>765</v>
      </c>
      <c r="D154" s="98" t="s">
        <v>766</v>
      </c>
      <c r="E154" s="98" t="s">
        <v>767</v>
      </c>
    </row>
    <row r="155" spans="1:5">
      <c r="A155" s="98" t="s">
        <v>830</v>
      </c>
      <c r="B155" s="98" t="s">
        <v>286</v>
      </c>
      <c r="C155" s="98" t="s">
        <v>765</v>
      </c>
      <c r="D155" s="98" t="s">
        <v>766</v>
      </c>
      <c r="E155" s="98" t="s">
        <v>767</v>
      </c>
    </row>
    <row r="156" spans="1:5">
      <c r="A156" s="98" t="s">
        <v>831</v>
      </c>
      <c r="B156" s="98" t="s">
        <v>286</v>
      </c>
      <c r="C156" s="98" t="s">
        <v>765</v>
      </c>
      <c r="D156" s="98" t="s">
        <v>766</v>
      </c>
      <c r="E156" s="98" t="s">
        <v>767</v>
      </c>
    </row>
    <row r="157" spans="1:5">
      <c r="A157" s="98" t="s">
        <v>832</v>
      </c>
      <c r="B157" s="98" t="s">
        <v>286</v>
      </c>
      <c r="C157" s="98" t="s">
        <v>765</v>
      </c>
      <c r="D157" s="98" t="s">
        <v>766</v>
      </c>
      <c r="E157" s="98" t="s">
        <v>767</v>
      </c>
    </row>
    <row r="158" spans="1:5">
      <c r="A158" s="98" t="s">
        <v>833</v>
      </c>
      <c r="B158" s="98" t="s">
        <v>764</v>
      </c>
      <c r="C158" s="98" t="s">
        <v>765</v>
      </c>
      <c r="D158" s="98" t="s">
        <v>766</v>
      </c>
      <c r="E158" s="98" t="s">
        <v>767</v>
      </c>
    </row>
    <row r="159" spans="1:5">
      <c r="A159" s="98" t="s">
        <v>834</v>
      </c>
      <c r="B159" s="98" t="s">
        <v>717</v>
      </c>
      <c r="C159" s="98" t="s">
        <v>765</v>
      </c>
      <c r="D159" s="98" t="s">
        <v>766</v>
      </c>
      <c r="E159" s="98" t="s">
        <v>767</v>
      </c>
    </row>
    <row r="160" spans="1:5">
      <c r="A160" s="98" t="s">
        <v>835</v>
      </c>
      <c r="B160" s="98" t="s">
        <v>764</v>
      </c>
      <c r="C160" s="98" t="s">
        <v>765</v>
      </c>
      <c r="D160" s="98" t="s">
        <v>766</v>
      </c>
      <c r="E160" s="98" t="s">
        <v>767</v>
      </c>
    </row>
    <row r="161" spans="1:5">
      <c r="A161" s="98"/>
      <c r="B161" s="98"/>
      <c r="C161" s="98"/>
      <c r="D161" s="98"/>
      <c r="E161" s="98"/>
    </row>
    <row r="162" spans="1:5">
      <c r="A162" s="98"/>
      <c r="B162" s="98"/>
      <c r="C162" s="98"/>
      <c r="D162" s="98"/>
      <c r="E162" s="98"/>
    </row>
    <row r="163" spans="1:5">
      <c r="A163" s="98"/>
      <c r="B163" s="98"/>
      <c r="C163" s="98"/>
      <c r="D163" s="98"/>
      <c r="E163" s="98"/>
    </row>
    <row r="164" spans="1:5">
      <c r="A164" s="98"/>
      <c r="B164" s="98"/>
      <c r="C164" s="98"/>
      <c r="D164" s="98"/>
      <c r="E164" s="98"/>
    </row>
    <row r="165" spans="1:5">
      <c r="A165" s="98"/>
      <c r="B165" s="98"/>
      <c r="C165" s="98"/>
      <c r="D165" s="98"/>
      <c r="E165" s="98"/>
    </row>
    <row r="166" spans="1:5">
      <c r="A166" s="98"/>
      <c r="B166" s="98"/>
      <c r="C166" s="98"/>
      <c r="D166" s="98"/>
      <c r="E166" s="98"/>
    </row>
    <row r="167" spans="1:5">
      <c r="A167" s="98"/>
      <c r="B167" s="98"/>
      <c r="C167" s="98"/>
      <c r="D167" s="98"/>
      <c r="E167" s="98"/>
    </row>
    <row r="168" spans="1:5">
      <c r="A168" s="98"/>
      <c r="B168" s="98"/>
      <c r="C168" s="98"/>
      <c r="D168" s="98"/>
      <c r="E168" s="98"/>
    </row>
    <row r="169" spans="1:5">
      <c r="A169" s="98"/>
      <c r="B169" s="98"/>
      <c r="C169" s="98"/>
      <c r="D169" s="98"/>
      <c r="E169" s="98"/>
    </row>
    <row r="170" spans="1:5">
      <c r="A170" s="98"/>
      <c r="B170" s="98"/>
      <c r="C170" s="98"/>
      <c r="D170" s="98"/>
      <c r="E170" s="98"/>
    </row>
    <row r="171" spans="1:5">
      <c r="A171" s="98"/>
      <c r="B171" s="98"/>
      <c r="C171" s="98"/>
      <c r="D171" s="98"/>
      <c r="E171" s="98"/>
    </row>
    <row r="172" spans="1:5">
      <c r="A172" s="98"/>
      <c r="B172" s="98"/>
      <c r="C172" s="98"/>
      <c r="D172" s="98"/>
      <c r="E172" s="98"/>
    </row>
    <row r="173" spans="1:5">
      <c r="A173" s="98"/>
      <c r="B173" s="98"/>
      <c r="C173" s="98"/>
      <c r="D173" s="98"/>
      <c r="E173" s="98"/>
    </row>
    <row r="174" spans="1:5">
      <c r="A174" s="98"/>
      <c r="B174" s="98"/>
      <c r="C174" s="98"/>
      <c r="D174" s="98"/>
      <c r="E174" s="98"/>
    </row>
    <row r="175" spans="1:5">
      <c r="A175" s="98"/>
      <c r="B175" s="98"/>
      <c r="C175" s="98"/>
      <c r="D175" s="98"/>
      <c r="E175" s="98"/>
    </row>
    <row r="176" spans="1:5">
      <c r="A176" s="98"/>
      <c r="B176" s="98"/>
      <c r="C176" s="98"/>
      <c r="D176" s="98"/>
      <c r="E176" s="98"/>
    </row>
    <row r="177" spans="1:5">
      <c r="A177" s="98"/>
      <c r="B177" s="98"/>
      <c r="C177" s="98"/>
      <c r="D177" s="98"/>
      <c r="E177" s="98"/>
    </row>
    <row r="178" spans="1:5">
      <c r="A178" s="98"/>
      <c r="B178" s="98"/>
      <c r="C178" s="98"/>
      <c r="D178" s="98"/>
      <c r="E178" s="98"/>
    </row>
    <row r="179" spans="1:5">
      <c r="A179" s="98"/>
      <c r="B179" s="98"/>
      <c r="C179" s="98"/>
      <c r="D179" s="98"/>
      <c r="E179" s="98"/>
    </row>
    <row r="180" spans="1:5">
      <c r="A180" s="98"/>
      <c r="B180" s="98"/>
      <c r="C180" s="98"/>
      <c r="D180" s="98"/>
      <c r="E180" s="98"/>
    </row>
    <row r="181" spans="1:5">
      <c r="A181" s="98"/>
      <c r="B181" s="98"/>
      <c r="C181" s="98"/>
      <c r="D181" s="98"/>
      <c r="E181" s="98"/>
    </row>
    <row r="182" spans="1:5">
      <c r="A182" s="98"/>
      <c r="B182" s="98"/>
      <c r="C182" s="98"/>
      <c r="D182" s="98"/>
      <c r="E182" s="98"/>
    </row>
    <row r="183" spans="1:5">
      <c r="A183" s="98"/>
      <c r="B183" s="98"/>
      <c r="C183" s="98"/>
      <c r="D183" s="98"/>
      <c r="E183" s="98"/>
    </row>
    <row r="184" spans="1:5">
      <c r="A184" s="98"/>
      <c r="B184" s="98"/>
      <c r="C184" s="98"/>
      <c r="D184" s="98"/>
      <c r="E184" s="98"/>
    </row>
    <row r="185" spans="1:5">
      <c r="A185" s="98"/>
      <c r="B185" s="98"/>
      <c r="C185" s="98"/>
      <c r="D185" s="98"/>
      <c r="E185" s="98"/>
    </row>
    <row r="186" spans="1:5">
      <c r="A186" s="98"/>
      <c r="B186" s="98"/>
      <c r="C186" s="98"/>
      <c r="D186" s="98"/>
      <c r="E186" s="98"/>
    </row>
    <row r="187" spans="1:5">
      <c r="A187" s="98"/>
      <c r="B187" s="98"/>
      <c r="C187" s="98"/>
      <c r="D187" s="98"/>
      <c r="E187" s="98"/>
    </row>
    <row r="188" spans="1:5">
      <c r="A188" s="98"/>
      <c r="B188" s="98"/>
      <c r="C188" s="98"/>
      <c r="D188" s="98"/>
      <c r="E188" s="98"/>
    </row>
    <row r="189" spans="1:5">
      <c r="A189" s="98"/>
      <c r="B189" s="98"/>
      <c r="C189" s="98"/>
      <c r="D189" s="98"/>
      <c r="E189" s="98"/>
    </row>
    <row r="190" spans="1:5">
      <c r="A190" s="98"/>
      <c r="B190" s="98"/>
      <c r="C190" s="98"/>
      <c r="D190" s="98"/>
      <c r="E190" s="98"/>
    </row>
    <row r="191" spans="1:5">
      <c r="A191" s="98"/>
      <c r="B191" s="98"/>
      <c r="C191" s="98"/>
      <c r="D191" s="98"/>
      <c r="E191" s="98"/>
    </row>
    <row r="192" spans="1:5">
      <c r="A192" s="98"/>
      <c r="B192" s="98"/>
      <c r="C192" s="98"/>
      <c r="D192" s="98"/>
      <c r="E192" s="98"/>
    </row>
    <row r="193" spans="1:5">
      <c r="A193" s="98"/>
      <c r="B193" s="98"/>
      <c r="C193" s="98"/>
      <c r="D193" s="98"/>
      <c r="E193" s="98"/>
    </row>
    <row r="194" spans="1:5">
      <c r="A194" s="98"/>
      <c r="B194" s="98"/>
      <c r="C194" s="98"/>
      <c r="D194" s="98"/>
      <c r="E194" s="98"/>
    </row>
    <row r="195" spans="1:5">
      <c r="A195" s="98"/>
      <c r="B195" s="98"/>
      <c r="C195" s="98"/>
      <c r="D195" s="98"/>
      <c r="E195" s="98"/>
    </row>
    <row r="196" spans="1:5">
      <c r="A196" s="98"/>
      <c r="B196" s="98"/>
      <c r="C196" s="98"/>
      <c r="D196" s="98"/>
      <c r="E196" s="98"/>
    </row>
    <row r="197" spans="1:5">
      <c r="A197" s="98"/>
      <c r="B197" s="98"/>
      <c r="C197" s="98"/>
      <c r="D197" s="98"/>
      <c r="E197" s="98"/>
    </row>
    <row r="198" spans="1:5">
      <c r="A198" s="98"/>
      <c r="B198" s="98"/>
      <c r="C198" s="98"/>
      <c r="D198" s="98"/>
      <c r="E198" s="98"/>
    </row>
    <row r="199" spans="1:5">
      <c r="A199" s="98"/>
      <c r="B199" s="98"/>
      <c r="C199" s="98"/>
      <c r="D199" s="98"/>
      <c r="E199" s="98"/>
    </row>
    <row r="200" spans="1:5">
      <c r="A200" s="98"/>
      <c r="B200" s="98"/>
      <c r="C200" s="98"/>
      <c r="D200" s="98"/>
      <c r="E200" s="98"/>
    </row>
    <row r="201" spans="1:5">
      <c r="A201" s="98"/>
      <c r="B201" s="98"/>
      <c r="C201" s="98"/>
      <c r="D201" s="98"/>
      <c r="E201" s="98"/>
    </row>
    <row r="202" spans="1:5">
      <c r="A202" s="98"/>
      <c r="B202" s="98"/>
      <c r="C202" s="98"/>
      <c r="D202" s="98"/>
      <c r="E202" s="98"/>
    </row>
    <row r="203" spans="1:5">
      <c r="A203" s="98"/>
      <c r="B203" s="98"/>
      <c r="C203" s="98"/>
      <c r="D203" s="98"/>
      <c r="E203" s="98"/>
    </row>
    <row r="204" spans="1:5">
      <c r="A204" s="98"/>
      <c r="B204" s="98"/>
      <c r="C204" s="98"/>
      <c r="D204" s="98"/>
      <c r="E204" s="98"/>
    </row>
    <row r="205" spans="1:5">
      <c r="A205" s="98"/>
      <c r="B205" s="98"/>
      <c r="C205" s="98"/>
      <c r="D205" s="98"/>
      <c r="E205" s="98"/>
    </row>
    <row r="206" spans="1:5">
      <c r="A206" s="98"/>
      <c r="B206" s="98"/>
      <c r="C206" s="98"/>
      <c r="D206" s="98"/>
      <c r="E206" s="98"/>
    </row>
    <row r="207" spans="1:5">
      <c r="A207" s="98"/>
      <c r="B207" s="98"/>
      <c r="C207" s="98"/>
      <c r="D207" s="98"/>
      <c r="E207" s="98"/>
    </row>
    <row r="208" spans="1:5">
      <c r="A208" s="98"/>
      <c r="B208" s="98"/>
      <c r="C208" s="98"/>
      <c r="D208" s="98"/>
      <c r="E208" s="98"/>
    </row>
    <row r="209" spans="1:5">
      <c r="A209" s="98"/>
      <c r="B209" s="98"/>
      <c r="C209" s="98"/>
      <c r="D209" s="98"/>
      <c r="E209" s="98"/>
    </row>
    <row r="210" spans="1:5">
      <c r="A210" s="98"/>
      <c r="B210" s="98"/>
      <c r="C210" s="98"/>
      <c r="D210" s="98"/>
      <c r="E210" s="98"/>
    </row>
    <row r="211" spans="1:5">
      <c r="A211" s="98"/>
      <c r="B211" s="98"/>
      <c r="C211" s="98"/>
      <c r="D211" s="98"/>
      <c r="E211" s="98"/>
    </row>
    <row r="212" spans="1:5">
      <c r="A212" s="98"/>
      <c r="B212" s="98"/>
      <c r="C212" s="98"/>
      <c r="D212" s="98"/>
      <c r="E212" s="98"/>
    </row>
    <row r="213" spans="1:5">
      <c r="A213" s="98"/>
      <c r="B213" s="98"/>
      <c r="C213" s="98"/>
      <c r="D213" s="98"/>
      <c r="E213" s="98"/>
    </row>
    <row r="214" spans="1:5">
      <c r="A214" s="98"/>
      <c r="B214" s="98"/>
      <c r="C214" s="98"/>
      <c r="D214" s="98"/>
      <c r="E214" s="98"/>
    </row>
    <row r="215" spans="1:5">
      <c r="A215" s="98"/>
      <c r="B215" s="98"/>
      <c r="C215" s="98"/>
      <c r="D215" s="98"/>
      <c r="E215" s="98"/>
    </row>
    <row r="216" spans="1:5">
      <c r="A216" s="98"/>
      <c r="B216" s="98"/>
      <c r="C216" s="98"/>
      <c r="D216" s="98"/>
      <c r="E216" s="98"/>
    </row>
    <row r="217" spans="1:5">
      <c r="A217" s="98"/>
      <c r="B217" s="98"/>
      <c r="C217" s="98"/>
      <c r="D217" s="98"/>
      <c r="E217" s="98"/>
    </row>
    <row r="218" spans="1:5">
      <c r="A218" s="98"/>
      <c r="B218" s="98"/>
      <c r="C218" s="98"/>
      <c r="D218" s="98"/>
      <c r="E218" s="98"/>
    </row>
    <row r="219" spans="1:5">
      <c r="A219" s="98"/>
      <c r="B219" s="98"/>
      <c r="C219" s="98"/>
      <c r="D219" s="98"/>
      <c r="E219" s="98"/>
    </row>
    <row r="220" spans="1:5">
      <c r="A220" s="98"/>
      <c r="B220" s="98"/>
      <c r="C220" s="98"/>
      <c r="D220" s="98"/>
      <c r="E220" s="9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8"/>
  <sheetViews>
    <sheetView showGridLines="0" workbookViewId="0"/>
  </sheetViews>
  <sheetFormatPr baseColWidth="10" defaultColWidth="8.7265625" defaultRowHeight="14.5"/>
  <cols>
    <col min="1" max="1" width="28" customWidth="1"/>
    <col min="2" max="2" width="36" customWidth="1"/>
    <col min="3" max="3" width="21" customWidth="1"/>
    <col min="4" max="4" width="14" customWidth="1"/>
    <col min="5" max="6" width="45" customWidth="1"/>
    <col min="7" max="7" width="12" customWidth="1"/>
    <col min="8" max="8" width="15" customWidth="1"/>
    <col min="9" max="9" width="12" customWidth="1"/>
  </cols>
  <sheetData>
    <row r="1" spans="1:9">
      <c r="A1" s="428" t="s">
        <v>836</v>
      </c>
      <c r="B1" s="429"/>
      <c r="C1" s="429"/>
      <c r="D1" s="429"/>
      <c r="E1" s="429"/>
      <c r="F1" s="429"/>
      <c r="G1" s="429"/>
      <c r="H1" s="429"/>
      <c r="I1" s="430"/>
    </row>
    <row r="2" spans="1:9">
      <c r="A2" s="431" t="s">
        <v>837</v>
      </c>
      <c r="B2" s="429"/>
      <c r="C2" s="429"/>
      <c r="D2" s="429"/>
      <c r="E2" s="429"/>
      <c r="F2" s="429"/>
      <c r="G2" s="429"/>
      <c r="H2" s="429"/>
      <c r="I2" s="430"/>
    </row>
    <row r="3" spans="1:9" ht="29" customHeight="1">
      <c r="A3" s="209" t="s">
        <v>837</v>
      </c>
      <c r="B3" s="209" t="s">
        <v>706</v>
      </c>
      <c r="C3" s="209" t="s">
        <v>838</v>
      </c>
      <c r="D3" s="209" t="s">
        <v>839</v>
      </c>
      <c r="E3" s="209" t="s">
        <v>840</v>
      </c>
      <c r="F3" s="209" t="s">
        <v>841</v>
      </c>
    </row>
    <row r="4" spans="1:9" ht="29" customHeight="1">
      <c r="A4" s="209" t="s">
        <v>837</v>
      </c>
      <c r="B4" s="209" t="s">
        <v>708</v>
      </c>
      <c r="C4" s="209" t="s">
        <v>838</v>
      </c>
      <c r="D4" s="209" t="s">
        <v>839</v>
      </c>
      <c r="E4" s="209" t="s">
        <v>840</v>
      </c>
      <c r="F4" s="209" t="s">
        <v>841</v>
      </c>
      <c r="G4" t="s">
        <v>842</v>
      </c>
      <c r="H4" t="s">
        <v>843</v>
      </c>
      <c r="I4" t="s">
        <v>844</v>
      </c>
    </row>
    <row r="5" spans="1:9" ht="29" customHeight="1">
      <c r="A5" s="209" t="s">
        <v>837</v>
      </c>
      <c r="B5" s="209" t="s">
        <v>104</v>
      </c>
      <c r="C5" s="209" t="s">
        <v>838</v>
      </c>
      <c r="D5" s="209" t="s">
        <v>839</v>
      </c>
      <c r="E5" s="209" t="s">
        <v>840</v>
      </c>
      <c r="F5" s="209" t="s">
        <v>841</v>
      </c>
    </row>
    <row r="6" spans="1:9" ht="29" customHeight="1">
      <c r="A6" s="209" t="s">
        <v>845</v>
      </c>
      <c r="B6" s="209" t="s">
        <v>709</v>
      </c>
      <c r="C6" s="209" t="s">
        <v>838</v>
      </c>
      <c r="D6" s="209" t="s">
        <v>839</v>
      </c>
      <c r="E6" s="209" t="s">
        <v>846</v>
      </c>
      <c r="F6" s="209" t="s">
        <v>841</v>
      </c>
    </row>
    <row r="7" spans="1:9" ht="29" customHeight="1">
      <c r="A7" s="209" t="s">
        <v>845</v>
      </c>
      <c r="B7" s="209" t="s">
        <v>156</v>
      </c>
      <c r="C7" s="209" t="s">
        <v>838</v>
      </c>
      <c r="D7" s="209" t="s">
        <v>839</v>
      </c>
      <c r="E7" s="209" t="s">
        <v>846</v>
      </c>
      <c r="F7" s="209" t="s">
        <v>841</v>
      </c>
    </row>
    <row r="8" spans="1:9" ht="29" customHeight="1">
      <c r="A8" s="209" t="s">
        <v>845</v>
      </c>
      <c r="B8" s="209" t="s">
        <v>164</v>
      </c>
      <c r="C8" s="209" t="s">
        <v>838</v>
      </c>
      <c r="D8" s="209" t="s">
        <v>839</v>
      </c>
      <c r="E8" s="209" t="s">
        <v>846</v>
      </c>
      <c r="F8" s="209" t="s">
        <v>841</v>
      </c>
    </row>
    <row r="9" spans="1:9" ht="29" customHeight="1">
      <c r="A9" s="209" t="s">
        <v>845</v>
      </c>
      <c r="B9" s="209" t="s">
        <v>170</v>
      </c>
      <c r="C9" s="209" t="s">
        <v>838</v>
      </c>
      <c r="D9" s="209" t="s">
        <v>839</v>
      </c>
      <c r="E9" s="209" t="s">
        <v>846</v>
      </c>
      <c r="F9" s="209" t="s">
        <v>841</v>
      </c>
    </row>
    <row r="10" spans="1:9" ht="29" customHeight="1">
      <c r="A10" s="209" t="s">
        <v>845</v>
      </c>
      <c r="B10" s="209" t="s">
        <v>663</v>
      </c>
      <c r="C10" s="209" t="s">
        <v>838</v>
      </c>
      <c r="D10" s="209" t="s">
        <v>839</v>
      </c>
      <c r="E10" s="209" t="s">
        <v>846</v>
      </c>
      <c r="F10" s="209" t="s">
        <v>841</v>
      </c>
    </row>
    <row r="11" spans="1:9" ht="29" customHeight="1">
      <c r="A11" s="209" t="s">
        <v>845</v>
      </c>
      <c r="B11" s="209" t="s">
        <v>770</v>
      </c>
      <c r="C11" s="209" t="s">
        <v>838</v>
      </c>
      <c r="D11" s="209" t="s">
        <v>839</v>
      </c>
      <c r="E11" s="209" t="s">
        <v>846</v>
      </c>
      <c r="F11" s="209" t="s">
        <v>841</v>
      </c>
    </row>
    <row r="12" spans="1:9" ht="29" customHeight="1">
      <c r="A12" s="209" t="s">
        <v>847</v>
      </c>
      <c r="B12" s="209" t="s">
        <v>20</v>
      </c>
      <c r="C12" s="209" t="s">
        <v>838</v>
      </c>
      <c r="D12" s="209" t="s">
        <v>839</v>
      </c>
      <c r="E12" s="209" t="s">
        <v>848</v>
      </c>
      <c r="F12" s="209" t="s">
        <v>841</v>
      </c>
    </row>
    <row r="13" spans="1:9" ht="29" customHeight="1">
      <c r="A13" s="209" t="s">
        <v>847</v>
      </c>
      <c r="B13" s="209" t="s">
        <v>91</v>
      </c>
      <c r="C13" s="209" t="s">
        <v>838</v>
      </c>
      <c r="D13" s="209" t="s">
        <v>839</v>
      </c>
      <c r="E13" s="209" t="s">
        <v>848</v>
      </c>
      <c r="F13" s="209" t="s">
        <v>841</v>
      </c>
    </row>
    <row r="14" spans="1:9" ht="29" customHeight="1">
      <c r="A14" s="209" t="s">
        <v>847</v>
      </c>
      <c r="B14" s="209" t="s">
        <v>712</v>
      </c>
      <c r="C14" s="209" t="s">
        <v>838</v>
      </c>
      <c r="D14" s="209" t="s">
        <v>839</v>
      </c>
      <c r="E14" s="209" t="s">
        <v>848</v>
      </c>
      <c r="F14" s="209" t="s">
        <v>841</v>
      </c>
    </row>
    <row r="15" spans="1:9" ht="29" customHeight="1">
      <c r="A15" s="209" t="s">
        <v>847</v>
      </c>
      <c r="B15" s="209" t="s">
        <v>713</v>
      </c>
      <c r="C15" s="209" t="s">
        <v>838</v>
      </c>
      <c r="D15" s="209" t="s">
        <v>839</v>
      </c>
      <c r="E15" s="209" t="s">
        <v>848</v>
      </c>
      <c r="F15" s="209" t="s">
        <v>841</v>
      </c>
    </row>
    <row r="16" spans="1:9" ht="29" customHeight="1">
      <c r="A16" s="209" t="s">
        <v>847</v>
      </c>
      <c r="B16" s="209" t="s">
        <v>714</v>
      </c>
      <c r="C16" s="209" t="s">
        <v>838</v>
      </c>
      <c r="D16" s="209" t="s">
        <v>839</v>
      </c>
      <c r="E16" s="209" t="s">
        <v>848</v>
      </c>
      <c r="F16" s="209" t="s">
        <v>841</v>
      </c>
    </row>
    <row r="17" spans="1:6" ht="29" customHeight="1">
      <c r="A17" s="209" t="s">
        <v>847</v>
      </c>
      <c r="B17" s="209" t="s">
        <v>715</v>
      </c>
      <c r="C17" s="209" t="s">
        <v>838</v>
      </c>
      <c r="D17" s="209" t="s">
        <v>839</v>
      </c>
      <c r="E17" s="209" t="s">
        <v>848</v>
      </c>
      <c r="F17" s="209" t="s">
        <v>841</v>
      </c>
    </row>
    <row r="18" spans="1:6" ht="29" customHeight="1">
      <c r="A18" s="209" t="s">
        <v>849</v>
      </c>
      <c r="B18" s="209" t="s">
        <v>731</v>
      </c>
      <c r="C18" s="209" t="s">
        <v>838</v>
      </c>
      <c r="D18" s="209" t="s">
        <v>839</v>
      </c>
      <c r="E18" s="209" t="s">
        <v>850</v>
      </c>
      <c r="F18" s="209" t="s">
        <v>841</v>
      </c>
    </row>
    <row r="19" spans="1:6" ht="29" customHeight="1">
      <c r="A19" s="209" t="s">
        <v>849</v>
      </c>
      <c r="B19" s="209" t="s">
        <v>732</v>
      </c>
      <c r="C19" s="209" t="s">
        <v>838</v>
      </c>
      <c r="D19" s="209" t="s">
        <v>839</v>
      </c>
      <c r="E19" s="209" t="s">
        <v>850</v>
      </c>
      <c r="F19" s="209" t="s">
        <v>841</v>
      </c>
    </row>
    <row r="20" spans="1:6" ht="29" customHeight="1">
      <c r="A20" s="209" t="s">
        <v>849</v>
      </c>
      <c r="B20" s="209" t="s">
        <v>736</v>
      </c>
      <c r="C20" s="209" t="s">
        <v>838</v>
      </c>
      <c r="D20" s="209" t="s">
        <v>839</v>
      </c>
      <c r="E20" s="209" t="s">
        <v>850</v>
      </c>
      <c r="F20" s="209" t="s">
        <v>841</v>
      </c>
    </row>
    <row r="21" spans="1:6" ht="29" customHeight="1">
      <c r="A21" s="209" t="s">
        <v>849</v>
      </c>
      <c r="B21" s="209" t="s">
        <v>737</v>
      </c>
      <c r="C21" s="209" t="s">
        <v>838</v>
      </c>
      <c r="D21" s="209" t="s">
        <v>839</v>
      </c>
      <c r="E21" s="209" t="s">
        <v>850</v>
      </c>
      <c r="F21" s="209" t="s">
        <v>841</v>
      </c>
    </row>
    <row r="22" spans="1:6" ht="29" customHeight="1">
      <c r="A22" s="209" t="s">
        <v>849</v>
      </c>
      <c r="B22" s="209" t="s">
        <v>738</v>
      </c>
      <c r="C22" s="209" t="s">
        <v>838</v>
      </c>
      <c r="D22" s="209" t="s">
        <v>839</v>
      </c>
      <c r="E22" s="209" t="s">
        <v>850</v>
      </c>
      <c r="F22" s="209" t="s">
        <v>841</v>
      </c>
    </row>
    <row r="23" spans="1:6" ht="29" customHeight="1">
      <c r="A23" s="209" t="s">
        <v>849</v>
      </c>
      <c r="B23" s="209" t="s">
        <v>740</v>
      </c>
      <c r="C23" s="209" t="s">
        <v>838</v>
      </c>
      <c r="D23" s="209" t="s">
        <v>839</v>
      </c>
      <c r="E23" s="209" t="s">
        <v>850</v>
      </c>
      <c r="F23" s="209" t="s">
        <v>841</v>
      </c>
    </row>
    <row r="24" spans="1:6" ht="29" customHeight="1">
      <c r="A24" s="209" t="s">
        <v>849</v>
      </c>
      <c r="B24" s="209" t="s">
        <v>741</v>
      </c>
      <c r="C24" s="209" t="s">
        <v>838</v>
      </c>
      <c r="D24" s="209" t="s">
        <v>839</v>
      </c>
      <c r="E24" s="209" t="s">
        <v>850</v>
      </c>
      <c r="F24" s="209" t="s">
        <v>841</v>
      </c>
    </row>
    <row r="25" spans="1:6" ht="29" customHeight="1">
      <c r="A25" s="209" t="s">
        <v>849</v>
      </c>
      <c r="B25" s="209" t="s">
        <v>36</v>
      </c>
      <c r="C25" s="209" t="s">
        <v>838</v>
      </c>
      <c r="D25" s="209" t="s">
        <v>839</v>
      </c>
      <c r="E25" s="209" t="s">
        <v>850</v>
      </c>
      <c r="F25" s="209" t="s">
        <v>841</v>
      </c>
    </row>
    <row r="26" spans="1:6" ht="29" customHeight="1">
      <c r="A26" s="209" t="s">
        <v>849</v>
      </c>
      <c r="B26" s="209" t="s">
        <v>311</v>
      </c>
      <c r="C26" s="209" t="s">
        <v>838</v>
      </c>
      <c r="D26" s="209" t="s">
        <v>839</v>
      </c>
      <c r="E26" s="209" t="s">
        <v>850</v>
      </c>
      <c r="F26" s="209" t="s">
        <v>841</v>
      </c>
    </row>
    <row r="27" spans="1:6" ht="29" customHeight="1">
      <c r="A27" s="209" t="s">
        <v>849</v>
      </c>
      <c r="B27" s="209" t="s">
        <v>318</v>
      </c>
      <c r="C27" s="209" t="s">
        <v>838</v>
      </c>
      <c r="D27" s="209" t="s">
        <v>839</v>
      </c>
      <c r="E27" s="209" t="s">
        <v>850</v>
      </c>
      <c r="F27" s="209" t="s">
        <v>841</v>
      </c>
    </row>
    <row r="28" spans="1:6" ht="29" customHeight="1">
      <c r="A28" s="209" t="s">
        <v>849</v>
      </c>
      <c r="B28" s="209" t="s">
        <v>742</v>
      </c>
      <c r="C28" s="209" t="s">
        <v>838</v>
      </c>
      <c r="D28" s="209" t="s">
        <v>839</v>
      </c>
      <c r="E28" s="209" t="s">
        <v>850</v>
      </c>
      <c r="F28" s="209" t="s">
        <v>841</v>
      </c>
    </row>
    <row r="29" spans="1:6" ht="29" customHeight="1">
      <c r="A29" s="209" t="s">
        <v>849</v>
      </c>
      <c r="B29" s="209" t="s">
        <v>31</v>
      </c>
      <c r="C29" s="209" t="s">
        <v>838</v>
      </c>
      <c r="D29" s="209" t="s">
        <v>839</v>
      </c>
      <c r="E29" s="209" t="s">
        <v>850</v>
      </c>
      <c r="F29" s="209" t="s">
        <v>841</v>
      </c>
    </row>
    <row r="30" spans="1:6" ht="29" customHeight="1">
      <c r="A30" s="209" t="s">
        <v>849</v>
      </c>
      <c r="B30" s="209" t="s">
        <v>743</v>
      </c>
      <c r="C30" s="209" t="s">
        <v>838</v>
      </c>
      <c r="D30" s="209" t="s">
        <v>839</v>
      </c>
      <c r="E30" s="209" t="s">
        <v>850</v>
      </c>
      <c r="F30" s="209" t="s">
        <v>841</v>
      </c>
    </row>
    <row r="31" spans="1:6" ht="29" customHeight="1">
      <c r="A31" s="209" t="s">
        <v>851</v>
      </c>
      <c r="B31" s="209" t="s">
        <v>183</v>
      </c>
      <c r="C31" s="209" t="s">
        <v>838</v>
      </c>
      <c r="D31" s="209" t="s">
        <v>839</v>
      </c>
      <c r="E31" s="209" t="s">
        <v>852</v>
      </c>
      <c r="F31" s="209" t="s">
        <v>841</v>
      </c>
    </row>
    <row r="32" spans="1:6" ht="29" customHeight="1">
      <c r="A32" s="209" t="s">
        <v>851</v>
      </c>
      <c r="B32" s="209" t="s">
        <v>746</v>
      </c>
      <c r="C32" s="209" t="s">
        <v>838</v>
      </c>
      <c r="D32" s="209" t="s">
        <v>839</v>
      </c>
      <c r="E32" s="209" t="s">
        <v>852</v>
      </c>
      <c r="F32" s="209" t="s">
        <v>841</v>
      </c>
    </row>
    <row r="33" spans="1:6" ht="29" customHeight="1">
      <c r="A33" s="209" t="s">
        <v>851</v>
      </c>
      <c r="B33" s="209" t="s">
        <v>747</v>
      </c>
      <c r="C33" s="209" t="s">
        <v>838</v>
      </c>
      <c r="D33" s="209" t="s">
        <v>839</v>
      </c>
      <c r="E33" s="209" t="s">
        <v>852</v>
      </c>
      <c r="F33" s="209" t="s">
        <v>841</v>
      </c>
    </row>
    <row r="34" spans="1:6" ht="29" customHeight="1">
      <c r="A34" s="209" t="s">
        <v>851</v>
      </c>
      <c r="B34" s="209" t="s">
        <v>190</v>
      </c>
      <c r="C34" s="209" t="s">
        <v>838</v>
      </c>
      <c r="D34" s="209" t="s">
        <v>839</v>
      </c>
      <c r="E34" s="209" t="s">
        <v>852</v>
      </c>
      <c r="F34" s="209" t="s">
        <v>841</v>
      </c>
    </row>
    <row r="35" spans="1:6" ht="29" customHeight="1">
      <c r="A35" s="209" t="s">
        <v>851</v>
      </c>
      <c r="B35" s="209" t="s">
        <v>675</v>
      </c>
      <c r="C35" s="209" t="s">
        <v>838</v>
      </c>
      <c r="D35" s="209" t="s">
        <v>839</v>
      </c>
      <c r="E35" s="209" t="s">
        <v>852</v>
      </c>
      <c r="F35" s="209" t="s">
        <v>841</v>
      </c>
    </row>
    <row r="36" spans="1:6" ht="29" customHeight="1">
      <c r="A36" s="209" t="s">
        <v>851</v>
      </c>
      <c r="B36" s="209" t="s">
        <v>748</v>
      </c>
      <c r="C36" s="209" t="s">
        <v>838</v>
      </c>
      <c r="D36" s="209" t="s">
        <v>839</v>
      </c>
      <c r="E36" s="209" t="s">
        <v>852</v>
      </c>
      <c r="F36" s="209" t="s">
        <v>841</v>
      </c>
    </row>
    <row r="37" spans="1:6" ht="29" customHeight="1">
      <c r="A37" s="209" t="s">
        <v>851</v>
      </c>
      <c r="B37" s="209" t="s">
        <v>749</v>
      </c>
      <c r="C37" s="209" t="s">
        <v>838</v>
      </c>
      <c r="D37" s="209" t="s">
        <v>839</v>
      </c>
      <c r="E37" s="209" t="s">
        <v>852</v>
      </c>
      <c r="F37" s="209" t="s">
        <v>841</v>
      </c>
    </row>
    <row r="38" spans="1:6" ht="29" customHeight="1">
      <c r="A38" s="209" t="s">
        <v>851</v>
      </c>
      <c r="B38" s="209" t="s">
        <v>750</v>
      </c>
      <c r="C38" s="209" t="s">
        <v>838</v>
      </c>
      <c r="D38" s="209" t="s">
        <v>839</v>
      </c>
      <c r="E38" s="209" t="s">
        <v>852</v>
      </c>
      <c r="F38" s="209" t="s">
        <v>841</v>
      </c>
    </row>
    <row r="39" spans="1:6" ht="29" customHeight="1">
      <c r="A39" s="209" t="s">
        <v>851</v>
      </c>
      <c r="B39" s="209" t="s">
        <v>196</v>
      </c>
      <c r="C39" s="209" t="s">
        <v>838</v>
      </c>
      <c r="D39" s="209" t="s">
        <v>839</v>
      </c>
      <c r="E39" s="209" t="s">
        <v>852</v>
      </c>
      <c r="F39" s="209" t="s">
        <v>841</v>
      </c>
    </row>
    <row r="40" spans="1:6" ht="29" customHeight="1">
      <c r="A40" s="209" t="s">
        <v>853</v>
      </c>
      <c r="B40" s="209" t="s">
        <v>202</v>
      </c>
      <c r="C40" s="209" t="s">
        <v>838</v>
      </c>
      <c r="D40" s="209" t="s">
        <v>839</v>
      </c>
      <c r="E40" s="209" t="s">
        <v>854</v>
      </c>
      <c r="F40" s="209" t="s">
        <v>841</v>
      </c>
    </row>
    <row r="41" spans="1:6" ht="29" customHeight="1">
      <c r="A41" s="209" t="s">
        <v>853</v>
      </c>
      <c r="B41" s="209" t="s">
        <v>752</v>
      </c>
      <c r="C41" s="209" t="s">
        <v>838</v>
      </c>
      <c r="D41" s="209" t="s">
        <v>839</v>
      </c>
      <c r="E41" s="209" t="s">
        <v>854</v>
      </c>
      <c r="F41" s="209" t="s">
        <v>841</v>
      </c>
    </row>
    <row r="42" spans="1:6" ht="29" customHeight="1">
      <c r="A42" s="209" t="s">
        <v>853</v>
      </c>
      <c r="B42" s="209" t="s">
        <v>753</v>
      </c>
      <c r="C42" s="209" t="s">
        <v>838</v>
      </c>
      <c r="D42" s="209" t="s">
        <v>839</v>
      </c>
      <c r="E42" s="209" t="s">
        <v>854</v>
      </c>
      <c r="F42" s="209" t="s">
        <v>841</v>
      </c>
    </row>
    <row r="43" spans="1:6" ht="29" customHeight="1">
      <c r="A43" s="209" t="s">
        <v>853</v>
      </c>
      <c r="B43" s="209" t="s">
        <v>754</v>
      </c>
      <c r="C43" s="209" t="s">
        <v>838</v>
      </c>
      <c r="D43" s="209" t="s">
        <v>839</v>
      </c>
      <c r="E43" s="209" t="s">
        <v>854</v>
      </c>
      <c r="F43" s="209" t="s">
        <v>841</v>
      </c>
    </row>
    <row r="44" spans="1:6" ht="29" customHeight="1">
      <c r="A44" s="209" t="s">
        <v>853</v>
      </c>
      <c r="B44" s="209" t="s">
        <v>755</v>
      </c>
      <c r="C44" s="209" t="s">
        <v>838</v>
      </c>
      <c r="D44" s="209" t="s">
        <v>839</v>
      </c>
      <c r="E44" s="209" t="s">
        <v>854</v>
      </c>
      <c r="F44" s="209" t="s">
        <v>841</v>
      </c>
    </row>
    <row r="45" spans="1:6" ht="29" customHeight="1">
      <c r="A45" s="209" t="s">
        <v>855</v>
      </c>
      <c r="B45" s="209" t="s">
        <v>208</v>
      </c>
      <c r="C45" s="209" t="s">
        <v>838</v>
      </c>
      <c r="D45" s="209" t="s">
        <v>839</v>
      </c>
      <c r="E45" s="209" t="s">
        <v>856</v>
      </c>
      <c r="F45" s="209" t="s">
        <v>841</v>
      </c>
    </row>
    <row r="46" spans="1:6" ht="29" customHeight="1">
      <c r="A46" s="209" t="s">
        <v>855</v>
      </c>
      <c r="B46" s="209" t="s">
        <v>757</v>
      </c>
      <c r="C46" s="209" t="s">
        <v>838</v>
      </c>
      <c r="D46" s="209" t="s">
        <v>839</v>
      </c>
      <c r="E46" s="209" t="s">
        <v>856</v>
      </c>
      <c r="F46" s="209" t="s">
        <v>841</v>
      </c>
    </row>
    <row r="47" spans="1:6" ht="29" customHeight="1">
      <c r="A47" s="209" t="s">
        <v>855</v>
      </c>
      <c r="B47" s="209" t="s">
        <v>758</v>
      </c>
      <c r="C47" s="209" t="s">
        <v>838</v>
      </c>
      <c r="D47" s="209" t="s">
        <v>839</v>
      </c>
      <c r="E47" s="209" t="s">
        <v>856</v>
      </c>
      <c r="F47" s="209" t="s">
        <v>841</v>
      </c>
    </row>
    <row r="48" spans="1:6" ht="29" customHeight="1">
      <c r="A48" s="209" t="s">
        <v>855</v>
      </c>
      <c r="B48" s="209" t="s">
        <v>759</v>
      </c>
      <c r="C48" s="209" t="s">
        <v>838</v>
      </c>
      <c r="D48" s="209" t="s">
        <v>839</v>
      </c>
      <c r="E48" s="209" t="s">
        <v>856</v>
      </c>
      <c r="F48" s="209" t="s">
        <v>841</v>
      </c>
    </row>
    <row r="49" spans="1:6" ht="29" customHeight="1">
      <c r="A49" s="209" t="s">
        <v>855</v>
      </c>
      <c r="B49" s="209" t="s">
        <v>760</v>
      </c>
      <c r="C49" s="209" t="s">
        <v>838</v>
      </c>
      <c r="D49" s="209" t="s">
        <v>839</v>
      </c>
      <c r="E49" s="209" t="s">
        <v>856</v>
      </c>
      <c r="F49" s="209" t="s">
        <v>841</v>
      </c>
    </row>
    <row r="50" spans="1:6" ht="29" customHeight="1">
      <c r="A50" s="209" t="s">
        <v>857</v>
      </c>
      <c r="B50" s="209" t="s">
        <v>214</v>
      </c>
      <c r="C50" s="209" t="s">
        <v>838</v>
      </c>
      <c r="D50" s="209" t="s">
        <v>839</v>
      </c>
      <c r="E50" s="209" t="s">
        <v>858</v>
      </c>
      <c r="F50" s="209" t="s">
        <v>841</v>
      </c>
    </row>
    <row r="51" spans="1:6">
      <c r="A51" s="209" t="s">
        <v>859</v>
      </c>
      <c r="B51" s="209" t="s">
        <v>704</v>
      </c>
      <c r="C51" s="209" t="s">
        <v>836</v>
      </c>
      <c r="D51" s="209" t="s">
        <v>839</v>
      </c>
      <c r="E51" s="209" t="s">
        <v>860</v>
      </c>
      <c r="F51" s="209" t="s">
        <v>861</v>
      </c>
    </row>
    <row r="52" spans="1:6">
      <c r="A52" s="209" t="s">
        <v>859</v>
      </c>
      <c r="B52" s="209" t="s">
        <v>707</v>
      </c>
      <c r="C52" s="209" t="s">
        <v>836</v>
      </c>
      <c r="D52" s="209" t="s">
        <v>839</v>
      </c>
      <c r="E52" s="209" t="s">
        <v>860</v>
      </c>
      <c r="F52" s="209" t="s">
        <v>861</v>
      </c>
    </row>
    <row r="53" spans="1:6">
      <c r="A53" s="209" t="s">
        <v>859</v>
      </c>
      <c r="B53" s="209" t="s">
        <v>710</v>
      </c>
      <c r="C53" s="209" t="s">
        <v>836</v>
      </c>
      <c r="D53" s="209" t="s">
        <v>839</v>
      </c>
      <c r="E53" s="209" t="s">
        <v>860</v>
      </c>
      <c r="F53" s="209" t="s">
        <v>861</v>
      </c>
    </row>
    <row r="54" spans="1:6">
      <c r="A54" s="209" t="s">
        <v>859</v>
      </c>
      <c r="B54" s="209" t="s">
        <v>730</v>
      </c>
      <c r="C54" s="209" t="s">
        <v>836</v>
      </c>
      <c r="D54" s="209" t="s">
        <v>839</v>
      </c>
      <c r="E54" s="209" t="s">
        <v>860</v>
      </c>
      <c r="F54" s="209" t="s">
        <v>861</v>
      </c>
    </row>
    <row r="55" spans="1:6">
      <c r="A55" s="209" t="s">
        <v>859</v>
      </c>
      <c r="B55" s="209" t="s">
        <v>744</v>
      </c>
      <c r="C55" s="209" t="s">
        <v>836</v>
      </c>
      <c r="D55" s="209" t="s">
        <v>839</v>
      </c>
      <c r="E55" s="209" t="s">
        <v>860</v>
      </c>
      <c r="F55" s="209" t="s">
        <v>861</v>
      </c>
    </row>
    <row r="56" spans="1:6">
      <c r="A56" s="209" t="s">
        <v>859</v>
      </c>
      <c r="B56" s="209" t="s">
        <v>751</v>
      </c>
      <c r="C56" s="209" t="s">
        <v>836</v>
      </c>
      <c r="D56" s="209" t="s">
        <v>839</v>
      </c>
      <c r="E56" s="209" t="s">
        <v>860</v>
      </c>
      <c r="F56" s="209" t="s">
        <v>861</v>
      </c>
    </row>
    <row r="57" spans="1:6">
      <c r="A57" s="209" t="s">
        <v>859</v>
      </c>
      <c r="B57" s="209" t="s">
        <v>756</v>
      </c>
      <c r="C57" s="209" t="s">
        <v>836</v>
      </c>
      <c r="D57" s="209" t="s">
        <v>839</v>
      </c>
      <c r="E57" s="209" t="s">
        <v>860</v>
      </c>
      <c r="F57" s="209" t="s">
        <v>861</v>
      </c>
    </row>
    <row r="58" spans="1:6">
      <c r="A58" s="209" t="s">
        <v>859</v>
      </c>
      <c r="B58" s="209" t="s">
        <v>761</v>
      </c>
      <c r="C58" s="209" t="s">
        <v>836</v>
      </c>
      <c r="D58" s="209" t="s">
        <v>839</v>
      </c>
      <c r="E58" s="209" t="s">
        <v>860</v>
      </c>
      <c r="F58" s="209" t="s">
        <v>861</v>
      </c>
    </row>
    <row r="59" spans="1:6">
      <c r="A59" s="209"/>
      <c r="B59" s="209"/>
      <c r="C59" s="209"/>
      <c r="D59" s="209"/>
      <c r="E59" s="209"/>
      <c r="F59" s="209"/>
    </row>
    <row r="60" spans="1:6">
      <c r="A60" s="209" t="s">
        <v>862</v>
      </c>
      <c r="B60" s="209"/>
      <c r="C60" s="209"/>
      <c r="D60" s="209"/>
      <c r="E60" s="209"/>
      <c r="F60" s="209"/>
    </row>
    <row r="61" spans="1:6">
      <c r="A61" s="209" t="s">
        <v>863</v>
      </c>
      <c r="B61" s="209" t="s">
        <v>681</v>
      </c>
      <c r="C61" s="209" t="s">
        <v>864</v>
      </c>
      <c r="D61" s="209" t="s">
        <v>865</v>
      </c>
      <c r="E61" s="209" t="s">
        <v>866</v>
      </c>
      <c r="F61" s="209" t="s">
        <v>867</v>
      </c>
    </row>
    <row r="62" spans="1:6">
      <c r="A62" s="209" t="s">
        <v>863</v>
      </c>
      <c r="B62" s="209" t="s">
        <v>734</v>
      </c>
      <c r="C62" s="209" t="s">
        <v>864</v>
      </c>
      <c r="D62" s="209" t="s">
        <v>865</v>
      </c>
      <c r="E62" s="209" t="s">
        <v>866</v>
      </c>
      <c r="F62" s="209" t="s">
        <v>867</v>
      </c>
    </row>
    <row r="63" spans="1:6">
      <c r="A63" s="209" t="s">
        <v>863</v>
      </c>
      <c r="B63" s="209" t="s">
        <v>733</v>
      </c>
      <c r="C63" s="209" t="s">
        <v>864</v>
      </c>
      <c r="D63" s="209" t="s">
        <v>865</v>
      </c>
      <c r="E63" s="209" t="s">
        <v>866</v>
      </c>
      <c r="F63" s="209" t="s">
        <v>867</v>
      </c>
    </row>
    <row r="64" spans="1:6">
      <c r="A64" s="209" t="s">
        <v>863</v>
      </c>
      <c r="B64" s="209" t="s">
        <v>735</v>
      </c>
      <c r="C64" s="209" t="s">
        <v>864</v>
      </c>
      <c r="D64" s="209" t="s">
        <v>865</v>
      </c>
      <c r="E64" s="209" t="s">
        <v>866</v>
      </c>
      <c r="F64" s="209" t="s">
        <v>867</v>
      </c>
    </row>
    <row r="65" spans="1:6">
      <c r="A65" s="209" t="s">
        <v>863</v>
      </c>
      <c r="B65" s="209" t="s">
        <v>739</v>
      </c>
      <c r="C65" s="209" t="s">
        <v>864</v>
      </c>
      <c r="D65" s="209" t="s">
        <v>865</v>
      </c>
      <c r="E65" s="209" t="s">
        <v>866</v>
      </c>
      <c r="F65" s="209" t="s">
        <v>867</v>
      </c>
    </row>
    <row r="66" spans="1:6">
      <c r="A66" s="209" t="s">
        <v>863</v>
      </c>
      <c r="B66" s="209" t="s">
        <v>771</v>
      </c>
      <c r="C66" s="209" t="s">
        <v>864</v>
      </c>
      <c r="D66" s="209" t="s">
        <v>865</v>
      </c>
      <c r="E66" s="209" t="s">
        <v>866</v>
      </c>
      <c r="F66" s="209" t="s">
        <v>867</v>
      </c>
    </row>
    <row r="67" spans="1:6">
      <c r="A67" s="209" t="s">
        <v>863</v>
      </c>
      <c r="B67" s="209" t="s">
        <v>772</v>
      </c>
      <c r="C67" s="209" t="s">
        <v>864</v>
      </c>
      <c r="D67" s="209" t="s">
        <v>865</v>
      </c>
      <c r="E67" s="209" t="s">
        <v>866</v>
      </c>
      <c r="F67" s="209" t="s">
        <v>867</v>
      </c>
    </row>
    <row r="68" spans="1:6">
      <c r="A68" s="209" t="s">
        <v>863</v>
      </c>
      <c r="B68" s="209" t="s">
        <v>773</v>
      </c>
      <c r="C68" s="209" t="s">
        <v>864</v>
      </c>
      <c r="D68" s="209" t="s">
        <v>865</v>
      </c>
      <c r="E68" s="209" t="s">
        <v>866</v>
      </c>
      <c r="F68" s="209" t="s">
        <v>867</v>
      </c>
    </row>
    <row r="69" spans="1:6">
      <c r="A69" s="209" t="s">
        <v>863</v>
      </c>
      <c r="B69" s="209" t="s">
        <v>774</v>
      </c>
      <c r="C69" s="209" t="s">
        <v>864</v>
      </c>
      <c r="D69" s="209" t="s">
        <v>865</v>
      </c>
      <c r="E69" s="209" t="s">
        <v>866</v>
      </c>
      <c r="F69" s="209" t="s">
        <v>867</v>
      </c>
    </row>
    <row r="70" spans="1:6">
      <c r="A70" s="209" t="s">
        <v>863</v>
      </c>
      <c r="B70" s="209" t="s">
        <v>775</v>
      </c>
      <c r="C70" s="209" t="s">
        <v>864</v>
      </c>
      <c r="D70" s="209" t="s">
        <v>865</v>
      </c>
      <c r="E70" s="209" t="s">
        <v>866</v>
      </c>
      <c r="F70" s="209" t="s">
        <v>867</v>
      </c>
    </row>
    <row r="71" spans="1:6">
      <c r="A71" s="209" t="s">
        <v>863</v>
      </c>
      <c r="B71" s="209" t="s">
        <v>776</v>
      </c>
      <c r="C71" s="209" t="s">
        <v>864</v>
      </c>
      <c r="D71" s="209" t="s">
        <v>865</v>
      </c>
      <c r="E71" s="209" t="s">
        <v>866</v>
      </c>
      <c r="F71" s="209" t="s">
        <v>867</v>
      </c>
    </row>
    <row r="72" spans="1:6">
      <c r="A72" s="209" t="s">
        <v>863</v>
      </c>
      <c r="B72" s="209" t="s">
        <v>777</v>
      </c>
      <c r="C72" s="209" t="s">
        <v>864</v>
      </c>
      <c r="D72" s="209" t="s">
        <v>865</v>
      </c>
      <c r="E72" s="209" t="s">
        <v>866</v>
      </c>
      <c r="F72" s="209" t="s">
        <v>867</v>
      </c>
    </row>
    <row r="73" spans="1:6">
      <c r="A73" s="209" t="s">
        <v>863</v>
      </c>
      <c r="B73" s="209" t="s">
        <v>685</v>
      </c>
      <c r="C73" s="209" t="s">
        <v>864</v>
      </c>
      <c r="D73" s="209" t="s">
        <v>865</v>
      </c>
      <c r="E73" s="209" t="s">
        <v>866</v>
      </c>
      <c r="F73" s="209" t="s">
        <v>867</v>
      </c>
    </row>
    <row r="74" spans="1:6">
      <c r="A74" s="209" t="s">
        <v>863</v>
      </c>
      <c r="B74" s="209" t="s">
        <v>778</v>
      </c>
      <c r="C74" s="209" t="s">
        <v>864</v>
      </c>
      <c r="D74" s="209" t="s">
        <v>865</v>
      </c>
      <c r="E74" s="209" t="s">
        <v>866</v>
      </c>
      <c r="F74" s="209" t="s">
        <v>867</v>
      </c>
    </row>
    <row r="75" spans="1:6">
      <c r="A75" s="209" t="s">
        <v>863</v>
      </c>
      <c r="B75" s="209" t="s">
        <v>779</v>
      </c>
      <c r="C75" s="209" t="s">
        <v>864</v>
      </c>
      <c r="D75" s="209" t="s">
        <v>865</v>
      </c>
      <c r="E75" s="209" t="s">
        <v>866</v>
      </c>
      <c r="F75" s="209" t="s">
        <v>867</v>
      </c>
    </row>
    <row r="76" spans="1:6">
      <c r="A76" s="209" t="s">
        <v>863</v>
      </c>
      <c r="B76" s="209" t="s">
        <v>780</v>
      </c>
      <c r="C76" s="209" t="s">
        <v>864</v>
      </c>
      <c r="D76" s="209" t="s">
        <v>865</v>
      </c>
      <c r="E76" s="209" t="s">
        <v>866</v>
      </c>
      <c r="F76" s="209" t="s">
        <v>867</v>
      </c>
    </row>
    <row r="77" spans="1:6">
      <c r="A77" s="209" t="s">
        <v>863</v>
      </c>
      <c r="B77" s="209" t="s">
        <v>781</v>
      </c>
      <c r="C77" s="209" t="s">
        <v>864</v>
      </c>
      <c r="D77" s="209" t="s">
        <v>865</v>
      </c>
      <c r="E77" s="209" t="s">
        <v>866</v>
      </c>
      <c r="F77" s="209" t="s">
        <v>867</v>
      </c>
    </row>
    <row r="78" spans="1:6">
      <c r="A78" s="209" t="s">
        <v>863</v>
      </c>
      <c r="B78" s="209" t="s">
        <v>782</v>
      </c>
      <c r="C78" s="209" t="s">
        <v>864</v>
      </c>
      <c r="D78" s="209" t="s">
        <v>865</v>
      </c>
      <c r="E78" s="209" t="s">
        <v>866</v>
      </c>
      <c r="F78" s="209" t="s">
        <v>867</v>
      </c>
    </row>
    <row r="79" spans="1:6">
      <c r="A79" s="209" t="s">
        <v>863</v>
      </c>
      <c r="B79" s="209" t="s">
        <v>783</v>
      </c>
      <c r="C79" s="209" t="s">
        <v>864</v>
      </c>
      <c r="D79" s="209" t="s">
        <v>865</v>
      </c>
      <c r="E79" s="209" t="s">
        <v>866</v>
      </c>
      <c r="F79" s="209" t="s">
        <v>867</v>
      </c>
    </row>
    <row r="80" spans="1:6">
      <c r="A80" s="209" t="s">
        <v>863</v>
      </c>
      <c r="B80" s="209" t="s">
        <v>784</v>
      </c>
      <c r="C80" s="209" t="s">
        <v>864</v>
      </c>
      <c r="D80" s="209" t="s">
        <v>865</v>
      </c>
      <c r="E80" s="209" t="s">
        <v>866</v>
      </c>
      <c r="F80" s="209" t="s">
        <v>867</v>
      </c>
    </row>
    <row r="81" spans="1:6">
      <c r="A81" s="209" t="s">
        <v>863</v>
      </c>
      <c r="B81" s="209" t="s">
        <v>785</v>
      </c>
      <c r="C81" s="209" t="s">
        <v>864</v>
      </c>
      <c r="D81" s="209" t="s">
        <v>865</v>
      </c>
      <c r="E81" s="209" t="s">
        <v>866</v>
      </c>
      <c r="F81" s="209" t="s">
        <v>867</v>
      </c>
    </row>
    <row r="82" spans="1:6">
      <c r="A82" s="209" t="s">
        <v>863</v>
      </c>
      <c r="B82" s="209" t="s">
        <v>786</v>
      </c>
      <c r="C82" s="209" t="s">
        <v>864</v>
      </c>
      <c r="D82" s="209" t="s">
        <v>865</v>
      </c>
      <c r="E82" s="209" t="s">
        <v>866</v>
      </c>
      <c r="F82" s="209" t="s">
        <v>867</v>
      </c>
    </row>
    <row r="83" spans="1:6">
      <c r="A83" s="209" t="s">
        <v>863</v>
      </c>
      <c r="B83" s="209" t="s">
        <v>787</v>
      </c>
      <c r="C83" s="209" t="s">
        <v>864</v>
      </c>
      <c r="D83" s="209" t="s">
        <v>865</v>
      </c>
      <c r="E83" s="209" t="s">
        <v>866</v>
      </c>
      <c r="F83" s="209" t="s">
        <v>867</v>
      </c>
    </row>
    <row r="84" spans="1:6">
      <c r="A84" s="209" t="s">
        <v>863</v>
      </c>
      <c r="B84" s="209" t="s">
        <v>670</v>
      </c>
      <c r="C84" s="209" t="s">
        <v>864</v>
      </c>
      <c r="D84" s="209" t="s">
        <v>865</v>
      </c>
      <c r="E84" s="209" t="s">
        <v>866</v>
      </c>
      <c r="F84" s="209" t="s">
        <v>867</v>
      </c>
    </row>
    <row r="85" spans="1:6">
      <c r="A85" s="209" t="s">
        <v>863</v>
      </c>
      <c r="B85" s="209" t="s">
        <v>788</v>
      </c>
      <c r="C85" s="209" t="s">
        <v>864</v>
      </c>
      <c r="D85" s="209" t="s">
        <v>865</v>
      </c>
      <c r="E85" s="209" t="s">
        <v>866</v>
      </c>
      <c r="F85" s="209" t="s">
        <v>867</v>
      </c>
    </row>
    <row r="86" spans="1:6">
      <c r="A86" s="209" t="s">
        <v>863</v>
      </c>
      <c r="B86" s="209" t="s">
        <v>789</v>
      </c>
      <c r="C86" s="209" t="s">
        <v>864</v>
      </c>
      <c r="D86" s="209" t="s">
        <v>865</v>
      </c>
      <c r="E86" s="209" t="s">
        <v>866</v>
      </c>
      <c r="F86" s="209" t="s">
        <v>867</v>
      </c>
    </row>
    <row r="87" spans="1:6">
      <c r="A87" s="209" t="s">
        <v>863</v>
      </c>
      <c r="B87" s="209" t="s">
        <v>790</v>
      </c>
      <c r="C87" s="209" t="s">
        <v>864</v>
      </c>
      <c r="D87" s="209" t="s">
        <v>865</v>
      </c>
      <c r="E87" s="209" t="s">
        <v>866</v>
      </c>
      <c r="F87" s="209" t="s">
        <v>867</v>
      </c>
    </row>
    <row r="88" spans="1:6">
      <c r="A88" s="209" t="s">
        <v>863</v>
      </c>
      <c r="B88" s="209" t="s">
        <v>791</v>
      </c>
      <c r="C88" s="209" t="s">
        <v>864</v>
      </c>
      <c r="D88" s="209" t="s">
        <v>865</v>
      </c>
      <c r="E88" s="209" t="s">
        <v>866</v>
      </c>
      <c r="F88" s="209" t="s">
        <v>867</v>
      </c>
    </row>
    <row r="89" spans="1:6">
      <c r="A89" s="209" t="s">
        <v>863</v>
      </c>
      <c r="B89" s="209" t="s">
        <v>792</v>
      </c>
      <c r="C89" s="209" t="s">
        <v>864</v>
      </c>
      <c r="D89" s="209" t="s">
        <v>865</v>
      </c>
      <c r="E89" s="209" t="s">
        <v>866</v>
      </c>
      <c r="F89" s="209" t="s">
        <v>867</v>
      </c>
    </row>
    <row r="90" spans="1:6">
      <c r="A90" s="209" t="s">
        <v>863</v>
      </c>
      <c r="B90" s="209" t="s">
        <v>793</v>
      </c>
      <c r="C90" s="209" t="s">
        <v>864</v>
      </c>
      <c r="D90" s="209" t="s">
        <v>865</v>
      </c>
      <c r="E90" s="209" t="s">
        <v>866</v>
      </c>
      <c r="F90" s="209" t="s">
        <v>867</v>
      </c>
    </row>
    <row r="91" spans="1:6">
      <c r="A91" s="209" t="s">
        <v>863</v>
      </c>
      <c r="B91" s="209" t="s">
        <v>794</v>
      </c>
      <c r="C91" s="209" t="s">
        <v>864</v>
      </c>
      <c r="D91" s="209" t="s">
        <v>865</v>
      </c>
      <c r="E91" s="209" t="s">
        <v>866</v>
      </c>
      <c r="F91" s="209" t="s">
        <v>867</v>
      </c>
    </row>
    <row r="92" spans="1:6">
      <c r="A92" s="209" t="s">
        <v>863</v>
      </c>
      <c r="B92" s="209" t="s">
        <v>795</v>
      </c>
      <c r="C92" s="209" t="s">
        <v>864</v>
      </c>
      <c r="D92" s="209" t="s">
        <v>865</v>
      </c>
      <c r="E92" s="209" t="s">
        <v>866</v>
      </c>
      <c r="F92" s="209" t="s">
        <v>867</v>
      </c>
    </row>
    <row r="93" spans="1:6">
      <c r="A93" s="209" t="s">
        <v>863</v>
      </c>
      <c r="B93" s="209" t="s">
        <v>796</v>
      </c>
      <c r="C93" s="209" t="s">
        <v>864</v>
      </c>
      <c r="D93" s="209" t="s">
        <v>865</v>
      </c>
      <c r="E93" s="209" t="s">
        <v>866</v>
      </c>
      <c r="F93" s="209" t="s">
        <v>867</v>
      </c>
    </row>
    <row r="94" spans="1:6">
      <c r="A94" s="209" t="s">
        <v>863</v>
      </c>
      <c r="B94" s="209" t="s">
        <v>797</v>
      </c>
      <c r="C94" s="209" t="s">
        <v>864</v>
      </c>
      <c r="D94" s="209" t="s">
        <v>865</v>
      </c>
      <c r="E94" s="209" t="s">
        <v>866</v>
      </c>
      <c r="F94" s="209" t="s">
        <v>867</v>
      </c>
    </row>
    <row r="95" spans="1:6">
      <c r="A95" s="209" t="s">
        <v>863</v>
      </c>
      <c r="B95" s="209" t="s">
        <v>798</v>
      </c>
      <c r="C95" s="209" t="s">
        <v>864</v>
      </c>
      <c r="D95" s="209" t="s">
        <v>865</v>
      </c>
      <c r="E95" s="209" t="s">
        <v>866</v>
      </c>
      <c r="F95" s="209" t="s">
        <v>867</v>
      </c>
    </row>
    <row r="96" spans="1:6">
      <c r="A96" s="209" t="s">
        <v>863</v>
      </c>
      <c r="B96" s="209" t="s">
        <v>799</v>
      </c>
      <c r="C96" s="209" t="s">
        <v>864</v>
      </c>
      <c r="D96" s="209" t="s">
        <v>865</v>
      </c>
      <c r="E96" s="209" t="s">
        <v>866</v>
      </c>
      <c r="F96" s="209" t="s">
        <v>867</v>
      </c>
    </row>
    <row r="97" spans="1:6">
      <c r="A97" s="209" t="s">
        <v>863</v>
      </c>
      <c r="B97" s="209" t="s">
        <v>800</v>
      </c>
      <c r="C97" s="209" t="s">
        <v>864</v>
      </c>
      <c r="D97" s="209" t="s">
        <v>865</v>
      </c>
      <c r="E97" s="209" t="s">
        <v>866</v>
      </c>
      <c r="F97" s="209" t="s">
        <v>867</v>
      </c>
    </row>
    <row r="98" spans="1:6">
      <c r="A98" s="209" t="s">
        <v>863</v>
      </c>
      <c r="B98" s="209" t="s">
        <v>801</v>
      </c>
      <c r="C98" s="209" t="s">
        <v>864</v>
      </c>
      <c r="D98" s="209" t="s">
        <v>865</v>
      </c>
      <c r="E98" s="209" t="s">
        <v>866</v>
      </c>
      <c r="F98" s="209" t="s">
        <v>867</v>
      </c>
    </row>
    <row r="99" spans="1:6">
      <c r="A99" s="209" t="s">
        <v>863</v>
      </c>
      <c r="B99" s="209" t="s">
        <v>802</v>
      </c>
      <c r="C99" s="209" t="s">
        <v>864</v>
      </c>
      <c r="D99" s="209" t="s">
        <v>865</v>
      </c>
      <c r="E99" s="209" t="s">
        <v>866</v>
      </c>
      <c r="F99" s="209" t="s">
        <v>867</v>
      </c>
    </row>
    <row r="100" spans="1:6">
      <c r="A100" s="209" t="s">
        <v>863</v>
      </c>
      <c r="B100" s="209" t="s">
        <v>803</v>
      </c>
      <c r="C100" s="209" t="s">
        <v>864</v>
      </c>
      <c r="D100" s="209" t="s">
        <v>865</v>
      </c>
      <c r="E100" s="209" t="s">
        <v>866</v>
      </c>
      <c r="F100" s="209" t="s">
        <v>867</v>
      </c>
    </row>
    <row r="101" spans="1:6">
      <c r="A101" s="209" t="s">
        <v>863</v>
      </c>
      <c r="B101" s="209" t="s">
        <v>804</v>
      </c>
      <c r="C101" s="209" t="s">
        <v>864</v>
      </c>
      <c r="D101" s="209" t="s">
        <v>865</v>
      </c>
      <c r="E101" s="209" t="s">
        <v>866</v>
      </c>
      <c r="F101" s="209" t="s">
        <v>867</v>
      </c>
    </row>
    <row r="102" spans="1:6">
      <c r="A102" s="209" t="s">
        <v>863</v>
      </c>
      <c r="B102" s="209" t="s">
        <v>805</v>
      </c>
      <c r="C102" s="209" t="s">
        <v>864</v>
      </c>
      <c r="D102" s="209" t="s">
        <v>865</v>
      </c>
      <c r="E102" s="209" t="s">
        <v>866</v>
      </c>
      <c r="F102" s="209" t="s">
        <v>867</v>
      </c>
    </row>
    <row r="103" spans="1:6">
      <c r="A103" s="209" t="s">
        <v>863</v>
      </c>
      <c r="B103" s="209" t="s">
        <v>806</v>
      </c>
      <c r="C103" s="209" t="s">
        <v>864</v>
      </c>
      <c r="D103" s="209" t="s">
        <v>865</v>
      </c>
      <c r="E103" s="209" t="s">
        <v>866</v>
      </c>
      <c r="F103" s="209" t="s">
        <v>867</v>
      </c>
    </row>
    <row r="104" spans="1:6">
      <c r="A104" s="209" t="s">
        <v>863</v>
      </c>
      <c r="B104" s="209" t="s">
        <v>807</v>
      </c>
      <c r="C104" s="209" t="s">
        <v>864</v>
      </c>
      <c r="D104" s="209" t="s">
        <v>865</v>
      </c>
      <c r="E104" s="209" t="s">
        <v>866</v>
      </c>
      <c r="F104" s="209" t="s">
        <v>867</v>
      </c>
    </row>
    <row r="105" spans="1:6">
      <c r="A105" s="209" t="s">
        <v>863</v>
      </c>
      <c r="B105" s="209" t="s">
        <v>808</v>
      </c>
      <c r="C105" s="209" t="s">
        <v>864</v>
      </c>
      <c r="D105" s="209" t="s">
        <v>865</v>
      </c>
      <c r="E105" s="209" t="s">
        <v>866</v>
      </c>
      <c r="F105" s="209" t="s">
        <v>867</v>
      </c>
    </row>
    <row r="106" spans="1:6">
      <c r="A106" s="209" t="s">
        <v>863</v>
      </c>
      <c r="B106" s="209" t="s">
        <v>809</v>
      </c>
      <c r="C106" s="209" t="s">
        <v>864</v>
      </c>
      <c r="D106" s="209" t="s">
        <v>865</v>
      </c>
      <c r="E106" s="209" t="s">
        <v>866</v>
      </c>
      <c r="F106" s="209" t="s">
        <v>867</v>
      </c>
    </row>
    <row r="107" spans="1:6">
      <c r="A107" s="209" t="s">
        <v>863</v>
      </c>
      <c r="B107" s="209" t="s">
        <v>810</v>
      </c>
      <c r="C107" s="209" t="s">
        <v>864</v>
      </c>
      <c r="D107" s="209" t="s">
        <v>865</v>
      </c>
      <c r="E107" s="209" t="s">
        <v>866</v>
      </c>
      <c r="F107" s="209" t="s">
        <v>867</v>
      </c>
    </row>
    <row r="108" spans="1:6">
      <c r="A108" s="209" t="s">
        <v>863</v>
      </c>
      <c r="B108" s="209" t="s">
        <v>811</v>
      </c>
      <c r="C108" s="209" t="s">
        <v>864</v>
      </c>
      <c r="D108" s="209" t="s">
        <v>865</v>
      </c>
      <c r="E108" s="209" t="s">
        <v>866</v>
      </c>
      <c r="F108" s="209" t="s">
        <v>867</v>
      </c>
    </row>
    <row r="109" spans="1:6">
      <c r="A109" s="209" t="s">
        <v>863</v>
      </c>
      <c r="B109" s="209" t="s">
        <v>812</v>
      </c>
      <c r="C109" s="209" t="s">
        <v>864</v>
      </c>
      <c r="D109" s="209" t="s">
        <v>865</v>
      </c>
      <c r="E109" s="209" t="s">
        <v>866</v>
      </c>
      <c r="F109" s="209" t="s">
        <v>867</v>
      </c>
    </row>
    <row r="110" spans="1:6">
      <c r="A110" s="209" t="s">
        <v>863</v>
      </c>
      <c r="B110" s="209" t="s">
        <v>813</v>
      </c>
      <c r="C110" s="209" t="s">
        <v>864</v>
      </c>
      <c r="D110" s="209" t="s">
        <v>865</v>
      </c>
      <c r="E110" s="209" t="s">
        <v>866</v>
      </c>
      <c r="F110" s="209" t="s">
        <v>867</v>
      </c>
    </row>
    <row r="111" spans="1:6">
      <c r="A111" s="209" t="s">
        <v>863</v>
      </c>
      <c r="B111" s="209" t="s">
        <v>814</v>
      </c>
      <c r="C111" s="209" t="s">
        <v>864</v>
      </c>
      <c r="D111" s="209" t="s">
        <v>865</v>
      </c>
      <c r="E111" s="209" t="s">
        <v>866</v>
      </c>
      <c r="F111" s="209" t="s">
        <v>867</v>
      </c>
    </row>
    <row r="112" spans="1:6">
      <c r="A112" s="209" t="s">
        <v>863</v>
      </c>
      <c r="B112" s="209" t="s">
        <v>815</v>
      </c>
      <c r="C112" s="209" t="s">
        <v>864</v>
      </c>
      <c r="D112" s="209" t="s">
        <v>865</v>
      </c>
      <c r="E112" s="209" t="s">
        <v>866</v>
      </c>
      <c r="F112" s="209" t="s">
        <v>867</v>
      </c>
    </row>
    <row r="113" spans="1:6">
      <c r="A113" s="209" t="s">
        <v>863</v>
      </c>
      <c r="B113" s="209" t="s">
        <v>816</v>
      </c>
      <c r="C113" s="209" t="s">
        <v>864</v>
      </c>
      <c r="D113" s="209" t="s">
        <v>865</v>
      </c>
      <c r="E113" s="209" t="s">
        <v>866</v>
      </c>
      <c r="F113" s="209" t="s">
        <v>867</v>
      </c>
    </row>
    <row r="114" spans="1:6">
      <c r="A114" s="209" t="s">
        <v>863</v>
      </c>
      <c r="B114" s="209" t="s">
        <v>817</v>
      </c>
      <c r="C114" s="209" t="s">
        <v>864</v>
      </c>
      <c r="D114" s="209" t="s">
        <v>865</v>
      </c>
      <c r="E114" s="209" t="s">
        <v>866</v>
      </c>
      <c r="F114" s="209" t="s">
        <v>867</v>
      </c>
    </row>
    <row r="115" spans="1:6" ht="29" customHeight="1">
      <c r="A115" s="209" t="s">
        <v>863</v>
      </c>
      <c r="B115" s="209" t="s">
        <v>868</v>
      </c>
      <c r="C115" s="209" t="s">
        <v>864</v>
      </c>
      <c r="D115" s="209" t="s">
        <v>865</v>
      </c>
      <c r="E115" s="209" t="s">
        <v>866</v>
      </c>
      <c r="F115" s="209" t="s">
        <v>867</v>
      </c>
    </row>
    <row r="116" spans="1:6">
      <c r="A116" s="209" t="s">
        <v>863</v>
      </c>
      <c r="B116" s="209" t="s">
        <v>819</v>
      </c>
      <c r="C116" s="209" t="s">
        <v>864</v>
      </c>
      <c r="D116" s="209" t="s">
        <v>865</v>
      </c>
      <c r="E116" s="209" t="s">
        <v>866</v>
      </c>
      <c r="F116" s="209" t="s">
        <v>867</v>
      </c>
    </row>
    <row r="117" spans="1:6">
      <c r="A117" s="209" t="s">
        <v>863</v>
      </c>
      <c r="B117" s="209" t="s">
        <v>820</v>
      </c>
      <c r="C117" s="209" t="s">
        <v>864</v>
      </c>
      <c r="D117" s="209" t="s">
        <v>865</v>
      </c>
      <c r="E117" s="209" t="s">
        <v>866</v>
      </c>
      <c r="F117" s="209" t="s">
        <v>867</v>
      </c>
    </row>
    <row r="118" spans="1:6">
      <c r="A118" s="209" t="s">
        <v>863</v>
      </c>
      <c r="B118" s="209" t="s">
        <v>821</v>
      </c>
      <c r="C118" s="209" t="s">
        <v>864</v>
      </c>
      <c r="D118" s="209" t="s">
        <v>865</v>
      </c>
      <c r="E118" s="209" t="s">
        <v>866</v>
      </c>
      <c r="F118" s="209" t="s">
        <v>867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3D"/>
  </sheetPr>
  <dimension ref="A1:B50"/>
  <sheetViews>
    <sheetView showGridLines="0" workbookViewId="0"/>
  </sheetViews>
  <sheetFormatPr baseColWidth="10" defaultColWidth="8.7265625" defaultRowHeight="14.5"/>
  <cols>
    <col min="1" max="2" width="45" customWidth="1"/>
  </cols>
  <sheetData>
    <row r="1" spans="1:2" ht="21" customHeight="1">
      <c r="A1" s="185" t="s">
        <v>869</v>
      </c>
    </row>
    <row r="3" spans="1:2">
      <c r="A3" s="186" t="s">
        <v>870</v>
      </c>
    </row>
    <row r="4" spans="1:2">
      <c r="B4" t="s">
        <v>20</v>
      </c>
    </row>
    <row r="5" spans="1:2">
      <c r="B5" t="s">
        <v>91</v>
      </c>
    </row>
    <row r="6" spans="1:2">
      <c r="B6" t="s">
        <v>712</v>
      </c>
    </row>
    <row r="7" spans="1:2">
      <c r="B7" t="s">
        <v>714</v>
      </c>
    </row>
    <row r="8" spans="1:2">
      <c r="B8" t="s">
        <v>814</v>
      </c>
    </row>
    <row r="10" spans="1:2">
      <c r="A10" s="186" t="s">
        <v>871</v>
      </c>
    </row>
    <row r="11" spans="1:2">
      <c r="B11" t="s">
        <v>156</v>
      </c>
    </row>
    <row r="12" spans="1:2">
      <c r="B12" t="s">
        <v>164</v>
      </c>
    </row>
    <row r="13" spans="1:2">
      <c r="B13" t="s">
        <v>170</v>
      </c>
    </row>
    <row r="14" spans="1:2">
      <c r="B14" t="s">
        <v>663</v>
      </c>
    </row>
    <row r="15" spans="1:2">
      <c r="B15" t="s">
        <v>708</v>
      </c>
    </row>
    <row r="16" spans="1:2">
      <c r="B16" t="s">
        <v>709</v>
      </c>
    </row>
    <row r="17" spans="1:2">
      <c r="B17" t="s">
        <v>770</v>
      </c>
    </row>
    <row r="19" spans="1:2">
      <c r="A19" s="186" t="s">
        <v>872</v>
      </c>
    </row>
    <row r="20" spans="1:2">
      <c r="B20" t="s">
        <v>731</v>
      </c>
    </row>
    <row r="21" spans="1:2">
      <c r="B21" t="s">
        <v>734</v>
      </c>
    </row>
    <row r="22" spans="1:2">
      <c r="B22" t="s">
        <v>735</v>
      </c>
    </row>
    <row r="23" spans="1:2">
      <c r="B23" t="s">
        <v>736</v>
      </c>
    </row>
    <row r="24" spans="1:2">
      <c r="B24" t="s">
        <v>738</v>
      </c>
    </row>
    <row r="25" spans="1:2">
      <c r="B25" t="s">
        <v>739</v>
      </c>
    </row>
    <row r="26" spans="1:2">
      <c r="B26" t="s">
        <v>740</v>
      </c>
    </row>
    <row r="28" spans="1:2">
      <c r="A28" s="186" t="s">
        <v>873</v>
      </c>
    </row>
    <row r="29" spans="1:2">
      <c r="B29" t="s">
        <v>183</v>
      </c>
    </row>
    <row r="30" spans="1:2">
      <c r="B30" t="s">
        <v>746</v>
      </c>
    </row>
    <row r="31" spans="1:2">
      <c r="B31" t="s">
        <v>747</v>
      </c>
    </row>
    <row r="32" spans="1:2">
      <c r="B32" t="s">
        <v>190</v>
      </c>
    </row>
    <row r="33" spans="1:2">
      <c r="B33" t="s">
        <v>675</v>
      </c>
    </row>
    <row r="34" spans="1:2">
      <c r="B34" t="s">
        <v>748</v>
      </c>
    </row>
    <row r="35" spans="1:2">
      <c r="B35" t="s">
        <v>749</v>
      </c>
    </row>
    <row r="37" spans="1:2">
      <c r="A37" s="186" t="s">
        <v>874</v>
      </c>
    </row>
    <row r="38" spans="1:2">
      <c r="B38" t="s">
        <v>196</v>
      </c>
    </row>
    <row r="39" spans="1:2">
      <c r="B39" t="s">
        <v>202</v>
      </c>
    </row>
    <row r="40" spans="1:2">
      <c r="B40" t="s">
        <v>752</v>
      </c>
    </row>
    <row r="41" spans="1:2">
      <c r="B41" t="s">
        <v>753</v>
      </c>
    </row>
    <row r="42" spans="1:2">
      <c r="B42" t="s">
        <v>754</v>
      </c>
    </row>
    <row r="43" spans="1:2">
      <c r="B43" t="s">
        <v>755</v>
      </c>
    </row>
    <row r="44" spans="1:2">
      <c r="B44" t="s">
        <v>208</v>
      </c>
    </row>
    <row r="46" spans="1:2">
      <c r="A46" s="204" t="s">
        <v>875</v>
      </c>
    </row>
    <row r="47" spans="1:2" ht="29" customHeight="1">
      <c r="A47" s="205" t="s">
        <v>758</v>
      </c>
      <c r="B47" s="206" t="s">
        <v>876</v>
      </c>
    </row>
    <row r="48" spans="1:2" ht="29" customHeight="1">
      <c r="A48" s="205" t="s">
        <v>759</v>
      </c>
      <c r="B48" s="206" t="s">
        <v>876</v>
      </c>
    </row>
    <row r="49" spans="1:2" ht="29" customHeight="1">
      <c r="A49" s="205" t="s">
        <v>760</v>
      </c>
      <c r="B49" s="206" t="s">
        <v>876</v>
      </c>
    </row>
    <row r="50" spans="1:2" ht="29" customHeight="1">
      <c r="A50" s="205" t="s">
        <v>214</v>
      </c>
      <c r="B50" s="206" t="s">
        <v>876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BFBF"/>
  </sheetPr>
  <dimension ref="A1:H116"/>
  <sheetViews>
    <sheetView showGridLines="0" workbookViewId="0"/>
  </sheetViews>
  <sheetFormatPr baseColWidth="10" defaultColWidth="8.7265625" defaultRowHeight="14.5"/>
  <cols>
    <col min="1" max="1" width="38" customWidth="1"/>
    <col min="2" max="2" width="32" customWidth="1"/>
    <col min="3" max="3" width="35" customWidth="1"/>
    <col min="4" max="4" width="38" customWidth="1"/>
    <col min="5" max="5" width="35" customWidth="1"/>
    <col min="6" max="6" width="38" customWidth="1"/>
    <col min="7" max="8" width="10" customWidth="1"/>
  </cols>
  <sheetData>
    <row r="1" spans="1:8" ht="31" customHeight="1">
      <c r="A1" s="432" t="s">
        <v>877</v>
      </c>
      <c r="B1" s="426"/>
      <c r="C1" s="426"/>
      <c r="D1" s="426"/>
      <c r="E1" s="426"/>
      <c r="F1" s="426"/>
      <c r="G1" s="71"/>
      <c r="H1" s="71"/>
    </row>
    <row r="2" spans="1:8">
      <c r="A2" s="71"/>
      <c r="B2" s="71"/>
      <c r="C2" s="71"/>
      <c r="D2" s="71"/>
      <c r="E2" s="71"/>
      <c r="F2" s="71"/>
      <c r="G2" s="71"/>
      <c r="H2" s="71"/>
    </row>
    <row r="3" spans="1:8">
      <c r="A3" s="72" t="s">
        <v>66</v>
      </c>
      <c r="B3" s="72" t="s">
        <v>878</v>
      </c>
      <c r="C3" s="72" t="s">
        <v>879</v>
      </c>
      <c r="D3" s="72" t="s">
        <v>880</v>
      </c>
      <c r="E3" s="72" t="s">
        <v>881</v>
      </c>
      <c r="F3" s="72" t="s">
        <v>882</v>
      </c>
      <c r="G3" s="71"/>
      <c r="H3" s="71"/>
    </row>
    <row r="4" spans="1:8">
      <c r="A4" s="73" t="s">
        <v>883</v>
      </c>
      <c r="B4" s="73" t="s">
        <v>772</v>
      </c>
      <c r="C4" s="73" t="s">
        <v>884</v>
      </c>
      <c r="D4" s="73" t="s">
        <v>885</v>
      </c>
      <c r="E4" s="73" t="s">
        <v>886</v>
      </c>
      <c r="F4" s="73" t="s">
        <v>887</v>
      </c>
      <c r="G4" s="71"/>
      <c r="H4" s="71"/>
    </row>
    <row r="5" spans="1:8">
      <c r="A5" s="73" t="s">
        <v>888</v>
      </c>
      <c r="B5" s="73" t="s">
        <v>776</v>
      </c>
      <c r="C5" s="73" t="s">
        <v>889</v>
      </c>
      <c r="D5" s="73" t="s">
        <v>885</v>
      </c>
      <c r="E5" s="73" t="s">
        <v>890</v>
      </c>
      <c r="F5" s="73" t="s">
        <v>891</v>
      </c>
      <c r="G5" s="71"/>
      <c r="H5" s="71"/>
    </row>
    <row r="6" spans="1:8">
      <c r="A6" s="73" t="s">
        <v>83</v>
      </c>
      <c r="B6" s="73" t="s">
        <v>685</v>
      </c>
      <c r="C6" s="73" t="s">
        <v>892</v>
      </c>
      <c r="D6" s="73" t="s">
        <v>885</v>
      </c>
      <c r="E6" s="73" t="s">
        <v>893</v>
      </c>
      <c r="F6" s="73" t="s">
        <v>894</v>
      </c>
      <c r="G6" s="71"/>
      <c r="H6" s="71"/>
    </row>
    <row r="7" spans="1:8">
      <c r="A7" s="73" t="s">
        <v>895</v>
      </c>
      <c r="B7" s="73" t="s">
        <v>712</v>
      </c>
      <c r="C7" s="73" t="s">
        <v>896</v>
      </c>
      <c r="D7" s="73" t="s">
        <v>885</v>
      </c>
      <c r="E7" s="73" t="s">
        <v>897</v>
      </c>
      <c r="F7" s="73" t="s">
        <v>898</v>
      </c>
      <c r="G7" s="71"/>
      <c r="H7" s="71"/>
    </row>
    <row r="8" spans="1:8">
      <c r="A8" s="73" t="s">
        <v>899</v>
      </c>
      <c r="B8" s="73" t="s">
        <v>714</v>
      </c>
      <c r="C8" s="73" t="s">
        <v>900</v>
      </c>
      <c r="D8" s="73" t="s">
        <v>885</v>
      </c>
      <c r="E8" s="73" t="s">
        <v>178</v>
      </c>
      <c r="F8" s="73" t="s">
        <v>901</v>
      </c>
      <c r="G8" s="71"/>
      <c r="H8" s="71"/>
    </row>
    <row r="9" spans="1:8">
      <c r="A9" s="73" t="s">
        <v>902</v>
      </c>
      <c r="B9" s="73" t="s">
        <v>788</v>
      </c>
      <c r="C9" s="73" t="s">
        <v>903</v>
      </c>
      <c r="D9" s="73" t="s">
        <v>885</v>
      </c>
      <c r="E9" s="73" t="s">
        <v>178</v>
      </c>
      <c r="F9" s="73" t="s">
        <v>904</v>
      </c>
      <c r="G9" s="71"/>
      <c r="H9" s="71"/>
    </row>
    <row r="10" spans="1:8">
      <c r="A10" s="73" t="s">
        <v>905</v>
      </c>
      <c r="B10" s="73" t="s">
        <v>170</v>
      </c>
      <c r="C10" s="73" t="s">
        <v>906</v>
      </c>
      <c r="D10" s="73" t="s">
        <v>157</v>
      </c>
      <c r="E10" s="73" t="s">
        <v>907</v>
      </c>
      <c r="F10" s="73" t="s">
        <v>908</v>
      </c>
      <c r="G10" s="71"/>
      <c r="H10" s="71"/>
    </row>
    <row r="11" spans="1:8">
      <c r="A11" s="73" t="s">
        <v>175</v>
      </c>
      <c r="B11" s="73" t="s">
        <v>670</v>
      </c>
      <c r="C11" s="73" t="s">
        <v>909</v>
      </c>
      <c r="D11" s="73" t="s">
        <v>157</v>
      </c>
      <c r="E11" s="73" t="s">
        <v>910</v>
      </c>
      <c r="F11" s="73" t="s">
        <v>911</v>
      </c>
      <c r="G11" s="71"/>
      <c r="H11" s="71"/>
    </row>
    <row r="12" spans="1:8">
      <c r="A12" s="73" t="s">
        <v>184</v>
      </c>
      <c r="B12" s="73" t="s">
        <v>675</v>
      </c>
      <c r="C12" s="73" t="s">
        <v>912</v>
      </c>
      <c r="D12" s="73" t="s">
        <v>913</v>
      </c>
      <c r="E12" s="73" t="s">
        <v>914</v>
      </c>
      <c r="F12" s="73" t="s">
        <v>915</v>
      </c>
      <c r="G12" s="71"/>
      <c r="H12" s="71"/>
    </row>
    <row r="13" spans="1:8">
      <c r="A13" s="73" t="s">
        <v>916</v>
      </c>
      <c r="B13" s="73" t="s">
        <v>747</v>
      </c>
      <c r="C13" s="73" t="s">
        <v>917</v>
      </c>
      <c r="D13" s="73" t="s">
        <v>913</v>
      </c>
      <c r="E13" s="73" t="s">
        <v>918</v>
      </c>
      <c r="F13" s="73" t="s">
        <v>919</v>
      </c>
      <c r="G13" s="71"/>
      <c r="H13" s="71"/>
    </row>
    <row r="14" spans="1:8">
      <c r="A14" s="73" t="s">
        <v>286</v>
      </c>
      <c r="B14" s="73" t="s">
        <v>920</v>
      </c>
      <c r="C14" s="73" t="s">
        <v>921</v>
      </c>
      <c r="D14" s="73" t="s">
        <v>286</v>
      </c>
      <c r="E14" s="73" t="s">
        <v>922</v>
      </c>
      <c r="F14" s="73" t="s">
        <v>923</v>
      </c>
      <c r="G14" s="71"/>
      <c r="H14" s="71"/>
    </row>
    <row r="15" spans="1:8" ht="29" customHeight="1">
      <c r="A15" s="108" t="s">
        <v>924</v>
      </c>
      <c r="B15" s="108" t="s">
        <v>670</v>
      </c>
      <c r="C15" s="108" t="s">
        <v>925</v>
      </c>
      <c r="D15" s="108" t="s">
        <v>926</v>
      </c>
      <c r="E15" s="108" t="s">
        <v>927</v>
      </c>
      <c r="F15" s="108" t="s">
        <v>79</v>
      </c>
      <c r="G15" s="71"/>
      <c r="H15" s="71"/>
    </row>
    <row r="16" spans="1:8">
      <c r="A16" s="71" t="s">
        <v>924</v>
      </c>
      <c r="B16" s="71" t="s">
        <v>789</v>
      </c>
      <c r="C16" s="71" t="s">
        <v>928</v>
      </c>
      <c r="D16" s="71" t="s">
        <v>929</v>
      </c>
      <c r="E16" s="71" t="s">
        <v>930</v>
      </c>
      <c r="F16" s="71" t="s">
        <v>79</v>
      </c>
      <c r="G16" s="71"/>
      <c r="H16" s="71"/>
    </row>
    <row r="17" spans="1:8">
      <c r="A17" s="71" t="s">
        <v>924</v>
      </c>
      <c r="B17" s="71" t="s">
        <v>793</v>
      </c>
      <c r="C17" s="71" t="s">
        <v>931</v>
      </c>
      <c r="D17" s="71" t="s">
        <v>932</v>
      </c>
      <c r="E17" s="71" t="s">
        <v>933</v>
      </c>
      <c r="F17" s="71" t="s">
        <v>79</v>
      </c>
      <c r="G17" s="71"/>
      <c r="H17" s="71"/>
    </row>
    <row r="18" spans="1:8" ht="29" customHeight="1">
      <c r="A18" s="119" t="s">
        <v>934</v>
      </c>
      <c r="B18" s="119" t="s">
        <v>779</v>
      </c>
      <c r="C18" s="119" t="s">
        <v>935</v>
      </c>
      <c r="D18" s="119" t="s">
        <v>936</v>
      </c>
      <c r="E18" s="119" t="s">
        <v>930</v>
      </c>
      <c r="F18" s="119" t="s">
        <v>79</v>
      </c>
      <c r="G18" s="71"/>
      <c r="H18" s="71"/>
    </row>
    <row r="19" spans="1:8">
      <c r="A19" s="71" t="s">
        <v>934</v>
      </c>
      <c r="B19" s="71" t="s">
        <v>675</v>
      </c>
      <c r="C19" s="71" t="s">
        <v>912</v>
      </c>
      <c r="D19" s="71" t="s">
        <v>937</v>
      </c>
      <c r="E19" s="71" t="s">
        <v>938</v>
      </c>
      <c r="F19" s="71" t="s">
        <v>79</v>
      </c>
      <c r="G19" s="71"/>
      <c r="H19" s="71"/>
    </row>
    <row r="20" spans="1:8">
      <c r="A20" s="71" t="s">
        <v>934</v>
      </c>
      <c r="B20" s="71" t="s">
        <v>748</v>
      </c>
      <c r="C20" s="71" t="s">
        <v>939</v>
      </c>
      <c r="D20" s="71" t="s">
        <v>940</v>
      </c>
      <c r="E20" s="71" t="s">
        <v>933</v>
      </c>
      <c r="F20" s="71" t="s">
        <v>79</v>
      </c>
      <c r="G20" s="71"/>
      <c r="H20" s="71"/>
    </row>
    <row r="21" spans="1:8">
      <c r="A21" s="71" t="s">
        <v>934</v>
      </c>
      <c r="B21" s="71" t="s">
        <v>747</v>
      </c>
      <c r="C21" s="71" t="s">
        <v>941</v>
      </c>
      <c r="D21" s="71" t="s">
        <v>942</v>
      </c>
      <c r="E21" s="71" t="s">
        <v>933</v>
      </c>
      <c r="F21" s="71" t="s">
        <v>79</v>
      </c>
      <c r="G21" s="71"/>
      <c r="H21" s="71"/>
    </row>
    <row r="22" spans="1:8">
      <c r="A22" s="71" t="s">
        <v>934</v>
      </c>
      <c r="B22" s="71" t="s">
        <v>190</v>
      </c>
      <c r="C22" s="71" t="s">
        <v>943</v>
      </c>
      <c r="D22" s="71" t="s">
        <v>944</v>
      </c>
      <c r="E22" s="71" t="s">
        <v>933</v>
      </c>
      <c r="F22" s="71" t="s">
        <v>79</v>
      </c>
      <c r="G22" s="71"/>
      <c r="H22" s="71"/>
    </row>
    <row r="23" spans="1:8">
      <c r="A23" s="71" t="s">
        <v>934</v>
      </c>
      <c r="B23" s="71" t="s">
        <v>183</v>
      </c>
      <c r="C23" s="71" t="s">
        <v>945</v>
      </c>
      <c r="D23" s="71" t="s">
        <v>946</v>
      </c>
      <c r="E23" s="71" t="s">
        <v>933</v>
      </c>
      <c r="F23" s="71" t="s">
        <v>79</v>
      </c>
      <c r="G23" s="71"/>
      <c r="H23" s="71"/>
    </row>
    <row r="24" spans="1:8">
      <c r="A24" s="138" t="s">
        <v>947</v>
      </c>
      <c r="B24" s="138" t="s">
        <v>791</v>
      </c>
      <c r="C24" s="138" t="s">
        <v>948</v>
      </c>
      <c r="D24" s="138" t="s">
        <v>949</v>
      </c>
      <c r="E24" s="138" t="s">
        <v>930</v>
      </c>
      <c r="F24" s="138" t="s">
        <v>79</v>
      </c>
      <c r="G24" s="71"/>
      <c r="H24" s="71"/>
    </row>
    <row r="25" spans="1:8">
      <c r="A25" s="71" t="s">
        <v>947</v>
      </c>
      <c r="B25" s="71" t="s">
        <v>706</v>
      </c>
      <c r="C25" s="71" t="s">
        <v>950</v>
      </c>
      <c r="D25" s="71" t="s">
        <v>951</v>
      </c>
      <c r="E25" s="71" t="s">
        <v>933</v>
      </c>
      <c r="F25" s="71" t="s">
        <v>79</v>
      </c>
      <c r="G25" s="71"/>
      <c r="H25" s="71"/>
    </row>
    <row r="26" spans="1:8">
      <c r="A26" s="71" t="s">
        <v>947</v>
      </c>
      <c r="B26" s="71" t="s">
        <v>770</v>
      </c>
      <c r="C26" s="71" t="s">
        <v>952</v>
      </c>
      <c r="D26" s="71" t="s">
        <v>953</v>
      </c>
      <c r="E26" s="71" t="s">
        <v>954</v>
      </c>
      <c r="F26" s="71" t="s">
        <v>79</v>
      </c>
      <c r="G26" s="71"/>
      <c r="H26" s="71"/>
    </row>
    <row r="27" spans="1:8">
      <c r="A27" s="71" t="s">
        <v>947</v>
      </c>
      <c r="B27" s="71" t="s">
        <v>795</v>
      </c>
      <c r="C27" s="71" t="s">
        <v>955</v>
      </c>
      <c r="D27" s="71" t="s">
        <v>956</v>
      </c>
      <c r="E27" s="71" t="s">
        <v>954</v>
      </c>
      <c r="F27" s="71" t="s">
        <v>79</v>
      </c>
      <c r="G27" s="71"/>
      <c r="H27" s="71"/>
    </row>
    <row r="28" spans="1:8">
      <c r="A28" s="71" t="s">
        <v>947</v>
      </c>
      <c r="B28" s="71" t="s">
        <v>796</v>
      </c>
      <c r="C28" s="71" t="s">
        <v>957</v>
      </c>
      <c r="D28" s="71" t="s">
        <v>958</v>
      </c>
      <c r="E28" s="71" t="s">
        <v>954</v>
      </c>
      <c r="F28" s="71" t="s">
        <v>959</v>
      </c>
      <c r="G28" s="71"/>
      <c r="H28" s="71"/>
    </row>
    <row r="29" spans="1:8">
      <c r="A29" s="71" t="s">
        <v>947</v>
      </c>
      <c r="B29" s="71" t="s">
        <v>797</v>
      </c>
      <c r="C29" s="71" t="s">
        <v>960</v>
      </c>
      <c r="D29" s="71" t="s">
        <v>961</v>
      </c>
      <c r="E29" s="71" t="s">
        <v>954</v>
      </c>
      <c r="F29" s="71" t="s">
        <v>959</v>
      </c>
      <c r="G29" s="71"/>
      <c r="H29" s="71"/>
    </row>
    <row r="30" spans="1:8">
      <c r="A30" s="71" t="s">
        <v>947</v>
      </c>
      <c r="B30" s="71" t="s">
        <v>962</v>
      </c>
      <c r="C30" s="71" t="s">
        <v>963</v>
      </c>
      <c r="D30" s="71" t="s">
        <v>964</v>
      </c>
      <c r="E30" s="71" t="s">
        <v>933</v>
      </c>
      <c r="F30" s="71" t="s">
        <v>79</v>
      </c>
      <c r="G30" s="71"/>
      <c r="H30" s="71"/>
    </row>
    <row r="31" spans="1:8">
      <c r="A31" s="71" t="s">
        <v>947</v>
      </c>
      <c r="B31" s="71" t="s">
        <v>965</v>
      </c>
      <c r="C31" s="71" t="s">
        <v>966</v>
      </c>
      <c r="D31" s="71" t="s">
        <v>967</v>
      </c>
      <c r="E31" s="71" t="s">
        <v>933</v>
      </c>
      <c r="F31" s="71" t="s">
        <v>79</v>
      </c>
      <c r="G31" s="71"/>
      <c r="H31" s="71"/>
    </row>
    <row r="32" spans="1:8">
      <c r="A32" s="71"/>
      <c r="B32" s="71"/>
      <c r="C32" s="71"/>
      <c r="D32" s="71"/>
      <c r="E32" s="71"/>
      <c r="F32" s="71"/>
      <c r="G32" s="71"/>
      <c r="H32" s="71"/>
    </row>
    <row r="33" spans="1:8">
      <c r="A33" s="71"/>
      <c r="B33" s="71"/>
      <c r="C33" s="71"/>
      <c r="D33" s="71"/>
      <c r="E33" s="71"/>
      <c r="F33" s="71"/>
      <c r="G33" s="71"/>
      <c r="H33" s="71"/>
    </row>
    <row r="34" spans="1:8">
      <c r="A34" s="71"/>
      <c r="B34" s="71"/>
      <c r="C34" s="71"/>
      <c r="D34" s="71"/>
      <c r="E34" s="71"/>
      <c r="F34" s="71"/>
      <c r="G34" s="71"/>
      <c r="H34" s="71"/>
    </row>
    <row r="35" spans="1:8">
      <c r="A35" s="71"/>
      <c r="B35" s="71"/>
      <c r="C35" s="71"/>
      <c r="D35" s="71"/>
      <c r="E35" s="71"/>
      <c r="F35" s="71"/>
      <c r="G35" s="71"/>
      <c r="H35" s="71"/>
    </row>
    <row r="36" spans="1:8">
      <c r="A36" s="71"/>
      <c r="B36" s="71"/>
      <c r="C36" s="71"/>
      <c r="D36" s="71"/>
      <c r="E36" s="71"/>
      <c r="F36" s="71"/>
      <c r="G36" s="71"/>
      <c r="H36" s="71"/>
    </row>
    <row r="37" spans="1:8">
      <c r="A37" s="71"/>
      <c r="B37" s="71"/>
      <c r="C37" s="71"/>
      <c r="D37" s="71"/>
      <c r="E37" s="71"/>
      <c r="F37" s="71"/>
      <c r="G37" s="71"/>
      <c r="H37" s="71"/>
    </row>
    <row r="38" spans="1:8">
      <c r="A38" s="71"/>
      <c r="B38" s="71"/>
      <c r="C38" s="71"/>
      <c r="D38" s="71"/>
      <c r="E38" s="71"/>
      <c r="F38" s="71"/>
      <c r="G38" s="71"/>
      <c r="H38" s="71"/>
    </row>
    <row r="39" spans="1:8">
      <c r="A39" s="71"/>
      <c r="B39" s="71"/>
      <c r="C39" s="71"/>
      <c r="D39" s="71"/>
      <c r="E39" s="71"/>
      <c r="F39" s="71"/>
      <c r="G39" s="71"/>
      <c r="H39" s="71"/>
    </row>
    <row r="40" spans="1:8">
      <c r="A40" s="71"/>
      <c r="B40" s="71"/>
      <c r="C40" s="71"/>
      <c r="D40" s="71"/>
      <c r="E40" s="71"/>
      <c r="F40" s="71"/>
      <c r="G40" s="71"/>
      <c r="H40" s="71"/>
    </row>
    <row r="41" spans="1:8">
      <c r="A41" s="71"/>
      <c r="B41" s="71"/>
      <c r="C41" s="71"/>
      <c r="D41" s="71"/>
      <c r="E41" s="71"/>
      <c r="F41" s="71"/>
      <c r="G41" s="71"/>
      <c r="H41" s="71"/>
    </row>
    <row r="42" spans="1:8">
      <c r="A42" s="71"/>
      <c r="B42" s="71"/>
      <c r="C42" s="71"/>
      <c r="D42" s="71"/>
      <c r="E42" s="71"/>
      <c r="F42" s="71"/>
      <c r="G42" s="71"/>
      <c r="H42" s="71"/>
    </row>
    <row r="43" spans="1:8">
      <c r="A43" s="71"/>
      <c r="B43" s="71"/>
      <c r="C43" s="71"/>
      <c r="D43" s="71"/>
      <c r="E43" s="71"/>
      <c r="F43" s="71"/>
      <c r="G43" s="71"/>
      <c r="H43" s="71"/>
    </row>
    <row r="44" spans="1:8">
      <c r="A44" s="71"/>
      <c r="B44" s="71"/>
      <c r="C44" s="71"/>
      <c r="D44" s="71"/>
      <c r="E44" s="71"/>
      <c r="F44" s="71"/>
      <c r="G44" s="71"/>
      <c r="H44" s="71"/>
    </row>
    <row r="45" spans="1:8">
      <c r="A45" s="71"/>
      <c r="B45" s="71"/>
      <c r="C45" s="71"/>
      <c r="D45" s="71"/>
      <c r="E45" s="71"/>
      <c r="F45" s="71"/>
      <c r="G45" s="71"/>
      <c r="H45" s="71"/>
    </row>
    <row r="46" spans="1:8">
      <c r="A46" s="71"/>
      <c r="B46" s="71"/>
      <c r="C46" s="71"/>
      <c r="D46" s="71"/>
      <c r="E46" s="71"/>
      <c r="F46" s="71"/>
      <c r="G46" s="71"/>
      <c r="H46" s="71"/>
    </row>
    <row r="47" spans="1:8">
      <c r="A47" s="71"/>
      <c r="B47" s="71"/>
      <c r="C47" s="71"/>
      <c r="D47" s="71"/>
      <c r="E47" s="71"/>
      <c r="F47" s="71"/>
      <c r="G47" s="71"/>
      <c r="H47" s="71"/>
    </row>
    <row r="48" spans="1:8">
      <c r="A48" s="71"/>
      <c r="B48" s="71"/>
      <c r="C48" s="71"/>
      <c r="D48" s="71"/>
      <c r="E48" s="71"/>
      <c r="F48" s="71"/>
      <c r="G48" s="71"/>
      <c r="H48" s="71"/>
    </row>
    <row r="49" spans="1:8">
      <c r="A49" s="71"/>
      <c r="B49" s="71"/>
      <c r="C49" s="71"/>
      <c r="D49" s="71"/>
      <c r="E49" s="71"/>
      <c r="F49" s="71"/>
      <c r="G49" s="71"/>
      <c r="H49" s="71"/>
    </row>
    <row r="50" spans="1:8">
      <c r="A50" s="71"/>
      <c r="B50" s="71"/>
      <c r="C50" s="71"/>
      <c r="D50" s="71"/>
      <c r="E50" s="71"/>
      <c r="F50" s="71"/>
      <c r="G50" s="71"/>
      <c r="H50" s="71"/>
    </row>
    <row r="51" spans="1:8">
      <c r="A51" s="71"/>
      <c r="B51" s="71"/>
      <c r="C51" s="71"/>
      <c r="D51" s="71"/>
      <c r="E51" s="71"/>
      <c r="F51" s="71"/>
      <c r="G51" s="71"/>
      <c r="H51" s="71"/>
    </row>
    <row r="52" spans="1:8">
      <c r="A52" s="71"/>
      <c r="B52" s="71"/>
      <c r="C52" s="71"/>
      <c r="D52" s="71"/>
      <c r="E52" s="71"/>
      <c r="F52" s="71"/>
      <c r="G52" s="71"/>
      <c r="H52" s="71"/>
    </row>
    <row r="53" spans="1:8">
      <c r="A53" s="71"/>
      <c r="B53" s="71"/>
      <c r="C53" s="71"/>
      <c r="D53" s="71"/>
      <c r="E53" s="71"/>
      <c r="F53" s="71"/>
      <c r="G53" s="71"/>
      <c r="H53" s="71"/>
    </row>
    <row r="54" spans="1:8">
      <c r="A54" s="71"/>
      <c r="B54" s="71"/>
      <c r="C54" s="71"/>
      <c r="D54" s="71"/>
      <c r="E54" s="71"/>
      <c r="F54" s="71"/>
      <c r="G54" s="71"/>
      <c r="H54" s="71"/>
    </row>
    <row r="55" spans="1:8">
      <c r="A55" s="71"/>
      <c r="B55" s="71"/>
      <c r="C55" s="71"/>
      <c r="D55" s="71"/>
      <c r="E55" s="71"/>
      <c r="F55" s="71"/>
      <c r="G55" s="71"/>
      <c r="H55" s="71"/>
    </row>
    <row r="56" spans="1:8">
      <c r="A56" s="71"/>
      <c r="B56" s="71"/>
      <c r="C56" s="71"/>
      <c r="D56" s="71"/>
      <c r="E56" s="71"/>
      <c r="F56" s="71"/>
      <c r="G56" s="71"/>
      <c r="H56" s="71"/>
    </row>
    <row r="57" spans="1:8">
      <c r="A57" s="71"/>
      <c r="B57" s="71"/>
      <c r="C57" s="71"/>
      <c r="D57" s="71"/>
      <c r="E57" s="71"/>
      <c r="F57" s="71"/>
      <c r="G57" s="71"/>
      <c r="H57" s="71"/>
    </row>
    <row r="58" spans="1:8">
      <c r="A58" s="71"/>
      <c r="B58" s="71"/>
      <c r="C58" s="71"/>
      <c r="D58" s="71"/>
      <c r="E58" s="71"/>
      <c r="F58" s="71"/>
      <c r="G58" s="71"/>
      <c r="H58" s="71"/>
    </row>
    <row r="59" spans="1:8">
      <c r="A59" s="71"/>
      <c r="B59" s="71"/>
      <c r="C59" s="71"/>
      <c r="D59" s="71"/>
      <c r="E59" s="71"/>
      <c r="F59" s="71"/>
      <c r="G59" s="71"/>
      <c r="H59" s="71"/>
    </row>
    <row r="60" spans="1:8">
      <c r="A60" s="71"/>
      <c r="B60" s="71"/>
      <c r="C60" s="71"/>
      <c r="D60" s="71"/>
      <c r="E60" s="71"/>
      <c r="F60" s="71"/>
      <c r="G60" s="71"/>
      <c r="H60" s="71"/>
    </row>
    <row r="61" spans="1:8">
      <c r="A61" s="71"/>
      <c r="B61" s="71"/>
      <c r="C61" s="71"/>
      <c r="D61" s="71"/>
      <c r="E61" s="71"/>
      <c r="F61" s="71"/>
      <c r="G61" s="71"/>
      <c r="H61" s="71"/>
    </row>
    <row r="62" spans="1:8">
      <c r="A62" s="71"/>
      <c r="B62" s="71"/>
      <c r="C62" s="71"/>
      <c r="D62" s="71"/>
      <c r="E62" s="71"/>
      <c r="F62" s="71"/>
      <c r="G62" s="71"/>
      <c r="H62" s="71"/>
    </row>
    <row r="63" spans="1:8">
      <c r="A63" s="71"/>
      <c r="B63" s="71"/>
      <c r="C63" s="71"/>
      <c r="D63" s="71"/>
      <c r="E63" s="71"/>
      <c r="F63" s="71"/>
      <c r="G63" s="71"/>
      <c r="H63" s="71"/>
    </row>
    <row r="64" spans="1:8">
      <c r="A64" s="71"/>
      <c r="B64" s="71"/>
      <c r="C64" s="71"/>
      <c r="D64" s="71"/>
      <c r="E64" s="71"/>
      <c r="F64" s="71"/>
      <c r="G64" s="71"/>
      <c r="H64" s="71"/>
    </row>
    <row r="65" spans="1:8">
      <c r="A65" s="71"/>
      <c r="B65" s="71"/>
      <c r="C65" s="71"/>
      <c r="D65" s="71"/>
      <c r="E65" s="71"/>
      <c r="F65" s="71"/>
      <c r="G65" s="71"/>
      <c r="H65" s="71"/>
    </row>
    <row r="66" spans="1:8">
      <c r="A66" s="71"/>
      <c r="B66" s="71"/>
      <c r="C66" s="71"/>
      <c r="D66" s="71"/>
      <c r="E66" s="71"/>
      <c r="F66" s="71"/>
      <c r="G66" s="71"/>
      <c r="H66" s="71"/>
    </row>
    <row r="67" spans="1:8">
      <c r="A67" s="71"/>
      <c r="B67" s="71"/>
      <c r="C67" s="71"/>
      <c r="D67" s="71"/>
      <c r="E67" s="71"/>
      <c r="F67" s="71"/>
      <c r="G67" s="71"/>
      <c r="H67" s="71"/>
    </row>
    <row r="68" spans="1:8">
      <c r="A68" s="71"/>
      <c r="B68" s="71"/>
      <c r="C68" s="71"/>
      <c r="D68" s="71"/>
      <c r="E68" s="71"/>
      <c r="F68" s="71"/>
      <c r="G68" s="71"/>
      <c r="H68" s="71"/>
    </row>
    <row r="69" spans="1:8">
      <c r="A69" s="71"/>
      <c r="B69" s="71"/>
      <c r="C69" s="71"/>
      <c r="D69" s="71"/>
      <c r="E69" s="71"/>
      <c r="F69" s="71"/>
      <c r="G69" s="71"/>
      <c r="H69" s="71"/>
    </row>
    <row r="70" spans="1:8">
      <c r="A70" s="71"/>
      <c r="B70" s="71"/>
      <c r="C70" s="71"/>
      <c r="D70" s="71"/>
      <c r="E70" s="71"/>
      <c r="F70" s="71"/>
      <c r="G70" s="71"/>
      <c r="H70" s="71"/>
    </row>
    <row r="71" spans="1:8">
      <c r="A71" s="71"/>
      <c r="B71" s="71"/>
      <c r="C71" s="71"/>
      <c r="D71" s="71"/>
      <c r="E71" s="71"/>
      <c r="F71" s="71"/>
      <c r="G71" s="71"/>
      <c r="H71" s="71"/>
    </row>
    <row r="72" spans="1:8">
      <c r="A72" s="71"/>
      <c r="B72" s="71"/>
      <c r="C72" s="71"/>
      <c r="D72" s="71"/>
      <c r="E72" s="71"/>
      <c r="F72" s="71"/>
      <c r="G72" s="71"/>
      <c r="H72" s="71"/>
    </row>
    <row r="73" spans="1:8">
      <c r="A73" s="71"/>
      <c r="B73" s="71"/>
      <c r="C73" s="71"/>
      <c r="D73" s="71"/>
      <c r="E73" s="71"/>
      <c r="F73" s="71"/>
      <c r="G73" s="71"/>
      <c r="H73" s="71"/>
    </row>
    <row r="74" spans="1:8">
      <c r="A74" s="71"/>
      <c r="B74" s="71"/>
      <c r="C74" s="71"/>
      <c r="D74" s="71"/>
      <c r="E74" s="71"/>
      <c r="F74" s="71"/>
      <c r="G74" s="71"/>
      <c r="H74" s="71"/>
    </row>
    <row r="75" spans="1:8">
      <c r="A75" s="71"/>
      <c r="B75" s="71"/>
      <c r="C75" s="71"/>
      <c r="D75" s="71"/>
      <c r="E75" s="71"/>
      <c r="F75" s="71"/>
      <c r="G75" s="71"/>
      <c r="H75" s="71"/>
    </row>
    <row r="76" spans="1:8">
      <c r="A76" s="71"/>
      <c r="B76" s="71"/>
      <c r="C76" s="71"/>
      <c r="D76" s="71"/>
      <c r="E76" s="71"/>
      <c r="F76" s="71"/>
      <c r="G76" s="71"/>
      <c r="H76" s="71"/>
    </row>
    <row r="77" spans="1:8">
      <c r="A77" s="71"/>
      <c r="B77" s="71"/>
      <c r="C77" s="71"/>
      <c r="D77" s="71"/>
      <c r="E77" s="71"/>
      <c r="F77" s="71"/>
      <c r="G77" s="71"/>
      <c r="H77" s="71"/>
    </row>
    <row r="78" spans="1:8">
      <c r="A78" s="71"/>
      <c r="B78" s="71"/>
      <c r="C78" s="71"/>
      <c r="D78" s="71"/>
      <c r="E78" s="71"/>
      <c r="F78" s="71"/>
      <c r="G78" s="71"/>
      <c r="H78" s="71"/>
    </row>
    <row r="79" spans="1:8">
      <c r="A79" s="71"/>
      <c r="B79" s="71"/>
      <c r="C79" s="71"/>
      <c r="D79" s="71"/>
      <c r="E79" s="71"/>
      <c r="F79" s="71"/>
      <c r="G79" s="71"/>
      <c r="H79" s="71"/>
    </row>
    <row r="80" spans="1:8">
      <c r="A80" s="71"/>
      <c r="B80" s="71"/>
      <c r="C80" s="71"/>
      <c r="D80" s="71"/>
      <c r="E80" s="71"/>
      <c r="F80" s="71"/>
      <c r="G80" s="71"/>
      <c r="H80" s="71"/>
    </row>
    <row r="82" spans="1:6">
      <c r="A82" s="153" t="s">
        <v>968</v>
      </c>
      <c r="B82" s="153" t="s">
        <v>809</v>
      </c>
      <c r="C82" s="153" t="s">
        <v>969</v>
      </c>
      <c r="D82" s="153" t="s">
        <v>286</v>
      </c>
      <c r="E82" s="153" t="s">
        <v>930</v>
      </c>
      <c r="F82" s="153" t="s">
        <v>970</v>
      </c>
    </row>
    <row r="83" spans="1:6">
      <c r="A83" t="s">
        <v>968</v>
      </c>
      <c r="B83" t="s">
        <v>971</v>
      </c>
      <c r="C83" t="s">
        <v>972</v>
      </c>
      <c r="D83" t="s">
        <v>286</v>
      </c>
      <c r="E83" t="s">
        <v>973</v>
      </c>
      <c r="F83" t="s">
        <v>974</v>
      </c>
    </row>
    <row r="84" spans="1:6">
      <c r="A84" t="s">
        <v>975</v>
      </c>
      <c r="B84" t="s">
        <v>741</v>
      </c>
      <c r="C84" t="s">
        <v>976</v>
      </c>
      <c r="D84" t="s">
        <v>286</v>
      </c>
      <c r="E84" t="s">
        <v>977</v>
      </c>
      <c r="F84" t="s">
        <v>978</v>
      </c>
    </row>
    <row r="85" spans="1:6">
      <c r="A85" t="s">
        <v>975</v>
      </c>
      <c r="B85" t="s">
        <v>36</v>
      </c>
      <c r="C85" t="s">
        <v>979</v>
      </c>
      <c r="D85" t="s">
        <v>286</v>
      </c>
      <c r="E85" t="s">
        <v>980</v>
      </c>
      <c r="F85" t="s">
        <v>981</v>
      </c>
    </row>
    <row r="86" spans="1:6">
      <c r="A86" t="s">
        <v>975</v>
      </c>
      <c r="B86" t="s">
        <v>311</v>
      </c>
      <c r="C86" t="s">
        <v>982</v>
      </c>
      <c r="D86" t="s">
        <v>286</v>
      </c>
      <c r="E86" t="s">
        <v>893</v>
      </c>
      <c r="F86" t="s">
        <v>983</v>
      </c>
    </row>
    <row r="87" spans="1:6">
      <c r="A87" t="s">
        <v>975</v>
      </c>
      <c r="B87" t="s">
        <v>318</v>
      </c>
      <c r="C87" t="s">
        <v>984</v>
      </c>
      <c r="D87" t="s">
        <v>286</v>
      </c>
      <c r="E87" t="s">
        <v>985</v>
      </c>
      <c r="F87" t="s">
        <v>986</v>
      </c>
    </row>
    <row r="88" spans="1:6">
      <c r="A88" t="s">
        <v>975</v>
      </c>
      <c r="B88" t="s">
        <v>742</v>
      </c>
      <c r="C88" t="s">
        <v>987</v>
      </c>
      <c r="D88" t="s">
        <v>286</v>
      </c>
      <c r="E88" t="s">
        <v>890</v>
      </c>
      <c r="F88" t="s">
        <v>933</v>
      </c>
    </row>
    <row r="89" spans="1:6">
      <c r="A89" t="s">
        <v>975</v>
      </c>
      <c r="B89" t="s">
        <v>31</v>
      </c>
      <c r="C89" t="s">
        <v>988</v>
      </c>
      <c r="D89" t="s">
        <v>286</v>
      </c>
      <c r="E89" t="s">
        <v>989</v>
      </c>
      <c r="F89" t="s">
        <v>977</v>
      </c>
    </row>
    <row r="90" spans="1:6">
      <c r="A90" t="s">
        <v>990</v>
      </c>
      <c r="B90" t="s">
        <v>991</v>
      </c>
      <c r="C90" t="s">
        <v>992</v>
      </c>
      <c r="D90" t="s">
        <v>184</v>
      </c>
      <c r="E90" t="s">
        <v>993</v>
      </c>
      <c r="F90" t="s">
        <v>994</v>
      </c>
    </row>
    <row r="91" spans="1:6">
      <c r="A91" t="s">
        <v>995</v>
      </c>
      <c r="B91" t="s">
        <v>996</v>
      </c>
      <c r="C91" t="s">
        <v>997</v>
      </c>
      <c r="D91" t="s">
        <v>157</v>
      </c>
      <c r="E91" t="s">
        <v>178</v>
      </c>
      <c r="F91" t="s">
        <v>998</v>
      </c>
    </row>
    <row r="93" spans="1:6">
      <c r="A93" s="167" t="s">
        <v>999</v>
      </c>
      <c r="B93" s="167" t="s">
        <v>1000</v>
      </c>
      <c r="C93" s="167" t="s">
        <v>1001</v>
      </c>
      <c r="D93" s="167" t="s">
        <v>79</v>
      </c>
      <c r="E93" s="167" t="s">
        <v>1002</v>
      </c>
      <c r="F93" s="167" t="s">
        <v>1003</v>
      </c>
    </row>
    <row r="94" spans="1:6">
      <c r="A94" t="s">
        <v>1004</v>
      </c>
      <c r="B94" t="s">
        <v>731</v>
      </c>
      <c r="C94" t="s">
        <v>1005</v>
      </c>
      <c r="D94" t="s">
        <v>79</v>
      </c>
      <c r="E94" t="s">
        <v>1006</v>
      </c>
      <c r="F94" t="s">
        <v>1007</v>
      </c>
    </row>
    <row r="95" spans="1:6">
      <c r="A95" t="s">
        <v>1004</v>
      </c>
      <c r="B95" t="s">
        <v>732</v>
      </c>
      <c r="C95" t="s">
        <v>1008</v>
      </c>
      <c r="D95" t="s">
        <v>79</v>
      </c>
      <c r="E95" t="s">
        <v>1009</v>
      </c>
      <c r="F95" t="s">
        <v>1010</v>
      </c>
    </row>
    <row r="96" spans="1:6">
      <c r="A96" t="s">
        <v>1004</v>
      </c>
      <c r="B96" t="s">
        <v>734</v>
      </c>
      <c r="C96" t="s">
        <v>1011</v>
      </c>
      <c r="D96" t="s">
        <v>79</v>
      </c>
      <c r="E96" t="s">
        <v>1012</v>
      </c>
      <c r="F96" t="s">
        <v>1013</v>
      </c>
    </row>
    <row r="97" spans="1:6">
      <c r="A97" t="s">
        <v>1004</v>
      </c>
      <c r="B97" t="s">
        <v>735</v>
      </c>
      <c r="C97" t="s">
        <v>1014</v>
      </c>
      <c r="D97" t="s">
        <v>79</v>
      </c>
      <c r="E97" t="s">
        <v>1012</v>
      </c>
      <c r="F97" t="s">
        <v>1015</v>
      </c>
    </row>
    <row r="98" spans="1:6">
      <c r="A98" t="s">
        <v>1004</v>
      </c>
      <c r="B98" t="s">
        <v>736</v>
      </c>
      <c r="C98" t="s">
        <v>1016</v>
      </c>
      <c r="D98" t="s">
        <v>79</v>
      </c>
      <c r="E98" t="s">
        <v>1017</v>
      </c>
      <c r="F98" t="s">
        <v>1018</v>
      </c>
    </row>
    <row r="99" spans="1:6">
      <c r="A99" t="s">
        <v>1004</v>
      </c>
      <c r="B99" t="s">
        <v>738</v>
      </c>
      <c r="C99" t="s">
        <v>1019</v>
      </c>
      <c r="D99" t="s">
        <v>79</v>
      </c>
      <c r="E99" t="s">
        <v>1012</v>
      </c>
      <c r="F99" t="s">
        <v>1020</v>
      </c>
    </row>
    <row r="100" spans="1:6">
      <c r="A100" t="s">
        <v>1004</v>
      </c>
      <c r="B100" t="s">
        <v>739</v>
      </c>
      <c r="C100" t="s">
        <v>1021</v>
      </c>
      <c r="D100" t="s">
        <v>79</v>
      </c>
      <c r="E100" t="s">
        <v>886</v>
      </c>
      <c r="F100" t="s">
        <v>1022</v>
      </c>
    </row>
    <row r="101" spans="1:6">
      <c r="A101" t="s">
        <v>1004</v>
      </c>
      <c r="B101" t="s">
        <v>740</v>
      </c>
      <c r="C101" t="s">
        <v>1023</v>
      </c>
      <c r="D101" t="s">
        <v>79</v>
      </c>
      <c r="E101" t="s">
        <v>1024</v>
      </c>
      <c r="F101" t="s">
        <v>1025</v>
      </c>
    </row>
    <row r="103" spans="1:6">
      <c r="A103" s="167" t="s">
        <v>1026</v>
      </c>
      <c r="B103" s="167" t="s">
        <v>1027</v>
      </c>
      <c r="C103" s="167" t="s">
        <v>1028</v>
      </c>
      <c r="D103" s="167" t="s">
        <v>79</v>
      </c>
      <c r="E103" s="167" t="s">
        <v>1002</v>
      </c>
      <c r="F103" s="167" t="s">
        <v>1029</v>
      </c>
    </row>
    <row r="105" spans="1:6">
      <c r="A105" s="172" t="s">
        <v>1030</v>
      </c>
      <c r="B105" s="172" t="s">
        <v>663</v>
      </c>
      <c r="C105" s="172" t="s">
        <v>1031</v>
      </c>
      <c r="D105" s="172" t="s">
        <v>79</v>
      </c>
      <c r="E105" s="172" t="s">
        <v>1032</v>
      </c>
      <c r="F105" s="172" t="s">
        <v>1033</v>
      </c>
    </row>
    <row r="106" spans="1:6">
      <c r="A106" t="s">
        <v>1030</v>
      </c>
      <c r="B106" t="s">
        <v>708</v>
      </c>
      <c r="C106" t="s">
        <v>1034</v>
      </c>
      <c r="D106" t="s">
        <v>79</v>
      </c>
      <c r="E106" t="s">
        <v>1035</v>
      </c>
      <c r="F106" t="s">
        <v>1036</v>
      </c>
    </row>
    <row r="107" spans="1:6">
      <c r="A107" t="s">
        <v>1030</v>
      </c>
      <c r="B107" t="s">
        <v>783</v>
      </c>
      <c r="C107" t="s">
        <v>1037</v>
      </c>
      <c r="D107" t="s">
        <v>79</v>
      </c>
      <c r="E107" t="s">
        <v>1038</v>
      </c>
      <c r="F107" t="s">
        <v>1039</v>
      </c>
    </row>
    <row r="108" spans="1:6">
      <c r="A108" t="s">
        <v>1030</v>
      </c>
      <c r="B108" t="s">
        <v>709</v>
      </c>
      <c r="C108" t="s">
        <v>1040</v>
      </c>
      <c r="D108" t="s">
        <v>79</v>
      </c>
      <c r="E108" t="s">
        <v>178</v>
      </c>
      <c r="F108" t="s">
        <v>1041</v>
      </c>
    </row>
    <row r="109" spans="1:6">
      <c r="A109" t="s">
        <v>1030</v>
      </c>
      <c r="B109" t="s">
        <v>785</v>
      </c>
      <c r="C109" t="s">
        <v>1042</v>
      </c>
      <c r="D109" t="s">
        <v>79</v>
      </c>
      <c r="E109" t="s">
        <v>178</v>
      </c>
      <c r="F109" t="s">
        <v>1043</v>
      </c>
    </row>
    <row r="110" spans="1:6">
      <c r="A110" t="s">
        <v>1030</v>
      </c>
      <c r="B110" t="s">
        <v>786</v>
      </c>
      <c r="C110" t="s">
        <v>1044</v>
      </c>
      <c r="D110" t="s">
        <v>79</v>
      </c>
      <c r="E110" t="s">
        <v>178</v>
      </c>
      <c r="F110" t="s">
        <v>1045</v>
      </c>
    </row>
    <row r="111" spans="1:6">
      <c r="A111" t="s">
        <v>1030</v>
      </c>
      <c r="B111" t="s">
        <v>787</v>
      </c>
      <c r="C111" t="s">
        <v>1046</v>
      </c>
      <c r="D111" t="s">
        <v>1047</v>
      </c>
      <c r="E111" t="s">
        <v>930</v>
      </c>
      <c r="F111" t="s">
        <v>1048</v>
      </c>
    </row>
    <row r="113" spans="1:6">
      <c r="A113" t="s">
        <v>1049</v>
      </c>
      <c r="B113" t="s">
        <v>1050</v>
      </c>
    </row>
    <row r="115" spans="1:6">
      <c r="A115" s="183" t="s">
        <v>1051</v>
      </c>
      <c r="B115" s="183" t="s">
        <v>814</v>
      </c>
      <c r="C115" s="183" t="s">
        <v>1052</v>
      </c>
      <c r="D115" s="183" t="s">
        <v>79</v>
      </c>
      <c r="E115" s="183" t="s">
        <v>1053</v>
      </c>
      <c r="F115" s="183" t="s">
        <v>1054</v>
      </c>
    </row>
    <row r="116" spans="1:6">
      <c r="A116" t="s">
        <v>1055</v>
      </c>
      <c r="B116" t="s">
        <v>1056</v>
      </c>
      <c r="C116" t="s">
        <v>1057</v>
      </c>
      <c r="D116" t="s">
        <v>79</v>
      </c>
      <c r="E116" t="s">
        <v>1058</v>
      </c>
    </row>
  </sheetData>
  <mergeCells count="1">
    <mergeCell ref="A1:F1"/>
  </mergeCells>
  <conditionalFormatting sqref="F24:F31">
    <cfRule type="expression" dxfId="976" priority="1">
      <formula>ISNUMBER(SEARCH("Conciliado",F24))</formula>
    </cfRule>
    <cfRule type="expression" dxfId="975" priority="2">
      <formula>ISNUMBER(SEARCH("Cumple",F24))</formula>
    </cfRule>
    <cfRule type="expression" dxfId="974" priority="3">
      <formula>ISNUMBER(SEARCH("Dominio",F24))</formula>
    </cfRule>
    <cfRule type="expression" dxfId="973" priority="4">
      <formula>ISNUMBER(SEARCH("Cerrado",F24))</formula>
    </cfRule>
    <cfRule type="expression" dxfId="972" priority="5">
      <formula>ISNUMBER(SEARCH("Activo",F24))</formula>
    </cfRule>
    <cfRule type="expression" dxfId="971" priority="6">
      <formula>ISNUMBER(SEARCH("En proceso",F24))</formula>
    </cfRule>
    <cfRule type="expression" dxfId="970" priority="7">
      <formula>ISNUMBER(SEARCH("Atención",F24))</formula>
    </cfRule>
    <cfRule type="expression" dxfId="969" priority="8">
      <formula>ISNUMBER(SEARCH("Revisar",F24))</formula>
    </cfRule>
    <cfRule type="expression" dxfId="968" priority="9">
      <formula>ISNUMBER(SEARCH("Pendiente",F24))</formula>
    </cfRule>
    <cfRule type="expression" dxfId="967" priority="10">
      <formula>ISNUMBER(SEARCH("Diferencia crítica",F24))</formula>
    </cfRule>
    <cfRule type="expression" dxfId="966" priority="11">
      <formula>ISNUMBER(SEARCH("Crítico",F24))</formula>
    </cfRule>
    <cfRule type="expression" dxfId="965" priority="12">
      <formula>ISNUMBER(SEARCH("Riesgo",F24))</formula>
    </cfRule>
    <cfRule type="expression" dxfId="964" priority="13">
      <formula>ISNUMBER(SEARCH("No iniciado",F24))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BFBF"/>
  </sheetPr>
  <dimension ref="A1:K12"/>
  <sheetViews>
    <sheetView showGridLines="0" workbookViewId="0"/>
  </sheetViews>
  <sheetFormatPr baseColWidth="10" defaultColWidth="8.7265625" defaultRowHeight="14.5"/>
  <cols>
    <col min="1" max="1" width="10.36328125" customWidth="1"/>
    <col min="2" max="2" width="15.36328125" customWidth="1"/>
    <col min="3" max="3" width="20" customWidth="1"/>
    <col min="4" max="4" width="34.26953125" customWidth="1"/>
    <col min="5" max="5" width="29.7265625" customWidth="1"/>
    <col min="6" max="6" width="16.08984375" customWidth="1"/>
    <col min="7" max="7" width="31" customWidth="1"/>
    <col min="8" max="8" width="37.81640625" customWidth="1"/>
    <col min="9" max="9" width="18.81640625" customWidth="1"/>
    <col min="10" max="10" width="16.7265625" customWidth="1"/>
    <col min="11" max="11" width="27.81640625" customWidth="1"/>
  </cols>
  <sheetData>
    <row r="1" spans="1:11" ht="21" customHeight="1">
      <c r="A1" s="434" t="s">
        <v>1059</v>
      </c>
      <c r="B1" s="426"/>
      <c r="C1" s="426"/>
      <c r="D1" s="426"/>
      <c r="E1" s="426"/>
      <c r="F1" s="426"/>
      <c r="G1" s="426"/>
      <c r="H1" s="426"/>
      <c r="I1" s="139"/>
      <c r="J1" s="139"/>
      <c r="K1" s="139"/>
    </row>
    <row r="2" spans="1:11">
      <c r="A2" s="433" t="s">
        <v>1060</v>
      </c>
      <c r="B2" s="426"/>
      <c r="C2" s="426"/>
      <c r="D2" s="426"/>
      <c r="E2" s="426"/>
      <c r="F2" s="426"/>
      <c r="G2" s="426"/>
      <c r="H2" s="426"/>
      <c r="I2" s="140"/>
      <c r="J2" s="140"/>
      <c r="K2" s="140"/>
    </row>
    <row r="4" spans="1:11">
      <c r="A4" s="138" t="s">
        <v>1061</v>
      </c>
      <c r="B4" s="138" t="s">
        <v>1062</v>
      </c>
      <c r="C4" s="138" t="s">
        <v>83</v>
      </c>
      <c r="D4" s="138" t="s">
        <v>157</v>
      </c>
      <c r="E4" s="138" t="s">
        <v>1063</v>
      </c>
      <c r="F4" s="138" t="s">
        <v>286</v>
      </c>
      <c r="G4" s="138" t="s">
        <v>1064</v>
      </c>
      <c r="H4" s="138" t="s">
        <v>175</v>
      </c>
      <c r="I4" s="138" t="s">
        <v>389</v>
      </c>
      <c r="J4" s="138" t="s">
        <v>655</v>
      </c>
      <c r="K4" s="138" t="s">
        <v>1065</v>
      </c>
    </row>
    <row r="5" spans="1:11" ht="29" customHeight="1">
      <c r="A5" s="98" t="s">
        <v>1066</v>
      </c>
      <c r="B5" s="98" t="s">
        <v>784</v>
      </c>
      <c r="C5" s="98" t="s">
        <v>1067</v>
      </c>
      <c r="D5" s="98" t="s">
        <v>1068</v>
      </c>
      <c r="E5" s="98" t="s">
        <v>962</v>
      </c>
      <c r="F5" s="98" t="s">
        <v>1069</v>
      </c>
      <c r="G5" s="98" t="s">
        <v>1070</v>
      </c>
      <c r="H5" s="98" t="s">
        <v>1071</v>
      </c>
      <c r="I5" s="98" t="s">
        <v>793</v>
      </c>
      <c r="J5" s="98" t="s">
        <v>1072</v>
      </c>
      <c r="K5" s="98" t="s">
        <v>1073</v>
      </c>
    </row>
    <row r="6" spans="1:11" ht="29" customHeight="1">
      <c r="A6" s="98" t="s">
        <v>1074</v>
      </c>
      <c r="B6" s="98" t="s">
        <v>795</v>
      </c>
      <c r="C6" s="98" t="s">
        <v>1067</v>
      </c>
      <c r="D6" s="98" t="s">
        <v>1075</v>
      </c>
      <c r="E6" s="98" t="s">
        <v>1076</v>
      </c>
      <c r="F6" s="98" t="s">
        <v>1077</v>
      </c>
      <c r="G6" s="98" t="s">
        <v>1078</v>
      </c>
      <c r="H6" s="98" t="s">
        <v>770</v>
      </c>
      <c r="I6" s="98" t="s">
        <v>955</v>
      </c>
      <c r="J6" s="98" t="s">
        <v>79</v>
      </c>
      <c r="K6" s="98" t="s">
        <v>1079</v>
      </c>
    </row>
    <row r="7" spans="1:11" ht="29" customHeight="1">
      <c r="A7" s="98" t="s">
        <v>1080</v>
      </c>
      <c r="B7" s="98" t="s">
        <v>796</v>
      </c>
      <c r="C7" s="98" t="s">
        <v>1067</v>
      </c>
      <c r="D7" s="98" t="s">
        <v>1081</v>
      </c>
      <c r="E7" s="98" t="s">
        <v>1082</v>
      </c>
      <c r="F7" s="98" t="s">
        <v>1083</v>
      </c>
      <c r="G7" s="98" t="s">
        <v>1084</v>
      </c>
      <c r="H7" s="98" t="s">
        <v>770</v>
      </c>
      <c r="I7" s="98" t="s">
        <v>957</v>
      </c>
      <c r="J7" s="98" t="s">
        <v>959</v>
      </c>
      <c r="K7" s="98" t="s">
        <v>1085</v>
      </c>
    </row>
    <row r="8" spans="1:11" ht="29" customHeight="1">
      <c r="A8" s="98" t="s">
        <v>1086</v>
      </c>
      <c r="B8" s="98" t="s">
        <v>797</v>
      </c>
      <c r="C8" s="98" t="s">
        <v>1067</v>
      </c>
      <c r="D8" s="98" t="s">
        <v>1087</v>
      </c>
      <c r="E8" s="98" t="s">
        <v>1082</v>
      </c>
      <c r="F8" s="98" t="s">
        <v>1088</v>
      </c>
      <c r="G8" s="98" t="s">
        <v>1084</v>
      </c>
      <c r="H8" s="98" t="s">
        <v>770</v>
      </c>
      <c r="I8" s="98" t="s">
        <v>960</v>
      </c>
      <c r="J8" s="98" t="s">
        <v>959</v>
      </c>
      <c r="K8" s="98" t="s">
        <v>1089</v>
      </c>
    </row>
    <row r="9" spans="1:11">
      <c r="A9" s="98" t="s">
        <v>1090</v>
      </c>
      <c r="B9" s="98" t="s">
        <v>1091</v>
      </c>
      <c r="C9" s="98" t="s">
        <v>1092</v>
      </c>
      <c r="D9" s="98" t="s">
        <v>1093</v>
      </c>
      <c r="E9" s="98" t="s">
        <v>215</v>
      </c>
      <c r="F9" s="98" t="s">
        <v>286</v>
      </c>
      <c r="G9" s="98" t="s">
        <v>381</v>
      </c>
      <c r="H9" s="98" t="s">
        <v>175</v>
      </c>
      <c r="I9" s="98" t="s">
        <v>178</v>
      </c>
      <c r="J9" s="98" t="s">
        <v>959</v>
      </c>
      <c r="K9" s="98" t="s">
        <v>1094</v>
      </c>
    </row>
    <row r="10" spans="1:11">
      <c r="A10" s="98" t="s">
        <v>1095</v>
      </c>
      <c r="B10" s="98" t="s">
        <v>1091</v>
      </c>
      <c r="C10" s="98" t="s">
        <v>1092</v>
      </c>
      <c r="D10" s="98" t="s">
        <v>1093</v>
      </c>
      <c r="E10" s="98" t="s">
        <v>215</v>
      </c>
      <c r="F10" s="98" t="s">
        <v>286</v>
      </c>
      <c r="G10" s="98" t="s">
        <v>381</v>
      </c>
      <c r="H10" s="98" t="s">
        <v>175</v>
      </c>
      <c r="I10" s="98" t="s">
        <v>178</v>
      </c>
      <c r="J10" s="98" t="s">
        <v>959</v>
      </c>
      <c r="K10" s="98" t="s">
        <v>1094</v>
      </c>
    </row>
    <row r="11" spans="1:11">
      <c r="A11" s="98" t="s">
        <v>1096</v>
      </c>
      <c r="B11" s="98" t="s">
        <v>1091</v>
      </c>
      <c r="C11" s="98" t="s">
        <v>1092</v>
      </c>
      <c r="D11" s="98" t="s">
        <v>1093</v>
      </c>
      <c r="E11" s="98" t="s">
        <v>215</v>
      </c>
      <c r="F11" s="98" t="s">
        <v>286</v>
      </c>
      <c r="G11" s="98" t="s">
        <v>381</v>
      </c>
      <c r="H11" s="98" t="s">
        <v>175</v>
      </c>
      <c r="I11" s="98" t="s">
        <v>178</v>
      </c>
      <c r="J11" s="98" t="s">
        <v>959</v>
      </c>
      <c r="K11" s="98" t="s">
        <v>1094</v>
      </c>
    </row>
    <row r="12" spans="1:11">
      <c r="A12" s="98" t="s">
        <v>1097</v>
      </c>
      <c r="B12" s="98" t="s">
        <v>1091</v>
      </c>
      <c r="C12" s="98" t="s">
        <v>1092</v>
      </c>
      <c r="D12" s="98" t="s">
        <v>1093</v>
      </c>
      <c r="E12" s="98" t="s">
        <v>215</v>
      </c>
      <c r="F12" s="98" t="s">
        <v>286</v>
      </c>
      <c r="G12" s="98" t="s">
        <v>381</v>
      </c>
      <c r="H12" s="98" t="s">
        <v>175</v>
      </c>
      <c r="I12" s="98" t="s">
        <v>1098</v>
      </c>
      <c r="J12" s="98" t="s">
        <v>959</v>
      </c>
      <c r="K12" s="98" t="s">
        <v>1099</v>
      </c>
    </row>
  </sheetData>
  <mergeCells count="2">
    <mergeCell ref="A2:H2"/>
    <mergeCell ref="A1:H1"/>
  </mergeCells>
  <conditionalFormatting sqref="J5:J12">
    <cfRule type="expression" dxfId="963" priority="1">
      <formula>ISNUMBER(SEARCH("Conciliado",J5))</formula>
    </cfRule>
    <cfRule type="expression" dxfId="962" priority="2">
      <formula>ISNUMBER(SEARCH("Cumple",J5))</formula>
    </cfRule>
    <cfRule type="expression" dxfId="961" priority="3">
      <formula>ISNUMBER(SEARCH("Dominio",J5))</formula>
    </cfRule>
    <cfRule type="expression" dxfId="960" priority="4">
      <formula>ISNUMBER(SEARCH("Cerrado",J5))</formula>
    </cfRule>
    <cfRule type="expression" dxfId="959" priority="5">
      <formula>ISNUMBER(SEARCH("Activo",J5))</formula>
    </cfRule>
    <cfRule type="expression" dxfId="958" priority="6">
      <formula>ISNUMBER(SEARCH("En proceso",J5))</formula>
    </cfRule>
    <cfRule type="expression" dxfId="957" priority="7">
      <formula>ISNUMBER(SEARCH("Atención",J5))</formula>
    </cfRule>
    <cfRule type="expression" dxfId="956" priority="8">
      <formula>ISNUMBER(SEARCH("Revisar",J5))</formula>
    </cfRule>
    <cfRule type="expression" dxfId="955" priority="9">
      <formula>ISNUMBER(SEARCH("Pendiente",J5))</formula>
    </cfRule>
    <cfRule type="expression" dxfId="954" priority="10">
      <formula>ISNUMBER(SEARCH("Diferencia crítica",J5))</formula>
    </cfRule>
    <cfRule type="expression" dxfId="953" priority="11">
      <formula>ISNUMBER(SEARCH("Crítico",J5))</formula>
    </cfRule>
    <cfRule type="expression" dxfId="952" priority="12">
      <formula>ISNUMBER(SEARCH("Riesgo",J5))</formula>
    </cfRule>
    <cfRule type="expression" dxfId="951" priority="13">
      <formula>ISNUMBER(SEARCH("No iniciado",J5))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1100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A651"/>
  </sheetPr>
  <dimension ref="A1:O204"/>
  <sheetViews>
    <sheetView showGridLines="0" topLeftCell="A31" workbookViewId="0">
      <selection sqref="A1:L1"/>
    </sheetView>
  </sheetViews>
  <sheetFormatPr baseColWidth="10" defaultColWidth="14.453125" defaultRowHeight="14.5"/>
  <cols>
    <col min="1" max="1" width="13" customWidth="1"/>
    <col min="2" max="2" width="22" customWidth="1"/>
    <col min="3" max="4" width="12" customWidth="1"/>
    <col min="5" max="6" width="14" customWidth="1"/>
    <col min="7" max="7" width="12" customWidth="1"/>
    <col min="8" max="8" width="32" customWidth="1"/>
    <col min="9" max="9" width="10" customWidth="1"/>
    <col min="10" max="10" width="11.1796875" customWidth="1"/>
    <col min="11" max="11" width="12" customWidth="1"/>
    <col min="12" max="12" width="40" customWidth="1"/>
    <col min="14" max="15" width="25" customWidth="1"/>
  </cols>
  <sheetData>
    <row r="1" spans="1:15" ht="26" customHeight="1">
      <c r="A1" s="436" t="s">
        <v>1102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N1" s="255" t="s">
        <v>1103</v>
      </c>
      <c r="O1" s="255" t="s">
        <v>881</v>
      </c>
    </row>
    <row r="2" spans="1:15">
      <c r="A2" s="435" t="s">
        <v>1104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N2" s="98" t="s">
        <v>275</v>
      </c>
      <c r="O2" s="98" t="s">
        <v>1105</v>
      </c>
    </row>
    <row r="3" spans="1:15" ht="1.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98" t="s">
        <v>1106</v>
      </c>
      <c r="O3" s="98" t="s">
        <v>1107</v>
      </c>
    </row>
    <row r="4" spans="1:15">
      <c r="A4" s="254" t="s">
        <v>13</v>
      </c>
      <c r="B4" s="254" t="s">
        <v>1108</v>
      </c>
      <c r="C4" s="254" t="s">
        <v>1109</v>
      </c>
      <c r="D4" s="254" t="s">
        <v>1110</v>
      </c>
      <c r="E4" s="254" t="s">
        <v>286</v>
      </c>
      <c r="F4" s="254" t="s">
        <v>1111</v>
      </c>
      <c r="G4" s="254" t="s">
        <v>322</v>
      </c>
      <c r="H4" s="254" t="s">
        <v>1112</v>
      </c>
      <c r="I4" s="254" t="s">
        <v>1113</v>
      </c>
      <c r="J4" s="254" t="s">
        <v>1114</v>
      </c>
      <c r="K4" s="254" t="s">
        <v>1115</v>
      </c>
      <c r="L4" s="254" t="s">
        <v>656</v>
      </c>
      <c r="N4" s="98" t="s">
        <v>1116</v>
      </c>
      <c r="O4" s="98" t="s">
        <v>1117</v>
      </c>
    </row>
    <row r="5" spans="1:15" ht="29" customHeight="1">
      <c r="A5" s="23">
        <v>46143</v>
      </c>
      <c r="B5" s="6" t="s">
        <v>18</v>
      </c>
      <c r="C5" s="6" t="s">
        <v>87</v>
      </c>
      <c r="D5" s="6" t="s">
        <v>87</v>
      </c>
      <c r="E5" s="6" t="s">
        <v>58</v>
      </c>
      <c r="F5" s="6" t="s">
        <v>87</v>
      </c>
      <c r="G5" s="6" t="s">
        <v>58</v>
      </c>
      <c r="H5" s="6" t="s">
        <v>1118</v>
      </c>
      <c r="I5" s="6">
        <v>10</v>
      </c>
      <c r="J5" s="19">
        <v>421955</v>
      </c>
      <c r="K5" s="6" t="str">
        <f t="shared" ref="K5:K36" si="0">IF(A5="","", "Semana "&amp;(WEEKNUM(A5,2)-WEEKNUM(DATE(YEAR(A5),MONTH(A5),1),2)+1))</f>
        <v>Semana 1</v>
      </c>
      <c r="L5" s="6" t="s">
        <v>1119</v>
      </c>
      <c r="N5" s="98" t="s">
        <v>1120</v>
      </c>
      <c r="O5" s="98" t="s">
        <v>1120</v>
      </c>
    </row>
    <row r="6" spans="1:15" ht="2.9" customHeight="1">
      <c r="A6" s="23">
        <v>46144</v>
      </c>
      <c r="B6" s="6" t="s">
        <v>18</v>
      </c>
      <c r="C6" s="6" t="s">
        <v>87</v>
      </c>
      <c r="D6" s="6" t="s">
        <v>58</v>
      </c>
      <c r="E6" s="6" t="s">
        <v>58</v>
      </c>
      <c r="F6" s="6" t="s">
        <v>58</v>
      </c>
      <c r="G6" s="6" t="s">
        <v>58</v>
      </c>
      <c r="H6" s="6" t="s">
        <v>1121</v>
      </c>
      <c r="I6" s="6">
        <v>10</v>
      </c>
      <c r="J6" s="19">
        <f>IF(A6="","",SUMIF('12_Gastos'!A:A,A6,'12_Gastos'!D:D))</f>
        <v>74130</v>
      </c>
      <c r="K6" s="6" t="str">
        <f t="shared" si="0"/>
        <v>Semana 1</v>
      </c>
      <c r="L6" s="6" t="s">
        <v>1122</v>
      </c>
      <c r="N6" s="98" t="s">
        <v>263</v>
      </c>
      <c r="O6" s="98" t="s">
        <v>1123</v>
      </c>
    </row>
    <row r="7" spans="1:15">
      <c r="A7" s="23">
        <v>46145</v>
      </c>
      <c r="B7" s="6" t="s">
        <v>18</v>
      </c>
      <c r="C7" s="6" t="s">
        <v>87</v>
      </c>
      <c r="D7" s="6" t="s">
        <v>87</v>
      </c>
      <c r="E7" s="6" t="s">
        <v>87</v>
      </c>
      <c r="F7" s="6" t="s">
        <v>58</v>
      </c>
      <c r="G7" s="6" t="s">
        <v>58</v>
      </c>
      <c r="H7" s="47" t="s">
        <v>1124</v>
      </c>
      <c r="I7" s="6">
        <v>10</v>
      </c>
      <c r="J7" s="19">
        <f>IF(A7="","",SUMIF('12_Gastos'!A:A,A7,'12_Gastos'!D:D))</f>
        <v>8490</v>
      </c>
      <c r="K7" s="6" t="str">
        <f t="shared" si="0"/>
        <v>Semana 1</v>
      </c>
      <c r="L7" s="47" t="s">
        <v>1125</v>
      </c>
      <c r="N7" s="98" t="s">
        <v>269</v>
      </c>
      <c r="O7" s="98" t="s">
        <v>1126</v>
      </c>
    </row>
    <row r="8" spans="1:15">
      <c r="A8" s="23">
        <v>46146</v>
      </c>
      <c r="B8" s="6" t="s">
        <v>275</v>
      </c>
      <c r="C8" s="6" t="s">
        <v>87</v>
      </c>
      <c r="D8" s="6" t="s">
        <v>87</v>
      </c>
      <c r="E8" s="6" t="s">
        <v>58</v>
      </c>
      <c r="F8" s="6" t="s">
        <v>58</v>
      </c>
      <c r="G8" s="6" t="s">
        <v>58</v>
      </c>
      <c r="H8" s="47" t="s">
        <v>1127</v>
      </c>
      <c r="I8" s="6">
        <v>10</v>
      </c>
      <c r="J8" s="19">
        <f>IF(A8="","",SUMIF('12_Gastos'!A:A,A8,'12_Gastos'!D:D))</f>
        <v>52017</v>
      </c>
      <c r="K8" s="6" t="str">
        <f t="shared" si="0"/>
        <v>Semana 2</v>
      </c>
      <c r="L8" s="47" t="s">
        <v>1128</v>
      </c>
      <c r="N8" s="98" t="s">
        <v>18</v>
      </c>
      <c r="O8" s="98" t="s">
        <v>1129</v>
      </c>
    </row>
    <row r="9" spans="1:15" ht="29" customHeight="1">
      <c r="A9" s="23">
        <v>46147</v>
      </c>
      <c r="B9" s="6" t="s">
        <v>275</v>
      </c>
      <c r="C9" s="6" t="s">
        <v>87</v>
      </c>
      <c r="D9" s="6" t="s">
        <v>87</v>
      </c>
      <c r="E9" s="6" t="s">
        <v>58</v>
      </c>
      <c r="F9" s="6" t="s">
        <v>87</v>
      </c>
      <c r="G9" s="6" t="s">
        <v>58</v>
      </c>
      <c r="H9" s="47" t="s">
        <v>1130</v>
      </c>
      <c r="I9" s="6">
        <v>10</v>
      </c>
      <c r="J9" s="19">
        <v>456770</v>
      </c>
      <c r="K9" s="6" t="str">
        <f t="shared" si="0"/>
        <v>Semana 2</v>
      </c>
      <c r="L9" s="47" t="s">
        <v>1131</v>
      </c>
    </row>
    <row r="10" spans="1:15" ht="29" customHeight="1">
      <c r="A10" s="23">
        <v>46148</v>
      </c>
      <c r="B10" s="6" t="s">
        <v>275</v>
      </c>
      <c r="C10" s="6" t="s">
        <v>87</v>
      </c>
      <c r="D10" s="6" t="s">
        <v>87</v>
      </c>
      <c r="E10" s="6" t="s">
        <v>87</v>
      </c>
      <c r="F10" s="6" t="s">
        <v>58</v>
      </c>
      <c r="G10" s="6" t="s">
        <v>58</v>
      </c>
      <c r="H10" s="66" t="s">
        <v>1132</v>
      </c>
      <c r="I10" s="6">
        <v>10</v>
      </c>
      <c r="J10" s="19">
        <f>IF(A10="","",SUMIF('12_Gastos'!A:A,A10,'12_Gastos'!D:D))</f>
        <v>25290</v>
      </c>
      <c r="K10" s="6" t="str">
        <f t="shared" si="0"/>
        <v>Semana 2</v>
      </c>
      <c r="L10" s="66" t="s">
        <v>1133</v>
      </c>
    </row>
    <row r="11" spans="1:15" ht="29" customHeight="1">
      <c r="A11" s="23">
        <v>46149</v>
      </c>
      <c r="B11" s="6" t="s">
        <v>275</v>
      </c>
      <c r="C11" s="6" t="s">
        <v>87</v>
      </c>
      <c r="D11" s="6" t="s">
        <v>87</v>
      </c>
      <c r="E11" s="6" t="s">
        <v>87</v>
      </c>
      <c r="F11" s="6" t="s">
        <v>58</v>
      </c>
      <c r="G11" s="6" t="s">
        <v>58</v>
      </c>
      <c r="H11" s="66" t="s">
        <v>1134</v>
      </c>
      <c r="I11" s="6">
        <v>10</v>
      </c>
      <c r="J11" s="19">
        <f>IF(A11="","",SUMIF('12_Gastos'!A:A,A11,'12_Gastos'!D:D))</f>
        <v>231720</v>
      </c>
      <c r="K11" s="6" t="str">
        <f t="shared" si="0"/>
        <v>Semana 2</v>
      </c>
      <c r="L11" s="66" t="s">
        <v>1135</v>
      </c>
    </row>
    <row r="12" spans="1:15">
      <c r="A12" s="23">
        <v>46150</v>
      </c>
      <c r="B12" s="6" t="s">
        <v>263</v>
      </c>
      <c r="C12" s="6" t="s">
        <v>87</v>
      </c>
      <c r="D12" s="6" t="s">
        <v>87</v>
      </c>
      <c r="E12" s="6" t="s">
        <v>58</v>
      </c>
      <c r="F12" s="6" t="s">
        <v>58</v>
      </c>
      <c r="G12" s="6" t="s">
        <v>58</v>
      </c>
      <c r="H12" s="66" t="s">
        <v>1132</v>
      </c>
      <c r="I12" s="6">
        <v>10</v>
      </c>
      <c r="J12" s="19">
        <f>IF(A12="","",SUMIF('12_Gastos'!A:A,A12,'12_Gastos'!D:D))</f>
        <v>29100</v>
      </c>
      <c r="K12" s="6" t="str">
        <f t="shared" si="0"/>
        <v>Semana 2</v>
      </c>
      <c r="L12" s="66" t="s">
        <v>1136</v>
      </c>
    </row>
    <row r="13" spans="1:15">
      <c r="A13" s="23">
        <v>46151</v>
      </c>
      <c r="B13" s="6" t="s">
        <v>263</v>
      </c>
      <c r="C13" s="6" t="s">
        <v>87</v>
      </c>
      <c r="D13" s="6" t="s">
        <v>87</v>
      </c>
      <c r="E13" s="6" t="s">
        <v>58</v>
      </c>
      <c r="F13" s="6" t="s">
        <v>58</v>
      </c>
      <c r="G13" s="6" t="s">
        <v>58</v>
      </c>
      <c r="H13" s="66" t="s">
        <v>1132</v>
      </c>
      <c r="I13" s="6">
        <v>10</v>
      </c>
      <c r="J13" s="19">
        <f>IF(A13="","",SUMIF('12_Gastos'!A:A,A13,'12_Gastos'!D:D))</f>
        <v>5000</v>
      </c>
      <c r="K13" s="6" t="str">
        <f t="shared" si="0"/>
        <v>Semana 2</v>
      </c>
      <c r="L13" s="66" t="s">
        <v>1136</v>
      </c>
    </row>
    <row r="14" spans="1:15">
      <c r="A14" s="23">
        <v>46152</v>
      </c>
      <c r="B14" s="6" t="s">
        <v>263</v>
      </c>
      <c r="C14" s="6" t="s">
        <v>87</v>
      </c>
      <c r="D14" s="6" t="s">
        <v>87</v>
      </c>
      <c r="E14" s="6" t="s">
        <v>87</v>
      </c>
      <c r="F14" s="6" t="s">
        <v>58</v>
      </c>
      <c r="G14" s="6" t="s">
        <v>58</v>
      </c>
      <c r="H14" s="66" t="s">
        <v>1132</v>
      </c>
      <c r="I14" s="6">
        <v>10</v>
      </c>
      <c r="J14" s="19">
        <f>IF(A14="","",SUMIF('12_Gastos'!A:A,A14,'12_Gastos'!D:D))</f>
        <v>18000</v>
      </c>
      <c r="K14" s="6" t="str">
        <f t="shared" si="0"/>
        <v>Semana 2</v>
      </c>
      <c r="L14" s="66" t="s">
        <v>1137</v>
      </c>
    </row>
    <row r="15" spans="1:15">
      <c r="A15" s="23">
        <v>46153</v>
      </c>
      <c r="B15" s="6" t="s">
        <v>263</v>
      </c>
      <c r="C15" s="6" t="s">
        <v>87</v>
      </c>
      <c r="D15" s="6" t="s">
        <v>87</v>
      </c>
      <c r="E15" s="6" t="s">
        <v>58</v>
      </c>
      <c r="F15" s="6" t="s">
        <v>58</v>
      </c>
      <c r="G15" s="6" t="s">
        <v>58</v>
      </c>
      <c r="H15" s="66" t="s">
        <v>1132</v>
      </c>
      <c r="I15" s="6">
        <v>10</v>
      </c>
      <c r="J15" s="19">
        <f>IF(A15="","",SUMIF('12_Gastos'!A:A,A15,'12_Gastos'!D:D))</f>
        <v>37225</v>
      </c>
      <c r="K15" s="6" t="str">
        <f t="shared" si="0"/>
        <v>Semana 3</v>
      </c>
      <c r="L15" s="66" t="s">
        <v>1136</v>
      </c>
    </row>
    <row r="16" spans="1:15">
      <c r="A16" s="23">
        <v>46154</v>
      </c>
      <c r="B16" s="6" t="s">
        <v>275</v>
      </c>
      <c r="C16" s="6" t="s">
        <v>87</v>
      </c>
      <c r="D16" s="6" t="s">
        <v>58</v>
      </c>
      <c r="E16" s="6" t="s">
        <v>58</v>
      </c>
      <c r="F16" s="6" t="s">
        <v>58</v>
      </c>
      <c r="G16" s="6" t="s">
        <v>58</v>
      </c>
      <c r="H16" s="66" t="s">
        <v>1138</v>
      </c>
      <c r="I16" s="6">
        <v>10</v>
      </c>
      <c r="J16" s="19">
        <f>IF(A16="","",SUMIF('12_Gastos'!A:A,A16,'12_Gastos'!D:D))</f>
        <v>13169</v>
      </c>
      <c r="K16" s="6" t="str">
        <f t="shared" si="0"/>
        <v>Semana 3</v>
      </c>
      <c r="L16" s="66" t="s">
        <v>1139</v>
      </c>
    </row>
    <row r="17" spans="1:12">
      <c r="A17" s="23">
        <v>46155</v>
      </c>
      <c r="B17" s="6" t="s">
        <v>275</v>
      </c>
      <c r="C17" s="6" t="s">
        <v>87</v>
      </c>
      <c r="D17" s="6" t="s">
        <v>58</v>
      </c>
      <c r="E17" s="6" t="s">
        <v>58</v>
      </c>
      <c r="F17" s="6" t="s">
        <v>58</v>
      </c>
      <c r="G17" s="6" t="s">
        <v>58</v>
      </c>
      <c r="H17" s="66" t="s">
        <v>1138</v>
      </c>
      <c r="I17" s="6">
        <v>10</v>
      </c>
      <c r="J17" s="19">
        <f>IF(A17="","",SUMIF('12_Gastos'!A:A,A17,'12_Gastos'!D:D))</f>
        <v>9310</v>
      </c>
      <c r="K17" s="6" t="str">
        <f t="shared" si="0"/>
        <v>Semana 3</v>
      </c>
      <c r="L17" s="66" t="s">
        <v>1139</v>
      </c>
    </row>
    <row r="18" spans="1:12">
      <c r="A18" s="23">
        <v>46156</v>
      </c>
      <c r="B18" s="6" t="s">
        <v>275</v>
      </c>
      <c r="C18" s="6" t="s">
        <v>87</v>
      </c>
      <c r="D18" s="6" t="s">
        <v>87</v>
      </c>
      <c r="E18" s="6" t="s">
        <v>58</v>
      </c>
      <c r="F18" s="6" t="s">
        <v>58</v>
      </c>
      <c r="G18" s="6" t="s">
        <v>58</v>
      </c>
      <c r="H18" s="66" t="s">
        <v>1140</v>
      </c>
      <c r="I18" s="6">
        <v>10</v>
      </c>
      <c r="J18" s="19">
        <f>IF(A18="","",SUMIF('12_Gastos'!A:A,A18,'12_Gastos'!D:D))</f>
        <v>15619</v>
      </c>
      <c r="K18" s="6" t="str">
        <f t="shared" si="0"/>
        <v>Semana 3</v>
      </c>
      <c r="L18" s="66" t="s">
        <v>1141</v>
      </c>
    </row>
    <row r="19" spans="1:12" ht="29" customHeight="1">
      <c r="A19" s="23">
        <v>46157</v>
      </c>
      <c r="B19" s="6" t="s">
        <v>275</v>
      </c>
      <c r="C19" s="6" t="s">
        <v>87</v>
      </c>
      <c r="D19" s="6" t="s">
        <v>87</v>
      </c>
      <c r="E19" s="6" t="s">
        <v>58</v>
      </c>
      <c r="F19" s="6" t="s">
        <v>58</v>
      </c>
      <c r="G19" s="6" t="s">
        <v>58</v>
      </c>
      <c r="H19" s="66" t="s">
        <v>1142</v>
      </c>
      <c r="I19" s="6">
        <v>10</v>
      </c>
      <c r="J19" s="19">
        <f>IF(A19="","",SUMIF('12_Gastos'!A:A,A19,'12_Gastos'!D:D))</f>
        <v>54065</v>
      </c>
      <c r="K19" s="6" t="str">
        <f t="shared" si="0"/>
        <v>Semana 3</v>
      </c>
      <c r="L19" s="66" t="s">
        <v>1143</v>
      </c>
    </row>
    <row r="20" spans="1:12" ht="29" customHeight="1">
      <c r="A20" s="23">
        <v>46158</v>
      </c>
      <c r="B20" s="6" t="s">
        <v>18</v>
      </c>
      <c r="C20" s="6" t="s">
        <v>87</v>
      </c>
      <c r="D20" s="6" t="s">
        <v>87</v>
      </c>
      <c r="E20" s="6" t="s">
        <v>87</v>
      </c>
      <c r="F20" s="6" t="s">
        <v>58</v>
      </c>
      <c r="G20" s="6" t="s">
        <v>58</v>
      </c>
      <c r="H20" s="66" t="s">
        <v>1142</v>
      </c>
      <c r="I20" s="6">
        <v>10</v>
      </c>
      <c r="J20" s="19">
        <f>IF(A20="","",SUMIF('12_Gastos'!A:A,A20,'12_Gastos'!D:D))</f>
        <v>92910</v>
      </c>
      <c r="K20" s="6" t="str">
        <f t="shared" si="0"/>
        <v>Semana 3</v>
      </c>
      <c r="L20" s="66" t="s">
        <v>1144</v>
      </c>
    </row>
    <row r="21" spans="1:12">
      <c r="A21" s="23">
        <v>46159</v>
      </c>
      <c r="B21" s="6" t="s">
        <v>18</v>
      </c>
      <c r="C21" s="6" t="s">
        <v>87</v>
      </c>
      <c r="D21" s="6" t="s">
        <v>87</v>
      </c>
      <c r="E21" s="6" t="s">
        <v>87</v>
      </c>
      <c r="F21" s="6" t="s">
        <v>58</v>
      </c>
      <c r="G21" s="6" t="s">
        <v>58</v>
      </c>
      <c r="H21" s="66" t="s">
        <v>1134</v>
      </c>
      <c r="I21" s="6">
        <v>10</v>
      </c>
      <c r="J21" s="19">
        <f>IF(A21="","",SUMIF('12_Gastos'!A:A,A21,'12_Gastos'!D:D))</f>
        <v>850</v>
      </c>
      <c r="K21" s="6" t="str">
        <f t="shared" si="0"/>
        <v>Semana 3</v>
      </c>
      <c r="L21" s="66" t="s">
        <v>1145</v>
      </c>
    </row>
    <row r="22" spans="1:12">
      <c r="A22" s="23">
        <v>46160</v>
      </c>
      <c r="B22" s="6" t="s">
        <v>18</v>
      </c>
      <c r="C22" s="6" t="s">
        <v>87</v>
      </c>
      <c r="D22" s="6" t="s">
        <v>87</v>
      </c>
      <c r="E22" s="6" t="s">
        <v>58</v>
      </c>
      <c r="F22" s="6" t="s">
        <v>58</v>
      </c>
      <c r="G22" s="6" t="s">
        <v>58</v>
      </c>
      <c r="H22" s="66" t="s">
        <v>1138</v>
      </c>
      <c r="I22" s="6">
        <v>10</v>
      </c>
      <c r="J22" s="19">
        <f>IF(A22="","",SUMIF('12_Gastos'!A:A,A22,'12_Gastos'!D:D))</f>
        <v>6277</v>
      </c>
      <c r="K22" s="6" t="str">
        <f t="shared" si="0"/>
        <v>Semana 4</v>
      </c>
      <c r="L22" s="66" t="s">
        <v>1139</v>
      </c>
    </row>
    <row r="23" spans="1:12">
      <c r="A23" s="23">
        <v>46161</v>
      </c>
      <c r="B23" s="6" t="s">
        <v>18</v>
      </c>
      <c r="C23" s="6" t="s">
        <v>87</v>
      </c>
      <c r="D23" s="6" t="s">
        <v>87</v>
      </c>
      <c r="E23" s="6" t="s">
        <v>58</v>
      </c>
      <c r="F23" s="6" t="s">
        <v>58</v>
      </c>
      <c r="G23" s="6" t="s">
        <v>58</v>
      </c>
      <c r="H23" s="66" t="s">
        <v>1138</v>
      </c>
      <c r="I23" s="6">
        <v>10</v>
      </c>
      <c r="J23" s="19">
        <f>IF(A23="","",SUMIF('12_Gastos'!A:A,A23,'12_Gastos'!D:D))</f>
        <v>0</v>
      </c>
      <c r="K23" s="6" t="str">
        <f t="shared" si="0"/>
        <v>Semana 4</v>
      </c>
      <c r="L23" s="66" t="s">
        <v>1139</v>
      </c>
    </row>
    <row r="24" spans="1:12">
      <c r="A24" s="23">
        <v>46162</v>
      </c>
      <c r="B24" s="6" t="s">
        <v>275</v>
      </c>
      <c r="C24" s="6" t="s">
        <v>87</v>
      </c>
      <c r="D24" s="6" t="s">
        <v>58</v>
      </c>
      <c r="E24" s="6" t="s">
        <v>58</v>
      </c>
      <c r="F24" s="6" t="s">
        <v>58</v>
      </c>
      <c r="G24" s="6" t="s">
        <v>58</v>
      </c>
      <c r="H24" s="66" t="s">
        <v>1138</v>
      </c>
      <c r="I24" s="6">
        <v>10</v>
      </c>
      <c r="J24" s="19">
        <f>IF(A24="","",SUMIF('12_Gastos'!A:A,A24,'12_Gastos'!D:D))</f>
        <v>42609</v>
      </c>
      <c r="K24" s="6" t="str">
        <f t="shared" si="0"/>
        <v>Semana 4</v>
      </c>
      <c r="L24" s="66" t="s">
        <v>1139</v>
      </c>
    </row>
    <row r="25" spans="1:12">
      <c r="A25" s="23">
        <v>46163</v>
      </c>
      <c r="B25" s="6" t="s">
        <v>275</v>
      </c>
      <c r="C25" s="66" t="s">
        <v>87</v>
      </c>
      <c r="D25" s="6" t="s">
        <v>87</v>
      </c>
      <c r="E25" s="6" t="s">
        <v>87</v>
      </c>
      <c r="F25" s="6" t="s">
        <v>58</v>
      </c>
      <c r="G25" s="6" t="s">
        <v>58</v>
      </c>
      <c r="H25" s="66" t="s">
        <v>1140</v>
      </c>
      <c r="I25" s="6">
        <v>10</v>
      </c>
      <c r="J25" s="19">
        <f>IF(A25="","",SUMIF('12_Gastos'!A:A,A25,'12_Gastos'!D:D))</f>
        <v>16380</v>
      </c>
      <c r="K25" s="6" t="str">
        <f t="shared" si="0"/>
        <v>Semana 4</v>
      </c>
      <c r="L25" s="66" t="s">
        <v>1146</v>
      </c>
    </row>
    <row r="26" spans="1:12">
      <c r="A26" s="23">
        <v>46164</v>
      </c>
      <c r="B26" s="6" t="s">
        <v>275</v>
      </c>
      <c r="C26" s="6" t="s">
        <v>87</v>
      </c>
      <c r="D26" s="6" t="s">
        <v>87</v>
      </c>
      <c r="E26" s="6" t="s">
        <v>87</v>
      </c>
      <c r="F26" s="6" t="s">
        <v>58</v>
      </c>
      <c r="G26" s="6" t="s">
        <v>58</v>
      </c>
      <c r="H26" s="66" t="s">
        <v>1140</v>
      </c>
      <c r="I26" s="6">
        <v>10</v>
      </c>
      <c r="J26" s="19">
        <f>IF(A26="","",SUMIF('12_Gastos'!A:A,A26,'12_Gastos'!D:D))</f>
        <v>0</v>
      </c>
      <c r="K26" s="6" t="str">
        <f t="shared" si="0"/>
        <v>Semana 4</v>
      </c>
      <c r="L26" s="66" t="s">
        <v>1146</v>
      </c>
    </row>
    <row r="27" spans="1:12">
      <c r="A27" s="23">
        <v>46165</v>
      </c>
      <c r="B27" s="6" t="s">
        <v>275</v>
      </c>
      <c r="C27" s="6" t="s">
        <v>87</v>
      </c>
      <c r="D27" s="6" t="s">
        <v>58</v>
      </c>
      <c r="E27" s="6" t="s">
        <v>87</v>
      </c>
      <c r="F27" s="6" t="s">
        <v>58</v>
      </c>
      <c r="G27" s="6" t="s">
        <v>58</v>
      </c>
      <c r="H27" s="66" t="s">
        <v>1147</v>
      </c>
      <c r="I27" s="6">
        <v>10</v>
      </c>
      <c r="J27" s="19">
        <f>IF(A27="","",SUMIF('12_Gastos'!A:A,A27,'12_Gastos'!D:D))</f>
        <v>0</v>
      </c>
      <c r="K27" s="6" t="str">
        <f t="shared" si="0"/>
        <v>Semana 4</v>
      </c>
      <c r="L27" s="66" t="s">
        <v>1148</v>
      </c>
    </row>
    <row r="28" spans="1:12">
      <c r="A28" s="23">
        <v>46166</v>
      </c>
      <c r="B28" s="6" t="s">
        <v>263</v>
      </c>
      <c r="C28" s="66" t="s">
        <v>1149</v>
      </c>
      <c r="D28" s="66" t="s">
        <v>1149</v>
      </c>
      <c r="E28" s="6" t="s">
        <v>58</v>
      </c>
      <c r="F28" s="6" t="s">
        <v>58</v>
      </c>
      <c r="G28" s="6" t="s">
        <v>58</v>
      </c>
      <c r="H28" s="66" t="s">
        <v>1150</v>
      </c>
      <c r="I28" s="6">
        <v>10</v>
      </c>
      <c r="J28" s="19">
        <f>IF(A28="","",SUMIF('12_Gastos'!A:A,A28,'12_Gastos'!D:D))</f>
        <v>0</v>
      </c>
      <c r="K28" s="6" t="str">
        <f t="shared" si="0"/>
        <v>Semana 4</v>
      </c>
      <c r="L28" s="66" t="s">
        <v>1150</v>
      </c>
    </row>
    <row r="29" spans="1:12">
      <c r="A29" s="23">
        <v>46167</v>
      </c>
      <c r="B29" s="6" t="s">
        <v>263</v>
      </c>
      <c r="C29" s="6" t="s">
        <v>87</v>
      </c>
      <c r="D29" s="6" t="s">
        <v>87</v>
      </c>
      <c r="E29" s="6" t="s">
        <v>58</v>
      </c>
      <c r="F29" s="6" t="s">
        <v>58</v>
      </c>
      <c r="G29" s="6" t="s">
        <v>58</v>
      </c>
      <c r="H29" s="66" t="s">
        <v>1150</v>
      </c>
      <c r="I29" s="6">
        <v>10</v>
      </c>
      <c r="J29" s="19">
        <f>IF(A29="","",SUMIF('12_Gastos'!A:A,A29,'12_Gastos'!D:D))</f>
        <v>64421</v>
      </c>
      <c r="K29" s="6" t="str">
        <f t="shared" si="0"/>
        <v>Semana 5</v>
      </c>
      <c r="L29" s="66" t="s">
        <v>1150</v>
      </c>
    </row>
    <row r="30" spans="1:12">
      <c r="A30" s="23">
        <v>46168</v>
      </c>
      <c r="B30" s="6" t="s">
        <v>263</v>
      </c>
      <c r="C30" s="6" t="s">
        <v>87</v>
      </c>
      <c r="D30" s="6" t="s">
        <v>87</v>
      </c>
      <c r="E30" s="6" t="s">
        <v>58</v>
      </c>
      <c r="F30" s="6" t="s">
        <v>58</v>
      </c>
      <c r="G30" s="6" t="s">
        <v>58</v>
      </c>
      <c r="H30" s="66" t="s">
        <v>1150</v>
      </c>
      <c r="I30" s="6">
        <v>10</v>
      </c>
      <c r="J30" s="19">
        <f>IF(A30="","",SUMIF('12_Gastos'!A:A,A30,'12_Gastos'!D:D))</f>
        <v>0</v>
      </c>
      <c r="K30" s="6" t="str">
        <f t="shared" si="0"/>
        <v>Semana 5</v>
      </c>
      <c r="L30" s="66" t="s">
        <v>1150</v>
      </c>
    </row>
    <row r="31" spans="1:12">
      <c r="A31" s="23">
        <v>46169</v>
      </c>
      <c r="B31" s="6" t="s">
        <v>263</v>
      </c>
      <c r="C31" s="66" t="s">
        <v>1149</v>
      </c>
      <c r="D31" s="6" t="s">
        <v>58</v>
      </c>
      <c r="E31" s="6" t="s">
        <v>58</v>
      </c>
      <c r="F31" s="6" t="s">
        <v>58</v>
      </c>
      <c r="G31" s="6" t="s">
        <v>58</v>
      </c>
      <c r="H31" s="66" t="s">
        <v>1150</v>
      </c>
      <c r="I31" s="6">
        <v>10</v>
      </c>
      <c r="J31" s="19">
        <f>IF(A31="","",SUMIF('12_Gastos'!A:A,A31,'12_Gastos'!D:D))</f>
        <v>1700</v>
      </c>
      <c r="K31" s="6" t="str">
        <f t="shared" si="0"/>
        <v>Semana 5</v>
      </c>
      <c r="L31" s="66" t="s">
        <v>1150</v>
      </c>
    </row>
    <row r="32" spans="1:12">
      <c r="A32" s="23">
        <v>46170</v>
      </c>
      <c r="B32" s="6" t="s">
        <v>275</v>
      </c>
      <c r="C32" s="6" t="s">
        <v>87</v>
      </c>
      <c r="D32" s="6" t="s">
        <v>58</v>
      </c>
      <c r="E32" s="6" t="s">
        <v>58</v>
      </c>
      <c r="F32" s="6" t="s">
        <v>58</v>
      </c>
      <c r="G32" s="6" t="s">
        <v>58</v>
      </c>
      <c r="H32" s="66" t="s">
        <v>1151</v>
      </c>
      <c r="I32" s="6">
        <v>10</v>
      </c>
      <c r="J32" s="19">
        <f>IF(A32="","",SUMIF('12_Gastos'!A:A,A32,'12_Gastos'!D:D))</f>
        <v>0</v>
      </c>
      <c r="K32" s="6" t="str">
        <f t="shared" si="0"/>
        <v>Semana 5</v>
      </c>
      <c r="L32" s="66" t="s">
        <v>1152</v>
      </c>
    </row>
    <row r="33" spans="1:12">
      <c r="A33" s="23">
        <v>46171</v>
      </c>
      <c r="B33" s="6" t="s">
        <v>275</v>
      </c>
      <c r="C33" s="6" t="s">
        <v>87</v>
      </c>
      <c r="D33" s="6" t="s">
        <v>58</v>
      </c>
      <c r="E33" s="6" t="s">
        <v>58</v>
      </c>
      <c r="F33" s="6" t="s">
        <v>58</v>
      </c>
      <c r="G33" s="6" t="s">
        <v>58</v>
      </c>
      <c r="H33" s="66" t="s">
        <v>1151</v>
      </c>
      <c r="I33" s="6">
        <v>8</v>
      </c>
      <c r="J33" s="19">
        <f>IF(A33="","",SUMIF('12_Gastos'!A:A,A33,'12_Gastos'!D:D))</f>
        <v>0</v>
      </c>
      <c r="K33" s="6" t="str">
        <f t="shared" si="0"/>
        <v>Semana 5</v>
      </c>
      <c r="L33" s="66" t="s">
        <v>1152</v>
      </c>
    </row>
    <row r="34" spans="1:12">
      <c r="A34" s="23">
        <v>46172</v>
      </c>
      <c r="B34" s="6" t="s">
        <v>275</v>
      </c>
      <c r="C34" s="6" t="s">
        <v>87</v>
      </c>
      <c r="D34" s="6" t="s">
        <v>58</v>
      </c>
      <c r="E34" s="6" t="s">
        <v>58</v>
      </c>
      <c r="F34" s="6" t="s">
        <v>58</v>
      </c>
      <c r="G34" s="6" t="s">
        <v>58</v>
      </c>
      <c r="H34" s="66" t="s">
        <v>1151</v>
      </c>
      <c r="I34" s="6">
        <v>8</v>
      </c>
      <c r="J34" s="19">
        <f>IF(A34="","",SUMIF('12_Gastos'!A:A,A34,'12_Gastos'!D:D))</f>
        <v>0</v>
      </c>
      <c r="K34" s="6" t="str">
        <f t="shared" si="0"/>
        <v>Semana 5</v>
      </c>
      <c r="L34" s="66" t="s">
        <v>1152</v>
      </c>
    </row>
    <row r="35" spans="1:12">
      <c r="A35" s="23">
        <v>46173</v>
      </c>
      <c r="B35" s="6" t="s">
        <v>275</v>
      </c>
      <c r="C35" s="6" t="s">
        <v>87</v>
      </c>
      <c r="D35" s="6" t="s">
        <v>58</v>
      </c>
      <c r="E35" s="6" t="s">
        <v>58</v>
      </c>
      <c r="F35" s="6" t="s">
        <v>58</v>
      </c>
      <c r="G35" s="6" t="s">
        <v>58</v>
      </c>
      <c r="H35" s="66" t="s">
        <v>1151</v>
      </c>
      <c r="I35" s="6">
        <v>8</v>
      </c>
      <c r="J35" s="19">
        <f>IF(A35="","",SUMIF('12_Gastos'!A:A,A35,'12_Gastos'!D:D))</f>
        <v>0</v>
      </c>
      <c r="K35" s="6" t="str">
        <f t="shared" si="0"/>
        <v>Semana 5</v>
      </c>
      <c r="L35" s="66" t="s">
        <v>1152</v>
      </c>
    </row>
    <row r="36" spans="1:12">
      <c r="A36" s="23">
        <v>46174</v>
      </c>
      <c r="B36" s="6" t="s">
        <v>18</v>
      </c>
      <c r="C36" s="6" t="s">
        <v>87</v>
      </c>
      <c r="D36" s="6" t="s">
        <v>58</v>
      </c>
      <c r="E36" s="6" t="s">
        <v>58</v>
      </c>
      <c r="F36" s="6" t="s">
        <v>58</v>
      </c>
      <c r="G36" s="6" t="s">
        <v>58</v>
      </c>
      <c r="H36" s="66" t="s">
        <v>1151</v>
      </c>
      <c r="I36" s="6">
        <v>8</v>
      </c>
      <c r="J36" s="19">
        <f>IF(A36="","",SUMIF('12_Gastos'!A:A,A36,'12_Gastos'!D:D))</f>
        <v>275863</v>
      </c>
      <c r="K36" s="6" t="str">
        <f t="shared" si="0"/>
        <v>Semana 1</v>
      </c>
      <c r="L36" s="66" t="s">
        <v>1152</v>
      </c>
    </row>
    <row r="37" spans="1:12">
      <c r="A37" s="23">
        <v>46175</v>
      </c>
      <c r="B37" s="6" t="s">
        <v>18</v>
      </c>
      <c r="C37" s="6" t="s">
        <v>87</v>
      </c>
      <c r="D37" s="6" t="s">
        <v>58</v>
      </c>
      <c r="E37" s="6" t="s">
        <v>58</v>
      </c>
      <c r="F37" s="6" t="s">
        <v>58</v>
      </c>
      <c r="G37" s="6" t="s">
        <v>58</v>
      </c>
      <c r="H37" s="66" t="s">
        <v>1151</v>
      </c>
      <c r="I37" s="6">
        <v>8</v>
      </c>
      <c r="J37" s="19">
        <f>IF(A37="","",SUMIF('12_Gastos'!A:A,A37,'12_Gastos'!D:D))</f>
        <v>38240</v>
      </c>
      <c r="K37" s="6" t="str">
        <f t="shared" ref="K37:K55" si="1">IF(A37="","", "Semana "&amp;(WEEKNUM(A37,2)-WEEKNUM(DATE(YEAR(A37),MONTH(A37),1),2)+1))</f>
        <v>Semana 1</v>
      </c>
      <c r="L37" s="66" t="s">
        <v>1152</v>
      </c>
    </row>
    <row r="38" spans="1:12">
      <c r="A38" s="23">
        <v>46176</v>
      </c>
      <c r="B38" s="6" t="s">
        <v>18</v>
      </c>
      <c r="C38" s="6" t="s">
        <v>87</v>
      </c>
      <c r="D38" s="6" t="s">
        <v>58</v>
      </c>
      <c r="E38" s="6" t="s">
        <v>58</v>
      </c>
      <c r="F38" s="6" t="s">
        <v>58</v>
      </c>
      <c r="G38" s="6" t="s">
        <v>58</v>
      </c>
      <c r="H38" s="66" t="s">
        <v>1151</v>
      </c>
      <c r="I38" s="6">
        <v>8</v>
      </c>
      <c r="J38" s="19">
        <f>IF(A38="","",SUMIF('12_Gastos'!A:A,A38,'12_Gastos'!D:D))</f>
        <v>8490</v>
      </c>
      <c r="K38" s="6" t="str">
        <f t="shared" si="1"/>
        <v>Semana 1</v>
      </c>
      <c r="L38" s="66" t="s">
        <v>1152</v>
      </c>
    </row>
    <row r="39" spans="1:12">
      <c r="A39" s="23">
        <v>46177</v>
      </c>
      <c r="B39" s="6" t="s">
        <v>18</v>
      </c>
      <c r="C39" s="6" t="s">
        <v>87</v>
      </c>
      <c r="D39" s="6" t="s">
        <v>58</v>
      </c>
      <c r="E39" s="6" t="s">
        <v>58</v>
      </c>
      <c r="F39" s="6" t="s">
        <v>58</v>
      </c>
      <c r="G39" s="6" t="s">
        <v>58</v>
      </c>
      <c r="H39" s="66" t="s">
        <v>1151</v>
      </c>
      <c r="I39" s="6">
        <v>8</v>
      </c>
      <c r="J39" s="19">
        <f>IF(A39="","",SUMIF('12_Gastos'!A:A,A39,'12_Gastos'!D:D))</f>
        <v>6400</v>
      </c>
      <c r="K39" s="6" t="str">
        <f t="shared" si="1"/>
        <v>Semana 1</v>
      </c>
      <c r="L39" s="66" t="s">
        <v>1152</v>
      </c>
    </row>
    <row r="40" spans="1:12">
      <c r="A40" s="23">
        <v>46178</v>
      </c>
      <c r="B40" s="6" t="s">
        <v>275</v>
      </c>
      <c r="C40" s="6" t="s">
        <v>87</v>
      </c>
      <c r="D40" s="6" t="s">
        <v>58</v>
      </c>
      <c r="E40" s="6" t="s">
        <v>58</v>
      </c>
      <c r="F40" s="6" t="s">
        <v>58</v>
      </c>
      <c r="G40" s="6" t="s">
        <v>58</v>
      </c>
      <c r="H40" s="66" t="s">
        <v>1151</v>
      </c>
      <c r="I40" s="6">
        <v>8</v>
      </c>
      <c r="J40" s="19">
        <f>IF(A40="","",SUMIF('12_Gastos'!A:A,A40,'12_Gastos'!D:D))</f>
        <v>111230</v>
      </c>
      <c r="K40" s="6" t="str">
        <f t="shared" si="1"/>
        <v>Semana 1</v>
      </c>
      <c r="L40" s="66" t="s">
        <v>1152</v>
      </c>
    </row>
    <row r="41" spans="1:12">
      <c r="A41" s="23">
        <v>46179</v>
      </c>
      <c r="B41" s="6" t="s">
        <v>275</v>
      </c>
      <c r="C41" s="6" t="s">
        <v>87</v>
      </c>
      <c r="D41" s="6" t="s">
        <v>58</v>
      </c>
      <c r="E41" s="6" t="s">
        <v>58</v>
      </c>
      <c r="F41" s="6" t="s">
        <v>58</v>
      </c>
      <c r="G41" s="6" t="s">
        <v>58</v>
      </c>
      <c r="H41" s="66" t="s">
        <v>1151</v>
      </c>
      <c r="I41" s="6">
        <v>8</v>
      </c>
      <c r="J41" s="19">
        <f>IF(A41="","",SUMIF('12_Gastos'!A:A,A41,'12_Gastos'!D:D))</f>
        <v>0</v>
      </c>
      <c r="K41" s="6" t="str">
        <f t="shared" si="1"/>
        <v>Semana 1</v>
      </c>
      <c r="L41" s="66" t="s">
        <v>1152</v>
      </c>
    </row>
    <row r="42" spans="1:12">
      <c r="A42" s="23">
        <v>46180</v>
      </c>
      <c r="B42" s="6" t="s">
        <v>275</v>
      </c>
      <c r="C42" s="6" t="s">
        <v>87</v>
      </c>
      <c r="D42" s="6" t="s">
        <v>58</v>
      </c>
      <c r="E42" s="6" t="s">
        <v>58</v>
      </c>
      <c r="F42" s="6" t="s">
        <v>58</v>
      </c>
      <c r="G42" s="6" t="s">
        <v>58</v>
      </c>
      <c r="H42" s="66" t="s">
        <v>1151</v>
      </c>
      <c r="I42" s="6">
        <v>8</v>
      </c>
      <c r="J42" s="19">
        <f>IF(A42="","",SUMIF('12_Gastos'!A:A,A42,'12_Gastos'!D:D))</f>
        <v>0</v>
      </c>
      <c r="K42" s="6" t="str">
        <f t="shared" si="1"/>
        <v>Semana 1</v>
      </c>
      <c r="L42" s="66" t="s">
        <v>1152</v>
      </c>
    </row>
    <row r="43" spans="1:12">
      <c r="A43" s="23">
        <v>46181</v>
      </c>
      <c r="B43" s="6" t="s">
        <v>263</v>
      </c>
      <c r="C43" s="6" t="s">
        <v>87</v>
      </c>
      <c r="D43" s="6" t="s">
        <v>87</v>
      </c>
      <c r="E43" s="6" t="s">
        <v>58</v>
      </c>
      <c r="F43" s="6" t="s">
        <v>58</v>
      </c>
      <c r="G43" s="6" t="s">
        <v>58</v>
      </c>
      <c r="H43" s="66" t="s">
        <v>1151</v>
      </c>
      <c r="I43" s="6">
        <v>10</v>
      </c>
      <c r="J43" s="19">
        <f>IF(A43="","",SUMIF('12_Gastos'!A:A,A43,'12_Gastos'!D:D))</f>
        <v>56560</v>
      </c>
      <c r="K43" s="6" t="str">
        <f t="shared" si="1"/>
        <v>Semana 2</v>
      </c>
      <c r="L43" s="66" t="s">
        <v>1153</v>
      </c>
    </row>
    <row r="44" spans="1:12">
      <c r="A44" s="23">
        <v>46182</v>
      </c>
      <c r="B44" s="6" t="s">
        <v>263</v>
      </c>
      <c r="C44" s="6" t="s">
        <v>87</v>
      </c>
      <c r="D44" s="6" t="s">
        <v>87</v>
      </c>
      <c r="E44" s="6" t="s">
        <v>58</v>
      </c>
      <c r="F44" s="6" t="s">
        <v>58</v>
      </c>
      <c r="G44" s="6" t="s">
        <v>58</v>
      </c>
      <c r="H44" s="66" t="s">
        <v>1151</v>
      </c>
      <c r="I44" s="6">
        <v>10</v>
      </c>
      <c r="J44" s="19">
        <f>IF(A44="","",SUMIF('12_Gastos'!A:A,A44,'12_Gastos'!D:D))</f>
        <v>0</v>
      </c>
      <c r="K44" s="6" t="str">
        <f t="shared" si="1"/>
        <v>Semana 2</v>
      </c>
      <c r="L44" s="66" t="s">
        <v>1152</v>
      </c>
    </row>
    <row r="45" spans="1:12">
      <c r="A45" s="23">
        <v>46183</v>
      </c>
      <c r="B45" s="6" t="s">
        <v>269</v>
      </c>
      <c r="C45" s="6" t="s">
        <v>87</v>
      </c>
      <c r="D45" s="6" t="s">
        <v>87</v>
      </c>
      <c r="E45" s="6" t="s">
        <v>58</v>
      </c>
      <c r="F45" s="6" t="s">
        <v>58</v>
      </c>
      <c r="G45" s="6" t="s">
        <v>58</v>
      </c>
      <c r="H45" s="66" t="s">
        <v>1151</v>
      </c>
      <c r="I45" s="6">
        <v>10</v>
      </c>
      <c r="J45" s="19">
        <f>IF(A45="","",SUMIF('12_Gastos'!A:A,A45,'12_Gastos'!D:D))</f>
        <v>0</v>
      </c>
      <c r="K45" s="6" t="str">
        <f t="shared" si="1"/>
        <v>Semana 2</v>
      </c>
      <c r="L45" s="66" t="s">
        <v>1152</v>
      </c>
    </row>
    <row r="46" spans="1:12">
      <c r="A46" s="23">
        <v>46184</v>
      </c>
      <c r="B46" s="6" t="s">
        <v>263</v>
      </c>
      <c r="C46" s="6" t="s">
        <v>87</v>
      </c>
      <c r="D46" s="6" t="s">
        <v>87</v>
      </c>
      <c r="E46" s="6" t="s">
        <v>58</v>
      </c>
      <c r="F46" s="6" t="s">
        <v>58</v>
      </c>
      <c r="G46" s="6" t="s">
        <v>58</v>
      </c>
      <c r="H46" s="66" t="s">
        <v>1151</v>
      </c>
      <c r="I46" s="6">
        <v>10</v>
      </c>
      <c r="J46" s="19">
        <f>IF(A46="","",SUMIF('12_Gastos'!A:A,A46,'12_Gastos'!D:D))</f>
        <v>0</v>
      </c>
      <c r="K46" s="6" t="str">
        <f t="shared" si="1"/>
        <v>Semana 2</v>
      </c>
      <c r="L46" s="66" t="s">
        <v>1152</v>
      </c>
    </row>
    <row r="47" spans="1:12">
      <c r="A47" s="23">
        <v>46185</v>
      </c>
      <c r="B47" s="6" t="s">
        <v>275</v>
      </c>
      <c r="C47" s="6" t="s">
        <v>87</v>
      </c>
      <c r="D47" s="6" t="s">
        <v>58</v>
      </c>
      <c r="E47" s="6" t="s">
        <v>58</v>
      </c>
      <c r="F47" s="6" t="s">
        <v>58</v>
      </c>
      <c r="G47" s="6" t="s">
        <v>58</v>
      </c>
      <c r="H47" s="66" t="s">
        <v>1151</v>
      </c>
      <c r="I47" s="6">
        <v>10</v>
      </c>
      <c r="J47" s="19">
        <f>IF(A47="","",SUMIF('12_Gastos'!A:A,A47,'12_Gastos'!D:D))</f>
        <v>0</v>
      </c>
      <c r="K47" s="6" t="str">
        <f t="shared" si="1"/>
        <v>Semana 2</v>
      </c>
      <c r="L47" s="66" t="s">
        <v>1152</v>
      </c>
    </row>
    <row r="48" spans="1:12">
      <c r="A48" s="23">
        <v>46186</v>
      </c>
      <c r="B48" s="6" t="s">
        <v>275</v>
      </c>
      <c r="C48" s="6" t="s">
        <v>87</v>
      </c>
      <c r="D48" s="6" t="s">
        <v>58</v>
      </c>
      <c r="E48" s="6" t="s">
        <v>58</v>
      </c>
      <c r="F48" s="6" t="s">
        <v>58</v>
      </c>
      <c r="G48" s="6" t="s">
        <v>58</v>
      </c>
      <c r="H48" s="66" t="s">
        <v>1151</v>
      </c>
      <c r="I48" s="6">
        <v>10</v>
      </c>
      <c r="J48" s="19">
        <f>IF(A48="","",SUMIF('12_Gastos'!A:A,A48,'12_Gastos'!D:D))</f>
        <v>0</v>
      </c>
      <c r="K48" s="6" t="str">
        <f t="shared" si="1"/>
        <v>Semana 2</v>
      </c>
      <c r="L48" s="66" t="s">
        <v>1152</v>
      </c>
    </row>
    <row r="49" spans="1:12">
      <c r="A49" s="23">
        <v>46187</v>
      </c>
      <c r="B49" s="6" t="s">
        <v>263</v>
      </c>
      <c r="C49" s="6" t="s">
        <v>87</v>
      </c>
      <c r="D49" s="6" t="s">
        <v>87</v>
      </c>
      <c r="E49" s="6" t="s">
        <v>87</v>
      </c>
      <c r="F49" s="6" t="s">
        <v>58</v>
      </c>
      <c r="G49" s="6" t="s">
        <v>58</v>
      </c>
      <c r="H49" s="66" t="s">
        <v>1151</v>
      </c>
      <c r="I49" s="6">
        <v>10</v>
      </c>
      <c r="J49" s="19">
        <f>IF(A49="","",SUMIF('12_Gastos'!A:A,A49,'12_Gastos'!D:D))</f>
        <v>14950</v>
      </c>
      <c r="K49" s="6" t="str">
        <f t="shared" si="1"/>
        <v>Semana 2</v>
      </c>
      <c r="L49" s="66" t="s">
        <v>1154</v>
      </c>
    </row>
    <row r="50" spans="1:12">
      <c r="A50" s="23">
        <v>46188</v>
      </c>
      <c r="B50" s="6" t="s">
        <v>18</v>
      </c>
      <c r="C50" s="6" t="s">
        <v>87</v>
      </c>
      <c r="D50" s="6" t="s">
        <v>87</v>
      </c>
      <c r="E50" s="6" t="s">
        <v>87</v>
      </c>
      <c r="F50" s="6" t="s">
        <v>58</v>
      </c>
      <c r="G50" s="6" t="s">
        <v>58</v>
      </c>
      <c r="H50" s="66" t="s">
        <v>1151</v>
      </c>
      <c r="I50" s="6">
        <v>10</v>
      </c>
      <c r="J50" s="19">
        <f>IF(A50="","",SUMIF('12_Gastos'!A:A,A50,'12_Gastos'!D:D))</f>
        <v>15490</v>
      </c>
      <c r="K50" s="6" t="str">
        <f t="shared" si="1"/>
        <v>Semana 3</v>
      </c>
      <c r="L50" s="66" t="s">
        <v>1155</v>
      </c>
    </row>
    <row r="51" spans="1:12" ht="29" customHeight="1">
      <c r="A51" s="23">
        <v>46189</v>
      </c>
      <c r="B51" s="6" t="s">
        <v>18</v>
      </c>
      <c r="C51" s="6" t="s">
        <v>87</v>
      </c>
      <c r="D51" s="6" t="s">
        <v>87</v>
      </c>
      <c r="E51" s="6" t="s">
        <v>87</v>
      </c>
      <c r="F51" s="6" t="s">
        <v>58</v>
      </c>
      <c r="G51" s="6" t="s">
        <v>58</v>
      </c>
      <c r="H51" s="66" t="s">
        <v>1156</v>
      </c>
      <c r="I51" s="6">
        <v>10</v>
      </c>
      <c r="J51" s="19">
        <f>IF(A51="","",SUMIF('12_Gastos'!A:A,A51,'12_Gastos'!D:D))</f>
        <v>4600</v>
      </c>
      <c r="K51" s="6" t="str">
        <f t="shared" si="1"/>
        <v>Semana 3</v>
      </c>
      <c r="L51" s="66" t="s">
        <v>1157</v>
      </c>
    </row>
    <row r="52" spans="1:12" ht="29" customHeight="1">
      <c r="A52" s="23">
        <v>46190</v>
      </c>
      <c r="B52" s="6" t="s">
        <v>18</v>
      </c>
      <c r="C52" s="6" t="s">
        <v>87</v>
      </c>
      <c r="D52" s="6" t="s">
        <v>87</v>
      </c>
      <c r="E52" s="6" t="s">
        <v>87</v>
      </c>
      <c r="F52" s="6" t="s">
        <v>58</v>
      </c>
      <c r="G52" s="6" t="s">
        <v>58</v>
      </c>
      <c r="H52" s="66" t="s">
        <v>1156</v>
      </c>
      <c r="I52" s="6">
        <v>10</v>
      </c>
      <c r="J52" s="19">
        <f>IF(A52="","",SUMIF('12_Gastos'!A:A,A52,'12_Gastos'!D:D))</f>
        <v>18910</v>
      </c>
      <c r="K52" s="6" t="str">
        <f t="shared" si="1"/>
        <v>Semana 3</v>
      </c>
      <c r="L52" s="66" t="s">
        <v>1157</v>
      </c>
    </row>
    <row r="53" spans="1:12" ht="29" customHeight="1">
      <c r="A53" s="339">
        <v>46191</v>
      </c>
      <c r="B53" s="6" t="s">
        <v>275</v>
      </c>
      <c r="C53" s="6" t="s">
        <v>87</v>
      </c>
      <c r="D53" s="6" t="s">
        <v>58</v>
      </c>
      <c r="E53" s="6" t="s">
        <v>87</v>
      </c>
      <c r="F53" s="6" t="s">
        <v>58</v>
      </c>
      <c r="G53" s="6" t="s">
        <v>87</v>
      </c>
      <c r="H53" s="340" t="s">
        <v>1158</v>
      </c>
      <c r="I53" s="6">
        <v>10</v>
      </c>
      <c r="J53" s="19"/>
      <c r="K53" s="6" t="str">
        <f t="shared" si="1"/>
        <v>Semana 3</v>
      </c>
      <c r="L53" s="340" t="s">
        <v>1159</v>
      </c>
    </row>
    <row r="54" spans="1:12">
      <c r="A54" s="339">
        <v>46192</v>
      </c>
      <c r="B54" s="6" t="s">
        <v>1106</v>
      </c>
      <c r="C54" s="6" t="s">
        <v>87</v>
      </c>
      <c r="D54" s="6" t="s">
        <v>58</v>
      </c>
      <c r="E54" s="6" t="s">
        <v>58</v>
      </c>
      <c r="F54" s="6" t="s">
        <v>58</v>
      </c>
      <c r="G54" s="6" t="s">
        <v>58</v>
      </c>
      <c r="H54" s="340" t="s">
        <v>1160</v>
      </c>
      <c r="I54" s="6">
        <v>8</v>
      </c>
      <c r="J54" s="19"/>
      <c r="K54" s="6" t="str">
        <f t="shared" si="1"/>
        <v>Semana 3</v>
      </c>
      <c r="L54" s="340" t="s">
        <v>1161</v>
      </c>
    </row>
    <row r="55" spans="1:12">
      <c r="A55" s="339">
        <v>46193</v>
      </c>
      <c r="B55" s="6" t="s">
        <v>275</v>
      </c>
      <c r="C55" s="6" t="s">
        <v>87</v>
      </c>
      <c r="D55" s="6" t="s">
        <v>58</v>
      </c>
      <c r="E55" s="6" t="s">
        <v>58</v>
      </c>
      <c r="F55" s="6" t="s">
        <v>58</v>
      </c>
      <c r="G55" s="6" t="s">
        <v>58</v>
      </c>
      <c r="H55" s="340" t="s">
        <v>1162</v>
      </c>
      <c r="I55" s="6">
        <v>7</v>
      </c>
      <c r="J55" s="19">
        <f>IF(A55="","",SUMIF('12_Gastos'!A:A,A55,'12_Gastos'!D:D))</f>
        <v>0</v>
      </c>
      <c r="K55" s="6" t="str">
        <f t="shared" si="1"/>
        <v>Semana 3</v>
      </c>
      <c r="L55" s="340" t="s">
        <v>1163</v>
      </c>
    </row>
    <row r="56" spans="1:12">
      <c r="A56" s="339">
        <v>46194</v>
      </c>
      <c r="B56" s="6" t="s">
        <v>18</v>
      </c>
      <c r="C56" s="6" t="s">
        <v>87</v>
      </c>
      <c r="D56" s="6" t="s">
        <v>87</v>
      </c>
      <c r="E56" s="6" t="s">
        <v>87</v>
      </c>
      <c r="F56" s="6" t="s">
        <v>58</v>
      </c>
      <c r="G56" s="6" t="s">
        <v>58</v>
      </c>
      <c r="H56" s="340" t="s">
        <v>1164</v>
      </c>
      <c r="I56" s="6">
        <v>5</v>
      </c>
      <c r="J56" s="19">
        <f>IF($A56="","",SUMIF('12_Gastos'!$A:$A,$A56,'12_Gastos'!$D:$D))</f>
        <v>202150</v>
      </c>
      <c r="K56" s="6" t="str">
        <f>IF($A56="","","Semana "&amp;(WEEKNUM($A56,2)-WEEKNUM(DATE(YEAR($A56),MONTH($A56),1),2)+1))</f>
        <v>Semana 3</v>
      </c>
      <c r="L56" s="340" t="s">
        <v>1165</v>
      </c>
    </row>
    <row r="57" spans="1:12">
      <c r="A57" s="339">
        <v>46195</v>
      </c>
      <c r="B57" s="6" t="s">
        <v>275</v>
      </c>
      <c r="C57" s="6" t="s">
        <v>87</v>
      </c>
      <c r="D57" s="6" t="s">
        <v>58</v>
      </c>
      <c r="E57" s="6" t="s">
        <v>87</v>
      </c>
      <c r="F57" s="6" t="s">
        <v>87</v>
      </c>
      <c r="G57" s="6" t="s">
        <v>58</v>
      </c>
      <c r="H57" s="341" t="s">
        <v>1166</v>
      </c>
      <c r="I57" s="6">
        <v>10</v>
      </c>
      <c r="J57" s="19">
        <f>IF(A56="","",SUMIF('12_Gastos'!A:A,A56,'12_Gastos'!D:D))</f>
        <v>202150</v>
      </c>
      <c r="K57" s="6" t="str">
        <f>IF(A56="","", "Semana "&amp;(WEEKNUM(A56,2)-WEEKNUM(DATE(YEAR(A56),MONTH(A56),1),2)+1))</f>
        <v>Semana 3</v>
      </c>
      <c r="L57" s="341" t="s">
        <v>1167</v>
      </c>
    </row>
    <row r="58" spans="1:12">
      <c r="A58" s="339">
        <v>46196</v>
      </c>
      <c r="B58" s="6" t="s">
        <v>269</v>
      </c>
      <c r="C58" s="6" t="s">
        <v>87</v>
      </c>
      <c r="D58" s="6" t="s">
        <v>87</v>
      </c>
      <c r="E58" s="6" t="s">
        <v>87</v>
      </c>
      <c r="F58" s="6" t="s">
        <v>87</v>
      </c>
      <c r="G58" s="6" t="s">
        <v>87</v>
      </c>
      <c r="H58" s="66" t="s">
        <v>1168</v>
      </c>
      <c r="I58" s="6">
        <v>10</v>
      </c>
      <c r="J58" s="19">
        <f>IF(A58="","",SUMIF('12_Gastos'!A:A,A58,'12_Gastos'!D:D))</f>
        <v>2200</v>
      </c>
      <c r="K58" s="6" t="str">
        <f t="shared" ref="K58:K89" si="2">IF(A58="","", "Semana "&amp;(WEEKNUM(A58,2)-WEEKNUM(DATE(YEAR(A58),MONTH(A58),1),2)+1))</f>
        <v>Semana 4</v>
      </c>
      <c r="L58" s="66" t="s">
        <v>1169</v>
      </c>
    </row>
    <row r="59" spans="1:12">
      <c r="A59" s="23">
        <v>46197</v>
      </c>
      <c r="B59" s="6" t="s">
        <v>263</v>
      </c>
      <c r="C59" s="6" t="s">
        <v>87</v>
      </c>
      <c r="D59" s="6" t="s">
        <v>87</v>
      </c>
      <c r="E59" s="6" t="s">
        <v>58</v>
      </c>
      <c r="F59" s="6" t="s">
        <v>58</v>
      </c>
      <c r="G59" s="6" t="s">
        <v>58</v>
      </c>
      <c r="H59" s="66" t="s">
        <v>1170</v>
      </c>
      <c r="I59" s="6">
        <v>7</v>
      </c>
      <c r="J59" s="19">
        <f>IF(A59="","",SUMIF('12_Gastos'!A:A,A59,'12_Gastos'!D:D))</f>
        <v>5000</v>
      </c>
      <c r="K59" s="6" t="str">
        <f t="shared" si="2"/>
        <v>Semana 4</v>
      </c>
      <c r="L59" s="66" t="s">
        <v>1169</v>
      </c>
    </row>
    <row r="60" spans="1:12">
      <c r="A60" s="23">
        <v>46198</v>
      </c>
      <c r="B60" s="6" t="s">
        <v>18</v>
      </c>
      <c r="C60" s="6" t="s">
        <v>87</v>
      </c>
      <c r="D60" s="6" t="s">
        <v>87</v>
      </c>
      <c r="E60" s="6" t="s">
        <v>58</v>
      </c>
      <c r="F60" s="6" t="s">
        <v>58</v>
      </c>
      <c r="G60" s="6" t="s">
        <v>58</v>
      </c>
      <c r="H60" s="66" t="s">
        <v>1171</v>
      </c>
      <c r="I60" s="6">
        <v>9</v>
      </c>
      <c r="J60" s="19">
        <f>IF(A60="","",SUMIF('12_Gastos'!A:A,A60,'12_Gastos'!D:D))</f>
        <v>2400</v>
      </c>
      <c r="K60" s="6" t="str">
        <f t="shared" si="2"/>
        <v>Semana 4</v>
      </c>
      <c r="L60" s="66" t="s">
        <v>1169</v>
      </c>
    </row>
    <row r="61" spans="1:12">
      <c r="A61" s="23">
        <v>46199</v>
      </c>
      <c r="B61" s="6" t="s">
        <v>18</v>
      </c>
      <c r="C61" s="6" t="s">
        <v>87</v>
      </c>
      <c r="D61" s="6" t="s">
        <v>87</v>
      </c>
      <c r="E61" s="66" t="s">
        <v>87</v>
      </c>
      <c r="F61" s="6" t="s">
        <v>58</v>
      </c>
      <c r="G61" s="6" t="s">
        <v>58</v>
      </c>
      <c r="H61" s="66" t="s">
        <v>1171</v>
      </c>
      <c r="I61" s="6">
        <v>7</v>
      </c>
      <c r="J61" s="19">
        <f>IF(A61="","",SUMIF('12_Gastos'!A:A,A61,'12_Gastos'!D:D))</f>
        <v>4800</v>
      </c>
      <c r="K61" s="6" t="str">
        <f t="shared" si="2"/>
        <v>Semana 4</v>
      </c>
      <c r="L61" s="66" t="s">
        <v>1169</v>
      </c>
    </row>
    <row r="62" spans="1:12">
      <c r="A62" s="23">
        <v>46200</v>
      </c>
      <c r="B62" s="6" t="s">
        <v>18</v>
      </c>
      <c r="C62" s="6" t="s">
        <v>87</v>
      </c>
      <c r="D62" s="6" t="s">
        <v>87</v>
      </c>
      <c r="E62" s="6" t="s">
        <v>87</v>
      </c>
      <c r="F62" s="6" t="s">
        <v>58</v>
      </c>
      <c r="G62" s="6" t="s">
        <v>87</v>
      </c>
      <c r="H62" s="66" t="s">
        <v>1172</v>
      </c>
      <c r="I62" s="6">
        <v>10</v>
      </c>
      <c r="J62" s="19">
        <f>IF(A62="","",SUMIF('12_Gastos'!A:A,A62,'12_Gastos'!D:D))</f>
        <v>13400</v>
      </c>
      <c r="K62" s="6" t="str">
        <f t="shared" si="2"/>
        <v>Semana 4</v>
      </c>
      <c r="L62" s="66" t="s">
        <v>1169</v>
      </c>
    </row>
    <row r="63" spans="1:12">
      <c r="A63" s="23">
        <v>46201</v>
      </c>
      <c r="B63" s="6" t="s">
        <v>275</v>
      </c>
      <c r="C63" s="6" t="s">
        <v>87</v>
      </c>
      <c r="D63" s="6" t="s">
        <v>87</v>
      </c>
      <c r="E63" s="6" t="s">
        <v>87</v>
      </c>
      <c r="F63" s="6" t="s">
        <v>58</v>
      </c>
      <c r="G63" s="6" t="s">
        <v>58</v>
      </c>
      <c r="H63" s="66" t="s">
        <v>1147</v>
      </c>
      <c r="I63" s="6">
        <v>10</v>
      </c>
      <c r="J63" s="19">
        <f>IF(A63="","",SUMIF('12_Gastos'!A:A,A63,'12_Gastos'!D:D))</f>
        <v>800</v>
      </c>
      <c r="K63" s="6" t="str">
        <f t="shared" si="2"/>
        <v>Semana 4</v>
      </c>
      <c r="L63" s="66" t="s">
        <v>1169</v>
      </c>
    </row>
    <row r="64" spans="1:12">
      <c r="A64" s="23">
        <v>46202</v>
      </c>
      <c r="B64" s="6" t="s">
        <v>275</v>
      </c>
      <c r="C64" s="6" t="s">
        <v>87</v>
      </c>
      <c r="D64" s="6" t="s">
        <v>87</v>
      </c>
      <c r="E64" s="6" t="s">
        <v>87</v>
      </c>
      <c r="F64" s="6" t="s">
        <v>87</v>
      </c>
      <c r="G64" s="6" t="s">
        <v>87</v>
      </c>
      <c r="H64" s="66" t="s">
        <v>1173</v>
      </c>
      <c r="I64" s="6">
        <v>10</v>
      </c>
      <c r="J64" s="19">
        <f>IF(A64="","",SUMIF('12_Gastos'!A:A,A64,'12_Gastos'!D:D))</f>
        <v>3100</v>
      </c>
      <c r="K64" s="6" t="str">
        <f t="shared" si="2"/>
        <v>Semana 5</v>
      </c>
      <c r="L64" s="66" t="s">
        <v>1169</v>
      </c>
    </row>
    <row r="65" spans="1:12">
      <c r="A65" s="23"/>
      <c r="B65" s="6"/>
      <c r="C65" s="6"/>
      <c r="D65" s="6"/>
      <c r="E65" s="6"/>
      <c r="F65" s="6"/>
      <c r="G65" s="6"/>
      <c r="H65" s="6"/>
      <c r="I65" s="6"/>
      <c r="J65" s="19" t="str">
        <f>IF(A65="","",SUMIF('12_Gastos'!A:A,A65,'12_Gastos'!D:D))</f>
        <v/>
      </c>
      <c r="K65" s="6" t="str">
        <f t="shared" si="2"/>
        <v/>
      </c>
      <c r="L65" s="6"/>
    </row>
    <row r="66" spans="1:12">
      <c r="A66" s="23"/>
      <c r="B66" s="6"/>
      <c r="C66" s="6"/>
      <c r="D66" s="6"/>
      <c r="E66" s="6"/>
      <c r="F66" s="6"/>
      <c r="G66" s="6"/>
      <c r="H66" s="6"/>
      <c r="I66" s="6"/>
      <c r="J66" s="19" t="str">
        <f>IF(A66="","",SUMIF('12_Gastos'!A:A,A66,'12_Gastos'!D:D))</f>
        <v/>
      </c>
      <c r="K66" s="6" t="str">
        <f t="shared" si="2"/>
        <v/>
      </c>
      <c r="L66" s="6"/>
    </row>
    <row r="67" spans="1:12">
      <c r="A67" s="23"/>
      <c r="B67" s="6"/>
      <c r="C67" s="6"/>
      <c r="D67" s="6"/>
      <c r="E67" s="6"/>
      <c r="F67" s="6"/>
      <c r="G67" s="6"/>
      <c r="H67" s="6"/>
      <c r="I67" s="6"/>
      <c r="J67" s="19" t="str">
        <f>IF(A67="","",SUMIF('12_Gastos'!A:A,A67,'12_Gastos'!D:D))</f>
        <v/>
      </c>
      <c r="K67" s="6" t="str">
        <f t="shared" si="2"/>
        <v/>
      </c>
      <c r="L67" s="6"/>
    </row>
    <row r="68" spans="1:12">
      <c r="A68" s="23"/>
      <c r="B68" s="6"/>
      <c r="C68" s="6"/>
      <c r="D68" s="6"/>
      <c r="E68" s="6"/>
      <c r="F68" s="6"/>
      <c r="G68" s="6"/>
      <c r="H68" s="6"/>
      <c r="I68" s="6"/>
      <c r="J68" s="19" t="str">
        <f>IF(A68="","",SUMIF('12_Gastos'!A:A,A68,'12_Gastos'!D:D))</f>
        <v/>
      </c>
      <c r="K68" s="6" t="str">
        <f t="shared" si="2"/>
        <v/>
      </c>
      <c r="L68" s="6"/>
    </row>
    <row r="69" spans="1:12">
      <c r="A69" s="23"/>
      <c r="B69" s="6"/>
      <c r="C69" s="6"/>
      <c r="D69" s="6"/>
      <c r="E69" s="6"/>
      <c r="F69" s="6"/>
      <c r="G69" s="6"/>
      <c r="H69" s="6"/>
      <c r="I69" s="6"/>
      <c r="J69" s="19" t="str">
        <f>IF(A69="","",SUMIF('12_Gastos'!A:A,A69,'12_Gastos'!D:D))</f>
        <v/>
      </c>
      <c r="K69" s="6" t="str">
        <f t="shared" si="2"/>
        <v/>
      </c>
      <c r="L69" s="6"/>
    </row>
    <row r="70" spans="1:12">
      <c r="A70" s="23"/>
      <c r="B70" s="6"/>
      <c r="C70" s="6"/>
      <c r="D70" s="6"/>
      <c r="E70" s="6"/>
      <c r="F70" s="6"/>
      <c r="G70" s="6"/>
      <c r="H70" s="6"/>
      <c r="I70" s="6"/>
      <c r="J70" s="19" t="str">
        <f>IF(A70="","",SUMIF('12_Gastos'!A:A,A70,'12_Gastos'!D:D))</f>
        <v/>
      </c>
      <c r="K70" s="6" t="str">
        <f t="shared" si="2"/>
        <v/>
      </c>
      <c r="L70" s="6"/>
    </row>
    <row r="71" spans="1:12">
      <c r="A71" s="23"/>
      <c r="B71" s="6"/>
      <c r="C71" s="6"/>
      <c r="D71" s="6"/>
      <c r="E71" s="6"/>
      <c r="F71" s="6"/>
      <c r="G71" s="6"/>
      <c r="H71" s="6"/>
      <c r="I71" s="6"/>
      <c r="J71" s="19" t="str">
        <f>IF(A71="","",SUMIF('12_Gastos'!A:A,A71,'12_Gastos'!D:D))</f>
        <v/>
      </c>
      <c r="K71" s="6" t="str">
        <f t="shared" si="2"/>
        <v/>
      </c>
      <c r="L71" s="6"/>
    </row>
    <row r="72" spans="1:12">
      <c r="A72" s="23"/>
      <c r="B72" s="6"/>
      <c r="C72" s="6"/>
      <c r="D72" s="6"/>
      <c r="E72" s="6"/>
      <c r="F72" s="6"/>
      <c r="G72" s="6"/>
      <c r="H72" s="6"/>
      <c r="I72" s="6"/>
      <c r="J72" s="19" t="str">
        <f>IF(A72="","",SUMIF('12_Gastos'!A:A,A72,'12_Gastos'!D:D))</f>
        <v/>
      </c>
      <c r="K72" s="6" t="str">
        <f t="shared" si="2"/>
        <v/>
      </c>
      <c r="L72" s="6"/>
    </row>
    <row r="73" spans="1:12">
      <c r="A73" s="23"/>
      <c r="B73" s="6"/>
      <c r="C73" s="6"/>
      <c r="D73" s="6"/>
      <c r="E73" s="6"/>
      <c r="F73" s="6"/>
      <c r="G73" s="6"/>
      <c r="H73" s="6"/>
      <c r="I73" s="6"/>
      <c r="J73" s="19" t="str">
        <f>IF(A73="","",SUMIF('12_Gastos'!A:A,A73,'12_Gastos'!D:D))</f>
        <v/>
      </c>
      <c r="K73" s="6" t="str">
        <f t="shared" si="2"/>
        <v/>
      </c>
      <c r="L73" s="6"/>
    </row>
    <row r="74" spans="1:12">
      <c r="A74" s="23"/>
      <c r="B74" s="6"/>
      <c r="C74" s="6"/>
      <c r="D74" s="6"/>
      <c r="E74" s="6"/>
      <c r="F74" s="6"/>
      <c r="G74" s="6"/>
      <c r="H74" s="6"/>
      <c r="I74" s="6"/>
      <c r="J74" s="19" t="str">
        <f>IF(A74="","",SUMIF('12_Gastos'!A:A,A74,'12_Gastos'!D:D))</f>
        <v/>
      </c>
      <c r="K74" s="6" t="str">
        <f t="shared" si="2"/>
        <v/>
      </c>
      <c r="L74" s="6"/>
    </row>
    <row r="75" spans="1:12">
      <c r="A75" s="23"/>
      <c r="B75" s="6"/>
      <c r="C75" s="6"/>
      <c r="D75" s="6"/>
      <c r="E75" s="6"/>
      <c r="F75" s="6"/>
      <c r="G75" s="6"/>
      <c r="H75" s="6"/>
      <c r="I75" s="6"/>
      <c r="J75" s="19" t="str">
        <f>IF(A75="","",SUMIF('12_Gastos'!A:A,A75,'12_Gastos'!D:D))</f>
        <v/>
      </c>
      <c r="K75" s="6" t="str">
        <f t="shared" si="2"/>
        <v/>
      </c>
      <c r="L75" s="6"/>
    </row>
    <row r="76" spans="1:12">
      <c r="A76" s="23"/>
      <c r="B76" s="6"/>
      <c r="C76" s="6"/>
      <c r="D76" s="6"/>
      <c r="E76" s="6"/>
      <c r="F76" s="6"/>
      <c r="G76" s="6"/>
      <c r="H76" s="6"/>
      <c r="I76" s="6"/>
      <c r="J76" s="19" t="str">
        <f>IF(A76="","",SUMIF('12_Gastos'!A:A,A76,'12_Gastos'!D:D))</f>
        <v/>
      </c>
      <c r="K76" s="6" t="str">
        <f t="shared" si="2"/>
        <v/>
      </c>
      <c r="L76" s="6"/>
    </row>
    <row r="77" spans="1:12">
      <c r="A77" s="23"/>
      <c r="B77" s="6"/>
      <c r="C77" s="6"/>
      <c r="D77" s="6"/>
      <c r="E77" s="6"/>
      <c r="F77" s="6"/>
      <c r="G77" s="6"/>
      <c r="H77" s="6"/>
      <c r="I77" s="6"/>
      <c r="J77" s="19" t="str">
        <f>IF(A77="","",SUMIF('12_Gastos'!A:A,A77,'12_Gastos'!D:D))</f>
        <v/>
      </c>
      <c r="K77" s="6" t="str">
        <f t="shared" si="2"/>
        <v/>
      </c>
      <c r="L77" s="6"/>
    </row>
    <row r="78" spans="1:12">
      <c r="A78" s="23"/>
      <c r="B78" s="6"/>
      <c r="C78" s="6"/>
      <c r="D78" s="6"/>
      <c r="E78" s="6"/>
      <c r="F78" s="6"/>
      <c r="G78" s="6"/>
      <c r="H78" s="6"/>
      <c r="I78" s="6"/>
      <c r="J78" s="19" t="str">
        <f>IF(A78="","",SUMIF('12_Gastos'!A:A,A78,'12_Gastos'!D:D))</f>
        <v/>
      </c>
      <c r="K78" s="6" t="str">
        <f t="shared" si="2"/>
        <v/>
      </c>
      <c r="L78" s="6"/>
    </row>
    <row r="79" spans="1:12">
      <c r="A79" s="23"/>
      <c r="B79" s="6"/>
      <c r="C79" s="6"/>
      <c r="D79" s="6"/>
      <c r="E79" s="6"/>
      <c r="F79" s="6"/>
      <c r="G79" s="6"/>
      <c r="H79" s="6"/>
      <c r="I79" s="6"/>
      <c r="J79" s="19" t="str">
        <f>IF(A79="","",SUMIF('12_Gastos'!A:A,A79,'12_Gastos'!D:D))</f>
        <v/>
      </c>
      <c r="K79" s="6" t="str">
        <f t="shared" si="2"/>
        <v/>
      </c>
      <c r="L79" s="6"/>
    </row>
    <row r="80" spans="1:12">
      <c r="A80" s="23"/>
      <c r="B80" s="6"/>
      <c r="C80" s="6"/>
      <c r="D80" s="6"/>
      <c r="E80" s="6"/>
      <c r="F80" s="6"/>
      <c r="G80" s="6"/>
      <c r="H80" s="6"/>
      <c r="I80" s="6"/>
      <c r="J80" s="19" t="str">
        <f>IF(A80="","",SUMIF('12_Gastos'!A:A,A80,'12_Gastos'!D:D))</f>
        <v/>
      </c>
      <c r="K80" s="6" t="str">
        <f t="shared" si="2"/>
        <v/>
      </c>
      <c r="L80" s="6"/>
    </row>
    <row r="81" spans="1:12">
      <c r="A81" s="23"/>
      <c r="B81" s="6"/>
      <c r="C81" s="6"/>
      <c r="D81" s="6"/>
      <c r="E81" s="6"/>
      <c r="F81" s="6"/>
      <c r="G81" s="6"/>
      <c r="H81" s="6"/>
      <c r="I81" s="6"/>
      <c r="J81" s="19" t="str">
        <f>IF(A81="","",SUMIF('12_Gastos'!A:A,A81,'12_Gastos'!D:D))</f>
        <v/>
      </c>
      <c r="K81" s="6" t="str">
        <f t="shared" si="2"/>
        <v/>
      </c>
      <c r="L81" s="6"/>
    </row>
    <row r="82" spans="1:12">
      <c r="A82" s="23"/>
      <c r="B82" s="6"/>
      <c r="C82" s="6"/>
      <c r="D82" s="6"/>
      <c r="E82" s="6"/>
      <c r="F82" s="6"/>
      <c r="G82" s="6"/>
      <c r="H82" s="6"/>
      <c r="I82" s="6"/>
      <c r="J82" s="19" t="str">
        <f>IF(A82="","",SUMIF('12_Gastos'!A:A,A82,'12_Gastos'!D:D))</f>
        <v/>
      </c>
      <c r="K82" s="6" t="str">
        <f t="shared" si="2"/>
        <v/>
      </c>
      <c r="L82" s="6"/>
    </row>
    <row r="83" spans="1:12">
      <c r="A83" s="23"/>
      <c r="B83" s="6"/>
      <c r="C83" s="6"/>
      <c r="D83" s="6"/>
      <c r="E83" s="6"/>
      <c r="F83" s="6"/>
      <c r="G83" s="6"/>
      <c r="H83" s="6"/>
      <c r="I83" s="6"/>
      <c r="J83" s="19" t="str">
        <f>IF(A83="","",SUMIF('12_Gastos'!A:A,A83,'12_Gastos'!D:D))</f>
        <v/>
      </c>
      <c r="K83" s="6" t="str">
        <f t="shared" si="2"/>
        <v/>
      </c>
      <c r="L83" s="6"/>
    </row>
    <row r="84" spans="1:12">
      <c r="A84" s="23"/>
      <c r="B84" s="6"/>
      <c r="C84" s="6"/>
      <c r="D84" s="6"/>
      <c r="E84" s="6"/>
      <c r="F84" s="6"/>
      <c r="G84" s="6"/>
      <c r="H84" s="6"/>
      <c r="I84" s="6"/>
      <c r="J84" s="19" t="str">
        <f>IF(A84="","",SUMIF('12_Gastos'!A:A,A84,'12_Gastos'!D:D))</f>
        <v/>
      </c>
      <c r="K84" s="6" t="str">
        <f t="shared" si="2"/>
        <v/>
      </c>
      <c r="L84" s="6"/>
    </row>
    <row r="85" spans="1:12">
      <c r="A85" s="23"/>
      <c r="B85" s="6"/>
      <c r="C85" s="6"/>
      <c r="D85" s="6"/>
      <c r="E85" s="6"/>
      <c r="F85" s="6"/>
      <c r="G85" s="6"/>
      <c r="H85" s="6"/>
      <c r="I85" s="6"/>
      <c r="J85" s="19" t="str">
        <f>IF(A85="","",SUMIF('12_Gastos'!A:A,A85,'12_Gastos'!D:D))</f>
        <v/>
      </c>
      <c r="K85" s="6" t="str">
        <f t="shared" si="2"/>
        <v/>
      </c>
      <c r="L85" s="6"/>
    </row>
    <row r="86" spans="1:12">
      <c r="A86" s="23"/>
      <c r="B86" s="6"/>
      <c r="C86" s="6"/>
      <c r="D86" s="6"/>
      <c r="E86" s="6"/>
      <c r="F86" s="6"/>
      <c r="G86" s="6"/>
      <c r="H86" s="6"/>
      <c r="I86" s="6"/>
      <c r="J86" s="19" t="str">
        <f>IF(A86="","",SUMIF('12_Gastos'!A:A,A86,'12_Gastos'!D:D))</f>
        <v/>
      </c>
      <c r="K86" s="6" t="str">
        <f t="shared" si="2"/>
        <v/>
      </c>
      <c r="L86" s="6"/>
    </row>
    <row r="87" spans="1:12">
      <c r="A87" s="23"/>
      <c r="B87" s="6"/>
      <c r="C87" s="6"/>
      <c r="D87" s="6"/>
      <c r="E87" s="6"/>
      <c r="F87" s="6"/>
      <c r="G87" s="6"/>
      <c r="H87" s="6"/>
      <c r="I87" s="6"/>
      <c r="J87" s="19" t="str">
        <f>IF(A87="","",SUMIF('12_Gastos'!A:A,A87,'12_Gastos'!D:D))</f>
        <v/>
      </c>
      <c r="K87" s="6" t="str">
        <f t="shared" si="2"/>
        <v/>
      </c>
      <c r="L87" s="6"/>
    </row>
    <row r="88" spans="1:12">
      <c r="A88" s="23"/>
      <c r="B88" s="6"/>
      <c r="C88" s="6"/>
      <c r="D88" s="6"/>
      <c r="E88" s="6"/>
      <c r="F88" s="6"/>
      <c r="G88" s="6"/>
      <c r="H88" s="6"/>
      <c r="I88" s="6"/>
      <c r="J88" s="19" t="str">
        <f>IF(A88="","",SUMIF('12_Gastos'!A:A,A88,'12_Gastos'!D:D))</f>
        <v/>
      </c>
      <c r="K88" s="6" t="str">
        <f t="shared" si="2"/>
        <v/>
      </c>
      <c r="L88" s="6"/>
    </row>
    <row r="89" spans="1:12">
      <c r="A89" s="23"/>
      <c r="B89" s="6"/>
      <c r="C89" s="6"/>
      <c r="D89" s="6"/>
      <c r="E89" s="6"/>
      <c r="F89" s="6"/>
      <c r="G89" s="6"/>
      <c r="H89" s="6"/>
      <c r="I89" s="6"/>
      <c r="J89" s="19" t="str">
        <f>IF(A89="","",SUMIF('12_Gastos'!A:A,A89,'12_Gastos'!D:D))</f>
        <v/>
      </c>
      <c r="K89" s="6" t="str">
        <f t="shared" si="2"/>
        <v/>
      </c>
      <c r="L89" s="6"/>
    </row>
    <row r="90" spans="1:12">
      <c r="A90" s="23"/>
      <c r="B90" s="6"/>
      <c r="C90" s="6"/>
      <c r="D90" s="6"/>
      <c r="E90" s="6"/>
      <c r="F90" s="6"/>
      <c r="G90" s="6"/>
      <c r="H90" s="6"/>
      <c r="I90" s="6"/>
      <c r="J90" s="19" t="str">
        <f>IF(A90="","",SUMIF('12_Gastos'!A:A,A90,'12_Gastos'!D:D))</f>
        <v/>
      </c>
      <c r="K90" s="6" t="str">
        <f t="shared" ref="K90:K121" si="3">IF(A90="","", "Semana "&amp;(WEEKNUM(A90,2)-WEEKNUM(DATE(YEAR(A90),MONTH(A90),1),2)+1))</f>
        <v/>
      </c>
      <c r="L90" s="6"/>
    </row>
    <row r="91" spans="1:12">
      <c r="A91" s="23"/>
      <c r="B91" s="6"/>
      <c r="C91" s="6"/>
      <c r="D91" s="6"/>
      <c r="E91" s="6"/>
      <c r="F91" s="6"/>
      <c r="G91" s="6"/>
      <c r="H91" s="6"/>
      <c r="I91" s="6"/>
      <c r="J91" s="19" t="str">
        <f>IF(A91="","",SUMIF('12_Gastos'!A:A,A91,'12_Gastos'!D:D))</f>
        <v/>
      </c>
      <c r="K91" s="6" t="str">
        <f t="shared" si="3"/>
        <v/>
      </c>
      <c r="L91" s="6"/>
    </row>
    <row r="92" spans="1:12">
      <c r="A92" s="23"/>
      <c r="B92" s="6"/>
      <c r="C92" s="6"/>
      <c r="D92" s="6"/>
      <c r="E92" s="6"/>
      <c r="F92" s="6"/>
      <c r="G92" s="6"/>
      <c r="H92" s="6"/>
      <c r="I92" s="6"/>
      <c r="J92" s="19" t="str">
        <f>IF(A92="","",SUMIF('12_Gastos'!A:A,A92,'12_Gastos'!D:D))</f>
        <v/>
      </c>
      <c r="K92" s="6" t="str">
        <f t="shared" si="3"/>
        <v/>
      </c>
      <c r="L92" s="6"/>
    </row>
    <row r="93" spans="1:12">
      <c r="A93" s="23"/>
      <c r="B93" s="6"/>
      <c r="C93" s="6"/>
      <c r="D93" s="6"/>
      <c r="E93" s="6"/>
      <c r="F93" s="6"/>
      <c r="G93" s="6"/>
      <c r="H93" s="6"/>
      <c r="I93" s="6"/>
      <c r="J93" s="19" t="str">
        <f>IF(A93="","",SUMIF('12_Gastos'!A:A,A93,'12_Gastos'!D:D))</f>
        <v/>
      </c>
      <c r="K93" s="6" t="str">
        <f t="shared" si="3"/>
        <v/>
      </c>
      <c r="L93" s="6"/>
    </row>
    <row r="94" spans="1:12">
      <c r="A94" s="23"/>
      <c r="B94" s="6"/>
      <c r="C94" s="6"/>
      <c r="D94" s="6"/>
      <c r="E94" s="6"/>
      <c r="F94" s="6"/>
      <c r="G94" s="6"/>
      <c r="H94" s="6"/>
      <c r="I94" s="6"/>
      <c r="J94" s="19" t="str">
        <f>IF(A94="","",SUMIF('12_Gastos'!A:A,A94,'12_Gastos'!D:D))</f>
        <v/>
      </c>
      <c r="K94" s="6" t="str">
        <f t="shared" si="3"/>
        <v/>
      </c>
      <c r="L94" s="6"/>
    </row>
    <row r="95" spans="1:12">
      <c r="A95" s="23"/>
      <c r="B95" s="6"/>
      <c r="C95" s="6"/>
      <c r="D95" s="6"/>
      <c r="E95" s="6"/>
      <c r="F95" s="6"/>
      <c r="G95" s="6"/>
      <c r="H95" s="6"/>
      <c r="I95" s="6"/>
      <c r="J95" s="19" t="str">
        <f>IF(A95="","",SUMIF('12_Gastos'!A:A,A95,'12_Gastos'!D:D))</f>
        <v/>
      </c>
      <c r="K95" s="6" t="str">
        <f t="shared" si="3"/>
        <v/>
      </c>
      <c r="L95" s="6"/>
    </row>
    <row r="96" spans="1:12">
      <c r="A96" s="23"/>
      <c r="B96" s="6"/>
      <c r="C96" s="6"/>
      <c r="D96" s="6"/>
      <c r="E96" s="6"/>
      <c r="F96" s="6"/>
      <c r="G96" s="6"/>
      <c r="H96" s="6"/>
      <c r="I96" s="6"/>
      <c r="J96" s="19" t="str">
        <f>IF(A96="","",SUMIF('12_Gastos'!A:A,A96,'12_Gastos'!D:D))</f>
        <v/>
      </c>
      <c r="K96" s="6" t="str">
        <f t="shared" si="3"/>
        <v/>
      </c>
      <c r="L96" s="6"/>
    </row>
    <row r="97" spans="1:12">
      <c r="A97" s="23"/>
      <c r="B97" s="6"/>
      <c r="C97" s="6"/>
      <c r="D97" s="6"/>
      <c r="E97" s="6"/>
      <c r="F97" s="6"/>
      <c r="G97" s="6"/>
      <c r="H97" s="6"/>
      <c r="I97" s="6"/>
      <c r="J97" s="19" t="str">
        <f>IF(A97="","",SUMIF('12_Gastos'!A:A,A97,'12_Gastos'!D:D))</f>
        <v/>
      </c>
      <c r="K97" s="6" t="str">
        <f t="shared" si="3"/>
        <v/>
      </c>
      <c r="L97" s="6"/>
    </row>
    <row r="98" spans="1:12">
      <c r="A98" s="23"/>
      <c r="B98" s="6"/>
      <c r="C98" s="6"/>
      <c r="D98" s="6"/>
      <c r="E98" s="6"/>
      <c r="F98" s="6"/>
      <c r="G98" s="6"/>
      <c r="H98" s="6"/>
      <c r="I98" s="6"/>
      <c r="J98" s="19" t="str">
        <f>IF(A98="","",SUMIF('12_Gastos'!A:A,A98,'12_Gastos'!D:D))</f>
        <v/>
      </c>
      <c r="K98" s="6" t="str">
        <f t="shared" si="3"/>
        <v/>
      </c>
      <c r="L98" s="6"/>
    </row>
    <row r="99" spans="1:12">
      <c r="A99" s="23"/>
      <c r="B99" s="6"/>
      <c r="C99" s="6"/>
      <c r="D99" s="6"/>
      <c r="E99" s="6"/>
      <c r="F99" s="6"/>
      <c r="G99" s="6"/>
      <c r="H99" s="6"/>
      <c r="I99" s="6"/>
      <c r="J99" s="19" t="str">
        <f>IF(A99="","",SUMIF('12_Gastos'!A:A,A99,'12_Gastos'!D:D))</f>
        <v/>
      </c>
      <c r="K99" s="6" t="str">
        <f t="shared" si="3"/>
        <v/>
      </c>
      <c r="L99" s="6"/>
    </row>
    <row r="100" spans="1:12">
      <c r="A100" s="23"/>
      <c r="B100" s="6"/>
      <c r="C100" s="6"/>
      <c r="D100" s="6"/>
      <c r="E100" s="6"/>
      <c r="F100" s="6"/>
      <c r="G100" s="6"/>
      <c r="H100" s="6"/>
      <c r="I100" s="6"/>
      <c r="J100" s="19" t="str">
        <f>IF(A100="","",SUMIF('12_Gastos'!A:A,A100,'12_Gastos'!D:D))</f>
        <v/>
      </c>
      <c r="K100" s="6" t="str">
        <f t="shared" si="3"/>
        <v/>
      </c>
      <c r="L100" s="6"/>
    </row>
    <row r="101" spans="1:12">
      <c r="A101" s="23"/>
      <c r="B101" s="6"/>
      <c r="C101" s="6"/>
      <c r="D101" s="6"/>
      <c r="E101" s="6"/>
      <c r="F101" s="6"/>
      <c r="G101" s="6"/>
      <c r="H101" s="6"/>
      <c r="I101" s="6"/>
      <c r="J101" s="19" t="str">
        <f>IF(A101="","",SUMIF('12_Gastos'!A:A,A101,'12_Gastos'!D:D))</f>
        <v/>
      </c>
      <c r="K101" s="6" t="str">
        <f t="shared" si="3"/>
        <v/>
      </c>
      <c r="L101" s="6"/>
    </row>
    <row r="102" spans="1:12">
      <c r="A102" s="23"/>
      <c r="B102" s="6"/>
      <c r="C102" s="6"/>
      <c r="D102" s="6"/>
      <c r="E102" s="6"/>
      <c r="F102" s="6"/>
      <c r="G102" s="6"/>
      <c r="H102" s="6"/>
      <c r="I102" s="6"/>
      <c r="J102" s="19" t="str">
        <f>IF(A102="","",SUMIF('12_Gastos'!A:A,A102,'12_Gastos'!D:D))</f>
        <v/>
      </c>
      <c r="K102" s="6" t="str">
        <f t="shared" si="3"/>
        <v/>
      </c>
      <c r="L102" s="6"/>
    </row>
    <row r="103" spans="1:12">
      <c r="A103" s="23"/>
      <c r="B103" s="6"/>
      <c r="C103" s="6"/>
      <c r="D103" s="6"/>
      <c r="E103" s="6"/>
      <c r="F103" s="6"/>
      <c r="G103" s="6"/>
      <c r="H103" s="6"/>
      <c r="I103" s="6"/>
      <c r="J103" s="19" t="str">
        <f>IF(A103="","",SUMIF('12_Gastos'!A:A,A103,'12_Gastos'!D:D))</f>
        <v/>
      </c>
      <c r="K103" s="6" t="str">
        <f t="shared" si="3"/>
        <v/>
      </c>
      <c r="L103" s="6"/>
    </row>
    <row r="104" spans="1:12">
      <c r="A104" s="23"/>
      <c r="B104" s="6"/>
      <c r="C104" s="6"/>
      <c r="D104" s="6"/>
      <c r="E104" s="6"/>
      <c r="F104" s="6"/>
      <c r="G104" s="6"/>
      <c r="H104" s="6"/>
      <c r="I104" s="6"/>
      <c r="J104" s="19" t="str">
        <f>IF(A104="","",SUMIF('12_Gastos'!A:A,A104,'12_Gastos'!D:D))</f>
        <v/>
      </c>
      <c r="K104" s="6" t="str">
        <f t="shared" si="3"/>
        <v/>
      </c>
      <c r="L104" s="6"/>
    </row>
    <row r="105" spans="1:12">
      <c r="A105" s="23"/>
      <c r="B105" s="6"/>
      <c r="C105" s="6"/>
      <c r="D105" s="6"/>
      <c r="E105" s="6"/>
      <c r="F105" s="6"/>
      <c r="G105" s="6"/>
      <c r="H105" s="6"/>
      <c r="I105" s="6"/>
      <c r="J105" s="19" t="str">
        <f>IF(A105="","",SUMIF('12_Gastos'!A:A,A105,'12_Gastos'!D:D))</f>
        <v/>
      </c>
      <c r="K105" s="6" t="str">
        <f t="shared" si="3"/>
        <v/>
      </c>
      <c r="L105" s="6"/>
    </row>
    <row r="106" spans="1:12">
      <c r="A106" s="23"/>
      <c r="B106" s="6"/>
      <c r="C106" s="6"/>
      <c r="D106" s="6"/>
      <c r="E106" s="6"/>
      <c r="F106" s="6"/>
      <c r="G106" s="6"/>
      <c r="H106" s="6"/>
      <c r="I106" s="6"/>
      <c r="J106" s="19" t="str">
        <f>IF(A106="","",SUMIF('12_Gastos'!A:A,A106,'12_Gastos'!D:D))</f>
        <v/>
      </c>
      <c r="K106" s="6" t="str">
        <f t="shared" si="3"/>
        <v/>
      </c>
      <c r="L106" s="6"/>
    </row>
    <row r="107" spans="1:12">
      <c r="A107" s="23"/>
      <c r="B107" s="6"/>
      <c r="C107" s="6"/>
      <c r="D107" s="6"/>
      <c r="E107" s="6"/>
      <c r="F107" s="6"/>
      <c r="G107" s="6"/>
      <c r="H107" s="6"/>
      <c r="I107" s="6"/>
      <c r="J107" s="19" t="str">
        <f>IF(A107="","",SUMIF('12_Gastos'!A:A,A107,'12_Gastos'!D:D))</f>
        <v/>
      </c>
      <c r="K107" s="6" t="str">
        <f t="shared" si="3"/>
        <v/>
      </c>
      <c r="L107" s="6"/>
    </row>
    <row r="108" spans="1:12">
      <c r="A108" s="23"/>
      <c r="B108" s="6"/>
      <c r="C108" s="6"/>
      <c r="D108" s="6"/>
      <c r="E108" s="6"/>
      <c r="F108" s="6"/>
      <c r="G108" s="6"/>
      <c r="H108" s="6"/>
      <c r="I108" s="6"/>
      <c r="J108" s="19" t="str">
        <f>IF(A108="","",SUMIF('12_Gastos'!A:A,A108,'12_Gastos'!D:D))</f>
        <v/>
      </c>
      <c r="K108" s="6" t="str">
        <f t="shared" si="3"/>
        <v/>
      </c>
      <c r="L108" s="6"/>
    </row>
    <row r="109" spans="1:12">
      <c r="A109" s="23"/>
      <c r="B109" s="6"/>
      <c r="C109" s="6"/>
      <c r="D109" s="6"/>
      <c r="E109" s="6"/>
      <c r="F109" s="6"/>
      <c r="G109" s="6"/>
      <c r="H109" s="6"/>
      <c r="I109" s="6"/>
      <c r="J109" s="19" t="str">
        <f>IF(A109="","",SUMIF('12_Gastos'!A:A,A109,'12_Gastos'!D:D))</f>
        <v/>
      </c>
      <c r="K109" s="6" t="str">
        <f t="shared" si="3"/>
        <v/>
      </c>
      <c r="L109" s="6"/>
    </row>
    <row r="110" spans="1:12">
      <c r="A110" s="23"/>
      <c r="B110" s="6"/>
      <c r="C110" s="6"/>
      <c r="D110" s="6"/>
      <c r="E110" s="6"/>
      <c r="F110" s="6"/>
      <c r="G110" s="6"/>
      <c r="H110" s="6"/>
      <c r="I110" s="6"/>
      <c r="J110" s="19" t="str">
        <f>IF(A110="","",SUMIF('12_Gastos'!A:A,A110,'12_Gastos'!D:D))</f>
        <v/>
      </c>
      <c r="K110" s="6" t="str">
        <f t="shared" si="3"/>
        <v/>
      </c>
      <c r="L110" s="6"/>
    </row>
    <row r="111" spans="1:12">
      <c r="A111" s="23"/>
      <c r="B111" s="6"/>
      <c r="C111" s="6"/>
      <c r="D111" s="6"/>
      <c r="E111" s="6"/>
      <c r="F111" s="6"/>
      <c r="G111" s="6"/>
      <c r="H111" s="6"/>
      <c r="I111" s="6"/>
      <c r="J111" s="19" t="str">
        <f>IF(A111="","",SUMIF('12_Gastos'!A:A,A111,'12_Gastos'!D:D))</f>
        <v/>
      </c>
      <c r="K111" s="6" t="str">
        <f t="shared" si="3"/>
        <v/>
      </c>
      <c r="L111" s="6"/>
    </row>
    <row r="112" spans="1:12" ht="1.9" customHeight="1">
      <c r="A112" s="23"/>
      <c r="B112" s="6"/>
      <c r="C112" s="6"/>
      <c r="D112" s="6"/>
      <c r="E112" s="6"/>
      <c r="F112" s="6"/>
      <c r="G112" s="6"/>
      <c r="H112" s="6"/>
      <c r="I112" s="6"/>
      <c r="J112" s="19" t="str">
        <f>IF(A112="","",SUMIF('12_Gastos'!A:A,A112,'12_Gastos'!D:D))</f>
        <v/>
      </c>
      <c r="K112" s="6" t="str">
        <f t="shared" si="3"/>
        <v/>
      </c>
      <c r="L112" s="6"/>
    </row>
    <row r="113" spans="1:12">
      <c r="A113" s="23"/>
      <c r="B113" s="6"/>
      <c r="C113" s="6"/>
      <c r="D113" s="6"/>
      <c r="E113" s="6"/>
      <c r="F113" s="6"/>
      <c r="G113" s="6"/>
      <c r="H113" s="6"/>
      <c r="I113" s="6"/>
      <c r="J113" s="19" t="str">
        <f>IF(A113="","",SUMIF('12_Gastos'!A:A,A113,'12_Gastos'!D:D))</f>
        <v/>
      </c>
      <c r="K113" s="6" t="str">
        <f t="shared" si="3"/>
        <v/>
      </c>
      <c r="L113" s="6"/>
    </row>
    <row r="114" spans="1:12">
      <c r="A114" s="23"/>
      <c r="B114" s="6"/>
      <c r="C114" s="6"/>
      <c r="D114" s="6"/>
      <c r="E114" s="6"/>
      <c r="F114" s="6"/>
      <c r="G114" s="6"/>
      <c r="H114" s="6"/>
      <c r="I114" s="6"/>
      <c r="J114" s="19" t="str">
        <f>IF(A114="","",SUMIF('12_Gastos'!A:A,A114,'12_Gastos'!D:D))</f>
        <v/>
      </c>
      <c r="K114" s="6" t="str">
        <f t="shared" si="3"/>
        <v/>
      </c>
      <c r="L114" s="6"/>
    </row>
    <row r="115" spans="1:12" ht="1.9" customHeight="1">
      <c r="A115" s="23"/>
      <c r="B115" s="6"/>
      <c r="C115" s="6"/>
      <c r="D115" s="6"/>
      <c r="E115" s="6"/>
      <c r="F115" s="6"/>
      <c r="G115" s="6"/>
      <c r="H115" s="6"/>
      <c r="I115" s="6"/>
      <c r="J115" s="19" t="str">
        <f>IF(A115="","",SUMIF('12_Gastos'!A:A,A115,'12_Gastos'!D:D))</f>
        <v/>
      </c>
      <c r="K115" s="6" t="str">
        <f t="shared" si="3"/>
        <v/>
      </c>
      <c r="L115" s="6"/>
    </row>
    <row r="116" spans="1:12" ht="1.9" customHeight="1">
      <c r="A116" s="23"/>
      <c r="B116" s="6"/>
      <c r="C116" s="6"/>
      <c r="D116" s="6"/>
      <c r="E116" s="6"/>
      <c r="F116" s="6"/>
      <c r="G116" s="6"/>
      <c r="H116" s="6"/>
      <c r="I116" s="6"/>
      <c r="J116" s="19" t="str">
        <f>IF(A116="","",SUMIF('12_Gastos'!A:A,A116,'12_Gastos'!D:D))</f>
        <v/>
      </c>
      <c r="K116" s="6" t="str">
        <f t="shared" si="3"/>
        <v/>
      </c>
      <c r="L116" s="6"/>
    </row>
    <row r="117" spans="1:12" ht="1.9" customHeight="1">
      <c r="A117" s="23"/>
      <c r="B117" s="6"/>
      <c r="C117" s="6"/>
      <c r="D117" s="6"/>
      <c r="E117" s="6"/>
      <c r="F117" s="6"/>
      <c r="G117" s="6"/>
      <c r="H117" s="6"/>
      <c r="I117" s="6"/>
      <c r="J117" s="19" t="str">
        <f>IF(A117="","",SUMIF('12_Gastos'!A:A,A117,'12_Gastos'!D:D))</f>
        <v/>
      </c>
      <c r="K117" s="6" t="str">
        <f t="shared" si="3"/>
        <v/>
      </c>
      <c r="L117" s="6"/>
    </row>
    <row r="118" spans="1:12" ht="1.9" customHeight="1">
      <c r="A118" s="23"/>
      <c r="B118" s="6"/>
      <c r="C118" s="6"/>
      <c r="D118" s="6"/>
      <c r="E118" s="6"/>
      <c r="F118" s="6"/>
      <c r="G118" s="6"/>
      <c r="H118" s="6"/>
      <c r="I118" s="6"/>
      <c r="J118" s="19" t="str">
        <f>IF(A118="","",SUMIF('12_Gastos'!A:A,A118,'12_Gastos'!D:D))</f>
        <v/>
      </c>
      <c r="K118" s="6" t="str">
        <f t="shared" si="3"/>
        <v/>
      </c>
      <c r="L118" s="6"/>
    </row>
    <row r="119" spans="1:12" ht="1.9" customHeight="1">
      <c r="A119" s="23"/>
      <c r="B119" s="6"/>
      <c r="C119" s="6"/>
      <c r="D119" s="6"/>
      <c r="E119" s="6"/>
      <c r="F119" s="6"/>
      <c r="G119" s="6"/>
      <c r="H119" s="6"/>
      <c r="I119" s="6"/>
      <c r="J119" s="19" t="str">
        <f>IF(A119="","",SUMIF('12_Gastos'!A:A,A119,'12_Gastos'!D:D))</f>
        <v/>
      </c>
      <c r="K119" s="6" t="str">
        <f t="shared" si="3"/>
        <v/>
      </c>
      <c r="L119" s="6"/>
    </row>
    <row r="120" spans="1:12" ht="1.9" customHeight="1">
      <c r="A120" s="23"/>
      <c r="B120" s="6"/>
      <c r="C120" s="6"/>
      <c r="D120" s="6"/>
      <c r="E120" s="6"/>
      <c r="F120" s="6"/>
      <c r="G120" s="6"/>
      <c r="H120" s="6"/>
      <c r="I120" s="6"/>
      <c r="J120" s="19" t="str">
        <f>IF(A120="","",SUMIF('12_Gastos'!A:A,A120,'12_Gastos'!D:D))</f>
        <v/>
      </c>
      <c r="K120" s="6" t="str">
        <f t="shared" si="3"/>
        <v/>
      </c>
      <c r="L120" s="6"/>
    </row>
    <row r="121" spans="1:12" ht="1.9" customHeight="1">
      <c r="A121" s="23"/>
      <c r="B121" s="6"/>
      <c r="C121" s="6"/>
      <c r="D121" s="6"/>
      <c r="E121" s="6"/>
      <c r="F121" s="6"/>
      <c r="G121" s="6"/>
      <c r="H121" s="6"/>
      <c r="I121" s="6"/>
      <c r="J121" s="19" t="str">
        <f>IF(A121="","",SUMIF('12_Gastos'!A:A,A121,'12_Gastos'!D:D))</f>
        <v/>
      </c>
      <c r="K121" s="6" t="str">
        <f t="shared" si="3"/>
        <v/>
      </c>
      <c r="L121" s="6"/>
    </row>
    <row r="122" spans="1:12" ht="1.9" customHeight="1">
      <c r="A122" s="23"/>
      <c r="B122" s="6"/>
      <c r="C122" s="6"/>
      <c r="D122" s="6"/>
      <c r="E122" s="6"/>
      <c r="F122" s="6"/>
      <c r="G122" s="6"/>
      <c r="H122" s="6"/>
      <c r="I122" s="6"/>
      <c r="J122" s="19" t="str">
        <f>IF(A122="","",SUMIF('12_Gastos'!A:A,A122,'12_Gastos'!D:D))</f>
        <v/>
      </c>
      <c r="K122" s="6" t="str">
        <f t="shared" ref="K122:K153" si="4">IF(A122="","", "Semana "&amp;(WEEKNUM(A122,2)-WEEKNUM(DATE(YEAR(A122),MONTH(A122),1),2)+1))</f>
        <v/>
      </c>
      <c r="L122" s="6"/>
    </row>
    <row r="123" spans="1:12" ht="1.9" customHeight="1">
      <c r="A123" s="23"/>
      <c r="B123" s="6"/>
      <c r="C123" s="6"/>
      <c r="D123" s="6"/>
      <c r="E123" s="6"/>
      <c r="F123" s="6"/>
      <c r="G123" s="6"/>
      <c r="H123" s="6"/>
      <c r="I123" s="6"/>
      <c r="J123" s="19" t="str">
        <f>IF(A123="","",SUMIF('12_Gastos'!A:A,A123,'12_Gastos'!D:D))</f>
        <v/>
      </c>
      <c r="K123" s="6" t="str">
        <f t="shared" si="4"/>
        <v/>
      </c>
      <c r="L123" s="6"/>
    </row>
    <row r="124" spans="1:12" ht="1.9" customHeight="1">
      <c r="A124" s="23"/>
      <c r="B124" s="6"/>
      <c r="C124" s="6"/>
      <c r="D124" s="6"/>
      <c r="E124" s="6"/>
      <c r="F124" s="6"/>
      <c r="G124" s="6"/>
      <c r="H124" s="6"/>
      <c r="I124" s="6"/>
      <c r="J124" s="19" t="str">
        <f>IF(A124="","",SUMIF('12_Gastos'!A:A,A124,'12_Gastos'!D:D))</f>
        <v/>
      </c>
      <c r="K124" s="6" t="str">
        <f t="shared" si="4"/>
        <v/>
      </c>
      <c r="L124" s="6"/>
    </row>
    <row r="125" spans="1:12" ht="1.9" customHeight="1">
      <c r="A125" s="23"/>
      <c r="B125" s="6"/>
      <c r="C125" s="6"/>
      <c r="D125" s="6"/>
      <c r="E125" s="6"/>
      <c r="F125" s="6"/>
      <c r="G125" s="6"/>
      <c r="H125" s="6"/>
      <c r="I125" s="6"/>
      <c r="J125" s="19" t="str">
        <f>IF(A125="","",SUMIF('12_Gastos'!A:A,A125,'12_Gastos'!D:D))</f>
        <v/>
      </c>
      <c r="K125" s="6" t="str">
        <f t="shared" si="4"/>
        <v/>
      </c>
      <c r="L125" s="6"/>
    </row>
    <row r="126" spans="1:12" ht="1.9" customHeight="1">
      <c r="A126" s="23"/>
      <c r="B126" s="6"/>
      <c r="C126" s="6"/>
      <c r="D126" s="6"/>
      <c r="E126" s="6"/>
      <c r="F126" s="6"/>
      <c r="G126" s="6"/>
      <c r="H126" s="6"/>
      <c r="I126" s="6"/>
      <c r="J126" s="19" t="str">
        <f>IF(A126="","",SUMIF('12_Gastos'!A:A,A126,'12_Gastos'!D:D))</f>
        <v/>
      </c>
      <c r="K126" s="6" t="str">
        <f t="shared" si="4"/>
        <v/>
      </c>
      <c r="L126" s="6"/>
    </row>
    <row r="127" spans="1:12" ht="1.9" customHeight="1">
      <c r="A127" s="23"/>
      <c r="B127" s="6"/>
      <c r="C127" s="6"/>
      <c r="D127" s="6"/>
      <c r="E127" s="6"/>
      <c r="F127" s="6"/>
      <c r="G127" s="6"/>
      <c r="H127" s="6"/>
      <c r="I127" s="6"/>
      <c r="J127" s="19" t="str">
        <f>IF(A127="","",SUMIF('12_Gastos'!A:A,A127,'12_Gastos'!D:D))</f>
        <v/>
      </c>
      <c r="K127" s="6" t="str">
        <f t="shared" si="4"/>
        <v/>
      </c>
      <c r="L127" s="6"/>
    </row>
    <row r="128" spans="1:12" ht="1.9" customHeight="1">
      <c r="A128" s="23"/>
      <c r="B128" s="6"/>
      <c r="C128" s="6"/>
      <c r="D128" s="6"/>
      <c r="E128" s="6"/>
      <c r="F128" s="6"/>
      <c r="G128" s="6"/>
      <c r="H128" s="6"/>
      <c r="I128" s="6"/>
      <c r="J128" s="19" t="str">
        <f>IF(A128="","",SUMIF('12_Gastos'!A:A,A128,'12_Gastos'!D:D))</f>
        <v/>
      </c>
      <c r="K128" s="6" t="str">
        <f t="shared" si="4"/>
        <v/>
      </c>
      <c r="L128" s="6"/>
    </row>
    <row r="129" spans="1:12" ht="1.9" customHeight="1">
      <c r="A129" s="23"/>
      <c r="B129" s="6"/>
      <c r="C129" s="6"/>
      <c r="D129" s="6"/>
      <c r="E129" s="6"/>
      <c r="F129" s="6"/>
      <c r="G129" s="6"/>
      <c r="H129" s="6"/>
      <c r="I129" s="6"/>
      <c r="J129" s="19" t="str">
        <f>IF(A129="","",SUMIF('12_Gastos'!A:A,A129,'12_Gastos'!D:D))</f>
        <v/>
      </c>
      <c r="K129" s="6" t="str">
        <f t="shared" si="4"/>
        <v/>
      </c>
      <c r="L129" s="6"/>
    </row>
    <row r="130" spans="1:12" ht="1.9" customHeight="1">
      <c r="A130" s="23"/>
      <c r="B130" s="6"/>
      <c r="C130" s="6"/>
      <c r="D130" s="6"/>
      <c r="E130" s="6"/>
      <c r="F130" s="6"/>
      <c r="G130" s="6"/>
      <c r="H130" s="6"/>
      <c r="I130" s="6"/>
      <c r="J130" s="19" t="str">
        <f>IF(A130="","",SUMIF('12_Gastos'!A:A,A130,'12_Gastos'!D:D))</f>
        <v/>
      </c>
      <c r="K130" s="6" t="str">
        <f t="shared" si="4"/>
        <v/>
      </c>
      <c r="L130" s="6"/>
    </row>
    <row r="131" spans="1:12" ht="1.9" customHeight="1">
      <c r="A131" s="23"/>
      <c r="B131" s="6"/>
      <c r="C131" s="6"/>
      <c r="D131" s="6"/>
      <c r="E131" s="6"/>
      <c r="F131" s="6"/>
      <c r="G131" s="6"/>
      <c r="H131" s="6"/>
      <c r="I131" s="6"/>
      <c r="J131" s="19" t="str">
        <f>IF(A131="","",SUMIF('12_Gastos'!A:A,A131,'12_Gastos'!D:D))</f>
        <v/>
      </c>
      <c r="K131" s="6" t="str">
        <f t="shared" si="4"/>
        <v/>
      </c>
      <c r="L131" s="6"/>
    </row>
    <row r="132" spans="1:12" ht="1.9" customHeight="1">
      <c r="A132" s="23"/>
      <c r="B132" s="6"/>
      <c r="C132" s="6"/>
      <c r="D132" s="6"/>
      <c r="E132" s="6"/>
      <c r="F132" s="6"/>
      <c r="G132" s="6"/>
      <c r="H132" s="6"/>
      <c r="I132" s="6"/>
      <c r="J132" s="19" t="str">
        <f>IF(A132="","",SUMIF('12_Gastos'!A:A,A132,'12_Gastos'!D:D))</f>
        <v/>
      </c>
      <c r="K132" s="6" t="str">
        <f t="shared" si="4"/>
        <v/>
      </c>
      <c r="L132" s="6"/>
    </row>
    <row r="133" spans="1:12" ht="1.9" customHeight="1">
      <c r="A133" s="23"/>
      <c r="B133" s="6"/>
      <c r="C133" s="6"/>
      <c r="D133" s="6"/>
      <c r="E133" s="6"/>
      <c r="F133" s="6"/>
      <c r="G133" s="6"/>
      <c r="H133" s="6"/>
      <c r="I133" s="6"/>
      <c r="J133" s="19" t="str">
        <f>IF(A133="","",SUMIF('12_Gastos'!A:A,A133,'12_Gastos'!D:D))</f>
        <v/>
      </c>
      <c r="K133" s="6" t="str">
        <f t="shared" si="4"/>
        <v/>
      </c>
      <c r="L133" s="6"/>
    </row>
    <row r="134" spans="1:12" ht="1.9" customHeight="1">
      <c r="A134" s="23"/>
      <c r="B134" s="6"/>
      <c r="C134" s="6"/>
      <c r="D134" s="6"/>
      <c r="E134" s="6"/>
      <c r="F134" s="6"/>
      <c r="G134" s="6"/>
      <c r="H134" s="6"/>
      <c r="I134" s="6"/>
      <c r="J134" s="19" t="str">
        <f>IF(A134="","",SUMIF('12_Gastos'!A:A,A134,'12_Gastos'!D:D))</f>
        <v/>
      </c>
      <c r="K134" s="6" t="str">
        <f t="shared" si="4"/>
        <v/>
      </c>
      <c r="L134" s="6"/>
    </row>
    <row r="135" spans="1:12" ht="1.9" customHeight="1">
      <c r="A135" s="23"/>
      <c r="B135" s="6"/>
      <c r="C135" s="6"/>
      <c r="D135" s="6"/>
      <c r="E135" s="6"/>
      <c r="F135" s="6"/>
      <c r="G135" s="6"/>
      <c r="H135" s="6"/>
      <c r="I135" s="6"/>
      <c r="J135" s="19" t="str">
        <f>IF(A135="","",SUMIF('12_Gastos'!A:A,A135,'12_Gastos'!D:D))</f>
        <v/>
      </c>
      <c r="K135" s="6" t="str">
        <f t="shared" si="4"/>
        <v/>
      </c>
      <c r="L135" s="6"/>
    </row>
    <row r="136" spans="1:12" ht="1.9" customHeight="1">
      <c r="A136" s="23"/>
      <c r="B136" s="6"/>
      <c r="C136" s="6"/>
      <c r="D136" s="6"/>
      <c r="E136" s="6"/>
      <c r="F136" s="6"/>
      <c r="G136" s="6"/>
      <c r="H136" s="6"/>
      <c r="I136" s="6"/>
      <c r="J136" s="19" t="str">
        <f>IF(A136="","",SUMIF('12_Gastos'!A:A,A136,'12_Gastos'!D:D))</f>
        <v/>
      </c>
      <c r="K136" s="6" t="str">
        <f t="shared" si="4"/>
        <v/>
      </c>
      <c r="L136" s="6"/>
    </row>
    <row r="137" spans="1:12" ht="1.9" customHeight="1">
      <c r="A137" s="23"/>
      <c r="B137" s="6"/>
      <c r="C137" s="6"/>
      <c r="D137" s="6"/>
      <c r="E137" s="6"/>
      <c r="F137" s="6"/>
      <c r="G137" s="6"/>
      <c r="H137" s="6"/>
      <c r="I137" s="6"/>
      <c r="J137" s="19" t="str">
        <f>IF(A137="","",SUMIF('12_Gastos'!A:A,A137,'12_Gastos'!D:D))</f>
        <v/>
      </c>
      <c r="K137" s="6" t="str">
        <f t="shared" si="4"/>
        <v/>
      </c>
      <c r="L137" s="6"/>
    </row>
    <row r="138" spans="1:12" ht="1.9" customHeight="1">
      <c r="A138" s="23"/>
      <c r="B138" s="6"/>
      <c r="C138" s="6"/>
      <c r="D138" s="6"/>
      <c r="E138" s="6"/>
      <c r="F138" s="6"/>
      <c r="G138" s="6"/>
      <c r="H138" s="6"/>
      <c r="I138" s="6"/>
      <c r="J138" s="19" t="str">
        <f>IF(A138="","",SUMIF('12_Gastos'!A:A,A138,'12_Gastos'!D:D))</f>
        <v/>
      </c>
      <c r="K138" s="6" t="str">
        <f t="shared" si="4"/>
        <v/>
      </c>
      <c r="L138" s="6"/>
    </row>
    <row r="139" spans="1:12" ht="1.9" customHeight="1">
      <c r="A139" s="23"/>
      <c r="B139" s="6"/>
      <c r="C139" s="6"/>
      <c r="D139" s="6"/>
      <c r="E139" s="6"/>
      <c r="F139" s="6"/>
      <c r="G139" s="6"/>
      <c r="H139" s="6"/>
      <c r="I139" s="6"/>
      <c r="J139" s="19" t="str">
        <f>IF(A139="","",SUMIF('12_Gastos'!A:A,A139,'12_Gastos'!D:D))</f>
        <v/>
      </c>
      <c r="K139" s="6" t="str">
        <f t="shared" si="4"/>
        <v/>
      </c>
      <c r="L139" s="6"/>
    </row>
    <row r="140" spans="1:12" ht="1.9" customHeight="1">
      <c r="A140" s="23"/>
      <c r="B140" s="6"/>
      <c r="C140" s="6"/>
      <c r="D140" s="6"/>
      <c r="E140" s="6"/>
      <c r="F140" s="6"/>
      <c r="G140" s="6"/>
      <c r="H140" s="6"/>
      <c r="I140" s="6"/>
      <c r="J140" s="19" t="str">
        <f>IF(A140="","",SUMIF('12_Gastos'!A:A,A140,'12_Gastos'!D:D))</f>
        <v/>
      </c>
      <c r="K140" s="6" t="str">
        <f t="shared" si="4"/>
        <v/>
      </c>
      <c r="L140" s="6"/>
    </row>
    <row r="141" spans="1:12" ht="1.9" customHeight="1">
      <c r="A141" s="23"/>
      <c r="B141" s="6"/>
      <c r="C141" s="6"/>
      <c r="D141" s="6"/>
      <c r="E141" s="6"/>
      <c r="F141" s="6"/>
      <c r="G141" s="6"/>
      <c r="H141" s="6"/>
      <c r="I141" s="6"/>
      <c r="J141" s="19" t="str">
        <f>IF(A141="","",SUMIF('12_Gastos'!A:A,A141,'12_Gastos'!D:D))</f>
        <v/>
      </c>
      <c r="K141" s="6" t="str">
        <f t="shared" si="4"/>
        <v/>
      </c>
      <c r="L141" s="6"/>
    </row>
    <row r="142" spans="1:12" ht="1.9" customHeight="1">
      <c r="A142" s="23"/>
      <c r="B142" s="6"/>
      <c r="C142" s="6"/>
      <c r="D142" s="6"/>
      <c r="E142" s="6"/>
      <c r="F142" s="6"/>
      <c r="G142" s="6"/>
      <c r="H142" s="6"/>
      <c r="I142" s="6"/>
      <c r="J142" s="19" t="str">
        <f>IF(A142="","",SUMIF('12_Gastos'!A:A,A142,'12_Gastos'!D:D))</f>
        <v/>
      </c>
      <c r="K142" s="6" t="str">
        <f t="shared" si="4"/>
        <v/>
      </c>
      <c r="L142" s="6"/>
    </row>
    <row r="143" spans="1:12" ht="1.9" customHeight="1">
      <c r="A143" s="23"/>
      <c r="B143" s="6"/>
      <c r="C143" s="6"/>
      <c r="D143" s="6"/>
      <c r="E143" s="6"/>
      <c r="F143" s="6"/>
      <c r="G143" s="6"/>
      <c r="H143" s="6"/>
      <c r="I143" s="6"/>
      <c r="J143" s="19" t="str">
        <f>IF(A143="","",SUMIF('12_Gastos'!A:A,A143,'12_Gastos'!D:D))</f>
        <v/>
      </c>
      <c r="K143" s="6" t="str">
        <f t="shared" si="4"/>
        <v/>
      </c>
      <c r="L143" s="6"/>
    </row>
    <row r="144" spans="1:12" ht="1.9" customHeight="1">
      <c r="A144" s="23"/>
      <c r="B144" s="6"/>
      <c r="C144" s="6"/>
      <c r="D144" s="6"/>
      <c r="E144" s="6"/>
      <c r="F144" s="6"/>
      <c r="G144" s="6"/>
      <c r="H144" s="6"/>
      <c r="I144" s="6"/>
      <c r="J144" s="19" t="str">
        <f>IF(A144="","",SUMIF('12_Gastos'!A:A,A144,'12_Gastos'!D:D))</f>
        <v/>
      </c>
      <c r="K144" s="6" t="str">
        <f t="shared" si="4"/>
        <v/>
      </c>
      <c r="L144" s="6"/>
    </row>
    <row r="145" spans="1:12" ht="1.9" customHeight="1">
      <c r="A145" s="23"/>
      <c r="B145" s="6"/>
      <c r="C145" s="6"/>
      <c r="D145" s="6"/>
      <c r="E145" s="6"/>
      <c r="F145" s="6"/>
      <c r="G145" s="6"/>
      <c r="H145" s="6"/>
      <c r="I145" s="6"/>
      <c r="J145" s="19" t="str">
        <f>IF(A145="","",SUMIF('12_Gastos'!A:A,A145,'12_Gastos'!D:D))</f>
        <v/>
      </c>
      <c r="K145" s="6" t="str">
        <f t="shared" si="4"/>
        <v/>
      </c>
      <c r="L145" s="6"/>
    </row>
    <row r="146" spans="1:12" ht="1.9" customHeight="1">
      <c r="A146" s="23"/>
      <c r="B146" s="6"/>
      <c r="C146" s="6"/>
      <c r="D146" s="6"/>
      <c r="E146" s="6"/>
      <c r="F146" s="6"/>
      <c r="G146" s="6"/>
      <c r="H146" s="6"/>
      <c r="I146" s="6"/>
      <c r="J146" s="19" t="str">
        <f>IF(A146="","",SUMIF('12_Gastos'!A:A,A146,'12_Gastos'!D:D))</f>
        <v/>
      </c>
      <c r="K146" s="6" t="str">
        <f t="shared" si="4"/>
        <v/>
      </c>
      <c r="L146" s="6"/>
    </row>
    <row r="147" spans="1:12" ht="1.9" customHeight="1">
      <c r="A147" s="23"/>
      <c r="B147" s="6"/>
      <c r="C147" s="6"/>
      <c r="D147" s="6"/>
      <c r="E147" s="6"/>
      <c r="F147" s="6"/>
      <c r="G147" s="6"/>
      <c r="H147" s="6"/>
      <c r="I147" s="6"/>
      <c r="J147" s="19" t="str">
        <f>IF(A147="","",SUMIF('12_Gastos'!A:A,A147,'12_Gastos'!D:D))</f>
        <v/>
      </c>
      <c r="K147" s="6" t="str">
        <f t="shared" si="4"/>
        <v/>
      </c>
      <c r="L147" s="6"/>
    </row>
    <row r="148" spans="1:12" ht="1.9" customHeight="1">
      <c r="A148" s="23"/>
      <c r="B148" s="6"/>
      <c r="C148" s="6"/>
      <c r="D148" s="6"/>
      <c r="E148" s="6"/>
      <c r="F148" s="6"/>
      <c r="G148" s="6"/>
      <c r="H148" s="6"/>
      <c r="I148" s="6"/>
      <c r="J148" s="19" t="str">
        <f>IF(A148="","",SUMIF('12_Gastos'!A:A,A148,'12_Gastos'!D:D))</f>
        <v/>
      </c>
      <c r="K148" s="6" t="str">
        <f t="shared" si="4"/>
        <v/>
      </c>
      <c r="L148" s="6"/>
    </row>
    <row r="149" spans="1:12" ht="1.9" customHeight="1">
      <c r="A149" s="23"/>
      <c r="B149" s="6"/>
      <c r="C149" s="6"/>
      <c r="D149" s="6"/>
      <c r="E149" s="6"/>
      <c r="F149" s="6"/>
      <c r="G149" s="6"/>
      <c r="H149" s="6"/>
      <c r="I149" s="6"/>
      <c r="J149" s="19" t="str">
        <f>IF(A149="","",SUMIF('12_Gastos'!A:A,A149,'12_Gastos'!D:D))</f>
        <v/>
      </c>
      <c r="K149" s="6" t="str">
        <f t="shared" si="4"/>
        <v/>
      </c>
      <c r="L149" s="6"/>
    </row>
    <row r="150" spans="1:12" ht="1.9" customHeight="1">
      <c r="A150" s="23"/>
      <c r="B150" s="6"/>
      <c r="C150" s="6"/>
      <c r="D150" s="6"/>
      <c r="E150" s="6"/>
      <c r="F150" s="6"/>
      <c r="G150" s="6"/>
      <c r="H150" s="6"/>
      <c r="I150" s="6"/>
      <c r="J150" s="19" t="str">
        <f>IF(A150="","",SUMIF('12_Gastos'!A:A,A150,'12_Gastos'!D:D))</f>
        <v/>
      </c>
      <c r="K150" s="6" t="str">
        <f t="shared" si="4"/>
        <v/>
      </c>
      <c r="L150" s="6"/>
    </row>
    <row r="151" spans="1:12" ht="1.9" customHeight="1">
      <c r="A151" s="23"/>
      <c r="B151" s="6"/>
      <c r="C151" s="6"/>
      <c r="D151" s="6"/>
      <c r="E151" s="6"/>
      <c r="F151" s="6"/>
      <c r="G151" s="6"/>
      <c r="H151" s="6"/>
      <c r="I151" s="6"/>
      <c r="J151" s="19" t="str">
        <f>IF(A151="","",SUMIF('12_Gastos'!A:A,A151,'12_Gastos'!D:D))</f>
        <v/>
      </c>
      <c r="K151" s="6" t="str">
        <f t="shared" si="4"/>
        <v/>
      </c>
      <c r="L151" s="6"/>
    </row>
    <row r="152" spans="1:12" ht="1.9" customHeight="1">
      <c r="A152" s="23"/>
      <c r="B152" s="6"/>
      <c r="C152" s="6"/>
      <c r="D152" s="6"/>
      <c r="E152" s="6"/>
      <c r="F152" s="6"/>
      <c r="G152" s="6"/>
      <c r="H152" s="6"/>
      <c r="I152" s="6"/>
      <c r="J152" s="19" t="str">
        <f>IF(A152="","",SUMIF('12_Gastos'!A:A,A152,'12_Gastos'!D:D))</f>
        <v/>
      </c>
      <c r="K152" s="6" t="str">
        <f t="shared" si="4"/>
        <v/>
      </c>
      <c r="L152" s="6"/>
    </row>
    <row r="153" spans="1:12" ht="1.9" customHeight="1">
      <c r="A153" s="23"/>
      <c r="B153" s="6"/>
      <c r="C153" s="6"/>
      <c r="D153" s="6"/>
      <c r="E153" s="6"/>
      <c r="F153" s="6"/>
      <c r="G153" s="6"/>
      <c r="H153" s="6"/>
      <c r="I153" s="6"/>
      <c r="J153" s="19" t="str">
        <f>IF(A153="","",SUMIF('12_Gastos'!A:A,A153,'12_Gastos'!D:D))</f>
        <v/>
      </c>
      <c r="K153" s="6" t="str">
        <f t="shared" si="4"/>
        <v/>
      </c>
      <c r="L153" s="6"/>
    </row>
    <row r="154" spans="1:12" ht="1.9" customHeight="1">
      <c r="A154" s="23"/>
      <c r="B154" s="6"/>
      <c r="C154" s="6"/>
      <c r="D154" s="6"/>
      <c r="E154" s="6"/>
      <c r="F154" s="6"/>
      <c r="G154" s="6"/>
      <c r="H154" s="6"/>
      <c r="I154" s="6"/>
      <c r="J154" s="19" t="str">
        <f>IF(A154="","",SUMIF('12_Gastos'!A:A,A154,'12_Gastos'!D:D))</f>
        <v/>
      </c>
      <c r="K154" s="6" t="str">
        <f t="shared" ref="K154:K185" si="5">IF(A154="","", "Semana "&amp;(WEEKNUM(A154,2)-WEEKNUM(DATE(YEAR(A154),MONTH(A154),1),2)+1))</f>
        <v/>
      </c>
      <c r="L154" s="6"/>
    </row>
    <row r="155" spans="1:12" ht="1.9" customHeight="1">
      <c r="A155" s="23"/>
      <c r="B155" s="6"/>
      <c r="C155" s="6"/>
      <c r="D155" s="6"/>
      <c r="E155" s="6"/>
      <c r="F155" s="6"/>
      <c r="G155" s="6"/>
      <c r="H155" s="6"/>
      <c r="I155" s="6"/>
      <c r="J155" s="19" t="str">
        <f>IF(A155="","",SUMIF('12_Gastos'!A:A,A155,'12_Gastos'!D:D))</f>
        <v/>
      </c>
      <c r="K155" s="6" t="str">
        <f t="shared" si="5"/>
        <v/>
      </c>
      <c r="L155" s="6"/>
    </row>
    <row r="156" spans="1:12" ht="1.9" customHeight="1">
      <c r="A156" s="23"/>
      <c r="B156" s="6"/>
      <c r="C156" s="6"/>
      <c r="D156" s="6"/>
      <c r="E156" s="6"/>
      <c r="F156" s="6"/>
      <c r="G156" s="6"/>
      <c r="H156" s="6"/>
      <c r="I156" s="6"/>
      <c r="J156" s="19" t="str">
        <f>IF(A156="","",SUMIF('12_Gastos'!A:A,A156,'12_Gastos'!D:D))</f>
        <v/>
      </c>
      <c r="K156" s="6" t="str">
        <f t="shared" si="5"/>
        <v/>
      </c>
      <c r="L156" s="6"/>
    </row>
    <row r="157" spans="1:12" ht="1.9" customHeight="1">
      <c r="A157" s="23"/>
      <c r="B157" s="6"/>
      <c r="C157" s="6"/>
      <c r="D157" s="6"/>
      <c r="E157" s="6"/>
      <c r="F157" s="6"/>
      <c r="G157" s="6"/>
      <c r="H157" s="6"/>
      <c r="I157" s="6"/>
      <c r="J157" s="19" t="str">
        <f>IF(A157="","",SUMIF('12_Gastos'!A:A,A157,'12_Gastos'!D:D))</f>
        <v/>
      </c>
      <c r="K157" s="6" t="str">
        <f t="shared" si="5"/>
        <v/>
      </c>
      <c r="L157" s="6"/>
    </row>
    <row r="158" spans="1:12" ht="1.9" customHeight="1">
      <c r="A158" s="23"/>
      <c r="B158" s="6"/>
      <c r="C158" s="6"/>
      <c r="D158" s="6"/>
      <c r="E158" s="6"/>
      <c r="F158" s="6"/>
      <c r="G158" s="6"/>
      <c r="H158" s="6"/>
      <c r="I158" s="6"/>
      <c r="J158" s="19" t="str">
        <f>IF(A158="","",SUMIF('12_Gastos'!A:A,A158,'12_Gastos'!D:D))</f>
        <v/>
      </c>
      <c r="K158" s="6" t="str">
        <f t="shared" si="5"/>
        <v/>
      </c>
      <c r="L158" s="6"/>
    </row>
    <row r="159" spans="1:12" ht="1.9" customHeight="1">
      <c r="A159" s="23"/>
      <c r="B159" s="6"/>
      <c r="C159" s="6"/>
      <c r="D159" s="6"/>
      <c r="E159" s="6"/>
      <c r="F159" s="6"/>
      <c r="G159" s="6"/>
      <c r="H159" s="6"/>
      <c r="I159" s="6"/>
      <c r="J159" s="19" t="str">
        <f>IF(A159="","",SUMIF('12_Gastos'!A:A,A159,'12_Gastos'!D:D))</f>
        <v/>
      </c>
      <c r="K159" s="6" t="str">
        <f t="shared" si="5"/>
        <v/>
      </c>
      <c r="L159" s="6"/>
    </row>
    <row r="160" spans="1:12" ht="1.9" customHeight="1">
      <c r="A160" s="23"/>
      <c r="B160" s="6"/>
      <c r="C160" s="6"/>
      <c r="D160" s="6"/>
      <c r="E160" s="6"/>
      <c r="F160" s="6"/>
      <c r="G160" s="6"/>
      <c r="H160" s="6"/>
      <c r="I160" s="6"/>
      <c r="J160" s="19" t="str">
        <f>IF(A160="","",SUMIF('12_Gastos'!A:A,A160,'12_Gastos'!D:D))</f>
        <v/>
      </c>
      <c r="K160" s="6" t="str">
        <f t="shared" si="5"/>
        <v/>
      </c>
      <c r="L160" s="6"/>
    </row>
    <row r="161" spans="1:12" ht="1.9" customHeight="1">
      <c r="A161" s="23"/>
      <c r="B161" s="6"/>
      <c r="C161" s="6"/>
      <c r="D161" s="6"/>
      <c r="E161" s="6"/>
      <c r="F161" s="6"/>
      <c r="G161" s="6"/>
      <c r="H161" s="6"/>
      <c r="I161" s="6"/>
      <c r="J161" s="19" t="str">
        <f>IF(A161="","",SUMIF('12_Gastos'!A:A,A161,'12_Gastos'!D:D))</f>
        <v/>
      </c>
      <c r="K161" s="6" t="str">
        <f t="shared" si="5"/>
        <v/>
      </c>
      <c r="L161" s="6"/>
    </row>
    <row r="162" spans="1:12" ht="1.9" customHeight="1">
      <c r="A162" s="23"/>
      <c r="B162" s="6"/>
      <c r="C162" s="6"/>
      <c r="D162" s="6"/>
      <c r="E162" s="6"/>
      <c r="F162" s="6"/>
      <c r="G162" s="6"/>
      <c r="H162" s="6"/>
      <c r="I162" s="6"/>
      <c r="J162" s="19" t="str">
        <f>IF(A162="","",SUMIF('12_Gastos'!A:A,A162,'12_Gastos'!D:D))</f>
        <v/>
      </c>
      <c r="K162" s="6" t="str">
        <f t="shared" si="5"/>
        <v/>
      </c>
      <c r="L162" s="6"/>
    </row>
    <row r="163" spans="1:12" ht="1.9" customHeight="1">
      <c r="A163" s="23"/>
      <c r="B163" s="6"/>
      <c r="C163" s="6"/>
      <c r="D163" s="6"/>
      <c r="E163" s="6"/>
      <c r="F163" s="6"/>
      <c r="G163" s="6"/>
      <c r="H163" s="6"/>
      <c r="I163" s="6"/>
      <c r="J163" s="19" t="str">
        <f>IF(A163="","",SUMIF('12_Gastos'!A:A,A163,'12_Gastos'!D:D))</f>
        <v/>
      </c>
      <c r="K163" s="6" t="str">
        <f t="shared" si="5"/>
        <v/>
      </c>
      <c r="L163" s="6"/>
    </row>
    <row r="164" spans="1:12" ht="1.9" customHeight="1">
      <c r="A164" s="23"/>
      <c r="B164" s="6"/>
      <c r="C164" s="6"/>
      <c r="D164" s="6"/>
      <c r="E164" s="6"/>
      <c r="F164" s="6"/>
      <c r="G164" s="6"/>
      <c r="H164" s="6"/>
      <c r="I164" s="6"/>
      <c r="J164" s="19" t="str">
        <f>IF(A164="","",SUMIF('12_Gastos'!A:A,A164,'12_Gastos'!D:D))</f>
        <v/>
      </c>
      <c r="K164" s="6" t="str">
        <f t="shared" si="5"/>
        <v/>
      </c>
      <c r="L164" s="6"/>
    </row>
    <row r="165" spans="1:12" ht="1.9" customHeight="1">
      <c r="A165" s="23"/>
      <c r="B165" s="6"/>
      <c r="C165" s="6"/>
      <c r="D165" s="6"/>
      <c r="E165" s="6"/>
      <c r="F165" s="6"/>
      <c r="G165" s="6"/>
      <c r="H165" s="6"/>
      <c r="I165" s="6"/>
      <c r="J165" s="19" t="str">
        <f>IF(A165="","",SUMIF('12_Gastos'!A:A,A165,'12_Gastos'!D:D))</f>
        <v/>
      </c>
      <c r="K165" s="6" t="str">
        <f t="shared" si="5"/>
        <v/>
      </c>
      <c r="L165" s="6"/>
    </row>
    <row r="166" spans="1:12" ht="1.9" customHeight="1">
      <c r="A166" s="23"/>
      <c r="B166" s="6"/>
      <c r="C166" s="6"/>
      <c r="D166" s="6"/>
      <c r="E166" s="6"/>
      <c r="F166" s="6"/>
      <c r="G166" s="6"/>
      <c r="H166" s="6"/>
      <c r="I166" s="6"/>
      <c r="J166" s="19" t="str">
        <f>IF(A166="","",SUMIF('12_Gastos'!A:A,A166,'12_Gastos'!D:D))</f>
        <v/>
      </c>
      <c r="K166" s="6" t="str">
        <f t="shared" si="5"/>
        <v/>
      </c>
      <c r="L166" s="6"/>
    </row>
    <row r="167" spans="1:12" ht="1.9" customHeight="1">
      <c r="A167" s="23"/>
      <c r="B167" s="6"/>
      <c r="C167" s="6"/>
      <c r="D167" s="6"/>
      <c r="E167" s="6"/>
      <c r="F167" s="6"/>
      <c r="G167" s="6"/>
      <c r="H167" s="6"/>
      <c r="I167" s="6"/>
      <c r="J167" s="19" t="str">
        <f>IF(A167="","",SUMIF('12_Gastos'!A:A,A167,'12_Gastos'!D:D))</f>
        <v/>
      </c>
      <c r="K167" s="6" t="str">
        <f t="shared" si="5"/>
        <v/>
      </c>
      <c r="L167" s="6"/>
    </row>
    <row r="168" spans="1:12" ht="1.9" customHeight="1">
      <c r="A168" s="23"/>
      <c r="B168" s="6"/>
      <c r="C168" s="6"/>
      <c r="D168" s="6"/>
      <c r="E168" s="6"/>
      <c r="F168" s="6"/>
      <c r="G168" s="6"/>
      <c r="H168" s="6"/>
      <c r="I168" s="6"/>
      <c r="J168" s="19" t="str">
        <f>IF(A168="","",SUMIF('12_Gastos'!A:A,A168,'12_Gastos'!D:D))</f>
        <v/>
      </c>
      <c r="K168" s="6" t="str">
        <f t="shared" si="5"/>
        <v/>
      </c>
      <c r="L168" s="6"/>
    </row>
    <row r="169" spans="1:12" ht="1.9" customHeight="1">
      <c r="A169" s="23"/>
      <c r="B169" s="6"/>
      <c r="C169" s="6"/>
      <c r="D169" s="6"/>
      <c r="E169" s="6"/>
      <c r="F169" s="6"/>
      <c r="G169" s="6"/>
      <c r="H169" s="6"/>
      <c r="I169" s="6"/>
      <c r="J169" s="19" t="str">
        <f>IF(A169="","",SUMIF('12_Gastos'!A:A,A169,'12_Gastos'!D:D))</f>
        <v/>
      </c>
      <c r="K169" s="6" t="str">
        <f t="shared" si="5"/>
        <v/>
      </c>
      <c r="L169" s="6"/>
    </row>
    <row r="170" spans="1:12" ht="1.9" customHeight="1">
      <c r="A170" s="23"/>
      <c r="B170" s="6"/>
      <c r="C170" s="6"/>
      <c r="D170" s="6"/>
      <c r="E170" s="6"/>
      <c r="F170" s="6"/>
      <c r="G170" s="6"/>
      <c r="H170" s="6"/>
      <c r="I170" s="6"/>
      <c r="J170" s="19" t="str">
        <f>IF(A170="","",SUMIF('12_Gastos'!A:A,A170,'12_Gastos'!D:D))</f>
        <v/>
      </c>
      <c r="K170" s="6" t="str">
        <f t="shared" si="5"/>
        <v/>
      </c>
      <c r="L170" s="6"/>
    </row>
    <row r="171" spans="1:12" ht="1.9" customHeight="1">
      <c r="A171" s="23"/>
      <c r="B171" s="6"/>
      <c r="C171" s="6"/>
      <c r="D171" s="6"/>
      <c r="E171" s="6"/>
      <c r="F171" s="6"/>
      <c r="G171" s="6"/>
      <c r="H171" s="6"/>
      <c r="I171" s="6"/>
      <c r="J171" s="19" t="str">
        <f>IF(A171="","",SUMIF('12_Gastos'!A:A,A171,'12_Gastos'!D:D))</f>
        <v/>
      </c>
      <c r="K171" s="6" t="str">
        <f t="shared" si="5"/>
        <v/>
      </c>
      <c r="L171" s="6"/>
    </row>
    <row r="172" spans="1:12" ht="1.9" customHeight="1">
      <c r="A172" s="23"/>
      <c r="B172" s="6"/>
      <c r="C172" s="6"/>
      <c r="D172" s="6"/>
      <c r="E172" s="6"/>
      <c r="F172" s="6"/>
      <c r="G172" s="6"/>
      <c r="H172" s="6"/>
      <c r="I172" s="6"/>
      <c r="J172" s="19" t="str">
        <f>IF(A172="","",SUMIF('12_Gastos'!A:A,A172,'12_Gastos'!D:D))</f>
        <v/>
      </c>
      <c r="K172" s="6" t="str">
        <f t="shared" si="5"/>
        <v/>
      </c>
      <c r="L172" s="6"/>
    </row>
    <row r="173" spans="1:12" ht="1.9" customHeight="1">
      <c r="A173" s="23"/>
      <c r="B173" s="6"/>
      <c r="C173" s="6"/>
      <c r="D173" s="6"/>
      <c r="E173" s="6"/>
      <c r="F173" s="6"/>
      <c r="G173" s="6"/>
      <c r="H173" s="6"/>
      <c r="I173" s="6"/>
      <c r="J173" s="19" t="str">
        <f>IF(A173="","",SUMIF('12_Gastos'!A:A,A173,'12_Gastos'!D:D))</f>
        <v/>
      </c>
      <c r="K173" s="6" t="str">
        <f t="shared" si="5"/>
        <v/>
      </c>
      <c r="L173" s="6"/>
    </row>
    <row r="174" spans="1:12" ht="1.9" customHeight="1">
      <c r="A174" s="23"/>
      <c r="B174" s="6"/>
      <c r="C174" s="6"/>
      <c r="D174" s="6"/>
      <c r="E174" s="6"/>
      <c r="F174" s="6"/>
      <c r="G174" s="6"/>
      <c r="H174" s="6"/>
      <c r="I174" s="6"/>
      <c r="J174" s="19" t="str">
        <f>IF(A174="","",SUMIF('12_Gastos'!A:A,A174,'12_Gastos'!D:D))</f>
        <v/>
      </c>
      <c r="K174" s="6" t="str">
        <f t="shared" si="5"/>
        <v/>
      </c>
      <c r="L174" s="6"/>
    </row>
    <row r="175" spans="1:12" ht="1.9" customHeight="1">
      <c r="A175" s="23"/>
      <c r="B175" s="6"/>
      <c r="C175" s="6"/>
      <c r="D175" s="6"/>
      <c r="E175" s="6"/>
      <c r="F175" s="6"/>
      <c r="G175" s="6"/>
      <c r="H175" s="6"/>
      <c r="I175" s="6"/>
      <c r="J175" s="19" t="str">
        <f>IF(A175="","",SUMIF('12_Gastos'!A:A,A175,'12_Gastos'!D:D))</f>
        <v/>
      </c>
      <c r="K175" s="6" t="str">
        <f t="shared" si="5"/>
        <v/>
      </c>
      <c r="L175" s="6"/>
    </row>
    <row r="176" spans="1:12" ht="1.9" customHeight="1">
      <c r="A176" s="23"/>
      <c r="B176" s="6"/>
      <c r="C176" s="6"/>
      <c r="D176" s="6"/>
      <c r="E176" s="6"/>
      <c r="F176" s="6"/>
      <c r="G176" s="6"/>
      <c r="H176" s="6"/>
      <c r="I176" s="6"/>
      <c r="J176" s="19" t="str">
        <f>IF(A176="","",SUMIF('12_Gastos'!A:A,A176,'12_Gastos'!D:D))</f>
        <v/>
      </c>
      <c r="K176" s="6" t="str">
        <f t="shared" si="5"/>
        <v/>
      </c>
      <c r="L176" s="6"/>
    </row>
    <row r="177" spans="1:12" ht="1.9" customHeight="1">
      <c r="A177" s="23"/>
      <c r="B177" s="6"/>
      <c r="C177" s="6"/>
      <c r="D177" s="6"/>
      <c r="E177" s="6"/>
      <c r="F177" s="6"/>
      <c r="G177" s="6"/>
      <c r="H177" s="6"/>
      <c r="I177" s="6"/>
      <c r="J177" s="19" t="str">
        <f>IF(A177="","",SUMIF('12_Gastos'!A:A,A177,'12_Gastos'!D:D))</f>
        <v/>
      </c>
      <c r="K177" s="6" t="str">
        <f t="shared" si="5"/>
        <v/>
      </c>
      <c r="L177" s="6"/>
    </row>
    <row r="178" spans="1:12" ht="1.9" customHeight="1">
      <c r="A178" s="23"/>
      <c r="B178" s="6"/>
      <c r="C178" s="6"/>
      <c r="D178" s="6"/>
      <c r="E178" s="6"/>
      <c r="F178" s="6"/>
      <c r="G178" s="6"/>
      <c r="H178" s="6"/>
      <c r="I178" s="6"/>
      <c r="J178" s="19" t="str">
        <f>IF(A178="","",SUMIF('12_Gastos'!A:A,A178,'12_Gastos'!D:D))</f>
        <v/>
      </c>
      <c r="K178" s="6" t="str">
        <f t="shared" si="5"/>
        <v/>
      </c>
      <c r="L178" s="6"/>
    </row>
    <row r="179" spans="1:12" ht="1.9" customHeight="1">
      <c r="A179" s="23"/>
      <c r="B179" s="6"/>
      <c r="C179" s="6"/>
      <c r="D179" s="6"/>
      <c r="E179" s="6"/>
      <c r="F179" s="6"/>
      <c r="G179" s="6"/>
      <c r="H179" s="6"/>
      <c r="I179" s="6"/>
      <c r="J179" s="19" t="str">
        <f>IF(A179="","",SUMIF('12_Gastos'!A:A,A179,'12_Gastos'!D:D))</f>
        <v/>
      </c>
      <c r="K179" s="6" t="str">
        <f t="shared" si="5"/>
        <v/>
      </c>
      <c r="L179" s="6"/>
    </row>
    <row r="180" spans="1:12" ht="1.9" customHeight="1">
      <c r="A180" s="23"/>
      <c r="B180" s="6"/>
      <c r="C180" s="6"/>
      <c r="D180" s="6"/>
      <c r="E180" s="6"/>
      <c r="F180" s="6"/>
      <c r="G180" s="6"/>
      <c r="H180" s="6"/>
      <c r="I180" s="6"/>
      <c r="J180" s="19" t="str">
        <f>IF(A180="","",SUMIF('12_Gastos'!A:A,A180,'12_Gastos'!D:D))</f>
        <v/>
      </c>
      <c r="K180" s="6" t="str">
        <f t="shared" si="5"/>
        <v/>
      </c>
      <c r="L180" s="6"/>
    </row>
    <row r="181" spans="1:12" ht="1.9" customHeight="1">
      <c r="A181" s="23"/>
      <c r="B181" s="6"/>
      <c r="C181" s="6"/>
      <c r="D181" s="6"/>
      <c r="E181" s="6"/>
      <c r="F181" s="6"/>
      <c r="G181" s="6"/>
      <c r="H181" s="6"/>
      <c r="I181" s="6"/>
      <c r="J181" s="19" t="str">
        <f>IF(A181="","",SUMIF('12_Gastos'!A:A,A181,'12_Gastos'!D:D))</f>
        <v/>
      </c>
      <c r="K181" s="6" t="str">
        <f t="shared" si="5"/>
        <v/>
      </c>
      <c r="L181" s="6"/>
    </row>
    <row r="182" spans="1:12" ht="1.9" customHeight="1">
      <c r="A182" s="23"/>
      <c r="B182" s="6"/>
      <c r="C182" s="6"/>
      <c r="D182" s="6"/>
      <c r="E182" s="6"/>
      <c r="F182" s="6"/>
      <c r="G182" s="6"/>
      <c r="H182" s="6"/>
      <c r="I182" s="6"/>
      <c r="J182" s="19" t="str">
        <f>IF(A182="","",SUMIF('12_Gastos'!A:A,A182,'12_Gastos'!D:D))</f>
        <v/>
      </c>
      <c r="K182" s="6" t="str">
        <f t="shared" si="5"/>
        <v/>
      </c>
      <c r="L182" s="6"/>
    </row>
    <row r="183" spans="1:12">
      <c r="K183" t="str">
        <f t="shared" si="5"/>
        <v/>
      </c>
    </row>
    <row r="184" spans="1:12">
      <c r="K184" t="str">
        <f t="shared" si="5"/>
        <v/>
      </c>
    </row>
    <row r="185" spans="1:12">
      <c r="K185" t="str">
        <f t="shared" si="5"/>
        <v/>
      </c>
    </row>
    <row r="186" spans="1:12">
      <c r="K186" t="str">
        <f t="shared" ref="K186:K204" si="6">IF(A186="","", "Semana "&amp;(WEEKNUM(A186,2)-WEEKNUM(DATE(YEAR(A186),MONTH(A186),1),2)+1))</f>
        <v/>
      </c>
    </row>
    <row r="187" spans="1:12">
      <c r="K187" t="str">
        <f t="shared" si="6"/>
        <v/>
      </c>
    </row>
    <row r="188" spans="1:12">
      <c r="K188" t="str">
        <f t="shared" si="6"/>
        <v/>
      </c>
    </row>
    <row r="189" spans="1:12">
      <c r="K189" t="str">
        <f t="shared" si="6"/>
        <v/>
      </c>
    </row>
    <row r="190" spans="1:12">
      <c r="K190" t="str">
        <f t="shared" si="6"/>
        <v/>
      </c>
    </row>
    <row r="191" spans="1:12">
      <c r="K191" t="str">
        <f t="shared" si="6"/>
        <v/>
      </c>
    </row>
    <row r="192" spans="1:12">
      <c r="K192" t="str">
        <f t="shared" si="6"/>
        <v/>
      </c>
    </row>
    <row r="193" spans="11:11">
      <c r="K193" t="str">
        <f t="shared" si="6"/>
        <v/>
      </c>
    </row>
    <row r="194" spans="11:11">
      <c r="K194" t="str">
        <f t="shared" si="6"/>
        <v/>
      </c>
    </row>
    <row r="195" spans="11:11">
      <c r="K195" t="str">
        <f t="shared" si="6"/>
        <v/>
      </c>
    </row>
    <row r="196" spans="11:11">
      <c r="K196" t="str">
        <f t="shared" si="6"/>
        <v/>
      </c>
    </row>
    <row r="197" spans="11:11">
      <c r="K197" t="str">
        <f t="shared" si="6"/>
        <v/>
      </c>
    </row>
    <row r="198" spans="11:11">
      <c r="K198" t="str">
        <f t="shared" si="6"/>
        <v/>
      </c>
    </row>
    <row r="199" spans="11:11">
      <c r="K199" t="str">
        <f t="shared" si="6"/>
        <v/>
      </c>
    </row>
    <row r="200" spans="11:11">
      <c r="K200" t="str">
        <f t="shared" si="6"/>
        <v/>
      </c>
    </row>
    <row r="201" spans="11:11">
      <c r="K201" t="str">
        <f t="shared" si="6"/>
        <v/>
      </c>
    </row>
    <row r="202" spans="11:11">
      <c r="K202" t="str">
        <f t="shared" si="6"/>
        <v/>
      </c>
    </row>
    <row r="203" spans="11:11">
      <c r="K203" t="str">
        <f t="shared" si="6"/>
        <v/>
      </c>
    </row>
    <row r="204" spans="11:11">
      <c r="K204" t="str">
        <f t="shared" si="6"/>
        <v/>
      </c>
    </row>
  </sheetData>
  <mergeCells count="2">
    <mergeCell ref="A2:L2"/>
    <mergeCell ref="A1:L1"/>
  </mergeCells>
  <dataValidations count="3">
    <dataValidation type="list" allowBlank="1" sqref="C5:G182" xr:uid="{00000000-0002-0000-0B00-000000000000}">
      <formula1>"Sí,No"</formula1>
    </dataValidation>
    <dataValidation type="list" sqref="C5:G403" xr:uid="{00000000-0002-0000-0B00-000001000000}">
      <formula1>"Sí,No"</formula1>
    </dataValidation>
    <dataValidation type="list" allowBlank="1" showInputMessage="1" showErrorMessage="1" sqref="B5:B403" xr:uid="{00000000-0002-0000-0B00-000002000000}">
      <formula1>"Libre,Compensado,Permiso Administrativo,Vacaciones,Turno de Mañana,Turno de Tarde,Turno de Noche"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A651"/>
  </sheetPr>
  <dimension ref="A1:N403"/>
  <sheetViews>
    <sheetView showGridLines="0" topLeftCell="A63" workbookViewId="0">
      <selection sqref="A1:J1"/>
    </sheetView>
  </sheetViews>
  <sheetFormatPr baseColWidth="10" defaultColWidth="14.453125" defaultRowHeight="14.5"/>
  <cols>
    <col min="1" max="1" width="10.08984375" style="355" customWidth="1"/>
    <col min="2" max="2" width="6.6328125" style="355" customWidth="1"/>
    <col min="3" max="3" width="7.26953125" style="355" customWidth="1"/>
    <col min="4" max="4" width="11.1796875" style="355" customWidth="1"/>
    <col min="5" max="5" width="10.08984375" style="355" customWidth="1"/>
    <col min="6" max="6" width="5.54296875" style="355" customWidth="1"/>
    <col min="7" max="7" width="13.453125" style="355" customWidth="1"/>
    <col min="8" max="8" width="15.90625" style="355" customWidth="1"/>
    <col min="9" max="9" width="13.26953125" style="355" customWidth="1"/>
    <col min="10" max="10" width="12.54296875" style="355" customWidth="1"/>
    <col min="11" max="11" width="14.54296875" style="355" customWidth="1"/>
    <col min="12" max="12" width="10.7265625" style="355" customWidth="1"/>
    <col min="13" max="13" width="10" style="355" customWidth="1"/>
    <col min="14" max="14" width="9" style="355" customWidth="1"/>
    <col min="15" max="16384" width="14.453125" style="355"/>
  </cols>
  <sheetData>
    <row r="1" spans="1:14" ht="21" customHeight="1">
      <c r="A1" s="437" t="s">
        <v>1174</v>
      </c>
      <c r="B1" s="421"/>
      <c r="C1" s="421"/>
      <c r="D1" s="421"/>
      <c r="E1" s="421"/>
      <c r="F1" s="421"/>
      <c r="G1" s="421"/>
      <c r="H1" s="421"/>
      <c r="I1" s="421"/>
      <c r="J1" s="421"/>
      <c r="K1" s="356"/>
      <c r="L1" s="356"/>
      <c r="M1" s="356"/>
      <c r="N1" s="356"/>
    </row>
    <row r="2" spans="1:14">
      <c r="A2" s="438" t="s">
        <v>1175</v>
      </c>
      <c r="B2" s="421"/>
      <c r="C2" s="421"/>
      <c r="D2" s="421"/>
      <c r="E2" s="421"/>
      <c r="F2" s="421"/>
      <c r="G2" s="421"/>
      <c r="H2" s="421"/>
      <c r="I2" s="421"/>
      <c r="J2" s="421"/>
      <c r="K2" s="357"/>
      <c r="L2" s="357"/>
      <c r="M2" s="357"/>
      <c r="N2" s="357"/>
    </row>
    <row r="3" spans="1:14" ht="1.9" customHeight="1">
      <c r="A3" s="358"/>
      <c r="B3" s="358"/>
      <c r="C3" s="358"/>
      <c r="D3" s="358"/>
      <c r="E3" s="358"/>
      <c r="F3" s="358"/>
      <c r="G3" s="358"/>
      <c r="H3" s="358"/>
      <c r="I3" s="358"/>
      <c r="J3" s="358"/>
      <c r="K3" s="359"/>
      <c r="L3" s="359"/>
      <c r="M3" s="359"/>
      <c r="N3" s="359"/>
    </row>
    <row r="4" spans="1:14" ht="29" customHeight="1">
      <c r="A4" s="360" t="s">
        <v>13</v>
      </c>
      <c r="B4" s="360" t="s">
        <v>1109</v>
      </c>
      <c r="C4" s="360" t="s">
        <v>1110</v>
      </c>
      <c r="D4" s="360" t="s">
        <v>286</v>
      </c>
      <c r="E4" s="360" t="s">
        <v>1111</v>
      </c>
      <c r="F4" s="360" t="s">
        <v>322</v>
      </c>
      <c r="G4" s="360" t="s">
        <v>1176</v>
      </c>
      <c r="H4" s="360" t="s">
        <v>1177</v>
      </c>
      <c r="I4" s="360" t="s">
        <v>1178</v>
      </c>
      <c r="J4" s="360" t="s">
        <v>1179</v>
      </c>
      <c r="K4" s="360" t="s">
        <v>1180</v>
      </c>
      <c r="L4" s="360" t="s">
        <v>1181</v>
      </c>
      <c r="M4" s="360" t="s">
        <v>1182</v>
      </c>
      <c r="N4" s="361" t="s">
        <v>1183</v>
      </c>
    </row>
    <row r="5" spans="1:14">
      <c r="A5" s="416">
        <f>IF(OR('20_Registro_Diario'!A5="",'20_Registro_Diario'!A5=0),"",'20_Registro_Diario'!A5)</f>
        <v>46143</v>
      </c>
      <c r="B5" s="362">
        <f>IF(A5="","",--(LOWER('20_Registro_Diario'!C5)="sí"))</f>
        <v>1</v>
      </c>
      <c r="C5" s="362">
        <f>IF(A5="","",--(LOWER('20_Registro_Diario'!D5)="sí"))</f>
        <v>1</v>
      </c>
      <c r="D5" s="362">
        <f>IF(A5="","",--(LOWER('20_Registro_Diario'!E5)="sí"))</f>
        <v>0</v>
      </c>
      <c r="E5" s="362">
        <f>IF(A5="","",--(LOWER('20_Registro_Diario'!F5)="sí"))</f>
        <v>1</v>
      </c>
      <c r="F5" s="362">
        <f>IF(A5="","",--(LOWER('20_Registro_Diario'!G5)="sí"))</f>
        <v>0</v>
      </c>
      <c r="G5" s="363">
        <f>IF(A5="","",IFERROR('20_Registro_Diario'!I5,0))</f>
        <v>10</v>
      </c>
      <c r="H5" s="364">
        <f t="shared" ref="H5:H68" si="0">IF(A5="","",IFERROR(SUM(B5:F5)/5,0))</f>
        <v>0.6</v>
      </c>
      <c r="I5" s="365" t="str">
        <f t="shared" ref="I5:I68" si="1">IF(A5="","",IF(H5&gt;=0.8,"🟢 Fuerte",IF(H5&gt;=0.5,"🟡 En proceso","🔴 Riesgo")))</f>
        <v>🟡 En proceso</v>
      </c>
      <c r="J5" s="340" t="str">
        <f t="shared" ref="J5:J68" si="2">IF(A5="","",IF(B5=1,"Sí","No"))</f>
        <v>Sí</v>
      </c>
      <c r="K5" s="359" t="str">
        <f t="shared" ref="K5:K68" si="3">IF(A5="","",IF(D5=1,"Con universidad","Sin universidad"))</f>
        <v>Sin universidad</v>
      </c>
      <c r="L5" s="359" t="str">
        <f t="shared" ref="L5:L68" si="4">IF(A5="","",IF(H5&gt;=0.8,"Alto",IF(H5&gt;=0.5,"Medio","Bajo")))</f>
        <v>Medio</v>
      </c>
      <c r="M5" s="359" t="str">
        <f t="shared" ref="M5:M68" si="5">IF(A5="","",IF(H5&gt;=0.8,"🟢 Fuerte",IF(H5&gt;=0.5,"🟡 Día útil","🔴 Revisar")))</f>
        <v>🟡 Día útil</v>
      </c>
      <c r="N5" s="149">
        <f t="shared" ref="N5:N68" si="6">IF(A5="","",H5*100)</f>
        <v>60</v>
      </c>
    </row>
    <row r="6" spans="1:14">
      <c r="A6" s="416">
        <f>IF(OR('20_Registro_Diario'!A6="",'20_Registro_Diario'!A6=0),"",'20_Registro_Diario'!A6)</f>
        <v>46144</v>
      </c>
      <c r="B6" s="362">
        <f>IF(A6="","",--(LOWER('20_Registro_Diario'!C6)="sí"))</f>
        <v>1</v>
      </c>
      <c r="C6" s="362">
        <f>IF(A6="","",--(LOWER('20_Registro_Diario'!D6)="sí"))</f>
        <v>0</v>
      </c>
      <c r="D6" s="362">
        <f>IF(A6="","",--(LOWER('20_Registro_Diario'!E6)="sí"))</f>
        <v>0</v>
      </c>
      <c r="E6" s="362">
        <f>IF(A6="","",--(LOWER('20_Registro_Diario'!F6)="sí"))</f>
        <v>0</v>
      </c>
      <c r="F6" s="362">
        <f>IF(A6="","",--(LOWER('20_Registro_Diario'!G6)="sí"))</f>
        <v>0</v>
      </c>
      <c r="G6" s="363">
        <f>IF(A6="","",IFERROR('20_Registro_Diario'!I6,0))</f>
        <v>10</v>
      </c>
      <c r="H6" s="364">
        <f t="shared" si="0"/>
        <v>0.2</v>
      </c>
      <c r="I6" s="365" t="str">
        <f t="shared" si="1"/>
        <v>🔴 Riesgo</v>
      </c>
      <c r="J6" s="340" t="str">
        <f t="shared" si="2"/>
        <v>Sí</v>
      </c>
      <c r="K6" s="359" t="str">
        <f t="shared" si="3"/>
        <v>Sin universidad</v>
      </c>
      <c r="L6" s="359" t="str">
        <f t="shared" si="4"/>
        <v>Bajo</v>
      </c>
      <c r="M6" s="359" t="str">
        <f t="shared" si="5"/>
        <v>🔴 Revisar</v>
      </c>
      <c r="N6" s="149">
        <f t="shared" si="6"/>
        <v>20</v>
      </c>
    </row>
    <row r="7" spans="1:14">
      <c r="A7" s="416">
        <f>IF(OR('20_Registro_Diario'!A7="",'20_Registro_Diario'!A7=0),"",'20_Registro_Diario'!A7)</f>
        <v>46145</v>
      </c>
      <c r="B7" s="362">
        <f>IF(A7="","",--(LOWER('20_Registro_Diario'!C7)="sí"))</f>
        <v>1</v>
      </c>
      <c r="C7" s="362">
        <f>IF(A7="","",--(LOWER('20_Registro_Diario'!D7)="sí"))</f>
        <v>1</v>
      </c>
      <c r="D7" s="362">
        <f>IF(A7="","",--(LOWER('20_Registro_Diario'!E7)="sí"))</f>
        <v>1</v>
      </c>
      <c r="E7" s="362">
        <f>IF(A7="","",--(LOWER('20_Registro_Diario'!F7)="sí"))</f>
        <v>0</v>
      </c>
      <c r="F7" s="362">
        <f>IF(A7="","",--(LOWER('20_Registro_Diario'!G7)="sí"))</f>
        <v>0</v>
      </c>
      <c r="G7" s="363">
        <f>IF(A7="","",IFERROR('20_Registro_Diario'!I7,0))</f>
        <v>10</v>
      </c>
      <c r="H7" s="364">
        <f t="shared" si="0"/>
        <v>0.6</v>
      </c>
      <c r="I7" s="365" t="str">
        <f t="shared" si="1"/>
        <v>🟡 En proceso</v>
      </c>
      <c r="J7" s="340" t="str">
        <f t="shared" si="2"/>
        <v>Sí</v>
      </c>
      <c r="K7" s="359" t="str">
        <f t="shared" si="3"/>
        <v>Con universidad</v>
      </c>
      <c r="L7" s="359" t="str">
        <f t="shared" si="4"/>
        <v>Medio</v>
      </c>
      <c r="M7" s="359" t="str">
        <f t="shared" si="5"/>
        <v>🟡 Día útil</v>
      </c>
      <c r="N7" s="149">
        <f t="shared" si="6"/>
        <v>60</v>
      </c>
    </row>
    <row r="8" spans="1:14">
      <c r="A8" s="416">
        <f>IF(OR('20_Registro_Diario'!A8="",'20_Registro_Diario'!A8=0),"",'20_Registro_Diario'!A8)</f>
        <v>46146</v>
      </c>
      <c r="B8" s="362">
        <f>IF(A8="","",--(LOWER('20_Registro_Diario'!C8)="sí"))</f>
        <v>1</v>
      </c>
      <c r="C8" s="362">
        <f>IF(A8="","",--(LOWER('20_Registro_Diario'!D8)="sí"))</f>
        <v>1</v>
      </c>
      <c r="D8" s="362">
        <f>IF(A8="","",--(LOWER('20_Registro_Diario'!E8)="sí"))</f>
        <v>0</v>
      </c>
      <c r="E8" s="362">
        <f>IF(A8="","",--(LOWER('20_Registro_Diario'!F8)="sí"))</f>
        <v>0</v>
      </c>
      <c r="F8" s="362">
        <f>IF(A8="","",--(LOWER('20_Registro_Diario'!G8)="sí"))</f>
        <v>0</v>
      </c>
      <c r="G8" s="363">
        <f>IF(A8="","",IFERROR('20_Registro_Diario'!I8,0))</f>
        <v>10</v>
      </c>
      <c r="H8" s="364">
        <f t="shared" si="0"/>
        <v>0.4</v>
      </c>
      <c r="I8" s="365" t="str">
        <f t="shared" si="1"/>
        <v>🔴 Riesgo</v>
      </c>
      <c r="J8" s="340" t="str">
        <f t="shared" si="2"/>
        <v>Sí</v>
      </c>
      <c r="K8" s="359" t="str">
        <f t="shared" si="3"/>
        <v>Sin universidad</v>
      </c>
      <c r="L8" s="359" t="str">
        <f t="shared" si="4"/>
        <v>Bajo</v>
      </c>
      <c r="M8" s="359" t="str">
        <f t="shared" si="5"/>
        <v>🔴 Revisar</v>
      </c>
      <c r="N8" s="149">
        <f t="shared" si="6"/>
        <v>40</v>
      </c>
    </row>
    <row r="9" spans="1:14">
      <c r="A9" s="416">
        <f>IF(OR('20_Registro_Diario'!A9="",'20_Registro_Diario'!A9=0),"",'20_Registro_Diario'!A9)</f>
        <v>46147</v>
      </c>
      <c r="B9" s="362">
        <f>IF(A9="","",--(LOWER('20_Registro_Diario'!C9)="sí"))</f>
        <v>1</v>
      </c>
      <c r="C9" s="362">
        <f>IF(A9="","",--(LOWER('20_Registro_Diario'!D9)="sí"))</f>
        <v>1</v>
      </c>
      <c r="D9" s="362">
        <f>IF(A9="","",--(LOWER('20_Registro_Diario'!E9)="sí"))</f>
        <v>0</v>
      </c>
      <c r="E9" s="362">
        <f>IF(A9="","",--(LOWER('20_Registro_Diario'!F9)="sí"))</f>
        <v>1</v>
      </c>
      <c r="F9" s="362">
        <f>IF(A9="","",--(LOWER('20_Registro_Diario'!G9)="sí"))</f>
        <v>0</v>
      </c>
      <c r="G9" s="363">
        <f>IF(A9="","",IFERROR('20_Registro_Diario'!I9,0))</f>
        <v>10</v>
      </c>
      <c r="H9" s="364">
        <f t="shared" si="0"/>
        <v>0.6</v>
      </c>
      <c r="I9" s="365" t="str">
        <f t="shared" si="1"/>
        <v>🟡 En proceso</v>
      </c>
      <c r="J9" s="340" t="str">
        <f t="shared" si="2"/>
        <v>Sí</v>
      </c>
      <c r="K9" s="359" t="str">
        <f t="shared" si="3"/>
        <v>Sin universidad</v>
      </c>
      <c r="L9" s="359" t="str">
        <f t="shared" si="4"/>
        <v>Medio</v>
      </c>
      <c r="M9" s="359" t="str">
        <f t="shared" si="5"/>
        <v>🟡 Día útil</v>
      </c>
      <c r="N9" s="149">
        <f t="shared" si="6"/>
        <v>60</v>
      </c>
    </row>
    <row r="10" spans="1:14">
      <c r="A10" s="416">
        <f>IF(OR('20_Registro_Diario'!A10="",'20_Registro_Diario'!A10=0),"",'20_Registro_Diario'!A10)</f>
        <v>46148</v>
      </c>
      <c r="B10" s="362">
        <f>IF(A10="","",--(LOWER('20_Registro_Diario'!C10)="sí"))</f>
        <v>1</v>
      </c>
      <c r="C10" s="362">
        <f>IF(A10="","",--(LOWER('20_Registro_Diario'!D10)="sí"))</f>
        <v>1</v>
      </c>
      <c r="D10" s="362">
        <f>IF(A10="","",--(LOWER('20_Registro_Diario'!E10)="sí"))</f>
        <v>1</v>
      </c>
      <c r="E10" s="362">
        <f>IF(A10="","",--(LOWER('20_Registro_Diario'!F10)="sí"))</f>
        <v>0</v>
      </c>
      <c r="F10" s="362">
        <f>IF(A10="","",--(LOWER('20_Registro_Diario'!G10)="sí"))</f>
        <v>0</v>
      </c>
      <c r="G10" s="363">
        <f>IF(A10="","",IFERROR('20_Registro_Diario'!I10,0))</f>
        <v>10</v>
      </c>
      <c r="H10" s="364">
        <f t="shared" si="0"/>
        <v>0.6</v>
      </c>
      <c r="I10" s="365" t="str">
        <f t="shared" si="1"/>
        <v>🟡 En proceso</v>
      </c>
      <c r="J10" s="340" t="str">
        <f t="shared" si="2"/>
        <v>Sí</v>
      </c>
      <c r="K10" s="359" t="str">
        <f t="shared" si="3"/>
        <v>Con universidad</v>
      </c>
      <c r="L10" s="359" t="str">
        <f t="shared" si="4"/>
        <v>Medio</v>
      </c>
      <c r="M10" s="359" t="str">
        <f t="shared" si="5"/>
        <v>🟡 Día útil</v>
      </c>
      <c r="N10" s="149">
        <f t="shared" si="6"/>
        <v>60</v>
      </c>
    </row>
    <row r="11" spans="1:14">
      <c r="A11" s="416">
        <f>IF(OR('20_Registro_Diario'!A11="",'20_Registro_Diario'!A11=0),"",'20_Registro_Diario'!A11)</f>
        <v>46149</v>
      </c>
      <c r="B11" s="362">
        <f>IF(A11="","",--(LOWER('20_Registro_Diario'!C11)="sí"))</f>
        <v>1</v>
      </c>
      <c r="C11" s="362">
        <f>IF(A11="","",--(LOWER('20_Registro_Diario'!D11)="sí"))</f>
        <v>1</v>
      </c>
      <c r="D11" s="362">
        <f>IF(A11="","",--(LOWER('20_Registro_Diario'!E11)="sí"))</f>
        <v>1</v>
      </c>
      <c r="E11" s="362">
        <f>IF(A11="","",--(LOWER('20_Registro_Diario'!F11)="sí"))</f>
        <v>0</v>
      </c>
      <c r="F11" s="362">
        <f>IF(A11="","",--(LOWER('20_Registro_Diario'!G11)="sí"))</f>
        <v>0</v>
      </c>
      <c r="G11" s="363">
        <f>IF(A11="","",IFERROR('20_Registro_Diario'!I11,0))</f>
        <v>10</v>
      </c>
      <c r="H11" s="364">
        <f t="shared" si="0"/>
        <v>0.6</v>
      </c>
      <c r="I11" s="365" t="str">
        <f t="shared" si="1"/>
        <v>🟡 En proceso</v>
      </c>
      <c r="J11" s="340" t="str">
        <f t="shared" si="2"/>
        <v>Sí</v>
      </c>
      <c r="K11" s="359" t="str">
        <f t="shared" si="3"/>
        <v>Con universidad</v>
      </c>
      <c r="L11" s="359" t="str">
        <f t="shared" si="4"/>
        <v>Medio</v>
      </c>
      <c r="M11" s="359" t="str">
        <f t="shared" si="5"/>
        <v>🟡 Día útil</v>
      </c>
      <c r="N11" s="149">
        <f t="shared" si="6"/>
        <v>60</v>
      </c>
    </row>
    <row r="12" spans="1:14">
      <c r="A12" s="416">
        <f>IF(OR('20_Registro_Diario'!A12="",'20_Registro_Diario'!A12=0),"",'20_Registro_Diario'!A12)</f>
        <v>46150</v>
      </c>
      <c r="B12" s="362">
        <f>IF(A12="","",--(LOWER('20_Registro_Diario'!C12)="sí"))</f>
        <v>1</v>
      </c>
      <c r="C12" s="362">
        <f>IF(A12="","",--(LOWER('20_Registro_Diario'!D12)="sí"))</f>
        <v>1</v>
      </c>
      <c r="D12" s="362">
        <f>IF(A12="","",--(LOWER('20_Registro_Diario'!E12)="sí"))</f>
        <v>0</v>
      </c>
      <c r="E12" s="362">
        <f>IF(A12="","",--(LOWER('20_Registro_Diario'!F12)="sí"))</f>
        <v>0</v>
      </c>
      <c r="F12" s="362">
        <f>IF(A12="","",--(LOWER('20_Registro_Diario'!G12)="sí"))</f>
        <v>0</v>
      </c>
      <c r="G12" s="363">
        <f>IF(A12="","",IFERROR('20_Registro_Diario'!I12,0))</f>
        <v>10</v>
      </c>
      <c r="H12" s="364">
        <f t="shared" si="0"/>
        <v>0.4</v>
      </c>
      <c r="I12" s="365" t="str">
        <f t="shared" si="1"/>
        <v>🔴 Riesgo</v>
      </c>
      <c r="J12" s="340" t="str">
        <f t="shared" si="2"/>
        <v>Sí</v>
      </c>
      <c r="K12" s="359" t="str">
        <f t="shared" si="3"/>
        <v>Sin universidad</v>
      </c>
      <c r="L12" s="359" t="str">
        <f t="shared" si="4"/>
        <v>Bajo</v>
      </c>
      <c r="M12" s="359" t="str">
        <f t="shared" si="5"/>
        <v>🔴 Revisar</v>
      </c>
      <c r="N12" s="149">
        <f t="shared" si="6"/>
        <v>40</v>
      </c>
    </row>
    <row r="13" spans="1:14">
      <c r="A13" s="416">
        <f>IF(OR('20_Registro_Diario'!A13="",'20_Registro_Diario'!A13=0),"",'20_Registro_Diario'!A13)</f>
        <v>46151</v>
      </c>
      <c r="B13" s="362">
        <f>IF(A13="","",--(LOWER('20_Registro_Diario'!C13)="sí"))</f>
        <v>1</v>
      </c>
      <c r="C13" s="362">
        <f>IF(A13="","",--(LOWER('20_Registro_Diario'!D13)="sí"))</f>
        <v>1</v>
      </c>
      <c r="D13" s="362">
        <f>IF(A13="","",--(LOWER('20_Registro_Diario'!E13)="sí"))</f>
        <v>0</v>
      </c>
      <c r="E13" s="362">
        <f>IF(A13="","",--(LOWER('20_Registro_Diario'!F13)="sí"))</f>
        <v>0</v>
      </c>
      <c r="F13" s="362">
        <f>IF(A13="","",--(LOWER('20_Registro_Diario'!G13)="sí"))</f>
        <v>0</v>
      </c>
      <c r="G13" s="363">
        <f>IF(A13="","",IFERROR('20_Registro_Diario'!I13,0))</f>
        <v>10</v>
      </c>
      <c r="H13" s="364">
        <f t="shared" si="0"/>
        <v>0.4</v>
      </c>
      <c r="I13" s="365" t="str">
        <f t="shared" si="1"/>
        <v>🔴 Riesgo</v>
      </c>
      <c r="J13" s="340" t="str">
        <f t="shared" si="2"/>
        <v>Sí</v>
      </c>
      <c r="K13" s="359" t="str">
        <f t="shared" si="3"/>
        <v>Sin universidad</v>
      </c>
      <c r="L13" s="359" t="str">
        <f t="shared" si="4"/>
        <v>Bajo</v>
      </c>
      <c r="M13" s="359" t="str">
        <f t="shared" si="5"/>
        <v>🔴 Revisar</v>
      </c>
      <c r="N13" s="149">
        <f t="shared" si="6"/>
        <v>40</v>
      </c>
    </row>
    <row r="14" spans="1:14">
      <c r="A14" s="416">
        <f>IF(OR('20_Registro_Diario'!A14="",'20_Registro_Diario'!A14=0),"",'20_Registro_Diario'!A14)</f>
        <v>46152</v>
      </c>
      <c r="B14" s="362">
        <f>IF(A14="","",--(LOWER('20_Registro_Diario'!C14)="sí"))</f>
        <v>1</v>
      </c>
      <c r="C14" s="362">
        <f>IF(A14="","",--(LOWER('20_Registro_Diario'!D14)="sí"))</f>
        <v>1</v>
      </c>
      <c r="D14" s="362">
        <f>IF(A14="","",--(LOWER('20_Registro_Diario'!E14)="sí"))</f>
        <v>1</v>
      </c>
      <c r="E14" s="362">
        <f>IF(A14="","",--(LOWER('20_Registro_Diario'!F14)="sí"))</f>
        <v>0</v>
      </c>
      <c r="F14" s="362">
        <f>IF(A14="","",--(LOWER('20_Registro_Diario'!G14)="sí"))</f>
        <v>0</v>
      </c>
      <c r="G14" s="363">
        <f>IF(A14="","",IFERROR('20_Registro_Diario'!I14,0))</f>
        <v>10</v>
      </c>
      <c r="H14" s="364">
        <f t="shared" si="0"/>
        <v>0.6</v>
      </c>
      <c r="I14" s="365" t="str">
        <f t="shared" si="1"/>
        <v>🟡 En proceso</v>
      </c>
      <c r="J14" s="340" t="str">
        <f t="shared" si="2"/>
        <v>Sí</v>
      </c>
      <c r="K14" s="359" t="str">
        <f t="shared" si="3"/>
        <v>Con universidad</v>
      </c>
      <c r="L14" s="359" t="str">
        <f t="shared" si="4"/>
        <v>Medio</v>
      </c>
      <c r="M14" s="359" t="str">
        <f t="shared" si="5"/>
        <v>🟡 Día útil</v>
      </c>
      <c r="N14" s="149">
        <f t="shared" si="6"/>
        <v>60</v>
      </c>
    </row>
    <row r="15" spans="1:14">
      <c r="A15" s="416">
        <f>IF(OR('20_Registro_Diario'!A15="",'20_Registro_Diario'!A15=0),"",'20_Registro_Diario'!A15)</f>
        <v>46153</v>
      </c>
      <c r="B15" s="362">
        <f>IF(A15="","",--(LOWER('20_Registro_Diario'!C15)="sí"))</f>
        <v>1</v>
      </c>
      <c r="C15" s="362">
        <f>IF(A15="","",--(LOWER('20_Registro_Diario'!D15)="sí"))</f>
        <v>1</v>
      </c>
      <c r="D15" s="362">
        <f>IF(A15="","",--(LOWER('20_Registro_Diario'!E15)="sí"))</f>
        <v>0</v>
      </c>
      <c r="E15" s="362">
        <f>IF(A15="","",--(LOWER('20_Registro_Diario'!F15)="sí"))</f>
        <v>0</v>
      </c>
      <c r="F15" s="362">
        <f>IF(A15="","",--(LOWER('20_Registro_Diario'!G15)="sí"))</f>
        <v>0</v>
      </c>
      <c r="G15" s="363">
        <f>IF(A15="","",IFERROR('20_Registro_Diario'!I15,0))</f>
        <v>10</v>
      </c>
      <c r="H15" s="364">
        <f t="shared" si="0"/>
        <v>0.4</v>
      </c>
      <c r="I15" s="365" t="str">
        <f t="shared" si="1"/>
        <v>🔴 Riesgo</v>
      </c>
      <c r="J15" s="340" t="str">
        <f t="shared" si="2"/>
        <v>Sí</v>
      </c>
      <c r="K15" s="359" t="str">
        <f t="shared" si="3"/>
        <v>Sin universidad</v>
      </c>
      <c r="L15" s="359" t="str">
        <f t="shared" si="4"/>
        <v>Bajo</v>
      </c>
      <c r="M15" s="359" t="str">
        <f t="shared" si="5"/>
        <v>🔴 Revisar</v>
      </c>
      <c r="N15" s="149">
        <f t="shared" si="6"/>
        <v>40</v>
      </c>
    </row>
    <row r="16" spans="1:14">
      <c r="A16" s="416">
        <f>IF(OR('20_Registro_Diario'!A16="",'20_Registro_Diario'!A16=0),"",'20_Registro_Diario'!A16)</f>
        <v>46154</v>
      </c>
      <c r="B16" s="362">
        <f>IF(A16="","",--(LOWER('20_Registro_Diario'!C16)="sí"))</f>
        <v>1</v>
      </c>
      <c r="C16" s="362">
        <f>IF(A16="","",--(LOWER('20_Registro_Diario'!D16)="sí"))</f>
        <v>0</v>
      </c>
      <c r="D16" s="362">
        <f>IF(A16="","",--(LOWER('20_Registro_Diario'!E16)="sí"))</f>
        <v>0</v>
      </c>
      <c r="E16" s="362">
        <f>IF(A16="","",--(LOWER('20_Registro_Diario'!F16)="sí"))</f>
        <v>0</v>
      </c>
      <c r="F16" s="362">
        <f>IF(A16="","",--(LOWER('20_Registro_Diario'!G16)="sí"))</f>
        <v>0</v>
      </c>
      <c r="G16" s="363">
        <f>IF(A16="","",IFERROR('20_Registro_Diario'!I16,0))</f>
        <v>10</v>
      </c>
      <c r="H16" s="364">
        <f t="shared" si="0"/>
        <v>0.2</v>
      </c>
      <c r="I16" s="365" t="str">
        <f t="shared" si="1"/>
        <v>🔴 Riesgo</v>
      </c>
      <c r="J16" s="340" t="str">
        <f t="shared" si="2"/>
        <v>Sí</v>
      </c>
      <c r="K16" s="359" t="str">
        <f t="shared" si="3"/>
        <v>Sin universidad</v>
      </c>
      <c r="L16" s="359" t="str">
        <f t="shared" si="4"/>
        <v>Bajo</v>
      </c>
      <c r="M16" s="359" t="str">
        <f t="shared" si="5"/>
        <v>🔴 Revisar</v>
      </c>
      <c r="N16" s="149">
        <f t="shared" si="6"/>
        <v>20</v>
      </c>
    </row>
    <row r="17" spans="1:14">
      <c r="A17" s="416">
        <f>IF(OR('20_Registro_Diario'!A17="",'20_Registro_Diario'!A17=0),"",'20_Registro_Diario'!A17)</f>
        <v>46155</v>
      </c>
      <c r="B17" s="362">
        <f>IF(A17="","",--(LOWER('20_Registro_Diario'!C17)="sí"))</f>
        <v>1</v>
      </c>
      <c r="C17" s="362">
        <f>IF(A17="","",--(LOWER('20_Registro_Diario'!D17)="sí"))</f>
        <v>0</v>
      </c>
      <c r="D17" s="362">
        <f>IF(A17="","",--(LOWER('20_Registro_Diario'!E17)="sí"))</f>
        <v>0</v>
      </c>
      <c r="E17" s="362">
        <f>IF(A17="","",--(LOWER('20_Registro_Diario'!F17)="sí"))</f>
        <v>0</v>
      </c>
      <c r="F17" s="362">
        <f>IF(A17="","",--(LOWER('20_Registro_Diario'!G17)="sí"))</f>
        <v>0</v>
      </c>
      <c r="G17" s="363">
        <f>IF(A17="","",IFERROR('20_Registro_Diario'!I17,0))</f>
        <v>10</v>
      </c>
      <c r="H17" s="364">
        <f t="shared" si="0"/>
        <v>0.2</v>
      </c>
      <c r="I17" s="365" t="str">
        <f t="shared" si="1"/>
        <v>🔴 Riesgo</v>
      </c>
      <c r="J17" s="340" t="str">
        <f t="shared" si="2"/>
        <v>Sí</v>
      </c>
      <c r="K17" s="359" t="str">
        <f t="shared" si="3"/>
        <v>Sin universidad</v>
      </c>
      <c r="L17" s="359" t="str">
        <f t="shared" si="4"/>
        <v>Bajo</v>
      </c>
      <c r="M17" s="359" t="str">
        <f t="shared" si="5"/>
        <v>🔴 Revisar</v>
      </c>
      <c r="N17" s="149">
        <f t="shared" si="6"/>
        <v>20</v>
      </c>
    </row>
    <row r="18" spans="1:14">
      <c r="A18" s="416">
        <f>IF(OR('20_Registro_Diario'!A18="",'20_Registro_Diario'!A18=0),"",'20_Registro_Diario'!A18)</f>
        <v>46156</v>
      </c>
      <c r="B18" s="362">
        <f>IF(A18="","",--(LOWER('20_Registro_Diario'!C18)="sí"))</f>
        <v>1</v>
      </c>
      <c r="C18" s="362">
        <f>IF(A18="","",--(LOWER('20_Registro_Diario'!D18)="sí"))</f>
        <v>1</v>
      </c>
      <c r="D18" s="362">
        <f>IF(A18="","",--(LOWER('20_Registro_Diario'!E18)="sí"))</f>
        <v>0</v>
      </c>
      <c r="E18" s="362">
        <f>IF(A18="","",--(LOWER('20_Registro_Diario'!F18)="sí"))</f>
        <v>0</v>
      </c>
      <c r="F18" s="362">
        <f>IF(A18="","",--(LOWER('20_Registro_Diario'!G18)="sí"))</f>
        <v>0</v>
      </c>
      <c r="G18" s="363">
        <f>IF(A18="","",IFERROR('20_Registro_Diario'!I18,0))</f>
        <v>10</v>
      </c>
      <c r="H18" s="364">
        <f t="shared" si="0"/>
        <v>0.4</v>
      </c>
      <c r="I18" s="365" t="str">
        <f t="shared" si="1"/>
        <v>🔴 Riesgo</v>
      </c>
      <c r="J18" s="340" t="str">
        <f t="shared" si="2"/>
        <v>Sí</v>
      </c>
      <c r="K18" s="359" t="str">
        <f t="shared" si="3"/>
        <v>Sin universidad</v>
      </c>
      <c r="L18" s="359" t="str">
        <f t="shared" si="4"/>
        <v>Bajo</v>
      </c>
      <c r="M18" s="359" t="str">
        <f t="shared" si="5"/>
        <v>🔴 Revisar</v>
      </c>
      <c r="N18" s="149">
        <f t="shared" si="6"/>
        <v>40</v>
      </c>
    </row>
    <row r="19" spans="1:14">
      <c r="A19" s="416">
        <f>IF(OR('20_Registro_Diario'!A19="",'20_Registro_Diario'!A19=0),"",'20_Registro_Diario'!A19)</f>
        <v>46157</v>
      </c>
      <c r="B19" s="362">
        <f>IF(A19="","",--(LOWER('20_Registro_Diario'!C19)="sí"))</f>
        <v>1</v>
      </c>
      <c r="C19" s="362">
        <f>IF(A19="","",--(LOWER('20_Registro_Diario'!D19)="sí"))</f>
        <v>1</v>
      </c>
      <c r="D19" s="362">
        <f>IF(A19="","",--(LOWER('20_Registro_Diario'!E19)="sí"))</f>
        <v>0</v>
      </c>
      <c r="E19" s="362">
        <f>IF(A19="","",--(LOWER('20_Registro_Diario'!F19)="sí"))</f>
        <v>0</v>
      </c>
      <c r="F19" s="362">
        <f>IF(A19="","",--(LOWER('20_Registro_Diario'!G19)="sí"))</f>
        <v>0</v>
      </c>
      <c r="G19" s="363">
        <f>IF(A19="","",IFERROR('20_Registro_Diario'!I19,0))</f>
        <v>10</v>
      </c>
      <c r="H19" s="364">
        <f t="shared" si="0"/>
        <v>0.4</v>
      </c>
      <c r="I19" s="365" t="str">
        <f t="shared" si="1"/>
        <v>🔴 Riesgo</v>
      </c>
      <c r="J19" s="340" t="str">
        <f t="shared" si="2"/>
        <v>Sí</v>
      </c>
      <c r="K19" s="359" t="str">
        <f t="shared" si="3"/>
        <v>Sin universidad</v>
      </c>
      <c r="L19" s="359" t="str">
        <f t="shared" si="4"/>
        <v>Bajo</v>
      </c>
      <c r="M19" s="359" t="str">
        <f t="shared" si="5"/>
        <v>🔴 Revisar</v>
      </c>
      <c r="N19" s="149">
        <f t="shared" si="6"/>
        <v>40</v>
      </c>
    </row>
    <row r="20" spans="1:14">
      <c r="A20" s="416">
        <f>IF(OR('20_Registro_Diario'!A20="",'20_Registro_Diario'!A20=0),"",'20_Registro_Diario'!A20)</f>
        <v>46158</v>
      </c>
      <c r="B20" s="362">
        <f>IF(A20="","",--(LOWER('20_Registro_Diario'!C20)="sí"))</f>
        <v>1</v>
      </c>
      <c r="C20" s="362">
        <f>IF(A20="","",--(LOWER('20_Registro_Diario'!D20)="sí"))</f>
        <v>1</v>
      </c>
      <c r="D20" s="362">
        <f>IF(A20="","",--(LOWER('20_Registro_Diario'!E20)="sí"))</f>
        <v>1</v>
      </c>
      <c r="E20" s="362">
        <f>IF(A20="","",--(LOWER('20_Registro_Diario'!F20)="sí"))</f>
        <v>0</v>
      </c>
      <c r="F20" s="362">
        <f>IF(A20="","",--(LOWER('20_Registro_Diario'!G20)="sí"))</f>
        <v>0</v>
      </c>
      <c r="G20" s="363">
        <f>IF(A20="","",IFERROR('20_Registro_Diario'!I20,0))</f>
        <v>10</v>
      </c>
      <c r="H20" s="364">
        <f t="shared" si="0"/>
        <v>0.6</v>
      </c>
      <c r="I20" s="365" t="str">
        <f t="shared" si="1"/>
        <v>🟡 En proceso</v>
      </c>
      <c r="J20" s="340" t="str">
        <f t="shared" si="2"/>
        <v>Sí</v>
      </c>
      <c r="K20" s="359" t="str">
        <f t="shared" si="3"/>
        <v>Con universidad</v>
      </c>
      <c r="L20" s="359" t="str">
        <f t="shared" si="4"/>
        <v>Medio</v>
      </c>
      <c r="M20" s="359" t="str">
        <f t="shared" si="5"/>
        <v>🟡 Día útil</v>
      </c>
      <c r="N20" s="149">
        <f t="shared" si="6"/>
        <v>60</v>
      </c>
    </row>
    <row r="21" spans="1:14">
      <c r="A21" s="416">
        <f>IF(OR('20_Registro_Diario'!A21="",'20_Registro_Diario'!A21=0),"",'20_Registro_Diario'!A21)</f>
        <v>46159</v>
      </c>
      <c r="B21" s="362">
        <f>IF(A21="","",--(LOWER('20_Registro_Diario'!C21)="sí"))</f>
        <v>1</v>
      </c>
      <c r="C21" s="362">
        <f>IF(A21="","",--(LOWER('20_Registro_Diario'!D21)="sí"))</f>
        <v>1</v>
      </c>
      <c r="D21" s="362">
        <f>IF(A21="","",--(LOWER('20_Registro_Diario'!E21)="sí"))</f>
        <v>1</v>
      </c>
      <c r="E21" s="362">
        <f>IF(A21="","",--(LOWER('20_Registro_Diario'!F21)="sí"))</f>
        <v>0</v>
      </c>
      <c r="F21" s="362">
        <f>IF(A21="","",--(LOWER('20_Registro_Diario'!G21)="sí"))</f>
        <v>0</v>
      </c>
      <c r="G21" s="363">
        <f>IF(A21="","",IFERROR('20_Registro_Diario'!I21,0))</f>
        <v>10</v>
      </c>
      <c r="H21" s="364">
        <f t="shared" si="0"/>
        <v>0.6</v>
      </c>
      <c r="I21" s="365" t="str">
        <f t="shared" si="1"/>
        <v>🟡 En proceso</v>
      </c>
      <c r="J21" s="340" t="str">
        <f t="shared" si="2"/>
        <v>Sí</v>
      </c>
      <c r="K21" s="359" t="str">
        <f t="shared" si="3"/>
        <v>Con universidad</v>
      </c>
      <c r="L21" s="359" t="str">
        <f t="shared" si="4"/>
        <v>Medio</v>
      </c>
      <c r="M21" s="359" t="str">
        <f t="shared" si="5"/>
        <v>🟡 Día útil</v>
      </c>
      <c r="N21" s="149">
        <f t="shared" si="6"/>
        <v>60</v>
      </c>
    </row>
    <row r="22" spans="1:14">
      <c r="A22" s="416">
        <f>IF(OR('20_Registro_Diario'!A22="",'20_Registro_Diario'!A22=0),"",'20_Registro_Diario'!A22)</f>
        <v>46160</v>
      </c>
      <c r="B22" s="362">
        <f>IF(A22="","",--(LOWER('20_Registro_Diario'!C22)="sí"))</f>
        <v>1</v>
      </c>
      <c r="C22" s="362">
        <f>IF(A22="","",--(LOWER('20_Registro_Diario'!D22)="sí"))</f>
        <v>1</v>
      </c>
      <c r="D22" s="362">
        <f>IF(A22="","",--(LOWER('20_Registro_Diario'!E22)="sí"))</f>
        <v>0</v>
      </c>
      <c r="E22" s="362">
        <f>IF(A22="","",--(LOWER('20_Registro_Diario'!F22)="sí"))</f>
        <v>0</v>
      </c>
      <c r="F22" s="362">
        <f>IF(A22="","",--(LOWER('20_Registro_Diario'!G22)="sí"))</f>
        <v>0</v>
      </c>
      <c r="G22" s="363">
        <f>IF(A22="","",IFERROR('20_Registro_Diario'!I22,0))</f>
        <v>10</v>
      </c>
      <c r="H22" s="364">
        <f t="shared" si="0"/>
        <v>0.4</v>
      </c>
      <c r="I22" s="365" t="str">
        <f t="shared" si="1"/>
        <v>🔴 Riesgo</v>
      </c>
      <c r="J22" s="340" t="str">
        <f t="shared" si="2"/>
        <v>Sí</v>
      </c>
      <c r="K22" s="359" t="str">
        <f t="shared" si="3"/>
        <v>Sin universidad</v>
      </c>
      <c r="L22" s="359" t="str">
        <f t="shared" si="4"/>
        <v>Bajo</v>
      </c>
      <c r="M22" s="359" t="str">
        <f t="shared" si="5"/>
        <v>🔴 Revisar</v>
      </c>
      <c r="N22" s="149">
        <f t="shared" si="6"/>
        <v>40</v>
      </c>
    </row>
    <row r="23" spans="1:14">
      <c r="A23" s="416">
        <f>IF(OR('20_Registro_Diario'!A23="",'20_Registro_Diario'!A23=0),"",'20_Registro_Diario'!A23)</f>
        <v>46161</v>
      </c>
      <c r="B23" s="362">
        <f>IF(A23="","",--(LOWER('20_Registro_Diario'!C23)="sí"))</f>
        <v>1</v>
      </c>
      <c r="C23" s="362">
        <f>IF(A23="","",--(LOWER('20_Registro_Diario'!D23)="sí"))</f>
        <v>1</v>
      </c>
      <c r="D23" s="362">
        <f>IF(A23="","",--(LOWER('20_Registro_Diario'!E23)="sí"))</f>
        <v>0</v>
      </c>
      <c r="E23" s="362">
        <f>IF(A23="","",--(LOWER('20_Registro_Diario'!F23)="sí"))</f>
        <v>0</v>
      </c>
      <c r="F23" s="362">
        <f>IF(A23="","",--(LOWER('20_Registro_Diario'!G23)="sí"))</f>
        <v>0</v>
      </c>
      <c r="G23" s="363">
        <f>IF(A23="","",IFERROR('20_Registro_Diario'!I23,0))</f>
        <v>10</v>
      </c>
      <c r="H23" s="364">
        <f t="shared" si="0"/>
        <v>0.4</v>
      </c>
      <c r="I23" s="365" t="str">
        <f t="shared" si="1"/>
        <v>🔴 Riesgo</v>
      </c>
      <c r="J23" s="340" t="str">
        <f t="shared" si="2"/>
        <v>Sí</v>
      </c>
      <c r="K23" s="359" t="str">
        <f t="shared" si="3"/>
        <v>Sin universidad</v>
      </c>
      <c r="L23" s="359" t="str">
        <f t="shared" si="4"/>
        <v>Bajo</v>
      </c>
      <c r="M23" s="359" t="str">
        <f t="shared" si="5"/>
        <v>🔴 Revisar</v>
      </c>
      <c r="N23" s="149">
        <f t="shared" si="6"/>
        <v>40</v>
      </c>
    </row>
    <row r="24" spans="1:14">
      <c r="A24" s="416">
        <f>IF(OR('20_Registro_Diario'!A24="",'20_Registro_Diario'!A24=0),"",'20_Registro_Diario'!A24)</f>
        <v>46162</v>
      </c>
      <c r="B24" s="362">
        <f>IF(A24="","",--(LOWER('20_Registro_Diario'!C24)="sí"))</f>
        <v>1</v>
      </c>
      <c r="C24" s="362">
        <f>IF(A24="","",--(LOWER('20_Registro_Diario'!D24)="sí"))</f>
        <v>0</v>
      </c>
      <c r="D24" s="362">
        <f>IF(A24="","",--(LOWER('20_Registro_Diario'!E24)="sí"))</f>
        <v>0</v>
      </c>
      <c r="E24" s="362">
        <f>IF(A24="","",--(LOWER('20_Registro_Diario'!F24)="sí"))</f>
        <v>0</v>
      </c>
      <c r="F24" s="362">
        <f>IF(A24="","",--(LOWER('20_Registro_Diario'!G24)="sí"))</f>
        <v>0</v>
      </c>
      <c r="G24" s="363">
        <f>IF(A24="","",IFERROR('20_Registro_Diario'!I24,0))</f>
        <v>10</v>
      </c>
      <c r="H24" s="364">
        <f t="shared" si="0"/>
        <v>0.2</v>
      </c>
      <c r="I24" s="365" t="str">
        <f t="shared" si="1"/>
        <v>🔴 Riesgo</v>
      </c>
      <c r="J24" s="340" t="str">
        <f t="shared" si="2"/>
        <v>Sí</v>
      </c>
      <c r="K24" s="359" t="str">
        <f t="shared" si="3"/>
        <v>Sin universidad</v>
      </c>
      <c r="L24" s="359" t="str">
        <f t="shared" si="4"/>
        <v>Bajo</v>
      </c>
      <c r="M24" s="359" t="str">
        <f t="shared" si="5"/>
        <v>🔴 Revisar</v>
      </c>
      <c r="N24" s="149">
        <f t="shared" si="6"/>
        <v>20</v>
      </c>
    </row>
    <row r="25" spans="1:14">
      <c r="A25" s="416">
        <f>IF(OR('20_Registro_Diario'!A25="",'20_Registro_Diario'!A25=0),"",'20_Registro_Diario'!A25)</f>
        <v>46163</v>
      </c>
      <c r="B25" s="362">
        <f>IF(A25="","",--(LOWER('20_Registro_Diario'!C25)="sí"))</f>
        <v>1</v>
      </c>
      <c r="C25" s="362">
        <f>IF(A25="","",--(LOWER('20_Registro_Diario'!D25)="sí"))</f>
        <v>1</v>
      </c>
      <c r="D25" s="362">
        <f>IF(A25="","",--(LOWER('20_Registro_Diario'!E25)="sí"))</f>
        <v>1</v>
      </c>
      <c r="E25" s="362">
        <f>IF(A25="","",--(LOWER('20_Registro_Diario'!F25)="sí"))</f>
        <v>0</v>
      </c>
      <c r="F25" s="362">
        <f>IF(A25="","",--(LOWER('20_Registro_Diario'!G25)="sí"))</f>
        <v>0</v>
      </c>
      <c r="G25" s="363">
        <f>IF(A25="","",IFERROR('20_Registro_Diario'!I25,0))</f>
        <v>10</v>
      </c>
      <c r="H25" s="364">
        <f t="shared" si="0"/>
        <v>0.6</v>
      </c>
      <c r="I25" s="365" t="str">
        <f t="shared" si="1"/>
        <v>🟡 En proceso</v>
      </c>
      <c r="J25" s="340" t="str">
        <f t="shared" si="2"/>
        <v>Sí</v>
      </c>
      <c r="K25" s="359" t="str">
        <f t="shared" si="3"/>
        <v>Con universidad</v>
      </c>
      <c r="L25" s="359" t="str">
        <f t="shared" si="4"/>
        <v>Medio</v>
      </c>
      <c r="M25" s="359" t="str">
        <f t="shared" si="5"/>
        <v>🟡 Día útil</v>
      </c>
      <c r="N25" s="149">
        <f t="shared" si="6"/>
        <v>60</v>
      </c>
    </row>
    <row r="26" spans="1:14">
      <c r="A26" s="416">
        <f>IF(OR('20_Registro_Diario'!A26="",'20_Registro_Diario'!A26=0),"",'20_Registro_Diario'!A26)</f>
        <v>46164</v>
      </c>
      <c r="B26" s="362">
        <f>IF(A26="","",--(LOWER('20_Registro_Diario'!C26)="sí"))</f>
        <v>1</v>
      </c>
      <c r="C26" s="362">
        <f>IF(A26="","",--(LOWER('20_Registro_Diario'!D26)="sí"))</f>
        <v>1</v>
      </c>
      <c r="D26" s="362">
        <f>IF(A26="","",--(LOWER('20_Registro_Diario'!E26)="sí"))</f>
        <v>1</v>
      </c>
      <c r="E26" s="362">
        <f>IF(A26="","",--(LOWER('20_Registro_Diario'!F26)="sí"))</f>
        <v>0</v>
      </c>
      <c r="F26" s="362">
        <f>IF(A26="","",--(LOWER('20_Registro_Diario'!G26)="sí"))</f>
        <v>0</v>
      </c>
      <c r="G26" s="363">
        <f>IF(A26="","",IFERROR('20_Registro_Diario'!I26,0))</f>
        <v>10</v>
      </c>
      <c r="H26" s="364">
        <f t="shared" si="0"/>
        <v>0.6</v>
      </c>
      <c r="I26" s="365" t="str">
        <f t="shared" si="1"/>
        <v>🟡 En proceso</v>
      </c>
      <c r="J26" s="340" t="str">
        <f t="shared" si="2"/>
        <v>Sí</v>
      </c>
      <c r="K26" s="359" t="str">
        <f t="shared" si="3"/>
        <v>Con universidad</v>
      </c>
      <c r="L26" s="359" t="str">
        <f t="shared" si="4"/>
        <v>Medio</v>
      </c>
      <c r="M26" s="359" t="str">
        <f t="shared" si="5"/>
        <v>🟡 Día útil</v>
      </c>
      <c r="N26" s="149">
        <f t="shared" si="6"/>
        <v>60</v>
      </c>
    </row>
    <row r="27" spans="1:14">
      <c r="A27" s="416">
        <f>IF(OR('20_Registro_Diario'!A27="",'20_Registro_Diario'!A27=0),"",'20_Registro_Diario'!A27)</f>
        <v>46165</v>
      </c>
      <c r="B27" s="362">
        <f>IF(A27="","",--(LOWER('20_Registro_Diario'!C27)="sí"))</f>
        <v>1</v>
      </c>
      <c r="C27" s="362">
        <f>IF(A27="","",--(LOWER('20_Registro_Diario'!D27)="sí"))</f>
        <v>0</v>
      </c>
      <c r="D27" s="362">
        <f>IF(A27="","",--(LOWER('20_Registro_Diario'!E27)="sí"))</f>
        <v>1</v>
      </c>
      <c r="E27" s="362">
        <f>IF(A27="","",--(LOWER('20_Registro_Diario'!F27)="sí"))</f>
        <v>0</v>
      </c>
      <c r="F27" s="362">
        <f>IF(A27="","",--(LOWER('20_Registro_Diario'!G27)="sí"))</f>
        <v>0</v>
      </c>
      <c r="G27" s="363">
        <f>IF(A27="","",IFERROR('20_Registro_Diario'!I27,0))</f>
        <v>10</v>
      </c>
      <c r="H27" s="364">
        <f t="shared" si="0"/>
        <v>0.4</v>
      </c>
      <c r="I27" s="365" t="str">
        <f t="shared" si="1"/>
        <v>🔴 Riesgo</v>
      </c>
      <c r="J27" s="340" t="str">
        <f t="shared" si="2"/>
        <v>Sí</v>
      </c>
      <c r="K27" s="359" t="str">
        <f t="shared" si="3"/>
        <v>Con universidad</v>
      </c>
      <c r="L27" s="359" t="str">
        <f t="shared" si="4"/>
        <v>Bajo</v>
      </c>
      <c r="M27" s="359" t="str">
        <f t="shared" si="5"/>
        <v>🔴 Revisar</v>
      </c>
      <c r="N27" s="149">
        <f t="shared" si="6"/>
        <v>40</v>
      </c>
    </row>
    <row r="28" spans="1:14">
      <c r="A28" s="416">
        <f>IF(OR('20_Registro_Diario'!A28="",'20_Registro_Diario'!A28=0),"",'20_Registro_Diario'!A28)</f>
        <v>46166</v>
      </c>
      <c r="B28" s="362">
        <f>IF(A28="","",--(LOWER('20_Registro_Diario'!C28)="sí"))</f>
        <v>0</v>
      </c>
      <c r="C28" s="362">
        <f>IF(A28="","",--(LOWER('20_Registro_Diario'!D28)="sí"))</f>
        <v>0</v>
      </c>
      <c r="D28" s="362">
        <f>IF(A28="","",--(LOWER('20_Registro_Diario'!E28)="sí"))</f>
        <v>0</v>
      </c>
      <c r="E28" s="362">
        <f>IF(A28="","",--(LOWER('20_Registro_Diario'!F28)="sí"))</f>
        <v>0</v>
      </c>
      <c r="F28" s="362">
        <f>IF(A28="","",--(LOWER('20_Registro_Diario'!G28)="sí"))</f>
        <v>0</v>
      </c>
      <c r="G28" s="363">
        <f>IF(A28="","",IFERROR('20_Registro_Diario'!I28,0))</f>
        <v>10</v>
      </c>
      <c r="H28" s="364">
        <f t="shared" si="0"/>
        <v>0</v>
      </c>
      <c r="I28" s="365" t="str">
        <f t="shared" si="1"/>
        <v>🔴 Riesgo</v>
      </c>
      <c r="J28" s="340" t="str">
        <f t="shared" si="2"/>
        <v>No</v>
      </c>
      <c r="K28" s="359" t="str">
        <f t="shared" si="3"/>
        <v>Sin universidad</v>
      </c>
      <c r="L28" s="359" t="str">
        <f t="shared" si="4"/>
        <v>Bajo</v>
      </c>
      <c r="M28" s="359" t="str">
        <f t="shared" si="5"/>
        <v>🔴 Revisar</v>
      </c>
      <c r="N28" s="149">
        <f t="shared" si="6"/>
        <v>0</v>
      </c>
    </row>
    <row r="29" spans="1:14">
      <c r="A29" s="416">
        <f>IF(OR('20_Registro_Diario'!A29="",'20_Registro_Diario'!A29=0),"",'20_Registro_Diario'!A29)</f>
        <v>46167</v>
      </c>
      <c r="B29" s="362">
        <f>IF(A29="","",--(LOWER('20_Registro_Diario'!C29)="sí"))</f>
        <v>1</v>
      </c>
      <c r="C29" s="362">
        <f>IF(A29="","",--(LOWER('20_Registro_Diario'!D29)="sí"))</f>
        <v>1</v>
      </c>
      <c r="D29" s="362">
        <f>IF(A29="","",--(LOWER('20_Registro_Diario'!E29)="sí"))</f>
        <v>0</v>
      </c>
      <c r="E29" s="362">
        <f>IF(A29="","",--(LOWER('20_Registro_Diario'!F29)="sí"))</f>
        <v>0</v>
      </c>
      <c r="F29" s="362">
        <f>IF(A29="","",--(LOWER('20_Registro_Diario'!G29)="sí"))</f>
        <v>0</v>
      </c>
      <c r="G29" s="363">
        <f>IF(A29="","",IFERROR('20_Registro_Diario'!I29,0))</f>
        <v>10</v>
      </c>
      <c r="H29" s="364">
        <f t="shared" si="0"/>
        <v>0.4</v>
      </c>
      <c r="I29" s="365" t="str">
        <f t="shared" si="1"/>
        <v>🔴 Riesgo</v>
      </c>
      <c r="J29" s="340" t="str">
        <f t="shared" si="2"/>
        <v>Sí</v>
      </c>
      <c r="K29" s="359" t="str">
        <f t="shared" si="3"/>
        <v>Sin universidad</v>
      </c>
      <c r="L29" s="359" t="str">
        <f t="shared" si="4"/>
        <v>Bajo</v>
      </c>
      <c r="M29" s="359" t="str">
        <f t="shared" si="5"/>
        <v>🔴 Revisar</v>
      </c>
      <c r="N29" s="149">
        <f t="shared" si="6"/>
        <v>40</v>
      </c>
    </row>
    <row r="30" spans="1:14">
      <c r="A30" s="416">
        <f>IF(OR('20_Registro_Diario'!A30="",'20_Registro_Diario'!A30=0),"",'20_Registro_Diario'!A30)</f>
        <v>46168</v>
      </c>
      <c r="B30" s="362">
        <f>IF(A30="","",--(LOWER('20_Registro_Diario'!C30)="sí"))</f>
        <v>1</v>
      </c>
      <c r="C30" s="362">
        <f>IF(A30="","",--(LOWER('20_Registro_Diario'!D30)="sí"))</f>
        <v>1</v>
      </c>
      <c r="D30" s="362">
        <f>IF(A30="","",--(LOWER('20_Registro_Diario'!E30)="sí"))</f>
        <v>0</v>
      </c>
      <c r="E30" s="362">
        <f>IF(A30="","",--(LOWER('20_Registro_Diario'!F30)="sí"))</f>
        <v>0</v>
      </c>
      <c r="F30" s="362">
        <f>IF(A30="","",--(LOWER('20_Registro_Diario'!G30)="sí"))</f>
        <v>0</v>
      </c>
      <c r="G30" s="363">
        <f>IF(A30="","",IFERROR('20_Registro_Diario'!I30,0))</f>
        <v>10</v>
      </c>
      <c r="H30" s="364">
        <f t="shared" si="0"/>
        <v>0.4</v>
      </c>
      <c r="I30" s="365" t="str">
        <f t="shared" si="1"/>
        <v>🔴 Riesgo</v>
      </c>
      <c r="J30" s="340" t="str">
        <f t="shared" si="2"/>
        <v>Sí</v>
      </c>
      <c r="K30" s="359" t="str">
        <f t="shared" si="3"/>
        <v>Sin universidad</v>
      </c>
      <c r="L30" s="359" t="str">
        <f t="shared" si="4"/>
        <v>Bajo</v>
      </c>
      <c r="M30" s="359" t="str">
        <f t="shared" si="5"/>
        <v>🔴 Revisar</v>
      </c>
      <c r="N30" s="149">
        <f t="shared" si="6"/>
        <v>40</v>
      </c>
    </row>
    <row r="31" spans="1:14">
      <c r="A31" s="416">
        <f>IF(OR('20_Registro_Diario'!A31="",'20_Registro_Diario'!A31=0),"",'20_Registro_Diario'!A31)</f>
        <v>46169</v>
      </c>
      <c r="B31" s="362">
        <f>IF(A31="","",--(LOWER('20_Registro_Diario'!C31)="sí"))</f>
        <v>0</v>
      </c>
      <c r="C31" s="362">
        <f>IF(A31="","",--(LOWER('20_Registro_Diario'!D31)="sí"))</f>
        <v>0</v>
      </c>
      <c r="D31" s="362">
        <f>IF(A31="","",--(LOWER('20_Registro_Diario'!E31)="sí"))</f>
        <v>0</v>
      </c>
      <c r="E31" s="362">
        <f>IF(A31="","",--(LOWER('20_Registro_Diario'!F31)="sí"))</f>
        <v>0</v>
      </c>
      <c r="F31" s="362">
        <f>IF(A31="","",--(LOWER('20_Registro_Diario'!G31)="sí"))</f>
        <v>0</v>
      </c>
      <c r="G31" s="363">
        <f>IF(A31="","",IFERROR('20_Registro_Diario'!I31,0))</f>
        <v>10</v>
      </c>
      <c r="H31" s="364">
        <f t="shared" si="0"/>
        <v>0</v>
      </c>
      <c r="I31" s="365" t="str">
        <f t="shared" si="1"/>
        <v>🔴 Riesgo</v>
      </c>
      <c r="J31" s="340" t="str">
        <f t="shared" si="2"/>
        <v>No</v>
      </c>
      <c r="K31" s="359" t="str">
        <f t="shared" si="3"/>
        <v>Sin universidad</v>
      </c>
      <c r="L31" s="359" t="str">
        <f t="shared" si="4"/>
        <v>Bajo</v>
      </c>
      <c r="M31" s="359" t="str">
        <f t="shared" si="5"/>
        <v>🔴 Revisar</v>
      </c>
      <c r="N31" s="149">
        <f t="shared" si="6"/>
        <v>0</v>
      </c>
    </row>
    <row r="32" spans="1:14">
      <c r="A32" s="416">
        <f>IF(OR('20_Registro_Diario'!A32="",'20_Registro_Diario'!A32=0),"",'20_Registro_Diario'!A32)</f>
        <v>46170</v>
      </c>
      <c r="B32" s="362">
        <f>IF(A32="","",--(LOWER('20_Registro_Diario'!C32)="sí"))</f>
        <v>1</v>
      </c>
      <c r="C32" s="362">
        <f>IF(A32="","",--(LOWER('20_Registro_Diario'!D32)="sí"))</f>
        <v>0</v>
      </c>
      <c r="D32" s="362">
        <f>IF(A32="","",--(LOWER('20_Registro_Diario'!E32)="sí"))</f>
        <v>0</v>
      </c>
      <c r="E32" s="362">
        <f>IF(A32="","",--(LOWER('20_Registro_Diario'!F32)="sí"))</f>
        <v>0</v>
      </c>
      <c r="F32" s="362">
        <f>IF(A32="","",--(LOWER('20_Registro_Diario'!G32)="sí"))</f>
        <v>0</v>
      </c>
      <c r="G32" s="363">
        <f>IF(A32="","",IFERROR('20_Registro_Diario'!I32,0))</f>
        <v>10</v>
      </c>
      <c r="H32" s="364">
        <f t="shared" si="0"/>
        <v>0.2</v>
      </c>
      <c r="I32" s="365" t="str">
        <f t="shared" si="1"/>
        <v>🔴 Riesgo</v>
      </c>
      <c r="J32" s="340" t="str">
        <f t="shared" si="2"/>
        <v>Sí</v>
      </c>
      <c r="K32" s="359" t="str">
        <f t="shared" si="3"/>
        <v>Sin universidad</v>
      </c>
      <c r="L32" s="359" t="str">
        <f t="shared" si="4"/>
        <v>Bajo</v>
      </c>
      <c r="M32" s="359" t="str">
        <f t="shared" si="5"/>
        <v>🔴 Revisar</v>
      </c>
      <c r="N32" s="149">
        <f t="shared" si="6"/>
        <v>20</v>
      </c>
    </row>
    <row r="33" spans="1:14">
      <c r="A33" s="416">
        <f>IF(OR('20_Registro_Diario'!A33="",'20_Registro_Diario'!A33=0),"",'20_Registro_Diario'!A33)</f>
        <v>46171</v>
      </c>
      <c r="B33" s="362">
        <f>IF(A33="","",--(LOWER('20_Registro_Diario'!C33)="sí"))</f>
        <v>1</v>
      </c>
      <c r="C33" s="362">
        <f>IF(A33="","",--(LOWER('20_Registro_Diario'!D33)="sí"))</f>
        <v>0</v>
      </c>
      <c r="D33" s="362">
        <f>IF(A33="","",--(LOWER('20_Registro_Diario'!E33)="sí"))</f>
        <v>0</v>
      </c>
      <c r="E33" s="362">
        <f>IF(A33="","",--(LOWER('20_Registro_Diario'!F33)="sí"))</f>
        <v>0</v>
      </c>
      <c r="F33" s="362">
        <f>IF(A33="","",--(LOWER('20_Registro_Diario'!G33)="sí"))</f>
        <v>0</v>
      </c>
      <c r="G33" s="363">
        <f>IF(A33="","",IFERROR('20_Registro_Diario'!I33,0))</f>
        <v>8</v>
      </c>
      <c r="H33" s="364">
        <f t="shared" si="0"/>
        <v>0.2</v>
      </c>
      <c r="I33" s="365" t="str">
        <f t="shared" si="1"/>
        <v>🔴 Riesgo</v>
      </c>
      <c r="J33" s="340" t="str">
        <f t="shared" si="2"/>
        <v>Sí</v>
      </c>
      <c r="K33" s="359" t="str">
        <f t="shared" si="3"/>
        <v>Sin universidad</v>
      </c>
      <c r="L33" s="359" t="str">
        <f t="shared" si="4"/>
        <v>Bajo</v>
      </c>
      <c r="M33" s="359" t="str">
        <f t="shared" si="5"/>
        <v>🔴 Revisar</v>
      </c>
      <c r="N33" s="149">
        <f t="shared" si="6"/>
        <v>20</v>
      </c>
    </row>
    <row r="34" spans="1:14">
      <c r="A34" s="416">
        <f>IF(OR('20_Registro_Diario'!A34="",'20_Registro_Diario'!A34=0),"",'20_Registro_Diario'!A34)</f>
        <v>46172</v>
      </c>
      <c r="B34" s="362">
        <f>IF(A34="","",--(LOWER('20_Registro_Diario'!C34)="sí"))</f>
        <v>1</v>
      </c>
      <c r="C34" s="362">
        <f>IF(A34="","",--(LOWER('20_Registro_Diario'!D34)="sí"))</f>
        <v>0</v>
      </c>
      <c r="D34" s="362">
        <f>IF(A34="","",--(LOWER('20_Registro_Diario'!E34)="sí"))</f>
        <v>0</v>
      </c>
      <c r="E34" s="362">
        <f>IF(A34="","",--(LOWER('20_Registro_Diario'!F34)="sí"))</f>
        <v>0</v>
      </c>
      <c r="F34" s="362">
        <f>IF(A34="","",--(LOWER('20_Registro_Diario'!G34)="sí"))</f>
        <v>0</v>
      </c>
      <c r="G34" s="363">
        <f>IF(A34="","",IFERROR('20_Registro_Diario'!I34,0))</f>
        <v>8</v>
      </c>
      <c r="H34" s="364">
        <f t="shared" si="0"/>
        <v>0.2</v>
      </c>
      <c r="I34" s="365" t="str">
        <f t="shared" si="1"/>
        <v>🔴 Riesgo</v>
      </c>
      <c r="J34" s="340" t="str">
        <f t="shared" si="2"/>
        <v>Sí</v>
      </c>
      <c r="K34" s="359" t="str">
        <f t="shared" si="3"/>
        <v>Sin universidad</v>
      </c>
      <c r="L34" s="359" t="str">
        <f t="shared" si="4"/>
        <v>Bajo</v>
      </c>
      <c r="M34" s="359" t="str">
        <f t="shared" si="5"/>
        <v>🔴 Revisar</v>
      </c>
      <c r="N34" s="149">
        <f t="shared" si="6"/>
        <v>20</v>
      </c>
    </row>
    <row r="35" spans="1:14">
      <c r="A35" s="416">
        <f>IF(OR('20_Registro_Diario'!A35="",'20_Registro_Diario'!A35=0),"",'20_Registro_Diario'!A35)</f>
        <v>46173</v>
      </c>
      <c r="B35" s="362">
        <f>IF(A35="","",--(LOWER('20_Registro_Diario'!C35)="sí"))</f>
        <v>1</v>
      </c>
      <c r="C35" s="362">
        <f>IF(A35="","",--(LOWER('20_Registro_Diario'!D35)="sí"))</f>
        <v>0</v>
      </c>
      <c r="D35" s="362">
        <f>IF(A35="","",--(LOWER('20_Registro_Diario'!E35)="sí"))</f>
        <v>0</v>
      </c>
      <c r="E35" s="362">
        <f>IF(A35="","",--(LOWER('20_Registro_Diario'!F35)="sí"))</f>
        <v>0</v>
      </c>
      <c r="F35" s="362">
        <f>IF(A35="","",--(LOWER('20_Registro_Diario'!G35)="sí"))</f>
        <v>0</v>
      </c>
      <c r="G35" s="363">
        <f>IF(A35="","",IFERROR('20_Registro_Diario'!I35,0))</f>
        <v>8</v>
      </c>
      <c r="H35" s="364">
        <f t="shared" si="0"/>
        <v>0.2</v>
      </c>
      <c r="I35" s="365" t="str">
        <f t="shared" si="1"/>
        <v>🔴 Riesgo</v>
      </c>
      <c r="J35" s="340" t="str">
        <f t="shared" si="2"/>
        <v>Sí</v>
      </c>
      <c r="K35" s="359" t="str">
        <f t="shared" si="3"/>
        <v>Sin universidad</v>
      </c>
      <c r="L35" s="359" t="str">
        <f t="shared" si="4"/>
        <v>Bajo</v>
      </c>
      <c r="M35" s="359" t="str">
        <f t="shared" si="5"/>
        <v>🔴 Revisar</v>
      </c>
      <c r="N35" s="149">
        <f t="shared" si="6"/>
        <v>20</v>
      </c>
    </row>
    <row r="36" spans="1:14">
      <c r="A36" s="416">
        <f>IF(OR('20_Registro_Diario'!A36="",'20_Registro_Diario'!A36=0),"",'20_Registro_Diario'!A36)</f>
        <v>46174</v>
      </c>
      <c r="B36" s="362">
        <f>IF(A36="","",--(LOWER('20_Registro_Diario'!C36)="sí"))</f>
        <v>1</v>
      </c>
      <c r="C36" s="362">
        <f>IF(A36="","",--(LOWER('20_Registro_Diario'!D36)="sí"))</f>
        <v>0</v>
      </c>
      <c r="D36" s="362">
        <f>IF(A36="","",--(LOWER('20_Registro_Diario'!E36)="sí"))</f>
        <v>0</v>
      </c>
      <c r="E36" s="362">
        <f>IF(A36="","",--(LOWER('20_Registro_Diario'!F36)="sí"))</f>
        <v>0</v>
      </c>
      <c r="F36" s="362">
        <f>IF(A36="","",--(LOWER('20_Registro_Diario'!G36)="sí"))</f>
        <v>0</v>
      </c>
      <c r="G36" s="363">
        <f>IF(A36="","",IFERROR('20_Registro_Diario'!I36,0))</f>
        <v>8</v>
      </c>
      <c r="H36" s="364">
        <f t="shared" si="0"/>
        <v>0.2</v>
      </c>
      <c r="I36" s="365" t="str">
        <f t="shared" si="1"/>
        <v>🔴 Riesgo</v>
      </c>
      <c r="J36" s="340" t="str">
        <f t="shared" si="2"/>
        <v>Sí</v>
      </c>
      <c r="K36" s="359" t="str">
        <f t="shared" si="3"/>
        <v>Sin universidad</v>
      </c>
      <c r="L36" s="359" t="str">
        <f t="shared" si="4"/>
        <v>Bajo</v>
      </c>
      <c r="M36" s="359" t="str">
        <f t="shared" si="5"/>
        <v>🔴 Revisar</v>
      </c>
      <c r="N36" s="149">
        <f t="shared" si="6"/>
        <v>20</v>
      </c>
    </row>
    <row r="37" spans="1:14">
      <c r="A37" s="416">
        <f>IF(OR('20_Registro_Diario'!A37="",'20_Registro_Diario'!A37=0),"",'20_Registro_Diario'!A37)</f>
        <v>46175</v>
      </c>
      <c r="B37" s="362">
        <f>IF(A37="","",--(LOWER('20_Registro_Diario'!C37)="sí"))</f>
        <v>1</v>
      </c>
      <c r="C37" s="362">
        <f>IF(A37="","",--(LOWER('20_Registro_Diario'!D37)="sí"))</f>
        <v>0</v>
      </c>
      <c r="D37" s="362">
        <f>IF(A37="","",--(LOWER('20_Registro_Diario'!E37)="sí"))</f>
        <v>0</v>
      </c>
      <c r="E37" s="362">
        <f>IF(A37="","",--(LOWER('20_Registro_Diario'!F37)="sí"))</f>
        <v>0</v>
      </c>
      <c r="F37" s="362">
        <f>IF(A37="","",--(LOWER('20_Registro_Diario'!G37)="sí"))</f>
        <v>0</v>
      </c>
      <c r="G37" s="363">
        <f>IF(A37="","",IFERROR('20_Registro_Diario'!I37,0))</f>
        <v>8</v>
      </c>
      <c r="H37" s="364">
        <f t="shared" si="0"/>
        <v>0.2</v>
      </c>
      <c r="I37" s="365" t="str">
        <f t="shared" si="1"/>
        <v>🔴 Riesgo</v>
      </c>
      <c r="J37" s="340" t="str">
        <f t="shared" si="2"/>
        <v>Sí</v>
      </c>
      <c r="K37" s="359" t="str">
        <f t="shared" si="3"/>
        <v>Sin universidad</v>
      </c>
      <c r="L37" s="359" t="str">
        <f t="shared" si="4"/>
        <v>Bajo</v>
      </c>
      <c r="M37" s="359" t="str">
        <f t="shared" si="5"/>
        <v>🔴 Revisar</v>
      </c>
      <c r="N37" s="149">
        <f t="shared" si="6"/>
        <v>20</v>
      </c>
    </row>
    <row r="38" spans="1:14">
      <c r="A38" s="416">
        <f>IF(OR('20_Registro_Diario'!A38="",'20_Registro_Diario'!A38=0),"",'20_Registro_Diario'!A38)</f>
        <v>46176</v>
      </c>
      <c r="B38" s="362">
        <f>IF(A38="","",--(LOWER('20_Registro_Diario'!C38)="sí"))</f>
        <v>1</v>
      </c>
      <c r="C38" s="362">
        <f>IF(A38="","",--(LOWER('20_Registro_Diario'!D38)="sí"))</f>
        <v>0</v>
      </c>
      <c r="D38" s="362">
        <f>IF(A38="","",--(LOWER('20_Registro_Diario'!E38)="sí"))</f>
        <v>0</v>
      </c>
      <c r="E38" s="362">
        <f>IF(A38="","",--(LOWER('20_Registro_Diario'!F38)="sí"))</f>
        <v>0</v>
      </c>
      <c r="F38" s="362">
        <f>IF(A38="","",--(LOWER('20_Registro_Diario'!G38)="sí"))</f>
        <v>0</v>
      </c>
      <c r="G38" s="363">
        <f>IF(A38="","",IFERROR('20_Registro_Diario'!I38,0))</f>
        <v>8</v>
      </c>
      <c r="H38" s="364">
        <f t="shared" si="0"/>
        <v>0.2</v>
      </c>
      <c r="I38" s="365" t="str">
        <f t="shared" si="1"/>
        <v>🔴 Riesgo</v>
      </c>
      <c r="J38" s="340" t="str">
        <f t="shared" si="2"/>
        <v>Sí</v>
      </c>
      <c r="K38" s="359" t="str">
        <f t="shared" si="3"/>
        <v>Sin universidad</v>
      </c>
      <c r="L38" s="359" t="str">
        <f t="shared" si="4"/>
        <v>Bajo</v>
      </c>
      <c r="M38" s="359" t="str">
        <f t="shared" si="5"/>
        <v>🔴 Revisar</v>
      </c>
      <c r="N38" s="149">
        <f t="shared" si="6"/>
        <v>20</v>
      </c>
    </row>
    <row r="39" spans="1:14">
      <c r="A39" s="416">
        <f>IF(OR('20_Registro_Diario'!A39="",'20_Registro_Diario'!A39=0),"",'20_Registro_Diario'!A39)</f>
        <v>46177</v>
      </c>
      <c r="B39" s="362">
        <f>IF(A39="","",--(LOWER('20_Registro_Diario'!C39)="sí"))</f>
        <v>1</v>
      </c>
      <c r="C39" s="362">
        <f>IF(A39="","",--(LOWER('20_Registro_Diario'!D39)="sí"))</f>
        <v>0</v>
      </c>
      <c r="D39" s="362">
        <f>IF(A39="","",--(LOWER('20_Registro_Diario'!E39)="sí"))</f>
        <v>0</v>
      </c>
      <c r="E39" s="362">
        <f>IF(A39="","",--(LOWER('20_Registro_Diario'!F39)="sí"))</f>
        <v>0</v>
      </c>
      <c r="F39" s="362">
        <f>IF(A39="","",--(LOWER('20_Registro_Diario'!G39)="sí"))</f>
        <v>0</v>
      </c>
      <c r="G39" s="363">
        <f>IF(A39="","",IFERROR('20_Registro_Diario'!I39,0))</f>
        <v>8</v>
      </c>
      <c r="H39" s="364">
        <f t="shared" si="0"/>
        <v>0.2</v>
      </c>
      <c r="I39" s="365" t="str">
        <f t="shared" si="1"/>
        <v>🔴 Riesgo</v>
      </c>
      <c r="J39" s="340" t="str">
        <f t="shared" si="2"/>
        <v>Sí</v>
      </c>
      <c r="K39" s="359" t="str">
        <f t="shared" si="3"/>
        <v>Sin universidad</v>
      </c>
      <c r="L39" s="359" t="str">
        <f t="shared" si="4"/>
        <v>Bajo</v>
      </c>
      <c r="M39" s="359" t="str">
        <f t="shared" si="5"/>
        <v>🔴 Revisar</v>
      </c>
      <c r="N39" s="149">
        <f t="shared" si="6"/>
        <v>20</v>
      </c>
    </row>
    <row r="40" spans="1:14">
      <c r="A40" s="416">
        <f>IF(OR('20_Registro_Diario'!A40="",'20_Registro_Diario'!A40=0),"",'20_Registro_Diario'!A40)</f>
        <v>46178</v>
      </c>
      <c r="B40" s="362">
        <f>IF(A40="","",--(LOWER('20_Registro_Diario'!C40)="sí"))</f>
        <v>1</v>
      </c>
      <c r="C40" s="362">
        <f>IF(A40="","",--(LOWER('20_Registro_Diario'!D40)="sí"))</f>
        <v>0</v>
      </c>
      <c r="D40" s="362">
        <f>IF(A40="","",--(LOWER('20_Registro_Diario'!E40)="sí"))</f>
        <v>0</v>
      </c>
      <c r="E40" s="362">
        <f>IF(A40="","",--(LOWER('20_Registro_Diario'!F40)="sí"))</f>
        <v>0</v>
      </c>
      <c r="F40" s="362">
        <f>IF(A40="","",--(LOWER('20_Registro_Diario'!G40)="sí"))</f>
        <v>0</v>
      </c>
      <c r="G40" s="363">
        <f>IF(A40="","",IFERROR('20_Registro_Diario'!I40,0))</f>
        <v>8</v>
      </c>
      <c r="H40" s="364">
        <f t="shared" si="0"/>
        <v>0.2</v>
      </c>
      <c r="I40" s="365" t="str">
        <f t="shared" si="1"/>
        <v>🔴 Riesgo</v>
      </c>
      <c r="J40" s="340" t="str">
        <f t="shared" si="2"/>
        <v>Sí</v>
      </c>
      <c r="K40" s="359" t="str">
        <f t="shared" si="3"/>
        <v>Sin universidad</v>
      </c>
      <c r="L40" s="359" t="str">
        <f t="shared" si="4"/>
        <v>Bajo</v>
      </c>
      <c r="M40" s="359" t="str">
        <f t="shared" si="5"/>
        <v>🔴 Revisar</v>
      </c>
      <c r="N40" s="149">
        <f t="shared" si="6"/>
        <v>20</v>
      </c>
    </row>
    <row r="41" spans="1:14">
      <c r="A41" s="416">
        <f>IF(OR('20_Registro_Diario'!A41="",'20_Registro_Diario'!A41=0),"",'20_Registro_Diario'!A41)</f>
        <v>46179</v>
      </c>
      <c r="B41" s="362">
        <f>IF(A41="","",--(LOWER('20_Registro_Diario'!C41)="sí"))</f>
        <v>1</v>
      </c>
      <c r="C41" s="362">
        <f>IF(A41="","",--(LOWER('20_Registro_Diario'!D41)="sí"))</f>
        <v>0</v>
      </c>
      <c r="D41" s="362">
        <f>IF(A41="","",--(LOWER('20_Registro_Diario'!E41)="sí"))</f>
        <v>0</v>
      </c>
      <c r="E41" s="362">
        <f>IF(A41="","",--(LOWER('20_Registro_Diario'!F41)="sí"))</f>
        <v>0</v>
      </c>
      <c r="F41" s="362">
        <f>IF(A41="","",--(LOWER('20_Registro_Diario'!G41)="sí"))</f>
        <v>0</v>
      </c>
      <c r="G41" s="363">
        <f>IF(A41="","",IFERROR('20_Registro_Diario'!I41,0))</f>
        <v>8</v>
      </c>
      <c r="H41" s="364">
        <f t="shared" si="0"/>
        <v>0.2</v>
      </c>
      <c r="I41" s="365" t="str">
        <f t="shared" si="1"/>
        <v>🔴 Riesgo</v>
      </c>
      <c r="J41" s="340" t="str">
        <f t="shared" si="2"/>
        <v>Sí</v>
      </c>
      <c r="K41" s="359" t="str">
        <f t="shared" si="3"/>
        <v>Sin universidad</v>
      </c>
      <c r="L41" s="359" t="str">
        <f t="shared" si="4"/>
        <v>Bajo</v>
      </c>
      <c r="M41" s="359" t="str">
        <f t="shared" si="5"/>
        <v>🔴 Revisar</v>
      </c>
      <c r="N41" s="149">
        <f t="shared" si="6"/>
        <v>20</v>
      </c>
    </row>
    <row r="42" spans="1:14">
      <c r="A42" s="416">
        <f>IF(OR('20_Registro_Diario'!A42="",'20_Registro_Diario'!A42=0),"",'20_Registro_Diario'!A42)</f>
        <v>46180</v>
      </c>
      <c r="B42" s="362">
        <f>IF(A42="","",--(LOWER('20_Registro_Diario'!C42)="sí"))</f>
        <v>1</v>
      </c>
      <c r="C42" s="362">
        <f>IF(A42="","",--(LOWER('20_Registro_Diario'!D42)="sí"))</f>
        <v>0</v>
      </c>
      <c r="D42" s="362">
        <f>IF(A42="","",--(LOWER('20_Registro_Diario'!E42)="sí"))</f>
        <v>0</v>
      </c>
      <c r="E42" s="362">
        <f>IF(A42="","",--(LOWER('20_Registro_Diario'!F42)="sí"))</f>
        <v>0</v>
      </c>
      <c r="F42" s="362">
        <f>IF(A42="","",--(LOWER('20_Registro_Diario'!G42)="sí"))</f>
        <v>0</v>
      </c>
      <c r="G42" s="363">
        <f>IF(A42="","",IFERROR('20_Registro_Diario'!I42,0))</f>
        <v>8</v>
      </c>
      <c r="H42" s="364">
        <f t="shared" si="0"/>
        <v>0.2</v>
      </c>
      <c r="I42" s="365" t="str">
        <f t="shared" si="1"/>
        <v>🔴 Riesgo</v>
      </c>
      <c r="J42" s="340" t="str">
        <f t="shared" si="2"/>
        <v>Sí</v>
      </c>
      <c r="K42" s="359" t="str">
        <f t="shared" si="3"/>
        <v>Sin universidad</v>
      </c>
      <c r="L42" s="359" t="str">
        <f t="shared" si="4"/>
        <v>Bajo</v>
      </c>
      <c r="M42" s="359" t="str">
        <f t="shared" si="5"/>
        <v>🔴 Revisar</v>
      </c>
      <c r="N42" s="149">
        <f t="shared" si="6"/>
        <v>20</v>
      </c>
    </row>
    <row r="43" spans="1:14">
      <c r="A43" s="416">
        <f>IF(OR('20_Registro_Diario'!A43="",'20_Registro_Diario'!A43=0),"",'20_Registro_Diario'!A43)</f>
        <v>46181</v>
      </c>
      <c r="B43" s="362">
        <f>IF(A43="","",--(LOWER('20_Registro_Diario'!C43)="sí"))</f>
        <v>1</v>
      </c>
      <c r="C43" s="362">
        <f>IF(A43="","",--(LOWER('20_Registro_Diario'!D43)="sí"))</f>
        <v>1</v>
      </c>
      <c r="D43" s="362">
        <f>IF(A43="","",--(LOWER('20_Registro_Diario'!E43)="sí"))</f>
        <v>0</v>
      </c>
      <c r="E43" s="362">
        <f>IF(A43="","",--(LOWER('20_Registro_Diario'!F43)="sí"))</f>
        <v>0</v>
      </c>
      <c r="F43" s="362">
        <f>IF(A43="","",--(LOWER('20_Registro_Diario'!G43)="sí"))</f>
        <v>0</v>
      </c>
      <c r="G43" s="363">
        <f>IF(A43="","",IFERROR('20_Registro_Diario'!I43,0))</f>
        <v>10</v>
      </c>
      <c r="H43" s="364">
        <f t="shared" si="0"/>
        <v>0.4</v>
      </c>
      <c r="I43" s="365" t="str">
        <f t="shared" si="1"/>
        <v>🔴 Riesgo</v>
      </c>
      <c r="J43" s="340" t="str">
        <f t="shared" si="2"/>
        <v>Sí</v>
      </c>
      <c r="K43" s="359" t="str">
        <f t="shared" si="3"/>
        <v>Sin universidad</v>
      </c>
      <c r="L43" s="359" t="str">
        <f t="shared" si="4"/>
        <v>Bajo</v>
      </c>
      <c r="M43" s="359" t="str">
        <f t="shared" si="5"/>
        <v>🔴 Revisar</v>
      </c>
      <c r="N43" s="149">
        <f t="shared" si="6"/>
        <v>40</v>
      </c>
    </row>
    <row r="44" spans="1:14">
      <c r="A44" s="416">
        <f>IF(OR('20_Registro_Diario'!A44="",'20_Registro_Diario'!A44=0),"",'20_Registro_Diario'!A44)</f>
        <v>46182</v>
      </c>
      <c r="B44" s="362">
        <f>IF(A44="","",--(LOWER('20_Registro_Diario'!C44)="sí"))</f>
        <v>1</v>
      </c>
      <c r="C44" s="362">
        <f>IF(A44="","",--(LOWER('20_Registro_Diario'!D44)="sí"))</f>
        <v>1</v>
      </c>
      <c r="D44" s="362">
        <f>IF(A44="","",--(LOWER('20_Registro_Diario'!E44)="sí"))</f>
        <v>0</v>
      </c>
      <c r="E44" s="362">
        <f>IF(A44="","",--(LOWER('20_Registro_Diario'!F44)="sí"))</f>
        <v>0</v>
      </c>
      <c r="F44" s="362">
        <f>IF(A44="","",--(LOWER('20_Registro_Diario'!G44)="sí"))</f>
        <v>0</v>
      </c>
      <c r="G44" s="363">
        <f>IF(A44="","",IFERROR('20_Registro_Diario'!I44,0))</f>
        <v>10</v>
      </c>
      <c r="H44" s="364">
        <f t="shared" si="0"/>
        <v>0.4</v>
      </c>
      <c r="I44" s="365" t="str">
        <f t="shared" si="1"/>
        <v>🔴 Riesgo</v>
      </c>
      <c r="J44" s="340" t="str">
        <f t="shared" si="2"/>
        <v>Sí</v>
      </c>
      <c r="K44" s="359" t="str">
        <f t="shared" si="3"/>
        <v>Sin universidad</v>
      </c>
      <c r="L44" s="359" t="str">
        <f t="shared" si="4"/>
        <v>Bajo</v>
      </c>
      <c r="M44" s="359" t="str">
        <f t="shared" si="5"/>
        <v>🔴 Revisar</v>
      </c>
      <c r="N44" s="149">
        <f t="shared" si="6"/>
        <v>40</v>
      </c>
    </row>
    <row r="45" spans="1:14">
      <c r="A45" s="416">
        <f>IF(OR('20_Registro_Diario'!A45="",'20_Registro_Diario'!A45=0),"",'20_Registro_Diario'!A45)</f>
        <v>46183</v>
      </c>
      <c r="B45" s="362">
        <f>IF(A45="","",--(LOWER('20_Registro_Diario'!C45)="sí"))</f>
        <v>1</v>
      </c>
      <c r="C45" s="362">
        <f>IF(A45="","",--(LOWER('20_Registro_Diario'!D45)="sí"))</f>
        <v>1</v>
      </c>
      <c r="D45" s="362">
        <f>IF(A45="","",--(LOWER('20_Registro_Diario'!E45)="sí"))</f>
        <v>0</v>
      </c>
      <c r="E45" s="362">
        <f>IF(A45="","",--(LOWER('20_Registro_Diario'!F45)="sí"))</f>
        <v>0</v>
      </c>
      <c r="F45" s="362">
        <f>IF(A45="","",--(LOWER('20_Registro_Diario'!G45)="sí"))</f>
        <v>0</v>
      </c>
      <c r="G45" s="363">
        <f>IF(A45="","",IFERROR('20_Registro_Diario'!I45,0))</f>
        <v>10</v>
      </c>
      <c r="H45" s="364">
        <f t="shared" si="0"/>
        <v>0.4</v>
      </c>
      <c r="I45" s="365" t="str">
        <f t="shared" si="1"/>
        <v>🔴 Riesgo</v>
      </c>
      <c r="J45" s="340" t="str">
        <f t="shared" si="2"/>
        <v>Sí</v>
      </c>
      <c r="K45" s="359" t="str">
        <f t="shared" si="3"/>
        <v>Sin universidad</v>
      </c>
      <c r="L45" s="359" t="str">
        <f t="shared" si="4"/>
        <v>Bajo</v>
      </c>
      <c r="M45" s="359" t="str">
        <f t="shared" si="5"/>
        <v>🔴 Revisar</v>
      </c>
      <c r="N45" s="149">
        <f t="shared" si="6"/>
        <v>40</v>
      </c>
    </row>
    <row r="46" spans="1:14">
      <c r="A46" s="416">
        <f>IF(OR('20_Registro_Diario'!A46="",'20_Registro_Diario'!A46=0),"",'20_Registro_Diario'!A46)</f>
        <v>46184</v>
      </c>
      <c r="B46" s="362">
        <f>IF(A46="","",--(LOWER('20_Registro_Diario'!C46)="sí"))</f>
        <v>1</v>
      </c>
      <c r="C46" s="362">
        <f>IF(A46="","",--(LOWER('20_Registro_Diario'!D46)="sí"))</f>
        <v>1</v>
      </c>
      <c r="D46" s="362">
        <f>IF(A46="","",--(LOWER('20_Registro_Diario'!E46)="sí"))</f>
        <v>0</v>
      </c>
      <c r="E46" s="362">
        <f>IF(A46="","",--(LOWER('20_Registro_Diario'!F46)="sí"))</f>
        <v>0</v>
      </c>
      <c r="F46" s="362">
        <f>IF(A46="","",--(LOWER('20_Registro_Diario'!G46)="sí"))</f>
        <v>0</v>
      </c>
      <c r="G46" s="363">
        <f>IF(A46="","",IFERROR('20_Registro_Diario'!I46,0))</f>
        <v>10</v>
      </c>
      <c r="H46" s="364">
        <f t="shared" si="0"/>
        <v>0.4</v>
      </c>
      <c r="I46" s="365" t="str">
        <f t="shared" si="1"/>
        <v>🔴 Riesgo</v>
      </c>
      <c r="J46" s="340" t="str">
        <f t="shared" si="2"/>
        <v>Sí</v>
      </c>
      <c r="K46" s="359" t="str">
        <f t="shared" si="3"/>
        <v>Sin universidad</v>
      </c>
      <c r="L46" s="359" t="str">
        <f t="shared" si="4"/>
        <v>Bajo</v>
      </c>
      <c r="M46" s="359" t="str">
        <f t="shared" si="5"/>
        <v>🔴 Revisar</v>
      </c>
      <c r="N46" s="149">
        <f t="shared" si="6"/>
        <v>40</v>
      </c>
    </row>
    <row r="47" spans="1:14">
      <c r="A47" s="416">
        <f>IF(OR('20_Registro_Diario'!A47="",'20_Registro_Diario'!A47=0),"",'20_Registro_Diario'!A47)</f>
        <v>46185</v>
      </c>
      <c r="B47" s="362">
        <f>IF(A47="","",--(LOWER('20_Registro_Diario'!C47)="sí"))</f>
        <v>1</v>
      </c>
      <c r="C47" s="362">
        <f>IF(A47="","",--(LOWER('20_Registro_Diario'!D47)="sí"))</f>
        <v>0</v>
      </c>
      <c r="D47" s="362">
        <f>IF(A47="","",--(LOWER('20_Registro_Diario'!E47)="sí"))</f>
        <v>0</v>
      </c>
      <c r="E47" s="362">
        <f>IF(A47="","",--(LOWER('20_Registro_Diario'!F47)="sí"))</f>
        <v>0</v>
      </c>
      <c r="F47" s="362">
        <f>IF(A47="","",--(LOWER('20_Registro_Diario'!G47)="sí"))</f>
        <v>0</v>
      </c>
      <c r="G47" s="363">
        <f>IF(A47="","",IFERROR('20_Registro_Diario'!I47,0))</f>
        <v>10</v>
      </c>
      <c r="H47" s="364">
        <f t="shared" si="0"/>
        <v>0.2</v>
      </c>
      <c r="I47" s="365" t="str">
        <f t="shared" si="1"/>
        <v>🔴 Riesgo</v>
      </c>
      <c r="J47" s="340" t="str">
        <f t="shared" si="2"/>
        <v>Sí</v>
      </c>
      <c r="K47" s="359" t="str">
        <f t="shared" si="3"/>
        <v>Sin universidad</v>
      </c>
      <c r="L47" s="359" t="str">
        <f t="shared" si="4"/>
        <v>Bajo</v>
      </c>
      <c r="M47" s="359" t="str">
        <f t="shared" si="5"/>
        <v>🔴 Revisar</v>
      </c>
      <c r="N47" s="149">
        <f t="shared" si="6"/>
        <v>20</v>
      </c>
    </row>
    <row r="48" spans="1:14">
      <c r="A48" s="416">
        <f>IF(OR('20_Registro_Diario'!A48="",'20_Registro_Diario'!A48=0),"",'20_Registro_Diario'!A48)</f>
        <v>46186</v>
      </c>
      <c r="B48" s="362">
        <f>IF(A48="","",--(LOWER('20_Registro_Diario'!C48)="sí"))</f>
        <v>1</v>
      </c>
      <c r="C48" s="362">
        <f>IF(A48="","",--(LOWER('20_Registro_Diario'!D48)="sí"))</f>
        <v>0</v>
      </c>
      <c r="D48" s="362">
        <f>IF(A48="","",--(LOWER('20_Registro_Diario'!E48)="sí"))</f>
        <v>0</v>
      </c>
      <c r="E48" s="362">
        <f>IF(A48="","",--(LOWER('20_Registro_Diario'!F48)="sí"))</f>
        <v>0</v>
      </c>
      <c r="F48" s="362">
        <f>IF(A48="","",--(LOWER('20_Registro_Diario'!G48)="sí"))</f>
        <v>0</v>
      </c>
      <c r="G48" s="363">
        <f>IF(A48="","",IFERROR('20_Registro_Diario'!I48,0))</f>
        <v>10</v>
      </c>
      <c r="H48" s="364">
        <f t="shared" si="0"/>
        <v>0.2</v>
      </c>
      <c r="I48" s="365" t="str">
        <f t="shared" si="1"/>
        <v>🔴 Riesgo</v>
      </c>
      <c r="J48" s="340" t="str">
        <f t="shared" si="2"/>
        <v>Sí</v>
      </c>
      <c r="K48" s="359" t="str">
        <f t="shared" si="3"/>
        <v>Sin universidad</v>
      </c>
      <c r="L48" s="359" t="str">
        <f t="shared" si="4"/>
        <v>Bajo</v>
      </c>
      <c r="M48" s="359" t="str">
        <f t="shared" si="5"/>
        <v>🔴 Revisar</v>
      </c>
      <c r="N48" s="149">
        <f t="shared" si="6"/>
        <v>20</v>
      </c>
    </row>
    <row r="49" spans="1:14">
      <c r="A49" s="416">
        <f>IF(OR('20_Registro_Diario'!A49="",'20_Registro_Diario'!A49=0),"",'20_Registro_Diario'!A49)</f>
        <v>46187</v>
      </c>
      <c r="B49" s="362">
        <f>IF(A49="","",--(LOWER('20_Registro_Diario'!C49)="sí"))</f>
        <v>1</v>
      </c>
      <c r="C49" s="362">
        <f>IF(A49="","",--(LOWER('20_Registro_Diario'!D49)="sí"))</f>
        <v>1</v>
      </c>
      <c r="D49" s="362">
        <f>IF(A49="","",--(LOWER('20_Registro_Diario'!E49)="sí"))</f>
        <v>1</v>
      </c>
      <c r="E49" s="362">
        <f>IF(A49="","",--(LOWER('20_Registro_Diario'!F49)="sí"))</f>
        <v>0</v>
      </c>
      <c r="F49" s="362">
        <f>IF(A49="","",--(LOWER('20_Registro_Diario'!G49)="sí"))</f>
        <v>0</v>
      </c>
      <c r="G49" s="363">
        <f>IF(A49="","",IFERROR('20_Registro_Diario'!I49,0))</f>
        <v>10</v>
      </c>
      <c r="H49" s="364">
        <f t="shared" si="0"/>
        <v>0.6</v>
      </c>
      <c r="I49" s="365" t="str">
        <f t="shared" si="1"/>
        <v>🟡 En proceso</v>
      </c>
      <c r="J49" s="340" t="str">
        <f t="shared" si="2"/>
        <v>Sí</v>
      </c>
      <c r="K49" s="359" t="str">
        <f t="shared" si="3"/>
        <v>Con universidad</v>
      </c>
      <c r="L49" s="359" t="str">
        <f t="shared" si="4"/>
        <v>Medio</v>
      </c>
      <c r="M49" s="359" t="str">
        <f t="shared" si="5"/>
        <v>🟡 Día útil</v>
      </c>
      <c r="N49" s="149">
        <f t="shared" si="6"/>
        <v>60</v>
      </c>
    </row>
    <row r="50" spans="1:14">
      <c r="A50" s="416">
        <f>IF(OR('20_Registro_Diario'!A50="",'20_Registro_Diario'!A50=0),"",'20_Registro_Diario'!A50)</f>
        <v>46188</v>
      </c>
      <c r="B50" s="362">
        <f>IF(A50="","",--(LOWER('20_Registro_Diario'!C50)="sí"))</f>
        <v>1</v>
      </c>
      <c r="C50" s="362">
        <f>IF(A50="","",--(LOWER('20_Registro_Diario'!D50)="sí"))</f>
        <v>1</v>
      </c>
      <c r="D50" s="362">
        <f>IF(A50="","",--(LOWER('20_Registro_Diario'!E50)="sí"))</f>
        <v>1</v>
      </c>
      <c r="E50" s="362">
        <f>IF(A50="","",--(LOWER('20_Registro_Diario'!F50)="sí"))</f>
        <v>0</v>
      </c>
      <c r="F50" s="362">
        <f>IF(A50="","",--(LOWER('20_Registro_Diario'!G50)="sí"))</f>
        <v>0</v>
      </c>
      <c r="G50" s="363">
        <f>IF(A50="","",IFERROR('20_Registro_Diario'!I50,0))</f>
        <v>10</v>
      </c>
      <c r="H50" s="364">
        <f t="shared" si="0"/>
        <v>0.6</v>
      </c>
      <c r="I50" s="365" t="str">
        <f t="shared" si="1"/>
        <v>🟡 En proceso</v>
      </c>
      <c r="J50" s="340" t="str">
        <f t="shared" si="2"/>
        <v>Sí</v>
      </c>
      <c r="K50" s="359" t="str">
        <f t="shared" si="3"/>
        <v>Con universidad</v>
      </c>
      <c r="L50" s="359" t="str">
        <f t="shared" si="4"/>
        <v>Medio</v>
      </c>
      <c r="M50" s="359" t="str">
        <f t="shared" si="5"/>
        <v>🟡 Día útil</v>
      </c>
      <c r="N50" s="149">
        <f t="shared" si="6"/>
        <v>60</v>
      </c>
    </row>
    <row r="51" spans="1:14">
      <c r="A51" s="416">
        <f>IF(OR('20_Registro_Diario'!A51="",'20_Registro_Diario'!A51=0),"",'20_Registro_Diario'!A51)</f>
        <v>46189</v>
      </c>
      <c r="B51" s="362">
        <f>IF(A51="","",--(LOWER('20_Registro_Diario'!C51)="sí"))</f>
        <v>1</v>
      </c>
      <c r="C51" s="362">
        <f>IF(A51="","",--(LOWER('20_Registro_Diario'!D51)="sí"))</f>
        <v>1</v>
      </c>
      <c r="D51" s="362">
        <f>IF(A51="","",--(LOWER('20_Registro_Diario'!E51)="sí"))</f>
        <v>1</v>
      </c>
      <c r="E51" s="362">
        <f>IF(A51="","",--(LOWER('20_Registro_Diario'!F51)="sí"))</f>
        <v>0</v>
      </c>
      <c r="F51" s="362">
        <f>IF(A51="","",--(LOWER('20_Registro_Diario'!G51)="sí"))</f>
        <v>0</v>
      </c>
      <c r="G51" s="363">
        <f>IF(A51="","",IFERROR('20_Registro_Diario'!I51,0))</f>
        <v>10</v>
      </c>
      <c r="H51" s="364">
        <f t="shared" si="0"/>
        <v>0.6</v>
      </c>
      <c r="I51" s="365" t="str">
        <f t="shared" si="1"/>
        <v>🟡 En proceso</v>
      </c>
      <c r="J51" s="340" t="str">
        <f t="shared" si="2"/>
        <v>Sí</v>
      </c>
      <c r="K51" s="359" t="str">
        <f t="shared" si="3"/>
        <v>Con universidad</v>
      </c>
      <c r="L51" s="359" t="str">
        <f t="shared" si="4"/>
        <v>Medio</v>
      </c>
      <c r="M51" s="359" t="str">
        <f t="shared" si="5"/>
        <v>🟡 Día útil</v>
      </c>
      <c r="N51" s="149">
        <f t="shared" si="6"/>
        <v>60</v>
      </c>
    </row>
    <row r="52" spans="1:14">
      <c r="A52" s="416">
        <f>IF(OR('20_Registro_Diario'!A52="",'20_Registro_Diario'!A52=0),"",'20_Registro_Diario'!A52)</f>
        <v>46190</v>
      </c>
      <c r="B52" s="362">
        <f>IF(A52="","",--(LOWER('20_Registro_Diario'!C52)="sí"))</f>
        <v>1</v>
      </c>
      <c r="C52" s="362">
        <f>IF(A52="","",--(LOWER('20_Registro_Diario'!D52)="sí"))</f>
        <v>1</v>
      </c>
      <c r="D52" s="362">
        <f>IF(A52="","",--(LOWER('20_Registro_Diario'!E52)="sí"))</f>
        <v>1</v>
      </c>
      <c r="E52" s="362">
        <f>IF(A52="","",--(LOWER('20_Registro_Diario'!F52)="sí"))</f>
        <v>0</v>
      </c>
      <c r="F52" s="362">
        <f>IF(A52="","",--(LOWER('20_Registro_Diario'!G52)="sí"))</f>
        <v>0</v>
      </c>
      <c r="G52" s="363">
        <f>IF(A52="","",IFERROR('20_Registro_Diario'!I52,0))</f>
        <v>10</v>
      </c>
      <c r="H52" s="364">
        <f t="shared" si="0"/>
        <v>0.6</v>
      </c>
      <c r="I52" s="365" t="str">
        <f t="shared" si="1"/>
        <v>🟡 En proceso</v>
      </c>
      <c r="J52" s="340" t="str">
        <f t="shared" si="2"/>
        <v>Sí</v>
      </c>
      <c r="K52" s="359" t="str">
        <f t="shared" si="3"/>
        <v>Con universidad</v>
      </c>
      <c r="L52" s="359" t="str">
        <f t="shared" si="4"/>
        <v>Medio</v>
      </c>
      <c r="M52" s="359" t="str">
        <f t="shared" si="5"/>
        <v>🟡 Día útil</v>
      </c>
      <c r="N52" s="149">
        <f t="shared" si="6"/>
        <v>60</v>
      </c>
    </row>
    <row r="53" spans="1:14">
      <c r="A53" s="416">
        <f>IF(OR('20_Registro_Diario'!A53="",'20_Registro_Diario'!A53=0),"",'20_Registro_Diario'!A53)</f>
        <v>46191</v>
      </c>
      <c r="B53" s="362">
        <f>IF(A53="","",--(LOWER('20_Registro_Diario'!C53)="sí"))</f>
        <v>1</v>
      </c>
      <c r="C53" s="362">
        <f>IF(A53="","",--(LOWER('20_Registro_Diario'!D53)="sí"))</f>
        <v>0</v>
      </c>
      <c r="D53" s="362">
        <f>IF(A53="","",--(LOWER('20_Registro_Diario'!E53)="sí"))</f>
        <v>1</v>
      </c>
      <c r="E53" s="362">
        <f>IF(A53="","",--(LOWER('20_Registro_Diario'!F53)="sí"))</f>
        <v>0</v>
      </c>
      <c r="F53" s="362">
        <f>IF(A53="","",--(LOWER('20_Registro_Diario'!G53)="sí"))</f>
        <v>1</v>
      </c>
      <c r="G53" s="363">
        <f>IF(A53="","",IFERROR('20_Registro_Diario'!I53,0))</f>
        <v>10</v>
      </c>
      <c r="H53" s="364">
        <f t="shared" si="0"/>
        <v>0.6</v>
      </c>
      <c r="I53" s="365" t="str">
        <f t="shared" si="1"/>
        <v>🟡 En proceso</v>
      </c>
      <c r="J53" s="340" t="str">
        <f t="shared" si="2"/>
        <v>Sí</v>
      </c>
      <c r="K53" s="359" t="str">
        <f t="shared" si="3"/>
        <v>Con universidad</v>
      </c>
      <c r="L53" s="359" t="str">
        <f t="shared" si="4"/>
        <v>Medio</v>
      </c>
      <c r="M53" s="359" t="str">
        <f t="shared" si="5"/>
        <v>🟡 Día útil</v>
      </c>
      <c r="N53" s="149">
        <f t="shared" si="6"/>
        <v>60</v>
      </c>
    </row>
    <row r="54" spans="1:14">
      <c r="A54" s="416">
        <f>IF(OR('20_Registro_Diario'!A54="",'20_Registro_Diario'!A54=0),"",'20_Registro_Diario'!A54)</f>
        <v>46192</v>
      </c>
      <c r="B54" s="362">
        <f>IF(A54="","",--(LOWER('20_Registro_Diario'!C54)="sí"))</f>
        <v>1</v>
      </c>
      <c r="C54" s="362">
        <f>IF(A54="","",--(LOWER('20_Registro_Diario'!D54)="sí"))</f>
        <v>0</v>
      </c>
      <c r="D54" s="362">
        <f>IF(A54="","",--(LOWER('20_Registro_Diario'!E54)="sí"))</f>
        <v>0</v>
      </c>
      <c r="E54" s="362">
        <f>IF(A54="","",--(LOWER('20_Registro_Diario'!F54)="sí"))</f>
        <v>0</v>
      </c>
      <c r="F54" s="362">
        <f>IF(A54="","",--(LOWER('20_Registro_Diario'!G54)="sí"))</f>
        <v>0</v>
      </c>
      <c r="G54" s="363">
        <f>IF(A54="","",IFERROR('20_Registro_Diario'!I54,0))</f>
        <v>8</v>
      </c>
      <c r="H54" s="364">
        <f t="shared" si="0"/>
        <v>0.2</v>
      </c>
      <c r="I54" s="365" t="str">
        <f t="shared" si="1"/>
        <v>🔴 Riesgo</v>
      </c>
      <c r="J54" s="340" t="str">
        <f t="shared" si="2"/>
        <v>Sí</v>
      </c>
      <c r="K54" s="359" t="str">
        <f t="shared" si="3"/>
        <v>Sin universidad</v>
      </c>
      <c r="L54" s="359" t="str">
        <f t="shared" si="4"/>
        <v>Bajo</v>
      </c>
      <c r="M54" s="359" t="str">
        <f t="shared" si="5"/>
        <v>🔴 Revisar</v>
      </c>
      <c r="N54" s="149">
        <f t="shared" si="6"/>
        <v>20</v>
      </c>
    </row>
    <row r="55" spans="1:14">
      <c r="A55" s="416">
        <f>IF(OR('20_Registro_Diario'!A55="",'20_Registro_Diario'!A55=0),"",'20_Registro_Diario'!A55)</f>
        <v>46193</v>
      </c>
      <c r="B55" s="362">
        <f>IF(A55="","",--(LOWER('20_Registro_Diario'!C55)="sí"))</f>
        <v>1</v>
      </c>
      <c r="C55" s="362">
        <f>IF(A55="","",--(LOWER('20_Registro_Diario'!D55)="sí"))</f>
        <v>0</v>
      </c>
      <c r="D55" s="362">
        <f>IF(A55="","",--(LOWER('20_Registro_Diario'!E55)="sí"))</f>
        <v>0</v>
      </c>
      <c r="E55" s="362">
        <f>IF(A55="","",--(LOWER('20_Registro_Diario'!F55)="sí"))</f>
        <v>0</v>
      </c>
      <c r="F55" s="362">
        <f>IF(A55="","",--(LOWER('20_Registro_Diario'!G55)="sí"))</f>
        <v>0</v>
      </c>
      <c r="G55" s="363">
        <f>IF(A55="","",IFERROR('20_Registro_Diario'!I55,0))</f>
        <v>7</v>
      </c>
      <c r="H55" s="364">
        <f t="shared" si="0"/>
        <v>0.2</v>
      </c>
      <c r="I55" s="365" t="str">
        <f t="shared" si="1"/>
        <v>🔴 Riesgo</v>
      </c>
      <c r="J55" s="340" t="str">
        <f t="shared" si="2"/>
        <v>Sí</v>
      </c>
      <c r="K55" s="359" t="str">
        <f t="shared" si="3"/>
        <v>Sin universidad</v>
      </c>
      <c r="L55" s="359" t="str">
        <f t="shared" si="4"/>
        <v>Bajo</v>
      </c>
      <c r="M55" s="359" t="str">
        <f t="shared" si="5"/>
        <v>🔴 Revisar</v>
      </c>
      <c r="N55" s="149">
        <f t="shared" si="6"/>
        <v>20</v>
      </c>
    </row>
    <row r="56" spans="1:14">
      <c r="A56" s="416">
        <f>IF(OR('20_Registro_Diario'!A56="",'20_Registro_Diario'!A56=0),"",'20_Registro_Diario'!A56)</f>
        <v>46194</v>
      </c>
      <c r="B56" s="362">
        <f>IF(A56="","",--(LOWER('20_Registro_Diario'!C56)="sí"))</f>
        <v>1</v>
      </c>
      <c r="C56" s="362">
        <f>IF(A56="","",--(LOWER('20_Registro_Diario'!D56)="sí"))</f>
        <v>1</v>
      </c>
      <c r="D56" s="362">
        <f>IF(A56="","",--(LOWER('20_Registro_Diario'!E56)="sí"))</f>
        <v>1</v>
      </c>
      <c r="E56" s="362">
        <f>IF(A56="","",--(LOWER('20_Registro_Diario'!F56)="sí"))</f>
        <v>0</v>
      </c>
      <c r="F56" s="362">
        <f>IF(A56="","",--(LOWER('20_Registro_Diario'!G56)="sí"))</f>
        <v>0</v>
      </c>
      <c r="G56" s="363">
        <f>IF(A56="","",IFERROR('20_Registro_Diario'!I56,0))</f>
        <v>5</v>
      </c>
      <c r="H56" s="364">
        <f t="shared" si="0"/>
        <v>0.6</v>
      </c>
      <c r="I56" s="365" t="str">
        <f t="shared" si="1"/>
        <v>🟡 En proceso</v>
      </c>
      <c r="J56" s="340" t="str">
        <f t="shared" si="2"/>
        <v>Sí</v>
      </c>
      <c r="K56" s="359" t="str">
        <f t="shared" si="3"/>
        <v>Con universidad</v>
      </c>
      <c r="L56" s="359" t="str">
        <f t="shared" si="4"/>
        <v>Medio</v>
      </c>
      <c r="M56" s="359" t="str">
        <f t="shared" si="5"/>
        <v>🟡 Día útil</v>
      </c>
      <c r="N56" s="149">
        <f t="shared" si="6"/>
        <v>60</v>
      </c>
    </row>
    <row r="57" spans="1:14">
      <c r="A57" s="416">
        <f>IF(OR('20_Registro_Diario'!A57="",'20_Registro_Diario'!A57=0),"",'20_Registro_Diario'!A57)</f>
        <v>46195</v>
      </c>
      <c r="B57" s="362">
        <f>IF(A57="","",--(LOWER('20_Registro_Diario'!C57)="sí"))</f>
        <v>1</v>
      </c>
      <c r="C57" s="362">
        <f>IF(A57="","",--(LOWER('20_Registro_Diario'!D57)="sí"))</f>
        <v>0</v>
      </c>
      <c r="D57" s="362">
        <f>IF(A57="","",--(LOWER('20_Registro_Diario'!E57)="sí"))</f>
        <v>1</v>
      </c>
      <c r="E57" s="362">
        <f>IF(A57="","",--(LOWER('20_Registro_Diario'!F57)="sí"))</f>
        <v>1</v>
      </c>
      <c r="F57" s="362">
        <f>IF(A57="","",--(LOWER('20_Registro_Diario'!G57)="sí"))</f>
        <v>0</v>
      </c>
      <c r="G57" s="363">
        <f>IF(A57="","",IFERROR('20_Registro_Diario'!I57,0))</f>
        <v>10</v>
      </c>
      <c r="H57" s="364">
        <f t="shared" si="0"/>
        <v>0.6</v>
      </c>
      <c r="I57" s="365" t="str">
        <f t="shared" si="1"/>
        <v>🟡 En proceso</v>
      </c>
      <c r="J57" s="340" t="str">
        <f t="shared" si="2"/>
        <v>Sí</v>
      </c>
      <c r="K57" s="359" t="str">
        <f t="shared" si="3"/>
        <v>Con universidad</v>
      </c>
      <c r="L57" s="359" t="str">
        <f t="shared" si="4"/>
        <v>Medio</v>
      </c>
      <c r="M57" s="359" t="str">
        <f t="shared" si="5"/>
        <v>🟡 Día útil</v>
      </c>
      <c r="N57" s="149">
        <f t="shared" si="6"/>
        <v>60</v>
      </c>
    </row>
    <row r="58" spans="1:14">
      <c r="A58" s="416">
        <f>IF(OR('20_Registro_Diario'!A58="",'20_Registro_Diario'!A58=0),"",'20_Registro_Diario'!A58)</f>
        <v>46196</v>
      </c>
      <c r="B58" s="362">
        <f>IF(A58="","",--(LOWER('20_Registro_Diario'!C58)="sí"))</f>
        <v>1</v>
      </c>
      <c r="C58" s="362">
        <f>IF(A58="","",--(LOWER('20_Registro_Diario'!D58)="sí"))</f>
        <v>1</v>
      </c>
      <c r="D58" s="362">
        <f>IF(A58="","",--(LOWER('20_Registro_Diario'!E58)="sí"))</f>
        <v>1</v>
      </c>
      <c r="E58" s="362">
        <f>IF(A58="","",--(LOWER('20_Registro_Diario'!F58)="sí"))</f>
        <v>1</v>
      </c>
      <c r="F58" s="362">
        <f>IF(A58="","",--(LOWER('20_Registro_Diario'!G58)="sí"))</f>
        <v>1</v>
      </c>
      <c r="G58" s="363">
        <f>IF(A58="","",IFERROR('20_Registro_Diario'!I58,0))</f>
        <v>10</v>
      </c>
      <c r="H58" s="364">
        <f t="shared" si="0"/>
        <v>1</v>
      </c>
      <c r="I58" s="365" t="str">
        <f t="shared" si="1"/>
        <v>🟢 Fuerte</v>
      </c>
      <c r="J58" s="340" t="str">
        <f t="shared" si="2"/>
        <v>Sí</v>
      </c>
      <c r="K58" s="359" t="str">
        <f t="shared" si="3"/>
        <v>Con universidad</v>
      </c>
      <c r="L58" s="359" t="str">
        <f t="shared" si="4"/>
        <v>Alto</v>
      </c>
      <c r="M58" s="359" t="str">
        <f t="shared" si="5"/>
        <v>🟢 Fuerte</v>
      </c>
      <c r="N58" s="149">
        <f t="shared" si="6"/>
        <v>100</v>
      </c>
    </row>
    <row r="59" spans="1:14">
      <c r="A59" s="416">
        <f>IF(OR('20_Registro_Diario'!A59="",'20_Registro_Diario'!A59=0),"",'20_Registro_Diario'!A59)</f>
        <v>46197</v>
      </c>
      <c r="B59" s="362">
        <f>IF(A59="","",--(LOWER('20_Registro_Diario'!C59)="sí"))</f>
        <v>1</v>
      </c>
      <c r="C59" s="362">
        <f>IF(A59="","",--(LOWER('20_Registro_Diario'!D59)="sí"))</f>
        <v>1</v>
      </c>
      <c r="D59" s="362">
        <f>IF(A59="","",--(LOWER('20_Registro_Diario'!E59)="sí"))</f>
        <v>0</v>
      </c>
      <c r="E59" s="362">
        <f>IF(A59="","",--(LOWER('20_Registro_Diario'!F59)="sí"))</f>
        <v>0</v>
      </c>
      <c r="F59" s="362">
        <f>IF(A59="","",--(LOWER('20_Registro_Diario'!G59)="sí"))</f>
        <v>0</v>
      </c>
      <c r="G59" s="363">
        <f>IF(A59="","",IFERROR('20_Registro_Diario'!I59,0))</f>
        <v>7</v>
      </c>
      <c r="H59" s="364">
        <f t="shared" si="0"/>
        <v>0.4</v>
      </c>
      <c r="I59" s="365" t="str">
        <f t="shared" si="1"/>
        <v>🔴 Riesgo</v>
      </c>
      <c r="J59" s="340" t="str">
        <f t="shared" si="2"/>
        <v>Sí</v>
      </c>
      <c r="K59" s="359" t="str">
        <f t="shared" si="3"/>
        <v>Sin universidad</v>
      </c>
      <c r="L59" s="359" t="str">
        <f t="shared" si="4"/>
        <v>Bajo</v>
      </c>
      <c r="M59" s="359" t="str">
        <f t="shared" si="5"/>
        <v>🔴 Revisar</v>
      </c>
      <c r="N59" s="149">
        <f t="shared" si="6"/>
        <v>40</v>
      </c>
    </row>
    <row r="60" spans="1:14">
      <c r="A60" s="416">
        <f>IF(OR('20_Registro_Diario'!A60="",'20_Registro_Diario'!A60=0),"",'20_Registro_Diario'!A60)</f>
        <v>46198</v>
      </c>
      <c r="B60" s="362">
        <f>IF(A60="","",--(LOWER('20_Registro_Diario'!C60)="sí"))</f>
        <v>1</v>
      </c>
      <c r="C60" s="362">
        <f>IF(A60="","",--(LOWER('20_Registro_Diario'!D60)="sí"))</f>
        <v>1</v>
      </c>
      <c r="D60" s="362">
        <f>IF(A60="","",--(LOWER('20_Registro_Diario'!E60)="sí"))</f>
        <v>0</v>
      </c>
      <c r="E60" s="362">
        <f>IF(A60="","",--(LOWER('20_Registro_Diario'!F60)="sí"))</f>
        <v>0</v>
      </c>
      <c r="F60" s="362">
        <f>IF(A60="","",--(LOWER('20_Registro_Diario'!G60)="sí"))</f>
        <v>0</v>
      </c>
      <c r="G60" s="363">
        <f>IF(A60="","",IFERROR('20_Registro_Diario'!I60,0))</f>
        <v>9</v>
      </c>
      <c r="H60" s="364">
        <f t="shared" si="0"/>
        <v>0.4</v>
      </c>
      <c r="I60" s="365" t="str">
        <f t="shared" si="1"/>
        <v>🔴 Riesgo</v>
      </c>
      <c r="J60" s="340" t="str">
        <f t="shared" si="2"/>
        <v>Sí</v>
      </c>
      <c r="K60" s="359" t="str">
        <f t="shared" si="3"/>
        <v>Sin universidad</v>
      </c>
      <c r="L60" s="359" t="str">
        <f t="shared" si="4"/>
        <v>Bajo</v>
      </c>
      <c r="M60" s="359" t="str">
        <f t="shared" si="5"/>
        <v>🔴 Revisar</v>
      </c>
      <c r="N60" s="149">
        <f t="shared" si="6"/>
        <v>40</v>
      </c>
    </row>
    <row r="61" spans="1:14">
      <c r="A61" s="416">
        <f>IF(OR('20_Registro_Diario'!A61="",'20_Registro_Diario'!A61=0),"",'20_Registro_Diario'!A61)</f>
        <v>46199</v>
      </c>
      <c r="B61" s="362">
        <f>IF(A61="","",--(LOWER('20_Registro_Diario'!C61)="sí"))</f>
        <v>1</v>
      </c>
      <c r="C61" s="362">
        <f>IF(A61="","",--(LOWER('20_Registro_Diario'!D61)="sí"))</f>
        <v>1</v>
      </c>
      <c r="D61" s="362">
        <f>IF(A61="","",--(LOWER('20_Registro_Diario'!E61)="sí"))</f>
        <v>1</v>
      </c>
      <c r="E61" s="362">
        <f>IF(A61="","",--(LOWER('20_Registro_Diario'!F61)="sí"))</f>
        <v>0</v>
      </c>
      <c r="F61" s="362">
        <f>IF(A61="","",--(LOWER('20_Registro_Diario'!G61)="sí"))</f>
        <v>0</v>
      </c>
      <c r="G61" s="363">
        <f>IF(A61="","",IFERROR('20_Registro_Diario'!I61,0))</f>
        <v>7</v>
      </c>
      <c r="H61" s="364">
        <f t="shared" si="0"/>
        <v>0.6</v>
      </c>
      <c r="I61" s="365" t="str">
        <f t="shared" si="1"/>
        <v>🟡 En proceso</v>
      </c>
      <c r="J61" s="340" t="str">
        <f t="shared" si="2"/>
        <v>Sí</v>
      </c>
      <c r="K61" s="359" t="str">
        <f t="shared" si="3"/>
        <v>Con universidad</v>
      </c>
      <c r="L61" s="359" t="str">
        <f t="shared" si="4"/>
        <v>Medio</v>
      </c>
      <c r="M61" s="359" t="str">
        <f t="shared" si="5"/>
        <v>🟡 Día útil</v>
      </c>
      <c r="N61" s="149">
        <f t="shared" si="6"/>
        <v>60</v>
      </c>
    </row>
    <row r="62" spans="1:14">
      <c r="A62" s="416">
        <f>IF(OR('20_Registro_Diario'!A62="",'20_Registro_Diario'!A62=0),"",'20_Registro_Diario'!A62)</f>
        <v>46200</v>
      </c>
      <c r="B62" s="362">
        <f>IF(A62="","",--(LOWER('20_Registro_Diario'!C62)="sí"))</f>
        <v>1</v>
      </c>
      <c r="C62" s="362">
        <f>IF(A62="","",--(LOWER('20_Registro_Diario'!D62)="sí"))</f>
        <v>1</v>
      </c>
      <c r="D62" s="362">
        <f>IF(A62="","",--(LOWER('20_Registro_Diario'!E62)="sí"))</f>
        <v>1</v>
      </c>
      <c r="E62" s="362">
        <f>IF(A62="","",--(LOWER('20_Registro_Diario'!F62)="sí"))</f>
        <v>0</v>
      </c>
      <c r="F62" s="362">
        <f>IF(A62="","",--(LOWER('20_Registro_Diario'!G62)="sí"))</f>
        <v>1</v>
      </c>
      <c r="G62" s="363">
        <f>IF(A62="","",IFERROR('20_Registro_Diario'!I62,0))</f>
        <v>10</v>
      </c>
      <c r="H62" s="364">
        <f t="shared" ref="H62:H66" si="7">IF(A62="","",IFERROR(SUM(B62:F62)/5,0))</f>
        <v>0.8</v>
      </c>
      <c r="I62" s="365" t="str">
        <f t="shared" ref="I62:I66" si="8">IF(A62="","",IF(H62&gt;=0.8,"🟢 Fuerte",IF(H62&gt;=0.5,"🟡 En proceso","🔴 Riesgo")))</f>
        <v>🟢 Fuerte</v>
      </c>
      <c r="J62" s="340" t="str">
        <f t="shared" ref="J62:J66" si="9">IF(A62="","",IF(B62=1,"Sí","No"))</f>
        <v>Sí</v>
      </c>
      <c r="K62" s="359" t="str">
        <f t="shared" ref="K62:K66" si="10">IF(A62="","",IF(D62=1,"Con universidad","Sin universidad"))</f>
        <v>Con universidad</v>
      </c>
      <c r="L62" s="359" t="str">
        <f t="shared" ref="L62:L66" si="11">IF(A62="","",IF(H62&gt;=0.8,"Alto",IF(H62&gt;=0.5,"Medio","Bajo")))</f>
        <v>Alto</v>
      </c>
      <c r="M62" s="359" t="str">
        <f t="shared" ref="M62:M66" si="12">IF(A62="","",IF(H62&gt;=0.8,"🟢 Fuerte",IF(H62&gt;=0.5,"🟡 Día útil","🔴 Revisar")))</f>
        <v>🟢 Fuerte</v>
      </c>
      <c r="N62" s="149">
        <f t="shared" ref="N62:N66" si="13">IF(A62="","",H62*100)</f>
        <v>80</v>
      </c>
    </row>
    <row r="63" spans="1:14">
      <c r="A63" s="416">
        <f>IF(OR('20_Registro_Diario'!A63="",'20_Registro_Diario'!A63=0),"",'20_Registro_Diario'!A63)</f>
        <v>46201</v>
      </c>
      <c r="B63" s="362">
        <f>IF(A63="","",--(LOWER('20_Registro_Diario'!C63)="sí"))</f>
        <v>1</v>
      </c>
      <c r="C63" s="362">
        <f>IF(A63="","",--(LOWER('20_Registro_Diario'!D63)="sí"))</f>
        <v>1</v>
      </c>
      <c r="D63" s="362">
        <f>IF(A63="","",--(LOWER('20_Registro_Diario'!E63)="sí"))</f>
        <v>1</v>
      </c>
      <c r="E63" s="362">
        <f>IF(A63="","",--(LOWER('20_Registro_Diario'!F63)="sí"))</f>
        <v>0</v>
      </c>
      <c r="F63" s="362">
        <f>IF(A63="","",--(LOWER('20_Registro_Diario'!G63)="sí"))</f>
        <v>0</v>
      </c>
      <c r="G63" s="363">
        <f>IF(A63="","",IFERROR('20_Registro_Diario'!I63,0))</f>
        <v>10</v>
      </c>
      <c r="H63" s="364">
        <f t="shared" si="7"/>
        <v>0.6</v>
      </c>
      <c r="I63" s="365" t="str">
        <f t="shared" si="8"/>
        <v>🟡 En proceso</v>
      </c>
      <c r="J63" s="340" t="str">
        <f t="shared" si="9"/>
        <v>Sí</v>
      </c>
      <c r="K63" s="359" t="str">
        <f t="shared" si="10"/>
        <v>Con universidad</v>
      </c>
      <c r="L63" s="359" t="str">
        <f t="shared" si="11"/>
        <v>Medio</v>
      </c>
      <c r="M63" s="359" t="str">
        <f t="shared" si="12"/>
        <v>🟡 Día útil</v>
      </c>
      <c r="N63" s="149">
        <f t="shared" si="13"/>
        <v>60</v>
      </c>
    </row>
    <row r="64" spans="1:14">
      <c r="A64" s="416">
        <f>IF(OR('20_Registro_Diario'!A64="",'20_Registro_Diario'!A64=0),"",'20_Registro_Diario'!A64)</f>
        <v>46202</v>
      </c>
      <c r="B64" s="362">
        <f>IF(A64="","",--(LOWER('20_Registro_Diario'!C64)="sí"))</f>
        <v>1</v>
      </c>
      <c r="C64" s="362">
        <f>IF(A64="","",--(LOWER('20_Registro_Diario'!D64)="sí"))</f>
        <v>1</v>
      </c>
      <c r="D64" s="362">
        <f>IF(A64="","",--(LOWER('20_Registro_Diario'!E64)="sí"))</f>
        <v>1</v>
      </c>
      <c r="E64" s="362">
        <f>IF(A64="","",--(LOWER('20_Registro_Diario'!F64)="sí"))</f>
        <v>1</v>
      </c>
      <c r="F64" s="362">
        <f>IF(A64="","",--(LOWER('20_Registro_Diario'!G64)="sí"))</f>
        <v>1</v>
      </c>
      <c r="G64" s="363">
        <f>IF(A64="","",IFERROR('20_Registro_Diario'!I64,0))</f>
        <v>10</v>
      </c>
      <c r="H64" s="364">
        <f t="shared" si="7"/>
        <v>1</v>
      </c>
      <c r="I64" s="365" t="str">
        <f t="shared" si="8"/>
        <v>🟢 Fuerte</v>
      </c>
      <c r="J64" s="340" t="str">
        <f t="shared" si="9"/>
        <v>Sí</v>
      </c>
      <c r="K64" s="359" t="str">
        <f t="shared" si="10"/>
        <v>Con universidad</v>
      </c>
      <c r="L64" s="359" t="str">
        <f t="shared" si="11"/>
        <v>Alto</v>
      </c>
      <c r="M64" s="359" t="str">
        <f t="shared" si="12"/>
        <v>🟢 Fuerte</v>
      </c>
      <c r="N64" s="149">
        <f t="shared" si="13"/>
        <v>100</v>
      </c>
    </row>
    <row r="65" spans="1:14">
      <c r="A65" s="416" t="str">
        <f>IF(OR('20_Registro_Diario'!A65="",'20_Registro_Diario'!A65=0),"",'20_Registro_Diario'!A65)</f>
        <v/>
      </c>
      <c r="B65" s="362" t="str">
        <f>IF(A65="","",--(LOWER('20_Registro_Diario'!C65)="sí"))</f>
        <v/>
      </c>
      <c r="C65" s="362" t="str">
        <f>IF(A65="","",--(LOWER('20_Registro_Diario'!D65)="sí"))</f>
        <v/>
      </c>
      <c r="D65" s="362" t="str">
        <f>IF(A65="","",--(LOWER('20_Registro_Diario'!E65)="sí"))</f>
        <v/>
      </c>
      <c r="E65" s="362" t="str">
        <f>IF(A65="","",--(LOWER('20_Registro_Diario'!F65)="sí"))</f>
        <v/>
      </c>
      <c r="F65" s="362" t="str">
        <f>IF(A65="","",--(LOWER('20_Registro_Diario'!G65)="sí"))</f>
        <v/>
      </c>
      <c r="G65" s="363" t="str">
        <f>IF(A65="","",IFERROR('20_Registro_Diario'!I65,0))</f>
        <v/>
      </c>
      <c r="H65" s="364" t="str">
        <f t="shared" si="7"/>
        <v/>
      </c>
      <c r="I65" s="365" t="str">
        <f t="shared" si="8"/>
        <v/>
      </c>
      <c r="J65" s="340" t="str">
        <f t="shared" si="9"/>
        <v/>
      </c>
      <c r="K65" s="359" t="str">
        <f t="shared" si="10"/>
        <v/>
      </c>
      <c r="L65" s="359" t="str">
        <f t="shared" si="11"/>
        <v/>
      </c>
      <c r="M65" s="359" t="str">
        <f t="shared" si="12"/>
        <v/>
      </c>
      <c r="N65" s="149" t="str">
        <f t="shared" si="13"/>
        <v/>
      </c>
    </row>
    <row r="66" spans="1:14">
      <c r="A66" s="416" t="str">
        <f>IF(OR('20_Registro_Diario'!A66="",'20_Registro_Diario'!A66=0),"",'20_Registro_Diario'!A66)</f>
        <v/>
      </c>
      <c r="B66" s="362" t="str">
        <f>IF(A66="","",--(LOWER('20_Registro_Diario'!C66)="sí"))</f>
        <v/>
      </c>
      <c r="C66" s="362" t="str">
        <f>IF(A66="","",--(LOWER('20_Registro_Diario'!D66)="sí"))</f>
        <v/>
      </c>
      <c r="D66" s="362" t="str">
        <f>IF(A66="","",--(LOWER('20_Registro_Diario'!E66)="sí"))</f>
        <v/>
      </c>
      <c r="E66" s="362" t="str">
        <f>IF(A66="","",--(LOWER('20_Registro_Diario'!F66)="sí"))</f>
        <v/>
      </c>
      <c r="F66" s="362" t="str">
        <f>IF(A66="","",--(LOWER('20_Registro_Diario'!G66)="sí"))</f>
        <v/>
      </c>
      <c r="G66" s="363" t="str">
        <f>IF(A66="","",IFERROR('20_Registro_Diario'!I66,0))</f>
        <v/>
      </c>
      <c r="H66" s="364" t="str">
        <f t="shared" si="7"/>
        <v/>
      </c>
      <c r="I66" s="365" t="str">
        <f t="shared" si="8"/>
        <v/>
      </c>
      <c r="J66" s="340" t="str">
        <f t="shared" si="9"/>
        <v/>
      </c>
      <c r="K66" s="359" t="str">
        <f t="shared" si="10"/>
        <v/>
      </c>
      <c r="L66" s="359" t="str">
        <f t="shared" si="11"/>
        <v/>
      </c>
      <c r="M66" s="359" t="str">
        <f t="shared" si="12"/>
        <v/>
      </c>
      <c r="N66" s="149" t="str">
        <f t="shared" si="13"/>
        <v/>
      </c>
    </row>
    <row r="67" spans="1:14">
      <c r="A67" s="416" t="str">
        <f>IF(OR('20_Registro_Diario'!A67="",'20_Registro_Diario'!A67=0),"",'20_Registro_Diario'!A67)</f>
        <v/>
      </c>
      <c r="B67" s="362" t="str">
        <f>IF(A67="","",--(LOWER('20_Registro_Diario'!C67)="sí"))</f>
        <v/>
      </c>
      <c r="C67" s="362" t="str">
        <f>IF(A67="","",--(LOWER('20_Registro_Diario'!D67)="sí"))</f>
        <v/>
      </c>
      <c r="D67" s="362" t="str">
        <f>IF(A67="","",--(LOWER('20_Registro_Diario'!E67)="sí"))</f>
        <v/>
      </c>
      <c r="E67" s="362" t="str">
        <f>IF(A67="","",--(LOWER('20_Registro_Diario'!F67)="sí"))</f>
        <v/>
      </c>
      <c r="F67" s="362" t="str">
        <f>IF(A67="","",--(LOWER('20_Registro_Diario'!G67)="sí"))</f>
        <v/>
      </c>
      <c r="G67" s="363" t="str">
        <f>IF(A67="","",IFERROR('20_Registro_Diario'!I67,0))</f>
        <v/>
      </c>
      <c r="H67" s="364" t="str">
        <f t="shared" si="0"/>
        <v/>
      </c>
      <c r="I67" s="365" t="str">
        <f t="shared" si="1"/>
        <v/>
      </c>
      <c r="J67" s="340" t="str">
        <f t="shared" si="2"/>
        <v/>
      </c>
      <c r="K67" s="359" t="str">
        <f t="shared" si="3"/>
        <v/>
      </c>
      <c r="L67" s="359" t="str">
        <f t="shared" si="4"/>
        <v/>
      </c>
      <c r="M67" s="359" t="str">
        <f t="shared" si="5"/>
        <v/>
      </c>
      <c r="N67" s="149" t="str">
        <f t="shared" si="6"/>
        <v/>
      </c>
    </row>
    <row r="68" spans="1:14">
      <c r="A68" s="416" t="str">
        <f>IF(OR('20_Registro_Diario'!A68="",'20_Registro_Diario'!A68=0),"",'20_Registro_Diario'!A68)</f>
        <v/>
      </c>
      <c r="B68" s="362" t="str">
        <f>IF(A68="","",--(LOWER('20_Registro_Diario'!C68)="sí"))</f>
        <v/>
      </c>
      <c r="C68" s="362" t="str">
        <f>IF(A68="","",--(LOWER('20_Registro_Diario'!D68)="sí"))</f>
        <v/>
      </c>
      <c r="D68" s="362" t="str">
        <f>IF(A68="","",--(LOWER('20_Registro_Diario'!E68)="sí"))</f>
        <v/>
      </c>
      <c r="E68" s="362" t="str">
        <f>IF(A68="","",--(LOWER('20_Registro_Diario'!F68)="sí"))</f>
        <v/>
      </c>
      <c r="F68" s="362" t="str">
        <f>IF(A68="","",--(LOWER('20_Registro_Diario'!G68)="sí"))</f>
        <v/>
      </c>
      <c r="G68" s="363" t="str">
        <f>IF(A68="","",IFERROR('20_Registro_Diario'!I68,0))</f>
        <v/>
      </c>
      <c r="H68" s="364" t="str">
        <f t="shared" si="0"/>
        <v/>
      </c>
      <c r="I68" s="365" t="str">
        <f t="shared" si="1"/>
        <v/>
      </c>
      <c r="J68" s="340" t="str">
        <f t="shared" si="2"/>
        <v/>
      </c>
      <c r="K68" s="359" t="str">
        <f t="shared" si="3"/>
        <v/>
      </c>
      <c r="L68" s="359" t="str">
        <f t="shared" si="4"/>
        <v/>
      </c>
      <c r="M68" s="359" t="str">
        <f t="shared" si="5"/>
        <v/>
      </c>
      <c r="N68" s="149" t="str">
        <f t="shared" si="6"/>
        <v/>
      </c>
    </row>
    <row r="69" spans="1:14">
      <c r="A69" s="416" t="str">
        <f>IF(OR('20_Registro_Diario'!A69="",'20_Registro_Diario'!A69=0),"",'20_Registro_Diario'!A69)</f>
        <v/>
      </c>
      <c r="B69" s="362" t="str">
        <f>IF(A69="","",--(LOWER('20_Registro_Diario'!C69)="sí"))</f>
        <v/>
      </c>
      <c r="C69" s="362" t="str">
        <f>IF(A69="","",--(LOWER('20_Registro_Diario'!D69)="sí"))</f>
        <v/>
      </c>
      <c r="D69" s="362" t="str">
        <f>IF(A69="","",--(LOWER('20_Registro_Diario'!E69)="sí"))</f>
        <v/>
      </c>
      <c r="E69" s="362" t="str">
        <f>IF(A69="","",--(LOWER('20_Registro_Diario'!F69)="sí"))</f>
        <v/>
      </c>
      <c r="F69" s="362" t="str">
        <f>IF(A69="","",--(LOWER('20_Registro_Diario'!G69)="sí"))</f>
        <v/>
      </c>
      <c r="G69" s="363" t="str">
        <f>IF(A69="","",IFERROR('20_Registro_Diario'!I69,0))</f>
        <v/>
      </c>
      <c r="H69" s="364" t="str">
        <f t="shared" ref="H69:H132" si="14">IF(A69="","",IFERROR(SUM(B69:F69)/5,0))</f>
        <v/>
      </c>
      <c r="I69" s="365" t="str">
        <f t="shared" ref="I69:I132" si="15">IF(A69="","",IF(H69&gt;=0.8,"🟢 Fuerte",IF(H69&gt;=0.5,"🟡 En proceso","🔴 Riesgo")))</f>
        <v/>
      </c>
      <c r="J69" s="340" t="str">
        <f t="shared" ref="J69:J132" si="16">IF(A69="","",IF(B69=1,"Sí","No"))</f>
        <v/>
      </c>
      <c r="K69" s="359" t="str">
        <f t="shared" ref="K69:K132" si="17">IF(A69="","",IF(D69=1,"Con universidad","Sin universidad"))</f>
        <v/>
      </c>
      <c r="L69" s="359" t="str">
        <f t="shared" ref="L69:L132" si="18">IF(A69="","",IF(H69&gt;=0.8,"Alto",IF(H69&gt;=0.5,"Medio","Bajo")))</f>
        <v/>
      </c>
      <c r="M69" s="359" t="str">
        <f t="shared" ref="M69:M132" si="19">IF(A69="","",IF(H69&gt;=0.8,"🟢 Fuerte",IF(H69&gt;=0.5,"🟡 Día útil","🔴 Revisar")))</f>
        <v/>
      </c>
      <c r="N69" s="149" t="str">
        <f t="shared" ref="N69:N132" si="20">IF(A69="","",H69*100)</f>
        <v/>
      </c>
    </row>
    <row r="70" spans="1:14">
      <c r="A70" s="416" t="str">
        <f>IF(OR('20_Registro_Diario'!A70="",'20_Registro_Diario'!A70=0),"",'20_Registro_Diario'!A70)</f>
        <v/>
      </c>
      <c r="B70" s="362" t="str">
        <f>IF(A70="","",--(LOWER('20_Registro_Diario'!C70)="sí"))</f>
        <v/>
      </c>
      <c r="C70" s="362" t="str">
        <f>IF(A70="","",--(LOWER('20_Registro_Diario'!D70)="sí"))</f>
        <v/>
      </c>
      <c r="D70" s="362" t="str">
        <f>IF(A70="","",--(LOWER('20_Registro_Diario'!E70)="sí"))</f>
        <v/>
      </c>
      <c r="E70" s="362" t="str">
        <f>IF(A70="","",--(LOWER('20_Registro_Diario'!F70)="sí"))</f>
        <v/>
      </c>
      <c r="F70" s="362" t="str">
        <f>IF(A70="","",--(LOWER('20_Registro_Diario'!G70)="sí"))</f>
        <v/>
      </c>
      <c r="G70" s="363" t="str">
        <f>IF(A70="","",IFERROR('20_Registro_Diario'!I70,0))</f>
        <v/>
      </c>
      <c r="H70" s="364" t="str">
        <f t="shared" si="14"/>
        <v/>
      </c>
      <c r="I70" s="365" t="str">
        <f t="shared" si="15"/>
        <v/>
      </c>
      <c r="J70" s="340" t="str">
        <f t="shared" si="16"/>
        <v/>
      </c>
      <c r="K70" s="359" t="str">
        <f t="shared" si="17"/>
        <v/>
      </c>
      <c r="L70" s="359" t="str">
        <f t="shared" si="18"/>
        <v/>
      </c>
      <c r="M70" s="359" t="str">
        <f t="shared" si="19"/>
        <v/>
      </c>
      <c r="N70" s="149" t="str">
        <f t="shared" si="20"/>
        <v/>
      </c>
    </row>
    <row r="71" spans="1:14">
      <c r="A71" s="416" t="str">
        <f>IF(OR('20_Registro_Diario'!A71="",'20_Registro_Diario'!A71=0),"",'20_Registro_Diario'!A71)</f>
        <v/>
      </c>
      <c r="B71" s="362" t="str">
        <f>IF(A71="","",--(LOWER('20_Registro_Diario'!C71)="sí"))</f>
        <v/>
      </c>
      <c r="C71" s="362" t="str">
        <f>IF(A71="","",--(LOWER('20_Registro_Diario'!D71)="sí"))</f>
        <v/>
      </c>
      <c r="D71" s="362" t="str">
        <f>IF(A71="","",--(LOWER('20_Registro_Diario'!E71)="sí"))</f>
        <v/>
      </c>
      <c r="E71" s="362" t="str">
        <f>IF(A71="","",--(LOWER('20_Registro_Diario'!F71)="sí"))</f>
        <v/>
      </c>
      <c r="F71" s="362" t="str">
        <f>IF(A71="","",--(LOWER('20_Registro_Diario'!G71)="sí"))</f>
        <v/>
      </c>
      <c r="G71" s="363" t="str">
        <f>IF(A71="","",IFERROR('20_Registro_Diario'!I71,0))</f>
        <v/>
      </c>
      <c r="H71" s="364" t="str">
        <f t="shared" si="14"/>
        <v/>
      </c>
      <c r="I71" s="365" t="str">
        <f t="shared" si="15"/>
        <v/>
      </c>
      <c r="J71" s="340" t="str">
        <f t="shared" si="16"/>
        <v/>
      </c>
      <c r="K71" s="359" t="str">
        <f t="shared" si="17"/>
        <v/>
      </c>
      <c r="L71" s="359" t="str">
        <f t="shared" si="18"/>
        <v/>
      </c>
      <c r="M71" s="359" t="str">
        <f t="shared" si="19"/>
        <v/>
      </c>
      <c r="N71" s="149" t="str">
        <f t="shared" si="20"/>
        <v/>
      </c>
    </row>
    <row r="72" spans="1:14">
      <c r="A72" s="416" t="str">
        <f>IF(OR('20_Registro_Diario'!A72="",'20_Registro_Diario'!A72=0),"",'20_Registro_Diario'!A72)</f>
        <v/>
      </c>
      <c r="B72" s="362" t="str">
        <f>IF(A72="","",--(LOWER('20_Registro_Diario'!C72)="sí"))</f>
        <v/>
      </c>
      <c r="C72" s="362" t="str">
        <f>IF(A72="","",--(LOWER('20_Registro_Diario'!D72)="sí"))</f>
        <v/>
      </c>
      <c r="D72" s="362" t="str">
        <f>IF(A72="","",--(LOWER('20_Registro_Diario'!E72)="sí"))</f>
        <v/>
      </c>
      <c r="E72" s="362" t="str">
        <f>IF(A72="","",--(LOWER('20_Registro_Diario'!F72)="sí"))</f>
        <v/>
      </c>
      <c r="F72" s="362" t="str">
        <f>IF(A72="","",--(LOWER('20_Registro_Diario'!G72)="sí"))</f>
        <v/>
      </c>
      <c r="G72" s="363" t="str">
        <f>IF(A72="","",IFERROR('20_Registro_Diario'!I72,0))</f>
        <v/>
      </c>
      <c r="H72" s="364" t="str">
        <f t="shared" si="14"/>
        <v/>
      </c>
      <c r="I72" s="365" t="str">
        <f t="shared" si="15"/>
        <v/>
      </c>
      <c r="J72" s="340" t="str">
        <f t="shared" si="16"/>
        <v/>
      </c>
      <c r="K72" s="359" t="str">
        <f t="shared" si="17"/>
        <v/>
      </c>
      <c r="L72" s="359" t="str">
        <f t="shared" si="18"/>
        <v/>
      </c>
      <c r="M72" s="359" t="str">
        <f t="shared" si="19"/>
        <v/>
      </c>
      <c r="N72" s="149" t="str">
        <f t="shared" si="20"/>
        <v/>
      </c>
    </row>
    <row r="73" spans="1:14">
      <c r="A73" s="416" t="str">
        <f>IF(OR('20_Registro_Diario'!A73="",'20_Registro_Diario'!A73=0),"",'20_Registro_Diario'!A73)</f>
        <v/>
      </c>
      <c r="B73" s="362" t="str">
        <f>IF(A73="","",--(LOWER('20_Registro_Diario'!C73)="sí"))</f>
        <v/>
      </c>
      <c r="C73" s="362" t="str">
        <f>IF(A73="","",--(LOWER('20_Registro_Diario'!D73)="sí"))</f>
        <v/>
      </c>
      <c r="D73" s="362" t="str">
        <f>IF(A73="","",--(LOWER('20_Registro_Diario'!E73)="sí"))</f>
        <v/>
      </c>
      <c r="E73" s="362" t="str">
        <f>IF(A73="","",--(LOWER('20_Registro_Diario'!F73)="sí"))</f>
        <v/>
      </c>
      <c r="F73" s="362" t="str">
        <f>IF(A73="","",--(LOWER('20_Registro_Diario'!G73)="sí"))</f>
        <v/>
      </c>
      <c r="G73" s="363" t="str">
        <f>IF(A73="","",IFERROR('20_Registro_Diario'!I73,0))</f>
        <v/>
      </c>
      <c r="H73" s="364" t="str">
        <f t="shared" si="14"/>
        <v/>
      </c>
      <c r="I73" s="365" t="str">
        <f t="shared" si="15"/>
        <v/>
      </c>
      <c r="J73" s="340" t="str">
        <f t="shared" si="16"/>
        <v/>
      </c>
      <c r="K73" s="359" t="str">
        <f t="shared" si="17"/>
        <v/>
      </c>
      <c r="L73" s="359" t="str">
        <f t="shared" si="18"/>
        <v/>
      </c>
      <c r="M73" s="359" t="str">
        <f t="shared" si="19"/>
        <v/>
      </c>
      <c r="N73" s="149" t="str">
        <f t="shared" si="20"/>
        <v/>
      </c>
    </row>
    <row r="74" spans="1:14">
      <c r="A74" s="416" t="str">
        <f>IF(OR('20_Registro_Diario'!A74="",'20_Registro_Diario'!A74=0),"",'20_Registro_Diario'!A74)</f>
        <v/>
      </c>
      <c r="B74" s="362" t="str">
        <f>IF(A74="","",--(LOWER('20_Registro_Diario'!C74)="sí"))</f>
        <v/>
      </c>
      <c r="C74" s="362" t="str">
        <f>IF(A74="","",--(LOWER('20_Registro_Diario'!D74)="sí"))</f>
        <v/>
      </c>
      <c r="D74" s="362" t="str">
        <f>IF(A74="","",--(LOWER('20_Registro_Diario'!E74)="sí"))</f>
        <v/>
      </c>
      <c r="E74" s="362" t="str">
        <f>IF(A74="","",--(LOWER('20_Registro_Diario'!F74)="sí"))</f>
        <v/>
      </c>
      <c r="F74" s="362" t="str">
        <f>IF(A74="","",--(LOWER('20_Registro_Diario'!G74)="sí"))</f>
        <v/>
      </c>
      <c r="G74" s="363" t="str">
        <f>IF(A74="","",IFERROR('20_Registro_Diario'!I74,0))</f>
        <v/>
      </c>
      <c r="H74" s="364" t="str">
        <f t="shared" si="14"/>
        <v/>
      </c>
      <c r="I74" s="365" t="str">
        <f t="shared" si="15"/>
        <v/>
      </c>
      <c r="J74" s="340" t="str">
        <f t="shared" si="16"/>
        <v/>
      </c>
      <c r="K74" s="359" t="str">
        <f t="shared" si="17"/>
        <v/>
      </c>
      <c r="L74" s="359" t="str">
        <f t="shared" si="18"/>
        <v/>
      </c>
      <c r="M74" s="359" t="str">
        <f t="shared" si="19"/>
        <v/>
      </c>
      <c r="N74" s="149" t="str">
        <f t="shared" si="20"/>
        <v/>
      </c>
    </row>
    <row r="75" spans="1:14">
      <c r="A75" s="416" t="str">
        <f>IF(OR('20_Registro_Diario'!A75="",'20_Registro_Diario'!A75=0),"",'20_Registro_Diario'!A75)</f>
        <v/>
      </c>
      <c r="B75" s="362" t="str">
        <f>IF(A75="","",--(LOWER('20_Registro_Diario'!C75)="sí"))</f>
        <v/>
      </c>
      <c r="C75" s="362" t="str">
        <f>IF(A75="","",--(LOWER('20_Registro_Diario'!D75)="sí"))</f>
        <v/>
      </c>
      <c r="D75" s="362" t="str">
        <f>IF(A75="","",--(LOWER('20_Registro_Diario'!E75)="sí"))</f>
        <v/>
      </c>
      <c r="E75" s="362" t="str">
        <f>IF(A75="","",--(LOWER('20_Registro_Diario'!F75)="sí"))</f>
        <v/>
      </c>
      <c r="F75" s="362" t="str">
        <f>IF(A75="","",--(LOWER('20_Registro_Diario'!G75)="sí"))</f>
        <v/>
      </c>
      <c r="G75" s="363" t="str">
        <f>IF(A75="","",IFERROR('20_Registro_Diario'!I75,0))</f>
        <v/>
      </c>
      <c r="H75" s="364" t="str">
        <f t="shared" si="14"/>
        <v/>
      </c>
      <c r="I75" s="365" t="str">
        <f t="shared" si="15"/>
        <v/>
      </c>
      <c r="J75" s="340" t="str">
        <f t="shared" si="16"/>
        <v/>
      </c>
      <c r="K75" s="359" t="str">
        <f t="shared" si="17"/>
        <v/>
      </c>
      <c r="L75" s="359" t="str">
        <f t="shared" si="18"/>
        <v/>
      </c>
      <c r="M75" s="359" t="str">
        <f t="shared" si="19"/>
        <v/>
      </c>
      <c r="N75" s="149" t="str">
        <f t="shared" si="20"/>
        <v/>
      </c>
    </row>
    <row r="76" spans="1:14">
      <c r="A76" s="416" t="str">
        <f>IF(OR('20_Registro_Diario'!A76="",'20_Registro_Diario'!A76=0),"",'20_Registro_Diario'!A76)</f>
        <v/>
      </c>
      <c r="B76" s="362" t="str">
        <f>IF(A76="","",--(LOWER('20_Registro_Diario'!C76)="sí"))</f>
        <v/>
      </c>
      <c r="C76" s="362" t="str">
        <f>IF(A76="","",--(LOWER('20_Registro_Diario'!D76)="sí"))</f>
        <v/>
      </c>
      <c r="D76" s="362" t="str">
        <f>IF(A76="","",--(LOWER('20_Registro_Diario'!E76)="sí"))</f>
        <v/>
      </c>
      <c r="E76" s="362" t="str">
        <f>IF(A76="","",--(LOWER('20_Registro_Diario'!F76)="sí"))</f>
        <v/>
      </c>
      <c r="F76" s="362" t="str">
        <f>IF(A76="","",--(LOWER('20_Registro_Diario'!G76)="sí"))</f>
        <v/>
      </c>
      <c r="G76" s="363" t="str">
        <f>IF(A76="","",IFERROR('20_Registro_Diario'!I76,0))</f>
        <v/>
      </c>
      <c r="H76" s="364" t="str">
        <f t="shared" si="14"/>
        <v/>
      </c>
      <c r="I76" s="365" t="str">
        <f t="shared" si="15"/>
        <v/>
      </c>
      <c r="J76" s="340" t="str">
        <f t="shared" si="16"/>
        <v/>
      </c>
      <c r="K76" s="359" t="str">
        <f t="shared" si="17"/>
        <v/>
      </c>
      <c r="L76" s="359" t="str">
        <f t="shared" si="18"/>
        <v/>
      </c>
      <c r="M76" s="359" t="str">
        <f t="shared" si="19"/>
        <v/>
      </c>
      <c r="N76" s="149" t="str">
        <f t="shared" si="20"/>
        <v/>
      </c>
    </row>
    <row r="77" spans="1:14">
      <c r="A77" s="416" t="str">
        <f>IF(OR('20_Registro_Diario'!A77="",'20_Registro_Diario'!A77=0),"",'20_Registro_Diario'!A77)</f>
        <v/>
      </c>
      <c r="B77" s="362" t="str">
        <f>IF(A77="","",--(LOWER('20_Registro_Diario'!C77)="sí"))</f>
        <v/>
      </c>
      <c r="C77" s="362" t="str">
        <f>IF(A77="","",--(LOWER('20_Registro_Diario'!D77)="sí"))</f>
        <v/>
      </c>
      <c r="D77" s="362" t="str">
        <f>IF(A77="","",--(LOWER('20_Registro_Diario'!E77)="sí"))</f>
        <v/>
      </c>
      <c r="E77" s="362" t="str">
        <f>IF(A77="","",--(LOWER('20_Registro_Diario'!F77)="sí"))</f>
        <v/>
      </c>
      <c r="F77" s="362" t="str">
        <f>IF(A77="","",--(LOWER('20_Registro_Diario'!G77)="sí"))</f>
        <v/>
      </c>
      <c r="G77" s="363" t="str">
        <f>IF(A77="","",IFERROR('20_Registro_Diario'!I77,0))</f>
        <v/>
      </c>
      <c r="H77" s="364" t="str">
        <f t="shared" si="14"/>
        <v/>
      </c>
      <c r="I77" s="365" t="str">
        <f t="shared" si="15"/>
        <v/>
      </c>
      <c r="J77" s="340" t="str">
        <f t="shared" si="16"/>
        <v/>
      </c>
      <c r="K77" s="359" t="str">
        <f t="shared" si="17"/>
        <v/>
      </c>
      <c r="L77" s="359" t="str">
        <f t="shared" si="18"/>
        <v/>
      </c>
      <c r="M77" s="359" t="str">
        <f t="shared" si="19"/>
        <v/>
      </c>
      <c r="N77" s="149" t="str">
        <f t="shared" si="20"/>
        <v/>
      </c>
    </row>
    <row r="78" spans="1:14">
      <c r="A78" s="416" t="str">
        <f>IF(OR('20_Registro_Diario'!A78="",'20_Registro_Diario'!A78=0),"",'20_Registro_Diario'!A78)</f>
        <v/>
      </c>
      <c r="B78" s="362" t="str">
        <f>IF(A78="","",--(LOWER('20_Registro_Diario'!C78)="sí"))</f>
        <v/>
      </c>
      <c r="C78" s="362" t="str">
        <f>IF(A78="","",--(LOWER('20_Registro_Diario'!D78)="sí"))</f>
        <v/>
      </c>
      <c r="D78" s="362" t="str">
        <f>IF(A78="","",--(LOWER('20_Registro_Diario'!E78)="sí"))</f>
        <v/>
      </c>
      <c r="E78" s="362" t="str">
        <f>IF(A78="","",--(LOWER('20_Registro_Diario'!F78)="sí"))</f>
        <v/>
      </c>
      <c r="F78" s="362" t="str">
        <f>IF(A78="","",--(LOWER('20_Registro_Diario'!G78)="sí"))</f>
        <v/>
      </c>
      <c r="G78" s="363" t="str">
        <f>IF(A78="","",IFERROR('20_Registro_Diario'!I78,0))</f>
        <v/>
      </c>
      <c r="H78" s="364" t="str">
        <f t="shared" si="14"/>
        <v/>
      </c>
      <c r="I78" s="365" t="str">
        <f t="shared" si="15"/>
        <v/>
      </c>
      <c r="J78" s="340" t="str">
        <f t="shared" si="16"/>
        <v/>
      </c>
      <c r="K78" s="359" t="str">
        <f t="shared" si="17"/>
        <v/>
      </c>
      <c r="L78" s="359" t="str">
        <f t="shared" si="18"/>
        <v/>
      </c>
      <c r="M78" s="359" t="str">
        <f t="shared" si="19"/>
        <v/>
      </c>
      <c r="N78" s="149" t="str">
        <f t="shared" si="20"/>
        <v/>
      </c>
    </row>
    <row r="79" spans="1:14">
      <c r="A79" s="416" t="str">
        <f>IF(OR('20_Registro_Diario'!A79="",'20_Registro_Diario'!A79=0),"",'20_Registro_Diario'!A79)</f>
        <v/>
      </c>
      <c r="B79" s="362" t="str">
        <f>IF(A79="","",--(LOWER('20_Registro_Diario'!C79)="sí"))</f>
        <v/>
      </c>
      <c r="C79" s="362" t="str">
        <f>IF(A79="","",--(LOWER('20_Registro_Diario'!D79)="sí"))</f>
        <v/>
      </c>
      <c r="D79" s="362" t="str">
        <f>IF(A79="","",--(LOWER('20_Registro_Diario'!E79)="sí"))</f>
        <v/>
      </c>
      <c r="E79" s="362" t="str">
        <f>IF(A79="","",--(LOWER('20_Registro_Diario'!F79)="sí"))</f>
        <v/>
      </c>
      <c r="F79" s="362" t="str">
        <f>IF(A79="","",--(LOWER('20_Registro_Diario'!G79)="sí"))</f>
        <v/>
      </c>
      <c r="G79" s="363" t="str">
        <f>IF(A79="","",IFERROR('20_Registro_Diario'!I79,0))</f>
        <v/>
      </c>
      <c r="H79" s="364" t="str">
        <f t="shared" si="14"/>
        <v/>
      </c>
      <c r="I79" s="365" t="str">
        <f t="shared" si="15"/>
        <v/>
      </c>
      <c r="J79" s="340" t="str">
        <f t="shared" si="16"/>
        <v/>
      </c>
      <c r="K79" s="359" t="str">
        <f t="shared" si="17"/>
        <v/>
      </c>
      <c r="L79" s="359" t="str">
        <f t="shared" si="18"/>
        <v/>
      </c>
      <c r="M79" s="359" t="str">
        <f t="shared" si="19"/>
        <v/>
      </c>
      <c r="N79" s="149" t="str">
        <f t="shared" si="20"/>
        <v/>
      </c>
    </row>
    <row r="80" spans="1:14">
      <c r="A80" s="416" t="str">
        <f>IF(OR('20_Registro_Diario'!A80="",'20_Registro_Diario'!A80=0),"",'20_Registro_Diario'!A80)</f>
        <v/>
      </c>
      <c r="B80" s="362" t="str">
        <f>IF(A80="","",--(LOWER('20_Registro_Diario'!C80)="sí"))</f>
        <v/>
      </c>
      <c r="C80" s="362" t="str">
        <f>IF(A80="","",--(LOWER('20_Registro_Diario'!D80)="sí"))</f>
        <v/>
      </c>
      <c r="D80" s="362" t="str">
        <f>IF(A80="","",--(LOWER('20_Registro_Diario'!E80)="sí"))</f>
        <v/>
      </c>
      <c r="E80" s="362" t="str">
        <f>IF(A80="","",--(LOWER('20_Registro_Diario'!F80)="sí"))</f>
        <v/>
      </c>
      <c r="F80" s="362" t="str">
        <f>IF(A80="","",--(LOWER('20_Registro_Diario'!G80)="sí"))</f>
        <v/>
      </c>
      <c r="G80" s="363" t="str">
        <f>IF(A80="","",IFERROR('20_Registro_Diario'!I80,0))</f>
        <v/>
      </c>
      <c r="H80" s="364" t="str">
        <f t="shared" si="14"/>
        <v/>
      </c>
      <c r="I80" s="365" t="str">
        <f t="shared" si="15"/>
        <v/>
      </c>
      <c r="J80" s="340" t="str">
        <f t="shared" si="16"/>
        <v/>
      </c>
      <c r="K80" s="359" t="str">
        <f t="shared" si="17"/>
        <v/>
      </c>
      <c r="L80" s="359" t="str">
        <f t="shared" si="18"/>
        <v/>
      </c>
      <c r="M80" s="359" t="str">
        <f t="shared" si="19"/>
        <v/>
      </c>
      <c r="N80" s="149" t="str">
        <f t="shared" si="20"/>
        <v/>
      </c>
    </row>
    <row r="81" spans="1:14">
      <c r="A81" s="416" t="str">
        <f>IF(OR('20_Registro_Diario'!A81="",'20_Registro_Diario'!A81=0),"",'20_Registro_Diario'!A81)</f>
        <v/>
      </c>
      <c r="B81" s="362" t="str">
        <f>IF(A81="","",--(LOWER('20_Registro_Diario'!C81)="sí"))</f>
        <v/>
      </c>
      <c r="C81" s="362" t="str">
        <f>IF(A81="","",--(LOWER('20_Registro_Diario'!D81)="sí"))</f>
        <v/>
      </c>
      <c r="D81" s="362" t="str">
        <f>IF(A81="","",--(LOWER('20_Registro_Diario'!E81)="sí"))</f>
        <v/>
      </c>
      <c r="E81" s="362" t="str">
        <f>IF(A81="","",--(LOWER('20_Registro_Diario'!F81)="sí"))</f>
        <v/>
      </c>
      <c r="F81" s="362" t="str">
        <f>IF(A81="","",--(LOWER('20_Registro_Diario'!G81)="sí"))</f>
        <v/>
      </c>
      <c r="G81" s="363" t="str">
        <f>IF(A81="","",IFERROR('20_Registro_Diario'!I81,0))</f>
        <v/>
      </c>
      <c r="H81" s="364" t="str">
        <f t="shared" si="14"/>
        <v/>
      </c>
      <c r="I81" s="365" t="str">
        <f t="shared" si="15"/>
        <v/>
      </c>
      <c r="J81" s="340" t="str">
        <f t="shared" si="16"/>
        <v/>
      </c>
      <c r="K81" s="359" t="str">
        <f t="shared" si="17"/>
        <v/>
      </c>
      <c r="L81" s="359" t="str">
        <f t="shared" si="18"/>
        <v/>
      </c>
      <c r="M81" s="359" t="str">
        <f t="shared" si="19"/>
        <v/>
      </c>
      <c r="N81" s="149" t="str">
        <f t="shared" si="20"/>
        <v/>
      </c>
    </row>
    <row r="82" spans="1:14">
      <c r="A82" s="416" t="str">
        <f>IF(OR('20_Registro_Diario'!A82="",'20_Registro_Diario'!A82=0),"",'20_Registro_Diario'!A82)</f>
        <v/>
      </c>
      <c r="B82" s="362" t="str">
        <f>IF(A82="","",--(LOWER('20_Registro_Diario'!C82)="sí"))</f>
        <v/>
      </c>
      <c r="C82" s="362" t="str">
        <f>IF(A82="","",--(LOWER('20_Registro_Diario'!D82)="sí"))</f>
        <v/>
      </c>
      <c r="D82" s="362" t="str">
        <f>IF(A82="","",--(LOWER('20_Registro_Diario'!E82)="sí"))</f>
        <v/>
      </c>
      <c r="E82" s="362" t="str">
        <f>IF(A82="","",--(LOWER('20_Registro_Diario'!F82)="sí"))</f>
        <v/>
      </c>
      <c r="F82" s="362" t="str">
        <f>IF(A82="","",--(LOWER('20_Registro_Diario'!G82)="sí"))</f>
        <v/>
      </c>
      <c r="G82" s="363" t="str">
        <f>IF(A82="","",IFERROR('20_Registro_Diario'!I82,0))</f>
        <v/>
      </c>
      <c r="H82" s="364" t="str">
        <f t="shared" si="14"/>
        <v/>
      </c>
      <c r="I82" s="365" t="str">
        <f t="shared" si="15"/>
        <v/>
      </c>
      <c r="J82" s="340" t="str">
        <f t="shared" si="16"/>
        <v/>
      </c>
      <c r="K82" s="359" t="str">
        <f t="shared" si="17"/>
        <v/>
      </c>
      <c r="L82" s="359" t="str">
        <f t="shared" si="18"/>
        <v/>
      </c>
      <c r="M82" s="359" t="str">
        <f t="shared" si="19"/>
        <v/>
      </c>
      <c r="N82" s="149" t="str">
        <f t="shared" si="20"/>
        <v/>
      </c>
    </row>
    <row r="83" spans="1:14">
      <c r="A83" s="416" t="str">
        <f>IF(OR('20_Registro_Diario'!A83="",'20_Registro_Diario'!A83=0),"",'20_Registro_Diario'!A83)</f>
        <v/>
      </c>
      <c r="B83" s="362" t="str">
        <f>IF(A83="","",--(LOWER('20_Registro_Diario'!C83)="sí"))</f>
        <v/>
      </c>
      <c r="C83" s="362" t="str">
        <f>IF(A83="","",--(LOWER('20_Registro_Diario'!D83)="sí"))</f>
        <v/>
      </c>
      <c r="D83" s="362" t="str">
        <f>IF(A83="","",--(LOWER('20_Registro_Diario'!E83)="sí"))</f>
        <v/>
      </c>
      <c r="E83" s="362" t="str">
        <f>IF(A83="","",--(LOWER('20_Registro_Diario'!F83)="sí"))</f>
        <v/>
      </c>
      <c r="F83" s="362" t="str">
        <f>IF(A83="","",--(LOWER('20_Registro_Diario'!G83)="sí"))</f>
        <v/>
      </c>
      <c r="G83" s="363" t="str">
        <f>IF(A83="","",IFERROR('20_Registro_Diario'!I83,0))</f>
        <v/>
      </c>
      <c r="H83" s="364" t="str">
        <f t="shared" si="14"/>
        <v/>
      </c>
      <c r="I83" s="365" t="str">
        <f t="shared" si="15"/>
        <v/>
      </c>
      <c r="J83" s="340" t="str">
        <f t="shared" si="16"/>
        <v/>
      </c>
      <c r="K83" s="359" t="str">
        <f t="shared" si="17"/>
        <v/>
      </c>
      <c r="L83" s="359" t="str">
        <f t="shared" si="18"/>
        <v/>
      </c>
      <c r="M83" s="359" t="str">
        <f t="shared" si="19"/>
        <v/>
      </c>
      <c r="N83" s="149" t="str">
        <f t="shared" si="20"/>
        <v/>
      </c>
    </row>
    <row r="84" spans="1:14">
      <c r="A84" s="416" t="str">
        <f>IF(OR('20_Registro_Diario'!A84="",'20_Registro_Diario'!A84=0),"",'20_Registro_Diario'!A84)</f>
        <v/>
      </c>
      <c r="B84" s="362" t="str">
        <f>IF(A84="","",--(LOWER('20_Registro_Diario'!C84)="sí"))</f>
        <v/>
      </c>
      <c r="C84" s="362" t="str">
        <f>IF(A84="","",--(LOWER('20_Registro_Diario'!D84)="sí"))</f>
        <v/>
      </c>
      <c r="D84" s="362" t="str">
        <f>IF(A84="","",--(LOWER('20_Registro_Diario'!E84)="sí"))</f>
        <v/>
      </c>
      <c r="E84" s="362" t="str">
        <f>IF(A84="","",--(LOWER('20_Registro_Diario'!F84)="sí"))</f>
        <v/>
      </c>
      <c r="F84" s="362" t="str">
        <f>IF(A84="","",--(LOWER('20_Registro_Diario'!G84)="sí"))</f>
        <v/>
      </c>
      <c r="G84" s="363" t="str">
        <f>IF(A84="","",IFERROR('20_Registro_Diario'!I84,0))</f>
        <v/>
      </c>
      <c r="H84" s="364" t="str">
        <f t="shared" si="14"/>
        <v/>
      </c>
      <c r="I84" s="365" t="str">
        <f t="shared" si="15"/>
        <v/>
      </c>
      <c r="J84" s="340" t="str">
        <f t="shared" si="16"/>
        <v/>
      </c>
      <c r="K84" s="359" t="str">
        <f t="shared" si="17"/>
        <v/>
      </c>
      <c r="L84" s="359" t="str">
        <f t="shared" si="18"/>
        <v/>
      </c>
      <c r="M84" s="359" t="str">
        <f t="shared" si="19"/>
        <v/>
      </c>
      <c r="N84" s="149" t="str">
        <f t="shared" si="20"/>
        <v/>
      </c>
    </row>
    <row r="85" spans="1:14">
      <c r="A85" s="416" t="str">
        <f>IF(OR('20_Registro_Diario'!A85="",'20_Registro_Diario'!A85=0),"",'20_Registro_Diario'!A85)</f>
        <v/>
      </c>
      <c r="B85" s="362" t="str">
        <f>IF(A85="","",--(LOWER('20_Registro_Diario'!C85)="sí"))</f>
        <v/>
      </c>
      <c r="C85" s="362" t="str">
        <f>IF(A85="","",--(LOWER('20_Registro_Diario'!D85)="sí"))</f>
        <v/>
      </c>
      <c r="D85" s="362" t="str">
        <f>IF(A85="","",--(LOWER('20_Registro_Diario'!E85)="sí"))</f>
        <v/>
      </c>
      <c r="E85" s="362" t="str">
        <f>IF(A85="","",--(LOWER('20_Registro_Diario'!F85)="sí"))</f>
        <v/>
      </c>
      <c r="F85" s="362" t="str">
        <f>IF(A85="","",--(LOWER('20_Registro_Diario'!G85)="sí"))</f>
        <v/>
      </c>
      <c r="G85" s="363" t="str">
        <f>IF(A85="","",IFERROR('20_Registro_Diario'!I85,0))</f>
        <v/>
      </c>
      <c r="H85" s="364" t="str">
        <f t="shared" si="14"/>
        <v/>
      </c>
      <c r="I85" s="365" t="str">
        <f t="shared" si="15"/>
        <v/>
      </c>
      <c r="J85" s="340" t="str">
        <f t="shared" si="16"/>
        <v/>
      </c>
      <c r="K85" s="359" t="str">
        <f t="shared" si="17"/>
        <v/>
      </c>
      <c r="L85" s="359" t="str">
        <f t="shared" si="18"/>
        <v/>
      </c>
      <c r="M85" s="359" t="str">
        <f t="shared" si="19"/>
        <v/>
      </c>
      <c r="N85" s="149" t="str">
        <f t="shared" si="20"/>
        <v/>
      </c>
    </row>
    <row r="86" spans="1:14">
      <c r="A86" s="416" t="str">
        <f>IF(OR('20_Registro_Diario'!A86="",'20_Registro_Diario'!A86=0),"",'20_Registro_Diario'!A86)</f>
        <v/>
      </c>
      <c r="B86" s="362" t="str">
        <f>IF(A86="","",--(LOWER('20_Registro_Diario'!C86)="sí"))</f>
        <v/>
      </c>
      <c r="C86" s="362" t="str">
        <f>IF(A86="","",--(LOWER('20_Registro_Diario'!D86)="sí"))</f>
        <v/>
      </c>
      <c r="D86" s="362" t="str">
        <f>IF(A86="","",--(LOWER('20_Registro_Diario'!E86)="sí"))</f>
        <v/>
      </c>
      <c r="E86" s="362" t="str">
        <f>IF(A86="","",--(LOWER('20_Registro_Diario'!F86)="sí"))</f>
        <v/>
      </c>
      <c r="F86" s="362" t="str">
        <f>IF(A86="","",--(LOWER('20_Registro_Diario'!G86)="sí"))</f>
        <v/>
      </c>
      <c r="G86" s="363" t="str">
        <f>IF(A86="","",IFERROR('20_Registro_Diario'!I86,0))</f>
        <v/>
      </c>
      <c r="H86" s="364" t="str">
        <f t="shared" si="14"/>
        <v/>
      </c>
      <c r="I86" s="365" t="str">
        <f t="shared" si="15"/>
        <v/>
      </c>
      <c r="J86" s="340" t="str">
        <f t="shared" si="16"/>
        <v/>
      </c>
      <c r="K86" s="359" t="str">
        <f t="shared" si="17"/>
        <v/>
      </c>
      <c r="L86" s="359" t="str">
        <f t="shared" si="18"/>
        <v/>
      </c>
      <c r="M86" s="359" t="str">
        <f t="shared" si="19"/>
        <v/>
      </c>
      <c r="N86" s="149" t="str">
        <f t="shared" si="20"/>
        <v/>
      </c>
    </row>
    <row r="87" spans="1:14">
      <c r="A87" s="416" t="str">
        <f>IF(OR('20_Registro_Diario'!A87="",'20_Registro_Diario'!A87=0),"",'20_Registro_Diario'!A87)</f>
        <v/>
      </c>
      <c r="B87" s="362" t="str">
        <f>IF(A87="","",--(LOWER('20_Registro_Diario'!C87)="sí"))</f>
        <v/>
      </c>
      <c r="C87" s="362" t="str">
        <f>IF(A87="","",--(LOWER('20_Registro_Diario'!D87)="sí"))</f>
        <v/>
      </c>
      <c r="D87" s="362" t="str">
        <f>IF(A87="","",--(LOWER('20_Registro_Diario'!E87)="sí"))</f>
        <v/>
      </c>
      <c r="E87" s="362" t="str">
        <f>IF(A87="","",--(LOWER('20_Registro_Diario'!F87)="sí"))</f>
        <v/>
      </c>
      <c r="F87" s="362" t="str">
        <f>IF(A87="","",--(LOWER('20_Registro_Diario'!G87)="sí"))</f>
        <v/>
      </c>
      <c r="G87" s="363" t="str">
        <f>IF(A87="","",IFERROR('20_Registro_Diario'!I87,0))</f>
        <v/>
      </c>
      <c r="H87" s="364" t="str">
        <f t="shared" si="14"/>
        <v/>
      </c>
      <c r="I87" s="365" t="str">
        <f t="shared" si="15"/>
        <v/>
      </c>
      <c r="J87" s="340" t="str">
        <f t="shared" si="16"/>
        <v/>
      </c>
      <c r="K87" s="359" t="str">
        <f t="shared" si="17"/>
        <v/>
      </c>
      <c r="L87" s="359" t="str">
        <f t="shared" si="18"/>
        <v/>
      </c>
      <c r="M87" s="359" t="str">
        <f t="shared" si="19"/>
        <v/>
      </c>
      <c r="N87" s="149" t="str">
        <f t="shared" si="20"/>
        <v/>
      </c>
    </row>
    <row r="88" spans="1:14">
      <c r="A88" s="416" t="str">
        <f>IF(OR('20_Registro_Diario'!A88="",'20_Registro_Diario'!A88=0),"",'20_Registro_Diario'!A88)</f>
        <v/>
      </c>
      <c r="B88" s="362" t="str">
        <f>IF(A88="","",--(LOWER('20_Registro_Diario'!C88)="sí"))</f>
        <v/>
      </c>
      <c r="C88" s="362" t="str">
        <f>IF(A88="","",--(LOWER('20_Registro_Diario'!D88)="sí"))</f>
        <v/>
      </c>
      <c r="D88" s="362" t="str">
        <f>IF(A88="","",--(LOWER('20_Registro_Diario'!E88)="sí"))</f>
        <v/>
      </c>
      <c r="E88" s="362" t="str">
        <f>IF(A88="","",--(LOWER('20_Registro_Diario'!F88)="sí"))</f>
        <v/>
      </c>
      <c r="F88" s="362" t="str">
        <f>IF(A88="","",--(LOWER('20_Registro_Diario'!G88)="sí"))</f>
        <v/>
      </c>
      <c r="G88" s="363" t="str">
        <f>IF(A88="","",IFERROR('20_Registro_Diario'!I88,0))</f>
        <v/>
      </c>
      <c r="H88" s="364" t="str">
        <f t="shared" si="14"/>
        <v/>
      </c>
      <c r="I88" s="365" t="str">
        <f t="shared" si="15"/>
        <v/>
      </c>
      <c r="J88" s="340" t="str">
        <f t="shared" si="16"/>
        <v/>
      </c>
      <c r="K88" s="359" t="str">
        <f t="shared" si="17"/>
        <v/>
      </c>
      <c r="L88" s="359" t="str">
        <f t="shared" si="18"/>
        <v/>
      </c>
      <c r="M88" s="359" t="str">
        <f t="shared" si="19"/>
        <v/>
      </c>
      <c r="N88" s="149" t="str">
        <f t="shared" si="20"/>
        <v/>
      </c>
    </row>
    <row r="89" spans="1:14" ht="1.9" customHeight="1">
      <c r="A89" s="416" t="str">
        <f>IF(OR('20_Registro_Diario'!A89="",'20_Registro_Diario'!A89=0),"",'20_Registro_Diario'!A89)</f>
        <v/>
      </c>
      <c r="B89" s="362" t="str">
        <f>IF(A89="","",--(LOWER('20_Registro_Diario'!C89)="sí"))</f>
        <v/>
      </c>
      <c r="C89" s="362" t="str">
        <f>IF(A89="","",--(LOWER('20_Registro_Diario'!D89)="sí"))</f>
        <v/>
      </c>
      <c r="D89" s="362" t="str">
        <f>IF(A89="","",--(LOWER('20_Registro_Diario'!E89)="sí"))</f>
        <v/>
      </c>
      <c r="E89" s="362" t="str">
        <f>IF(A89="","",--(LOWER('20_Registro_Diario'!F89)="sí"))</f>
        <v/>
      </c>
      <c r="F89" s="362" t="str">
        <f>IF(A89="","",--(LOWER('20_Registro_Diario'!G89)="sí"))</f>
        <v/>
      </c>
      <c r="G89" s="363" t="str">
        <f>IF(A89="","",IFERROR('20_Registro_Diario'!I89,0))</f>
        <v/>
      </c>
      <c r="H89" s="364" t="str">
        <f t="shared" si="14"/>
        <v/>
      </c>
      <c r="I89" s="365" t="str">
        <f t="shared" si="15"/>
        <v/>
      </c>
      <c r="J89" s="340" t="str">
        <f t="shared" si="16"/>
        <v/>
      </c>
      <c r="K89" s="359" t="str">
        <f t="shared" si="17"/>
        <v/>
      </c>
      <c r="L89" s="359" t="str">
        <f t="shared" si="18"/>
        <v/>
      </c>
      <c r="M89" s="359" t="str">
        <f t="shared" si="19"/>
        <v/>
      </c>
      <c r="N89" s="149" t="str">
        <f t="shared" si="20"/>
        <v/>
      </c>
    </row>
    <row r="90" spans="1:14" ht="1.9" customHeight="1">
      <c r="A90" s="416" t="str">
        <f>IF(OR('20_Registro_Diario'!A90="",'20_Registro_Diario'!A90=0),"",'20_Registro_Diario'!A90)</f>
        <v/>
      </c>
      <c r="B90" s="362" t="str">
        <f>IF(A90="","",--(LOWER('20_Registro_Diario'!C90)="sí"))</f>
        <v/>
      </c>
      <c r="C90" s="362" t="str">
        <f>IF(A90="","",--(LOWER('20_Registro_Diario'!D90)="sí"))</f>
        <v/>
      </c>
      <c r="D90" s="362" t="str">
        <f>IF(A90="","",--(LOWER('20_Registro_Diario'!E90)="sí"))</f>
        <v/>
      </c>
      <c r="E90" s="362" t="str">
        <f>IF(A90="","",--(LOWER('20_Registro_Diario'!F90)="sí"))</f>
        <v/>
      </c>
      <c r="F90" s="362" t="str">
        <f>IF(A90="","",--(LOWER('20_Registro_Diario'!G90)="sí"))</f>
        <v/>
      </c>
      <c r="G90" s="363" t="str">
        <f>IF(A90="","",IFERROR('20_Registro_Diario'!I90,0))</f>
        <v/>
      </c>
      <c r="H90" s="364" t="str">
        <f t="shared" si="14"/>
        <v/>
      </c>
      <c r="I90" s="365" t="str">
        <f t="shared" si="15"/>
        <v/>
      </c>
      <c r="J90" s="340" t="str">
        <f t="shared" si="16"/>
        <v/>
      </c>
      <c r="K90" s="359" t="str">
        <f t="shared" si="17"/>
        <v/>
      </c>
      <c r="L90" s="359" t="str">
        <f t="shared" si="18"/>
        <v/>
      </c>
      <c r="M90" s="359" t="str">
        <f t="shared" si="19"/>
        <v/>
      </c>
      <c r="N90" s="149" t="str">
        <f t="shared" si="20"/>
        <v/>
      </c>
    </row>
    <row r="91" spans="1:14" ht="1.9" customHeight="1">
      <c r="A91" s="416" t="str">
        <f>IF(OR('20_Registro_Diario'!A91="",'20_Registro_Diario'!A91=0),"",'20_Registro_Diario'!A91)</f>
        <v/>
      </c>
      <c r="B91" s="362" t="str">
        <f>IF(A91="","",--(LOWER('20_Registro_Diario'!C91)="sí"))</f>
        <v/>
      </c>
      <c r="C91" s="362" t="str">
        <f>IF(A91="","",--(LOWER('20_Registro_Diario'!D91)="sí"))</f>
        <v/>
      </c>
      <c r="D91" s="362" t="str">
        <f>IF(A91="","",--(LOWER('20_Registro_Diario'!E91)="sí"))</f>
        <v/>
      </c>
      <c r="E91" s="362" t="str">
        <f>IF(A91="","",--(LOWER('20_Registro_Diario'!F91)="sí"))</f>
        <v/>
      </c>
      <c r="F91" s="362" t="str">
        <f>IF(A91="","",--(LOWER('20_Registro_Diario'!G91)="sí"))</f>
        <v/>
      </c>
      <c r="G91" s="363" t="str">
        <f>IF(A91="","",IFERROR('20_Registro_Diario'!I91,0))</f>
        <v/>
      </c>
      <c r="H91" s="364" t="str">
        <f t="shared" si="14"/>
        <v/>
      </c>
      <c r="I91" s="365" t="str">
        <f t="shared" si="15"/>
        <v/>
      </c>
      <c r="J91" s="340" t="str">
        <f t="shared" si="16"/>
        <v/>
      </c>
      <c r="K91" s="359" t="str">
        <f t="shared" si="17"/>
        <v/>
      </c>
      <c r="L91" s="359" t="str">
        <f t="shared" si="18"/>
        <v/>
      </c>
      <c r="M91" s="359" t="str">
        <f t="shared" si="19"/>
        <v/>
      </c>
      <c r="N91" s="149" t="str">
        <f t="shared" si="20"/>
        <v/>
      </c>
    </row>
    <row r="92" spans="1:14" ht="1.9" customHeight="1">
      <c r="A92" s="416" t="str">
        <f>IF(OR('20_Registro_Diario'!A92="",'20_Registro_Diario'!A92=0),"",'20_Registro_Diario'!A92)</f>
        <v/>
      </c>
      <c r="B92" s="362" t="str">
        <f>IF(A92="","",--(LOWER('20_Registro_Diario'!C92)="sí"))</f>
        <v/>
      </c>
      <c r="C92" s="362" t="str">
        <f>IF(A92="","",--(LOWER('20_Registro_Diario'!D92)="sí"))</f>
        <v/>
      </c>
      <c r="D92" s="362" t="str">
        <f>IF(A92="","",--(LOWER('20_Registro_Diario'!E92)="sí"))</f>
        <v/>
      </c>
      <c r="E92" s="362" t="str">
        <f>IF(A92="","",--(LOWER('20_Registro_Diario'!F92)="sí"))</f>
        <v/>
      </c>
      <c r="F92" s="362" t="str">
        <f>IF(A92="","",--(LOWER('20_Registro_Diario'!G92)="sí"))</f>
        <v/>
      </c>
      <c r="G92" s="363" t="str">
        <f>IF(A92="","",IFERROR('20_Registro_Diario'!I92,0))</f>
        <v/>
      </c>
      <c r="H92" s="364" t="str">
        <f t="shared" si="14"/>
        <v/>
      </c>
      <c r="I92" s="365" t="str">
        <f t="shared" si="15"/>
        <v/>
      </c>
      <c r="J92" s="340" t="str">
        <f t="shared" si="16"/>
        <v/>
      </c>
      <c r="K92" s="359" t="str">
        <f t="shared" si="17"/>
        <v/>
      </c>
      <c r="L92" s="359" t="str">
        <f t="shared" si="18"/>
        <v/>
      </c>
      <c r="M92" s="359" t="str">
        <f t="shared" si="19"/>
        <v/>
      </c>
      <c r="N92" s="149" t="str">
        <f t="shared" si="20"/>
        <v/>
      </c>
    </row>
    <row r="93" spans="1:14" ht="1.9" customHeight="1">
      <c r="A93" s="416" t="str">
        <f>IF(OR('20_Registro_Diario'!A93="",'20_Registro_Diario'!A93=0),"",'20_Registro_Diario'!A93)</f>
        <v/>
      </c>
      <c r="B93" s="362" t="str">
        <f>IF(A93="","",--(LOWER('20_Registro_Diario'!C93)="sí"))</f>
        <v/>
      </c>
      <c r="C93" s="362" t="str">
        <f>IF(A93="","",--(LOWER('20_Registro_Diario'!D93)="sí"))</f>
        <v/>
      </c>
      <c r="D93" s="362" t="str">
        <f>IF(A93="","",--(LOWER('20_Registro_Diario'!E93)="sí"))</f>
        <v/>
      </c>
      <c r="E93" s="362" t="str">
        <f>IF(A93="","",--(LOWER('20_Registro_Diario'!F93)="sí"))</f>
        <v/>
      </c>
      <c r="F93" s="362" t="str">
        <f>IF(A93="","",--(LOWER('20_Registro_Diario'!G93)="sí"))</f>
        <v/>
      </c>
      <c r="G93" s="363" t="str">
        <f>IF(A93="","",IFERROR('20_Registro_Diario'!I93,0))</f>
        <v/>
      </c>
      <c r="H93" s="364" t="str">
        <f t="shared" si="14"/>
        <v/>
      </c>
      <c r="I93" s="365" t="str">
        <f t="shared" si="15"/>
        <v/>
      </c>
      <c r="J93" s="340" t="str">
        <f t="shared" si="16"/>
        <v/>
      </c>
      <c r="K93" s="359" t="str">
        <f t="shared" si="17"/>
        <v/>
      </c>
      <c r="L93" s="359" t="str">
        <f t="shared" si="18"/>
        <v/>
      </c>
      <c r="M93" s="359" t="str">
        <f t="shared" si="19"/>
        <v/>
      </c>
      <c r="N93" s="149" t="str">
        <f t="shared" si="20"/>
        <v/>
      </c>
    </row>
    <row r="94" spans="1:14" ht="1.9" customHeight="1">
      <c r="A94" s="416" t="str">
        <f>IF(OR('20_Registro_Diario'!A94="",'20_Registro_Diario'!A94=0),"",'20_Registro_Diario'!A94)</f>
        <v/>
      </c>
      <c r="B94" s="362" t="str">
        <f>IF(A94="","",--(LOWER('20_Registro_Diario'!C94)="sí"))</f>
        <v/>
      </c>
      <c r="C94" s="362" t="str">
        <f>IF(A94="","",--(LOWER('20_Registro_Diario'!D94)="sí"))</f>
        <v/>
      </c>
      <c r="D94" s="362" t="str">
        <f>IF(A94="","",--(LOWER('20_Registro_Diario'!E94)="sí"))</f>
        <v/>
      </c>
      <c r="E94" s="362" t="str">
        <f>IF(A94="","",--(LOWER('20_Registro_Diario'!F94)="sí"))</f>
        <v/>
      </c>
      <c r="F94" s="362" t="str">
        <f>IF(A94="","",--(LOWER('20_Registro_Diario'!G94)="sí"))</f>
        <v/>
      </c>
      <c r="G94" s="363" t="str">
        <f>IF(A94="","",IFERROR('20_Registro_Diario'!I94,0))</f>
        <v/>
      </c>
      <c r="H94" s="364" t="str">
        <f t="shared" si="14"/>
        <v/>
      </c>
      <c r="I94" s="365" t="str">
        <f t="shared" si="15"/>
        <v/>
      </c>
      <c r="J94" s="340" t="str">
        <f t="shared" si="16"/>
        <v/>
      </c>
      <c r="K94" s="359" t="str">
        <f t="shared" si="17"/>
        <v/>
      </c>
      <c r="L94" s="359" t="str">
        <f t="shared" si="18"/>
        <v/>
      </c>
      <c r="M94" s="359" t="str">
        <f t="shared" si="19"/>
        <v/>
      </c>
      <c r="N94" s="149" t="str">
        <f t="shared" si="20"/>
        <v/>
      </c>
    </row>
    <row r="95" spans="1:14" ht="1.9" customHeight="1">
      <c r="A95" s="416" t="str">
        <f>IF(OR('20_Registro_Diario'!A95="",'20_Registro_Diario'!A95=0),"",'20_Registro_Diario'!A95)</f>
        <v/>
      </c>
      <c r="B95" s="362" t="str">
        <f>IF(A95="","",--(LOWER('20_Registro_Diario'!C95)="sí"))</f>
        <v/>
      </c>
      <c r="C95" s="362" t="str">
        <f>IF(A95="","",--(LOWER('20_Registro_Diario'!D95)="sí"))</f>
        <v/>
      </c>
      <c r="D95" s="362" t="str">
        <f>IF(A95="","",--(LOWER('20_Registro_Diario'!E95)="sí"))</f>
        <v/>
      </c>
      <c r="E95" s="362" t="str">
        <f>IF(A95="","",--(LOWER('20_Registro_Diario'!F95)="sí"))</f>
        <v/>
      </c>
      <c r="F95" s="362" t="str">
        <f>IF(A95="","",--(LOWER('20_Registro_Diario'!G95)="sí"))</f>
        <v/>
      </c>
      <c r="G95" s="363" t="str">
        <f>IF(A95="","",IFERROR('20_Registro_Diario'!I95,0))</f>
        <v/>
      </c>
      <c r="H95" s="364" t="str">
        <f t="shared" si="14"/>
        <v/>
      </c>
      <c r="I95" s="365" t="str">
        <f t="shared" si="15"/>
        <v/>
      </c>
      <c r="J95" s="340" t="str">
        <f t="shared" si="16"/>
        <v/>
      </c>
      <c r="K95" s="359" t="str">
        <f t="shared" si="17"/>
        <v/>
      </c>
      <c r="L95" s="359" t="str">
        <f t="shared" si="18"/>
        <v/>
      </c>
      <c r="M95" s="359" t="str">
        <f t="shared" si="19"/>
        <v/>
      </c>
      <c r="N95" s="149" t="str">
        <f t="shared" si="20"/>
        <v/>
      </c>
    </row>
    <row r="96" spans="1:14" ht="1.9" customHeight="1">
      <c r="A96" s="416" t="str">
        <f>IF(OR('20_Registro_Diario'!A96="",'20_Registro_Diario'!A96=0),"",'20_Registro_Diario'!A96)</f>
        <v/>
      </c>
      <c r="B96" s="362" t="str">
        <f>IF(A96="","",--(LOWER('20_Registro_Diario'!C96)="sí"))</f>
        <v/>
      </c>
      <c r="C96" s="362" t="str">
        <f>IF(A96="","",--(LOWER('20_Registro_Diario'!D96)="sí"))</f>
        <v/>
      </c>
      <c r="D96" s="362" t="str">
        <f>IF(A96="","",--(LOWER('20_Registro_Diario'!E96)="sí"))</f>
        <v/>
      </c>
      <c r="E96" s="362" t="str">
        <f>IF(A96="","",--(LOWER('20_Registro_Diario'!F96)="sí"))</f>
        <v/>
      </c>
      <c r="F96" s="362" t="str">
        <f>IF(A96="","",--(LOWER('20_Registro_Diario'!G96)="sí"))</f>
        <v/>
      </c>
      <c r="G96" s="363" t="str">
        <f>IF(A96="","",IFERROR('20_Registro_Diario'!I96,0))</f>
        <v/>
      </c>
      <c r="H96" s="364" t="str">
        <f t="shared" si="14"/>
        <v/>
      </c>
      <c r="I96" s="365" t="str">
        <f t="shared" si="15"/>
        <v/>
      </c>
      <c r="J96" s="340" t="str">
        <f t="shared" si="16"/>
        <v/>
      </c>
      <c r="K96" s="359" t="str">
        <f t="shared" si="17"/>
        <v/>
      </c>
      <c r="L96" s="359" t="str">
        <f t="shared" si="18"/>
        <v/>
      </c>
      <c r="M96" s="359" t="str">
        <f t="shared" si="19"/>
        <v/>
      </c>
      <c r="N96" s="149" t="str">
        <f t="shared" si="20"/>
        <v/>
      </c>
    </row>
    <row r="97" spans="1:14" ht="1.9" customHeight="1">
      <c r="A97" s="416" t="str">
        <f>IF(OR('20_Registro_Diario'!A97="",'20_Registro_Diario'!A97=0),"",'20_Registro_Diario'!A97)</f>
        <v/>
      </c>
      <c r="B97" s="362" t="str">
        <f>IF(A97="","",--(LOWER('20_Registro_Diario'!C97)="sí"))</f>
        <v/>
      </c>
      <c r="C97" s="362" t="str">
        <f>IF(A97="","",--(LOWER('20_Registro_Diario'!D97)="sí"))</f>
        <v/>
      </c>
      <c r="D97" s="362" t="str">
        <f>IF(A97="","",--(LOWER('20_Registro_Diario'!E97)="sí"))</f>
        <v/>
      </c>
      <c r="E97" s="362" t="str">
        <f>IF(A97="","",--(LOWER('20_Registro_Diario'!F97)="sí"))</f>
        <v/>
      </c>
      <c r="F97" s="362" t="str">
        <f>IF(A97="","",--(LOWER('20_Registro_Diario'!G97)="sí"))</f>
        <v/>
      </c>
      <c r="G97" s="363" t="str">
        <f>IF(A97="","",IFERROR('20_Registro_Diario'!I97,0))</f>
        <v/>
      </c>
      <c r="H97" s="364" t="str">
        <f t="shared" si="14"/>
        <v/>
      </c>
      <c r="I97" s="365" t="str">
        <f t="shared" si="15"/>
        <v/>
      </c>
      <c r="J97" s="340" t="str">
        <f t="shared" si="16"/>
        <v/>
      </c>
      <c r="K97" s="359" t="str">
        <f t="shared" si="17"/>
        <v/>
      </c>
      <c r="L97" s="359" t="str">
        <f t="shared" si="18"/>
        <v/>
      </c>
      <c r="M97" s="359" t="str">
        <f t="shared" si="19"/>
        <v/>
      </c>
      <c r="N97" s="149" t="str">
        <f t="shared" si="20"/>
        <v/>
      </c>
    </row>
    <row r="98" spans="1:14" ht="1.9" customHeight="1">
      <c r="A98" s="416" t="str">
        <f>IF(OR('20_Registro_Diario'!A98="",'20_Registro_Diario'!A98=0),"",'20_Registro_Diario'!A98)</f>
        <v/>
      </c>
      <c r="B98" s="362" t="str">
        <f>IF(A98="","",--(LOWER('20_Registro_Diario'!C98)="sí"))</f>
        <v/>
      </c>
      <c r="C98" s="362" t="str">
        <f>IF(A98="","",--(LOWER('20_Registro_Diario'!D98)="sí"))</f>
        <v/>
      </c>
      <c r="D98" s="362" t="str">
        <f>IF(A98="","",--(LOWER('20_Registro_Diario'!E98)="sí"))</f>
        <v/>
      </c>
      <c r="E98" s="362" t="str">
        <f>IF(A98="","",--(LOWER('20_Registro_Diario'!F98)="sí"))</f>
        <v/>
      </c>
      <c r="F98" s="362" t="str">
        <f>IF(A98="","",--(LOWER('20_Registro_Diario'!G98)="sí"))</f>
        <v/>
      </c>
      <c r="G98" s="363" t="str">
        <f>IF(A98="","",IFERROR('20_Registro_Diario'!I98,0))</f>
        <v/>
      </c>
      <c r="H98" s="364" t="str">
        <f t="shared" si="14"/>
        <v/>
      </c>
      <c r="I98" s="365" t="str">
        <f t="shared" si="15"/>
        <v/>
      </c>
      <c r="J98" s="340" t="str">
        <f t="shared" si="16"/>
        <v/>
      </c>
      <c r="K98" s="359" t="str">
        <f t="shared" si="17"/>
        <v/>
      </c>
      <c r="L98" s="359" t="str">
        <f t="shared" si="18"/>
        <v/>
      </c>
      <c r="M98" s="359" t="str">
        <f t="shared" si="19"/>
        <v/>
      </c>
      <c r="N98" s="149" t="str">
        <f t="shared" si="20"/>
        <v/>
      </c>
    </row>
    <row r="99" spans="1:14" ht="1.9" customHeight="1">
      <c r="A99" s="416" t="str">
        <f>IF(OR('20_Registro_Diario'!A99="",'20_Registro_Diario'!A99=0),"",'20_Registro_Diario'!A99)</f>
        <v/>
      </c>
      <c r="B99" s="362" t="str">
        <f>IF(A99="","",--(LOWER('20_Registro_Diario'!C99)="sí"))</f>
        <v/>
      </c>
      <c r="C99" s="362" t="str">
        <f>IF(A99="","",--(LOWER('20_Registro_Diario'!D99)="sí"))</f>
        <v/>
      </c>
      <c r="D99" s="362" t="str">
        <f>IF(A99="","",--(LOWER('20_Registro_Diario'!E99)="sí"))</f>
        <v/>
      </c>
      <c r="E99" s="362" t="str">
        <f>IF(A99="","",--(LOWER('20_Registro_Diario'!F99)="sí"))</f>
        <v/>
      </c>
      <c r="F99" s="362" t="str">
        <f>IF(A99="","",--(LOWER('20_Registro_Diario'!G99)="sí"))</f>
        <v/>
      </c>
      <c r="G99" s="363" t="str">
        <f>IF(A99="","",IFERROR('20_Registro_Diario'!I99,0))</f>
        <v/>
      </c>
      <c r="H99" s="364" t="str">
        <f t="shared" si="14"/>
        <v/>
      </c>
      <c r="I99" s="365" t="str">
        <f t="shared" si="15"/>
        <v/>
      </c>
      <c r="J99" s="340" t="str">
        <f t="shared" si="16"/>
        <v/>
      </c>
      <c r="K99" s="359" t="str">
        <f t="shared" si="17"/>
        <v/>
      </c>
      <c r="L99" s="359" t="str">
        <f t="shared" si="18"/>
        <v/>
      </c>
      <c r="M99" s="359" t="str">
        <f t="shared" si="19"/>
        <v/>
      </c>
      <c r="N99" s="149" t="str">
        <f t="shared" si="20"/>
        <v/>
      </c>
    </row>
    <row r="100" spans="1:14" ht="1.9" customHeight="1">
      <c r="A100" s="416" t="str">
        <f>IF(OR('20_Registro_Diario'!A100="",'20_Registro_Diario'!A100=0),"",'20_Registro_Diario'!A100)</f>
        <v/>
      </c>
      <c r="B100" s="362" t="str">
        <f>IF(A100="","",--(LOWER('20_Registro_Diario'!C100)="sí"))</f>
        <v/>
      </c>
      <c r="C100" s="362" t="str">
        <f>IF(A100="","",--(LOWER('20_Registro_Diario'!D100)="sí"))</f>
        <v/>
      </c>
      <c r="D100" s="362" t="str">
        <f>IF(A100="","",--(LOWER('20_Registro_Diario'!E100)="sí"))</f>
        <v/>
      </c>
      <c r="E100" s="362" t="str">
        <f>IF(A100="","",--(LOWER('20_Registro_Diario'!F100)="sí"))</f>
        <v/>
      </c>
      <c r="F100" s="362" t="str">
        <f>IF(A100="","",--(LOWER('20_Registro_Diario'!G100)="sí"))</f>
        <v/>
      </c>
      <c r="G100" s="363" t="str">
        <f>IF(A100="","",IFERROR('20_Registro_Diario'!I100,0))</f>
        <v/>
      </c>
      <c r="H100" s="364" t="str">
        <f t="shared" si="14"/>
        <v/>
      </c>
      <c r="I100" s="365" t="str">
        <f t="shared" si="15"/>
        <v/>
      </c>
      <c r="J100" s="340" t="str">
        <f t="shared" si="16"/>
        <v/>
      </c>
      <c r="K100" s="359" t="str">
        <f t="shared" si="17"/>
        <v/>
      </c>
      <c r="L100" s="359" t="str">
        <f t="shared" si="18"/>
        <v/>
      </c>
      <c r="M100" s="359" t="str">
        <f t="shared" si="19"/>
        <v/>
      </c>
      <c r="N100" s="149" t="str">
        <f t="shared" si="20"/>
        <v/>
      </c>
    </row>
    <row r="101" spans="1:14" ht="1.9" customHeight="1">
      <c r="A101" s="416" t="str">
        <f>IF(OR('20_Registro_Diario'!A101="",'20_Registro_Diario'!A101=0),"",'20_Registro_Diario'!A101)</f>
        <v/>
      </c>
      <c r="B101" s="362" t="str">
        <f>IF(A101="","",--(LOWER('20_Registro_Diario'!C101)="sí"))</f>
        <v/>
      </c>
      <c r="C101" s="362" t="str">
        <f>IF(A101="","",--(LOWER('20_Registro_Diario'!D101)="sí"))</f>
        <v/>
      </c>
      <c r="D101" s="362" t="str">
        <f>IF(A101="","",--(LOWER('20_Registro_Diario'!E101)="sí"))</f>
        <v/>
      </c>
      <c r="E101" s="362" t="str">
        <f>IF(A101="","",--(LOWER('20_Registro_Diario'!F101)="sí"))</f>
        <v/>
      </c>
      <c r="F101" s="362" t="str">
        <f>IF(A101="","",--(LOWER('20_Registro_Diario'!G101)="sí"))</f>
        <v/>
      </c>
      <c r="G101" s="363" t="str">
        <f>IF(A101="","",IFERROR('20_Registro_Diario'!I101,0))</f>
        <v/>
      </c>
      <c r="H101" s="364" t="str">
        <f t="shared" si="14"/>
        <v/>
      </c>
      <c r="I101" s="365" t="str">
        <f t="shared" si="15"/>
        <v/>
      </c>
      <c r="J101" s="340" t="str">
        <f t="shared" si="16"/>
        <v/>
      </c>
      <c r="K101" s="359" t="str">
        <f t="shared" si="17"/>
        <v/>
      </c>
      <c r="L101" s="359" t="str">
        <f t="shared" si="18"/>
        <v/>
      </c>
      <c r="M101" s="359" t="str">
        <f t="shared" si="19"/>
        <v/>
      </c>
      <c r="N101" s="149" t="str">
        <f t="shared" si="20"/>
        <v/>
      </c>
    </row>
    <row r="102" spans="1:14" ht="1.9" customHeight="1">
      <c r="A102" s="416" t="str">
        <f>IF(OR('20_Registro_Diario'!A102="",'20_Registro_Diario'!A102=0),"",'20_Registro_Diario'!A102)</f>
        <v/>
      </c>
      <c r="B102" s="362" t="str">
        <f>IF(A102="","",--(LOWER('20_Registro_Diario'!C102)="sí"))</f>
        <v/>
      </c>
      <c r="C102" s="362" t="str">
        <f>IF(A102="","",--(LOWER('20_Registro_Diario'!D102)="sí"))</f>
        <v/>
      </c>
      <c r="D102" s="362" t="str">
        <f>IF(A102="","",--(LOWER('20_Registro_Diario'!E102)="sí"))</f>
        <v/>
      </c>
      <c r="E102" s="362" t="str">
        <f>IF(A102="","",--(LOWER('20_Registro_Diario'!F102)="sí"))</f>
        <v/>
      </c>
      <c r="F102" s="362" t="str">
        <f>IF(A102="","",--(LOWER('20_Registro_Diario'!G102)="sí"))</f>
        <v/>
      </c>
      <c r="G102" s="363" t="str">
        <f>IF(A102="","",IFERROR('20_Registro_Diario'!I102,0))</f>
        <v/>
      </c>
      <c r="H102" s="364" t="str">
        <f t="shared" si="14"/>
        <v/>
      </c>
      <c r="I102" s="365" t="str">
        <f t="shared" si="15"/>
        <v/>
      </c>
      <c r="J102" s="340" t="str">
        <f t="shared" si="16"/>
        <v/>
      </c>
      <c r="K102" s="359" t="str">
        <f t="shared" si="17"/>
        <v/>
      </c>
      <c r="L102" s="359" t="str">
        <f t="shared" si="18"/>
        <v/>
      </c>
      <c r="M102" s="359" t="str">
        <f t="shared" si="19"/>
        <v/>
      </c>
      <c r="N102" s="149" t="str">
        <f t="shared" si="20"/>
        <v/>
      </c>
    </row>
    <row r="103" spans="1:14" ht="1.9" customHeight="1">
      <c r="A103" s="416" t="str">
        <f>IF(OR('20_Registro_Diario'!A103="",'20_Registro_Diario'!A103=0),"",'20_Registro_Diario'!A103)</f>
        <v/>
      </c>
      <c r="B103" s="362" t="str">
        <f>IF(A103="","",--(LOWER('20_Registro_Diario'!C103)="sí"))</f>
        <v/>
      </c>
      <c r="C103" s="362" t="str">
        <f>IF(A103="","",--(LOWER('20_Registro_Diario'!D103)="sí"))</f>
        <v/>
      </c>
      <c r="D103" s="362" t="str">
        <f>IF(A103="","",--(LOWER('20_Registro_Diario'!E103)="sí"))</f>
        <v/>
      </c>
      <c r="E103" s="362" t="str">
        <f>IF(A103="","",--(LOWER('20_Registro_Diario'!F103)="sí"))</f>
        <v/>
      </c>
      <c r="F103" s="362" t="str">
        <f>IF(A103="","",--(LOWER('20_Registro_Diario'!G103)="sí"))</f>
        <v/>
      </c>
      <c r="G103" s="363" t="str">
        <f>IF(A103="","",IFERROR('20_Registro_Diario'!I103,0))</f>
        <v/>
      </c>
      <c r="H103" s="364" t="str">
        <f t="shared" si="14"/>
        <v/>
      </c>
      <c r="I103" s="365" t="str">
        <f t="shared" si="15"/>
        <v/>
      </c>
      <c r="J103" s="340" t="str">
        <f t="shared" si="16"/>
        <v/>
      </c>
      <c r="K103" s="359" t="str">
        <f t="shared" si="17"/>
        <v/>
      </c>
      <c r="L103" s="359" t="str">
        <f t="shared" si="18"/>
        <v/>
      </c>
      <c r="M103" s="359" t="str">
        <f t="shared" si="19"/>
        <v/>
      </c>
      <c r="N103" s="149" t="str">
        <f t="shared" si="20"/>
        <v/>
      </c>
    </row>
    <row r="104" spans="1:14" ht="1.9" customHeight="1">
      <c r="A104" s="416" t="str">
        <f>IF(OR('20_Registro_Diario'!A104="",'20_Registro_Diario'!A104=0),"",'20_Registro_Diario'!A104)</f>
        <v/>
      </c>
      <c r="B104" s="362" t="str">
        <f>IF(A104="","",--(LOWER('20_Registro_Diario'!C104)="sí"))</f>
        <v/>
      </c>
      <c r="C104" s="362" t="str">
        <f>IF(A104="","",--(LOWER('20_Registro_Diario'!D104)="sí"))</f>
        <v/>
      </c>
      <c r="D104" s="362" t="str">
        <f>IF(A104="","",--(LOWER('20_Registro_Diario'!E104)="sí"))</f>
        <v/>
      </c>
      <c r="E104" s="362" t="str">
        <f>IF(A104="","",--(LOWER('20_Registro_Diario'!F104)="sí"))</f>
        <v/>
      </c>
      <c r="F104" s="362" t="str">
        <f>IF(A104="","",--(LOWER('20_Registro_Diario'!G104)="sí"))</f>
        <v/>
      </c>
      <c r="G104" s="363" t="str">
        <f>IF(A104="","",IFERROR('20_Registro_Diario'!I104,0))</f>
        <v/>
      </c>
      <c r="H104" s="364" t="str">
        <f t="shared" si="14"/>
        <v/>
      </c>
      <c r="I104" s="365" t="str">
        <f t="shared" si="15"/>
        <v/>
      </c>
      <c r="J104" s="340" t="str">
        <f t="shared" si="16"/>
        <v/>
      </c>
      <c r="K104" s="359" t="str">
        <f t="shared" si="17"/>
        <v/>
      </c>
      <c r="L104" s="359" t="str">
        <f t="shared" si="18"/>
        <v/>
      </c>
      <c r="M104" s="359" t="str">
        <f t="shared" si="19"/>
        <v/>
      </c>
      <c r="N104" s="149" t="str">
        <f t="shared" si="20"/>
        <v/>
      </c>
    </row>
    <row r="105" spans="1:14" ht="1.9" customHeight="1">
      <c r="A105" s="416" t="str">
        <f>IF(OR('20_Registro_Diario'!A105="",'20_Registro_Diario'!A105=0),"",'20_Registro_Diario'!A105)</f>
        <v/>
      </c>
      <c r="B105" s="362" t="str">
        <f>IF(A105="","",--(LOWER('20_Registro_Diario'!C105)="sí"))</f>
        <v/>
      </c>
      <c r="C105" s="362" t="str">
        <f>IF(A105="","",--(LOWER('20_Registro_Diario'!D105)="sí"))</f>
        <v/>
      </c>
      <c r="D105" s="362" t="str">
        <f>IF(A105="","",--(LOWER('20_Registro_Diario'!E105)="sí"))</f>
        <v/>
      </c>
      <c r="E105" s="362" t="str">
        <f>IF(A105="","",--(LOWER('20_Registro_Diario'!F105)="sí"))</f>
        <v/>
      </c>
      <c r="F105" s="362" t="str">
        <f>IF(A105="","",--(LOWER('20_Registro_Diario'!G105)="sí"))</f>
        <v/>
      </c>
      <c r="G105" s="363" t="str">
        <f>IF(A105="","",IFERROR('20_Registro_Diario'!I105,0))</f>
        <v/>
      </c>
      <c r="H105" s="364" t="str">
        <f t="shared" si="14"/>
        <v/>
      </c>
      <c r="I105" s="365" t="str">
        <f t="shared" si="15"/>
        <v/>
      </c>
      <c r="J105" s="340" t="str">
        <f t="shared" si="16"/>
        <v/>
      </c>
      <c r="K105" s="359" t="str">
        <f t="shared" si="17"/>
        <v/>
      </c>
      <c r="L105" s="359" t="str">
        <f t="shared" si="18"/>
        <v/>
      </c>
      <c r="M105" s="359" t="str">
        <f t="shared" si="19"/>
        <v/>
      </c>
      <c r="N105" s="149" t="str">
        <f t="shared" si="20"/>
        <v/>
      </c>
    </row>
    <row r="106" spans="1:14" ht="1.9" customHeight="1">
      <c r="A106" s="416" t="str">
        <f>IF(OR('20_Registro_Diario'!A106="",'20_Registro_Diario'!A106=0),"",'20_Registro_Diario'!A106)</f>
        <v/>
      </c>
      <c r="B106" s="362" t="str">
        <f>IF(A106="","",--(LOWER('20_Registro_Diario'!C106)="sí"))</f>
        <v/>
      </c>
      <c r="C106" s="362" t="str">
        <f>IF(A106="","",--(LOWER('20_Registro_Diario'!D106)="sí"))</f>
        <v/>
      </c>
      <c r="D106" s="362" t="str">
        <f>IF(A106="","",--(LOWER('20_Registro_Diario'!E106)="sí"))</f>
        <v/>
      </c>
      <c r="E106" s="362" t="str">
        <f>IF(A106="","",--(LOWER('20_Registro_Diario'!F106)="sí"))</f>
        <v/>
      </c>
      <c r="F106" s="362" t="str">
        <f>IF(A106="","",--(LOWER('20_Registro_Diario'!G106)="sí"))</f>
        <v/>
      </c>
      <c r="G106" s="363" t="str">
        <f>IF(A106="","",IFERROR('20_Registro_Diario'!I106,0))</f>
        <v/>
      </c>
      <c r="H106" s="364" t="str">
        <f t="shared" si="14"/>
        <v/>
      </c>
      <c r="I106" s="365" t="str">
        <f t="shared" si="15"/>
        <v/>
      </c>
      <c r="J106" s="340" t="str">
        <f t="shared" si="16"/>
        <v/>
      </c>
      <c r="K106" s="359" t="str">
        <f t="shared" si="17"/>
        <v/>
      </c>
      <c r="L106" s="359" t="str">
        <f t="shared" si="18"/>
        <v/>
      </c>
      <c r="M106" s="359" t="str">
        <f t="shared" si="19"/>
        <v/>
      </c>
      <c r="N106" s="149" t="str">
        <f t="shared" si="20"/>
        <v/>
      </c>
    </row>
    <row r="107" spans="1:14" ht="1.9" customHeight="1">
      <c r="A107" s="416" t="str">
        <f>IF(OR('20_Registro_Diario'!A107="",'20_Registro_Diario'!A107=0),"",'20_Registro_Diario'!A107)</f>
        <v/>
      </c>
      <c r="B107" s="362" t="str">
        <f>IF(A107="","",--(LOWER('20_Registro_Diario'!C107)="sí"))</f>
        <v/>
      </c>
      <c r="C107" s="362" t="str">
        <f>IF(A107="","",--(LOWER('20_Registro_Diario'!D107)="sí"))</f>
        <v/>
      </c>
      <c r="D107" s="362" t="str">
        <f>IF(A107="","",--(LOWER('20_Registro_Diario'!E107)="sí"))</f>
        <v/>
      </c>
      <c r="E107" s="362" t="str">
        <f>IF(A107="","",--(LOWER('20_Registro_Diario'!F107)="sí"))</f>
        <v/>
      </c>
      <c r="F107" s="362" t="str">
        <f>IF(A107="","",--(LOWER('20_Registro_Diario'!G107)="sí"))</f>
        <v/>
      </c>
      <c r="G107" s="363" t="str">
        <f>IF(A107="","",IFERROR('20_Registro_Diario'!I107,0))</f>
        <v/>
      </c>
      <c r="H107" s="364" t="str">
        <f t="shared" si="14"/>
        <v/>
      </c>
      <c r="I107" s="365" t="str">
        <f t="shared" si="15"/>
        <v/>
      </c>
      <c r="J107" s="340" t="str">
        <f t="shared" si="16"/>
        <v/>
      </c>
      <c r="K107" s="359" t="str">
        <f t="shared" si="17"/>
        <v/>
      </c>
      <c r="L107" s="359" t="str">
        <f t="shared" si="18"/>
        <v/>
      </c>
      <c r="M107" s="359" t="str">
        <f t="shared" si="19"/>
        <v/>
      </c>
      <c r="N107" s="149" t="str">
        <f t="shared" si="20"/>
        <v/>
      </c>
    </row>
    <row r="108" spans="1:14" ht="1.9" customHeight="1">
      <c r="A108" s="416" t="str">
        <f>IF(OR('20_Registro_Diario'!A108="",'20_Registro_Diario'!A108=0),"",'20_Registro_Diario'!A108)</f>
        <v/>
      </c>
      <c r="B108" s="362" t="str">
        <f>IF(A108="","",--(LOWER('20_Registro_Diario'!C108)="sí"))</f>
        <v/>
      </c>
      <c r="C108" s="362" t="str">
        <f>IF(A108="","",--(LOWER('20_Registro_Diario'!D108)="sí"))</f>
        <v/>
      </c>
      <c r="D108" s="362" t="str">
        <f>IF(A108="","",--(LOWER('20_Registro_Diario'!E108)="sí"))</f>
        <v/>
      </c>
      <c r="E108" s="362" t="str">
        <f>IF(A108="","",--(LOWER('20_Registro_Diario'!F108)="sí"))</f>
        <v/>
      </c>
      <c r="F108" s="362" t="str">
        <f>IF(A108="","",--(LOWER('20_Registro_Diario'!G108)="sí"))</f>
        <v/>
      </c>
      <c r="G108" s="363" t="str">
        <f>IF(A108="","",IFERROR('20_Registro_Diario'!I108,0))</f>
        <v/>
      </c>
      <c r="H108" s="364" t="str">
        <f t="shared" si="14"/>
        <v/>
      </c>
      <c r="I108" s="365" t="str">
        <f t="shared" si="15"/>
        <v/>
      </c>
      <c r="J108" s="340" t="str">
        <f t="shared" si="16"/>
        <v/>
      </c>
      <c r="K108" s="359" t="str">
        <f t="shared" si="17"/>
        <v/>
      </c>
      <c r="L108" s="359" t="str">
        <f t="shared" si="18"/>
        <v/>
      </c>
      <c r="M108" s="359" t="str">
        <f t="shared" si="19"/>
        <v/>
      </c>
      <c r="N108" s="149" t="str">
        <f t="shared" si="20"/>
        <v/>
      </c>
    </row>
    <row r="109" spans="1:14" ht="1.9" customHeight="1">
      <c r="A109" s="416" t="str">
        <f>IF(OR('20_Registro_Diario'!A109="",'20_Registro_Diario'!A109=0),"",'20_Registro_Diario'!A109)</f>
        <v/>
      </c>
      <c r="B109" s="362" t="str">
        <f>IF(A109="","",--(LOWER('20_Registro_Diario'!C109)="sí"))</f>
        <v/>
      </c>
      <c r="C109" s="362" t="str">
        <f>IF(A109="","",--(LOWER('20_Registro_Diario'!D109)="sí"))</f>
        <v/>
      </c>
      <c r="D109" s="362" t="str">
        <f>IF(A109="","",--(LOWER('20_Registro_Diario'!E109)="sí"))</f>
        <v/>
      </c>
      <c r="E109" s="362" t="str">
        <f>IF(A109="","",--(LOWER('20_Registro_Diario'!F109)="sí"))</f>
        <v/>
      </c>
      <c r="F109" s="362" t="str">
        <f>IF(A109="","",--(LOWER('20_Registro_Diario'!G109)="sí"))</f>
        <v/>
      </c>
      <c r="G109" s="363" t="str">
        <f>IF(A109="","",IFERROR('20_Registro_Diario'!I109,0))</f>
        <v/>
      </c>
      <c r="H109" s="364" t="str">
        <f t="shared" si="14"/>
        <v/>
      </c>
      <c r="I109" s="365" t="str">
        <f t="shared" si="15"/>
        <v/>
      </c>
      <c r="J109" s="340" t="str">
        <f t="shared" si="16"/>
        <v/>
      </c>
      <c r="K109" s="359" t="str">
        <f t="shared" si="17"/>
        <v/>
      </c>
      <c r="L109" s="359" t="str">
        <f t="shared" si="18"/>
        <v/>
      </c>
      <c r="M109" s="359" t="str">
        <f t="shared" si="19"/>
        <v/>
      </c>
      <c r="N109" s="149" t="str">
        <f t="shared" si="20"/>
        <v/>
      </c>
    </row>
    <row r="110" spans="1:14" ht="1.9" customHeight="1">
      <c r="A110" s="416" t="str">
        <f>IF(OR('20_Registro_Diario'!A110="",'20_Registro_Diario'!A110=0),"",'20_Registro_Diario'!A110)</f>
        <v/>
      </c>
      <c r="B110" s="362" t="str">
        <f>IF(A110="","",--(LOWER('20_Registro_Diario'!C110)="sí"))</f>
        <v/>
      </c>
      <c r="C110" s="362" t="str">
        <f>IF(A110="","",--(LOWER('20_Registro_Diario'!D110)="sí"))</f>
        <v/>
      </c>
      <c r="D110" s="362" t="str">
        <f>IF(A110="","",--(LOWER('20_Registro_Diario'!E110)="sí"))</f>
        <v/>
      </c>
      <c r="E110" s="362" t="str">
        <f>IF(A110="","",--(LOWER('20_Registro_Diario'!F110)="sí"))</f>
        <v/>
      </c>
      <c r="F110" s="362" t="str">
        <f>IF(A110="","",--(LOWER('20_Registro_Diario'!G110)="sí"))</f>
        <v/>
      </c>
      <c r="G110" s="363" t="str">
        <f>IF(A110="","",IFERROR('20_Registro_Diario'!I110,0))</f>
        <v/>
      </c>
      <c r="H110" s="364" t="str">
        <f t="shared" si="14"/>
        <v/>
      </c>
      <c r="I110" s="365" t="str">
        <f t="shared" si="15"/>
        <v/>
      </c>
      <c r="J110" s="340" t="str">
        <f t="shared" si="16"/>
        <v/>
      </c>
      <c r="K110" s="359" t="str">
        <f t="shared" si="17"/>
        <v/>
      </c>
      <c r="L110" s="359" t="str">
        <f t="shared" si="18"/>
        <v/>
      </c>
      <c r="M110" s="359" t="str">
        <f t="shared" si="19"/>
        <v/>
      </c>
      <c r="N110" s="149" t="str">
        <f t="shared" si="20"/>
        <v/>
      </c>
    </row>
    <row r="111" spans="1:14" ht="1.9" customHeight="1">
      <c r="A111" s="416" t="str">
        <f>IF(OR('20_Registro_Diario'!A111="",'20_Registro_Diario'!A111=0),"",'20_Registro_Diario'!A111)</f>
        <v/>
      </c>
      <c r="B111" s="362" t="str">
        <f>IF(A111="","",--(LOWER('20_Registro_Diario'!C111)="sí"))</f>
        <v/>
      </c>
      <c r="C111" s="362" t="str">
        <f>IF(A111="","",--(LOWER('20_Registro_Diario'!D111)="sí"))</f>
        <v/>
      </c>
      <c r="D111" s="362" t="str">
        <f>IF(A111="","",--(LOWER('20_Registro_Diario'!E111)="sí"))</f>
        <v/>
      </c>
      <c r="E111" s="362" t="str">
        <f>IF(A111="","",--(LOWER('20_Registro_Diario'!F111)="sí"))</f>
        <v/>
      </c>
      <c r="F111" s="362" t="str">
        <f>IF(A111="","",--(LOWER('20_Registro_Diario'!G111)="sí"))</f>
        <v/>
      </c>
      <c r="G111" s="363" t="str">
        <f>IF(A111="","",IFERROR('20_Registro_Diario'!I111,0))</f>
        <v/>
      </c>
      <c r="H111" s="364" t="str">
        <f t="shared" si="14"/>
        <v/>
      </c>
      <c r="I111" s="365" t="str">
        <f t="shared" si="15"/>
        <v/>
      </c>
      <c r="J111" s="340" t="str">
        <f t="shared" si="16"/>
        <v/>
      </c>
      <c r="K111" s="359" t="str">
        <f t="shared" si="17"/>
        <v/>
      </c>
      <c r="L111" s="359" t="str">
        <f t="shared" si="18"/>
        <v/>
      </c>
      <c r="M111" s="359" t="str">
        <f t="shared" si="19"/>
        <v/>
      </c>
      <c r="N111" s="149" t="str">
        <f t="shared" si="20"/>
        <v/>
      </c>
    </row>
    <row r="112" spans="1:14" ht="1.9" customHeight="1">
      <c r="A112" s="416" t="str">
        <f>IF(OR('20_Registro_Diario'!A112="",'20_Registro_Diario'!A112=0),"",'20_Registro_Diario'!A112)</f>
        <v/>
      </c>
      <c r="B112" s="362" t="str">
        <f>IF(A112="","",--(LOWER('20_Registro_Diario'!C112)="sí"))</f>
        <v/>
      </c>
      <c r="C112" s="362" t="str">
        <f>IF(A112="","",--(LOWER('20_Registro_Diario'!D112)="sí"))</f>
        <v/>
      </c>
      <c r="D112" s="362" t="str">
        <f>IF(A112="","",--(LOWER('20_Registro_Diario'!E112)="sí"))</f>
        <v/>
      </c>
      <c r="E112" s="362" t="str">
        <f>IF(A112="","",--(LOWER('20_Registro_Diario'!F112)="sí"))</f>
        <v/>
      </c>
      <c r="F112" s="362" t="str">
        <f>IF(A112="","",--(LOWER('20_Registro_Diario'!G112)="sí"))</f>
        <v/>
      </c>
      <c r="G112" s="363" t="str">
        <f>IF(A112="","",IFERROR('20_Registro_Diario'!I112,0))</f>
        <v/>
      </c>
      <c r="H112" s="364" t="str">
        <f t="shared" si="14"/>
        <v/>
      </c>
      <c r="I112" s="365" t="str">
        <f t="shared" si="15"/>
        <v/>
      </c>
      <c r="J112" s="340" t="str">
        <f t="shared" si="16"/>
        <v/>
      </c>
      <c r="K112" s="359" t="str">
        <f t="shared" si="17"/>
        <v/>
      </c>
      <c r="L112" s="359" t="str">
        <f t="shared" si="18"/>
        <v/>
      </c>
      <c r="M112" s="359" t="str">
        <f t="shared" si="19"/>
        <v/>
      </c>
      <c r="N112" s="149" t="str">
        <f t="shared" si="20"/>
        <v/>
      </c>
    </row>
    <row r="113" spans="1:14" ht="1.9" customHeight="1">
      <c r="A113" s="416" t="str">
        <f>IF(OR('20_Registro_Diario'!A113="",'20_Registro_Diario'!A113=0),"",'20_Registro_Diario'!A113)</f>
        <v/>
      </c>
      <c r="B113" s="362" t="str">
        <f>IF(A113="","",--(LOWER('20_Registro_Diario'!C113)="sí"))</f>
        <v/>
      </c>
      <c r="C113" s="362" t="str">
        <f>IF(A113="","",--(LOWER('20_Registro_Diario'!D113)="sí"))</f>
        <v/>
      </c>
      <c r="D113" s="362" t="str">
        <f>IF(A113="","",--(LOWER('20_Registro_Diario'!E113)="sí"))</f>
        <v/>
      </c>
      <c r="E113" s="362" t="str">
        <f>IF(A113="","",--(LOWER('20_Registro_Diario'!F113)="sí"))</f>
        <v/>
      </c>
      <c r="F113" s="362" t="str">
        <f>IF(A113="","",--(LOWER('20_Registro_Diario'!G113)="sí"))</f>
        <v/>
      </c>
      <c r="G113" s="363" t="str">
        <f>IF(A113="","",IFERROR('20_Registro_Diario'!I113,0))</f>
        <v/>
      </c>
      <c r="H113" s="364" t="str">
        <f t="shared" si="14"/>
        <v/>
      </c>
      <c r="I113" s="365" t="str">
        <f t="shared" si="15"/>
        <v/>
      </c>
      <c r="J113" s="340" t="str">
        <f t="shared" si="16"/>
        <v/>
      </c>
      <c r="K113" s="359" t="str">
        <f t="shared" si="17"/>
        <v/>
      </c>
      <c r="L113" s="359" t="str">
        <f t="shared" si="18"/>
        <v/>
      </c>
      <c r="M113" s="359" t="str">
        <f t="shared" si="19"/>
        <v/>
      </c>
      <c r="N113" s="149" t="str">
        <f t="shared" si="20"/>
        <v/>
      </c>
    </row>
    <row r="114" spans="1:14" ht="1.9" customHeight="1">
      <c r="A114" s="416" t="str">
        <f>IF(OR('20_Registro_Diario'!A114="",'20_Registro_Diario'!A114=0),"",'20_Registro_Diario'!A114)</f>
        <v/>
      </c>
      <c r="B114" s="362" t="str">
        <f>IF(A114="","",--(LOWER('20_Registro_Diario'!C114)="sí"))</f>
        <v/>
      </c>
      <c r="C114" s="362" t="str">
        <f>IF(A114="","",--(LOWER('20_Registro_Diario'!D114)="sí"))</f>
        <v/>
      </c>
      <c r="D114" s="362" t="str">
        <f>IF(A114="","",--(LOWER('20_Registro_Diario'!E114)="sí"))</f>
        <v/>
      </c>
      <c r="E114" s="362" t="str">
        <f>IF(A114="","",--(LOWER('20_Registro_Diario'!F114)="sí"))</f>
        <v/>
      </c>
      <c r="F114" s="362" t="str">
        <f>IF(A114="","",--(LOWER('20_Registro_Diario'!G114)="sí"))</f>
        <v/>
      </c>
      <c r="G114" s="363" t="str">
        <f>IF(A114="","",IFERROR('20_Registro_Diario'!I114,0))</f>
        <v/>
      </c>
      <c r="H114" s="364" t="str">
        <f t="shared" si="14"/>
        <v/>
      </c>
      <c r="I114" s="365" t="str">
        <f t="shared" si="15"/>
        <v/>
      </c>
      <c r="J114" s="340" t="str">
        <f t="shared" si="16"/>
        <v/>
      </c>
      <c r="K114" s="359" t="str">
        <f t="shared" si="17"/>
        <v/>
      </c>
      <c r="L114" s="359" t="str">
        <f t="shared" si="18"/>
        <v/>
      </c>
      <c r="M114" s="359" t="str">
        <f t="shared" si="19"/>
        <v/>
      </c>
      <c r="N114" s="149" t="str">
        <f t="shared" si="20"/>
        <v/>
      </c>
    </row>
    <row r="115" spans="1:14" ht="1.9" customHeight="1">
      <c r="A115" s="416" t="str">
        <f>IF(OR('20_Registro_Diario'!A115="",'20_Registro_Diario'!A115=0),"",'20_Registro_Diario'!A115)</f>
        <v/>
      </c>
      <c r="B115" s="362" t="str">
        <f>IF(A115="","",--(LOWER('20_Registro_Diario'!C115)="sí"))</f>
        <v/>
      </c>
      <c r="C115" s="362" t="str">
        <f>IF(A115="","",--(LOWER('20_Registro_Diario'!D115)="sí"))</f>
        <v/>
      </c>
      <c r="D115" s="362" t="str">
        <f>IF(A115="","",--(LOWER('20_Registro_Diario'!E115)="sí"))</f>
        <v/>
      </c>
      <c r="E115" s="362" t="str">
        <f>IF(A115="","",--(LOWER('20_Registro_Diario'!F115)="sí"))</f>
        <v/>
      </c>
      <c r="F115" s="362" t="str">
        <f>IF(A115="","",--(LOWER('20_Registro_Diario'!G115)="sí"))</f>
        <v/>
      </c>
      <c r="G115" s="363" t="str">
        <f>IF(A115="","",IFERROR('20_Registro_Diario'!I115,0))</f>
        <v/>
      </c>
      <c r="H115" s="364" t="str">
        <f t="shared" si="14"/>
        <v/>
      </c>
      <c r="I115" s="365" t="str">
        <f t="shared" si="15"/>
        <v/>
      </c>
      <c r="J115" s="340" t="str">
        <f t="shared" si="16"/>
        <v/>
      </c>
      <c r="K115" s="359" t="str">
        <f t="shared" si="17"/>
        <v/>
      </c>
      <c r="L115" s="359" t="str">
        <f t="shared" si="18"/>
        <v/>
      </c>
      <c r="M115" s="359" t="str">
        <f t="shared" si="19"/>
        <v/>
      </c>
      <c r="N115" s="149" t="str">
        <f t="shared" si="20"/>
        <v/>
      </c>
    </row>
    <row r="116" spans="1:14" ht="1.9" customHeight="1">
      <c r="A116" s="416" t="str">
        <f>IF(OR('20_Registro_Diario'!A116="",'20_Registro_Diario'!A116=0),"",'20_Registro_Diario'!A116)</f>
        <v/>
      </c>
      <c r="B116" s="362" t="str">
        <f>IF(A116="","",--(LOWER('20_Registro_Diario'!C116)="sí"))</f>
        <v/>
      </c>
      <c r="C116" s="362" t="str">
        <f>IF(A116="","",--(LOWER('20_Registro_Diario'!D116)="sí"))</f>
        <v/>
      </c>
      <c r="D116" s="362" t="str">
        <f>IF(A116="","",--(LOWER('20_Registro_Diario'!E116)="sí"))</f>
        <v/>
      </c>
      <c r="E116" s="362" t="str">
        <f>IF(A116="","",--(LOWER('20_Registro_Diario'!F116)="sí"))</f>
        <v/>
      </c>
      <c r="F116" s="362" t="str">
        <f>IF(A116="","",--(LOWER('20_Registro_Diario'!G116)="sí"))</f>
        <v/>
      </c>
      <c r="G116" s="363" t="str">
        <f>IF(A116="","",IFERROR('20_Registro_Diario'!I116,0))</f>
        <v/>
      </c>
      <c r="H116" s="364" t="str">
        <f t="shared" si="14"/>
        <v/>
      </c>
      <c r="I116" s="365" t="str">
        <f t="shared" si="15"/>
        <v/>
      </c>
      <c r="J116" s="340" t="str">
        <f t="shared" si="16"/>
        <v/>
      </c>
      <c r="K116" s="359" t="str">
        <f t="shared" si="17"/>
        <v/>
      </c>
      <c r="L116" s="359" t="str">
        <f t="shared" si="18"/>
        <v/>
      </c>
      <c r="M116" s="359" t="str">
        <f t="shared" si="19"/>
        <v/>
      </c>
      <c r="N116" s="149" t="str">
        <f t="shared" si="20"/>
        <v/>
      </c>
    </row>
    <row r="117" spans="1:14" ht="1.9" customHeight="1">
      <c r="A117" s="416" t="str">
        <f>IF(OR('20_Registro_Diario'!A117="",'20_Registro_Diario'!A117=0),"",'20_Registro_Diario'!A117)</f>
        <v/>
      </c>
      <c r="B117" s="362" t="str">
        <f>IF(A117="","",--(LOWER('20_Registro_Diario'!C117)="sí"))</f>
        <v/>
      </c>
      <c r="C117" s="362" t="str">
        <f>IF(A117="","",--(LOWER('20_Registro_Diario'!D117)="sí"))</f>
        <v/>
      </c>
      <c r="D117" s="362" t="str">
        <f>IF(A117="","",--(LOWER('20_Registro_Diario'!E117)="sí"))</f>
        <v/>
      </c>
      <c r="E117" s="362" t="str">
        <f>IF(A117="","",--(LOWER('20_Registro_Diario'!F117)="sí"))</f>
        <v/>
      </c>
      <c r="F117" s="362" t="str">
        <f>IF(A117="","",--(LOWER('20_Registro_Diario'!G117)="sí"))</f>
        <v/>
      </c>
      <c r="G117" s="363" t="str">
        <f>IF(A117="","",IFERROR('20_Registro_Diario'!I117,0))</f>
        <v/>
      </c>
      <c r="H117" s="364" t="str">
        <f t="shared" si="14"/>
        <v/>
      </c>
      <c r="I117" s="365" t="str">
        <f t="shared" si="15"/>
        <v/>
      </c>
      <c r="J117" s="340" t="str">
        <f t="shared" si="16"/>
        <v/>
      </c>
      <c r="K117" s="359" t="str">
        <f t="shared" si="17"/>
        <v/>
      </c>
      <c r="L117" s="359" t="str">
        <f t="shared" si="18"/>
        <v/>
      </c>
      <c r="M117" s="359" t="str">
        <f t="shared" si="19"/>
        <v/>
      </c>
      <c r="N117" s="149" t="str">
        <f t="shared" si="20"/>
        <v/>
      </c>
    </row>
    <row r="118" spans="1:14" ht="1.9" customHeight="1">
      <c r="A118" s="416" t="str">
        <f>IF(OR('20_Registro_Diario'!A118="",'20_Registro_Diario'!A118=0),"",'20_Registro_Diario'!A118)</f>
        <v/>
      </c>
      <c r="B118" s="362" t="str">
        <f>IF(A118="","",--(LOWER('20_Registro_Diario'!C118)="sí"))</f>
        <v/>
      </c>
      <c r="C118" s="362" t="str">
        <f>IF(A118="","",--(LOWER('20_Registro_Diario'!D118)="sí"))</f>
        <v/>
      </c>
      <c r="D118" s="362" t="str">
        <f>IF(A118="","",--(LOWER('20_Registro_Diario'!E118)="sí"))</f>
        <v/>
      </c>
      <c r="E118" s="362" t="str">
        <f>IF(A118="","",--(LOWER('20_Registro_Diario'!F118)="sí"))</f>
        <v/>
      </c>
      <c r="F118" s="362" t="str">
        <f>IF(A118="","",--(LOWER('20_Registro_Diario'!G118)="sí"))</f>
        <v/>
      </c>
      <c r="G118" s="363" t="str">
        <f>IF(A118="","",IFERROR('20_Registro_Diario'!I118,0))</f>
        <v/>
      </c>
      <c r="H118" s="364" t="str">
        <f t="shared" si="14"/>
        <v/>
      </c>
      <c r="I118" s="365" t="str">
        <f t="shared" si="15"/>
        <v/>
      </c>
      <c r="J118" s="340" t="str">
        <f t="shared" si="16"/>
        <v/>
      </c>
      <c r="K118" s="359" t="str">
        <f t="shared" si="17"/>
        <v/>
      </c>
      <c r="L118" s="359" t="str">
        <f t="shared" si="18"/>
        <v/>
      </c>
      <c r="M118" s="359" t="str">
        <f t="shared" si="19"/>
        <v/>
      </c>
      <c r="N118" s="149" t="str">
        <f t="shared" si="20"/>
        <v/>
      </c>
    </row>
    <row r="119" spans="1:14" ht="1.9" customHeight="1">
      <c r="A119" s="416" t="str">
        <f>IF(OR('20_Registro_Diario'!A119="",'20_Registro_Diario'!A119=0),"",'20_Registro_Diario'!A119)</f>
        <v/>
      </c>
      <c r="B119" s="362" t="str">
        <f>IF(A119="","",--(LOWER('20_Registro_Diario'!C119)="sí"))</f>
        <v/>
      </c>
      <c r="C119" s="362" t="str">
        <f>IF(A119="","",--(LOWER('20_Registro_Diario'!D119)="sí"))</f>
        <v/>
      </c>
      <c r="D119" s="362" t="str">
        <f>IF(A119="","",--(LOWER('20_Registro_Diario'!E119)="sí"))</f>
        <v/>
      </c>
      <c r="E119" s="362" t="str">
        <f>IF(A119="","",--(LOWER('20_Registro_Diario'!F119)="sí"))</f>
        <v/>
      </c>
      <c r="F119" s="362" t="str">
        <f>IF(A119="","",--(LOWER('20_Registro_Diario'!G119)="sí"))</f>
        <v/>
      </c>
      <c r="G119" s="363" t="str">
        <f>IF(A119="","",IFERROR('20_Registro_Diario'!I119,0))</f>
        <v/>
      </c>
      <c r="H119" s="364" t="str">
        <f t="shared" si="14"/>
        <v/>
      </c>
      <c r="I119" s="365" t="str">
        <f t="shared" si="15"/>
        <v/>
      </c>
      <c r="J119" s="340" t="str">
        <f t="shared" si="16"/>
        <v/>
      </c>
      <c r="K119" s="359" t="str">
        <f t="shared" si="17"/>
        <v/>
      </c>
      <c r="L119" s="359" t="str">
        <f t="shared" si="18"/>
        <v/>
      </c>
      <c r="M119" s="359" t="str">
        <f t="shared" si="19"/>
        <v/>
      </c>
      <c r="N119" s="149" t="str">
        <f t="shared" si="20"/>
        <v/>
      </c>
    </row>
    <row r="120" spans="1:14" ht="1.9" customHeight="1">
      <c r="A120" s="416" t="str">
        <f>IF(OR('20_Registro_Diario'!A120="",'20_Registro_Diario'!A120=0),"",'20_Registro_Diario'!A120)</f>
        <v/>
      </c>
      <c r="B120" s="362" t="str">
        <f>IF(A120="","",--(LOWER('20_Registro_Diario'!C120)="sí"))</f>
        <v/>
      </c>
      <c r="C120" s="362" t="str">
        <f>IF(A120="","",--(LOWER('20_Registro_Diario'!D120)="sí"))</f>
        <v/>
      </c>
      <c r="D120" s="362" t="str">
        <f>IF(A120="","",--(LOWER('20_Registro_Diario'!E120)="sí"))</f>
        <v/>
      </c>
      <c r="E120" s="362" t="str">
        <f>IF(A120="","",--(LOWER('20_Registro_Diario'!F120)="sí"))</f>
        <v/>
      </c>
      <c r="F120" s="362" t="str">
        <f>IF(A120="","",--(LOWER('20_Registro_Diario'!G120)="sí"))</f>
        <v/>
      </c>
      <c r="G120" s="363" t="str">
        <f>IF(A120="","",IFERROR('20_Registro_Diario'!I120,0))</f>
        <v/>
      </c>
      <c r="H120" s="364" t="str">
        <f t="shared" si="14"/>
        <v/>
      </c>
      <c r="I120" s="365" t="str">
        <f t="shared" si="15"/>
        <v/>
      </c>
      <c r="J120" s="340" t="str">
        <f t="shared" si="16"/>
        <v/>
      </c>
      <c r="K120" s="359" t="str">
        <f t="shared" si="17"/>
        <v/>
      </c>
      <c r="L120" s="359" t="str">
        <f t="shared" si="18"/>
        <v/>
      </c>
      <c r="M120" s="359" t="str">
        <f t="shared" si="19"/>
        <v/>
      </c>
      <c r="N120" s="149" t="str">
        <f t="shared" si="20"/>
        <v/>
      </c>
    </row>
    <row r="121" spans="1:14" ht="1.9" customHeight="1">
      <c r="A121" s="416" t="str">
        <f>IF(OR('20_Registro_Diario'!A121="",'20_Registro_Diario'!A121=0),"",'20_Registro_Diario'!A121)</f>
        <v/>
      </c>
      <c r="B121" s="362" t="str">
        <f>IF(A121="","",--(LOWER('20_Registro_Diario'!C121)="sí"))</f>
        <v/>
      </c>
      <c r="C121" s="362" t="str">
        <f>IF(A121="","",--(LOWER('20_Registro_Diario'!D121)="sí"))</f>
        <v/>
      </c>
      <c r="D121" s="362" t="str">
        <f>IF(A121="","",--(LOWER('20_Registro_Diario'!E121)="sí"))</f>
        <v/>
      </c>
      <c r="E121" s="362" t="str">
        <f>IF(A121="","",--(LOWER('20_Registro_Diario'!F121)="sí"))</f>
        <v/>
      </c>
      <c r="F121" s="362" t="str">
        <f>IF(A121="","",--(LOWER('20_Registro_Diario'!G121)="sí"))</f>
        <v/>
      </c>
      <c r="G121" s="363" t="str">
        <f>IF(A121="","",IFERROR('20_Registro_Diario'!I121,0))</f>
        <v/>
      </c>
      <c r="H121" s="364" t="str">
        <f t="shared" si="14"/>
        <v/>
      </c>
      <c r="I121" s="365" t="str">
        <f t="shared" si="15"/>
        <v/>
      </c>
      <c r="J121" s="340" t="str">
        <f t="shared" si="16"/>
        <v/>
      </c>
      <c r="K121" s="359" t="str">
        <f t="shared" si="17"/>
        <v/>
      </c>
      <c r="L121" s="359" t="str">
        <f t="shared" si="18"/>
        <v/>
      </c>
      <c r="M121" s="359" t="str">
        <f t="shared" si="19"/>
        <v/>
      </c>
      <c r="N121" s="149" t="str">
        <f t="shared" si="20"/>
        <v/>
      </c>
    </row>
    <row r="122" spans="1:14" ht="1.9" customHeight="1">
      <c r="A122" s="416" t="str">
        <f>IF(OR('20_Registro_Diario'!A122="",'20_Registro_Diario'!A122=0),"",'20_Registro_Diario'!A122)</f>
        <v/>
      </c>
      <c r="B122" s="362" t="str">
        <f>IF(A122="","",--(LOWER('20_Registro_Diario'!C122)="sí"))</f>
        <v/>
      </c>
      <c r="C122" s="362" t="str">
        <f>IF(A122="","",--(LOWER('20_Registro_Diario'!D122)="sí"))</f>
        <v/>
      </c>
      <c r="D122" s="362" t="str">
        <f>IF(A122="","",--(LOWER('20_Registro_Diario'!E122)="sí"))</f>
        <v/>
      </c>
      <c r="E122" s="362" t="str">
        <f>IF(A122="","",--(LOWER('20_Registro_Diario'!F122)="sí"))</f>
        <v/>
      </c>
      <c r="F122" s="362" t="str">
        <f>IF(A122="","",--(LOWER('20_Registro_Diario'!G122)="sí"))</f>
        <v/>
      </c>
      <c r="G122" s="363" t="str">
        <f>IF(A122="","",IFERROR('20_Registro_Diario'!I122,0))</f>
        <v/>
      </c>
      <c r="H122" s="364" t="str">
        <f t="shared" si="14"/>
        <v/>
      </c>
      <c r="I122" s="365" t="str">
        <f t="shared" si="15"/>
        <v/>
      </c>
      <c r="J122" s="340" t="str">
        <f t="shared" si="16"/>
        <v/>
      </c>
      <c r="K122" s="359" t="str">
        <f t="shared" si="17"/>
        <v/>
      </c>
      <c r="L122" s="359" t="str">
        <f t="shared" si="18"/>
        <v/>
      </c>
      <c r="M122" s="359" t="str">
        <f t="shared" si="19"/>
        <v/>
      </c>
      <c r="N122" s="149" t="str">
        <f t="shared" si="20"/>
        <v/>
      </c>
    </row>
    <row r="123" spans="1:14" ht="1.9" customHeight="1">
      <c r="A123" s="416" t="str">
        <f>IF(OR('20_Registro_Diario'!A123="",'20_Registro_Diario'!A123=0),"",'20_Registro_Diario'!A123)</f>
        <v/>
      </c>
      <c r="B123" s="362" t="str">
        <f>IF(A123="","",--(LOWER('20_Registro_Diario'!C123)="sí"))</f>
        <v/>
      </c>
      <c r="C123" s="362" t="str">
        <f>IF(A123="","",--(LOWER('20_Registro_Diario'!D123)="sí"))</f>
        <v/>
      </c>
      <c r="D123" s="362" t="str">
        <f>IF(A123="","",--(LOWER('20_Registro_Diario'!E123)="sí"))</f>
        <v/>
      </c>
      <c r="E123" s="362" t="str">
        <f>IF(A123="","",--(LOWER('20_Registro_Diario'!F123)="sí"))</f>
        <v/>
      </c>
      <c r="F123" s="362" t="str">
        <f>IF(A123="","",--(LOWER('20_Registro_Diario'!G123)="sí"))</f>
        <v/>
      </c>
      <c r="G123" s="363" t="str">
        <f>IF(A123="","",IFERROR('20_Registro_Diario'!I123,0))</f>
        <v/>
      </c>
      <c r="H123" s="364" t="str">
        <f t="shared" si="14"/>
        <v/>
      </c>
      <c r="I123" s="365" t="str">
        <f t="shared" si="15"/>
        <v/>
      </c>
      <c r="J123" s="340" t="str">
        <f t="shared" si="16"/>
        <v/>
      </c>
      <c r="K123" s="359" t="str">
        <f t="shared" si="17"/>
        <v/>
      </c>
      <c r="L123" s="359" t="str">
        <f t="shared" si="18"/>
        <v/>
      </c>
      <c r="M123" s="359" t="str">
        <f t="shared" si="19"/>
        <v/>
      </c>
      <c r="N123" s="149" t="str">
        <f t="shared" si="20"/>
        <v/>
      </c>
    </row>
    <row r="124" spans="1:14" ht="1.9" customHeight="1">
      <c r="A124" s="416" t="str">
        <f>IF(OR('20_Registro_Diario'!A124="",'20_Registro_Diario'!A124=0),"",'20_Registro_Diario'!A124)</f>
        <v/>
      </c>
      <c r="B124" s="362" t="str">
        <f>IF(A124="","",--(LOWER('20_Registro_Diario'!C124)="sí"))</f>
        <v/>
      </c>
      <c r="C124" s="362" t="str">
        <f>IF(A124="","",--(LOWER('20_Registro_Diario'!D124)="sí"))</f>
        <v/>
      </c>
      <c r="D124" s="362" t="str">
        <f>IF(A124="","",--(LOWER('20_Registro_Diario'!E124)="sí"))</f>
        <v/>
      </c>
      <c r="E124" s="362" t="str">
        <f>IF(A124="","",--(LOWER('20_Registro_Diario'!F124)="sí"))</f>
        <v/>
      </c>
      <c r="F124" s="362" t="str">
        <f>IF(A124="","",--(LOWER('20_Registro_Diario'!G124)="sí"))</f>
        <v/>
      </c>
      <c r="G124" s="363" t="str">
        <f>IF(A124="","",IFERROR('20_Registro_Diario'!I124,0))</f>
        <v/>
      </c>
      <c r="H124" s="364" t="str">
        <f t="shared" si="14"/>
        <v/>
      </c>
      <c r="I124" s="365" t="str">
        <f t="shared" si="15"/>
        <v/>
      </c>
      <c r="J124" s="340" t="str">
        <f t="shared" si="16"/>
        <v/>
      </c>
      <c r="K124" s="359" t="str">
        <f t="shared" si="17"/>
        <v/>
      </c>
      <c r="L124" s="359" t="str">
        <f t="shared" si="18"/>
        <v/>
      </c>
      <c r="M124" s="359" t="str">
        <f t="shared" si="19"/>
        <v/>
      </c>
      <c r="N124" s="149" t="str">
        <f t="shared" si="20"/>
        <v/>
      </c>
    </row>
    <row r="125" spans="1:14" ht="1.9" customHeight="1">
      <c r="A125" s="416" t="str">
        <f>IF(OR('20_Registro_Diario'!A125="",'20_Registro_Diario'!A125=0),"",'20_Registro_Diario'!A125)</f>
        <v/>
      </c>
      <c r="B125" s="362" t="str">
        <f>IF(A125="","",--(LOWER('20_Registro_Diario'!C125)="sí"))</f>
        <v/>
      </c>
      <c r="C125" s="362" t="str">
        <f>IF(A125="","",--(LOWER('20_Registro_Diario'!D125)="sí"))</f>
        <v/>
      </c>
      <c r="D125" s="362" t="str">
        <f>IF(A125="","",--(LOWER('20_Registro_Diario'!E125)="sí"))</f>
        <v/>
      </c>
      <c r="E125" s="362" t="str">
        <f>IF(A125="","",--(LOWER('20_Registro_Diario'!F125)="sí"))</f>
        <v/>
      </c>
      <c r="F125" s="362" t="str">
        <f>IF(A125="","",--(LOWER('20_Registro_Diario'!G125)="sí"))</f>
        <v/>
      </c>
      <c r="G125" s="363" t="str">
        <f>IF(A125="","",IFERROR('20_Registro_Diario'!I125,0))</f>
        <v/>
      </c>
      <c r="H125" s="364" t="str">
        <f t="shared" si="14"/>
        <v/>
      </c>
      <c r="I125" s="365" t="str">
        <f t="shared" si="15"/>
        <v/>
      </c>
      <c r="J125" s="340" t="str">
        <f t="shared" si="16"/>
        <v/>
      </c>
      <c r="K125" s="359" t="str">
        <f t="shared" si="17"/>
        <v/>
      </c>
      <c r="L125" s="359" t="str">
        <f t="shared" si="18"/>
        <v/>
      </c>
      <c r="M125" s="359" t="str">
        <f t="shared" si="19"/>
        <v/>
      </c>
      <c r="N125" s="149" t="str">
        <f t="shared" si="20"/>
        <v/>
      </c>
    </row>
    <row r="126" spans="1:14" ht="1.9" customHeight="1">
      <c r="A126" s="416" t="str">
        <f>IF(OR('20_Registro_Diario'!A126="",'20_Registro_Diario'!A126=0),"",'20_Registro_Diario'!A126)</f>
        <v/>
      </c>
      <c r="B126" s="362" t="str">
        <f>IF(A126="","",--(LOWER('20_Registro_Diario'!C126)="sí"))</f>
        <v/>
      </c>
      <c r="C126" s="362" t="str">
        <f>IF(A126="","",--(LOWER('20_Registro_Diario'!D126)="sí"))</f>
        <v/>
      </c>
      <c r="D126" s="362" t="str">
        <f>IF(A126="","",--(LOWER('20_Registro_Diario'!E126)="sí"))</f>
        <v/>
      </c>
      <c r="E126" s="362" t="str">
        <f>IF(A126="","",--(LOWER('20_Registro_Diario'!F126)="sí"))</f>
        <v/>
      </c>
      <c r="F126" s="362" t="str">
        <f>IF(A126="","",--(LOWER('20_Registro_Diario'!G126)="sí"))</f>
        <v/>
      </c>
      <c r="G126" s="363" t="str">
        <f>IF(A126="","",IFERROR('20_Registro_Diario'!I126,0))</f>
        <v/>
      </c>
      <c r="H126" s="364" t="str">
        <f t="shared" si="14"/>
        <v/>
      </c>
      <c r="I126" s="365" t="str">
        <f t="shared" si="15"/>
        <v/>
      </c>
      <c r="J126" s="340" t="str">
        <f t="shared" si="16"/>
        <v/>
      </c>
      <c r="K126" s="359" t="str">
        <f t="shared" si="17"/>
        <v/>
      </c>
      <c r="L126" s="359" t="str">
        <f t="shared" si="18"/>
        <v/>
      </c>
      <c r="M126" s="359" t="str">
        <f t="shared" si="19"/>
        <v/>
      </c>
      <c r="N126" s="149" t="str">
        <f t="shared" si="20"/>
        <v/>
      </c>
    </row>
    <row r="127" spans="1:14" ht="1.9" customHeight="1">
      <c r="A127" s="416" t="str">
        <f>IF(OR('20_Registro_Diario'!A127="",'20_Registro_Diario'!A127=0),"",'20_Registro_Diario'!A127)</f>
        <v/>
      </c>
      <c r="B127" s="362" t="str">
        <f>IF(A127="","",--(LOWER('20_Registro_Diario'!C127)="sí"))</f>
        <v/>
      </c>
      <c r="C127" s="362" t="str">
        <f>IF(A127="","",--(LOWER('20_Registro_Diario'!D127)="sí"))</f>
        <v/>
      </c>
      <c r="D127" s="362" t="str">
        <f>IF(A127="","",--(LOWER('20_Registro_Diario'!E127)="sí"))</f>
        <v/>
      </c>
      <c r="E127" s="362" t="str">
        <f>IF(A127="","",--(LOWER('20_Registro_Diario'!F127)="sí"))</f>
        <v/>
      </c>
      <c r="F127" s="362" t="str">
        <f>IF(A127="","",--(LOWER('20_Registro_Diario'!G127)="sí"))</f>
        <v/>
      </c>
      <c r="G127" s="363" t="str">
        <f>IF(A127="","",IFERROR('20_Registro_Diario'!I127,0))</f>
        <v/>
      </c>
      <c r="H127" s="364" t="str">
        <f t="shared" si="14"/>
        <v/>
      </c>
      <c r="I127" s="365" t="str">
        <f t="shared" si="15"/>
        <v/>
      </c>
      <c r="J127" s="340" t="str">
        <f t="shared" si="16"/>
        <v/>
      </c>
      <c r="K127" s="359" t="str">
        <f t="shared" si="17"/>
        <v/>
      </c>
      <c r="L127" s="359" t="str">
        <f t="shared" si="18"/>
        <v/>
      </c>
      <c r="M127" s="359" t="str">
        <f t="shared" si="19"/>
        <v/>
      </c>
      <c r="N127" s="149" t="str">
        <f t="shared" si="20"/>
        <v/>
      </c>
    </row>
    <row r="128" spans="1:14" ht="1.9" customHeight="1">
      <c r="A128" s="416" t="str">
        <f>IF(OR('20_Registro_Diario'!A128="",'20_Registro_Diario'!A128=0),"",'20_Registro_Diario'!A128)</f>
        <v/>
      </c>
      <c r="B128" s="362" t="str">
        <f>IF(A128="","",--(LOWER('20_Registro_Diario'!C128)="sí"))</f>
        <v/>
      </c>
      <c r="C128" s="362" t="str">
        <f>IF(A128="","",--(LOWER('20_Registro_Diario'!D128)="sí"))</f>
        <v/>
      </c>
      <c r="D128" s="362" t="str">
        <f>IF(A128="","",--(LOWER('20_Registro_Diario'!E128)="sí"))</f>
        <v/>
      </c>
      <c r="E128" s="362" t="str">
        <f>IF(A128="","",--(LOWER('20_Registro_Diario'!F128)="sí"))</f>
        <v/>
      </c>
      <c r="F128" s="362" t="str">
        <f>IF(A128="","",--(LOWER('20_Registro_Diario'!G128)="sí"))</f>
        <v/>
      </c>
      <c r="G128" s="363" t="str">
        <f>IF(A128="","",IFERROR('20_Registro_Diario'!I128,0))</f>
        <v/>
      </c>
      <c r="H128" s="364" t="str">
        <f t="shared" si="14"/>
        <v/>
      </c>
      <c r="I128" s="365" t="str">
        <f t="shared" si="15"/>
        <v/>
      </c>
      <c r="J128" s="340" t="str">
        <f t="shared" si="16"/>
        <v/>
      </c>
      <c r="K128" s="359" t="str">
        <f t="shared" si="17"/>
        <v/>
      </c>
      <c r="L128" s="359" t="str">
        <f t="shared" si="18"/>
        <v/>
      </c>
      <c r="M128" s="359" t="str">
        <f t="shared" si="19"/>
        <v/>
      </c>
      <c r="N128" s="149" t="str">
        <f t="shared" si="20"/>
        <v/>
      </c>
    </row>
    <row r="129" spans="1:14" ht="1.9" customHeight="1">
      <c r="A129" s="416" t="str">
        <f>IF(OR('20_Registro_Diario'!A129="",'20_Registro_Diario'!A129=0),"",'20_Registro_Diario'!A129)</f>
        <v/>
      </c>
      <c r="B129" s="362" t="str">
        <f>IF(A129="","",--(LOWER('20_Registro_Diario'!C129)="sí"))</f>
        <v/>
      </c>
      <c r="C129" s="362" t="str">
        <f>IF(A129="","",--(LOWER('20_Registro_Diario'!D129)="sí"))</f>
        <v/>
      </c>
      <c r="D129" s="362" t="str">
        <f>IF(A129="","",--(LOWER('20_Registro_Diario'!E129)="sí"))</f>
        <v/>
      </c>
      <c r="E129" s="362" t="str">
        <f>IF(A129="","",--(LOWER('20_Registro_Diario'!F129)="sí"))</f>
        <v/>
      </c>
      <c r="F129" s="362" t="str">
        <f>IF(A129="","",--(LOWER('20_Registro_Diario'!G129)="sí"))</f>
        <v/>
      </c>
      <c r="G129" s="363" t="str">
        <f>IF(A129="","",IFERROR('20_Registro_Diario'!I129,0))</f>
        <v/>
      </c>
      <c r="H129" s="364" t="str">
        <f t="shared" si="14"/>
        <v/>
      </c>
      <c r="I129" s="365" t="str">
        <f t="shared" si="15"/>
        <v/>
      </c>
      <c r="J129" s="340" t="str">
        <f t="shared" si="16"/>
        <v/>
      </c>
      <c r="K129" s="359" t="str">
        <f t="shared" si="17"/>
        <v/>
      </c>
      <c r="L129" s="359" t="str">
        <f t="shared" si="18"/>
        <v/>
      </c>
      <c r="M129" s="359" t="str">
        <f t="shared" si="19"/>
        <v/>
      </c>
      <c r="N129" s="149" t="str">
        <f t="shared" si="20"/>
        <v/>
      </c>
    </row>
    <row r="130" spans="1:14" ht="1.9" customHeight="1">
      <c r="A130" s="416" t="str">
        <f>IF(OR('20_Registro_Diario'!A130="",'20_Registro_Diario'!A130=0),"",'20_Registro_Diario'!A130)</f>
        <v/>
      </c>
      <c r="B130" s="362" t="str">
        <f>IF(A130="","",--(LOWER('20_Registro_Diario'!C130)="sí"))</f>
        <v/>
      </c>
      <c r="C130" s="362" t="str">
        <f>IF(A130="","",--(LOWER('20_Registro_Diario'!D130)="sí"))</f>
        <v/>
      </c>
      <c r="D130" s="362" t="str">
        <f>IF(A130="","",--(LOWER('20_Registro_Diario'!E130)="sí"))</f>
        <v/>
      </c>
      <c r="E130" s="362" t="str">
        <f>IF(A130="","",--(LOWER('20_Registro_Diario'!F130)="sí"))</f>
        <v/>
      </c>
      <c r="F130" s="362" t="str">
        <f>IF(A130="","",--(LOWER('20_Registro_Diario'!G130)="sí"))</f>
        <v/>
      </c>
      <c r="G130" s="363" t="str">
        <f>IF(A130="","",IFERROR('20_Registro_Diario'!I130,0))</f>
        <v/>
      </c>
      <c r="H130" s="364" t="str">
        <f t="shared" si="14"/>
        <v/>
      </c>
      <c r="I130" s="365" t="str">
        <f t="shared" si="15"/>
        <v/>
      </c>
      <c r="J130" s="340" t="str">
        <f t="shared" si="16"/>
        <v/>
      </c>
      <c r="K130" s="359" t="str">
        <f t="shared" si="17"/>
        <v/>
      </c>
      <c r="L130" s="359" t="str">
        <f t="shared" si="18"/>
        <v/>
      </c>
      <c r="M130" s="359" t="str">
        <f t="shared" si="19"/>
        <v/>
      </c>
      <c r="N130" s="149" t="str">
        <f t="shared" si="20"/>
        <v/>
      </c>
    </row>
    <row r="131" spans="1:14" ht="1.9" customHeight="1">
      <c r="A131" s="416" t="str">
        <f>IF(OR('20_Registro_Diario'!A131="",'20_Registro_Diario'!A131=0),"",'20_Registro_Diario'!A131)</f>
        <v/>
      </c>
      <c r="B131" s="362" t="str">
        <f>IF(A131="","",--(LOWER('20_Registro_Diario'!C131)="sí"))</f>
        <v/>
      </c>
      <c r="C131" s="362" t="str">
        <f>IF(A131="","",--(LOWER('20_Registro_Diario'!D131)="sí"))</f>
        <v/>
      </c>
      <c r="D131" s="362" t="str">
        <f>IF(A131="","",--(LOWER('20_Registro_Diario'!E131)="sí"))</f>
        <v/>
      </c>
      <c r="E131" s="362" t="str">
        <f>IF(A131="","",--(LOWER('20_Registro_Diario'!F131)="sí"))</f>
        <v/>
      </c>
      <c r="F131" s="362" t="str">
        <f>IF(A131="","",--(LOWER('20_Registro_Diario'!G131)="sí"))</f>
        <v/>
      </c>
      <c r="G131" s="363" t="str">
        <f>IF(A131="","",IFERROR('20_Registro_Diario'!I131,0))</f>
        <v/>
      </c>
      <c r="H131" s="364" t="str">
        <f t="shared" si="14"/>
        <v/>
      </c>
      <c r="I131" s="365" t="str">
        <f t="shared" si="15"/>
        <v/>
      </c>
      <c r="J131" s="340" t="str">
        <f t="shared" si="16"/>
        <v/>
      </c>
      <c r="K131" s="359" t="str">
        <f t="shared" si="17"/>
        <v/>
      </c>
      <c r="L131" s="359" t="str">
        <f t="shared" si="18"/>
        <v/>
      </c>
      <c r="M131" s="359" t="str">
        <f t="shared" si="19"/>
        <v/>
      </c>
      <c r="N131" s="149" t="str">
        <f t="shared" si="20"/>
        <v/>
      </c>
    </row>
    <row r="132" spans="1:14" ht="1.9" customHeight="1">
      <c r="A132" s="416" t="str">
        <f>IF(OR('20_Registro_Diario'!A132="",'20_Registro_Diario'!A132=0),"",'20_Registro_Diario'!A132)</f>
        <v/>
      </c>
      <c r="B132" s="362" t="str">
        <f>IF(A132="","",--(LOWER('20_Registro_Diario'!C132)="sí"))</f>
        <v/>
      </c>
      <c r="C132" s="362" t="str">
        <f>IF(A132="","",--(LOWER('20_Registro_Diario'!D132)="sí"))</f>
        <v/>
      </c>
      <c r="D132" s="362" t="str">
        <f>IF(A132="","",--(LOWER('20_Registro_Diario'!E132)="sí"))</f>
        <v/>
      </c>
      <c r="E132" s="362" t="str">
        <f>IF(A132="","",--(LOWER('20_Registro_Diario'!F132)="sí"))</f>
        <v/>
      </c>
      <c r="F132" s="362" t="str">
        <f>IF(A132="","",--(LOWER('20_Registro_Diario'!G132)="sí"))</f>
        <v/>
      </c>
      <c r="G132" s="363" t="str">
        <f>IF(A132="","",IFERROR('20_Registro_Diario'!I132,0))</f>
        <v/>
      </c>
      <c r="H132" s="364" t="str">
        <f t="shared" si="14"/>
        <v/>
      </c>
      <c r="I132" s="365" t="str">
        <f t="shared" si="15"/>
        <v/>
      </c>
      <c r="J132" s="340" t="str">
        <f t="shared" si="16"/>
        <v/>
      </c>
      <c r="K132" s="359" t="str">
        <f t="shared" si="17"/>
        <v/>
      </c>
      <c r="L132" s="359" t="str">
        <f t="shared" si="18"/>
        <v/>
      </c>
      <c r="M132" s="359" t="str">
        <f t="shared" si="19"/>
        <v/>
      </c>
      <c r="N132" s="149" t="str">
        <f t="shared" si="20"/>
        <v/>
      </c>
    </row>
    <row r="133" spans="1:14" ht="1.9" customHeight="1">
      <c r="A133" s="416" t="str">
        <f>IF(OR('20_Registro_Diario'!A133="",'20_Registro_Diario'!A133=0),"",'20_Registro_Diario'!A133)</f>
        <v/>
      </c>
      <c r="B133" s="362" t="str">
        <f>IF(A133="","",--(LOWER('20_Registro_Diario'!C133)="sí"))</f>
        <v/>
      </c>
      <c r="C133" s="362" t="str">
        <f>IF(A133="","",--(LOWER('20_Registro_Diario'!D133)="sí"))</f>
        <v/>
      </c>
      <c r="D133" s="362" t="str">
        <f>IF(A133="","",--(LOWER('20_Registro_Diario'!E133)="sí"))</f>
        <v/>
      </c>
      <c r="E133" s="362" t="str">
        <f>IF(A133="","",--(LOWER('20_Registro_Diario'!F133)="sí"))</f>
        <v/>
      </c>
      <c r="F133" s="362" t="str">
        <f>IF(A133="","",--(LOWER('20_Registro_Diario'!G133)="sí"))</f>
        <v/>
      </c>
      <c r="G133" s="363" t="str">
        <f>IF(A133="","",IFERROR('20_Registro_Diario'!I133,0))</f>
        <v/>
      </c>
      <c r="H133" s="364" t="str">
        <f t="shared" ref="H133:H196" si="21">IF(A133="","",IFERROR(SUM(B133:F133)/5,0))</f>
        <v/>
      </c>
      <c r="I133" s="365" t="str">
        <f t="shared" ref="I133:I196" si="22">IF(A133="","",IF(H133&gt;=0.8,"🟢 Fuerte",IF(H133&gt;=0.5,"🟡 En proceso","🔴 Riesgo")))</f>
        <v/>
      </c>
      <c r="J133" s="340" t="str">
        <f t="shared" ref="J133:J196" si="23">IF(A133="","",IF(B133=1,"Sí","No"))</f>
        <v/>
      </c>
      <c r="K133" s="359" t="str">
        <f t="shared" ref="K133:K196" si="24">IF(A133="","",IF(D133=1,"Con universidad","Sin universidad"))</f>
        <v/>
      </c>
      <c r="L133" s="359" t="str">
        <f t="shared" ref="L133:L196" si="25">IF(A133="","",IF(H133&gt;=0.8,"Alto",IF(H133&gt;=0.5,"Medio","Bajo")))</f>
        <v/>
      </c>
      <c r="M133" s="359" t="str">
        <f t="shared" ref="M133:M196" si="26">IF(A133="","",IF(H133&gt;=0.8,"🟢 Fuerte",IF(H133&gt;=0.5,"🟡 Día útil","🔴 Revisar")))</f>
        <v/>
      </c>
      <c r="N133" s="149" t="str">
        <f t="shared" ref="N133:N196" si="27">IF(A133="","",H133*100)</f>
        <v/>
      </c>
    </row>
    <row r="134" spans="1:14" ht="1.9" customHeight="1">
      <c r="A134" s="416" t="str">
        <f>IF(OR('20_Registro_Diario'!A134="",'20_Registro_Diario'!A134=0),"",'20_Registro_Diario'!A134)</f>
        <v/>
      </c>
      <c r="B134" s="362" t="str">
        <f>IF(A134="","",--(LOWER('20_Registro_Diario'!C134)="sí"))</f>
        <v/>
      </c>
      <c r="C134" s="362" t="str">
        <f>IF(A134="","",--(LOWER('20_Registro_Diario'!D134)="sí"))</f>
        <v/>
      </c>
      <c r="D134" s="362" t="str">
        <f>IF(A134="","",--(LOWER('20_Registro_Diario'!E134)="sí"))</f>
        <v/>
      </c>
      <c r="E134" s="362" t="str">
        <f>IF(A134="","",--(LOWER('20_Registro_Diario'!F134)="sí"))</f>
        <v/>
      </c>
      <c r="F134" s="362" t="str">
        <f>IF(A134="","",--(LOWER('20_Registro_Diario'!G134)="sí"))</f>
        <v/>
      </c>
      <c r="G134" s="363" t="str">
        <f>IF(A134="","",IFERROR('20_Registro_Diario'!I134,0))</f>
        <v/>
      </c>
      <c r="H134" s="364" t="str">
        <f t="shared" si="21"/>
        <v/>
      </c>
      <c r="I134" s="365" t="str">
        <f t="shared" si="22"/>
        <v/>
      </c>
      <c r="J134" s="340" t="str">
        <f t="shared" si="23"/>
        <v/>
      </c>
      <c r="K134" s="359" t="str">
        <f t="shared" si="24"/>
        <v/>
      </c>
      <c r="L134" s="359" t="str">
        <f t="shared" si="25"/>
        <v/>
      </c>
      <c r="M134" s="359" t="str">
        <f t="shared" si="26"/>
        <v/>
      </c>
      <c r="N134" s="149" t="str">
        <f t="shared" si="27"/>
        <v/>
      </c>
    </row>
    <row r="135" spans="1:14" ht="1.9" customHeight="1">
      <c r="A135" s="416" t="str">
        <f>IF(OR('20_Registro_Diario'!A135="",'20_Registro_Diario'!A135=0),"",'20_Registro_Diario'!A135)</f>
        <v/>
      </c>
      <c r="B135" s="362" t="str">
        <f>IF(A135="","",--(LOWER('20_Registro_Diario'!C135)="sí"))</f>
        <v/>
      </c>
      <c r="C135" s="362" t="str">
        <f>IF(A135="","",--(LOWER('20_Registro_Diario'!D135)="sí"))</f>
        <v/>
      </c>
      <c r="D135" s="362" t="str">
        <f>IF(A135="","",--(LOWER('20_Registro_Diario'!E135)="sí"))</f>
        <v/>
      </c>
      <c r="E135" s="362" t="str">
        <f>IF(A135="","",--(LOWER('20_Registro_Diario'!F135)="sí"))</f>
        <v/>
      </c>
      <c r="F135" s="362" t="str">
        <f>IF(A135="","",--(LOWER('20_Registro_Diario'!G135)="sí"))</f>
        <v/>
      </c>
      <c r="G135" s="363" t="str">
        <f>IF(A135="","",IFERROR('20_Registro_Diario'!I135,0))</f>
        <v/>
      </c>
      <c r="H135" s="364" t="str">
        <f t="shared" si="21"/>
        <v/>
      </c>
      <c r="I135" s="365" t="str">
        <f t="shared" si="22"/>
        <v/>
      </c>
      <c r="J135" s="340" t="str">
        <f t="shared" si="23"/>
        <v/>
      </c>
      <c r="K135" s="359" t="str">
        <f t="shared" si="24"/>
        <v/>
      </c>
      <c r="L135" s="359" t="str">
        <f t="shared" si="25"/>
        <v/>
      </c>
      <c r="M135" s="359" t="str">
        <f t="shared" si="26"/>
        <v/>
      </c>
      <c r="N135" s="149" t="str">
        <f t="shared" si="27"/>
        <v/>
      </c>
    </row>
    <row r="136" spans="1:14" ht="1.9" customHeight="1">
      <c r="A136" s="416" t="str">
        <f>IF(OR('20_Registro_Diario'!A136="",'20_Registro_Diario'!A136=0),"",'20_Registro_Diario'!A136)</f>
        <v/>
      </c>
      <c r="B136" s="362" t="str">
        <f>IF(A136="","",--(LOWER('20_Registro_Diario'!C136)="sí"))</f>
        <v/>
      </c>
      <c r="C136" s="362" t="str">
        <f>IF(A136="","",--(LOWER('20_Registro_Diario'!D136)="sí"))</f>
        <v/>
      </c>
      <c r="D136" s="362" t="str">
        <f>IF(A136="","",--(LOWER('20_Registro_Diario'!E136)="sí"))</f>
        <v/>
      </c>
      <c r="E136" s="362" t="str">
        <f>IF(A136="","",--(LOWER('20_Registro_Diario'!F136)="sí"))</f>
        <v/>
      </c>
      <c r="F136" s="362" t="str">
        <f>IF(A136="","",--(LOWER('20_Registro_Diario'!G136)="sí"))</f>
        <v/>
      </c>
      <c r="G136" s="363" t="str">
        <f>IF(A136="","",IFERROR('20_Registro_Diario'!I136,0))</f>
        <v/>
      </c>
      <c r="H136" s="364" t="str">
        <f t="shared" si="21"/>
        <v/>
      </c>
      <c r="I136" s="365" t="str">
        <f t="shared" si="22"/>
        <v/>
      </c>
      <c r="J136" s="340" t="str">
        <f t="shared" si="23"/>
        <v/>
      </c>
      <c r="K136" s="359" t="str">
        <f t="shared" si="24"/>
        <v/>
      </c>
      <c r="L136" s="359" t="str">
        <f t="shared" si="25"/>
        <v/>
      </c>
      <c r="M136" s="359" t="str">
        <f t="shared" si="26"/>
        <v/>
      </c>
      <c r="N136" s="149" t="str">
        <f t="shared" si="27"/>
        <v/>
      </c>
    </row>
    <row r="137" spans="1:14" ht="1.9" customHeight="1">
      <c r="A137" s="416" t="str">
        <f>IF(OR('20_Registro_Diario'!A137="",'20_Registro_Diario'!A137=0),"",'20_Registro_Diario'!A137)</f>
        <v/>
      </c>
      <c r="B137" s="362" t="str">
        <f>IF(A137="","",--(LOWER('20_Registro_Diario'!C137)="sí"))</f>
        <v/>
      </c>
      <c r="C137" s="362" t="str">
        <f>IF(A137="","",--(LOWER('20_Registro_Diario'!D137)="sí"))</f>
        <v/>
      </c>
      <c r="D137" s="362" t="str">
        <f>IF(A137="","",--(LOWER('20_Registro_Diario'!E137)="sí"))</f>
        <v/>
      </c>
      <c r="E137" s="362" t="str">
        <f>IF(A137="","",--(LOWER('20_Registro_Diario'!F137)="sí"))</f>
        <v/>
      </c>
      <c r="F137" s="362" t="str">
        <f>IF(A137="","",--(LOWER('20_Registro_Diario'!G137)="sí"))</f>
        <v/>
      </c>
      <c r="G137" s="363" t="str">
        <f>IF(A137="","",IFERROR('20_Registro_Diario'!I137,0))</f>
        <v/>
      </c>
      <c r="H137" s="364" t="str">
        <f t="shared" si="21"/>
        <v/>
      </c>
      <c r="I137" s="365" t="str">
        <f t="shared" si="22"/>
        <v/>
      </c>
      <c r="J137" s="340" t="str">
        <f t="shared" si="23"/>
        <v/>
      </c>
      <c r="K137" s="359" t="str">
        <f t="shared" si="24"/>
        <v/>
      </c>
      <c r="L137" s="359" t="str">
        <f t="shared" si="25"/>
        <v/>
      </c>
      <c r="M137" s="359" t="str">
        <f t="shared" si="26"/>
        <v/>
      </c>
      <c r="N137" s="149" t="str">
        <f t="shared" si="27"/>
        <v/>
      </c>
    </row>
    <row r="138" spans="1:14" ht="1.9" customHeight="1">
      <c r="A138" s="416" t="str">
        <f>IF(OR('20_Registro_Diario'!A138="",'20_Registro_Diario'!A138=0),"",'20_Registro_Diario'!A138)</f>
        <v/>
      </c>
      <c r="B138" s="362" t="str">
        <f>IF(A138="","",--(LOWER('20_Registro_Diario'!C138)="sí"))</f>
        <v/>
      </c>
      <c r="C138" s="362" t="str">
        <f>IF(A138="","",--(LOWER('20_Registro_Diario'!D138)="sí"))</f>
        <v/>
      </c>
      <c r="D138" s="362" t="str">
        <f>IF(A138="","",--(LOWER('20_Registro_Diario'!E138)="sí"))</f>
        <v/>
      </c>
      <c r="E138" s="362" t="str">
        <f>IF(A138="","",--(LOWER('20_Registro_Diario'!F138)="sí"))</f>
        <v/>
      </c>
      <c r="F138" s="362" t="str">
        <f>IF(A138="","",--(LOWER('20_Registro_Diario'!G138)="sí"))</f>
        <v/>
      </c>
      <c r="G138" s="363" t="str">
        <f>IF(A138="","",IFERROR('20_Registro_Diario'!I138,0))</f>
        <v/>
      </c>
      <c r="H138" s="364" t="str">
        <f t="shared" si="21"/>
        <v/>
      </c>
      <c r="I138" s="365" t="str">
        <f t="shared" si="22"/>
        <v/>
      </c>
      <c r="J138" s="340" t="str">
        <f t="shared" si="23"/>
        <v/>
      </c>
      <c r="K138" s="359" t="str">
        <f t="shared" si="24"/>
        <v/>
      </c>
      <c r="L138" s="359" t="str">
        <f t="shared" si="25"/>
        <v/>
      </c>
      <c r="M138" s="359" t="str">
        <f t="shared" si="26"/>
        <v/>
      </c>
      <c r="N138" s="149" t="str">
        <f t="shared" si="27"/>
        <v/>
      </c>
    </row>
    <row r="139" spans="1:14" ht="1.9" customHeight="1">
      <c r="A139" s="416" t="str">
        <f>IF(OR('20_Registro_Diario'!A139="",'20_Registro_Diario'!A139=0),"",'20_Registro_Diario'!A139)</f>
        <v/>
      </c>
      <c r="B139" s="362" t="str">
        <f>IF(A139="","",--(LOWER('20_Registro_Diario'!C139)="sí"))</f>
        <v/>
      </c>
      <c r="C139" s="362" t="str">
        <f>IF(A139="","",--(LOWER('20_Registro_Diario'!D139)="sí"))</f>
        <v/>
      </c>
      <c r="D139" s="362" t="str">
        <f>IF(A139="","",--(LOWER('20_Registro_Diario'!E139)="sí"))</f>
        <v/>
      </c>
      <c r="E139" s="362" t="str">
        <f>IF(A139="","",--(LOWER('20_Registro_Diario'!F139)="sí"))</f>
        <v/>
      </c>
      <c r="F139" s="362" t="str">
        <f>IF(A139="","",--(LOWER('20_Registro_Diario'!G139)="sí"))</f>
        <v/>
      </c>
      <c r="G139" s="363" t="str">
        <f>IF(A139="","",IFERROR('20_Registro_Diario'!I139,0))</f>
        <v/>
      </c>
      <c r="H139" s="364" t="str">
        <f t="shared" si="21"/>
        <v/>
      </c>
      <c r="I139" s="365" t="str">
        <f t="shared" si="22"/>
        <v/>
      </c>
      <c r="J139" s="340" t="str">
        <f t="shared" si="23"/>
        <v/>
      </c>
      <c r="K139" s="359" t="str">
        <f t="shared" si="24"/>
        <v/>
      </c>
      <c r="L139" s="359" t="str">
        <f t="shared" si="25"/>
        <v/>
      </c>
      <c r="M139" s="359" t="str">
        <f t="shared" si="26"/>
        <v/>
      </c>
      <c r="N139" s="149" t="str">
        <f t="shared" si="27"/>
        <v/>
      </c>
    </row>
    <row r="140" spans="1:14" ht="1.9" customHeight="1">
      <c r="A140" s="416" t="str">
        <f>IF(OR('20_Registro_Diario'!A140="",'20_Registro_Diario'!A140=0),"",'20_Registro_Diario'!A140)</f>
        <v/>
      </c>
      <c r="B140" s="362" t="str">
        <f>IF(A140="","",--(LOWER('20_Registro_Diario'!C140)="sí"))</f>
        <v/>
      </c>
      <c r="C140" s="362" t="str">
        <f>IF(A140="","",--(LOWER('20_Registro_Diario'!D140)="sí"))</f>
        <v/>
      </c>
      <c r="D140" s="362" t="str">
        <f>IF(A140="","",--(LOWER('20_Registro_Diario'!E140)="sí"))</f>
        <v/>
      </c>
      <c r="E140" s="362" t="str">
        <f>IF(A140="","",--(LOWER('20_Registro_Diario'!F140)="sí"))</f>
        <v/>
      </c>
      <c r="F140" s="362" t="str">
        <f>IF(A140="","",--(LOWER('20_Registro_Diario'!G140)="sí"))</f>
        <v/>
      </c>
      <c r="G140" s="363" t="str">
        <f>IF(A140="","",IFERROR('20_Registro_Diario'!I140,0))</f>
        <v/>
      </c>
      <c r="H140" s="364" t="str">
        <f t="shared" si="21"/>
        <v/>
      </c>
      <c r="I140" s="365" t="str">
        <f t="shared" si="22"/>
        <v/>
      </c>
      <c r="J140" s="340" t="str">
        <f t="shared" si="23"/>
        <v/>
      </c>
      <c r="K140" s="359" t="str">
        <f t="shared" si="24"/>
        <v/>
      </c>
      <c r="L140" s="359" t="str">
        <f t="shared" si="25"/>
        <v/>
      </c>
      <c r="M140" s="359" t="str">
        <f t="shared" si="26"/>
        <v/>
      </c>
      <c r="N140" s="149" t="str">
        <f t="shared" si="27"/>
        <v/>
      </c>
    </row>
    <row r="141" spans="1:14" ht="1.9" customHeight="1">
      <c r="A141" s="416" t="str">
        <f>IF(OR('20_Registro_Diario'!A141="",'20_Registro_Diario'!A141=0),"",'20_Registro_Diario'!A141)</f>
        <v/>
      </c>
      <c r="B141" s="362" t="str">
        <f>IF(A141="","",--(LOWER('20_Registro_Diario'!C141)="sí"))</f>
        <v/>
      </c>
      <c r="C141" s="362" t="str">
        <f>IF(A141="","",--(LOWER('20_Registro_Diario'!D141)="sí"))</f>
        <v/>
      </c>
      <c r="D141" s="362" t="str">
        <f>IF(A141="","",--(LOWER('20_Registro_Diario'!E141)="sí"))</f>
        <v/>
      </c>
      <c r="E141" s="362" t="str">
        <f>IF(A141="","",--(LOWER('20_Registro_Diario'!F141)="sí"))</f>
        <v/>
      </c>
      <c r="F141" s="362" t="str">
        <f>IF(A141="","",--(LOWER('20_Registro_Diario'!G141)="sí"))</f>
        <v/>
      </c>
      <c r="G141" s="363" t="str">
        <f>IF(A141="","",IFERROR('20_Registro_Diario'!I141,0))</f>
        <v/>
      </c>
      <c r="H141" s="364" t="str">
        <f t="shared" si="21"/>
        <v/>
      </c>
      <c r="I141" s="365" t="str">
        <f t="shared" si="22"/>
        <v/>
      </c>
      <c r="J141" s="340" t="str">
        <f t="shared" si="23"/>
        <v/>
      </c>
      <c r="K141" s="359" t="str">
        <f t="shared" si="24"/>
        <v/>
      </c>
      <c r="L141" s="359" t="str">
        <f t="shared" si="25"/>
        <v/>
      </c>
      <c r="M141" s="359" t="str">
        <f t="shared" si="26"/>
        <v/>
      </c>
      <c r="N141" s="149" t="str">
        <f t="shared" si="27"/>
        <v/>
      </c>
    </row>
    <row r="142" spans="1:14" ht="1.9" customHeight="1">
      <c r="A142" s="416" t="str">
        <f>IF(OR('20_Registro_Diario'!A142="",'20_Registro_Diario'!A142=0),"",'20_Registro_Diario'!A142)</f>
        <v/>
      </c>
      <c r="B142" s="362" t="str">
        <f>IF(A142="","",--(LOWER('20_Registro_Diario'!C142)="sí"))</f>
        <v/>
      </c>
      <c r="C142" s="362" t="str">
        <f>IF(A142="","",--(LOWER('20_Registro_Diario'!D142)="sí"))</f>
        <v/>
      </c>
      <c r="D142" s="362" t="str">
        <f>IF(A142="","",--(LOWER('20_Registro_Diario'!E142)="sí"))</f>
        <v/>
      </c>
      <c r="E142" s="362" t="str">
        <f>IF(A142="","",--(LOWER('20_Registro_Diario'!F142)="sí"))</f>
        <v/>
      </c>
      <c r="F142" s="362" t="str">
        <f>IF(A142="","",--(LOWER('20_Registro_Diario'!G142)="sí"))</f>
        <v/>
      </c>
      <c r="G142" s="363" t="str">
        <f>IF(A142="","",IFERROR('20_Registro_Diario'!I142,0))</f>
        <v/>
      </c>
      <c r="H142" s="364" t="str">
        <f t="shared" si="21"/>
        <v/>
      </c>
      <c r="I142" s="365" t="str">
        <f t="shared" si="22"/>
        <v/>
      </c>
      <c r="J142" s="340" t="str">
        <f t="shared" si="23"/>
        <v/>
      </c>
      <c r="K142" s="359" t="str">
        <f t="shared" si="24"/>
        <v/>
      </c>
      <c r="L142" s="359" t="str">
        <f t="shared" si="25"/>
        <v/>
      </c>
      <c r="M142" s="359" t="str">
        <f t="shared" si="26"/>
        <v/>
      </c>
      <c r="N142" s="149" t="str">
        <f t="shared" si="27"/>
        <v/>
      </c>
    </row>
    <row r="143" spans="1:14" ht="1.9" customHeight="1">
      <c r="A143" s="416" t="str">
        <f>IF(OR('20_Registro_Diario'!A143="",'20_Registro_Diario'!A143=0),"",'20_Registro_Diario'!A143)</f>
        <v/>
      </c>
      <c r="B143" s="362" t="str">
        <f>IF(A143="","",--(LOWER('20_Registro_Diario'!C143)="sí"))</f>
        <v/>
      </c>
      <c r="C143" s="362" t="str">
        <f>IF(A143="","",--(LOWER('20_Registro_Diario'!D143)="sí"))</f>
        <v/>
      </c>
      <c r="D143" s="362" t="str">
        <f>IF(A143="","",--(LOWER('20_Registro_Diario'!E143)="sí"))</f>
        <v/>
      </c>
      <c r="E143" s="362" t="str">
        <f>IF(A143="","",--(LOWER('20_Registro_Diario'!F143)="sí"))</f>
        <v/>
      </c>
      <c r="F143" s="362" t="str">
        <f>IF(A143="","",--(LOWER('20_Registro_Diario'!G143)="sí"))</f>
        <v/>
      </c>
      <c r="G143" s="363" t="str">
        <f>IF(A143="","",IFERROR('20_Registro_Diario'!I143,0))</f>
        <v/>
      </c>
      <c r="H143" s="364" t="str">
        <f t="shared" si="21"/>
        <v/>
      </c>
      <c r="I143" s="365" t="str">
        <f t="shared" si="22"/>
        <v/>
      </c>
      <c r="J143" s="340" t="str">
        <f t="shared" si="23"/>
        <v/>
      </c>
      <c r="K143" s="359" t="str">
        <f t="shared" si="24"/>
        <v/>
      </c>
      <c r="L143" s="359" t="str">
        <f t="shared" si="25"/>
        <v/>
      </c>
      <c r="M143" s="359" t="str">
        <f t="shared" si="26"/>
        <v/>
      </c>
      <c r="N143" s="149" t="str">
        <f t="shared" si="27"/>
        <v/>
      </c>
    </row>
    <row r="144" spans="1:14" ht="1.9" customHeight="1">
      <c r="A144" s="416" t="str">
        <f>IF(OR('20_Registro_Diario'!A144="",'20_Registro_Diario'!A144=0),"",'20_Registro_Diario'!A144)</f>
        <v/>
      </c>
      <c r="B144" s="362" t="str">
        <f>IF(A144="","",--(LOWER('20_Registro_Diario'!C144)="sí"))</f>
        <v/>
      </c>
      <c r="C144" s="362" t="str">
        <f>IF(A144="","",--(LOWER('20_Registro_Diario'!D144)="sí"))</f>
        <v/>
      </c>
      <c r="D144" s="362" t="str">
        <f>IF(A144="","",--(LOWER('20_Registro_Diario'!E144)="sí"))</f>
        <v/>
      </c>
      <c r="E144" s="362" t="str">
        <f>IF(A144="","",--(LOWER('20_Registro_Diario'!F144)="sí"))</f>
        <v/>
      </c>
      <c r="F144" s="362" t="str">
        <f>IF(A144="","",--(LOWER('20_Registro_Diario'!G144)="sí"))</f>
        <v/>
      </c>
      <c r="G144" s="363" t="str">
        <f>IF(A144="","",IFERROR('20_Registro_Diario'!I144,0))</f>
        <v/>
      </c>
      <c r="H144" s="364" t="str">
        <f t="shared" si="21"/>
        <v/>
      </c>
      <c r="I144" s="365" t="str">
        <f t="shared" si="22"/>
        <v/>
      </c>
      <c r="J144" s="340" t="str">
        <f t="shared" si="23"/>
        <v/>
      </c>
      <c r="K144" s="359" t="str">
        <f t="shared" si="24"/>
        <v/>
      </c>
      <c r="L144" s="359" t="str">
        <f t="shared" si="25"/>
        <v/>
      </c>
      <c r="M144" s="359" t="str">
        <f t="shared" si="26"/>
        <v/>
      </c>
      <c r="N144" s="149" t="str">
        <f t="shared" si="27"/>
        <v/>
      </c>
    </row>
    <row r="145" spans="1:14" ht="1.9" customHeight="1">
      <c r="A145" s="416" t="str">
        <f>IF(OR('20_Registro_Diario'!A145="",'20_Registro_Diario'!A145=0),"",'20_Registro_Diario'!A145)</f>
        <v/>
      </c>
      <c r="B145" s="362" t="str">
        <f>IF(A145="","",--(LOWER('20_Registro_Diario'!C145)="sí"))</f>
        <v/>
      </c>
      <c r="C145" s="362" t="str">
        <f>IF(A145="","",--(LOWER('20_Registro_Diario'!D145)="sí"))</f>
        <v/>
      </c>
      <c r="D145" s="362" t="str">
        <f>IF(A145="","",--(LOWER('20_Registro_Diario'!E145)="sí"))</f>
        <v/>
      </c>
      <c r="E145" s="362" t="str">
        <f>IF(A145="","",--(LOWER('20_Registro_Diario'!F145)="sí"))</f>
        <v/>
      </c>
      <c r="F145" s="362" t="str">
        <f>IF(A145="","",--(LOWER('20_Registro_Diario'!G145)="sí"))</f>
        <v/>
      </c>
      <c r="G145" s="363" t="str">
        <f>IF(A145="","",IFERROR('20_Registro_Diario'!I145,0))</f>
        <v/>
      </c>
      <c r="H145" s="364" t="str">
        <f t="shared" si="21"/>
        <v/>
      </c>
      <c r="I145" s="365" t="str">
        <f t="shared" si="22"/>
        <v/>
      </c>
      <c r="J145" s="340" t="str">
        <f t="shared" si="23"/>
        <v/>
      </c>
      <c r="K145" s="359" t="str">
        <f t="shared" si="24"/>
        <v/>
      </c>
      <c r="L145" s="359" t="str">
        <f t="shared" si="25"/>
        <v/>
      </c>
      <c r="M145" s="359" t="str">
        <f t="shared" si="26"/>
        <v/>
      </c>
      <c r="N145" s="149" t="str">
        <f t="shared" si="27"/>
        <v/>
      </c>
    </row>
    <row r="146" spans="1:14" ht="1.9" customHeight="1">
      <c r="A146" s="416" t="str">
        <f>IF(OR('20_Registro_Diario'!A146="",'20_Registro_Diario'!A146=0),"",'20_Registro_Diario'!A146)</f>
        <v/>
      </c>
      <c r="B146" s="362" t="str">
        <f>IF(A146="","",--(LOWER('20_Registro_Diario'!C146)="sí"))</f>
        <v/>
      </c>
      <c r="C146" s="362" t="str">
        <f>IF(A146="","",--(LOWER('20_Registro_Diario'!D146)="sí"))</f>
        <v/>
      </c>
      <c r="D146" s="362" t="str">
        <f>IF(A146="","",--(LOWER('20_Registro_Diario'!E146)="sí"))</f>
        <v/>
      </c>
      <c r="E146" s="362" t="str">
        <f>IF(A146="","",--(LOWER('20_Registro_Diario'!F146)="sí"))</f>
        <v/>
      </c>
      <c r="F146" s="362" t="str">
        <f>IF(A146="","",--(LOWER('20_Registro_Diario'!G146)="sí"))</f>
        <v/>
      </c>
      <c r="G146" s="363" t="str">
        <f>IF(A146="","",IFERROR('20_Registro_Diario'!I146,0))</f>
        <v/>
      </c>
      <c r="H146" s="364" t="str">
        <f t="shared" si="21"/>
        <v/>
      </c>
      <c r="I146" s="365" t="str">
        <f t="shared" si="22"/>
        <v/>
      </c>
      <c r="J146" s="340" t="str">
        <f t="shared" si="23"/>
        <v/>
      </c>
      <c r="K146" s="359" t="str">
        <f t="shared" si="24"/>
        <v/>
      </c>
      <c r="L146" s="359" t="str">
        <f t="shared" si="25"/>
        <v/>
      </c>
      <c r="M146" s="359" t="str">
        <f t="shared" si="26"/>
        <v/>
      </c>
      <c r="N146" s="149" t="str">
        <f t="shared" si="27"/>
        <v/>
      </c>
    </row>
    <row r="147" spans="1:14" ht="1.9" customHeight="1">
      <c r="A147" s="416" t="str">
        <f>IF(OR('20_Registro_Diario'!A147="",'20_Registro_Diario'!A147=0),"",'20_Registro_Diario'!A147)</f>
        <v/>
      </c>
      <c r="B147" s="362" t="str">
        <f>IF(A147="","",--(LOWER('20_Registro_Diario'!C147)="sí"))</f>
        <v/>
      </c>
      <c r="C147" s="362" t="str">
        <f>IF(A147="","",--(LOWER('20_Registro_Diario'!D147)="sí"))</f>
        <v/>
      </c>
      <c r="D147" s="362" t="str">
        <f>IF(A147="","",--(LOWER('20_Registro_Diario'!E147)="sí"))</f>
        <v/>
      </c>
      <c r="E147" s="362" t="str">
        <f>IF(A147="","",--(LOWER('20_Registro_Diario'!F147)="sí"))</f>
        <v/>
      </c>
      <c r="F147" s="362" t="str">
        <f>IF(A147="","",--(LOWER('20_Registro_Diario'!G147)="sí"))</f>
        <v/>
      </c>
      <c r="G147" s="363" t="str">
        <f>IF(A147="","",IFERROR('20_Registro_Diario'!I147,0))</f>
        <v/>
      </c>
      <c r="H147" s="364" t="str">
        <f t="shared" si="21"/>
        <v/>
      </c>
      <c r="I147" s="365" t="str">
        <f t="shared" si="22"/>
        <v/>
      </c>
      <c r="J147" s="340" t="str">
        <f t="shared" si="23"/>
        <v/>
      </c>
      <c r="K147" s="359" t="str">
        <f t="shared" si="24"/>
        <v/>
      </c>
      <c r="L147" s="359" t="str">
        <f t="shared" si="25"/>
        <v/>
      </c>
      <c r="M147" s="359" t="str">
        <f t="shared" si="26"/>
        <v/>
      </c>
      <c r="N147" s="149" t="str">
        <f t="shared" si="27"/>
        <v/>
      </c>
    </row>
    <row r="148" spans="1:14" ht="1.9" customHeight="1">
      <c r="A148" s="416" t="str">
        <f>IF(OR('20_Registro_Diario'!A148="",'20_Registro_Diario'!A148=0),"",'20_Registro_Diario'!A148)</f>
        <v/>
      </c>
      <c r="B148" s="362" t="str">
        <f>IF(A148="","",--(LOWER('20_Registro_Diario'!C148)="sí"))</f>
        <v/>
      </c>
      <c r="C148" s="362" t="str">
        <f>IF(A148="","",--(LOWER('20_Registro_Diario'!D148)="sí"))</f>
        <v/>
      </c>
      <c r="D148" s="362" t="str">
        <f>IF(A148="","",--(LOWER('20_Registro_Diario'!E148)="sí"))</f>
        <v/>
      </c>
      <c r="E148" s="362" t="str">
        <f>IF(A148="","",--(LOWER('20_Registro_Diario'!F148)="sí"))</f>
        <v/>
      </c>
      <c r="F148" s="362" t="str">
        <f>IF(A148="","",--(LOWER('20_Registro_Diario'!G148)="sí"))</f>
        <v/>
      </c>
      <c r="G148" s="363" t="str">
        <f>IF(A148="","",IFERROR('20_Registro_Diario'!I148,0))</f>
        <v/>
      </c>
      <c r="H148" s="364" t="str">
        <f t="shared" si="21"/>
        <v/>
      </c>
      <c r="I148" s="365" t="str">
        <f t="shared" si="22"/>
        <v/>
      </c>
      <c r="J148" s="340" t="str">
        <f t="shared" si="23"/>
        <v/>
      </c>
      <c r="K148" s="359" t="str">
        <f t="shared" si="24"/>
        <v/>
      </c>
      <c r="L148" s="359" t="str">
        <f t="shared" si="25"/>
        <v/>
      </c>
      <c r="M148" s="359" t="str">
        <f t="shared" si="26"/>
        <v/>
      </c>
      <c r="N148" s="149" t="str">
        <f t="shared" si="27"/>
        <v/>
      </c>
    </row>
    <row r="149" spans="1:14" ht="1.9" customHeight="1">
      <c r="A149" s="416" t="str">
        <f>IF(OR('20_Registro_Diario'!A149="",'20_Registro_Diario'!A149=0),"",'20_Registro_Diario'!A149)</f>
        <v/>
      </c>
      <c r="B149" s="362" t="str">
        <f>IF(A149="","",--(LOWER('20_Registro_Diario'!C149)="sí"))</f>
        <v/>
      </c>
      <c r="C149" s="362" t="str">
        <f>IF(A149="","",--(LOWER('20_Registro_Diario'!D149)="sí"))</f>
        <v/>
      </c>
      <c r="D149" s="362" t="str">
        <f>IF(A149="","",--(LOWER('20_Registro_Diario'!E149)="sí"))</f>
        <v/>
      </c>
      <c r="E149" s="362" t="str">
        <f>IF(A149="","",--(LOWER('20_Registro_Diario'!F149)="sí"))</f>
        <v/>
      </c>
      <c r="F149" s="362" t="str">
        <f>IF(A149="","",--(LOWER('20_Registro_Diario'!G149)="sí"))</f>
        <v/>
      </c>
      <c r="G149" s="363" t="str">
        <f>IF(A149="","",IFERROR('20_Registro_Diario'!I149,0))</f>
        <v/>
      </c>
      <c r="H149" s="364" t="str">
        <f t="shared" si="21"/>
        <v/>
      </c>
      <c r="I149" s="365" t="str">
        <f t="shared" si="22"/>
        <v/>
      </c>
      <c r="J149" s="340" t="str">
        <f t="shared" si="23"/>
        <v/>
      </c>
      <c r="K149" s="359" t="str">
        <f t="shared" si="24"/>
        <v/>
      </c>
      <c r="L149" s="359" t="str">
        <f t="shared" si="25"/>
        <v/>
      </c>
      <c r="M149" s="359" t="str">
        <f t="shared" si="26"/>
        <v/>
      </c>
      <c r="N149" s="149" t="str">
        <f t="shared" si="27"/>
        <v/>
      </c>
    </row>
    <row r="150" spans="1:14" ht="1.9" customHeight="1">
      <c r="A150" s="416" t="str">
        <f>IF(OR('20_Registro_Diario'!A150="",'20_Registro_Diario'!A150=0),"",'20_Registro_Diario'!A150)</f>
        <v/>
      </c>
      <c r="B150" s="362" t="str">
        <f>IF(A150="","",--(LOWER('20_Registro_Diario'!C150)="sí"))</f>
        <v/>
      </c>
      <c r="C150" s="362" t="str">
        <f>IF(A150="","",--(LOWER('20_Registro_Diario'!D150)="sí"))</f>
        <v/>
      </c>
      <c r="D150" s="362" t="str">
        <f>IF(A150="","",--(LOWER('20_Registro_Diario'!E150)="sí"))</f>
        <v/>
      </c>
      <c r="E150" s="362" t="str">
        <f>IF(A150="","",--(LOWER('20_Registro_Diario'!F150)="sí"))</f>
        <v/>
      </c>
      <c r="F150" s="362" t="str">
        <f>IF(A150="","",--(LOWER('20_Registro_Diario'!G150)="sí"))</f>
        <v/>
      </c>
      <c r="G150" s="363" t="str">
        <f>IF(A150="","",IFERROR('20_Registro_Diario'!I150,0))</f>
        <v/>
      </c>
      <c r="H150" s="364" t="str">
        <f t="shared" si="21"/>
        <v/>
      </c>
      <c r="I150" s="365" t="str">
        <f t="shared" si="22"/>
        <v/>
      </c>
      <c r="J150" s="340" t="str">
        <f t="shared" si="23"/>
        <v/>
      </c>
      <c r="K150" s="359" t="str">
        <f t="shared" si="24"/>
        <v/>
      </c>
      <c r="L150" s="359" t="str">
        <f t="shared" si="25"/>
        <v/>
      </c>
      <c r="M150" s="359" t="str">
        <f t="shared" si="26"/>
        <v/>
      </c>
      <c r="N150" s="149" t="str">
        <f t="shared" si="27"/>
        <v/>
      </c>
    </row>
    <row r="151" spans="1:14" ht="1.9" customHeight="1">
      <c r="A151" s="416" t="str">
        <f>IF(OR('20_Registro_Diario'!A151="",'20_Registro_Diario'!A151=0),"",'20_Registro_Diario'!A151)</f>
        <v/>
      </c>
      <c r="B151" s="362" t="str">
        <f>IF(A151="","",--(LOWER('20_Registro_Diario'!C151)="sí"))</f>
        <v/>
      </c>
      <c r="C151" s="362" t="str">
        <f>IF(A151="","",--(LOWER('20_Registro_Diario'!D151)="sí"))</f>
        <v/>
      </c>
      <c r="D151" s="362" t="str">
        <f>IF(A151="","",--(LOWER('20_Registro_Diario'!E151)="sí"))</f>
        <v/>
      </c>
      <c r="E151" s="362" t="str">
        <f>IF(A151="","",--(LOWER('20_Registro_Diario'!F151)="sí"))</f>
        <v/>
      </c>
      <c r="F151" s="362" t="str">
        <f>IF(A151="","",--(LOWER('20_Registro_Diario'!G151)="sí"))</f>
        <v/>
      </c>
      <c r="G151" s="363" t="str">
        <f>IF(A151="","",IFERROR('20_Registro_Diario'!I151,0))</f>
        <v/>
      </c>
      <c r="H151" s="364" t="str">
        <f t="shared" si="21"/>
        <v/>
      </c>
      <c r="I151" s="365" t="str">
        <f t="shared" si="22"/>
        <v/>
      </c>
      <c r="J151" s="340" t="str">
        <f t="shared" si="23"/>
        <v/>
      </c>
      <c r="K151" s="359" t="str">
        <f t="shared" si="24"/>
        <v/>
      </c>
      <c r="L151" s="359" t="str">
        <f t="shared" si="25"/>
        <v/>
      </c>
      <c r="M151" s="359" t="str">
        <f t="shared" si="26"/>
        <v/>
      </c>
      <c r="N151" s="149" t="str">
        <f t="shared" si="27"/>
        <v/>
      </c>
    </row>
    <row r="152" spans="1:14" ht="1.9" customHeight="1">
      <c r="A152" s="416" t="str">
        <f>IF(OR('20_Registro_Diario'!A152="",'20_Registro_Diario'!A152=0),"",'20_Registro_Diario'!A152)</f>
        <v/>
      </c>
      <c r="B152" s="362" t="str">
        <f>IF(A152="","",--(LOWER('20_Registro_Diario'!C152)="sí"))</f>
        <v/>
      </c>
      <c r="C152" s="362" t="str">
        <f>IF(A152="","",--(LOWER('20_Registro_Diario'!D152)="sí"))</f>
        <v/>
      </c>
      <c r="D152" s="362" t="str">
        <f>IF(A152="","",--(LOWER('20_Registro_Diario'!E152)="sí"))</f>
        <v/>
      </c>
      <c r="E152" s="362" t="str">
        <f>IF(A152="","",--(LOWER('20_Registro_Diario'!F152)="sí"))</f>
        <v/>
      </c>
      <c r="F152" s="362" t="str">
        <f>IF(A152="","",--(LOWER('20_Registro_Diario'!G152)="sí"))</f>
        <v/>
      </c>
      <c r="G152" s="363" t="str">
        <f>IF(A152="","",IFERROR('20_Registro_Diario'!I152,0))</f>
        <v/>
      </c>
      <c r="H152" s="364" t="str">
        <f t="shared" si="21"/>
        <v/>
      </c>
      <c r="I152" s="365" t="str">
        <f t="shared" si="22"/>
        <v/>
      </c>
      <c r="J152" s="340" t="str">
        <f t="shared" si="23"/>
        <v/>
      </c>
      <c r="K152" s="359" t="str">
        <f t="shared" si="24"/>
        <v/>
      </c>
      <c r="L152" s="359" t="str">
        <f t="shared" si="25"/>
        <v/>
      </c>
      <c r="M152" s="359" t="str">
        <f t="shared" si="26"/>
        <v/>
      </c>
      <c r="N152" s="149" t="str">
        <f t="shared" si="27"/>
        <v/>
      </c>
    </row>
    <row r="153" spans="1:14" ht="1.9" customHeight="1">
      <c r="A153" s="416" t="str">
        <f>IF(OR('20_Registro_Diario'!A153="",'20_Registro_Diario'!A153=0),"",'20_Registro_Diario'!A153)</f>
        <v/>
      </c>
      <c r="B153" s="362" t="str">
        <f>IF(A153="","",--(LOWER('20_Registro_Diario'!C153)="sí"))</f>
        <v/>
      </c>
      <c r="C153" s="362" t="str">
        <f>IF(A153="","",--(LOWER('20_Registro_Diario'!D153)="sí"))</f>
        <v/>
      </c>
      <c r="D153" s="362" t="str">
        <f>IF(A153="","",--(LOWER('20_Registro_Diario'!E153)="sí"))</f>
        <v/>
      </c>
      <c r="E153" s="362" t="str">
        <f>IF(A153="","",--(LOWER('20_Registro_Diario'!F153)="sí"))</f>
        <v/>
      </c>
      <c r="F153" s="362" t="str">
        <f>IF(A153="","",--(LOWER('20_Registro_Diario'!G153)="sí"))</f>
        <v/>
      </c>
      <c r="G153" s="363" t="str">
        <f>IF(A153="","",IFERROR('20_Registro_Diario'!I153,0))</f>
        <v/>
      </c>
      <c r="H153" s="364" t="str">
        <f t="shared" si="21"/>
        <v/>
      </c>
      <c r="I153" s="365" t="str">
        <f t="shared" si="22"/>
        <v/>
      </c>
      <c r="J153" s="340" t="str">
        <f t="shared" si="23"/>
        <v/>
      </c>
      <c r="K153" s="359" t="str">
        <f t="shared" si="24"/>
        <v/>
      </c>
      <c r="L153" s="359" t="str">
        <f t="shared" si="25"/>
        <v/>
      </c>
      <c r="M153" s="359" t="str">
        <f t="shared" si="26"/>
        <v/>
      </c>
      <c r="N153" s="149" t="str">
        <f t="shared" si="27"/>
        <v/>
      </c>
    </row>
    <row r="154" spans="1:14" ht="1.9" customHeight="1">
      <c r="A154" s="416" t="str">
        <f>IF(OR('20_Registro_Diario'!A154="",'20_Registro_Diario'!A154=0),"",'20_Registro_Diario'!A154)</f>
        <v/>
      </c>
      <c r="B154" s="362" t="str">
        <f>IF(A154="","",--(LOWER('20_Registro_Diario'!C154)="sí"))</f>
        <v/>
      </c>
      <c r="C154" s="362" t="str">
        <f>IF(A154="","",--(LOWER('20_Registro_Diario'!D154)="sí"))</f>
        <v/>
      </c>
      <c r="D154" s="362" t="str">
        <f>IF(A154="","",--(LOWER('20_Registro_Diario'!E154)="sí"))</f>
        <v/>
      </c>
      <c r="E154" s="362" t="str">
        <f>IF(A154="","",--(LOWER('20_Registro_Diario'!F154)="sí"))</f>
        <v/>
      </c>
      <c r="F154" s="362" t="str">
        <f>IF(A154="","",--(LOWER('20_Registro_Diario'!G154)="sí"))</f>
        <v/>
      </c>
      <c r="G154" s="363" t="str">
        <f>IF(A154="","",IFERROR('20_Registro_Diario'!I154,0))</f>
        <v/>
      </c>
      <c r="H154" s="364" t="str">
        <f t="shared" si="21"/>
        <v/>
      </c>
      <c r="I154" s="365" t="str">
        <f t="shared" si="22"/>
        <v/>
      </c>
      <c r="J154" s="340" t="str">
        <f t="shared" si="23"/>
        <v/>
      </c>
      <c r="K154" s="359" t="str">
        <f t="shared" si="24"/>
        <v/>
      </c>
      <c r="L154" s="359" t="str">
        <f t="shared" si="25"/>
        <v/>
      </c>
      <c r="M154" s="359" t="str">
        <f t="shared" si="26"/>
        <v/>
      </c>
      <c r="N154" s="149" t="str">
        <f t="shared" si="27"/>
        <v/>
      </c>
    </row>
    <row r="155" spans="1:14" ht="1.9" customHeight="1">
      <c r="A155" s="416" t="str">
        <f>IF(OR('20_Registro_Diario'!A155="",'20_Registro_Diario'!A155=0),"",'20_Registro_Diario'!A155)</f>
        <v/>
      </c>
      <c r="B155" s="362" t="str">
        <f>IF(A155="","",--(LOWER('20_Registro_Diario'!C155)="sí"))</f>
        <v/>
      </c>
      <c r="C155" s="362" t="str">
        <f>IF(A155="","",--(LOWER('20_Registro_Diario'!D155)="sí"))</f>
        <v/>
      </c>
      <c r="D155" s="362" t="str">
        <f>IF(A155="","",--(LOWER('20_Registro_Diario'!E155)="sí"))</f>
        <v/>
      </c>
      <c r="E155" s="362" t="str">
        <f>IF(A155="","",--(LOWER('20_Registro_Diario'!F155)="sí"))</f>
        <v/>
      </c>
      <c r="F155" s="362" t="str">
        <f>IF(A155="","",--(LOWER('20_Registro_Diario'!G155)="sí"))</f>
        <v/>
      </c>
      <c r="G155" s="363" t="str">
        <f>IF(A155="","",IFERROR('20_Registro_Diario'!I155,0))</f>
        <v/>
      </c>
      <c r="H155" s="364" t="str">
        <f t="shared" si="21"/>
        <v/>
      </c>
      <c r="I155" s="365" t="str">
        <f t="shared" si="22"/>
        <v/>
      </c>
      <c r="J155" s="340" t="str">
        <f t="shared" si="23"/>
        <v/>
      </c>
      <c r="K155" s="359" t="str">
        <f t="shared" si="24"/>
        <v/>
      </c>
      <c r="L155" s="359" t="str">
        <f t="shared" si="25"/>
        <v/>
      </c>
      <c r="M155" s="359" t="str">
        <f t="shared" si="26"/>
        <v/>
      </c>
      <c r="N155" s="149" t="str">
        <f t="shared" si="27"/>
        <v/>
      </c>
    </row>
    <row r="156" spans="1:14" ht="1.9" customHeight="1">
      <c r="A156" s="416" t="str">
        <f>IF(OR('20_Registro_Diario'!A156="",'20_Registro_Diario'!A156=0),"",'20_Registro_Diario'!A156)</f>
        <v/>
      </c>
      <c r="B156" s="362" t="str">
        <f>IF(A156="","",--(LOWER('20_Registro_Diario'!C156)="sí"))</f>
        <v/>
      </c>
      <c r="C156" s="362" t="str">
        <f>IF(A156="","",--(LOWER('20_Registro_Diario'!D156)="sí"))</f>
        <v/>
      </c>
      <c r="D156" s="362" t="str">
        <f>IF(A156="","",--(LOWER('20_Registro_Diario'!E156)="sí"))</f>
        <v/>
      </c>
      <c r="E156" s="362" t="str">
        <f>IF(A156="","",--(LOWER('20_Registro_Diario'!F156)="sí"))</f>
        <v/>
      </c>
      <c r="F156" s="362" t="str">
        <f>IF(A156="","",--(LOWER('20_Registro_Diario'!G156)="sí"))</f>
        <v/>
      </c>
      <c r="G156" s="363" t="str">
        <f>IF(A156="","",IFERROR('20_Registro_Diario'!I156,0))</f>
        <v/>
      </c>
      <c r="H156" s="364" t="str">
        <f t="shared" si="21"/>
        <v/>
      </c>
      <c r="I156" s="365" t="str">
        <f t="shared" si="22"/>
        <v/>
      </c>
      <c r="J156" s="340" t="str">
        <f t="shared" si="23"/>
        <v/>
      </c>
      <c r="K156" s="359" t="str">
        <f t="shared" si="24"/>
        <v/>
      </c>
      <c r="L156" s="359" t="str">
        <f t="shared" si="25"/>
        <v/>
      </c>
      <c r="M156" s="359" t="str">
        <f t="shared" si="26"/>
        <v/>
      </c>
      <c r="N156" s="149" t="str">
        <f t="shared" si="27"/>
        <v/>
      </c>
    </row>
    <row r="157" spans="1:14" ht="1.9" customHeight="1">
      <c r="A157" s="416" t="str">
        <f>IF(OR('20_Registro_Diario'!A157="",'20_Registro_Diario'!A157=0),"",'20_Registro_Diario'!A157)</f>
        <v/>
      </c>
      <c r="B157" s="362" t="str">
        <f>IF(A157="","",--(LOWER('20_Registro_Diario'!C157)="sí"))</f>
        <v/>
      </c>
      <c r="C157" s="362" t="str">
        <f>IF(A157="","",--(LOWER('20_Registro_Diario'!D157)="sí"))</f>
        <v/>
      </c>
      <c r="D157" s="362" t="str">
        <f>IF(A157="","",--(LOWER('20_Registro_Diario'!E157)="sí"))</f>
        <v/>
      </c>
      <c r="E157" s="362" t="str">
        <f>IF(A157="","",--(LOWER('20_Registro_Diario'!F157)="sí"))</f>
        <v/>
      </c>
      <c r="F157" s="362" t="str">
        <f>IF(A157="","",--(LOWER('20_Registro_Diario'!G157)="sí"))</f>
        <v/>
      </c>
      <c r="G157" s="363" t="str">
        <f>IF(A157="","",IFERROR('20_Registro_Diario'!I157,0))</f>
        <v/>
      </c>
      <c r="H157" s="364" t="str">
        <f t="shared" si="21"/>
        <v/>
      </c>
      <c r="I157" s="365" t="str">
        <f t="shared" si="22"/>
        <v/>
      </c>
      <c r="J157" s="340" t="str">
        <f t="shared" si="23"/>
        <v/>
      </c>
      <c r="K157" s="359" t="str">
        <f t="shared" si="24"/>
        <v/>
      </c>
      <c r="L157" s="359" t="str">
        <f t="shared" si="25"/>
        <v/>
      </c>
      <c r="M157" s="359" t="str">
        <f t="shared" si="26"/>
        <v/>
      </c>
      <c r="N157" s="149" t="str">
        <f t="shared" si="27"/>
        <v/>
      </c>
    </row>
    <row r="158" spans="1:14" ht="1.9" customHeight="1">
      <c r="A158" s="416" t="str">
        <f>IF(OR('20_Registro_Diario'!A158="",'20_Registro_Diario'!A158=0),"",'20_Registro_Diario'!A158)</f>
        <v/>
      </c>
      <c r="B158" s="362" t="str">
        <f>IF(A158="","",--(LOWER('20_Registro_Diario'!C158)="sí"))</f>
        <v/>
      </c>
      <c r="C158" s="362" t="str">
        <f>IF(A158="","",--(LOWER('20_Registro_Diario'!D158)="sí"))</f>
        <v/>
      </c>
      <c r="D158" s="362" t="str">
        <f>IF(A158="","",--(LOWER('20_Registro_Diario'!E158)="sí"))</f>
        <v/>
      </c>
      <c r="E158" s="362" t="str">
        <f>IF(A158="","",--(LOWER('20_Registro_Diario'!F158)="sí"))</f>
        <v/>
      </c>
      <c r="F158" s="362" t="str">
        <f>IF(A158="","",--(LOWER('20_Registro_Diario'!G158)="sí"))</f>
        <v/>
      </c>
      <c r="G158" s="363" t="str">
        <f>IF(A158="","",IFERROR('20_Registro_Diario'!I158,0))</f>
        <v/>
      </c>
      <c r="H158" s="364" t="str">
        <f t="shared" si="21"/>
        <v/>
      </c>
      <c r="I158" s="365" t="str">
        <f t="shared" si="22"/>
        <v/>
      </c>
      <c r="J158" s="340" t="str">
        <f t="shared" si="23"/>
        <v/>
      </c>
      <c r="K158" s="359" t="str">
        <f t="shared" si="24"/>
        <v/>
      </c>
      <c r="L158" s="359" t="str">
        <f t="shared" si="25"/>
        <v/>
      </c>
      <c r="M158" s="359" t="str">
        <f t="shared" si="26"/>
        <v/>
      </c>
      <c r="N158" s="149" t="str">
        <f t="shared" si="27"/>
        <v/>
      </c>
    </row>
    <row r="159" spans="1:14" ht="1.9" customHeight="1">
      <c r="A159" s="416" t="str">
        <f>IF(OR('20_Registro_Diario'!A159="",'20_Registro_Diario'!A159=0),"",'20_Registro_Diario'!A159)</f>
        <v/>
      </c>
      <c r="B159" s="362" t="str">
        <f>IF(A159="","",--(LOWER('20_Registro_Diario'!C159)="sí"))</f>
        <v/>
      </c>
      <c r="C159" s="362" t="str">
        <f>IF(A159="","",--(LOWER('20_Registro_Diario'!D159)="sí"))</f>
        <v/>
      </c>
      <c r="D159" s="362" t="str">
        <f>IF(A159="","",--(LOWER('20_Registro_Diario'!E159)="sí"))</f>
        <v/>
      </c>
      <c r="E159" s="362" t="str">
        <f>IF(A159="","",--(LOWER('20_Registro_Diario'!F159)="sí"))</f>
        <v/>
      </c>
      <c r="F159" s="362" t="str">
        <f>IF(A159="","",--(LOWER('20_Registro_Diario'!G159)="sí"))</f>
        <v/>
      </c>
      <c r="G159" s="363" t="str">
        <f>IF(A159="","",IFERROR('20_Registro_Diario'!I159,0))</f>
        <v/>
      </c>
      <c r="H159" s="364" t="str">
        <f t="shared" si="21"/>
        <v/>
      </c>
      <c r="I159" s="365" t="str">
        <f t="shared" si="22"/>
        <v/>
      </c>
      <c r="J159" s="340" t="str">
        <f t="shared" si="23"/>
        <v/>
      </c>
      <c r="K159" s="359" t="str">
        <f t="shared" si="24"/>
        <v/>
      </c>
      <c r="L159" s="359" t="str">
        <f t="shared" si="25"/>
        <v/>
      </c>
      <c r="M159" s="359" t="str">
        <f t="shared" si="26"/>
        <v/>
      </c>
      <c r="N159" s="149" t="str">
        <f t="shared" si="27"/>
        <v/>
      </c>
    </row>
    <row r="160" spans="1:14" ht="1.9" customHeight="1">
      <c r="A160" s="416" t="str">
        <f>IF(OR('20_Registro_Diario'!A160="",'20_Registro_Diario'!A160=0),"",'20_Registro_Diario'!A160)</f>
        <v/>
      </c>
      <c r="B160" s="362" t="str">
        <f>IF(A160="","",--(LOWER('20_Registro_Diario'!C160)="sí"))</f>
        <v/>
      </c>
      <c r="C160" s="362" t="str">
        <f>IF(A160="","",--(LOWER('20_Registro_Diario'!D160)="sí"))</f>
        <v/>
      </c>
      <c r="D160" s="362" t="str">
        <f>IF(A160="","",--(LOWER('20_Registro_Diario'!E160)="sí"))</f>
        <v/>
      </c>
      <c r="E160" s="362" t="str">
        <f>IF(A160="","",--(LOWER('20_Registro_Diario'!F160)="sí"))</f>
        <v/>
      </c>
      <c r="F160" s="362" t="str">
        <f>IF(A160="","",--(LOWER('20_Registro_Diario'!G160)="sí"))</f>
        <v/>
      </c>
      <c r="G160" s="363" t="str">
        <f>IF(A160="","",IFERROR('20_Registro_Diario'!I160,0))</f>
        <v/>
      </c>
      <c r="H160" s="364" t="str">
        <f t="shared" si="21"/>
        <v/>
      </c>
      <c r="I160" s="365" t="str">
        <f t="shared" si="22"/>
        <v/>
      </c>
      <c r="J160" s="340" t="str">
        <f t="shared" si="23"/>
        <v/>
      </c>
      <c r="K160" s="359" t="str">
        <f t="shared" si="24"/>
        <v/>
      </c>
      <c r="L160" s="359" t="str">
        <f t="shared" si="25"/>
        <v/>
      </c>
      <c r="M160" s="359" t="str">
        <f t="shared" si="26"/>
        <v/>
      </c>
      <c r="N160" s="149" t="str">
        <f t="shared" si="27"/>
        <v/>
      </c>
    </row>
    <row r="161" spans="1:14" ht="1.9" customHeight="1">
      <c r="A161" s="416" t="str">
        <f>IF(OR('20_Registro_Diario'!A161="",'20_Registro_Diario'!A161=0),"",'20_Registro_Diario'!A161)</f>
        <v/>
      </c>
      <c r="B161" s="362" t="str">
        <f>IF(A161="","",--(LOWER('20_Registro_Diario'!C161)="sí"))</f>
        <v/>
      </c>
      <c r="C161" s="362" t="str">
        <f>IF(A161="","",--(LOWER('20_Registro_Diario'!D161)="sí"))</f>
        <v/>
      </c>
      <c r="D161" s="362" t="str">
        <f>IF(A161="","",--(LOWER('20_Registro_Diario'!E161)="sí"))</f>
        <v/>
      </c>
      <c r="E161" s="362" t="str">
        <f>IF(A161="","",--(LOWER('20_Registro_Diario'!F161)="sí"))</f>
        <v/>
      </c>
      <c r="F161" s="362" t="str">
        <f>IF(A161="","",--(LOWER('20_Registro_Diario'!G161)="sí"))</f>
        <v/>
      </c>
      <c r="G161" s="363" t="str">
        <f>IF(A161="","",IFERROR('20_Registro_Diario'!I161,0))</f>
        <v/>
      </c>
      <c r="H161" s="364" t="str">
        <f t="shared" si="21"/>
        <v/>
      </c>
      <c r="I161" s="365" t="str">
        <f t="shared" si="22"/>
        <v/>
      </c>
      <c r="J161" s="340" t="str">
        <f t="shared" si="23"/>
        <v/>
      </c>
      <c r="K161" s="359" t="str">
        <f t="shared" si="24"/>
        <v/>
      </c>
      <c r="L161" s="359" t="str">
        <f t="shared" si="25"/>
        <v/>
      </c>
      <c r="M161" s="359" t="str">
        <f t="shared" si="26"/>
        <v/>
      </c>
      <c r="N161" s="149" t="str">
        <f t="shared" si="27"/>
        <v/>
      </c>
    </row>
    <row r="162" spans="1:14" ht="1.9" customHeight="1">
      <c r="A162" s="416" t="str">
        <f>IF(OR('20_Registro_Diario'!A162="",'20_Registro_Diario'!A162=0),"",'20_Registro_Diario'!A162)</f>
        <v/>
      </c>
      <c r="B162" s="362" t="str">
        <f>IF(A162="","",--(LOWER('20_Registro_Diario'!C162)="sí"))</f>
        <v/>
      </c>
      <c r="C162" s="362" t="str">
        <f>IF(A162="","",--(LOWER('20_Registro_Diario'!D162)="sí"))</f>
        <v/>
      </c>
      <c r="D162" s="362" t="str">
        <f>IF(A162="","",--(LOWER('20_Registro_Diario'!E162)="sí"))</f>
        <v/>
      </c>
      <c r="E162" s="362" t="str">
        <f>IF(A162="","",--(LOWER('20_Registro_Diario'!F162)="sí"))</f>
        <v/>
      </c>
      <c r="F162" s="362" t="str">
        <f>IF(A162="","",--(LOWER('20_Registro_Diario'!G162)="sí"))</f>
        <v/>
      </c>
      <c r="G162" s="363" t="str">
        <f>IF(A162="","",IFERROR('20_Registro_Diario'!I162,0))</f>
        <v/>
      </c>
      <c r="H162" s="364" t="str">
        <f t="shared" si="21"/>
        <v/>
      </c>
      <c r="I162" s="365" t="str">
        <f t="shared" si="22"/>
        <v/>
      </c>
      <c r="J162" s="340" t="str">
        <f t="shared" si="23"/>
        <v/>
      </c>
      <c r="K162" s="359" t="str">
        <f t="shared" si="24"/>
        <v/>
      </c>
      <c r="L162" s="359" t="str">
        <f t="shared" si="25"/>
        <v/>
      </c>
      <c r="M162" s="359" t="str">
        <f t="shared" si="26"/>
        <v/>
      </c>
      <c r="N162" s="149" t="str">
        <f t="shared" si="27"/>
        <v/>
      </c>
    </row>
    <row r="163" spans="1:14" ht="1.9" customHeight="1">
      <c r="A163" s="416" t="str">
        <f>IF(OR('20_Registro_Diario'!A163="",'20_Registro_Diario'!A163=0),"",'20_Registro_Diario'!A163)</f>
        <v/>
      </c>
      <c r="B163" s="362" t="str">
        <f>IF(A163="","",--(LOWER('20_Registro_Diario'!C163)="sí"))</f>
        <v/>
      </c>
      <c r="C163" s="362" t="str">
        <f>IF(A163="","",--(LOWER('20_Registro_Diario'!D163)="sí"))</f>
        <v/>
      </c>
      <c r="D163" s="362" t="str">
        <f>IF(A163="","",--(LOWER('20_Registro_Diario'!E163)="sí"))</f>
        <v/>
      </c>
      <c r="E163" s="362" t="str">
        <f>IF(A163="","",--(LOWER('20_Registro_Diario'!F163)="sí"))</f>
        <v/>
      </c>
      <c r="F163" s="362" t="str">
        <f>IF(A163="","",--(LOWER('20_Registro_Diario'!G163)="sí"))</f>
        <v/>
      </c>
      <c r="G163" s="363" t="str">
        <f>IF(A163="","",IFERROR('20_Registro_Diario'!I163,0))</f>
        <v/>
      </c>
      <c r="H163" s="364" t="str">
        <f t="shared" si="21"/>
        <v/>
      </c>
      <c r="I163" s="365" t="str">
        <f t="shared" si="22"/>
        <v/>
      </c>
      <c r="J163" s="340" t="str">
        <f t="shared" si="23"/>
        <v/>
      </c>
      <c r="K163" s="359" t="str">
        <f t="shared" si="24"/>
        <v/>
      </c>
      <c r="L163" s="359" t="str">
        <f t="shared" si="25"/>
        <v/>
      </c>
      <c r="M163" s="359" t="str">
        <f t="shared" si="26"/>
        <v/>
      </c>
      <c r="N163" s="149" t="str">
        <f t="shared" si="27"/>
        <v/>
      </c>
    </row>
    <row r="164" spans="1:14" ht="1.9" customHeight="1">
      <c r="A164" s="416" t="str">
        <f>IF(OR('20_Registro_Diario'!A164="",'20_Registro_Diario'!A164=0),"",'20_Registro_Diario'!A164)</f>
        <v/>
      </c>
      <c r="B164" s="362" t="str">
        <f>IF(A164="","",--(LOWER('20_Registro_Diario'!C164)="sí"))</f>
        <v/>
      </c>
      <c r="C164" s="362" t="str">
        <f>IF(A164="","",--(LOWER('20_Registro_Diario'!D164)="sí"))</f>
        <v/>
      </c>
      <c r="D164" s="362" t="str">
        <f>IF(A164="","",--(LOWER('20_Registro_Diario'!E164)="sí"))</f>
        <v/>
      </c>
      <c r="E164" s="362" t="str">
        <f>IF(A164="","",--(LOWER('20_Registro_Diario'!F164)="sí"))</f>
        <v/>
      </c>
      <c r="F164" s="362" t="str">
        <f>IF(A164="","",--(LOWER('20_Registro_Diario'!G164)="sí"))</f>
        <v/>
      </c>
      <c r="G164" s="363" t="str">
        <f>IF(A164="","",IFERROR('20_Registro_Diario'!I164,0))</f>
        <v/>
      </c>
      <c r="H164" s="364" t="str">
        <f t="shared" si="21"/>
        <v/>
      </c>
      <c r="I164" s="365" t="str">
        <f t="shared" si="22"/>
        <v/>
      </c>
      <c r="J164" s="340" t="str">
        <f t="shared" si="23"/>
        <v/>
      </c>
      <c r="K164" s="359" t="str">
        <f t="shared" si="24"/>
        <v/>
      </c>
      <c r="L164" s="359" t="str">
        <f t="shared" si="25"/>
        <v/>
      </c>
      <c r="M164" s="359" t="str">
        <f t="shared" si="26"/>
        <v/>
      </c>
      <c r="N164" s="149" t="str">
        <f t="shared" si="27"/>
        <v/>
      </c>
    </row>
    <row r="165" spans="1:14" ht="1.9" customHeight="1">
      <c r="A165" s="416" t="str">
        <f>IF(OR('20_Registro_Diario'!A165="",'20_Registro_Diario'!A165=0),"",'20_Registro_Diario'!A165)</f>
        <v/>
      </c>
      <c r="B165" s="362" t="str">
        <f>IF(A165="","",--(LOWER('20_Registro_Diario'!C165)="sí"))</f>
        <v/>
      </c>
      <c r="C165" s="362" t="str">
        <f>IF(A165="","",--(LOWER('20_Registro_Diario'!D165)="sí"))</f>
        <v/>
      </c>
      <c r="D165" s="362" t="str">
        <f>IF(A165="","",--(LOWER('20_Registro_Diario'!E165)="sí"))</f>
        <v/>
      </c>
      <c r="E165" s="362" t="str">
        <f>IF(A165="","",--(LOWER('20_Registro_Diario'!F165)="sí"))</f>
        <v/>
      </c>
      <c r="F165" s="362" t="str">
        <f>IF(A165="","",--(LOWER('20_Registro_Diario'!G165)="sí"))</f>
        <v/>
      </c>
      <c r="G165" s="363" t="str">
        <f>IF(A165="","",IFERROR('20_Registro_Diario'!I165,0))</f>
        <v/>
      </c>
      <c r="H165" s="364" t="str">
        <f t="shared" si="21"/>
        <v/>
      </c>
      <c r="I165" s="365" t="str">
        <f t="shared" si="22"/>
        <v/>
      </c>
      <c r="J165" s="340" t="str">
        <f t="shared" si="23"/>
        <v/>
      </c>
      <c r="K165" s="359" t="str">
        <f t="shared" si="24"/>
        <v/>
      </c>
      <c r="L165" s="359" t="str">
        <f t="shared" si="25"/>
        <v/>
      </c>
      <c r="M165" s="359" t="str">
        <f t="shared" si="26"/>
        <v/>
      </c>
      <c r="N165" s="149" t="str">
        <f t="shared" si="27"/>
        <v/>
      </c>
    </row>
    <row r="166" spans="1:14" ht="1.9" customHeight="1">
      <c r="A166" s="416" t="str">
        <f>IF(OR('20_Registro_Diario'!A166="",'20_Registro_Diario'!A166=0),"",'20_Registro_Diario'!A166)</f>
        <v/>
      </c>
      <c r="B166" s="362" t="str">
        <f>IF(A166="","",--(LOWER('20_Registro_Diario'!C166)="sí"))</f>
        <v/>
      </c>
      <c r="C166" s="362" t="str">
        <f>IF(A166="","",--(LOWER('20_Registro_Diario'!D166)="sí"))</f>
        <v/>
      </c>
      <c r="D166" s="362" t="str">
        <f>IF(A166="","",--(LOWER('20_Registro_Diario'!E166)="sí"))</f>
        <v/>
      </c>
      <c r="E166" s="362" t="str">
        <f>IF(A166="","",--(LOWER('20_Registro_Diario'!F166)="sí"))</f>
        <v/>
      </c>
      <c r="F166" s="362" t="str">
        <f>IF(A166="","",--(LOWER('20_Registro_Diario'!G166)="sí"))</f>
        <v/>
      </c>
      <c r="G166" s="363" t="str">
        <f>IF(A166="","",IFERROR('20_Registro_Diario'!I166,0))</f>
        <v/>
      </c>
      <c r="H166" s="364" t="str">
        <f t="shared" si="21"/>
        <v/>
      </c>
      <c r="I166" s="365" t="str">
        <f t="shared" si="22"/>
        <v/>
      </c>
      <c r="J166" s="340" t="str">
        <f t="shared" si="23"/>
        <v/>
      </c>
      <c r="K166" s="359" t="str">
        <f t="shared" si="24"/>
        <v/>
      </c>
      <c r="L166" s="359" t="str">
        <f t="shared" si="25"/>
        <v/>
      </c>
      <c r="M166" s="359" t="str">
        <f t="shared" si="26"/>
        <v/>
      </c>
      <c r="N166" s="149" t="str">
        <f t="shared" si="27"/>
        <v/>
      </c>
    </row>
    <row r="167" spans="1:14" ht="1.9" customHeight="1">
      <c r="A167" s="416" t="str">
        <f>IF(OR('20_Registro_Diario'!A167="",'20_Registro_Diario'!A167=0),"",'20_Registro_Diario'!A167)</f>
        <v/>
      </c>
      <c r="B167" s="362" t="str">
        <f>IF(A167="","",--(LOWER('20_Registro_Diario'!C167)="sí"))</f>
        <v/>
      </c>
      <c r="C167" s="362" t="str">
        <f>IF(A167="","",--(LOWER('20_Registro_Diario'!D167)="sí"))</f>
        <v/>
      </c>
      <c r="D167" s="362" t="str">
        <f>IF(A167="","",--(LOWER('20_Registro_Diario'!E167)="sí"))</f>
        <v/>
      </c>
      <c r="E167" s="362" t="str">
        <f>IF(A167="","",--(LOWER('20_Registro_Diario'!F167)="sí"))</f>
        <v/>
      </c>
      <c r="F167" s="362" t="str">
        <f>IF(A167="","",--(LOWER('20_Registro_Diario'!G167)="sí"))</f>
        <v/>
      </c>
      <c r="G167" s="363" t="str">
        <f>IF(A167="","",IFERROR('20_Registro_Diario'!I167,0))</f>
        <v/>
      </c>
      <c r="H167" s="364" t="str">
        <f t="shared" si="21"/>
        <v/>
      </c>
      <c r="I167" s="365" t="str">
        <f t="shared" si="22"/>
        <v/>
      </c>
      <c r="J167" s="340" t="str">
        <f t="shared" si="23"/>
        <v/>
      </c>
      <c r="K167" s="359" t="str">
        <f t="shared" si="24"/>
        <v/>
      </c>
      <c r="L167" s="359" t="str">
        <f t="shared" si="25"/>
        <v/>
      </c>
      <c r="M167" s="359" t="str">
        <f t="shared" si="26"/>
        <v/>
      </c>
      <c r="N167" s="149" t="str">
        <f t="shared" si="27"/>
        <v/>
      </c>
    </row>
    <row r="168" spans="1:14" ht="1.9" customHeight="1">
      <c r="A168" s="416" t="str">
        <f>IF(OR('20_Registro_Diario'!A168="",'20_Registro_Diario'!A168=0),"",'20_Registro_Diario'!A168)</f>
        <v/>
      </c>
      <c r="B168" s="362" t="str">
        <f>IF(A168="","",--(LOWER('20_Registro_Diario'!C168)="sí"))</f>
        <v/>
      </c>
      <c r="C168" s="362" t="str">
        <f>IF(A168="","",--(LOWER('20_Registro_Diario'!D168)="sí"))</f>
        <v/>
      </c>
      <c r="D168" s="362" t="str">
        <f>IF(A168="","",--(LOWER('20_Registro_Diario'!E168)="sí"))</f>
        <v/>
      </c>
      <c r="E168" s="362" t="str">
        <f>IF(A168="","",--(LOWER('20_Registro_Diario'!F168)="sí"))</f>
        <v/>
      </c>
      <c r="F168" s="362" t="str">
        <f>IF(A168="","",--(LOWER('20_Registro_Diario'!G168)="sí"))</f>
        <v/>
      </c>
      <c r="G168" s="363" t="str">
        <f>IF(A168="","",IFERROR('20_Registro_Diario'!I168,0))</f>
        <v/>
      </c>
      <c r="H168" s="364" t="str">
        <f t="shared" si="21"/>
        <v/>
      </c>
      <c r="I168" s="365" t="str">
        <f t="shared" si="22"/>
        <v/>
      </c>
      <c r="J168" s="340" t="str">
        <f t="shared" si="23"/>
        <v/>
      </c>
      <c r="K168" s="359" t="str">
        <f t="shared" si="24"/>
        <v/>
      </c>
      <c r="L168" s="359" t="str">
        <f t="shared" si="25"/>
        <v/>
      </c>
      <c r="M168" s="359" t="str">
        <f t="shared" si="26"/>
        <v/>
      </c>
      <c r="N168" s="149" t="str">
        <f t="shared" si="27"/>
        <v/>
      </c>
    </row>
    <row r="169" spans="1:14" ht="1.9" customHeight="1">
      <c r="A169" s="416" t="str">
        <f>IF(OR('20_Registro_Diario'!A169="",'20_Registro_Diario'!A169=0),"",'20_Registro_Diario'!A169)</f>
        <v/>
      </c>
      <c r="B169" s="362" t="str">
        <f>IF(A169="","",--(LOWER('20_Registro_Diario'!C169)="sí"))</f>
        <v/>
      </c>
      <c r="C169" s="362" t="str">
        <f>IF(A169="","",--(LOWER('20_Registro_Diario'!D169)="sí"))</f>
        <v/>
      </c>
      <c r="D169" s="362" t="str">
        <f>IF(A169="","",--(LOWER('20_Registro_Diario'!E169)="sí"))</f>
        <v/>
      </c>
      <c r="E169" s="362" t="str">
        <f>IF(A169="","",--(LOWER('20_Registro_Diario'!F169)="sí"))</f>
        <v/>
      </c>
      <c r="F169" s="362" t="str">
        <f>IF(A169="","",--(LOWER('20_Registro_Diario'!G169)="sí"))</f>
        <v/>
      </c>
      <c r="G169" s="363" t="str">
        <f>IF(A169="","",IFERROR('20_Registro_Diario'!I169,0))</f>
        <v/>
      </c>
      <c r="H169" s="364" t="str">
        <f t="shared" si="21"/>
        <v/>
      </c>
      <c r="I169" s="365" t="str">
        <f t="shared" si="22"/>
        <v/>
      </c>
      <c r="J169" s="340" t="str">
        <f t="shared" si="23"/>
        <v/>
      </c>
      <c r="K169" s="359" t="str">
        <f t="shared" si="24"/>
        <v/>
      </c>
      <c r="L169" s="359" t="str">
        <f t="shared" si="25"/>
        <v/>
      </c>
      <c r="M169" s="359" t="str">
        <f t="shared" si="26"/>
        <v/>
      </c>
      <c r="N169" s="149" t="str">
        <f t="shared" si="27"/>
        <v/>
      </c>
    </row>
    <row r="170" spans="1:14" ht="1.9" customHeight="1">
      <c r="A170" s="416" t="str">
        <f>IF(OR('20_Registro_Diario'!A170="",'20_Registro_Diario'!A170=0),"",'20_Registro_Diario'!A170)</f>
        <v/>
      </c>
      <c r="B170" s="362" t="str">
        <f>IF(A170="","",--(LOWER('20_Registro_Diario'!C170)="sí"))</f>
        <v/>
      </c>
      <c r="C170" s="362" t="str">
        <f>IF(A170="","",--(LOWER('20_Registro_Diario'!D170)="sí"))</f>
        <v/>
      </c>
      <c r="D170" s="362" t="str">
        <f>IF(A170="","",--(LOWER('20_Registro_Diario'!E170)="sí"))</f>
        <v/>
      </c>
      <c r="E170" s="362" t="str">
        <f>IF(A170="","",--(LOWER('20_Registro_Diario'!F170)="sí"))</f>
        <v/>
      </c>
      <c r="F170" s="362" t="str">
        <f>IF(A170="","",--(LOWER('20_Registro_Diario'!G170)="sí"))</f>
        <v/>
      </c>
      <c r="G170" s="363" t="str">
        <f>IF(A170="","",IFERROR('20_Registro_Diario'!I170,0))</f>
        <v/>
      </c>
      <c r="H170" s="364" t="str">
        <f t="shared" si="21"/>
        <v/>
      </c>
      <c r="I170" s="365" t="str">
        <f t="shared" si="22"/>
        <v/>
      </c>
      <c r="J170" s="340" t="str">
        <f t="shared" si="23"/>
        <v/>
      </c>
      <c r="K170" s="359" t="str">
        <f t="shared" si="24"/>
        <v/>
      </c>
      <c r="L170" s="359" t="str">
        <f t="shared" si="25"/>
        <v/>
      </c>
      <c r="M170" s="359" t="str">
        <f t="shared" si="26"/>
        <v/>
      </c>
      <c r="N170" s="149" t="str">
        <f t="shared" si="27"/>
        <v/>
      </c>
    </row>
    <row r="171" spans="1:14" ht="1.9" customHeight="1">
      <c r="A171" s="416" t="str">
        <f>IF(OR('20_Registro_Diario'!A171="",'20_Registro_Diario'!A171=0),"",'20_Registro_Diario'!A171)</f>
        <v/>
      </c>
      <c r="B171" s="362" t="str">
        <f>IF(A171="","",--(LOWER('20_Registro_Diario'!C171)="sí"))</f>
        <v/>
      </c>
      <c r="C171" s="362" t="str">
        <f>IF(A171="","",--(LOWER('20_Registro_Diario'!D171)="sí"))</f>
        <v/>
      </c>
      <c r="D171" s="362" t="str">
        <f>IF(A171="","",--(LOWER('20_Registro_Diario'!E171)="sí"))</f>
        <v/>
      </c>
      <c r="E171" s="362" t="str">
        <f>IF(A171="","",--(LOWER('20_Registro_Diario'!F171)="sí"))</f>
        <v/>
      </c>
      <c r="F171" s="362" t="str">
        <f>IF(A171="","",--(LOWER('20_Registro_Diario'!G171)="sí"))</f>
        <v/>
      </c>
      <c r="G171" s="363" t="str">
        <f>IF(A171="","",IFERROR('20_Registro_Diario'!I171,0))</f>
        <v/>
      </c>
      <c r="H171" s="364" t="str">
        <f t="shared" si="21"/>
        <v/>
      </c>
      <c r="I171" s="365" t="str">
        <f t="shared" si="22"/>
        <v/>
      </c>
      <c r="J171" s="340" t="str">
        <f t="shared" si="23"/>
        <v/>
      </c>
      <c r="K171" s="359" t="str">
        <f t="shared" si="24"/>
        <v/>
      </c>
      <c r="L171" s="359" t="str">
        <f t="shared" si="25"/>
        <v/>
      </c>
      <c r="M171" s="359" t="str">
        <f t="shared" si="26"/>
        <v/>
      </c>
      <c r="N171" s="149" t="str">
        <f t="shared" si="27"/>
        <v/>
      </c>
    </row>
    <row r="172" spans="1:14" ht="1.9" customHeight="1">
      <c r="A172" s="416" t="str">
        <f>IF(OR('20_Registro_Diario'!A172="",'20_Registro_Diario'!A172=0),"",'20_Registro_Diario'!A172)</f>
        <v/>
      </c>
      <c r="B172" s="362" t="str">
        <f>IF(A172="","",--(LOWER('20_Registro_Diario'!C172)="sí"))</f>
        <v/>
      </c>
      <c r="C172" s="362" t="str">
        <f>IF(A172="","",--(LOWER('20_Registro_Diario'!D172)="sí"))</f>
        <v/>
      </c>
      <c r="D172" s="362" t="str">
        <f>IF(A172="","",--(LOWER('20_Registro_Diario'!E172)="sí"))</f>
        <v/>
      </c>
      <c r="E172" s="362" t="str">
        <f>IF(A172="","",--(LOWER('20_Registro_Diario'!F172)="sí"))</f>
        <v/>
      </c>
      <c r="F172" s="362" t="str">
        <f>IF(A172="","",--(LOWER('20_Registro_Diario'!G172)="sí"))</f>
        <v/>
      </c>
      <c r="G172" s="363" t="str">
        <f>IF(A172="","",IFERROR('20_Registro_Diario'!I172,0))</f>
        <v/>
      </c>
      <c r="H172" s="364" t="str">
        <f t="shared" si="21"/>
        <v/>
      </c>
      <c r="I172" s="365" t="str">
        <f t="shared" si="22"/>
        <v/>
      </c>
      <c r="J172" s="340" t="str">
        <f t="shared" si="23"/>
        <v/>
      </c>
      <c r="K172" s="359" t="str">
        <f t="shared" si="24"/>
        <v/>
      </c>
      <c r="L172" s="359" t="str">
        <f t="shared" si="25"/>
        <v/>
      </c>
      <c r="M172" s="359" t="str">
        <f t="shared" si="26"/>
        <v/>
      </c>
      <c r="N172" s="149" t="str">
        <f t="shared" si="27"/>
        <v/>
      </c>
    </row>
    <row r="173" spans="1:14" ht="1.9" customHeight="1">
      <c r="A173" s="416" t="str">
        <f>IF(OR('20_Registro_Diario'!A173="",'20_Registro_Diario'!A173=0),"",'20_Registro_Diario'!A173)</f>
        <v/>
      </c>
      <c r="B173" s="362" t="str">
        <f>IF(A173="","",--(LOWER('20_Registro_Diario'!C173)="sí"))</f>
        <v/>
      </c>
      <c r="C173" s="362" t="str">
        <f>IF(A173="","",--(LOWER('20_Registro_Diario'!D173)="sí"))</f>
        <v/>
      </c>
      <c r="D173" s="362" t="str">
        <f>IF(A173="","",--(LOWER('20_Registro_Diario'!E173)="sí"))</f>
        <v/>
      </c>
      <c r="E173" s="362" t="str">
        <f>IF(A173="","",--(LOWER('20_Registro_Diario'!F173)="sí"))</f>
        <v/>
      </c>
      <c r="F173" s="362" t="str">
        <f>IF(A173="","",--(LOWER('20_Registro_Diario'!G173)="sí"))</f>
        <v/>
      </c>
      <c r="G173" s="363" t="str">
        <f>IF(A173="","",IFERROR('20_Registro_Diario'!I173,0))</f>
        <v/>
      </c>
      <c r="H173" s="364" t="str">
        <f t="shared" si="21"/>
        <v/>
      </c>
      <c r="I173" s="365" t="str">
        <f t="shared" si="22"/>
        <v/>
      </c>
      <c r="J173" s="340" t="str">
        <f t="shared" si="23"/>
        <v/>
      </c>
      <c r="K173" s="359" t="str">
        <f t="shared" si="24"/>
        <v/>
      </c>
      <c r="L173" s="359" t="str">
        <f t="shared" si="25"/>
        <v/>
      </c>
      <c r="M173" s="359" t="str">
        <f t="shared" si="26"/>
        <v/>
      </c>
      <c r="N173" s="149" t="str">
        <f t="shared" si="27"/>
        <v/>
      </c>
    </row>
    <row r="174" spans="1:14" ht="1.9" customHeight="1">
      <c r="A174" s="416" t="str">
        <f>IF(OR('20_Registro_Diario'!A174="",'20_Registro_Diario'!A174=0),"",'20_Registro_Diario'!A174)</f>
        <v/>
      </c>
      <c r="B174" s="362" t="str">
        <f>IF(A174="","",--(LOWER('20_Registro_Diario'!C174)="sí"))</f>
        <v/>
      </c>
      <c r="C174" s="362" t="str">
        <f>IF(A174="","",--(LOWER('20_Registro_Diario'!D174)="sí"))</f>
        <v/>
      </c>
      <c r="D174" s="362" t="str">
        <f>IF(A174="","",--(LOWER('20_Registro_Diario'!E174)="sí"))</f>
        <v/>
      </c>
      <c r="E174" s="362" t="str">
        <f>IF(A174="","",--(LOWER('20_Registro_Diario'!F174)="sí"))</f>
        <v/>
      </c>
      <c r="F174" s="362" t="str">
        <f>IF(A174="","",--(LOWER('20_Registro_Diario'!G174)="sí"))</f>
        <v/>
      </c>
      <c r="G174" s="363" t="str">
        <f>IF(A174="","",IFERROR('20_Registro_Diario'!I174,0))</f>
        <v/>
      </c>
      <c r="H174" s="364" t="str">
        <f t="shared" si="21"/>
        <v/>
      </c>
      <c r="I174" s="365" t="str">
        <f t="shared" si="22"/>
        <v/>
      </c>
      <c r="J174" s="340" t="str">
        <f t="shared" si="23"/>
        <v/>
      </c>
      <c r="K174" s="359" t="str">
        <f t="shared" si="24"/>
        <v/>
      </c>
      <c r="L174" s="359" t="str">
        <f t="shared" si="25"/>
        <v/>
      </c>
      <c r="M174" s="359" t="str">
        <f t="shared" si="26"/>
        <v/>
      </c>
      <c r="N174" s="149" t="str">
        <f t="shared" si="27"/>
        <v/>
      </c>
    </row>
    <row r="175" spans="1:14" ht="1.9" customHeight="1">
      <c r="A175" s="416" t="str">
        <f>IF(OR('20_Registro_Diario'!A175="",'20_Registro_Diario'!A175=0),"",'20_Registro_Diario'!A175)</f>
        <v/>
      </c>
      <c r="B175" s="362" t="str">
        <f>IF(A175="","",--(LOWER('20_Registro_Diario'!C175)="sí"))</f>
        <v/>
      </c>
      <c r="C175" s="362" t="str">
        <f>IF(A175="","",--(LOWER('20_Registro_Diario'!D175)="sí"))</f>
        <v/>
      </c>
      <c r="D175" s="362" t="str">
        <f>IF(A175="","",--(LOWER('20_Registro_Diario'!E175)="sí"))</f>
        <v/>
      </c>
      <c r="E175" s="362" t="str">
        <f>IF(A175="","",--(LOWER('20_Registro_Diario'!F175)="sí"))</f>
        <v/>
      </c>
      <c r="F175" s="362" t="str">
        <f>IF(A175="","",--(LOWER('20_Registro_Diario'!G175)="sí"))</f>
        <v/>
      </c>
      <c r="G175" s="363" t="str">
        <f>IF(A175="","",IFERROR('20_Registro_Diario'!I175,0))</f>
        <v/>
      </c>
      <c r="H175" s="364" t="str">
        <f t="shared" si="21"/>
        <v/>
      </c>
      <c r="I175" s="365" t="str">
        <f t="shared" si="22"/>
        <v/>
      </c>
      <c r="J175" s="340" t="str">
        <f t="shared" si="23"/>
        <v/>
      </c>
      <c r="K175" s="359" t="str">
        <f t="shared" si="24"/>
        <v/>
      </c>
      <c r="L175" s="359" t="str">
        <f t="shared" si="25"/>
        <v/>
      </c>
      <c r="M175" s="359" t="str">
        <f t="shared" si="26"/>
        <v/>
      </c>
      <c r="N175" s="149" t="str">
        <f t="shared" si="27"/>
        <v/>
      </c>
    </row>
    <row r="176" spans="1:14" ht="1.9" customHeight="1">
      <c r="A176" s="416" t="str">
        <f>IF(OR('20_Registro_Diario'!A176="",'20_Registro_Diario'!A176=0),"",'20_Registro_Diario'!A176)</f>
        <v/>
      </c>
      <c r="B176" s="362" t="str">
        <f>IF(A176="","",--(LOWER('20_Registro_Diario'!C176)="sí"))</f>
        <v/>
      </c>
      <c r="C176" s="362" t="str">
        <f>IF(A176="","",--(LOWER('20_Registro_Diario'!D176)="sí"))</f>
        <v/>
      </c>
      <c r="D176" s="362" t="str">
        <f>IF(A176="","",--(LOWER('20_Registro_Diario'!E176)="sí"))</f>
        <v/>
      </c>
      <c r="E176" s="362" t="str">
        <f>IF(A176="","",--(LOWER('20_Registro_Diario'!F176)="sí"))</f>
        <v/>
      </c>
      <c r="F176" s="362" t="str">
        <f>IF(A176="","",--(LOWER('20_Registro_Diario'!G176)="sí"))</f>
        <v/>
      </c>
      <c r="G176" s="363" t="str">
        <f>IF(A176="","",IFERROR('20_Registro_Diario'!I176,0))</f>
        <v/>
      </c>
      <c r="H176" s="364" t="str">
        <f t="shared" si="21"/>
        <v/>
      </c>
      <c r="I176" s="365" t="str">
        <f t="shared" si="22"/>
        <v/>
      </c>
      <c r="J176" s="340" t="str">
        <f t="shared" si="23"/>
        <v/>
      </c>
      <c r="K176" s="359" t="str">
        <f t="shared" si="24"/>
        <v/>
      </c>
      <c r="L176" s="359" t="str">
        <f t="shared" si="25"/>
        <v/>
      </c>
      <c r="M176" s="359" t="str">
        <f t="shared" si="26"/>
        <v/>
      </c>
      <c r="N176" s="149" t="str">
        <f t="shared" si="27"/>
        <v/>
      </c>
    </row>
    <row r="177" spans="1:14" ht="1.9" customHeight="1">
      <c r="A177" s="416" t="str">
        <f>IF(OR('20_Registro_Diario'!A177="",'20_Registro_Diario'!A177=0),"",'20_Registro_Diario'!A177)</f>
        <v/>
      </c>
      <c r="B177" s="362" t="str">
        <f>IF(A177="","",--(LOWER('20_Registro_Diario'!C177)="sí"))</f>
        <v/>
      </c>
      <c r="C177" s="362" t="str">
        <f>IF(A177="","",--(LOWER('20_Registro_Diario'!D177)="sí"))</f>
        <v/>
      </c>
      <c r="D177" s="362" t="str">
        <f>IF(A177="","",--(LOWER('20_Registro_Diario'!E177)="sí"))</f>
        <v/>
      </c>
      <c r="E177" s="362" t="str">
        <f>IF(A177="","",--(LOWER('20_Registro_Diario'!F177)="sí"))</f>
        <v/>
      </c>
      <c r="F177" s="362" t="str">
        <f>IF(A177="","",--(LOWER('20_Registro_Diario'!G177)="sí"))</f>
        <v/>
      </c>
      <c r="G177" s="363" t="str">
        <f>IF(A177="","",IFERROR('20_Registro_Diario'!I177,0))</f>
        <v/>
      </c>
      <c r="H177" s="364" t="str">
        <f t="shared" si="21"/>
        <v/>
      </c>
      <c r="I177" s="365" t="str">
        <f t="shared" si="22"/>
        <v/>
      </c>
      <c r="J177" s="340" t="str">
        <f t="shared" si="23"/>
        <v/>
      </c>
      <c r="K177" s="359" t="str">
        <f t="shared" si="24"/>
        <v/>
      </c>
      <c r="L177" s="359" t="str">
        <f t="shared" si="25"/>
        <v/>
      </c>
      <c r="M177" s="359" t="str">
        <f t="shared" si="26"/>
        <v/>
      </c>
      <c r="N177" s="149" t="str">
        <f t="shared" si="27"/>
        <v/>
      </c>
    </row>
    <row r="178" spans="1:14" ht="1.9" customHeight="1">
      <c r="A178" s="416" t="str">
        <f>IF(OR('20_Registro_Diario'!A178="",'20_Registro_Diario'!A178=0),"",'20_Registro_Diario'!A178)</f>
        <v/>
      </c>
      <c r="B178" s="362" t="str">
        <f>IF(A178="","",--(LOWER('20_Registro_Diario'!C178)="sí"))</f>
        <v/>
      </c>
      <c r="C178" s="362" t="str">
        <f>IF(A178="","",--(LOWER('20_Registro_Diario'!D178)="sí"))</f>
        <v/>
      </c>
      <c r="D178" s="362" t="str">
        <f>IF(A178="","",--(LOWER('20_Registro_Diario'!E178)="sí"))</f>
        <v/>
      </c>
      <c r="E178" s="362" t="str">
        <f>IF(A178="","",--(LOWER('20_Registro_Diario'!F178)="sí"))</f>
        <v/>
      </c>
      <c r="F178" s="362" t="str">
        <f>IF(A178="","",--(LOWER('20_Registro_Diario'!G178)="sí"))</f>
        <v/>
      </c>
      <c r="G178" s="363" t="str">
        <f>IF(A178="","",IFERROR('20_Registro_Diario'!I178,0))</f>
        <v/>
      </c>
      <c r="H178" s="364" t="str">
        <f t="shared" si="21"/>
        <v/>
      </c>
      <c r="I178" s="365" t="str">
        <f t="shared" si="22"/>
        <v/>
      </c>
      <c r="J178" s="340" t="str">
        <f t="shared" si="23"/>
        <v/>
      </c>
      <c r="K178" s="359" t="str">
        <f t="shared" si="24"/>
        <v/>
      </c>
      <c r="L178" s="359" t="str">
        <f t="shared" si="25"/>
        <v/>
      </c>
      <c r="M178" s="359" t="str">
        <f t="shared" si="26"/>
        <v/>
      </c>
      <c r="N178" s="149" t="str">
        <f t="shared" si="27"/>
        <v/>
      </c>
    </row>
    <row r="179" spans="1:14" ht="1.9" customHeight="1">
      <c r="A179" s="416" t="str">
        <f>IF(OR('20_Registro_Diario'!A179="",'20_Registro_Diario'!A179=0),"",'20_Registro_Diario'!A179)</f>
        <v/>
      </c>
      <c r="B179" s="362" t="str">
        <f>IF(A179="","",--(LOWER('20_Registro_Diario'!C179)="sí"))</f>
        <v/>
      </c>
      <c r="C179" s="362" t="str">
        <f>IF(A179="","",--(LOWER('20_Registro_Diario'!D179)="sí"))</f>
        <v/>
      </c>
      <c r="D179" s="362" t="str">
        <f>IF(A179="","",--(LOWER('20_Registro_Diario'!E179)="sí"))</f>
        <v/>
      </c>
      <c r="E179" s="362" t="str">
        <f>IF(A179="","",--(LOWER('20_Registro_Diario'!F179)="sí"))</f>
        <v/>
      </c>
      <c r="F179" s="362" t="str">
        <f>IF(A179="","",--(LOWER('20_Registro_Diario'!G179)="sí"))</f>
        <v/>
      </c>
      <c r="G179" s="363" t="str">
        <f>IF(A179="","",IFERROR('20_Registro_Diario'!I179,0))</f>
        <v/>
      </c>
      <c r="H179" s="364" t="str">
        <f t="shared" si="21"/>
        <v/>
      </c>
      <c r="I179" s="365" t="str">
        <f t="shared" si="22"/>
        <v/>
      </c>
      <c r="J179" s="340" t="str">
        <f t="shared" si="23"/>
        <v/>
      </c>
      <c r="K179" s="359" t="str">
        <f t="shared" si="24"/>
        <v/>
      </c>
      <c r="L179" s="359" t="str">
        <f t="shared" si="25"/>
        <v/>
      </c>
      <c r="M179" s="359" t="str">
        <f t="shared" si="26"/>
        <v/>
      </c>
      <c r="N179" s="149" t="str">
        <f t="shared" si="27"/>
        <v/>
      </c>
    </row>
    <row r="180" spans="1:14" ht="1.9" customHeight="1">
      <c r="A180" s="416" t="str">
        <f>IF(OR('20_Registro_Diario'!A180="",'20_Registro_Diario'!A180=0),"",'20_Registro_Diario'!A180)</f>
        <v/>
      </c>
      <c r="B180" s="362" t="str">
        <f>IF(A180="","",--(LOWER('20_Registro_Diario'!C180)="sí"))</f>
        <v/>
      </c>
      <c r="C180" s="362" t="str">
        <f>IF(A180="","",--(LOWER('20_Registro_Diario'!D180)="sí"))</f>
        <v/>
      </c>
      <c r="D180" s="362" t="str">
        <f>IF(A180="","",--(LOWER('20_Registro_Diario'!E180)="sí"))</f>
        <v/>
      </c>
      <c r="E180" s="362" t="str">
        <f>IF(A180="","",--(LOWER('20_Registro_Diario'!F180)="sí"))</f>
        <v/>
      </c>
      <c r="F180" s="362" t="str">
        <f>IF(A180="","",--(LOWER('20_Registro_Diario'!G180)="sí"))</f>
        <v/>
      </c>
      <c r="G180" s="363" t="str">
        <f>IF(A180="","",IFERROR('20_Registro_Diario'!I180,0))</f>
        <v/>
      </c>
      <c r="H180" s="364" t="str">
        <f t="shared" si="21"/>
        <v/>
      </c>
      <c r="I180" s="365" t="str">
        <f t="shared" si="22"/>
        <v/>
      </c>
      <c r="J180" s="340" t="str">
        <f t="shared" si="23"/>
        <v/>
      </c>
      <c r="K180" s="359" t="str">
        <f t="shared" si="24"/>
        <v/>
      </c>
      <c r="L180" s="359" t="str">
        <f t="shared" si="25"/>
        <v/>
      </c>
      <c r="M180" s="359" t="str">
        <f t="shared" si="26"/>
        <v/>
      </c>
      <c r="N180" s="149" t="str">
        <f t="shared" si="27"/>
        <v/>
      </c>
    </row>
    <row r="181" spans="1:14" ht="1.9" customHeight="1">
      <c r="A181" s="416" t="str">
        <f>IF(OR('20_Registro_Diario'!A181="",'20_Registro_Diario'!A181=0),"",'20_Registro_Diario'!A181)</f>
        <v/>
      </c>
      <c r="B181" s="362" t="str">
        <f>IF(A181="","",--(LOWER('20_Registro_Diario'!C181)="sí"))</f>
        <v/>
      </c>
      <c r="C181" s="362" t="str">
        <f>IF(A181="","",--(LOWER('20_Registro_Diario'!D181)="sí"))</f>
        <v/>
      </c>
      <c r="D181" s="362" t="str">
        <f>IF(A181="","",--(LOWER('20_Registro_Diario'!E181)="sí"))</f>
        <v/>
      </c>
      <c r="E181" s="362" t="str">
        <f>IF(A181="","",--(LOWER('20_Registro_Diario'!F181)="sí"))</f>
        <v/>
      </c>
      <c r="F181" s="362" t="str">
        <f>IF(A181="","",--(LOWER('20_Registro_Diario'!G181)="sí"))</f>
        <v/>
      </c>
      <c r="G181" s="363" t="str">
        <f>IF(A181="","",IFERROR('20_Registro_Diario'!I181,0))</f>
        <v/>
      </c>
      <c r="H181" s="364" t="str">
        <f t="shared" si="21"/>
        <v/>
      </c>
      <c r="I181" s="365" t="str">
        <f t="shared" si="22"/>
        <v/>
      </c>
      <c r="J181" s="340" t="str">
        <f t="shared" si="23"/>
        <v/>
      </c>
      <c r="K181" s="359" t="str">
        <f t="shared" si="24"/>
        <v/>
      </c>
      <c r="L181" s="359" t="str">
        <f t="shared" si="25"/>
        <v/>
      </c>
      <c r="M181" s="359" t="str">
        <f t="shared" si="26"/>
        <v/>
      </c>
      <c r="N181" s="149" t="str">
        <f t="shared" si="27"/>
        <v/>
      </c>
    </row>
    <row r="182" spans="1:14" ht="1.9" customHeight="1">
      <c r="A182" s="416" t="str">
        <f>IF(OR('20_Registro_Diario'!A182="",'20_Registro_Diario'!A182=0),"",'20_Registro_Diario'!A182)</f>
        <v/>
      </c>
      <c r="B182" s="362" t="str">
        <f>IF(A182="","",--(LOWER('20_Registro_Diario'!C182)="sí"))</f>
        <v/>
      </c>
      <c r="C182" s="362" t="str">
        <f>IF(A182="","",--(LOWER('20_Registro_Diario'!D182)="sí"))</f>
        <v/>
      </c>
      <c r="D182" s="362" t="str">
        <f>IF(A182="","",--(LOWER('20_Registro_Diario'!E182)="sí"))</f>
        <v/>
      </c>
      <c r="E182" s="362" t="str">
        <f>IF(A182="","",--(LOWER('20_Registro_Diario'!F182)="sí"))</f>
        <v/>
      </c>
      <c r="F182" s="362" t="str">
        <f>IF(A182="","",--(LOWER('20_Registro_Diario'!G182)="sí"))</f>
        <v/>
      </c>
      <c r="G182" s="363" t="str">
        <f>IF(A182="","",IFERROR('20_Registro_Diario'!I182,0))</f>
        <v/>
      </c>
      <c r="H182" s="364" t="str">
        <f t="shared" si="21"/>
        <v/>
      </c>
      <c r="I182" s="365" t="str">
        <f t="shared" si="22"/>
        <v/>
      </c>
      <c r="J182" s="340" t="str">
        <f t="shared" si="23"/>
        <v/>
      </c>
      <c r="K182" s="359" t="str">
        <f t="shared" si="24"/>
        <v/>
      </c>
      <c r="L182" s="359" t="str">
        <f t="shared" si="25"/>
        <v/>
      </c>
      <c r="M182" s="359" t="str">
        <f t="shared" si="26"/>
        <v/>
      </c>
      <c r="N182" s="149" t="str">
        <f t="shared" si="27"/>
        <v/>
      </c>
    </row>
    <row r="183" spans="1:14" ht="1.9" customHeight="1">
      <c r="A183" s="416" t="str">
        <f>IF(OR('20_Registro_Diario'!A183="",'20_Registro_Diario'!A183=0),"",'20_Registro_Diario'!A183)</f>
        <v/>
      </c>
      <c r="B183" s="362" t="str">
        <f>IF(A183="","",--(LOWER('20_Registro_Diario'!C183)="sí"))</f>
        <v/>
      </c>
      <c r="C183" s="362" t="str">
        <f>IF(A183="","",--(LOWER('20_Registro_Diario'!D183)="sí"))</f>
        <v/>
      </c>
      <c r="D183" s="362" t="str">
        <f>IF(A183="","",--(LOWER('20_Registro_Diario'!E183)="sí"))</f>
        <v/>
      </c>
      <c r="E183" s="362" t="str">
        <f>IF(A183="","",--(LOWER('20_Registro_Diario'!F183)="sí"))</f>
        <v/>
      </c>
      <c r="F183" s="362" t="str">
        <f>IF(A183="","",--(LOWER('20_Registro_Diario'!G183)="sí"))</f>
        <v/>
      </c>
      <c r="G183" s="363" t="str">
        <f>IF(A183="","",IFERROR('20_Registro_Diario'!I183,0))</f>
        <v/>
      </c>
      <c r="H183" s="364" t="str">
        <f t="shared" si="21"/>
        <v/>
      </c>
      <c r="I183" s="365" t="str">
        <f t="shared" si="22"/>
        <v/>
      </c>
      <c r="J183" s="340" t="str">
        <f t="shared" si="23"/>
        <v/>
      </c>
      <c r="K183" s="359" t="str">
        <f t="shared" si="24"/>
        <v/>
      </c>
      <c r="L183" s="359" t="str">
        <f t="shared" si="25"/>
        <v/>
      </c>
      <c r="M183" s="359" t="str">
        <f t="shared" si="26"/>
        <v/>
      </c>
      <c r="N183" s="149" t="str">
        <f t="shared" si="27"/>
        <v/>
      </c>
    </row>
    <row r="184" spans="1:14" ht="1.9" customHeight="1">
      <c r="A184" s="416" t="str">
        <f>IF(OR('20_Registro_Diario'!A184="",'20_Registro_Diario'!A184=0),"",'20_Registro_Diario'!A184)</f>
        <v/>
      </c>
      <c r="B184" s="362" t="str">
        <f>IF(A184="","",--(LOWER('20_Registro_Diario'!C184)="sí"))</f>
        <v/>
      </c>
      <c r="C184" s="362" t="str">
        <f>IF(A184="","",--(LOWER('20_Registro_Diario'!D184)="sí"))</f>
        <v/>
      </c>
      <c r="D184" s="362" t="str">
        <f>IF(A184="","",--(LOWER('20_Registro_Diario'!E184)="sí"))</f>
        <v/>
      </c>
      <c r="E184" s="362" t="str">
        <f>IF(A184="","",--(LOWER('20_Registro_Diario'!F184)="sí"))</f>
        <v/>
      </c>
      <c r="F184" s="362" t="str">
        <f>IF(A184="","",--(LOWER('20_Registro_Diario'!G184)="sí"))</f>
        <v/>
      </c>
      <c r="G184" s="363" t="str">
        <f>IF(A184="","",IFERROR('20_Registro_Diario'!I184,0))</f>
        <v/>
      </c>
      <c r="H184" s="364" t="str">
        <f t="shared" si="21"/>
        <v/>
      </c>
      <c r="I184" s="365" t="str">
        <f t="shared" si="22"/>
        <v/>
      </c>
      <c r="J184" s="340" t="str">
        <f t="shared" si="23"/>
        <v/>
      </c>
      <c r="K184" s="359" t="str">
        <f t="shared" si="24"/>
        <v/>
      </c>
      <c r="L184" s="359" t="str">
        <f t="shared" si="25"/>
        <v/>
      </c>
      <c r="M184" s="359" t="str">
        <f t="shared" si="26"/>
        <v/>
      </c>
      <c r="N184" s="149" t="str">
        <f t="shared" si="27"/>
        <v/>
      </c>
    </row>
    <row r="185" spans="1:14" ht="1.9" customHeight="1">
      <c r="A185" s="416" t="str">
        <f>IF(OR('20_Registro_Diario'!A185="",'20_Registro_Diario'!A185=0),"",'20_Registro_Diario'!A185)</f>
        <v/>
      </c>
      <c r="B185" s="362" t="str">
        <f>IF(A185="","",--(LOWER('20_Registro_Diario'!C185)="sí"))</f>
        <v/>
      </c>
      <c r="C185" s="362" t="str">
        <f>IF(A185="","",--(LOWER('20_Registro_Diario'!D185)="sí"))</f>
        <v/>
      </c>
      <c r="D185" s="362" t="str">
        <f>IF(A185="","",--(LOWER('20_Registro_Diario'!E185)="sí"))</f>
        <v/>
      </c>
      <c r="E185" s="362" t="str">
        <f>IF(A185="","",--(LOWER('20_Registro_Diario'!F185)="sí"))</f>
        <v/>
      </c>
      <c r="F185" s="362" t="str">
        <f>IF(A185="","",--(LOWER('20_Registro_Diario'!G185)="sí"))</f>
        <v/>
      </c>
      <c r="G185" s="363" t="str">
        <f>IF(A185="","",IFERROR('20_Registro_Diario'!I185,0))</f>
        <v/>
      </c>
      <c r="H185" s="364" t="str">
        <f t="shared" si="21"/>
        <v/>
      </c>
      <c r="I185" s="365" t="str">
        <f t="shared" si="22"/>
        <v/>
      </c>
      <c r="J185" s="340" t="str">
        <f t="shared" si="23"/>
        <v/>
      </c>
      <c r="K185" s="359" t="str">
        <f t="shared" si="24"/>
        <v/>
      </c>
      <c r="L185" s="359" t="str">
        <f t="shared" si="25"/>
        <v/>
      </c>
      <c r="M185" s="359" t="str">
        <f t="shared" si="26"/>
        <v/>
      </c>
      <c r="N185" s="149" t="str">
        <f t="shared" si="27"/>
        <v/>
      </c>
    </row>
    <row r="186" spans="1:14" ht="1.9" customHeight="1">
      <c r="A186" s="416" t="str">
        <f>IF(OR('20_Registro_Diario'!A186="",'20_Registro_Diario'!A186=0),"",'20_Registro_Diario'!A186)</f>
        <v/>
      </c>
      <c r="B186" s="362" t="str">
        <f>IF(A186="","",--(LOWER('20_Registro_Diario'!C186)="sí"))</f>
        <v/>
      </c>
      <c r="C186" s="362" t="str">
        <f>IF(A186="","",--(LOWER('20_Registro_Diario'!D186)="sí"))</f>
        <v/>
      </c>
      <c r="D186" s="362" t="str">
        <f>IF(A186="","",--(LOWER('20_Registro_Diario'!E186)="sí"))</f>
        <v/>
      </c>
      <c r="E186" s="362" t="str">
        <f>IF(A186="","",--(LOWER('20_Registro_Diario'!F186)="sí"))</f>
        <v/>
      </c>
      <c r="F186" s="362" t="str">
        <f>IF(A186="","",--(LOWER('20_Registro_Diario'!G186)="sí"))</f>
        <v/>
      </c>
      <c r="G186" s="363" t="str">
        <f>IF(A186="","",IFERROR('20_Registro_Diario'!I186,0))</f>
        <v/>
      </c>
      <c r="H186" s="364" t="str">
        <f t="shared" si="21"/>
        <v/>
      </c>
      <c r="I186" s="365" t="str">
        <f t="shared" si="22"/>
        <v/>
      </c>
      <c r="J186" s="340" t="str">
        <f t="shared" si="23"/>
        <v/>
      </c>
      <c r="K186" s="359" t="str">
        <f t="shared" si="24"/>
        <v/>
      </c>
      <c r="L186" s="359" t="str">
        <f t="shared" si="25"/>
        <v/>
      </c>
      <c r="M186" s="359" t="str">
        <f t="shared" si="26"/>
        <v/>
      </c>
      <c r="N186" s="149" t="str">
        <f t="shared" si="27"/>
        <v/>
      </c>
    </row>
    <row r="187" spans="1:14" ht="1.9" customHeight="1">
      <c r="A187" s="416" t="str">
        <f>IF(OR('20_Registro_Diario'!A187="",'20_Registro_Diario'!A187=0),"",'20_Registro_Diario'!A187)</f>
        <v/>
      </c>
      <c r="B187" s="362" t="str">
        <f>IF(A187="","",--(LOWER('20_Registro_Diario'!C187)="sí"))</f>
        <v/>
      </c>
      <c r="C187" s="362" t="str">
        <f>IF(A187="","",--(LOWER('20_Registro_Diario'!D187)="sí"))</f>
        <v/>
      </c>
      <c r="D187" s="362" t="str">
        <f>IF(A187="","",--(LOWER('20_Registro_Diario'!E187)="sí"))</f>
        <v/>
      </c>
      <c r="E187" s="362" t="str">
        <f>IF(A187="","",--(LOWER('20_Registro_Diario'!F187)="sí"))</f>
        <v/>
      </c>
      <c r="F187" s="362" t="str">
        <f>IF(A187="","",--(LOWER('20_Registro_Diario'!G187)="sí"))</f>
        <v/>
      </c>
      <c r="G187" s="363" t="str">
        <f>IF(A187="","",IFERROR('20_Registro_Diario'!I187,0))</f>
        <v/>
      </c>
      <c r="H187" s="364" t="str">
        <f t="shared" si="21"/>
        <v/>
      </c>
      <c r="I187" s="365" t="str">
        <f t="shared" si="22"/>
        <v/>
      </c>
      <c r="J187" s="340" t="str">
        <f t="shared" si="23"/>
        <v/>
      </c>
      <c r="K187" s="359" t="str">
        <f t="shared" si="24"/>
        <v/>
      </c>
      <c r="L187" s="359" t="str">
        <f t="shared" si="25"/>
        <v/>
      </c>
      <c r="M187" s="359" t="str">
        <f t="shared" si="26"/>
        <v/>
      </c>
      <c r="N187" s="149" t="str">
        <f t="shared" si="27"/>
        <v/>
      </c>
    </row>
    <row r="188" spans="1:14" ht="1.9" customHeight="1">
      <c r="A188" s="416" t="str">
        <f>IF(OR('20_Registro_Diario'!A188="",'20_Registro_Diario'!A188=0),"",'20_Registro_Diario'!A188)</f>
        <v/>
      </c>
      <c r="B188" s="362" t="str">
        <f>IF(A188="","",--(LOWER('20_Registro_Diario'!C188)="sí"))</f>
        <v/>
      </c>
      <c r="C188" s="362" t="str">
        <f>IF(A188="","",--(LOWER('20_Registro_Diario'!D188)="sí"))</f>
        <v/>
      </c>
      <c r="D188" s="362" t="str">
        <f>IF(A188="","",--(LOWER('20_Registro_Diario'!E188)="sí"))</f>
        <v/>
      </c>
      <c r="E188" s="362" t="str">
        <f>IF(A188="","",--(LOWER('20_Registro_Diario'!F188)="sí"))</f>
        <v/>
      </c>
      <c r="F188" s="362" t="str">
        <f>IF(A188="","",--(LOWER('20_Registro_Diario'!G188)="sí"))</f>
        <v/>
      </c>
      <c r="G188" s="363" t="str">
        <f>IF(A188="","",IFERROR('20_Registro_Diario'!I188,0))</f>
        <v/>
      </c>
      <c r="H188" s="364" t="str">
        <f t="shared" si="21"/>
        <v/>
      </c>
      <c r="I188" s="365" t="str">
        <f t="shared" si="22"/>
        <v/>
      </c>
      <c r="J188" s="340" t="str">
        <f t="shared" si="23"/>
        <v/>
      </c>
      <c r="K188" s="359" t="str">
        <f t="shared" si="24"/>
        <v/>
      </c>
      <c r="L188" s="359" t="str">
        <f t="shared" si="25"/>
        <v/>
      </c>
      <c r="M188" s="359" t="str">
        <f t="shared" si="26"/>
        <v/>
      </c>
      <c r="N188" s="149" t="str">
        <f t="shared" si="27"/>
        <v/>
      </c>
    </row>
    <row r="189" spans="1:14" ht="1.9" customHeight="1">
      <c r="A189" s="416" t="str">
        <f>IF(OR('20_Registro_Diario'!A189="",'20_Registro_Diario'!A189=0),"",'20_Registro_Diario'!A189)</f>
        <v/>
      </c>
      <c r="B189" s="362" t="str">
        <f>IF(A189="","",--(LOWER('20_Registro_Diario'!C189)="sí"))</f>
        <v/>
      </c>
      <c r="C189" s="362" t="str">
        <f>IF(A189="","",--(LOWER('20_Registro_Diario'!D189)="sí"))</f>
        <v/>
      </c>
      <c r="D189" s="362" t="str">
        <f>IF(A189="","",--(LOWER('20_Registro_Diario'!E189)="sí"))</f>
        <v/>
      </c>
      <c r="E189" s="362" t="str">
        <f>IF(A189="","",--(LOWER('20_Registro_Diario'!F189)="sí"))</f>
        <v/>
      </c>
      <c r="F189" s="362" t="str">
        <f>IF(A189="","",--(LOWER('20_Registro_Diario'!G189)="sí"))</f>
        <v/>
      </c>
      <c r="G189" s="363" t="str">
        <f>IF(A189="","",IFERROR('20_Registro_Diario'!I189,0))</f>
        <v/>
      </c>
      <c r="H189" s="364" t="str">
        <f t="shared" si="21"/>
        <v/>
      </c>
      <c r="I189" s="365" t="str">
        <f t="shared" si="22"/>
        <v/>
      </c>
      <c r="J189" s="340" t="str">
        <f t="shared" si="23"/>
        <v/>
      </c>
      <c r="K189" s="359" t="str">
        <f t="shared" si="24"/>
        <v/>
      </c>
      <c r="L189" s="359" t="str">
        <f t="shared" si="25"/>
        <v/>
      </c>
      <c r="M189" s="359" t="str">
        <f t="shared" si="26"/>
        <v/>
      </c>
      <c r="N189" s="149" t="str">
        <f t="shared" si="27"/>
        <v/>
      </c>
    </row>
    <row r="190" spans="1:14" ht="1.9" customHeight="1">
      <c r="A190" s="416" t="str">
        <f>IF(OR('20_Registro_Diario'!A190="",'20_Registro_Diario'!A190=0),"",'20_Registro_Diario'!A190)</f>
        <v/>
      </c>
      <c r="B190" s="362" t="str">
        <f>IF(A190="","",--(LOWER('20_Registro_Diario'!C190)="sí"))</f>
        <v/>
      </c>
      <c r="C190" s="362" t="str">
        <f>IF(A190="","",--(LOWER('20_Registro_Diario'!D190)="sí"))</f>
        <v/>
      </c>
      <c r="D190" s="362" t="str">
        <f>IF(A190="","",--(LOWER('20_Registro_Diario'!E190)="sí"))</f>
        <v/>
      </c>
      <c r="E190" s="362" t="str">
        <f>IF(A190="","",--(LOWER('20_Registro_Diario'!F190)="sí"))</f>
        <v/>
      </c>
      <c r="F190" s="362" t="str">
        <f>IF(A190="","",--(LOWER('20_Registro_Diario'!G190)="sí"))</f>
        <v/>
      </c>
      <c r="G190" s="363" t="str">
        <f>IF(A190="","",IFERROR('20_Registro_Diario'!I190,0))</f>
        <v/>
      </c>
      <c r="H190" s="364" t="str">
        <f t="shared" si="21"/>
        <v/>
      </c>
      <c r="I190" s="365" t="str">
        <f t="shared" si="22"/>
        <v/>
      </c>
      <c r="J190" s="340" t="str">
        <f t="shared" si="23"/>
        <v/>
      </c>
      <c r="K190" s="359" t="str">
        <f t="shared" si="24"/>
        <v/>
      </c>
      <c r="L190" s="359" t="str">
        <f t="shared" si="25"/>
        <v/>
      </c>
      <c r="M190" s="359" t="str">
        <f t="shared" si="26"/>
        <v/>
      </c>
      <c r="N190" s="149" t="str">
        <f t="shared" si="27"/>
        <v/>
      </c>
    </row>
    <row r="191" spans="1:14" ht="1.9" customHeight="1">
      <c r="A191" s="416" t="str">
        <f>IF(OR('20_Registro_Diario'!A191="",'20_Registro_Diario'!A191=0),"",'20_Registro_Diario'!A191)</f>
        <v/>
      </c>
      <c r="B191" s="362" t="str">
        <f>IF(A191="","",--(LOWER('20_Registro_Diario'!C191)="sí"))</f>
        <v/>
      </c>
      <c r="C191" s="362" t="str">
        <f>IF(A191="","",--(LOWER('20_Registro_Diario'!D191)="sí"))</f>
        <v/>
      </c>
      <c r="D191" s="362" t="str">
        <f>IF(A191="","",--(LOWER('20_Registro_Diario'!E191)="sí"))</f>
        <v/>
      </c>
      <c r="E191" s="362" t="str">
        <f>IF(A191="","",--(LOWER('20_Registro_Diario'!F191)="sí"))</f>
        <v/>
      </c>
      <c r="F191" s="362" t="str">
        <f>IF(A191="","",--(LOWER('20_Registro_Diario'!G191)="sí"))</f>
        <v/>
      </c>
      <c r="G191" s="363" t="str">
        <f>IF(A191="","",IFERROR('20_Registro_Diario'!I191,0))</f>
        <v/>
      </c>
      <c r="H191" s="364" t="str">
        <f t="shared" si="21"/>
        <v/>
      </c>
      <c r="I191" s="365" t="str">
        <f t="shared" si="22"/>
        <v/>
      </c>
      <c r="J191" s="340" t="str">
        <f t="shared" si="23"/>
        <v/>
      </c>
      <c r="K191" s="359" t="str">
        <f t="shared" si="24"/>
        <v/>
      </c>
      <c r="L191" s="359" t="str">
        <f t="shared" si="25"/>
        <v/>
      </c>
      <c r="M191" s="359" t="str">
        <f t="shared" si="26"/>
        <v/>
      </c>
      <c r="N191" s="149" t="str">
        <f t="shared" si="27"/>
        <v/>
      </c>
    </row>
    <row r="192" spans="1:14" ht="1.9" customHeight="1">
      <c r="A192" s="416" t="str">
        <f>IF(OR('20_Registro_Diario'!A192="",'20_Registro_Diario'!A192=0),"",'20_Registro_Diario'!A192)</f>
        <v/>
      </c>
      <c r="B192" s="362" t="str">
        <f>IF(A192="","",--(LOWER('20_Registro_Diario'!C192)="sí"))</f>
        <v/>
      </c>
      <c r="C192" s="362" t="str">
        <f>IF(A192="","",--(LOWER('20_Registro_Diario'!D192)="sí"))</f>
        <v/>
      </c>
      <c r="D192" s="362" t="str">
        <f>IF(A192="","",--(LOWER('20_Registro_Diario'!E192)="sí"))</f>
        <v/>
      </c>
      <c r="E192" s="362" t="str">
        <f>IF(A192="","",--(LOWER('20_Registro_Diario'!F192)="sí"))</f>
        <v/>
      </c>
      <c r="F192" s="362" t="str">
        <f>IF(A192="","",--(LOWER('20_Registro_Diario'!G192)="sí"))</f>
        <v/>
      </c>
      <c r="G192" s="363" t="str">
        <f>IF(A192="","",IFERROR('20_Registro_Diario'!I192,0))</f>
        <v/>
      </c>
      <c r="H192" s="364" t="str">
        <f t="shared" si="21"/>
        <v/>
      </c>
      <c r="I192" s="365" t="str">
        <f t="shared" si="22"/>
        <v/>
      </c>
      <c r="J192" s="340" t="str">
        <f t="shared" si="23"/>
        <v/>
      </c>
      <c r="K192" s="359" t="str">
        <f t="shared" si="24"/>
        <v/>
      </c>
      <c r="L192" s="359" t="str">
        <f t="shared" si="25"/>
        <v/>
      </c>
      <c r="M192" s="359" t="str">
        <f t="shared" si="26"/>
        <v/>
      </c>
      <c r="N192" s="149" t="str">
        <f t="shared" si="27"/>
        <v/>
      </c>
    </row>
    <row r="193" spans="1:14" ht="1.9" customHeight="1">
      <c r="A193" s="416" t="str">
        <f>IF(OR('20_Registro_Diario'!A193="",'20_Registro_Diario'!A193=0),"",'20_Registro_Diario'!A193)</f>
        <v/>
      </c>
      <c r="B193" s="362" t="str">
        <f>IF(A193="","",--(LOWER('20_Registro_Diario'!C193)="sí"))</f>
        <v/>
      </c>
      <c r="C193" s="362" t="str">
        <f>IF(A193="","",--(LOWER('20_Registro_Diario'!D193)="sí"))</f>
        <v/>
      </c>
      <c r="D193" s="362" t="str">
        <f>IF(A193="","",--(LOWER('20_Registro_Diario'!E193)="sí"))</f>
        <v/>
      </c>
      <c r="E193" s="362" t="str">
        <f>IF(A193="","",--(LOWER('20_Registro_Diario'!F193)="sí"))</f>
        <v/>
      </c>
      <c r="F193" s="362" t="str">
        <f>IF(A193="","",--(LOWER('20_Registro_Diario'!G193)="sí"))</f>
        <v/>
      </c>
      <c r="G193" s="363" t="str">
        <f>IF(A193="","",IFERROR('20_Registro_Diario'!I193,0))</f>
        <v/>
      </c>
      <c r="H193" s="364" t="str">
        <f t="shared" si="21"/>
        <v/>
      </c>
      <c r="I193" s="365" t="str">
        <f t="shared" si="22"/>
        <v/>
      </c>
      <c r="J193" s="340" t="str">
        <f t="shared" si="23"/>
        <v/>
      </c>
      <c r="K193" s="359" t="str">
        <f t="shared" si="24"/>
        <v/>
      </c>
      <c r="L193" s="359" t="str">
        <f t="shared" si="25"/>
        <v/>
      </c>
      <c r="M193" s="359" t="str">
        <f t="shared" si="26"/>
        <v/>
      </c>
      <c r="N193" s="149" t="str">
        <f t="shared" si="27"/>
        <v/>
      </c>
    </row>
    <row r="194" spans="1:14" ht="1.9" customHeight="1">
      <c r="A194" s="416" t="str">
        <f>IF(OR('20_Registro_Diario'!A194="",'20_Registro_Diario'!A194=0),"",'20_Registro_Diario'!A194)</f>
        <v/>
      </c>
      <c r="B194" s="362" t="str">
        <f>IF(A194="","",--(LOWER('20_Registro_Diario'!C194)="sí"))</f>
        <v/>
      </c>
      <c r="C194" s="362" t="str">
        <f>IF(A194="","",--(LOWER('20_Registro_Diario'!D194)="sí"))</f>
        <v/>
      </c>
      <c r="D194" s="362" t="str">
        <f>IF(A194="","",--(LOWER('20_Registro_Diario'!E194)="sí"))</f>
        <v/>
      </c>
      <c r="E194" s="362" t="str">
        <f>IF(A194="","",--(LOWER('20_Registro_Diario'!F194)="sí"))</f>
        <v/>
      </c>
      <c r="F194" s="362" t="str">
        <f>IF(A194="","",--(LOWER('20_Registro_Diario'!G194)="sí"))</f>
        <v/>
      </c>
      <c r="G194" s="363" t="str">
        <f>IF(A194="","",IFERROR('20_Registro_Diario'!I194,0))</f>
        <v/>
      </c>
      <c r="H194" s="364" t="str">
        <f t="shared" si="21"/>
        <v/>
      </c>
      <c r="I194" s="365" t="str">
        <f t="shared" si="22"/>
        <v/>
      </c>
      <c r="J194" s="340" t="str">
        <f t="shared" si="23"/>
        <v/>
      </c>
      <c r="K194" s="359" t="str">
        <f t="shared" si="24"/>
        <v/>
      </c>
      <c r="L194" s="359" t="str">
        <f t="shared" si="25"/>
        <v/>
      </c>
      <c r="M194" s="359" t="str">
        <f t="shared" si="26"/>
        <v/>
      </c>
      <c r="N194" s="149" t="str">
        <f t="shared" si="27"/>
        <v/>
      </c>
    </row>
    <row r="195" spans="1:14" ht="1.9" customHeight="1">
      <c r="A195" s="416" t="str">
        <f>IF(OR('20_Registro_Diario'!A195="",'20_Registro_Diario'!A195=0),"",'20_Registro_Diario'!A195)</f>
        <v/>
      </c>
      <c r="B195" s="362" t="str">
        <f>IF(A195="","",--(LOWER('20_Registro_Diario'!C195)="sí"))</f>
        <v/>
      </c>
      <c r="C195" s="362" t="str">
        <f>IF(A195="","",--(LOWER('20_Registro_Diario'!D195)="sí"))</f>
        <v/>
      </c>
      <c r="D195" s="362" t="str">
        <f>IF(A195="","",--(LOWER('20_Registro_Diario'!E195)="sí"))</f>
        <v/>
      </c>
      <c r="E195" s="362" t="str">
        <f>IF(A195="","",--(LOWER('20_Registro_Diario'!F195)="sí"))</f>
        <v/>
      </c>
      <c r="F195" s="362" t="str">
        <f>IF(A195="","",--(LOWER('20_Registro_Diario'!G195)="sí"))</f>
        <v/>
      </c>
      <c r="G195" s="363" t="str">
        <f>IF(A195="","",IFERROR('20_Registro_Diario'!I195,0))</f>
        <v/>
      </c>
      <c r="H195" s="364" t="str">
        <f t="shared" si="21"/>
        <v/>
      </c>
      <c r="I195" s="365" t="str">
        <f t="shared" si="22"/>
        <v/>
      </c>
      <c r="J195" s="340" t="str">
        <f t="shared" si="23"/>
        <v/>
      </c>
      <c r="K195" s="359" t="str">
        <f t="shared" si="24"/>
        <v/>
      </c>
      <c r="L195" s="359" t="str">
        <f t="shared" si="25"/>
        <v/>
      </c>
      <c r="M195" s="359" t="str">
        <f t="shared" si="26"/>
        <v/>
      </c>
      <c r="N195" s="149" t="str">
        <f t="shared" si="27"/>
        <v/>
      </c>
    </row>
    <row r="196" spans="1:14" ht="1.9" customHeight="1">
      <c r="A196" s="416" t="str">
        <f>IF(OR('20_Registro_Diario'!A196="",'20_Registro_Diario'!A196=0),"",'20_Registro_Diario'!A196)</f>
        <v/>
      </c>
      <c r="B196" s="362" t="str">
        <f>IF(A196="","",--(LOWER('20_Registro_Diario'!C196)="sí"))</f>
        <v/>
      </c>
      <c r="C196" s="362" t="str">
        <f>IF(A196="","",--(LOWER('20_Registro_Diario'!D196)="sí"))</f>
        <v/>
      </c>
      <c r="D196" s="362" t="str">
        <f>IF(A196="","",--(LOWER('20_Registro_Diario'!E196)="sí"))</f>
        <v/>
      </c>
      <c r="E196" s="362" t="str">
        <f>IF(A196="","",--(LOWER('20_Registro_Diario'!F196)="sí"))</f>
        <v/>
      </c>
      <c r="F196" s="362" t="str">
        <f>IF(A196="","",--(LOWER('20_Registro_Diario'!G196)="sí"))</f>
        <v/>
      </c>
      <c r="G196" s="363" t="str">
        <f>IF(A196="","",IFERROR('20_Registro_Diario'!I196,0))</f>
        <v/>
      </c>
      <c r="H196" s="364" t="str">
        <f t="shared" si="21"/>
        <v/>
      </c>
      <c r="I196" s="365" t="str">
        <f t="shared" si="22"/>
        <v/>
      </c>
      <c r="J196" s="340" t="str">
        <f t="shared" si="23"/>
        <v/>
      </c>
      <c r="K196" s="359" t="str">
        <f t="shared" si="24"/>
        <v/>
      </c>
      <c r="L196" s="359" t="str">
        <f t="shared" si="25"/>
        <v/>
      </c>
      <c r="M196" s="359" t="str">
        <f t="shared" si="26"/>
        <v/>
      </c>
      <c r="N196" s="149" t="str">
        <f t="shared" si="27"/>
        <v/>
      </c>
    </row>
    <row r="197" spans="1:14" ht="1.9" customHeight="1">
      <c r="A197" s="416" t="str">
        <f>IF(OR('20_Registro_Diario'!A197="",'20_Registro_Diario'!A197=0),"",'20_Registro_Diario'!A197)</f>
        <v/>
      </c>
      <c r="B197" s="362" t="str">
        <f>IF(A197="","",--(LOWER('20_Registro_Diario'!C197)="sí"))</f>
        <v/>
      </c>
      <c r="C197" s="362" t="str">
        <f>IF(A197="","",--(LOWER('20_Registro_Diario'!D197)="sí"))</f>
        <v/>
      </c>
      <c r="D197" s="362" t="str">
        <f>IF(A197="","",--(LOWER('20_Registro_Diario'!E197)="sí"))</f>
        <v/>
      </c>
      <c r="E197" s="362" t="str">
        <f>IF(A197="","",--(LOWER('20_Registro_Diario'!F197)="sí"))</f>
        <v/>
      </c>
      <c r="F197" s="362" t="str">
        <f>IF(A197="","",--(LOWER('20_Registro_Diario'!G197)="sí"))</f>
        <v/>
      </c>
      <c r="G197" s="363" t="str">
        <f>IF(A197="","",IFERROR('20_Registro_Diario'!I197,0))</f>
        <v/>
      </c>
      <c r="H197" s="364" t="str">
        <f t="shared" ref="H197:H260" si="28">IF(A197="","",IFERROR(SUM(B197:F197)/5,0))</f>
        <v/>
      </c>
      <c r="I197" s="365" t="str">
        <f t="shared" ref="I197:I260" si="29">IF(A197="","",IF(H197&gt;=0.8,"🟢 Fuerte",IF(H197&gt;=0.5,"🟡 En proceso","🔴 Riesgo")))</f>
        <v/>
      </c>
      <c r="J197" s="340" t="str">
        <f t="shared" ref="J197:J260" si="30">IF(A197="","",IF(B197=1,"Sí","No"))</f>
        <v/>
      </c>
      <c r="K197" s="359" t="str">
        <f t="shared" ref="K197:K260" si="31">IF(A197="","",IF(D197=1,"Con universidad","Sin universidad"))</f>
        <v/>
      </c>
      <c r="L197" s="359" t="str">
        <f t="shared" ref="L197:L260" si="32">IF(A197="","",IF(H197&gt;=0.8,"Alto",IF(H197&gt;=0.5,"Medio","Bajo")))</f>
        <v/>
      </c>
      <c r="M197" s="359" t="str">
        <f t="shared" ref="M197:M260" si="33">IF(A197="","",IF(H197&gt;=0.8,"🟢 Fuerte",IF(H197&gt;=0.5,"🟡 Día útil","🔴 Revisar")))</f>
        <v/>
      </c>
      <c r="N197" s="149" t="str">
        <f t="shared" ref="N197:N260" si="34">IF(A197="","",H197*100)</f>
        <v/>
      </c>
    </row>
    <row r="198" spans="1:14" ht="1.9" customHeight="1">
      <c r="A198" s="416" t="str">
        <f>IF(OR('20_Registro_Diario'!A198="",'20_Registro_Diario'!A198=0),"",'20_Registro_Diario'!A198)</f>
        <v/>
      </c>
      <c r="B198" s="362" t="str">
        <f>IF(A198="","",--(LOWER('20_Registro_Diario'!C198)="sí"))</f>
        <v/>
      </c>
      <c r="C198" s="362" t="str">
        <f>IF(A198="","",--(LOWER('20_Registro_Diario'!D198)="sí"))</f>
        <v/>
      </c>
      <c r="D198" s="362" t="str">
        <f>IF(A198="","",--(LOWER('20_Registro_Diario'!E198)="sí"))</f>
        <v/>
      </c>
      <c r="E198" s="362" t="str">
        <f>IF(A198="","",--(LOWER('20_Registro_Diario'!F198)="sí"))</f>
        <v/>
      </c>
      <c r="F198" s="362" t="str">
        <f>IF(A198="","",--(LOWER('20_Registro_Diario'!G198)="sí"))</f>
        <v/>
      </c>
      <c r="G198" s="363" t="str">
        <f>IF(A198="","",IFERROR('20_Registro_Diario'!I198,0))</f>
        <v/>
      </c>
      <c r="H198" s="364" t="str">
        <f t="shared" si="28"/>
        <v/>
      </c>
      <c r="I198" s="365" t="str">
        <f t="shared" si="29"/>
        <v/>
      </c>
      <c r="J198" s="340" t="str">
        <f t="shared" si="30"/>
        <v/>
      </c>
      <c r="K198" s="359" t="str">
        <f t="shared" si="31"/>
        <v/>
      </c>
      <c r="L198" s="359" t="str">
        <f t="shared" si="32"/>
        <v/>
      </c>
      <c r="M198" s="359" t="str">
        <f t="shared" si="33"/>
        <v/>
      </c>
      <c r="N198" s="149" t="str">
        <f t="shared" si="34"/>
        <v/>
      </c>
    </row>
    <row r="199" spans="1:14" ht="1.9" customHeight="1">
      <c r="A199" s="416" t="str">
        <f>IF(OR('20_Registro_Diario'!A199="",'20_Registro_Diario'!A199=0),"",'20_Registro_Diario'!A199)</f>
        <v/>
      </c>
      <c r="B199" s="362" t="str">
        <f>IF(A199="","",--(LOWER('20_Registro_Diario'!C199)="sí"))</f>
        <v/>
      </c>
      <c r="C199" s="362" t="str">
        <f>IF(A199="","",--(LOWER('20_Registro_Diario'!D199)="sí"))</f>
        <v/>
      </c>
      <c r="D199" s="362" t="str">
        <f>IF(A199="","",--(LOWER('20_Registro_Diario'!E199)="sí"))</f>
        <v/>
      </c>
      <c r="E199" s="362" t="str">
        <f>IF(A199="","",--(LOWER('20_Registro_Diario'!F199)="sí"))</f>
        <v/>
      </c>
      <c r="F199" s="362" t="str">
        <f>IF(A199="","",--(LOWER('20_Registro_Diario'!G199)="sí"))</f>
        <v/>
      </c>
      <c r="G199" s="363" t="str">
        <f>IF(A199="","",IFERROR('20_Registro_Diario'!I199,0))</f>
        <v/>
      </c>
      <c r="H199" s="364" t="str">
        <f t="shared" si="28"/>
        <v/>
      </c>
      <c r="I199" s="365" t="str">
        <f t="shared" si="29"/>
        <v/>
      </c>
      <c r="J199" s="340" t="str">
        <f t="shared" si="30"/>
        <v/>
      </c>
      <c r="K199" s="359" t="str">
        <f t="shared" si="31"/>
        <v/>
      </c>
      <c r="L199" s="359" t="str">
        <f t="shared" si="32"/>
        <v/>
      </c>
      <c r="M199" s="359" t="str">
        <f t="shared" si="33"/>
        <v/>
      </c>
      <c r="N199" s="149" t="str">
        <f t="shared" si="34"/>
        <v/>
      </c>
    </row>
    <row r="200" spans="1:14" ht="1.9" customHeight="1">
      <c r="A200" s="416" t="str">
        <f>IF(OR('20_Registro_Diario'!A200="",'20_Registro_Diario'!A200=0),"",'20_Registro_Diario'!A200)</f>
        <v/>
      </c>
      <c r="B200" s="362" t="str">
        <f>IF(A200="","",--(LOWER('20_Registro_Diario'!C200)="sí"))</f>
        <v/>
      </c>
      <c r="C200" s="362" t="str">
        <f>IF(A200="","",--(LOWER('20_Registro_Diario'!D200)="sí"))</f>
        <v/>
      </c>
      <c r="D200" s="362" t="str">
        <f>IF(A200="","",--(LOWER('20_Registro_Diario'!E200)="sí"))</f>
        <v/>
      </c>
      <c r="E200" s="362" t="str">
        <f>IF(A200="","",--(LOWER('20_Registro_Diario'!F200)="sí"))</f>
        <v/>
      </c>
      <c r="F200" s="362" t="str">
        <f>IF(A200="","",--(LOWER('20_Registro_Diario'!G200)="sí"))</f>
        <v/>
      </c>
      <c r="G200" s="363" t="str">
        <f>IF(A200="","",IFERROR('20_Registro_Diario'!I200,0))</f>
        <v/>
      </c>
      <c r="H200" s="364" t="str">
        <f t="shared" si="28"/>
        <v/>
      </c>
      <c r="I200" s="365" t="str">
        <f t="shared" si="29"/>
        <v/>
      </c>
      <c r="J200" s="340" t="str">
        <f t="shared" si="30"/>
        <v/>
      </c>
      <c r="K200" s="359" t="str">
        <f t="shared" si="31"/>
        <v/>
      </c>
      <c r="L200" s="359" t="str">
        <f t="shared" si="32"/>
        <v/>
      </c>
      <c r="M200" s="359" t="str">
        <f t="shared" si="33"/>
        <v/>
      </c>
      <c r="N200" s="149" t="str">
        <f t="shared" si="34"/>
        <v/>
      </c>
    </row>
    <row r="201" spans="1:14" ht="1.9" customHeight="1">
      <c r="A201" s="416" t="str">
        <f>IF(OR('20_Registro_Diario'!A201="",'20_Registro_Diario'!A201=0),"",'20_Registro_Diario'!A201)</f>
        <v/>
      </c>
      <c r="B201" s="362" t="str">
        <f>IF(A201="","",--(LOWER('20_Registro_Diario'!C201)="sí"))</f>
        <v/>
      </c>
      <c r="C201" s="362" t="str">
        <f>IF(A201="","",--(LOWER('20_Registro_Diario'!D201)="sí"))</f>
        <v/>
      </c>
      <c r="D201" s="362" t="str">
        <f>IF(A201="","",--(LOWER('20_Registro_Diario'!E201)="sí"))</f>
        <v/>
      </c>
      <c r="E201" s="362" t="str">
        <f>IF(A201="","",--(LOWER('20_Registro_Diario'!F201)="sí"))</f>
        <v/>
      </c>
      <c r="F201" s="362" t="str">
        <f>IF(A201="","",--(LOWER('20_Registro_Diario'!G201)="sí"))</f>
        <v/>
      </c>
      <c r="G201" s="363" t="str">
        <f>IF(A201="","",IFERROR('20_Registro_Diario'!I201,0))</f>
        <v/>
      </c>
      <c r="H201" s="364" t="str">
        <f t="shared" si="28"/>
        <v/>
      </c>
      <c r="I201" s="365" t="str">
        <f t="shared" si="29"/>
        <v/>
      </c>
      <c r="J201" s="340" t="str">
        <f t="shared" si="30"/>
        <v/>
      </c>
      <c r="K201" s="359" t="str">
        <f t="shared" si="31"/>
        <v/>
      </c>
      <c r="L201" s="359" t="str">
        <f t="shared" si="32"/>
        <v/>
      </c>
      <c r="M201" s="359" t="str">
        <f t="shared" si="33"/>
        <v/>
      </c>
      <c r="N201" s="149" t="str">
        <f t="shared" si="34"/>
        <v/>
      </c>
    </row>
    <row r="202" spans="1:14" ht="1.9" customHeight="1">
      <c r="A202" s="416" t="str">
        <f>IF(OR('20_Registro_Diario'!A202="",'20_Registro_Diario'!A202=0),"",'20_Registro_Diario'!A202)</f>
        <v/>
      </c>
      <c r="B202" s="362" t="str">
        <f>IF(A202="","",--(LOWER('20_Registro_Diario'!C202)="sí"))</f>
        <v/>
      </c>
      <c r="C202" s="362" t="str">
        <f>IF(A202="","",--(LOWER('20_Registro_Diario'!D202)="sí"))</f>
        <v/>
      </c>
      <c r="D202" s="362" t="str">
        <f>IF(A202="","",--(LOWER('20_Registro_Diario'!E202)="sí"))</f>
        <v/>
      </c>
      <c r="E202" s="362" t="str">
        <f>IF(A202="","",--(LOWER('20_Registro_Diario'!F202)="sí"))</f>
        <v/>
      </c>
      <c r="F202" s="362" t="str">
        <f>IF(A202="","",--(LOWER('20_Registro_Diario'!G202)="sí"))</f>
        <v/>
      </c>
      <c r="G202" s="363" t="str">
        <f>IF(A202="","",IFERROR('20_Registro_Diario'!I202,0))</f>
        <v/>
      </c>
      <c r="H202" s="364" t="str">
        <f t="shared" si="28"/>
        <v/>
      </c>
      <c r="I202" s="365" t="str">
        <f t="shared" si="29"/>
        <v/>
      </c>
      <c r="J202" s="340" t="str">
        <f t="shared" si="30"/>
        <v/>
      </c>
      <c r="K202" s="359" t="str">
        <f t="shared" si="31"/>
        <v/>
      </c>
      <c r="L202" s="359" t="str">
        <f t="shared" si="32"/>
        <v/>
      </c>
      <c r="M202" s="359" t="str">
        <f t="shared" si="33"/>
        <v/>
      </c>
      <c r="N202" s="149" t="str">
        <f t="shared" si="34"/>
        <v/>
      </c>
    </row>
    <row r="203" spans="1:14" ht="1.9" customHeight="1">
      <c r="A203" s="416" t="str">
        <f>IF(OR('20_Registro_Diario'!A203="",'20_Registro_Diario'!A203=0),"",'20_Registro_Diario'!A203)</f>
        <v/>
      </c>
      <c r="B203" s="362" t="str">
        <f>IF(A203="","",--(LOWER('20_Registro_Diario'!C203)="sí"))</f>
        <v/>
      </c>
      <c r="C203" s="362" t="str">
        <f>IF(A203="","",--(LOWER('20_Registro_Diario'!D203)="sí"))</f>
        <v/>
      </c>
      <c r="D203" s="362" t="str">
        <f>IF(A203="","",--(LOWER('20_Registro_Diario'!E203)="sí"))</f>
        <v/>
      </c>
      <c r="E203" s="362" t="str">
        <f>IF(A203="","",--(LOWER('20_Registro_Diario'!F203)="sí"))</f>
        <v/>
      </c>
      <c r="F203" s="362" t="str">
        <f>IF(A203="","",--(LOWER('20_Registro_Diario'!G203)="sí"))</f>
        <v/>
      </c>
      <c r="G203" s="363" t="str">
        <f>IF(A203="","",IFERROR('20_Registro_Diario'!I203,0))</f>
        <v/>
      </c>
      <c r="H203" s="364" t="str">
        <f t="shared" si="28"/>
        <v/>
      </c>
      <c r="I203" s="365" t="str">
        <f t="shared" si="29"/>
        <v/>
      </c>
      <c r="J203" s="340" t="str">
        <f t="shared" si="30"/>
        <v/>
      </c>
      <c r="K203" s="359" t="str">
        <f t="shared" si="31"/>
        <v/>
      </c>
      <c r="L203" s="359" t="str">
        <f t="shared" si="32"/>
        <v/>
      </c>
      <c r="M203" s="359" t="str">
        <f t="shared" si="33"/>
        <v/>
      </c>
      <c r="N203" s="149" t="str">
        <f t="shared" si="34"/>
        <v/>
      </c>
    </row>
    <row r="204" spans="1:14" ht="1.9" customHeight="1">
      <c r="A204" s="416" t="str">
        <f>IF(OR('20_Registro_Diario'!A204="",'20_Registro_Diario'!A204=0),"",'20_Registro_Diario'!A204)</f>
        <v/>
      </c>
      <c r="B204" s="362" t="str">
        <f>IF(A204="","",--(LOWER('20_Registro_Diario'!C204)="sí"))</f>
        <v/>
      </c>
      <c r="C204" s="362" t="str">
        <f>IF(A204="","",--(LOWER('20_Registro_Diario'!D204)="sí"))</f>
        <v/>
      </c>
      <c r="D204" s="362" t="str">
        <f>IF(A204="","",--(LOWER('20_Registro_Diario'!E204)="sí"))</f>
        <v/>
      </c>
      <c r="E204" s="362" t="str">
        <f>IF(A204="","",--(LOWER('20_Registro_Diario'!F204)="sí"))</f>
        <v/>
      </c>
      <c r="F204" s="362" t="str">
        <f>IF(A204="","",--(LOWER('20_Registro_Diario'!G204)="sí"))</f>
        <v/>
      </c>
      <c r="G204" s="363" t="str">
        <f>IF(A204="","",IFERROR('20_Registro_Diario'!I204,0))</f>
        <v/>
      </c>
      <c r="H204" s="364" t="str">
        <f t="shared" si="28"/>
        <v/>
      </c>
      <c r="I204" s="365" t="str">
        <f t="shared" si="29"/>
        <v/>
      </c>
      <c r="J204" s="340" t="str">
        <f t="shared" si="30"/>
        <v/>
      </c>
      <c r="K204" s="359" t="str">
        <f t="shared" si="31"/>
        <v/>
      </c>
      <c r="L204" s="359" t="str">
        <f t="shared" si="32"/>
        <v/>
      </c>
      <c r="M204" s="359" t="str">
        <f t="shared" si="33"/>
        <v/>
      </c>
      <c r="N204" s="149" t="str">
        <f t="shared" si="34"/>
        <v/>
      </c>
    </row>
    <row r="205" spans="1:14">
      <c r="A205" s="417" t="str">
        <f>IF(OR('20_Registro_Diario'!A205="",'20_Registro_Diario'!A205=0),"",'20_Registro_Diario'!A205)</f>
        <v/>
      </c>
      <c r="B205" s="359" t="str">
        <f>IF(A205="","",--(LOWER('20_Registro_Diario'!C205)="sí"))</f>
        <v/>
      </c>
      <c r="C205" s="359" t="str">
        <f>IF(A205="","",--(LOWER('20_Registro_Diario'!D205)="sí"))</f>
        <v/>
      </c>
      <c r="D205" s="359" t="str">
        <f>IF(A205="","",--(LOWER('20_Registro_Diario'!E205)="sí"))</f>
        <v/>
      </c>
      <c r="E205" s="359" t="str">
        <f>IF(A205="","",--(LOWER('20_Registro_Diario'!F205)="sí"))</f>
        <v/>
      </c>
      <c r="F205" s="359" t="str">
        <f>IF(A205="","",--(LOWER('20_Registro_Diario'!G205)="sí"))</f>
        <v/>
      </c>
      <c r="G205" s="366" t="str">
        <f>IF(A205="","",IFERROR('20_Registro_Diario'!I205,0))</f>
        <v/>
      </c>
      <c r="H205" s="368" t="str">
        <f t="shared" si="28"/>
        <v/>
      </c>
      <c r="I205" s="359" t="str">
        <f t="shared" si="29"/>
        <v/>
      </c>
      <c r="J205" s="359" t="str">
        <f t="shared" si="30"/>
        <v/>
      </c>
      <c r="K205" s="359" t="str">
        <f t="shared" si="31"/>
        <v/>
      </c>
      <c r="L205" s="359" t="str">
        <f t="shared" si="32"/>
        <v/>
      </c>
      <c r="M205" s="359" t="str">
        <f t="shared" si="33"/>
        <v/>
      </c>
      <c r="N205" s="149" t="str">
        <f t="shared" si="34"/>
        <v/>
      </c>
    </row>
    <row r="206" spans="1:14">
      <c r="A206" s="417" t="str">
        <f>IF(OR('20_Registro_Diario'!A206="",'20_Registro_Diario'!A206=0),"",'20_Registro_Diario'!A206)</f>
        <v/>
      </c>
      <c r="B206" s="359" t="str">
        <f>IF(A206="","",--(LOWER('20_Registro_Diario'!C206)="sí"))</f>
        <v/>
      </c>
      <c r="C206" s="359" t="str">
        <f>IF(A206="","",--(LOWER('20_Registro_Diario'!D206)="sí"))</f>
        <v/>
      </c>
      <c r="D206" s="359" t="str">
        <f>IF(A206="","",--(LOWER('20_Registro_Diario'!E206)="sí"))</f>
        <v/>
      </c>
      <c r="E206" s="359" t="str">
        <f>IF(A206="","",--(LOWER('20_Registro_Diario'!F206)="sí"))</f>
        <v/>
      </c>
      <c r="F206" s="359" t="str">
        <f>IF(A206="","",--(LOWER('20_Registro_Diario'!G206)="sí"))</f>
        <v/>
      </c>
      <c r="G206" s="366" t="str">
        <f>IF(A206="","",IFERROR('20_Registro_Diario'!I206,0))</f>
        <v/>
      </c>
      <c r="H206" s="368" t="str">
        <f t="shared" si="28"/>
        <v/>
      </c>
      <c r="I206" s="359" t="str">
        <f t="shared" si="29"/>
        <v/>
      </c>
      <c r="J206" s="359" t="str">
        <f t="shared" si="30"/>
        <v/>
      </c>
      <c r="K206" s="359" t="str">
        <f t="shared" si="31"/>
        <v/>
      </c>
      <c r="L206" s="359" t="str">
        <f t="shared" si="32"/>
        <v/>
      </c>
      <c r="M206" s="359" t="str">
        <f t="shared" si="33"/>
        <v/>
      </c>
      <c r="N206" s="149" t="str">
        <f t="shared" si="34"/>
        <v/>
      </c>
    </row>
    <row r="207" spans="1:14">
      <c r="A207" s="417" t="str">
        <f>IF(OR('20_Registro_Diario'!A207="",'20_Registro_Diario'!A207=0),"",'20_Registro_Diario'!A207)</f>
        <v/>
      </c>
      <c r="B207" s="359" t="str">
        <f>IF(A207="","",--(LOWER('20_Registro_Diario'!C207)="sí"))</f>
        <v/>
      </c>
      <c r="C207" s="359" t="str">
        <f>IF(A207="","",--(LOWER('20_Registro_Diario'!D207)="sí"))</f>
        <v/>
      </c>
      <c r="D207" s="359" t="str">
        <f>IF(A207="","",--(LOWER('20_Registro_Diario'!E207)="sí"))</f>
        <v/>
      </c>
      <c r="E207" s="359" t="str">
        <f>IF(A207="","",--(LOWER('20_Registro_Diario'!F207)="sí"))</f>
        <v/>
      </c>
      <c r="F207" s="359" t="str">
        <f>IF(A207="","",--(LOWER('20_Registro_Diario'!G207)="sí"))</f>
        <v/>
      </c>
      <c r="G207" s="366" t="str">
        <f>IF(A207="","",IFERROR('20_Registro_Diario'!I207,0))</f>
        <v/>
      </c>
      <c r="H207" s="368" t="str">
        <f t="shared" si="28"/>
        <v/>
      </c>
      <c r="I207" s="359" t="str">
        <f t="shared" si="29"/>
        <v/>
      </c>
      <c r="J207" s="359" t="str">
        <f t="shared" si="30"/>
        <v/>
      </c>
      <c r="K207" s="359" t="str">
        <f t="shared" si="31"/>
        <v/>
      </c>
      <c r="L207" s="359" t="str">
        <f t="shared" si="32"/>
        <v/>
      </c>
      <c r="M207" s="359" t="str">
        <f t="shared" si="33"/>
        <v/>
      </c>
      <c r="N207" s="149" t="str">
        <f t="shared" si="34"/>
        <v/>
      </c>
    </row>
    <row r="208" spans="1:14">
      <c r="A208" s="417" t="str">
        <f>IF(OR('20_Registro_Diario'!A208="",'20_Registro_Diario'!A208=0),"",'20_Registro_Diario'!A208)</f>
        <v/>
      </c>
      <c r="B208" s="359" t="str">
        <f>IF(A208="","",--(LOWER('20_Registro_Diario'!C208)="sí"))</f>
        <v/>
      </c>
      <c r="C208" s="359" t="str">
        <f>IF(A208="","",--(LOWER('20_Registro_Diario'!D208)="sí"))</f>
        <v/>
      </c>
      <c r="D208" s="359" t="str">
        <f>IF(A208="","",--(LOWER('20_Registro_Diario'!E208)="sí"))</f>
        <v/>
      </c>
      <c r="E208" s="359" t="str">
        <f>IF(A208="","",--(LOWER('20_Registro_Diario'!F208)="sí"))</f>
        <v/>
      </c>
      <c r="F208" s="359" t="str">
        <f>IF(A208="","",--(LOWER('20_Registro_Diario'!G208)="sí"))</f>
        <v/>
      </c>
      <c r="G208" s="366" t="str">
        <f>IF(A208="","",IFERROR('20_Registro_Diario'!I208,0))</f>
        <v/>
      </c>
      <c r="H208" s="368" t="str">
        <f t="shared" si="28"/>
        <v/>
      </c>
      <c r="I208" s="359" t="str">
        <f t="shared" si="29"/>
        <v/>
      </c>
      <c r="J208" s="359" t="str">
        <f t="shared" si="30"/>
        <v/>
      </c>
      <c r="K208" s="359" t="str">
        <f t="shared" si="31"/>
        <v/>
      </c>
      <c r="L208" s="359" t="str">
        <f t="shared" si="32"/>
        <v/>
      </c>
      <c r="M208" s="359" t="str">
        <f t="shared" si="33"/>
        <v/>
      </c>
      <c r="N208" s="149" t="str">
        <f t="shared" si="34"/>
        <v/>
      </c>
    </row>
    <row r="209" spans="1:14">
      <c r="A209" s="417" t="str">
        <f>IF(OR('20_Registro_Diario'!A209="",'20_Registro_Diario'!A209=0),"",'20_Registro_Diario'!A209)</f>
        <v/>
      </c>
      <c r="B209" s="359" t="str">
        <f>IF(A209="","",--(LOWER('20_Registro_Diario'!C209)="sí"))</f>
        <v/>
      </c>
      <c r="C209" s="359" t="str">
        <f>IF(A209="","",--(LOWER('20_Registro_Diario'!D209)="sí"))</f>
        <v/>
      </c>
      <c r="D209" s="359" t="str">
        <f>IF(A209="","",--(LOWER('20_Registro_Diario'!E209)="sí"))</f>
        <v/>
      </c>
      <c r="E209" s="359" t="str">
        <f>IF(A209="","",--(LOWER('20_Registro_Diario'!F209)="sí"))</f>
        <v/>
      </c>
      <c r="F209" s="359" t="str">
        <f>IF(A209="","",--(LOWER('20_Registro_Diario'!G209)="sí"))</f>
        <v/>
      </c>
      <c r="G209" s="366" t="str">
        <f>IF(A209="","",IFERROR('20_Registro_Diario'!I209,0))</f>
        <v/>
      </c>
      <c r="H209" s="368" t="str">
        <f t="shared" si="28"/>
        <v/>
      </c>
      <c r="I209" s="359" t="str">
        <f t="shared" si="29"/>
        <v/>
      </c>
      <c r="J209" s="359" t="str">
        <f t="shared" si="30"/>
        <v/>
      </c>
      <c r="K209" s="359" t="str">
        <f t="shared" si="31"/>
        <v/>
      </c>
      <c r="L209" s="359" t="str">
        <f t="shared" si="32"/>
        <v/>
      </c>
      <c r="M209" s="359" t="str">
        <f t="shared" si="33"/>
        <v/>
      </c>
      <c r="N209" s="149" t="str">
        <f t="shared" si="34"/>
        <v/>
      </c>
    </row>
    <row r="210" spans="1:14">
      <c r="A210" s="417" t="str">
        <f>IF(OR('20_Registro_Diario'!A210="",'20_Registro_Diario'!A210=0),"",'20_Registro_Diario'!A210)</f>
        <v/>
      </c>
      <c r="B210" s="359" t="str">
        <f>IF(A210="","",--(LOWER('20_Registro_Diario'!C210)="sí"))</f>
        <v/>
      </c>
      <c r="C210" s="359" t="str">
        <f>IF(A210="","",--(LOWER('20_Registro_Diario'!D210)="sí"))</f>
        <v/>
      </c>
      <c r="D210" s="359" t="str">
        <f>IF(A210="","",--(LOWER('20_Registro_Diario'!E210)="sí"))</f>
        <v/>
      </c>
      <c r="E210" s="359" t="str">
        <f>IF(A210="","",--(LOWER('20_Registro_Diario'!F210)="sí"))</f>
        <v/>
      </c>
      <c r="F210" s="359" t="str">
        <f>IF(A210="","",--(LOWER('20_Registro_Diario'!G210)="sí"))</f>
        <v/>
      </c>
      <c r="G210" s="366" t="str">
        <f>IF(A210="","",IFERROR('20_Registro_Diario'!I210,0))</f>
        <v/>
      </c>
      <c r="H210" s="368" t="str">
        <f t="shared" si="28"/>
        <v/>
      </c>
      <c r="I210" s="359" t="str">
        <f t="shared" si="29"/>
        <v/>
      </c>
      <c r="J210" s="359" t="str">
        <f t="shared" si="30"/>
        <v/>
      </c>
      <c r="K210" s="359" t="str">
        <f t="shared" si="31"/>
        <v/>
      </c>
      <c r="L210" s="359" t="str">
        <f t="shared" si="32"/>
        <v/>
      </c>
      <c r="M210" s="359" t="str">
        <f t="shared" si="33"/>
        <v/>
      </c>
      <c r="N210" s="149" t="str">
        <f t="shared" si="34"/>
        <v/>
      </c>
    </row>
    <row r="211" spans="1:14">
      <c r="A211" s="417" t="str">
        <f>IF(OR('20_Registro_Diario'!A211="",'20_Registro_Diario'!A211=0),"",'20_Registro_Diario'!A211)</f>
        <v/>
      </c>
      <c r="B211" s="359" t="str">
        <f>IF(A211="","",--(LOWER('20_Registro_Diario'!C211)="sí"))</f>
        <v/>
      </c>
      <c r="C211" s="359" t="str">
        <f>IF(A211="","",--(LOWER('20_Registro_Diario'!D211)="sí"))</f>
        <v/>
      </c>
      <c r="D211" s="359" t="str">
        <f>IF(A211="","",--(LOWER('20_Registro_Diario'!E211)="sí"))</f>
        <v/>
      </c>
      <c r="E211" s="359" t="str">
        <f>IF(A211="","",--(LOWER('20_Registro_Diario'!F211)="sí"))</f>
        <v/>
      </c>
      <c r="F211" s="359" t="str">
        <f>IF(A211="","",--(LOWER('20_Registro_Diario'!G211)="sí"))</f>
        <v/>
      </c>
      <c r="G211" s="366" t="str">
        <f>IF(A211="","",IFERROR('20_Registro_Diario'!I211,0))</f>
        <v/>
      </c>
      <c r="H211" s="368" t="str">
        <f t="shared" si="28"/>
        <v/>
      </c>
      <c r="I211" s="359" t="str">
        <f t="shared" si="29"/>
        <v/>
      </c>
      <c r="J211" s="359" t="str">
        <f t="shared" si="30"/>
        <v/>
      </c>
      <c r="K211" s="359" t="str">
        <f t="shared" si="31"/>
        <v/>
      </c>
      <c r="L211" s="359" t="str">
        <f t="shared" si="32"/>
        <v/>
      </c>
      <c r="M211" s="359" t="str">
        <f t="shared" si="33"/>
        <v/>
      </c>
      <c r="N211" s="149" t="str">
        <f t="shared" si="34"/>
        <v/>
      </c>
    </row>
    <row r="212" spans="1:14">
      <c r="A212" s="417" t="str">
        <f>IF(OR('20_Registro_Diario'!A212="",'20_Registro_Diario'!A212=0),"",'20_Registro_Diario'!A212)</f>
        <v/>
      </c>
      <c r="B212" s="359" t="str">
        <f>IF(A212="","",--(LOWER('20_Registro_Diario'!C212)="sí"))</f>
        <v/>
      </c>
      <c r="C212" s="359" t="str">
        <f>IF(A212="","",--(LOWER('20_Registro_Diario'!D212)="sí"))</f>
        <v/>
      </c>
      <c r="D212" s="359" t="str">
        <f>IF(A212="","",--(LOWER('20_Registro_Diario'!E212)="sí"))</f>
        <v/>
      </c>
      <c r="E212" s="359" t="str">
        <f>IF(A212="","",--(LOWER('20_Registro_Diario'!F212)="sí"))</f>
        <v/>
      </c>
      <c r="F212" s="359" t="str">
        <f>IF(A212="","",--(LOWER('20_Registro_Diario'!G212)="sí"))</f>
        <v/>
      </c>
      <c r="G212" s="366" t="str">
        <f>IF(A212="","",IFERROR('20_Registro_Diario'!I212,0))</f>
        <v/>
      </c>
      <c r="H212" s="368" t="str">
        <f t="shared" si="28"/>
        <v/>
      </c>
      <c r="I212" s="359" t="str">
        <f t="shared" si="29"/>
        <v/>
      </c>
      <c r="J212" s="359" t="str">
        <f t="shared" si="30"/>
        <v/>
      </c>
      <c r="K212" s="359" t="str">
        <f t="shared" si="31"/>
        <v/>
      </c>
      <c r="L212" s="359" t="str">
        <f t="shared" si="32"/>
        <v/>
      </c>
      <c r="M212" s="359" t="str">
        <f t="shared" si="33"/>
        <v/>
      </c>
      <c r="N212" s="149" t="str">
        <f t="shared" si="34"/>
        <v/>
      </c>
    </row>
    <row r="213" spans="1:14">
      <c r="A213" s="417" t="str">
        <f>IF(OR('20_Registro_Diario'!A213="",'20_Registro_Diario'!A213=0),"",'20_Registro_Diario'!A213)</f>
        <v/>
      </c>
      <c r="B213" s="359" t="str">
        <f>IF(A213="","",--(LOWER('20_Registro_Diario'!C213)="sí"))</f>
        <v/>
      </c>
      <c r="C213" s="359" t="str">
        <f>IF(A213="","",--(LOWER('20_Registro_Diario'!D213)="sí"))</f>
        <v/>
      </c>
      <c r="D213" s="359" t="str">
        <f>IF(A213="","",--(LOWER('20_Registro_Diario'!E213)="sí"))</f>
        <v/>
      </c>
      <c r="E213" s="359" t="str">
        <f>IF(A213="","",--(LOWER('20_Registro_Diario'!F213)="sí"))</f>
        <v/>
      </c>
      <c r="F213" s="359" t="str">
        <f>IF(A213="","",--(LOWER('20_Registro_Diario'!G213)="sí"))</f>
        <v/>
      </c>
      <c r="G213" s="366" t="str">
        <f>IF(A213="","",IFERROR('20_Registro_Diario'!I213,0))</f>
        <v/>
      </c>
      <c r="H213" s="368" t="str">
        <f t="shared" si="28"/>
        <v/>
      </c>
      <c r="I213" s="359" t="str">
        <f t="shared" si="29"/>
        <v/>
      </c>
      <c r="J213" s="359" t="str">
        <f t="shared" si="30"/>
        <v/>
      </c>
      <c r="K213" s="359" t="str">
        <f t="shared" si="31"/>
        <v/>
      </c>
      <c r="L213" s="359" t="str">
        <f t="shared" si="32"/>
        <v/>
      </c>
      <c r="M213" s="359" t="str">
        <f t="shared" si="33"/>
        <v/>
      </c>
      <c r="N213" s="149" t="str">
        <f t="shared" si="34"/>
        <v/>
      </c>
    </row>
    <row r="214" spans="1:14">
      <c r="A214" s="417" t="str">
        <f>IF(OR('20_Registro_Diario'!A214="",'20_Registro_Diario'!A214=0),"",'20_Registro_Diario'!A214)</f>
        <v/>
      </c>
      <c r="B214" s="359" t="str">
        <f>IF(A214="","",--(LOWER('20_Registro_Diario'!C214)="sí"))</f>
        <v/>
      </c>
      <c r="C214" s="359" t="str">
        <f>IF(A214="","",--(LOWER('20_Registro_Diario'!D214)="sí"))</f>
        <v/>
      </c>
      <c r="D214" s="359" t="str">
        <f>IF(A214="","",--(LOWER('20_Registro_Diario'!E214)="sí"))</f>
        <v/>
      </c>
      <c r="E214" s="359" t="str">
        <f>IF(A214="","",--(LOWER('20_Registro_Diario'!F214)="sí"))</f>
        <v/>
      </c>
      <c r="F214" s="359" t="str">
        <f>IF(A214="","",--(LOWER('20_Registro_Diario'!G214)="sí"))</f>
        <v/>
      </c>
      <c r="G214" s="366" t="str">
        <f>IF(A214="","",IFERROR('20_Registro_Diario'!I214,0))</f>
        <v/>
      </c>
      <c r="H214" s="368" t="str">
        <f t="shared" si="28"/>
        <v/>
      </c>
      <c r="I214" s="359" t="str">
        <f t="shared" si="29"/>
        <v/>
      </c>
      <c r="J214" s="359" t="str">
        <f t="shared" si="30"/>
        <v/>
      </c>
      <c r="K214" s="359" t="str">
        <f t="shared" si="31"/>
        <v/>
      </c>
      <c r="L214" s="359" t="str">
        <f t="shared" si="32"/>
        <v/>
      </c>
      <c r="M214" s="359" t="str">
        <f t="shared" si="33"/>
        <v/>
      </c>
      <c r="N214" s="149" t="str">
        <f t="shared" si="34"/>
        <v/>
      </c>
    </row>
    <row r="215" spans="1:14">
      <c r="A215" s="417" t="str">
        <f>IF(OR('20_Registro_Diario'!A215="",'20_Registro_Diario'!A215=0),"",'20_Registro_Diario'!A215)</f>
        <v/>
      </c>
      <c r="B215" s="359" t="str">
        <f>IF(A215="","",--(LOWER('20_Registro_Diario'!C215)="sí"))</f>
        <v/>
      </c>
      <c r="C215" s="359" t="str">
        <f>IF(A215="","",--(LOWER('20_Registro_Diario'!D215)="sí"))</f>
        <v/>
      </c>
      <c r="D215" s="359" t="str">
        <f>IF(A215="","",--(LOWER('20_Registro_Diario'!E215)="sí"))</f>
        <v/>
      </c>
      <c r="E215" s="359" t="str">
        <f>IF(A215="","",--(LOWER('20_Registro_Diario'!F215)="sí"))</f>
        <v/>
      </c>
      <c r="F215" s="359" t="str">
        <f>IF(A215="","",--(LOWER('20_Registro_Diario'!G215)="sí"))</f>
        <v/>
      </c>
      <c r="G215" s="366" t="str">
        <f>IF(A215="","",IFERROR('20_Registro_Diario'!I215,0))</f>
        <v/>
      </c>
      <c r="H215" s="368" t="str">
        <f t="shared" si="28"/>
        <v/>
      </c>
      <c r="I215" s="359" t="str">
        <f t="shared" si="29"/>
        <v/>
      </c>
      <c r="J215" s="359" t="str">
        <f t="shared" si="30"/>
        <v/>
      </c>
      <c r="K215" s="359" t="str">
        <f t="shared" si="31"/>
        <v/>
      </c>
      <c r="L215" s="359" t="str">
        <f t="shared" si="32"/>
        <v/>
      </c>
      <c r="M215" s="359" t="str">
        <f t="shared" si="33"/>
        <v/>
      </c>
      <c r="N215" s="149" t="str">
        <f t="shared" si="34"/>
        <v/>
      </c>
    </row>
    <row r="216" spans="1:14">
      <c r="A216" s="417" t="str">
        <f>IF(OR('20_Registro_Diario'!A216="",'20_Registro_Diario'!A216=0),"",'20_Registro_Diario'!A216)</f>
        <v/>
      </c>
      <c r="B216" s="359" t="str">
        <f>IF(A216="","",--(LOWER('20_Registro_Diario'!C216)="sí"))</f>
        <v/>
      </c>
      <c r="C216" s="359" t="str">
        <f>IF(A216="","",--(LOWER('20_Registro_Diario'!D216)="sí"))</f>
        <v/>
      </c>
      <c r="D216" s="359" t="str">
        <f>IF(A216="","",--(LOWER('20_Registro_Diario'!E216)="sí"))</f>
        <v/>
      </c>
      <c r="E216" s="359" t="str">
        <f>IF(A216="","",--(LOWER('20_Registro_Diario'!F216)="sí"))</f>
        <v/>
      </c>
      <c r="F216" s="359" t="str">
        <f>IF(A216="","",--(LOWER('20_Registro_Diario'!G216)="sí"))</f>
        <v/>
      </c>
      <c r="G216" s="366" t="str">
        <f>IF(A216="","",IFERROR('20_Registro_Diario'!I216,0))</f>
        <v/>
      </c>
      <c r="H216" s="368" t="str">
        <f t="shared" si="28"/>
        <v/>
      </c>
      <c r="I216" s="359" t="str">
        <f t="shared" si="29"/>
        <v/>
      </c>
      <c r="J216" s="359" t="str">
        <f t="shared" si="30"/>
        <v/>
      </c>
      <c r="K216" s="359" t="str">
        <f t="shared" si="31"/>
        <v/>
      </c>
      <c r="L216" s="359" t="str">
        <f t="shared" si="32"/>
        <v/>
      </c>
      <c r="M216" s="359" t="str">
        <f t="shared" si="33"/>
        <v/>
      </c>
      <c r="N216" s="149" t="str">
        <f t="shared" si="34"/>
        <v/>
      </c>
    </row>
    <row r="217" spans="1:14">
      <c r="A217" s="417" t="str">
        <f>IF(OR('20_Registro_Diario'!A217="",'20_Registro_Diario'!A217=0),"",'20_Registro_Diario'!A217)</f>
        <v/>
      </c>
      <c r="B217" s="359" t="str">
        <f>IF(A217="","",--(LOWER('20_Registro_Diario'!C217)="sí"))</f>
        <v/>
      </c>
      <c r="C217" s="359" t="str">
        <f>IF(A217="","",--(LOWER('20_Registro_Diario'!D217)="sí"))</f>
        <v/>
      </c>
      <c r="D217" s="359" t="str">
        <f>IF(A217="","",--(LOWER('20_Registro_Diario'!E217)="sí"))</f>
        <v/>
      </c>
      <c r="E217" s="359" t="str">
        <f>IF(A217="","",--(LOWER('20_Registro_Diario'!F217)="sí"))</f>
        <v/>
      </c>
      <c r="F217" s="359" t="str">
        <f>IF(A217="","",--(LOWER('20_Registro_Diario'!G217)="sí"))</f>
        <v/>
      </c>
      <c r="G217" s="366" t="str">
        <f>IF(A217="","",IFERROR('20_Registro_Diario'!I217,0))</f>
        <v/>
      </c>
      <c r="H217" s="368" t="str">
        <f t="shared" si="28"/>
        <v/>
      </c>
      <c r="I217" s="359" t="str">
        <f t="shared" si="29"/>
        <v/>
      </c>
      <c r="J217" s="359" t="str">
        <f t="shared" si="30"/>
        <v/>
      </c>
      <c r="K217" s="359" t="str">
        <f t="shared" si="31"/>
        <v/>
      </c>
      <c r="L217" s="359" t="str">
        <f t="shared" si="32"/>
        <v/>
      </c>
      <c r="M217" s="359" t="str">
        <f t="shared" si="33"/>
        <v/>
      </c>
      <c r="N217" s="149" t="str">
        <f t="shared" si="34"/>
        <v/>
      </c>
    </row>
    <row r="218" spans="1:14">
      <c r="A218" s="417" t="str">
        <f>IF(OR('20_Registro_Diario'!A218="",'20_Registro_Diario'!A218=0),"",'20_Registro_Diario'!A218)</f>
        <v/>
      </c>
      <c r="B218" s="359" t="str">
        <f>IF(A218="","",--(LOWER('20_Registro_Diario'!C218)="sí"))</f>
        <v/>
      </c>
      <c r="C218" s="359" t="str">
        <f>IF(A218="","",--(LOWER('20_Registro_Diario'!D218)="sí"))</f>
        <v/>
      </c>
      <c r="D218" s="359" t="str">
        <f>IF(A218="","",--(LOWER('20_Registro_Diario'!E218)="sí"))</f>
        <v/>
      </c>
      <c r="E218" s="359" t="str">
        <f>IF(A218="","",--(LOWER('20_Registro_Diario'!F218)="sí"))</f>
        <v/>
      </c>
      <c r="F218" s="359" t="str">
        <f>IF(A218="","",--(LOWER('20_Registro_Diario'!G218)="sí"))</f>
        <v/>
      </c>
      <c r="G218" s="366" t="str">
        <f>IF(A218="","",IFERROR('20_Registro_Diario'!I218,0))</f>
        <v/>
      </c>
      <c r="H218" s="368" t="str">
        <f t="shared" si="28"/>
        <v/>
      </c>
      <c r="I218" s="359" t="str">
        <f t="shared" si="29"/>
        <v/>
      </c>
      <c r="J218" s="359" t="str">
        <f t="shared" si="30"/>
        <v/>
      </c>
      <c r="K218" s="359" t="str">
        <f t="shared" si="31"/>
        <v/>
      </c>
      <c r="L218" s="359" t="str">
        <f t="shared" si="32"/>
        <v/>
      </c>
      <c r="M218" s="359" t="str">
        <f t="shared" si="33"/>
        <v/>
      </c>
      <c r="N218" s="149" t="str">
        <f t="shared" si="34"/>
        <v/>
      </c>
    </row>
    <row r="219" spans="1:14">
      <c r="A219" s="417" t="str">
        <f>IF(OR('20_Registro_Diario'!A219="",'20_Registro_Diario'!A219=0),"",'20_Registro_Diario'!A219)</f>
        <v/>
      </c>
      <c r="B219" s="359" t="str">
        <f>IF(A219="","",--(LOWER('20_Registro_Diario'!C219)="sí"))</f>
        <v/>
      </c>
      <c r="C219" s="359" t="str">
        <f>IF(A219="","",--(LOWER('20_Registro_Diario'!D219)="sí"))</f>
        <v/>
      </c>
      <c r="D219" s="359" t="str">
        <f>IF(A219="","",--(LOWER('20_Registro_Diario'!E219)="sí"))</f>
        <v/>
      </c>
      <c r="E219" s="359" t="str">
        <f>IF(A219="","",--(LOWER('20_Registro_Diario'!F219)="sí"))</f>
        <v/>
      </c>
      <c r="F219" s="359" t="str">
        <f>IF(A219="","",--(LOWER('20_Registro_Diario'!G219)="sí"))</f>
        <v/>
      </c>
      <c r="G219" s="366" t="str">
        <f>IF(A219="","",IFERROR('20_Registro_Diario'!I219,0))</f>
        <v/>
      </c>
      <c r="H219" s="368" t="str">
        <f t="shared" si="28"/>
        <v/>
      </c>
      <c r="I219" s="359" t="str">
        <f t="shared" si="29"/>
        <v/>
      </c>
      <c r="J219" s="359" t="str">
        <f t="shared" si="30"/>
        <v/>
      </c>
      <c r="K219" s="359" t="str">
        <f t="shared" si="31"/>
        <v/>
      </c>
      <c r="L219" s="359" t="str">
        <f t="shared" si="32"/>
        <v/>
      </c>
      <c r="M219" s="359" t="str">
        <f t="shared" si="33"/>
        <v/>
      </c>
      <c r="N219" s="149" t="str">
        <f t="shared" si="34"/>
        <v/>
      </c>
    </row>
    <row r="220" spans="1:14">
      <c r="A220" s="417" t="str">
        <f>IF(OR('20_Registro_Diario'!A220="",'20_Registro_Diario'!A220=0),"",'20_Registro_Diario'!A220)</f>
        <v/>
      </c>
      <c r="B220" s="359" t="str">
        <f>IF(A220="","",--(LOWER('20_Registro_Diario'!C220)="sí"))</f>
        <v/>
      </c>
      <c r="C220" s="359" t="str">
        <f>IF(A220="","",--(LOWER('20_Registro_Diario'!D220)="sí"))</f>
        <v/>
      </c>
      <c r="D220" s="359" t="str">
        <f>IF(A220="","",--(LOWER('20_Registro_Diario'!E220)="sí"))</f>
        <v/>
      </c>
      <c r="E220" s="359" t="str">
        <f>IF(A220="","",--(LOWER('20_Registro_Diario'!F220)="sí"))</f>
        <v/>
      </c>
      <c r="F220" s="359" t="str">
        <f>IF(A220="","",--(LOWER('20_Registro_Diario'!G220)="sí"))</f>
        <v/>
      </c>
      <c r="G220" s="366" t="str">
        <f>IF(A220="","",IFERROR('20_Registro_Diario'!I220,0))</f>
        <v/>
      </c>
      <c r="H220" s="368" t="str">
        <f t="shared" si="28"/>
        <v/>
      </c>
      <c r="I220" s="359" t="str">
        <f t="shared" si="29"/>
        <v/>
      </c>
      <c r="J220" s="359" t="str">
        <f t="shared" si="30"/>
        <v/>
      </c>
      <c r="K220" s="359" t="str">
        <f t="shared" si="31"/>
        <v/>
      </c>
      <c r="L220" s="359" t="str">
        <f t="shared" si="32"/>
        <v/>
      </c>
      <c r="M220" s="359" t="str">
        <f t="shared" si="33"/>
        <v/>
      </c>
      <c r="N220" s="149" t="str">
        <f t="shared" si="34"/>
        <v/>
      </c>
    </row>
    <row r="221" spans="1:14">
      <c r="A221" s="417" t="str">
        <f>IF(OR('20_Registro_Diario'!A221="",'20_Registro_Diario'!A221=0),"",'20_Registro_Diario'!A221)</f>
        <v/>
      </c>
      <c r="B221" s="359" t="str">
        <f>IF(A221="","",--(LOWER('20_Registro_Diario'!C221)="sí"))</f>
        <v/>
      </c>
      <c r="C221" s="359" t="str">
        <f>IF(A221="","",--(LOWER('20_Registro_Diario'!D221)="sí"))</f>
        <v/>
      </c>
      <c r="D221" s="359" t="str">
        <f>IF(A221="","",--(LOWER('20_Registro_Diario'!E221)="sí"))</f>
        <v/>
      </c>
      <c r="E221" s="359" t="str">
        <f>IF(A221="","",--(LOWER('20_Registro_Diario'!F221)="sí"))</f>
        <v/>
      </c>
      <c r="F221" s="359" t="str">
        <f>IF(A221="","",--(LOWER('20_Registro_Diario'!G221)="sí"))</f>
        <v/>
      </c>
      <c r="G221" s="366" t="str">
        <f>IF(A221="","",IFERROR('20_Registro_Diario'!I221,0))</f>
        <v/>
      </c>
      <c r="H221" s="368" t="str">
        <f t="shared" si="28"/>
        <v/>
      </c>
      <c r="I221" s="359" t="str">
        <f t="shared" si="29"/>
        <v/>
      </c>
      <c r="J221" s="359" t="str">
        <f t="shared" si="30"/>
        <v/>
      </c>
      <c r="K221" s="359" t="str">
        <f t="shared" si="31"/>
        <v/>
      </c>
      <c r="L221" s="359" t="str">
        <f t="shared" si="32"/>
        <v/>
      </c>
      <c r="M221" s="359" t="str">
        <f t="shared" si="33"/>
        <v/>
      </c>
      <c r="N221" s="149" t="str">
        <f t="shared" si="34"/>
        <v/>
      </c>
    </row>
    <row r="222" spans="1:14">
      <c r="A222" s="417" t="str">
        <f>IF(OR('20_Registro_Diario'!A222="",'20_Registro_Diario'!A222=0),"",'20_Registro_Diario'!A222)</f>
        <v/>
      </c>
      <c r="B222" s="359" t="str">
        <f>IF(A222="","",--(LOWER('20_Registro_Diario'!C222)="sí"))</f>
        <v/>
      </c>
      <c r="C222" s="359" t="str">
        <f>IF(A222="","",--(LOWER('20_Registro_Diario'!D222)="sí"))</f>
        <v/>
      </c>
      <c r="D222" s="359" t="str">
        <f>IF(A222="","",--(LOWER('20_Registro_Diario'!E222)="sí"))</f>
        <v/>
      </c>
      <c r="E222" s="359" t="str">
        <f>IF(A222="","",--(LOWER('20_Registro_Diario'!F222)="sí"))</f>
        <v/>
      </c>
      <c r="F222" s="359" t="str">
        <f>IF(A222="","",--(LOWER('20_Registro_Diario'!G222)="sí"))</f>
        <v/>
      </c>
      <c r="G222" s="366" t="str">
        <f>IF(A222="","",IFERROR('20_Registro_Diario'!I222,0))</f>
        <v/>
      </c>
      <c r="H222" s="368" t="str">
        <f t="shared" si="28"/>
        <v/>
      </c>
      <c r="I222" s="359" t="str">
        <f t="shared" si="29"/>
        <v/>
      </c>
      <c r="J222" s="359" t="str">
        <f t="shared" si="30"/>
        <v/>
      </c>
      <c r="K222" s="359" t="str">
        <f t="shared" si="31"/>
        <v/>
      </c>
      <c r="L222" s="359" t="str">
        <f t="shared" si="32"/>
        <v/>
      </c>
      <c r="M222" s="359" t="str">
        <f t="shared" si="33"/>
        <v/>
      </c>
      <c r="N222" s="149" t="str">
        <f t="shared" si="34"/>
        <v/>
      </c>
    </row>
    <row r="223" spans="1:14">
      <c r="A223" s="417" t="str">
        <f>IF(OR('20_Registro_Diario'!A223="",'20_Registro_Diario'!A223=0),"",'20_Registro_Diario'!A223)</f>
        <v/>
      </c>
      <c r="B223" s="359" t="str">
        <f>IF(A223="","",--(LOWER('20_Registro_Diario'!C223)="sí"))</f>
        <v/>
      </c>
      <c r="C223" s="359" t="str">
        <f>IF(A223="","",--(LOWER('20_Registro_Diario'!D223)="sí"))</f>
        <v/>
      </c>
      <c r="D223" s="359" t="str">
        <f>IF(A223="","",--(LOWER('20_Registro_Diario'!E223)="sí"))</f>
        <v/>
      </c>
      <c r="E223" s="359" t="str">
        <f>IF(A223="","",--(LOWER('20_Registro_Diario'!F223)="sí"))</f>
        <v/>
      </c>
      <c r="F223" s="359" t="str">
        <f>IF(A223="","",--(LOWER('20_Registro_Diario'!G223)="sí"))</f>
        <v/>
      </c>
      <c r="G223" s="366" t="str">
        <f>IF(A223="","",IFERROR('20_Registro_Diario'!I223,0))</f>
        <v/>
      </c>
      <c r="H223" s="368" t="str">
        <f t="shared" si="28"/>
        <v/>
      </c>
      <c r="I223" s="359" t="str">
        <f t="shared" si="29"/>
        <v/>
      </c>
      <c r="J223" s="359" t="str">
        <f t="shared" si="30"/>
        <v/>
      </c>
      <c r="K223" s="359" t="str">
        <f t="shared" si="31"/>
        <v/>
      </c>
      <c r="L223" s="359" t="str">
        <f t="shared" si="32"/>
        <v/>
      </c>
      <c r="M223" s="359" t="str">
        <f t="shared" si="33"/>
        <v/>
      </c>
      <c r="N223" s="149" t="str">
        <f t="shared" si="34"/>
        <v/>
      </c>
    </row>
    <row r="224" spans="1:14">
      <c r="A224" s="417" t="str">
        <f>IF(OR('20_Registro_Diario'!A224="",'20_Registro_Diario'!A224=0),"",'20_Registro_Diario'!A224)</f>
        <v/>
      </c>
      <c r="B224" s="359" t="str">
        <f>IF(A224="","",--(LOWER('20_Registro_Diario'!C224)="sí"))</f>
        <v/>
      </c>
      <c r="C224" s="359" t="str">
        <f>IF(A224="","",--(LOWER('20_Registro_Diario'!D224)="sí"))</f>
        <v/>
      </c>
      <c r="D224" s="359" t="str">
        <f>IF(A224="","",--(LOWER('20_Registro_Diario'!E224)="sí"))</f>
        <v/>
      </c>
      <c r="E224" s="359" t="str">
        <f>IF(A224="","",--(LOWER('20_Registro_Diario'!F224)="sí"))</f>
        <v/>
      </c>
      <c r="F224" s="359" t="str">
        <f>IF(A224="","",--(LOWER('20_Registro_Diario'!G224)="sí"))</f>
        <v/>
      </c>
      <c r="G224" s="366" t="str">
        <f>IF(A224="","",IFERROR('20_Registro_Diario'!I224,0))</f>
        <v/>
      </c>
      <c r="H224" s="368" t="str">
        <f t="shared" si="28"/>
        <v/>
      </c>
      <c r="I224" s="359" t="str">
        <f t="shared" si="29"/>
        <v/>
      </c>
      <c r="J224" s="359" t="str">
        <f t="shared" si="30"/>
        <v/>
      </c>
      <c r="K224" s="359" t="str">
        <f t="shared" si="31"/>
        <v/>
      </c>
      <c r="L224" s="359" t="str">
        <f t="shared" si="32"/>
        <v/>
      </c>
      <c r="M224" s="359" t="str">
        <f t="shared" si="33"/>
        <v/>
      </c>
      <c r="N224" s="149" t="str">
        <f t="shared" si="34"/>
        <v/>
      </c>
    </row>
    <row r="225" spans="1:14">
      <c r="A225" s="417" t="str">
        <f>IF(OR('20_Registro_Diario'!A225="",'20_Registro_Diario'!A225=0),"",'20_Registro_Diario'!A225)</f>
        <v/>
      </c>
      <c r="B225" s="359" t="str">
        <f>IF(A225="","",--(LOWER('20_Registro_Diario'!C225)="sí"))</f>
        <v/>
      </c>
      <c r="C225" s="359" t="str">
        <f>IF(A225="","",--(LOWER('20_Registro_Diario'!D225)="sí"))</f>
        <v/>
      </c>
      <c r="D225" s="359" t="str">
        <f>IF(A225="","",--(LOWER('20_Registro_Diario'!E225)="sí"))</f>
        <v/>
      </c>
      <c r="E225" s="359" t="str">
        <f>IF(A225="","",--(LOWER('20_Registro_Diario'!F225)="sí"))</f>
        <v/>
      </c>
      <c r="F225" s="359" t="str">
        <f>IF(A225="","",--(LOWER('20_Registro_Diario'!G225)="sí"))</f>
        <v/>
      </c>
      <c r="G225" s="366" t="str">
        <f>IF(A225="","",IFERROR('20_Registro_Diario'!I225,0))</f>
        <v/>
      </c>
      <c r="H225" s="368" t="str">
        <f t="shared" si="28"/>
        <v/>
      </c>
      <c r="I225" s="359" t="str">
        <f t="shared" si="29"/>
        <v/>
      </c>
      <c r="J225" s="359" t="str">
        <f t="shared" si="30"/>
        <v/>
      </c>
      <c r="K225" s="359" t="str">
        <f t="shared" si="31"/>
        <v/>
      </c>
      <c r="L225" s="359" t="str">
        <f t="shared" si="32"/>
        <v/>
      </c>
      <c r="M225" s="359" t="str">
        <f t="shared" si="33"/>
        <v/>
      </c>
      <c r="N225" s="149" t="str">
        <f t="shared" si="34"/>
        <v/>
      </c>
    </row>
    <row r="226" spans="1:14">
      <c r="A226" s="417" t="str">
        <f>IF(OR('20_Registro_Diario'!A226="",'20_Registro_Diario'!A226=0),"",'20_Registro_Diario'!A226)</f>
        <v/>
      </c>
      <c r="B226" s="359" t="str">
        <f>IF(A226="","",--(LOWER('20_Registro_Diario'!C226)="sí"))</f>
        <v/>
      </c>
      <c r="C226" s="359" t="str">
        <f>IF(A226="","",--(LOWER('20_Registro_Diario'!D226)="sí"))</f>
        <v/>
      </c>
      <c r="D226" s="359" t="str">
        <f>IF(A226="","",--(LOWER('20_Registro_Diario'!E226)="sí"))</f>
        <v/>
      </c>
      <c r="E226" s="359" t="str">
        <f>IF(A226="","",--(LOWER('20_Registro_Diario'!F226)="sí"))</f>
        <v/>
      </c>
      <c r="F226" s="359" t="str">
        <f>IF(A226="","",--(LOWER('20_Registro_Diario'!G226)="sí"))</f>
        <v/>
      </c>
      <c r="G226" s="366" t="str">
        <f>IF(A226="","",IFERROR('20_Registro_Diario'!I226,0))</f>
        <v/>
      </c>
      <c r="H226" s="368" t="str">
        <f t="shared" si="28"/>
        <v/>
      </c>
      <c r="I226" s="359" t="str">
        <f t="shared" si="29"/>
        <v/>
      </c>
      <c r="J226" s="359" t="str">
        <f t="shared" si="30"/>
        <v/>
      </c>
      <c r="K226" s="359" t="str">
        <f t="shared" si="31"/>
        <v/>
      </c>
      <c r="L226" s="359" t="str">
        <f t="shared" si="32"/>
        <v/>
      </c>
      <c r="M226" s="359" t="str">
        <f t="shared" si="33"/>
        <v/>
      </c>
      <c r="N226" s="149" t="str">
        <f t="shared" si="34"/>
        <v/>
      </c>
    </row>
    <row r="227" spans="1:14">
      <c r="A227" s="417" t="str">
        <f>IF(OR('20_Registro_Diario'!A227="",'20_Registro_Diario'!A227=0),"",'20_Registro_Diario'!A227)</f>
        <v/>
      </c>
      <c r="B227" s="359" t="str">
        <f>IF(A227="","",--(LOWER('20_Registro_Diario'!C227)="sí"))</f>
        <v/>
      </c>
      <c r="C227" s="359" t="str">
        <f>IF(A227="","",--(LOWER('20_Registro_Diario'!D227)="sí"))</f>
        <v/>
      </c>
      <c r="D227" s="359" t="str">
        <f>IF(A227="","",--(LOWER('20_Registro_Diario'!E227)="sí"))</f>
        <v/>
      </c>
      <c r="E227" s="359" t="str">
        <f>IF(A227="","",--(LOWER('20_Registro_Diario'!F227)="sí"))</f>
        <v/>
      </c>
      <c r="F227" s="359" t="str">
        <f>IF(A227="","",--(LOWER('20_Registro_Diario'!G227)="sí"))</f>
        <v/>
      </c>
      <c r="G227" s="366" t="str">
        <f>IF(A227="","",IFERROR('20_Registro_Diario'!I227,0))</f>
        <v/>
      </c>
      <c r="H227" s="368" t="str">
        <f t="shared" si="28"/>
        <v/>
      </c>
      <c r="I227" s="359" t="str">
        <f t="shared" si="29"/>
        <v/>
      </c>
      <c r="J227" s="359" t="str">
        <f t="shared" si="30"/>
        <v/>
      </c>
      <c r="K227" s="359" t="str">
        <f t="shared" si="31"/>
        <v/>
      </c>
      <c r="L227" s="359" t="str">
        <f t="shared" si="32"/>
        <v/>
      </c>
      <c r="M227" s="359" t="str">
        <f t="shared" si="33"/>
        <v/>
      </c>
      <c r="N227" s="149" t="str">
        <f t="shared" si="34"/>
        <v/>
      </c>
    </row>
    <row r="228" spans="1:14">
      <c r="A228" s="417" t="str">
        <f>IF(OR('20_Registro_Diario'!A228="",'20_Registro_Diario'!A228=0),"",'20_Registro_Diario'!A228)</f>
        <v/>
      </c>
      <c r="B228" s="359" t="str">
        <f>IF(A228="","",--(LOWER('20_Registro_Diario'!C228)="sí"))</f>
        <v/>
      </c>
      <c r="C228" s="359" t="str">
        <f>IF(A228="","",--(LOWER('20_Registro_Diario'!D228)="sí"))</f>
        <v/>
      </c>
      <c r="D228" s="359" t="str">
        <f>IF(A228="","",--(LOWER('20_Registro_Diario'!E228)="sí"))</f>
        <v/>
      </c>
      <c r="E228" s="359" t="str">
        <f>IF(A228="","",--(LOWER('20_Registro_Diario'!F228)="sí"))</f>
        <v/>
      </c>
      <c r="F228" s="359" t="str">
        <f>IF(A228="","",--(LOWER('20_Registro_Diario'!G228)="sí"))</f>
        <v/>
      </c>
      <c r="G228" s="366" t="str">
        <f>IF(A228="","",IFERROR('20_Registro_Diario'!I228,0))</f>
        <v/>
      </c>
      <c r="H228" s="368" t="str">
        <f t="shared" si="28"/>
        <v/>
      </c>
      <c r="I228" s="359" t="str">
        <f t="shared" si="29"/>
        <v/>
      </c>
      <c r="J228" s="359" t="str">
        <f t="shared" si="30"/>
        <v/>
      </c>
      <c r="K228" s="359" t="str">
        <f t="shared" si="31"/>
        <v/>
      </c>
      <c r="L228" s="359" t="str">
        <f t="shared" si="32"/>
        <v/>
      </c>
      <c r="M228" s="359" t="str">
        <f t="shared" si="33"/>
        <v/>
      </c>
      <c r="N228" s="149" t="str">
        <f t="shared" si="34"/>
        <v/>
      </c>
    </row>
    <row r="229" spans="1:14">
      <c r="A229" s="417" t="str">
        <f>IF(OR('20_Registro_Diario'!A229="",'20_Registro_Diario'!A229=0),"",'20_Registro_Diario'!A229)</f>
        <v/>
      </c>
      <c r="B229" s="359" t="str">
        <f>IF(A229="","",--(LOWER('20_Registro_Diario'!C229)="sí"))</f>
        <v/>
      </c>
      <c r="C229" s="359" t="str">
        <f>IF(A229="","",--(LOWER('20_Registro_Diario'!D229)="sí"))</f>
        <v/>
      </c>
      <c r="D229" s="359" t="str">
        <f>IF(A229="","",--(LOWER('20_Registro_Diario'!E229)="sí"))</f>
        <v/>
      </c>
      <c r="E229" s="359" t="str">
        <f>IF(A229="","",--(LOWER('20_Registro_Diario'!F229)="sí"))</f>
        <v/>
      </c>
      <c r="F229" s="359" t="str">
        <f>IF(A229="","",--(LOWER('20_Registro_Diario'!G229)="sí"))</f>
        <v/>
      </c>
      <c r="G229" s="366" t="str">
        <f>IF(A229="","",IFERROR('20_Registro_Diario'!I229,0))</f>
        <v/>
      </c>
      <c r="H229" s="368" t="str">
        <f t="shared" si="28"/>
        <v/>
      </c>
      <c r="I229" s="359" t="str">
        <f t="shared" si="29"/>
        <v/>
      </c>
      <c r="J229" s="359" t="str">
        <f t="shared" si="30"/>
        <v/>
      </c>
      <c r="K229" s="359" t="str">
        <f t="shared" si="31"/>
        <v/>
      </c>
      <c r="L229" s="359" t="str">
        <f t="shared" si="32"/>
        <v/>
      </c>
      <c r="M229" s="359" t="str">
        <f t="shared" si="33"/>
        <v/>
      </c>
      <c r="N229" s="149" t="str">
        <f t="shared" si="34"/>
        <v/>
      </c>
    </row>
    <row r="230" spans="1:14">
      <c r="A230" s="417" t="str">
        <f>IF(OR('20_Registro_Diario'!A230="",'20_Registro_Diario'!A230=0),"",'20_Registro_Diario'!A230)</f>
        <v/>
      </c>
      <c r="B230" s="359" t="str">
        <f>IF(A230="","",--(LOWER('20_Registro_Diario'!C230)="sí"))</f>
        <v/>
      </c>
      <c r="C230" s="359" t="str">
        <f>IF(A230="","",--(LOWER('20_Registro_Diario'!D230)="sí"))</f>
        <v/>
      </c>
      <c r="D230" s="359" t="str">
        <f>IF(A230="","",--(LOWER('20_Registro_Diario'!E230)="sí"))</f>
        <v/>
      </c>
      <c r="E230" s="359" t="str">
        <f>IF(A230="","",--(LOWER('20_Registro_Diario'!F230)="sí"))</f>
        <v/>
      </c>
      <c r="F230" s="359" t="str">
        <f>IF(A230="","",--(LOWER('20_Registro_Diario'!G230)="sí"))</f>
        <v/>
      </c>
      <c r="G230" s="366" t="str">
        <f>IF(A230="","",IFERROR('20_Registro_Diario'!I230,0))</f>
        <v/>
      </c>
      <c r="H230" s="368" t="str">
        <f t="shared" si="28"/>
        <v/>
      </c>
      <c r="I230" s="359" t="str">
        <f t="shared" si="29"/>
        <v/>
      </c>
      <c r="J230" s="359" t="str">
        <f t="shared" si="30"/>
        <v/>
      </c>
      <c r="K230" s="359" t="str">
        <f t="shared" si="31"/>
        <v/>
      </c>
      <c r="L230" s="359" t="str">
        <f t="shared" si="32"/>
        <v/>
      </c>
      <c r="M230" s="359" t="str">
        <f t="shared" si="33"/>
        <v/>
      </c>
      <c r="N230" s="149" t="str">
        <f t="shared" si="34"/>
        <v/>
      </c>
    </row>
    <row r="231" spans="1:14">
      <c r="A231" s="417" t="str">
        <f>IF(OR('20_Registro_Diario'!A231="",'20_Registro_Diario'!A231=0),"",'20_Registro_Diario'!A231)</f>
        <v/>
      </c>
      <c r="B231" s="359" t="str">
        <f>IF(A231="","",--(LOWER('20_Registro_Diario'!C231)="sí"))</f>
        <v/>
      </c>
      <c r="C231" s="359" t="str">
        <f>IF(A231="","",--(LOWER('20_Registro_Diario'!D231)="sí"))</f>
        <v/>
      </c>
      <c r="D231" s="359" t="str">
        <f>IF(A231="","",--(LOWER('20_Registro_Diario'!E231)="sí"))</f>
        <v/>
      </c>
      <c r="E231" s="359" t="str">
        <f>IF(A231="","",--(LOWER('20_Registro_Diario'!F231)="sí"))</f>
        <v/>
      </c>
      <c r="F231" s="359" t="str">
        <f>IF(A231="","",--(LOWER('20_Registro_Diario'!G231)="sí"))</f>
        <v/>
      </c>
      <c r="G231" s="366" t="str">
        <f>IF(A231="","",IFERROR('20_Registro_Diario'!I231,0))</f>
        <v/>
      </c>
      <c r="H231" s="368" t="str">
        <f t="shared" si="28"/>
        <v/>
      </c>
      <c r="I231" s="359" t="str">
        <f t="shared" si="29"/>
        <v/>
      </c>
      <c r="J231" s="359" t="str">
        <f t="shared" si="30"/>
        <v/>
      </c>
      <c r="K231" s="359" t="str">
        <f t="shared" si="31"/>
        <v/>
      </c>
      <c r="L231" s="359" t="str">
        <f t="shared" si="32"/>
        <v/>
      </c>
      <c r="M231" s="359" t="str">
        <f t="shared" si="33"/>
        <v/>
      </c>
      <c r="N231" s="149" t="str">
        <f t="shared" si="34"/>
        <v/>
      </c>
    </row>
    <row r="232" spans="1:14">
      <c r="A232" s="417" t="str">
        <f>IF(OR('20_Registro_Diario'!A232="",'20_Registro_Diario'!A232=0),"",'20_Registro_Diario'!A232)</f>
        <v/>
      </c>
      <c r="B232" s="359" t="str">
        <f>IF(A232="","",--(LOWER('20_Registro_Diario'!C232)="sí"))</f>
        <v/>
      </c>
      <c r="C232" s="359" t="str">
        <f>IF(A232="","",--(LOWER('20_Registro_Diario'!D232)="sí"))</f>
        <v/>
      </c>
      <c r="D232" s="359" t="str">
        <f>IF(A232="","",--(LOWER('20_Registro_Diario'!E232)="sí"))</f>
        <v/>
      </c>
      <c r="E232" s="359" t="str">
        <f>IF(A232="","",--(LOWER('20_Registro_Diario'!F232)="sí"))</f>
        <v/>
      </c>
      <c r="F232" s="359" t="str">
        <f>IF(A232="","",--(LOWER('20_Registro_Diario'!G232)="sí"))</f>
        <v/>
      </c>
      <c r="G232" s="366" t="str">
        <f>IF(A232="","",IFERROR('20_Registro_Diario'!I232,0))</f>
        <v/>
      </c>
      <c r="H232" s="368" t="str">
        <f t="shared" si="28"/>
        <v/>
      </c>
      <c r="I232" s="359" t="str">
        <f t="shared" si="29"/>
        <v/>
      </c>
      <c r="J232" s="359" t="str">
        <f t="shared" si="30"/>
        <v/>
      </c>
      <c r="K232" s="359" t="str">
        <f t="shared" si="31"/>
        <v/>
      </c>
      <c r="L232" s="359" t="str">
        <f t="shared" si="32"/>
        <v/>
      </c>
      <c r="M232" s="359" t="str">
        <f t="shared" si="33"/>
        <v/>
      </c>
      <c r="N232" s="149" t="str">
        <f t="shared" si="34"/>
        <v/>
      </c>
    </row>
    <row r="233" spans="1:14">
      <c r="A233" s="417" t="str">
        <f>IF(OR('20_Registro_Diario'!A233="",'20_Registro_Diario'!A233=0),"",'20_Registro_Diario'!A233)</f>
        <v/>
      </c>
      <c r="B233" s="359" t="str">
        <f>IF(A233="","",--(LOWER('20_Registro_Diario'!C233)="sí"))</f>
        <v/>
      </c>
      <c r="C233" s="359" t="str">
        <f>IF(A233="","",--(LOWER('20_Registro_Diario'!D233)="sí"))</f>
        <v/>
      </c>
      <c r="D233" s="359" t="str">
        <f>IF(A233="","",--(LOWER('20_Registro_Diario'!E233)="sí"))</f>
        <v/>
      </c>
      <c r="E233" s="359" t="str">
        <f>IF(A233="","",--(LOWER('20_Registro_Diario'!F233)="sí"))</f>
        <v/>
      </c>
      <c r="F233" s="359" t="str">
        <f>IF(A233="","",--(LOWER('20_Registro_Diario'!G233)="sí"))</f>
        <v/>
      </c>
      <c r="G233" s="366" t="str">
        <f>IF(A233="","",IFERROR('20_Registro_Diario'!I233,0))</f>
        <v/>
      </c>
      <c r="H233" s="368" t="str">
        <f t="shared" si="28"/>
        <v/>
      </c>
      <c r="I233" s="359" t="str">
        <f t="shared" si="29"/>
        <v/>
      </c>
      <c r="J233" s="359" t="str">
        <f t="shared" si="30"/>
        <v/>
      </c>
      <c r="K233" s="359" t="str">
        <f t="shared" si="31"/>
        <v/>
      </c>
      <c r="L233" s="359" t="str">
        <f t="shared" si="32"/>
        <v/>
      </c>
      <c r="M233" s="359" t="str">
        <f t="shared" si="33"/>
        <v/>
      </c>
      <c r="N233" s="149" t="str">
        <f t="shared" si="34"/>
        <v/>
      </c>
    </row>
    <row r="234" spans="1:14">
      <c r="A234" s="417" t="str">
        <f>IF(OR('20_Registro_Diario'!A234="",'20_Registro_Diario'!A234=0),"",'20_Registro_Diario'!A234)</f>
        <v/>
      </c>
      <c r="B234" s="359" t="str">
        <f>IF(A234="","",--(LOWER('20_Registro_Diario'!C234)="sí"))</f>
        <v/>
      </c>
      <c r="C234" s="359" t="str">
        <f>IF(A234="","",--(LOWER('20_Registro_Diario'!D234)="sí"))</f>
        <v/>
      </c>
      <c r="D234" s="359" t="str">
        <f>IF(A234="","",--(LOWER('20_Registro_Diario'!E234)="sí"))</f>
        <v/>
      </c>
      <c r="E234" s="359" t="str">
        <f>IF(A234="","",--(LOWER('20_Registro_Diario'!F234)="sí"))</f>
        <v/>
      </c>
      <c r="F234" s="359" t="str">
        <f>IF(A234="","",--(LOWER('20_Registro_Diario'!G234)="sí"))</f>
        <v/>
      </c>
      <c r="G234" s="366" t="str">
        <f>IF(A234="","",IFERROR('20_Registro_Diario'!I234,0))</f>
        <v/>
      </c>
      <c r="H234" s="368" t="str">
        <f t="shared" si="28"/>
        <v/>
      </c>
      <c r="I234" s="359" t="str">
        <f t="shared" si="29"/>
        <v/>
      </c>
      <c r="J234" s="359" t="str">
        <f t="shared" si="30"/>
        <v/>
      </c>
      <c r="K234" s="359" t="str">
        <f t="shared" si="31"/>
        <v/>
      </c>
      <c r="L234" s="359" t="str">
        <f t="shared" si="32"/>
        <v/>
      </c>
      <c r="M234" s="359" t="str">
        <f t="shared" si="33"/>
        <v/>
      </c>
      <c r="N234" s="149" t="str">
        <f t="shared" si="34"/>
        <v/>
      </c>
    </row>
    <row r="235" spans="1:14">
      <c r="A235" s="417" t="str">
        <f>IF(OR('20_Registro_Diario'!A235="",'20_Registro_Diario'!A235=0),"",'20_Registro_Diario'!A235)</f>
        <v/>
      </c>
      <c r="B235" s="359" t="str">
        <f>IF(A235="","",--(LOWER('20_Registro_Diario'!C235)="sí"))</f>
        <v/>
      </c>
      <c r="C235" s="359" t="str">
        <f>IF(A235="","",--(LOWER('20_Registro_Diario'!D235)="sí"))</f>
        <v/>
      </c>
      <c r="D235" s="359" t="str">
        <f>IF(A235="","",--(LOWER('20_Registro_Diario'!E235)="sí"))</f>
        <v/>
      </c>
      <c r="E235" s="359" t="str">
        <f>IF(A235="","",--(LOWER('20_Registro_Diario'!F235)="sí"))</f>
        <v/>
      </c>
      <c r="F235" s="359" t="str">
        <f>IF(A235="","",--(LOWER('20_Registro_Diario'!G235)="sí"))</f>
        <v/>
      </c>
      <c r="G235" s="366" t="str">
        <f>IF(A235="","",IFERROR('20_Registro_Diario'!I235,0))</f>
        <v/>
      </c>
      <c r="H235" s="368" t="str">
        <f t="shared" si="28"/>
        <v/>
      </c>
      <c r="I235" s="359" t="str">
        <f t="shared" si="29"/>
        <v/>
      </c>
      <c r="J235" s="359" t="str">
        <f t="shared" si="30"/>
        <v/>
      </c>
      <c r="K235" s="359" t="str">
        <f t="shared" si="31"/>
        <v/>
      </c>
      <c r="L235" s="359" t="str">
        <f t="shared" si="32"/>
        <v/>
      </c>
      <c r="M235" s="359" t="str">
        <f t="shared" si="33"/>
        <v/>
      </c>
      <c r="N235" s="149" t="str">
        <f t="shared" si="34"/>
        <v/>
      </c>
    </row>
    <row r="236" spans="1:14">
      <c r="A236" s="417" t="str">
        <f>IF(OR('20_Registro_Diario'!A236="",'20_Registro_Diario'!A236=0),"",'20_Registro_Diario'!A236)</f>
        <v/>
      </c>
      <c r="B236" s="359" t="str">
        <f>IF(A236="","",--(LOWER('20_Registro_Diario'!C236)="sí"))</f>
        <v/>
      </c>
      <c r="C236" s="359" t="str">
        <f>IF(A236="","",--(LOWER('20_Registro_Diario'!D236)="sí"))</f>
        <v/>
      </c>
      <c r="D236" s="359" t="str">
        <f>IF(A236="","",--(LOWER('20_Registro_Diario'!E236)="sí"))</f>
        <v/>
      </c>
      <c r="E236" s="359" t="str">
        <f>IF(A236="","",--(LOWER('20_Registro_Diario'!F236)="sí"))</f>
        <v/>
      </c>
      <c r="F236" s="359" t="str">
        <f>IF(A236="","",--(LOWER('20_Registro_Diario'!G236)="sí"))</f>
        <v/>
      </c>
      <c r="G236" s="366" t="str">
        <f>IF(A236="","",IFERROR('20_Registro_Diario'!I236,0))</f>
        <v/>
      </c>
      <c r="H236" s="368" t="str">
        <f t="shared" si="28"/>
        <v/>
      </c>
      <c r="I236" s="359" t="str">
        <f t="shared" si="29"/>
        <v/>
      </c>
      <c r="J236" s="359" t="str">
        <f t="shared" si="30"/>
        <v/>
      </c>
      <c r="K236" s="359" t="str">
        <f t="shared" si="31"/>
        <v/>
      </c>
      <c r="L236" s="359" t="str">
        <f t="shared" si="32"/>
        <v/>
      </c>
      <c r="M236" s="359" t="str">
        <f t="shared" si="33"/>
        <v/>
      </c>
      <c r="N236" s="149" t="str">
        <f t="shared" si="34"/>
        <v/>
      </c>
    </row>
    <row r="237" spans="1:14">
      <c r="A237" s="417" t="str">
        <f>IF(OR('20_Registro_Diario'!A237="",'20_Registro_Diario'!A237=0),"",'20_Registro_Diario'!A237)</f>
        <v/>
      </c>
      <c r="B237" s="359" t="str">
        <f>IF(A237="","",--(LOWER('20_Registro_Diario'!C237)="sí"))</f>
        <v/>
      </c>
      <c r="C237" s="359" t="str">
        <f>IF(A237="","",--(LOWER('20_Registro_Diario'!D237)="sí"))</f>
        <v/>
      </c>
      <c r="D237" s="359" t="str">
        <f>IF(A237="","",--(LOWER('20_Registro_Diario'!E237)="sí"))</f>
        <v/>
      </c>
      <c r="E237" s="359" t="str">
        <f>IF(A237="","",--(LOWER('20_Registro_Diario'!F237)="sí"))</f>
        <v/>
      </c>
      <c r="F237" s="359" t="str">
        <f>IF(A237="","",--(LOWER('20_Registro_Diario'!G237)="sí"))</f>
        <v/>
      </c>
      <c r="G237" s="366" t="str">
        <f>IF(A237="","",IFERROR('20_Registro_Diario'!I237,0))</f>
        <v/>
      </c>
      <c r="H237" s="368" t="str">
        <f t="shared" si="28"/>
        <v/>
      </c>
      <c r="I237" s="359" t="str">
        <f t="shared" si="29"/>
        <v/>
      </c>
      <c r="J237" s="359" t="str">
        <f t="shared" si="30"/>
        <v/>
      </c>
      <c r="K237" s="359" t="str">
        <f t="shared" si="31"/>
        <v/>
      </c>
      <c r="L237" s="359" t="str">
        <f t="shared" si="32"/>
        <v/>
      </c>
      <c r="M237" s="359" t="str">
        <f t="shared" si="33"/>
        <v/>
      </c>
      <c r="N237" s="149" t="str">
        <f t="shared" si="34"/>
        <v/>
      </c>
    </row>
    <row r="238" spans="1:14">
      <c r="A238" s="417" t="str">
        <f>IF(OR('20_Registro_Diario'!A238="",'20_Registro_Diario'!A238=0),"",'20_Registro_Diario'!A238)</f>
        <v/>
      </c>
      <c r="B238" s="359" t="str">
        <f>IF(A238="","",--(LOWER('20_Registro_Diario'!C238)="sí"))</f>
        <v/>
      </c>
      <c r="C238" s="359" t="str">
        <f>IF(A238="","",--(LOWER('20_Registro_Diario'!D238)="sí"))</f>
        <v/>
      </c>
      <c r="D238" s="359" t="str">
        <f>IF(A238="","",--(LOWER('20_Registro_Diario'!E238)="sí"))</f>
        <v/>
      </c>
      <c r="E238" s="359" t="str">
        <f>IF(A238="","",--(LOWER('20_Registro_Diario'!F238)="sí"))</f>
        <v/>
      </c>
      <c r="F238" s="359" t="str">
        <f>IF(A238="","",--(LOWER('20_Registro_Diario'!G238)="sí"))</f>
        <v/>
      </c>
      <c r="G238" s="366" t="str">
        <f>IF(A238="","",IFERROR('20_Registro_Diario'!I238,0))</f>
        <v/>
      </c>
      <c r="H238" s="368" t="str">
        <f t="shared" si="28"/>
        <v/>
      </c>
      <c r="I238" s="359" t="str">
        <f t="shared" si="29"/>
        <v/>
      </c>
      <c r="J238" s="359" t="str">
        <f t="shared" si="30"/>
        <v/>
      </c>
      <c r="K238" s="359" t="str">
        <f t="shared" si="31"/>
        <v/>
      </c>
      <c r="L238" s="359" t="str">
        <f t="shared" si="32"/>
        <v/>
      </c>
      <c r="M238" s="359" t="str">
        <f t="shared" si="33"/>
        <v/>
      </c>
      <c r="N238" s="149" t="str">
        <f t="shared" si="34"/>
        <v/>
      </c>
    </row>
    <row r="239" spans="1:14">
      <c r="A239" s="417" t="str">
        <f>IF(OR('20_Registro_Diario'!A239="",'20_Registro_Diario'!A239=0),"",'20_Registro_Diario'!A239)</f>
        <v/>
      </c>
      <c r="B239" s="359" t="str">
        <f>IF(A239="","",--(LOWER('20_Registro_Diario'!C239)="sí"))</f>
        <v/>
      </c>
      <c r="C239" s="359" t="str">
        <f>IF(A239="","",--(LOWER('20_Registro_Diario'!D239)="sí"))</f>
        <v/>
      </c>
      <c r="D239" s="359" t="str">
        <f>IF(A239="","",--(LOWER('20_Registro_Diario'!E239)="sí"))</f>
        <v/>
      </c>
      <c r="E239" s="359" t="str">
        <f>IF(A239="","",--(LOWER('20_Registro_Diario'!F239)="sí"))</f>
        <v/>
      </c>
      <c r="F239" s="359" t="str">
        <f>IF(A239="","",--(LOWER('20_Registro_Diario'!G239)="sí"))</f>
        <v/>
      </c>
      <c r="G239" s="366" t="str">
        <f>IF(A239="","",IFERROR('20_Registro_Diario'!I239,0))</f>
        <v/>
      </c>
      <c r="H239" s="368" t="str">
        <f t="shared" si="28"/>
        <v/>
      </c>
      <c r="I239" s="359" t="str">
        <f t="shared" si="29"/>
        <v/>
      </c>
      <c r="J239" s="359" t="str">
        <f t="shared" si="30"/>
        <v/>
      </c>
      <c r="K239" s="359" t="str">
        <f t="shared" si="31"/>
        <v/>
      </c>
      <c r="L239" s="359" t="str">
        <f t="shared" si="32"/>
        <v/>
      </c>
      <c r="M239" s="359" t="str">
        <f t="shared" si="33"/>
        <v/>
      </c>
      <c r="N239" s="149" t="str">
        <f t="shared" si="34"/>
        <v/>
      </c>
    </row>
    <row r="240" spans="1:14">
      <c r="A240" s="417" t="str">
        <f>IF(OR('20_Registro_Diario'!A240="",'20_Registro_Diario'!A240=0),"",'20_Registro_Diario'!A240)</f>
        <v/>
      </c>
      <c r="B240" s="359" t="str">
        <f>IF(A240="","",--(LOWER('20_Registro_Diario'!C240)="sí"))</f>
        <v/>
      </c>
      <c r="C240" s="359" t="str">
        <f>IF(A240="","",--(LOWER('20_Registro_Diario'!D240)="sí"))</f>
        <v/>
      </c>
      <c r="D240" s="359" t="str">
        <f>IF(A240="","",--(LOWER('20_Registro_Diario'!E240)="sí"))</f>
        <v/>
      </c>
      <c r="E240" s="359" t="str">
        <f>IF(A240="","",--(LOWER('20_Registro_Diario'!F240)="sí"))</f>
        <v/>
      </c>
      <c r="F240" s="359" t="str">
        <f>IF(A240="","",--(LOWER('20_Registro_Diario'!G240)="sí"))</f>
        <v/>
      </c>
      <c r="G240" s="366" t="str">
        <f>IF(A240="","",IFERROR('20_Registro_Diario'!I240,0))</f>
        <v/>
      </c>
      <c r="H240" s="368" t="str">
        <f t="shared" si="28"/>
        <v/>
      </c>
      <c r="I240" s="359" t="str">
        <f t="shared" si="29"/>
        <v/>
      </c>
      <c r="J240" s="359" t="str">
        <f t="shared" si="30"/>
        <v/>
      </c>
      <c r="K240" s="359" t="str">
        <f t="shared" si="31"/>
        <v/>
      </c>
      <c r="L240" s="359" t="str">
        <f t="shared" si="32"/>
        <v/>
      </c>
      <c r="M240" s="359" t="str">
        <f t="shared" si="33"/>
        <v/>
      </c>
      <c r="N240" s="149" t="str">
        <f t="shared" si="34"/>
        <v/>
      </c>
    </row>
    <row r="241" spans="1:14">
      <c r="A241" s="417" t="str">
        <f>IF(OR('20_Registro_Diario'!A241="",'20_Registro_Diario'!A241=0),"",'20_Registro_Diario'!A241)</f>
        <v/>
      </c>
      <c r="B241" s="359" t="str">
        <f>IF(A241="","",--(LOWER('20_Registro_Diario'!C241)="sí"))</f>
        <v/>
      </c>
      <c r="C241" s="359" t="str">
        <f>IF(A241="","",--(LOWER('20_Registro_Diario'!D241)="sí"))</f>
        <v/>
      </c>
      <c r="D241" s="359" t="str">
        <f>IF(A241="","",--(LOWER('20_Registro_Diario'!E241)="sí"))</f>
        <v/>
      </c>
      <c r="E241" s="359" t="str">
        <f>IF(A241="","",--(LOWER('20_Registro_Diario'!F241)="sí"))</f>
        <v/>
      </c>
      <c r="F241" s="359" t="str">
        <f>IF(A241="","",--(LOWER('20_Registro_Diario'!G241)="sí"))</f>
        <v/>
      </c>
      <c r="G241" s="366" t="str">
        <f>IF(A241="","",IFERROR('20_Registro_Diario'!I241,0))</f>
        <v/>
      </c>
      <c r="H241" s="368" t="str">
        <f t="shared" si="28"/>
        <v/>
      </c>
      <c r="I241" s="359" t="str">
        <f t="shared" si="29"/>
        <v/>
      </c>
      <c r="J241" s="359" t="str">
        <f t="shared" si="30"/>
        <v/>
      </c>
      <c r="K241" s="359" t="str">
        <f t="shared" si="31"/>
        <v/>
      </c>
      <c r="L241" s="359" t="str">
        <f t="shared" si="32"/>
        <v/>
      </c>
      <c r="M241" s="359" t="str">
        <f t="shared" si="33"/>
        <v/>
      </c>
      <c r="N241" s="149" t="str">
        <f t="shared" si="34"/>
        <v/>
      </c>
    </row>
    <row r="242" spans="1:14">
      <c r="A242" s="417" t="str">
        <f>IF(OR('20_Registro_Diario'!A242="",'20_Registro_Diario'!A242=0),"",'20_Registro_Diario'!A242)</f>
        <v/>
      </c>
      <c r="B242" s="359" t="str">
        <f>IF(A242="","",--(LOWER('20_Registro_Diario'!C242)="sí"))</f>
        <v/>
      </c>
      <c r="C242" s="359" t="str">
        <f>IF(A242="","",--(LOWER('20_Registro_Diario'!D242)="sí"))</f>
        <v/>
      </c>
      <c r="D242" s="359" t="str">
        <f>IF(A242="","",--(LOWER('20_Registro_Diario'!E242)="sí"))</f>
        <v/>
      </c>
      <c r="E242" s="359" t="str">
        <f>IF(A242="","",--(LOWER('20_Registro_Diario'!F242)="sí"))</f>
        <v/>
      </c>
      <c r="F242" s="359" t="str">
        <f>IF(A242="","",--(LOWER('20_Registro_Diario'!G242)="sí"))</f>
        <v/>
      </c>
      <c r="G242" s="366" t="str">
        <f>IF(A242="","",IFERROR('20_Registro_Diario'!I242,0))</f>
        <v/>
      </c>
      <c r="H242" s="368" t="str">
        <f t="shared" si="28"/>
        <v/>
      </c>
      <c r="I242" s="359" t="str">
        <f t="shared" si="29"/>
        <v/>
      </c>
      <c r="J242" s="359" t="str">
        <f t="shared" si="30"/>
        <v/>
      </c>
      <c r="K242" s="359" t="str">
        <f t="shared" si="31"/>
        <v/>
      </c>
      <c r="L242" s="359" t="str">
        <f t="shared" si="32"/>
        <v/>
      </c>
      <c r="M242" s="359" t="str">
        <f t="shared" si="33"/>
        <v/>
      </c>
      <c r="N242" s="149" t="str">
        <f t="shared" si="34"/>
        <v/>
      </c>
    </row>
    <row r="243" spans="1:14">
      <c r="A243" s="417" t="str">
        <f>IF(OR('20_Registro_Diario'!A243="",'20_Registro_Diario'!A243=0),"",'20_Registro_Diario'!A243)</f>
        <v/>
      </c>
      <c r="B243" s="359" t="str">
        <f>IF(A243="","",--(LOWER('20_Registro_Diario'!C243)="sí"))</f>
        <v/>
      </c>
      <c r="C243" s="359" t="str">
        <f>IF(A243="","",--(LOWER('20_Registro_Diario'!D243)="sí"))</f>
        <v/>
      </c>
      <c r="D243" s="359" t="str">
        <f>IF(A243="","",--(LOWER('20_Registro_Diario'!E243)="sí"))</f>
        <v/>
      </c>
      <c r="E243" s="359" t="str">
        <f>IF(A243="","",--(LOWER('20_Registro_Diario'!F243)="sí"))</f>
        <v/>
      </c>
      <c r="F243" s="359" t="str">
        <f>IF(A243="","",--(LOWER('20_Registro_Diario'!G243)="sí"))</f>
        <v/>
      </c>
      <c r="G243" s="366" t="str">
        <f>IF(A243="","",IFERROR('20_Registro_Diario'!I243,0))</f>
        <v/>
      </c>
      <c r="H243" s="368" t="str">
        <f t="shared" si="28"/>
        <v/>
      </c>
      <c r="I243" s="359" t="str">
        <f t="shared" si="29"/>
        <v/>
      </c>
      <c r="J243" s="359" t="str">
        <f t="shared" si="30"/>
        <v/>
      </c>
      <c r="K243" s="359" t="str">
        <f t="shared" si="31"/>
        <v/>
      </c>
      <c r="L243" s="359" t="str">
        <f t="shared" si="32"/>
        <v/>
      </c>
      <c r="M243" s="359" t="str">
        <f t="shared" si="33"/>
        <v/>
      </c>
      <c r="N243" s="149" t="str">
        <f t="shared" si="34"/>
        <v/>
      </c>
    </row>
    <row r="244" spans="1:14">
      <c r="A244" s="417" t="str">
        <f>IF(OR('20_Registro_Diario'!A244="",'20_Registro_Diario'!A244=0),"",'20_Registro_Diario'!A244)</f>
        <v/>
      </c>
      <c r="B244" s="359" t="str">
        <f>IF(A244="","",--(LOWER('20_Registro_Diario'!C244)="sí"))</f>
        <v/>
      </c>
      <c r="C244" s="359" t="str">
        <f>IF(A244="","",--(LOWER('20_Registro_Diario'!D244)="sí"))</f>
        <v/>
      </c>
      <c r="D244" s="359" t="str">
        <f>IF(A244="","",--(LOWER('20_Registro_Diario'!E244)="sí"))</f>
        <v/>
      </c>
      <c r="E244" s="359" t="str">
        <f>IF(A244="","",--(LOWER('20_Registro_Diario'!F244)="sí"))</f>
        <v/>
      </c>
      <c r="F244" s="359" t="str">
        <f>IF(A244="","",--(LOWER('20_Registro_Diario'!G244)="sí"))</f>
        <v/>
      </c>
      <c r="G244" s="366" t="str">
        <f>IF(A244="","",IFERROR('20_Registro_Diario'!I244,0))</f>
        <v/>
      </c>
      <c r="H244" s="368" t="str">
        <f t="shared" si="28"/>
        <v/>
      </c>
      <c r="I244" s="359" t="str">
        <f t="shared" si="29"/>
        <v/>
      </c>
      <c r="J244" s="359" t="str">
        <f t="shared" si="30"/>
        <v/>
      </c>
      <c r="K244" s="359" t="str">
        <f t="shared" si="31"/>
        <v/>
      </c>
      <c r="L244" s="359" t="str">
        <f t="shared" si="32"/>
        <v/>
      </c>
      <c r="M244" s="359" t="str">
        <f t="shared" si="33"/>
        <v/>
      </c>
      <c r="N244" s="149" t="str">
        <f t="shared" si="34"/>
        <v/>
      </c>
    </row>
    <row r="245" spans="1:14">
      <c r="A245" s="417" t="str">
        <f>IF(OR('20_Registro_Diario'!A245="",'20_Registro_Diario'!A245=0),"",'20_Registro_Diario'!A245)</f>
        <v/>
      </c>
      <c r="B245" s="359" t="str">
        <f>IF(A245="","",--(LOWER('20_Registro_Diario'!C245)="sí"))</f>
        <v/>
      </c>
      <c r="C245" s="359" t="str">
        <f>IF(A245="","",--(LOWER('20_Registro_Diario'!D245)="sí"))</f>
        <v/>
      </c>
      <c r="D245" s="359" t="str">
        <f>IF(A245="","",--(LOWER('20_Registro_Diario'!E245)="sí"))</f>
        <v/>
      </c>
      <c r="E245" s="359" t="str">
        <f>IF(A245="","",--(LOWER('20_Registro_Diario'!F245)="sí"))</f>
        <v/>
      </c>
      <c r="F245" s="359" t="str">
        <f>IF(A245="","",--(LOWER('20_Registro_Diario'!G245)="sí"))</f>
        <v/>
      </c>
      <c r="G245" s="366" t="str">
        <f>IF(A245="","",IFERROR('20_Registro_Diario'!I245,0))</f>
        <v/>
      </c>
      <c r="H245" s="368" t="str">
        <f t="shared" si="28"/>
        <v/>
      </c>
      <c r="I245" s="359" t="str">
        <f t="shared" si="29"/>
        <v/>
      </c>
      <c r="J245" s="359" t="str">
        <f t="shared" si="30"/>
        <v/>
      </c>
      <c r="K245" s="359" t="str">
        <f t="shared" si="31"/>
        <v/>
      </c>
      <c r="L245" s="359" t="str">
        <f t="shared" si="32"/>
        <v/>
      </c>
      <c r="M245" s="359" t="str">
        <f t="shared" si="33"/>
        <v/>
      </c>
      <c r="N245" s="149" t="str">
        <f t="shared" si="34"/>
        <v/>
      </c>
    </row>
    <row r="246" spans="1:14">
      <c r="A246" s="417" t="str">
        <f>IF(OR('20_Registro_Diario'!A246="",'20_Registro_Diario'!A246=0),"",'20_Registro_Diario'!A246)</f>
        <v/>
      </c>
      <c r="B246" s="359" t="str">
        <f>IF(A246="","",--(LOWER('20_Registro_Diario'!C246)="sí"))</f>
        <v/>
      </c>
      <c r="C246" s="359" t="str">
        <f>IF(A246="","",--(LOWER('20_Registro_Diario'!D246)="sí"))</f>
        <v/>
      </c>
      <c r="D246" s="359" t="str">
        <f>IF(A246="","",--(LOWER('20_Registro_Diario'!E246)="sí"))</f>
        <v/>
      </c>
      <c r="E246" s="359" t="str">
        <f>IF(A246="","",--(LOWER('20_Registro_Diario'!F246)="sí"))</f>
        <v/>
      </c>
      <c r="F246" s="359" t="str">
        <f>IF(A246="","",--(LOWER('20_Registro_Diario'!G246)="sí"))</f>
        <v/>
      </c>
      <c r="G246" s="366" t="str">
        <f>IF(A246="","",IFERROR('20_Registro_Diario'!I246,0))</f>
        <v/>
      </c>
      <c r="H246" s="368" t="str">
        <f t="shared" si="28"/>
        <v/>
      </c>
      <c r="I246" s="359" t="str">
        <f t="shared" si="29"/>
        <v/>
      </c>
      <c r="J246" s="359" t="str">
        <f t="shared" si="30"/>
        <v/>
      </c>
      <c r="K246" s="359" t="str">
        <f t="shared" si="31"/>
        <v/>
      </c>
      <c r="L246" s="359" t="str">
        <f t="shared" si="32"/>
        <v/>
      </c>
      <c r="M246" s="359" t="str">
        <f t="shared" si="33"/>
        <v/>
      </c>
      <c r="N246" s="149" t="str">
        <f t="shared" si="34"/>
        <v/>
      </c>
    </row>
    <row r="247" spans="1:14">
      <c r="A247" s="417" t="str">
        <f>IF(OR('20_Registro_Diario'!A247="",'20_Registro_Diario'!A247=0),"",'20_Registro_Diario'!A247)</f>
        <v/>
      </c>
      <c r="B247" s="359" t="str">
        <f>IF(A247="","",--(LOWER('20_Registro_Diario'!C247)="sí"))</f>
        <v/>
      </c>
      <c r="C247" s="359" t="str">
        <f>IF(A247="","",--(LOWER('20_Registro_Diario'!D247)="sí"))</f>
        <v/>
      </c>
      <c r="D247" s="359" t="str">
        <f>IF(A247="","",--(LOWER('20_Registro_Diario'!E247)="sí"))</f>
        <v/>
      </c>
      <c r="E247" s="359" t="str">
        <f>IF(A247="","",--(LOWER('20_Registro_Diario'!F247)="sí"))</f>
        <v/>
      </c>
      <c r="F247" s="359" t="str">
        <f>IF(A247="","",--(LOWER('20_Registro_Diario'!G247)="sí"))</f>
        <v/>
      </c>
      <c r="G247" s="366" t="str">
        <f>IF(A247="","",IFERROR('20_Registro_Diario'!I247,0))</f>
        <v/>
      </c>
      <c r="H247" s="368" t="str">
        <f t="shared" si="28"/>
        <v/>
      </c>
      <c r="I247" s="359" t="str">
        <f t="shared" si="29"/>
        <v/>
      </c>
      <c r="J247" s="359" t="str">
        <f t="shared" si="30"/>
        <v/>
      </c>
      <c r="K247" s="359" t="str">
        <f t="shared" si="31"/>
        <v/>
      </c>
      <c r="L247" s="359" t="str">
        <f t="shared" si="32"/>
        <v/>
      </c>
      <c r="M247" s="359" t="str">
        <f t="shared" si="33"/>
        <v/>
      </c>
      <c r="N247" s="149" t="str">
        <f t="shared" si="34"/>
        <v/>
      </c>
    </row>
    <row r="248" spans="1:14">
      <c r="A248" s="417" t="str">
        <f>IF(OR('20_Registro_Diario'!A248="",'20_Registro_Diario'!A248=0),"",'20_Registro_Diario'!A248)</f>
        <v/>
      </c>
      <c r="B248" s="359" t="str">
        <f>IF(A248="","",--(LOWER('20_Registro_Diario'!C248)="sí"))</f>
        <v/>
      </c>
      <c r="C248" s="359" t="str">
        <f>IF(A248="","",--(LOWER('20_Registro_Diario'!D248)="sí"))</f>
        <v/>
      </c>
      <c r="D248" s="359" t="str">
        <f>IF(A248="","",--(LOWER('20_Registro_Diario'!E248)="sí"))</f>
        <v/>
      </c>
      <c r="E248" s="359" t="str">
        <f>IF(A248="","",--(LOWER('20_Registro_Diario'!F248)="sí"))</f>
        <v/>
      </c>
      <c r="F248" s="359" t="str">
        <f>IF(A248="","",--(LOWER('20_Registro_Diario'!G248)="sí"))</f>
        <v/>
      </c>
      <c r="G248" s="366" t="str">
        <f>IF(A248="","",IFERROR('20_Registro_Diario'!I248,0))</f>
        <v/>
      </c>
      <c r="H248" s="368" t="str">
        <f t="shared" si="28"/>
        <v/>
      </c>
      <c r="I248" s="359" t="str">
        <f t="shared" si="29"/>
        <v/>
      </c>
      <c r="J248" s="359" t="str">
        <f t="shared" si="30"/>
        <v/>
      </c>
      <c r="K248" s="359" t="str">
        <f t="shared" si="31"/>
        <v/>
      </c>
      <c r="L248" s="359" t="str">
        <f t="shared" si="32"/>
        <v/>
      </c>
      <c r="M248" s="359" t="str">
        <f t="shared" si="33"/>
        <v/>
      </c>
      <c r="N248" s="149" t="str">
        <f t="shared" si="34"/>
        <v/>
      </c>
    </row>
    <row r="249" spans="1:14">
      <c r="A249" s="417" t="str">
        <f>IF(OR('20_Registro_Diario'!A249="",'20_Registro_Diario'!A249=0),"",'20_Registro_Diario'!A249)</f>
        <v/>
      </c>
      <c r="B249" s="359" t="str">
        <f>IF(A249="","",--(LOWER('20_Registro_Diario'!C249)="sí"))</f>
        <v/>
      </c>
      <c r="C249" s="359" t="str">
        <f>IF(A249="","",--(LOWER('20_Registro_Diario'!D249)="sí"))</f>
        <v/>
      </c>
      <c r="D249" s="359" t="str">
        <f>IF(A249="","",--(LOWER('20_Registro_Diario'!E249)="sí"))</f>
        <v/>
      </c>
      <c r="E249" s="359" t="str">
        <f>IF(A249="","",--(LOWER('20_Registro_Diario'!F249)="sí"))</f>
        <v/>
      </c>
      <c r="F249" s="359" t="str">
        <f>IF(A249="","",--(LOWER('20_Registro_Diario'!G249)="sí"))</f>
        <v/>
      </c>
      <c r="G249" s="366" t="str">
        <f>IF(A249="","",IFERROR('20_Registro_Diario'!I249,0))</f>
        <v/>
      </c>
      <c r="H249" s="368" t="str">
        <f t="shared" si="28"/>
        <v/>
      </c>
      <c r="I249" s="359" t="str">
        <f t="shared" si="29"/>
        <v/>
      </c>
      <c r="J249" s="359" t="str">
        <f t="shared" si="30"/>
        <v/>
      </c>
      <c r="K249" s="359" t="str">
        <f t="shared" si="31"/>
        <v/>
      </c>
      <c r="L249" s="359" t="str">
        <f t="shared" si="32"/>
        <v/>
      </c>
      <c r="M249" s="359" t="str">
        <f t="shared" si="33"/>
        <v/>
      </c>
      <c r="N249" s="149" t="str">
        <f t="shared" si="34"/>
        <v/>
      </c>
    </row>
    <row r="250" spans="1:14">
      <c r="A250" s="417" t="str">
        <f>IF(OR('20_Registro_Diario'!A250="",'20_Registro_Diario'!A250=0),"",'20_Registro_Diario'!A250)</f>
        <v/>
      </c>
      <c r="B250" s="359" t="str">
        <f>IF(A250="","",--(LOWER('20_Registro_Diario'!C250)="sí"))</f>
        <v/>
      </c>
      <c r="C250" s="359" t="str">
        <f>IF(A250="","",--(LOWER('20_Registro_Diario'!D250)="sí"))</f>
        <v/>
      </c>
      <c r="D250" s="359" t="str">
        <f>IF(A250="","",--(LOWER('20_Registro_Diario'!E250)="sí"))</f>
        <v/>
      </c>
      <c r="E250" s="359" t="str">
        <f>IF(A250="","",--(LOWER('20_Registro_Diario'!F250)="sí"))</f>
        <v/>
      </c>
      <c r="F250" s="359" t="str">
        <f>IF(A250="","",--(LOWER('20_Registro_Diario'!G250)="sí"))</f>
        <v/>
      </c>
      <c r="G250" s="366" t="str">
        <f>IF(A250="","",IFERROR('20_Registro_Diario'!I250,0))</f>
        <v/>
      </c>
      <c r="H250" s="368" t="str">
        <f t="shared" si="28"/>
        <v/>
      </c>
      <c r="I250" s="359" t="str">
        <f t="shared" si="29"/>
        <v/>
      </c>
      <c r="J250" s="359" t="str">
        <f t="shared" si="30"/>
        <v/>
      </c>
      <c r="K250" s="359" t="str">
        <f t="shared" si="31"/>
        <v/>
      </c>
      <c r="L250" s="359" t="str">
        <f t="shared" si="32"/>
        <v/>
      </c>
      <c r="M250" s="359" t="str">
        <f t="shared" si="33"/>
        <v/>
      </c>
      <c r="N250" s="149" t="str">
        <f t="shared" si="34"/>
        <v/>
      </c>
    </row>
    <row r="251" spans="1:14">
      <c r="A251" s="417" t="str">
        <f>IF(OR('20_Registro_Diario'!A251="",'20_Registro_Diario'!A251=0),"",'20_Registro_Diario'!A251)</f>
        <v/>
      </c>
      <c r="B251" s="359" t="str">
        <f>IF(A251="","",--(LOWER('20_Registro_Diario'!C251)="sí"))</f>
        <v/>
      </c>
      <c r="C251" s="359" t="str">
        <f>IF(A251="","",--(LOWER('20_Registro_Diario'!D251)="sí"))</f>
        <v/>
      </c>
      <c r="D251" s="359" t="str">
        <f>IF(A251="","",--(LOWER('20_Registro_Diario'!E251)="sí"))</f>
        <v/>
      </c>
      <c r="E251" s="359" t="str">
        <f>IF(A251="","",--(LOWER('20_Registro_Diario'!F251)="sí"))</f>
        <v/>
      </c>
      <c r="F251" s="359" t="str">
        <f>IF(A251="","",--(LOWER('20_Registro_Diario'!G251)="sí"))</f>
        <v/>
      </c>
      <c r="G251" s="366" t="str">
        <f>IF(A251="","",IFERROR('20_Registro_Diario'!I251,0))</f>
        <v/>
      </c>
      <c r="H251" s="368" t="str">
        <f t="shared" si="28"/>
        <v/>
      </c>
      <c r="I251" s="359" t="str">
        <f t="shared" si="29"/>
        <v/>
      </c>
      <c r="J251" s="359" t="str">
        <f t="shared" si="30"/>
        <v/>
      </c>
      <c r="K251" s="359" t="str">
        <f t="shared" si="31"/>
        <v/>
      </c>
      <c r="L251" s="359" t="str">
        <f t="shared" si="32"/>
        <v/>
      </c>
      <c r="M251" s="359" t="str">
        <f t="shared" si="33"/>
        <v/>
      </c>
      <c r="N251" s="149" t="str">
        <f t="shared" si="34"/>
        <v/>
      </c>
    </row>
    <row r="252" spans="1:14">
      <c r="A252" s="417" t="str">
        <f>IF(OR('20_Registro_Diario'!A252="",'20_Registro_Diario'!A252=0),"",'20_Registro_Diario'!A252)</f>
        <v/>
      </c>
      <c r="B252" s="359" t="str">
        <f>IF(A252="","",--(LOWER('20_Registro_Diario'!C252)="sí"))</f>
        <v/>
      </c>
      <c r="C252" s="359" t="str">
        <f>IF(A252="","",--(LOWER('20_Registro_Diario'!D252)="sí"))</f>
        <v/>
      </c>
      <c r="D252" s="359" t="str">
        <f>IF(A252="","",--(LOWER('20_Registro_Diario'!E252)="sí"))</f>
        <v/>
      </c>
      <c r="E252" s="359" t="str">
        <f>IF(A252="","",--(LOWER('20_Registro_Diario'!F252)="sí"))</f>
        <v/>
      </c>
      <c r="F252" s="359" t="str">
        <f>IF(A252="","",--(LOWER('20_Registro_Diario'!G252)="sí"))</f>
        <v/>
      </c>
      <c r="G252" s="366" t="str">
        <f>IF(A252="","",IFERROR('20_Registro_Diario'!I252,0))</f>
        <v/>
      </c>
      <c r="H252" s="368" t="str">
        <f t="shared" si="28"/>
        <v/>
      </c>
      <c r="I252" s="359" t="str">
        <f t="shared" si="29"/>
        <v/>
      </c>
      <c r="J252" s="359" t="str">
        <f t="shared" si="30"/>
        <v/>
      </c>
      <c r="K252" s="359" t="str">
        <f t="shared" si="31"/>
        <v/>
      </c>
      <c r="L252" s="359" t="str">
        <f t="shared" si="32"/>
        <v/>
      </c>
      <c r="M252" s="359" t="str">
        <f t="shared" si="33"/>
        <v/>
      </c>
      <c r="N252" s="149" t="str">
        <f t="shared" si="34"/>
        <v/>
      </c>
    </row>
    <row r="253" spans="1:14">
      <c r="A253" s="417" t="str">
        <f>IF(OR('20_Registro_Diario'!A253="",'20_Registro_Diario'!A253=0),"",'20_Registro_Diario'!A253)</f>
        <v/>
      </c>
      <c r="B253" s="359" t="str">
        <f>IF(A253="","",--(LOWER('20_Registro_Diario'!C253)="sí"))</f>
        <v/>
      </c>
      <c r="C253" s="359" t="str">
        <f>IF(A253="","",--(LOWER('20_Registro_Diario'!D253)="sí"))</f>
        <v/>
      </c>
      <c r="D253" s="359" t="str">
        <f>IF(A253="","",--(LOWER('20_Registro_Diario'!E253)="sí"))</f>
        <v/>
      </c>
      <c r="E253" s="359" t="str">
        <f>IF(A253="","",--(LOWER('20_Registro_Diario'!F253)="sí"))</f>
        <v/>
      </c>
      <c r="F253" s="359" t="str">
        <f>IF(A253="","",--(LOWER('20_Registro_Diario'!G253)="sí"))</f>
        <v/>
      </c>
      <c r="G253" s="366" t="str">
        <f>IF(A253="","",IFERROR('20_Registro_Diario'!I253,0))</f>
        <v/>
      </c>
      <c r="H253" s="368" t="str">
        <f t="shared" si="28"/>
        <v/>
      </c>
      <c r="I253" s="359" t="str">
        <f t="shared" si="29"/>
        <v/>
      </c>
      <c r="J253" s="359" t="str">
        <f t="shared" si="30"/>
        <v/>
      </c>
      <c r="K253" s="359" t="str">
        <f t="shared" si="31"/>
        <v/>
      </c>
      <c r="L253" s="359" t="str">
        <f t="shared" si="32"/>
        <v/>
      </c>
      <c r="M253" s="359" t="str">
        <f t="shared" si="33"/>
        <v/>
      </c>
      <c r="N253" s="149" t="str">
        <f t="shared" si="34"/>
        <v/>
      </c>
    </row>
    <row r="254" spans="1:14">
      <c r="A254" s="417" t="str">
        <f>IF(OR('20_Registro_Diario'!A254="",'20_Registro_Diario'!A254=0),"",'20_Registro_Diario'!A254)</f>
        <v/>
      </c>
      <c r="B254" s="359" t="str">
        <f>IF(A254="","",--(LOWER('20_Registro_Diario'!C254)="sí"))</f>
        <v/>
      </c>
      <c r="C254" s="359" t="str">
        <f>IF(A254="","",--(LOWER('20_Registro_Diario'!D254)="sí"))</f>
        <v/>
      </c>
      <c r="D254" s="359" t="str">
        <f>IF(A254="","",--(LOWER('20_Registro_Diario'!E254)="sí"))</f>
        <v/>
      </c>
      <c r="E254" s="359" t="str">
        <f>IF(A254="","",--(LOWER('20_Registro_Diario'!F254)="sí"))</f>
        <v/>
      </c>
      <c r="F254" s="359" t="str">
        <f>IF(A254="","",--(LOWER('20_Registro_Diario'!G254)="sí"))</f>
        <v/>
      </c>
      <c r="G254" s="366" t="str">
        <f>IF(A254="","",IFERROR('20_Registro_Diario'!I254,0))</f>
        <v/>
      </c>
      <c r="H254" s="368" t="str">
        <f t="shared" si="28"/>
        <v/>
      </c>
      <c r="I254" s="359" t="str">
        <f t="shared" si="29"/>
        <v/>
      </c>
      <c r="J254" s="359" t="str">
        <f t="shared" si="30"/>
        <v/>
      </c>
      <c r="K254" s="359" t="str">
        <f t="shared" si="31"/>
        <v/>
      </c>
      <c r="L254" s="359" t="str">
        <f t="shared" si="32"/>
        <v/>
      </c>
      <c r="M254" s="359" t="str">
        <f t="shared" si="33"/>
        <v/>
      </c>
      <c r="N254" s="149" t="str">
        <f t="shared" si="34"/>
        <v/>
      </c>
    </row>
    <row r="255" spans="1:14">
      <c r="A255" s="417" t="str">
        <f>IF(OR('20_Registro_Diario'!A255="",'20_Registro_Diario'!A255=0),"",'20_Registro_Diario'!A255)</f>
        <v/>
      </c>
      <c r="B255" s="359" t="str">
        <f>IF(A255="","",--(LOWER('20_Registro_Diario'!C255)="sí"))</f>
        <v/>
      </c>
      <c r="C255" s="359" t="str">
        <f>IF(A255="","",--(LOWER('20_Registro_Diario'!D255)="sí"))</f>
        <v/>
      </c>
      <c r="D255" s="359" t="str">
        <f>IF(A255="","",--(LOWER('20_Registro_Diario'!E255)="sí"))</f>
        <v/>
      </c>
      <c r="E255" s="359" t="str">
        <f>IF(A255="","",--(LOWER('20_Registro_Diario'!F255)="sí"))</f>
        <v/>
      </c>
      <c r="F255" s="359" t="str">
        <f>IF(A255="","",--(LOWER('20_Registro_Diario'!G255)="sí"))</f>
        <v/>
      </c>
      <c r="G255" s="366" t="str">
        <f>IF(A255="","",IFERROR('20_Registro_Diario'!I255,0))</f>
        <v/>
      </c>
      <c r="H255" s="368" t="str">
        <f t="shared" si="28"/>
        <v/>
      </c>
      <c r="I255" s="359" t="str">
        <f t="shared" si="29"/>
        <v/>
      </c>
      <c r="J255" s="359" t="str">
        <f t="shared" si="30"/>
        <v/>
      </c>
      <c r="K255" s="359" t="str">
        <f t="shared" si="31"/>
        <v/>
      </c>
      <c r="L255" s="359" t="str">
        <f t="shared" si="32"/>
        <v/>
      </c>
      <c r="M255" s="359" t="str">
        <f t="shared" si="33"/>
        <v/>
      </c>
      <c r="N255" s="149" t="str">
        <f t="shared" si="34"/>
        <v/>
      </c>
    </row>
    <row r="256" spans="1:14">
      <c r="A256" s="417" t="str">
        <f>IF(OR('20_Registro_Diario'!A256="",'20_Registro_Diario'!A256=0),"",'20_Registro_Diario'!A256)</f>
        <v/>
      </c>
      <c r="B256" s="359" t="str">
        <f>IF(A256="","",--(LOWER('20_Registro_Diario'!C256)="sí"))</f>
        <v/>
      </c>
      <c r="C256" s="359" t="str">
        <f>IF(A256="","",--(LOWER('20_Registro_Diario'!D256)="sí"))</f>
        <v/>
      </c>
      <c r="D256" s="359" t="str">
        <f>IF(A256="","",--(LOWER('20_Registro_Diario'!E256)="sí"))</f>
        <v/>
      </c>
      <c r="E256" s="359" t="str">
        <f>IF(A256="","",--(LOWER('20_Registro_Diario'!F256)="sí"))</f>
        <v/>
      </c>
      <c r="F256" s="359" t="str">
        <f>IF(A256="","",--(LOWER('20_Registro_Diario'!G256)="sí"))</f>
        <v/>
      </c>
      <c r="G256" s="366" t="str">
        <f>IF(A256="","",IFERROR('20_Registro_Diario'!I256,0))</f>
        <v/>
      </c>
      <c r="H256" s="368" t="str">
        <f t="shared" si="28"/>
        <v/>
      </c>
      <c r="I256" s="359" t="str">
        <f t="shared" si="29"/>
        <v/>
      </c>
      <c r="J256" s="359" t="str">
        <f t="shared" si="30"/>
        <v/>
      </c>
      <c r="K256" s="359" t="str">
        <f t="shared" si="31"/>
        <v/>
      </c>
      <c r="L256" s="359" t="str">
        <f t="shared" si="32"/>
        <v/>
      </c>
      <c r="M256" s="359" t="str">
        <f t="shared" si="33"/>
        <v/>
      </c>
      <c r="N256" s="149" t="str">
        <f t="shared" si="34"/>
        <v/>
      </c>
    </row>
    <row r="257" spans="1:14">
      <c r="A257" s="417" t="str">
        <f>IF(OR('20_Registro_Diario'!A257="",'20_Registro_Diario'!A257=0),"",'20_Registro_Diario'!A257)</f>
        <v/>
      </c>
      <c r="B257" s="359" t="str">
        <f>IF(A257="","",--(LOWER('20_Registro_Diario'!C257)="sí"))</f>
        <v/>
      </c>
      <c r="C257" s="359" t="str">
        <f>IF(A257="","",--(LOWER('20_Registro_Diario'!D257)="sí"))</f>
        <v/>
      </c>
      <c r="D257" s="359" t="str">
        <f>IF(A257="","",--(LOWER('20_Registro_Diario'!E257)="sí"))</f>
        <v/>
      </c>
      <c r="E257" s="359" t="str">
        <f>IF(A257="","",--(LOWER('20_Registro_Diario'!F257)="sí"))</f>
        <v/>
      </c>
      <c r="F257" s="359" t="str">
        <f>IF(A257="","",--(LOWER('20_Registro_Diario'!G257)="sí"))</f>
        <v/>
      </c>
      <c r="G257" s="366" t="str">
        <f>IF(A257="","",IFERROR('20_Registro_Diario'!I257,0))</f>
        <v/>
      </c>
      <c r="H257" s="368" t="str">
        <f t="shared" si="28"/>
        <v/>
      </c>
      <c r="I257" s="359" t="str">
        <f t="shared" si="29"/>
        <v/>
      </c>
      <c r="J257" s="359" t="str">
        <f t="shared" si="30"/>
        <v/>
      </c>
      <c r="K257" s="359" t="str">
        <f t="shared" si="31"/>
        <v/>
      </c>
      <c r="L257" s="359" t="str">
        <f t="shared" si="32"/>
        <v/>
      </c>
      <c r="M257" s="359" t="str">
        <f t="shared" si="33"/>
        <v/>
      </c>
      <c r="N257" s="149" t="str">
        <f t="shared" si="34"/>
        <v/>
      </c>
    </row>
    <row r="258" spans="1:14">
      <c r="A258" s="417" t="str">
        <f>IF(OR('20_Registro_Diario'!A258="",'20_Registro_Diario'!A258=0),"",'20_Registro_Diario'!A258)</f>
        <v/>
      </c>
      <c r="B258" s="359" t="str">
        <f>IF(A258="","",--(LOWER('20_Registro_Diario'!C258)="sí"))</f>
        <v/>
      </c>
      <c r="C258" s="359" t="str">
        <f>IF(A258="","",--(LOWER('20_Registro_Diario'!D258)="sí"))</f>
        <v/>
      </c>
      <c r="D258" s="359" t="str">
        <f>IF(A258="","",--(LOWER('20_Registro_Diario'!E258)="sí"))</f>
        <v/>
      </c>
      <c r="E258" s="359" t="str">
        <f>IF(A258="","",--(LOWER('20_Registro_Diario'!F258)="sí"))</f>
        <v/>
      </c>
      <c r="F258" s="359" t="str">
        <f>IF(A258="","",--(LOWER('20_Registro_Diario'!G258)="sí"))</f>
        <v/>
      </c>
      <c r="G258" s="366" t="str">
        <f>IF(A258="","",IFERROR('20_Registro_Diario'!I258,0))</f>
        <v/>
      </c>
      <c r="H258" s="368" t="str">
        <f t="shared" si="28"/>
        <v/>
      </c>
      <c r="I258" s="359" t="str">
        <f t="shared" si="29"/>
        <v/>
      </c>
      <c r="J258" s="359" t="str">
        <f t="shared" si="30"/>
        <v/>
      </c>
      <c r="K258" s="359" t="str">
        <f t="shared" si="31"/>
        <v/>
      </c>
      <c r="L258" s="359" t="str">
        <f t="shared" si="32"/>
        <v/>
      </c>
      <c r="M258" s="359" t="str">
        <f t="shared" si="33"/>
        <v/>
      </c>
      <c r="N258" s="149" t="str">
        <f t="shared" si="34"/>
        <v/>
      </c>
    </row>
    <row r="259" spans="1:14">
      <c r="A259" s="417" t="str">
        <f>IF(OR('20_Registro_Diario'!A259="",'20_Registro_Diario'!A259=0),"",'20_Registro_Diario'!A259)</f>
        <v/>
      </c>
      <c r="B259" s="359" t="str">
        <f>IF(A259="","",--(LOWER('20_Registro_Diario'!C259)="sí"))</f>
        <v/>
      </c>
      <c r="C259" s="359" t="str">
        <f>IF(A259="","",--(LOWER('20_Registro_Diario'!D259)="sí"))</f>
        <v/>
      </c>
      <c r="D259" s="359" t="str">
        <f>IF(A259="","",--(LOWER('20_Registro_Diario'!E259)="sí"))</f>
        <v/>
      </c>
      <c r="E259" s="359" t="str">
        <f>IF(A259="","",--(LOWER('20_Registro_Diario'!F259)="sí"))</f>
        <v/>
      </c>
      <c r="F259" s="359" t="str">
        <f>IF(A259="","",--(LOWER('20_Registro_Diario'!G259)="sí"))</f>
        <v/>
      </c>
      <c r="G259" s="366" t="str">
        <f>IF(A259="","",IFERROR('20_Registro_Diario'!I259,0))</f>
        <v/>
      </c>
      <c r="H259" s="368" t="str">
        <f t="shared" si="28"/>
        <v/>
      </c>
      <c r="I259" s="359" t="str">
        <f t="shared" si="29"/>
        <v/>
      </c>
      <c r="J259" s="359" t="str">
        <f t="shared" si="30"/>
        <v/>
      </c>
      <c r="K259" s="359" t="str">
        <f t="shared" si="31"/>
        <v/>
      </c>
      <c r="L259" s="359" t="str">
        <f t="shared" si="32"/>
        <v/>
      </c>
      <c r="M259" s="359" t="str">
        <f t="shared" si="33"/>
        <v/>
      </c>
      <c r="N259" s="149" t="str">
        <f t="shared" si="34"/>
        <v/>
      </c>
    </row>
    <row r="260" spans="1:14">
      <c r="A260" s="417" t="str">
        <f>IF(OR('20_Registro_Diario'!A260="",'20_Registro_Diario'!A260=0),"",'20_Registro_Diario'!A260)</f>
        <v/>
      </c>
      <c r="B260" s="359" t="str">
        <f>IF(A260="","",--(LOWER('20_Registro_Diario'!C260)="sí"))</f>
        <v/>
      </c>
      <c r="C260" s="359" t="str">
        <f>IF(A260="","",--(LOWER('20_Registro_Diario'!D260)="sí"))</f>
        <v/>
      </c>
      <c r="D260" s="359" t="str">
        <f>IF(A260="","",--(LOWER('20_Registro_Diario'!E260)="sí"))</f>
        <v/>
      </c>
      <c r="E260" s="359" t="str">
        <f>IF(A260="","",--(LOWER('20_Registro_Diario'!F260)="sí"))</f>
        <v/>
      </c>
      <c r="F260" s="359" t="str">
        <f>IF(A260="","",--(LOWER('20_Registro_Diario'!G260)="sí"))</f>
        <v/>
      </c>
      <c r="G260" s="366" t="str">
        <f>IF(A260="","",IFERROR('20_Registro_Diario'!I260,0))</f>
        <v/>
      </c>
      <c r="H260" s="368" t="str">
        <f t="shared" si="28"/>
        <v/>
      </c>
      <c r="I260" s="359" t="str">
        <f t="shared" si="29"/>
        <v/>
      </c>
      <c r="J260" s="359" t="str">
        <f t="shared" si="30"/>
        <v/>
      </c>
      <c r="K260" s="359" t="str">
        <f t="shared" si="31"/>
        <v/>
      </c>
      <c r="L260" s="359" t="str">
        <f t="shared" si="32"/>
        <v/>
      </c>
      <c r="M260" s="359" t="str">
        <f t="shared" si="33"/>
        <v/>
      </c>
      <c r="N260" s="149" t="str">
        <f t="shared" si="34"/>
        <v/>
      </c>
    </row>
    <row r="261" spans="1:14">
      <c r="A261" s="417" t="str">
        <f>IF(OR('20_Registro_Diario'!A261="",'20_Registro_Diario'!A261=0),"",'20_Registro_Diario'!A261)</f>
        <v/>
      </c>
      <c r="B261" s="359" t="str">
        <f>IF(A261="","",--(LOWER('20_Registro_Diario'!C261)="sí"))</f>
        <v/>
      </c>
      <c r="C261" s="359" t="str">
        <f>IF(A261="","",--(LOWER('20_Registro_Diario'!D261)="sí"))</f>
        <v/>
      </c>
      <c r="D261" s="359" t="str">
        <f>IF(A261="","",--(LOWER('20_Registro_Diario'!E261)="sí"))</f>
        <v/>
      </c>
      <c r="E261" s="359" t="str">
        <f>IF(A261="","",--(LOWER('20_Registro_Diario'!F261)="sí"))</f>
        <v/>
      </c>
      <c r="F261" s="359" t="str">
        <f>IF(A261="","",--(LOWER('20_Registro_Diario'!G261)="sí"))</f>
        <v/>
      </c>
      <c r="G261" s="366" t="str">
        <f>IF(A261="","",IFERROR('20_Registro_Diario'!I261,0))</f>
        <v/>
      </c>
      <c r="H261" s="368" t="str">
        <f t="shared" ref="H261:H324" si="35">IF(A261="","",IFERROR(SUM(B261:F261)/5,0))</f>
        <v/>
      </c>
      <c r="I261" s="359" t="str">
        <f t="shared" ref="I261:I324" si="36">IF(A261="","",IF(H261&gt;=0.8,"🟢 Fuerte",IF(H261&gt;=0.5,"🟡 En proceso","🔴 Riesgo")))</f>
        <v/>
      </c>
      <c r="J261" s="359" t="str">
        <f t="shared" ref="J261:J324" si="37">IF(A261="","",IF(B261=1,"Sí","No"))</f>
        <v/>
      </c>
      <c r="K261" s="359" t="str">
        <f t="shared" ref="K261:K324" si="38">IF(A261="","",IF(D261=1,"Con universidad","Sin universidad"))</f>
        <v/>
      </c>
      <c r="L261" s="359" t="str">
        <f t="shared" ref="L261:L324" si="39">IF(A261="","",IF(H261&gt;=0.8,"Alto",IF(H261&gt;=0.5,"Medio","Bajo")))</f>
        <v/>
      </c>
      <c r="M261" s="359" t="str">
        <f t="shared" ref="M261:M324" si="40">IF(A261="","",IF(H261&gt;=0.8,"🟢 Fuerte",IF(H261&gt;=0.5,"🟡 Día útil","🔴 Revisar")))</f>
        <v/>
      </c>
      <c r="N261" s="149" t="str">
        <f t="shared" ref="N261:N324" si="41">IF(A261="","",H261*100)</f>
        <v/>
      </c>
    </row>
    <row r="262" spans="1:14">
      <c r="A262" s="417" t="str">
        <f>IF(OR('20_Registro_Diario'!A262="",'20_Registro_Diario'!A262=0),"",'20_Registro_Diario'!A262)</f>
        <v/>
      </c>
      <c r="B262" s="359" t="str">
        <f>IF(A262="","",--(LOWER('20_Registro_Diario'!C262)="sí"))</f>
        <v/>
      </c>
      <c r="C262" s="359" t="str">
        <f>IF(A262="","",--(LOWER('20_Registro_Diario'!D262)="sí"))</f>
        <v/>
      </c>
      <c r="D262" s="359" t="str">
        <f>IF(A262="","",--(LOWER('20_Registro_Diario'!E262)="sí"))</f>
        <v/>
      </c>
      <c r="E262" s="359" t="str">
        <f>IF(A262="","",--(LOWER('20_Registro_Diario'!F262)="sí"))</f>
        <v/>
      </c>
      <c r="F262" s="359" t="str">
        <f>IF(A262="","",--(LOWER('20_Registro_Diario'!G262)="sí"))</f>
        <v/>
      </c>
      <c r="G262" s="366" t="str">
        <f>IF(A262="","",IFERROR('20_Registro_Diario'!I262,0))</f>
        <v/>
      </c>
      <c r="H262" s="368" t="str">
        <f t="shared" si="35"/>
        <v/>
      </c>
      <c r="I262" s="359" t="str">
        <f t="shared" si="36"/>
        <v/>
      </c>
      <c r="J262" s="359" t="str">
        <f t="shared" si="37"/>
        <v/>
      </c>
      <c r="K262" s="359" t="str">
        <f t="shared" si="38"/>
        <v/>
      </c>
      <c r="L262" s="359" t="str">
        <f t="shared" si="39"/>
        <v/>
      </c>
      <c r="M262" s="359" t="str">
        <f t="shared" si="40"/>
        <v/>
      </c>
      <c r="N262" s="149" t="str">
        <f t="shared" si="41"/>
        <v/>
      </c>
    </row>
    <row r="263" spans="1:14">
      <c r="A263" s="417" t="str">
        <f>IF(OR('20_Registro_Diario'!A263="",'20_Registro_Diario'!A263=0),"",'20_Registro_Diario'!A263)</f>
        <v/>
      </c>
      <c r="B263" s="359" t="str">
        <f>IF(A263="","",--(LOWER('20_Registro_Diario'!C263)="sí"))</f>
        <v/>
      </c>
      <c r="C263" s="359" t="str">
        <f>IF(A263="","",--(LOWER('20_Registro_Diario'!D263)="sí"))</f>
        <v/>
      </c>
      <c r="D263" s="359" t="str">
        <f>IF(A263="","",--(LOWER('20_Registro_Diario'!E263)="sí"))</f>
        <v/>
      </c>
      <c r="E263" s="359" t="str">
        <f>IF(A263="","",--(LOWER('20_Registro_Diario'!F263)="sí"))</f>
        <v/>
      </c>
      <c r="F263" s="359" t="str">
        <f>IF(A263="","",--(LOWER('20_Registro_Diario'!G263)="sí"))</f>
        <v/>
      </c>
      <c r="G263" s="366" t="str">
        <f>IF(A263="","",IFERROR('20_Registro_Diario'!I263,0))</f>
        <v/>
      </c>
      <c r="H263" s="368" t="str">
        <f t="shared" si="35"/>
        <v/>
      </c>
      <c r="I263" s="359" t="str">
        <f t="shared" si="36"/>
        <v/>
      </c>
      <c r="J263" s="359" t="str">
        <f t="shared" si="37"/>
        <v/>
      </c>
      <c r="K263" s="359" t="str">
        <f t="shared" si="38"/>
        <v/>
      </c>
      <c r="L263" s="359" t="str">
        <f t="shared" si="39"/>
        <v/>
      </c>
      <c r="M263" s="359" t="str">
        <f t="shared" si="40"/>
        <v/>
      </c>
      <c r="N263" s="149" t="str">
        <f t="shared" si="41"/>
        <v/>
      </c>
    </row>
    <row r="264" spans="1:14">
      <c r="A264" s="417" t="str">
        <f>IF(OR('20_Registro_Diario'!A264="",'20_Registro_Diario'!A264=0),"",'20_Registro_Diario'!A264)</f>
        <v/>
      </c>
      <c r="B264" s="359" t="str">
        <f>IF(A264="","",--(LOWER('20_Registro_Diario'!C264)="sí"))</f>
        <v/>
      </c>
      <c r="C264" s="359" t="str">
        <f>IF(A264="","",--(LOWER('20_Registro_Diario'!D264)="sí"))</f>
        <v/>
      </c>
      <c r="D264" s="359" t="str">
        <f>IF(A264="","",--(LOWER('20_Registro_Diario'!E264)="sí"))</f>
        <v/>
      </c>
      <c r="E264" s="359" t="str">
        <f>IF(A264="","",--(LOWER('20_Registro_Diario'!F264)="sí"))</f>
        <v/>
      </c>
      <c r="F264" s="359" t="str">
        <f>IF(A264="","",--(LOWER('20_Registro_Diario'!G264)="sí"))</f>
        <v/>
      </c>
      <c r="G264" s="366" t="str">
        <f>IF(A264="","",IFERROR('20_Registro_Diario'!I264,0))</f>
        <v/>
      </c>
      <c r="H264" s="368" t="str">
        <f t="shared" si="35"/>
        <v/>
      </c>
      <c r="I264" s="359" t="str">
        <f t="shared" si="36"/>
        <v/>
      </c>
      <c r="J264" s="359" t="str">
        <f t="shared" si="37"/>
        <v/>
      </c>
      <c r="K264" s="359" t="str">
        <f t="shared" si="38"/>
        <v/>
      </c>
      <c r="L264" s="359" t="str">
        <f t="shared" si="39"/>
        <v/>
      </c>
      <c r="M264" s="359" t="str">
        <f t="shared" si="40"/>
        <v/>
      </c>
      <c r="N264" s="149" t="str">
        <f t="shared" si="41"/>
        <v/>
      </c>
    </row>
    <row r="265" spans="1:14">
      <c r="A265" s="417" t="str">
        <f>IF(OR('20_Registro_Diario'!A265="",'20_Registro_Diario'!A265=0),"",'20_Registro_Diario'!A265)</f>
        <v/>
      </c>
      <c r="B265" s="359" t="str">
        <f>IF(A265="","",--(LOWER('20_Registro_Diario'!C265)="sí"))</f>
        <v/>
      </c>
      <c r="C265" s="359" t="str">
        <f>IF(A265="","",--(LOWER('20_Registro_Diario'!D265)="sí"))</f>
        <v/>
      </c>
      <c r="D265" s="359" t="str">
        <f>IF(A265="","",--(LOWER('20_Registro_Diario'!E265)="sí"))</f>
        <v/>
      </c>
      <c r="E265" s="359" t="str">
        <f>IF(A265="","",--(LOWER('20_Registro_Diario'!F265)="sí"))</f>
        <v/>
      </c>
      <c r="F265" s="359" t="str">
        <f>IF(A265="","",--(LOWER('20_Registro_Diario'!G265)="sí"))</f>
        <v/>
      </c>
      <c r="G265" s="366" t="str">
        <f>IF(A265="","",IFERROR('20_Registro_Diario'!I265,0))</f>
        <v/>
      </c>
      <c r="H265" s="368" t="str">
        <f t="shared" si="35"/>
        <v/>
      </c>
      <c r="I265" s="359" t="str">
        <f t="shared" si="36"/>
        <v/>
      </c>
      <c r="J265" s="359" t="str">
        <f t="shared" si="37"/>
        <v/>
      </c>
      <c r="K265" s="359" t="str">
        <f t="shared" si="38"/>
        <v/>
      </c>
      <c r="L265" s="359" t="str">
        <f t="shared" si="39"/>
        <v/>
      </c>
      <c r="M265" s="359" t="str">
        <f t="shared" si="40"/>
        <v/>
      </c>
      <c r="N265" s="149" t="str">
        <f t="shared" si="41"/>
        <v/>
      </c>
    </row>
    <row r="266" spans="1:14">
      <c r="A266" s="417" t="str">
        <f>IF(OR('20_Registro_Diario'!A266="",'20_Registro_Diario'!A266=0),"",'20_Registro_Diario'!A266)</f>
        <v/>
      </c>
      <c r="B266" s="359" t="str">
        <f>IF(A266="","",--(LOWER('20_Registro_Diario'!C266)="sí"))</f>
        <v/>
      </c>
      <c r="C266" s="359" t="str">
        <f>IF(A266="","",--(LOWER('20_Registro_Diario'!D266)="sí"))</f>
        <v/>
      </c>
      <c r="D266" s="359" t="str">
        <f>IF(A266="","",--(LOWER('20_Registro_Diario'!E266)="sí"))</f>
        <v/>
      </c>
      <c r="E266" s="359" t="str">
        <f>IF(A266="","",--(LOWER('20_Registro_Diario'!F266)="sí"))</f>
        <v/>
      </c>
      <c r="F266" s="359" t="str">
        <f>IF(A266="","",--(LOWER('20_Registro_Diario'!G266)="sí"))</f>
        <v/>
      </c>
      <c r="G266" s="366" t="str">
        <f>IF(A266="","",IFERROR('20_Registro_Diario'!I266,0))</f>
        <v/>
      </c>
      <c r="H266" s="368" t="str">
        <f t="shared" si="35"/>
        <v/>
      </c>
      <c r="I266" s="359" t="str">
        <f t="shared" si="36"/>
        <v/>
      </c>
      <c r="J266" s="359" t="str">
        <f t="shared" si="37"/>
        <v/>
      </c>
      <c r="K266" s="359" t="str">
        <f t="shared" si="38"/>
        <v/>
      </c>
      <c r="L266" s="359" t="str">
        <f t="shared" si="39"/>
        <v/>
      </c>
      <c r="M266" s="359" t="str">
        <f t="shared" si="40"/>
        <v/>
      </c>
      <c r="N266" s="149" t="str">
        <f t="shared" si="41"/>
        <v/>
      </c>
    </row>
    <row r="267" spans="1:14">
      <c r="A267" s="417" t="str">
        <f>IF(OR('20_Registro_Diario'!A267="",'20_Registro_Diario'!A267=0),"",'20_Registro_Diario'!A267)</f>
        <v/>
      </c>
      <c r="B267" s="359" t="str">
        <f>IF(A267="","",--(LOWER('20_Registro_Diario'!C267)="sí"))</f>
        <v/>
      </c>
      <c r="C267" s="359" t="str">
        <f>IF(A267="","",--(LOWER('20_Registro_Diario'!D267)="sí"))</f>
        <v/>
      </c>
      <c r="D267" s="359" t="str">
        <f>IF(A267="","",--(LOWER('20_Registro_Diario'!E267)="sí"))</f>
        <v/>
      </c>
      <c r="E267" s="359" t="str">
        <f>IF(A267="","",--(LOWER('20_Registro_Diario'!F267)="sí"))</f>
        <v/>
      </c>
      <c r="F267" s="359" t="str">
        <f>IF(A267="","",--(LOWER('20_Registro_Diario'!G267)="sí"))</f>
        <v/>
      </c>
      <c r="G267" s="366" t="str">
        <f>IF(A267="","",IFERROR('20_Registro_Diario'!I267,0))</f>
        <v/>
      </c>
      <c r="H267" s="368" t="str">
        <f t="shared" si="35"/>
        <v/>
      </c>
      <c r="I267" s="359" t="str">
        <f t="shared" si="36"/>
        <v/>
      </c>
      <c r="J267" s="359" t="str">
        <f t="shared" si="37"/>
        <v/>
      </c>
      <c r="K267" s="359" t="str">
        <f t="shared" si="38"/>
        <v/>
      </c>
      <c r="L267" s="359" t="str">
        <f t="shared" si="39"/>
        <v/>
      </c>
      <c r="M267" s="359" t="str">
        <f t="shared" si="40"/>
        <v/>
      </c>
      <c r="N267" s="149" t="str">
        <f t="shared" si="41"/>
        <v/>
      </c>
    </row>
    <row r="268" spans="1:14">
      <c r="A268" s="417" t="str">
        <f>IF(OR('20_Registro_Diario'!A268="",'20_Registro_Diario'!A268=0),"",'20_Registro_Diario'!A268)</f>
        <v/>
      </c>
      <c r="B268" s="359" t="str">
        <f>IF(A268="","",--(LOWER('20_Registro_Diario'!C268)="sí"))</f>
        <v/>
      </c>
      <c r="C268" s="359" t="str">
        <f>IF(A268="","",--(LOWER('20_Registro_Diario'!D268)="sí"))</f>
        <v/>
      </c>
      <c r="D268" s="359" t="str">
        <f>IF(A268="","",--(LOWER('20_Registro_Diario'!E268)="sí"))</f>
        <v/>
      </c>
      <c r="E268" s="359" t="str">
        <f>IF(A268="","",--(LOWER('20_Registro_Diario'!F268)="sí"))</f>
        <v/>
      </c>
      <c r="F268" s="359" t="str">
        <f>IF(A268="","",--(LOWER('20_Registro_Diario'!G268)="sí"))</f>
        <v/>
      </c>
      <c r="G268" s="366" t="str">
        <f>IF(A268="","",IFERROR('20_Registro_Diario'!I268,0))</f>
        <v/>
      </c>
      <c r="H268" s="368" t="str">
        <f t="shared" si="35"/>
        <v/>
      </c>
      <c r="I268" s="359" t="str">
        <f t="shared" si="36"/>
        <v/>
      </c>
      <c r="J268" s="359" t="str">
        <f t="shared" si="37"/>
        <v/>
      </c>
      <c r="K268" s="359" t="str">
        <f t="shared" si="38"/>
        <v/>
      </c>
      <c r="L268" s="359" t="str">
        <f t="shared" si="39"/>
        <v/>
      </c>
      <c r="M268" s="359" t="str">
        <f t="shared" si="40"/>
        <v/>
      </c>
      <c r="N268" s="149" t="str">
        <f t="shared" si="41"/>
        <v/>
      </c>
    </row>
    <row r="269" spans="1:14">
      <c r="A269" s="417" t="str">
        <f>IF(OR('20_Registro_Diario'!A269="",'20_Registro_Diario'!A269=0),"",'20_Registro_Diario'!A269)</f>
        <v/>
      </c>
      <c r="B269" s="359" t="str">
        <f>IF(A269="","",--(LOWER('20_Registro_Diario'!C269)="sí"))</f>
        <v/>
      </c>
      <c r="C269" s="359" t="str">
        <f>IF(A269="","",--(LOWER('20_Registro_Diario'!D269)="sí"))</f>
        <v/>
      </c>
      <c r="D269" s="359" t="str">
        <f>IF(A269="","",--(LOWER('20_Registro_Diario'!E269)="sí"))</f>
        <v/>
      </c>
      <c r="E269" s="359" t="str">
        <f>IF(A269="","",--(LOWER('20_Registro_Diario'!F269)="sí"))</f>
        <v/>
      </c>
      <c r="F269" s="359" t="str">
        <f>IF(A269="","",--(LOWER('20_Registro_Diario'!G269)="sí"))</f>
        <v/>
      </c>
      <c r="G269" s="366" t="str">
        <f>IF(A269="","",IFERROR('20_Registro_Diario'!I269,0))</f>
        <v/>
      </c>
      <c r="H269" s="368" t="str">
        <f t="shared" si="35"/>
        <v/>
      </c>
      <c r="I269" s="359" t="str">
        <f t="shared" si="36"/>
        <v/>
      </c>
      <c r="J269" s="359" t="str">
        <f t="shared" si="37"/>
        <v/>
      </c>
      <c r="K269" s="359" t="str">
        <f t="shared" si="38"/>
        <v/>
      </c>
      <c r="L269" s="359" t="str">
        <f t="shared" si="39"/>
        <v/>
      </c>
      <c r="M269" s="359" t="str">
        <f t="shared" si="40"/>
        <v/>
      </c>
      <c r="N269" s="149" t="str">
        <f t="shared" si="41"/>
        <v/>
      </c>
    </row>
    <row r="270" spans="1:14">
      <c r="A270" s="417" t="str">
        <f>IF(OR('20_Registro_Diario'!A270="",'20_Registro_Diario'!A270=0),"",'20_Registro_Diario'!A270)</f>
        <v/>
      </c>
      <c r="B270" s="359" t="str">
        <f>IF(A270="","",--(LOWER('20_Registro_Diario'!C270)="sí"))</f>
        <v/>
      </c>
      <c r="C270" s="359" t="str">
        <f>IF(A270="","",--(LOWER('20_Registro_Diario'!D270)="sí"))</f>
        <v/>
      </c>
      <c r="D270" s="359" t="str">
        <f>IF(A270="","",--(LOWER('20_Registro_Diario'!E270)="sí"))</f>
        <v/>
      </c>
      <c r="E270" s="359" t="str">
        <f>IF(A270="","",--(LOWER('20_Registro_Diario'!F270)="sí"))</f>
        <v/>
      </c>
      <c r="F270" s="359" t="str">
        <f>IF(A270="","",--(LOWER('20_Registro_Diario'!G270)="sí"))</f>
        <v/>
      </c>
      <c r="G270" s="366" t="str">
        <f>IF(A270="","",IFERROR('20_Registro_Diario'!I270,0))</f>
        <v/>
      </c>
      <c r="H270" s="368" t="str">
        <f t="shared" si="35"/>
        <v/>
      </c>
      <c r="I270" s="359" t="str">
        <f t="shared" si="36"/>
        <v/>
      </c>
      <c r="J270" s="359" t="str">
        <f t="shared" si="37"/>
        <v/>
      </c>
      <c r="K270" s="359" t="str">
        <f t="shared" si="38"/>
        <v/>
      </c>
      <c r="L270" s="359" t="str">
        <f t="shared" si="39"/>
        <v/>
      </c>
      <c r="M270" s="359" t="str">
        <f t="shared" si="40"/>
        <v/>
      </c>
      <c r="N270" s="149" t="str">
        <f t="shared" si="41"/>
        <v/>
      </c>
    </row>
    <row r="271" spans="1:14">
      <c r="A271" s="417" t="str">
        <f>IF(OR('20_Registro_Diario'!A271="",'20_Registro_Diario'!A271=0),"",'20_Registro_Diario'!A271)</f>
        <v/>
      </c>
      <c r="B271" s="359" t="str">
        <f>IF(A271="","",--(LOWER('20_Registro_Diario'!C271)="sí"))</f>
        <v/>
      </c>
      <c r="C271" s="359" t="str">
        <f>IF(A271="","",--(LOWER('20_Registro_Diario'!D271)="sí"))</f>
        <v/>
      </c>
      <c r="D271" s="359" t="str">
        <f>IF(A271="","",--(LOWER('20_Registro_Diario'!E271)="sí"))</f>
        <v/>
      </c>
      <c r="E271" s="359" t="str">
        <f>IF(A271="","",--(LOWER('20_Registro_Diario'!F271)="sí"))</f>
        <v/>
      </c>
      <c r="F271" s="359" t="str">
        <f>IF(A271="","",--(LOWER('20_Registro_Diario'!G271)="sí"))</f>
        <v/>
      </c>
      <c r="G271" s="366" t="str">
        <f>IF(A271="","",IFERROR('20_Registro_Diario'!I271,0))</f>
        <v/>
      </c>
      <c r="H271" s="368" t="str">
        <f t="shared" si="35"/>
        <v/>
      </c>
      <c r="I271" s="359" t="str">
        <f t="shared" si="36"/>
        <v/>
      </c>
      <c r="J271" s="359" t="str">
        <f t="shared" si="37"/>
        <v/>
      </c>
      <c r="K271" s="359" t="str">
        <f t="shared" si="38"/>
        <v/>
      </c>
      <c r="L271" s="359" t="str">
        <f t="shared" si="39"/>
        <v/>
      </c>
      <c r="M271" s="359" t="str">
        <f t="shared" si="40"/>
        <v/>
      </c>
      <c r="N271" s="149" t="str">
        <f t="shared" si="41"/>
        <v/>
      </c>
    </row>
    <row r="272" spans="1:14">
      <c r="A272" s="417" t="str">
        <f>IF(OR('20_Registro_Diario'!A272="",'20_Registro_Diario'!A272=0),"",'20_Registro_Diario'!A272)</f>
        <v/>
      </c>
      <c r="B272" s="359" t="str">
        <f>IF(A272="","",--(LOWER('20_Registro_Diario'!C272)="sí"))</f>
        <v/>
      </c>
      <c r="C272" s="359" t="str">
        <f>IF(A272="","",--(LOWER('20_Registro_Diario'!D272)="sí"))</f>
        <v/>
      </c>
      <c r="D272" s="359" t="str">
        <f>IF(A272="","",--(LOWER('20_Registro_Diario'!E272)="sí"))</f>
        <v/>
      </c>
      <c r="E272" s="359" t="str">
        <f>IF(A272="","",--(LOWER('20_Registro_Diario'!F272)="sí"))</f>
        <v/>
      </c>
      <c r="F272" s="359" t="str">
        <f>IF(A272="","",--(LOWER('20_Registro_Diario'!G272)="sí"))</f>
        <v/>
      </c>
      <c r="G272" s="366" t="str">
        <f>IF(A272="","",IFERROR('20_Registro_Diario'!I272,0))</f>
        <v/>
      </c>
      <c r="H272" s="368" t="str">
        <f t="shared" si="35"/>
        <v/>
      </c>
      <c r="I272" s="359" t="str">
        <f t="shared" si="36"/>
        <v/>
      </c>
      <c r="J272" s="359" t="str">
        <f t="shared" si="37"/>
        <v/>
      </c>
      <c r="K272" s="359" t="str">
        <f t="shared" si="38"/>
        <v/>
      </c>
      <c r="L272" s="359" t="str">
        <f t="shared" si="39"/>
        <v/>
      </c>
      <c r="M272" s="359" t="str">
        <f t="shared" si="40"/>
        <v/>
      </c>
      <c r="N272" s="149" t="str">
        <f t="shared" si="41"/>
        <v/>
      </c>
    </row>
    <row r="273" spans="1:14">
      <c r="A273" s="417" t="str">
        <f>IF(OR('20_Registro_Diario'!A273="",'20_Registro_Diario'!A273=0),"",'20_Registro_Diario'!A273)</f>
        <v/>
      </c>
      <c r="B273" s="359" t="str">
        <f>IF(A273="","",--(LOWER('20_Registro_Diario'!C273)="sí"))</f>
        <v/>
      </c>
      <c r="C273" s="359" t="str">
        <f>IF(A273="","",--(LOWER('20_Registro_Diario'!D273)="sí"))</f>
        <v/>
      </c>
      <c r="D273" s="359" t="str">
        <f>IF(A273="","",--(LOWER('20_Registro_Diario'!E273)="sí"))</f>
        <v/>
      </c>
      <c r="E273" s="359" t="str">
        <f>IF(A273="","",--(LOWER('20_Registro_Diario'!F273)="sí"))</f>
        <v/>
      </c>
      <c r="F273" s="359" t="str">
        <f>IF(A273="","",--(LOWER('20_Registro_Diario'!G273)="sí"))</f>
        <v/>
      </c>
      <c r="G273" s="366" t="str">
        <f>IF(A273="","",IFERROR('20_Registro_Diario'!I273,0))</f>
        <v/>
      </c>
      <c r="H273" s="368" t="str">
        <f t="shared" si="35"/>
        <v/>
      </c>
      <c r="I273" s="359" t="str">
        <f t="shared" si="36"/>
        <v/>
      </c>
      <c r="J273" s="359" t="str">
        <f t="shared" si="37"/>
        <v/>
      </c>
      <c r="K273" s="359" t="str">
        <f t="shared" si="38"/>
        <v/>
      </c>
      <c r="L273" s="359" t="str">
        <f t="shared" si="39"/>
        <v/>
      </c>
      <c r="M273" s="359" t="str">
        <f t="shared" si="40"/>
        <v/>
      </c>
      <c r="N273" s="149" t="str">
        <f t="shared" si="41"/>
        <v/>
      </c>
    </row>
    <row r="274" spans="1:14">
      <c r="A274" s="417" t="str">
        <f>IF(OR('20_Registro_Diario'!A274="",'20_Registro_Diario'!A274=0),"",'20_Registro_Diario'!A274)</f>
        <v/>
      </c>
      <c r="B274" s="359" t="str">
        <f>IF(A274="","",--(LOWER('20_Registro_Diario'!C274)="sí"))</f>
        <v/>
      </c>
      <c r="C274" s="359" t="str">
        <f>IF(A274="","",--(LOWER('20_Registro_Diario'!D274)="sí"))</f>
        <v/>
      </c>
      <c r="D274" s="359" t="str">
        <f>IF(A274="","",--(LOWER('20_Registro_Diario'!E274)="sí"))</f>
        <v/>
      </c>
      <c r="E274" s="359" t="str">
        <f>IF(A274="","",--(LOWER('20_Registro_Diario'!F274)="sí"))</f>
        <v/>
      </c>
      <c r="F274" s="359" t="str">
        <f>IF(A274="","",--(LOWER('20_Registro_Diario'!G274)="sí"))</f>
        <v/>
      </c>
      <c r="G274" s="366" t="str">
        <f>IF(A274="","",IFERROR('20_Registro_Diario'!I274,0))</f>
        <v/>
      </c>
      <c r="H274" s="368" t="str">
        <f t="shared" si="35"/>
        <v/>
      </c>
      <c r="I274" s="359" t="str">
        <f t="shared" si="36"/>
        <v/>
      </c>
      <c r="J274" s="359" t="str">
        <f t="shared" si="37"/>
        <v/>
      </c>
      <c r="K274" s="359" t="str">
        <f t="shared" si="38"/>
        <v/>
      </c>
      <c r="L274" s="359" t="str">
        <f t="shared" si="39"/>
        <v/>
      </c>
      <c r="M274" s="359" t="str">
        <f t="shared" si="40"/>
        <v/>
      </c>
      <c r="N274" s="149" t="str">
        <f t="shared" si="41"/>
        <v/>
      </c>
    </row>
    <row r="275" spans="1:14">
      <c r="A275" s="417" t="str">
        <f>IF(OR('20_Registro_Diario'!A275="",'20_Registro_Diario'!A275=0),"",'20_Registro_Diario'!A275)</f>
        <v/>
      </c>
      <c r="B275" s="359" t="str">
        <f>IF(A275="","",--(LOWER('20_Registro_Diario'!C275)="sí"))</f>
        <v/>
      </c>
      <c r="C275" s="359" t="str">
        <f>IF(A275="","",--(LOWER('20_Registro_Diario'!D275)="sí"))</f>
        <v/>
      </c>
      <c r="D275" s="359" t="str">
        <f>IF(A275="","",--(LOWER('20_Registro_Diario'!E275)="sí"))</f>
        <v/>
      </c>
      <c r="E275" s="359" t="str">
        <f>IF(A275="","",--(LOWER('20_Registro_Diario'!F275)="sí"))</f>
        <v/>
      </c>
      <c r="F275" s="359" t="str">
        <f>IF(A275="","",--(LOWER('20_Registro_Diario'!G275)="sí"))</f>
        <v/>
      </c>
      <c r="G275" s="366" t="str">
        <f>IF(A275="","",IFERROR('20_Registro_Diario'!I275,0))</f>
        <v/>
      </c>
      <c r="H275" s="368" t="str">
        <f t="shared" si="35"/>
        <v/>
      </c>
      <c r="I275" s="359" t="str">
        <f t="shared" si="36"/>
        <v/>
      </c>
      <c r="J275" s="359" t="str">
        <f t="shared" si="37"/>
        <v/>
      </c>
      <c r="K275" s="359" t="str">
        <f t="shared" si="38"/>
        <v/>
      </c>
      <c r="L275" s="359" t="str">
        <f t="shared" si="39"/>
        <v/>
      </c>
      <c r="M275" s="359" t="str">
        <f t="shared" si="40"/>
        <v/>
      </c>
      <c r="N275" s="149" t="str">
        <f t="shared" si="41"/>
        <v/>
      </c>
    </row>
    <row r="276" spans="1:14">
      <c r="A276" s="417" t="str">
        <f>IF(OR('20_Registro_Diario'!A276="",'20_Registro_Diario'!A276=0),"",'20_Registro_Diario'!A276)</f>
        <v/>
      </c>
      <c r="B276" s="359" t="str">
        <f>IF(A276="","",--(LOWER('20_Registro_Diario'!C276)="sí"))</f>
        <v/>
      </c>
      <c r="C276" s="359" t="str">
        <f>IF(A276="","",--(LOWER('20_Registro_Diario'!D276)="sí"))</f>
        <v/>
      </c>
      <c r="D276" s="359" t="str">
        <f>IF(A276="","",--(LOWER('20_Registro_Diario'!E276)="sí"))</f>
        <v/>
      </c>
      <c r="E276" s="359" t="str">
        <f>IF(A276="","",--(LOWER('20_Registro_Diario'!F276)="sí"))</f>
        <v/>
      </c>
      <c r="F276" s="359" t="str">
        <f>IF(A276="","",--(LOWER('20_Registro_Diario'!G276)="sí"))</f>
        <v/>
      </c>
      <c r="G276" s="366" t="str">
        <f>IF(A276="","",IFERROR('20_Registro_Diario'!I276,0))</f>
        <v/>
      </c>
      <c r="H276" s="368" t="str">
        <f t="shared" si="35"/>
        <v/>
      </c>
      <c r="I276" s="359" t="str">
        <f t="shared" si="36"/>
        <v/>
      </c>
      <c r="J276" s="359" t="str">
        <f t="shared" si="37"/>
        <v/>
      </c>
      <c r="K276" s="359" t="str">
        <f t="shared" si="38"/>
        <v/>
      </c>
      <c r="L276" s="359" t="str">
        <f t="shared" si="39"/>
        <v/>
      </c>
      <c r="M276" s="359" t="str">
        <f t="shared" si="40"/>
        <v/>
      </c>
      <c r="N276" s="149" t="str">
        <f t="shared" si="41"/>
        <v/>
      </c>
    </row>
    <row r="277" spans="1:14">
      <c r="A277" s="417" t="str">
        <f>IF(OR('20_Registro_Diario'!A277="",'20_Registro_Diario'!A277=0),"",'20_Registro_Diario'!A277)</f>
        <v/>
      </c>
      <c r="B277" s="359" t="str">
        <f>IF(A277="","",--(LOWER('20_Registro_Diario'!C277)="sí"))</f>
        <v/>
      </c>
      <c r="C277" s="359" t="str">
        <f>IF(A277="","",--(LOWER('20_Registro_Diario'!D277)="sí"))</f>
        <v/>
      </c>
      <c r="D277" s="359" t="str">
        <f>IF(A277="","",--(LOWER('20_Registro_Diario'!E277)="sí"))</f>
        <v/>
      </c>
      <c r="E277" s="359" t="str">
        <f>IF(A277="","",--(LOWER('20_Registro_Diario'!F277)="sí"))</f>
        <v/>
      </c>
      <c r="F277" s="359" t="str">
        <f>IF(A277="","",--(LOWER('20_Registro_Diario'!G277)="sí"))</f>
        <v/>
      </c>
      <c r="G277" s="366" t="str">
        <f>IF(A277="","",IFERROR('20_Registro_Diario'!I277,0))</f>
        <v/>
      </c>
      <c r="H277" s="368" t="str">
        <f t="shared" si="35"/>
        <v/>
      </c>
      <c r="I277" s="359" t="str">
        <f t="shared" si="36"/>
        <v/>
      </c>
      <c r="J277" s="359" t="str">
        <f t="shared" si="37"/>
        <v/>
      </c>
      <c r="K277" s="359" t="str">
        <f t="shared" si="38"/>
        <v/>
      </c>
      <c r="L277" s="359" t="str">
        <f t="shared" si="39"/>
        <v/>
      </c>
      <c r="M277" s="359" t="str">
        <f t="shared" si="40"/>
        <v/>
      </c>
      <c r="N277" s="149" t="str">
        <f t="shared" si="41"/>
        <v/>
      </c>
    </row>
    <row r="278" spans="1:14">
      <c r="A278" s="417" t="str">
        <f>IF(OR('20_Registro_Diario'!A278="",'20_Registro_Diario'!A278=0),"",'20_Registro_Diario'!A278)</f>
        <v/>
      </c>
      <c r="B278" s="359" t="str">
        <f>IF(A278="","",--(LOWER('20_Registro_Diario'!C278)="sí"))</f>
        <v/>
      </c>
      <c r="C278" s="359" t="str">
        <f>IF(A278="","",--(LOWER('20_Registro_Diario'!D278)="sí"))</f>
        <v/>
      </c>
      <c r="D278" s="359" t="str">
        <f>IF(A278="","",--(LOWER('20_Registro_Diario'!E278)="sí"))</f>
        <v/>
      </c>
      <c r="E278" s="359" t="str">
        <f>IF(A278="","",--(LOWER('20_Registro_Diario'!F278)="sí"))</f>
        <v/>
      </c>
      <c r="F278" s="359" t="str">
        <f>IF(A278="","",--(LOWER('20_Registro_Diario'!G278)="sí"))</f>
        <v/>
      </c>
      <c r="G278" s="366" t="str">
        <f>IF(A278="","",IFERROR('20_Registro_Diario'!I278,0))</f>
        <v/>
      </c>
      <c r="H278" s="368" t="str">
        <f t="shared" si="35"/>
        <v/>
      </c>
      <c r="I278" s="359" t="str">
        <f t="shared" si="36"/>
        <v/>
      </c>
      <c r="J278" s="359" t="str">
        <f t="shared" si="37"/>
        <v/>
      </c>
      <c r="K278" s="359" t="str">
        <f t="shared" si="38"/>
        <v/>
      </c>
      <c r="L278" s="359" t="str">
        <f t="shared" si="39"/>
        <v/>
      </c>
      <c r="M278" s="359" t="str">
        <f t="shared" si="40"/>
        <v/>
      </c>
      <c r="N278" s="149" t="str">
        <f t="shared" si="41"/>
        <v/>
      </c>
    </row>
    <row r="279" spans="1:14">
      <c r="A279" s="417" t="str">
        <f>IF(OR('20_Registro_Diario'!A279="",'20_Registro_Diario'!A279=0),"",'20_Registro_Diario'!A279)</f>
        <v/>
      </c>
      <c r="B279" s="359" t="str">
        <f>IF(A279="","",--(LOWER('20_Registro_Diario'!C279)="sí"))</f>
        <v/>
      </c>
      <c r="C279" s="359" t="str">
        <f>IF(A279="","",--(LOWER('20_Registro_Diario'!D279)="sí"))</f>
        <v/>
      </c>
      <c r="D279" s="359" t="str">
        <f>IF(A279="","",--(LOWER('20_Registro_Diario'!E279)="sí"))</f>
        <v/>
      </c>
      <c r="E279" s="359" t="str">
        <f>IF(A279="","",--(LOWER('20_Registro_Diario'!F279)="sí"))</f>
        <v/>
      </c>
      <c r="F279" s="359" t="str">
        <f>IF(A279="","",--(LOWER('20_Registro_Diario'!G279)="sí"))</f>
        <v/>
      </c>
      <c r="G279" s="366" t="str">
        <f>IF(A279="","",IFERROR('20_Registro_Diario'!I279,0))</f>
        <v/>
      </c>
      <c r="H279" s="368" t="str">
        <f t="shared" si="35"/>
        <v/>
      </c>
      <c r="I279" s="359" t="str">
        <f t="shared" si="36"/>
        <v/>
      </c>
      <c r="J279" s="359" t="str">
        <f t="shared" si="37"/>
        <v/>
      </c>
      <c r="K279" s="359" t="str">
        <f t="shared" si="38"/>
        <v/>
      </c>
      <c r="L279" s="359" t="str">
        <f t="shared" si="39"/>
        <v/>
      </c>
      <c r="M279" s="359" t="str">
        <f t="shared" si="40"/>
        <v/>
      </c>
      <c r="N279" s="149" t="str">
        <f t="shared" si="41"/>
        <v/>
      </c>
    </row>
    <row r="280" spans="1:14">
      <c r="A280" s="417" t="str">
        <f>IF(OR('20_Registro_Diario'!A280="",'20_Registro_Diario'!A280=0),"",'20_Registro_Diario'!A280)</f>
        <v/>
      </c>
      <c r="B280" s="359" t="str">
        <f>IF(A280="","",--(LOWER('20_Registro_Diario'!C280)="sí"))</f>
        <v/>
      </c>
      <c r="C280" s="359" t="str">
        <f>IF(A280="","",--(LOWER('20_Registro_Diario'!D280)="sí"))</f>
        <v/>
      </c>
      <c r="D280" s="359" t="str">
        <f>IF(A280="","",--(LOWER('20_Registro_Diario'!E280)="sí"))</f>
        <v/>
      </c>
      <c r="E280" s="359" t="str">
        <f>IF(A280="","",--(LOWER('20_Registro_Diario'!F280)="sí"))</f>
        <v/>
      </c>
      <c r="F280" s="359" t="str">
        <f>IF(A280="","",--(LOWER('20_Registro_Diario'!G280)="sí"))</f>
        <v/>
      </c>
      <c r="G280" s="366" t="str">
        <f>IF(A280="","",IFERROR('20_Registro_Diario'!I280,0))</f>
        <v/>
      </c>
      <c r="H280" s="368" t="str">
        <f t="shared" si="35"/>
        <v/>
      </c>
      <c r="I280" s="359" t="str">
        <f t="shared" si="36"/>
        <v/>
      </c>
      <c r="J280" s="359" t="str">
        <f t="shared" si="37"/>
        <v/>
      </c>
      <c r="K280" s="359" t="str">
        <f t="shared" si="38"/>
        <v/>
      </c>
      <c r="L280" s="359" t="str">
        <f t="shared" si="39"/>
        <v/>
      </c>
      <c r="M280" s="359" t="str">
        <f t="shared" si="40"/>
        <v/>
      </c>
      <c r="N280" s="149" t="str">
        <f t="shared" si="41"/>
        <v/>
      </c>
    </row>
    <row r="281" spans="1:14">
      <c r="A281" s="417" t="str">
        <f>IF(OR('20_Registro_Diario'!A281="",'20_Registro_Diario'!A281=0),"",'20_Registro_Diario'!A281)</f>
        <v/>
      </c>
      <c r="B281" s="359" t="str">
        <f>IF(A281="","",--(LOWER('20_Registro_Diario'!C281)="sí"))</f>
        <v/>
      </c>
      <c r="C281" s="359" t="str">
        <f>IF(A281="","",--(LOWER('20_Registro_Diario'!D281)="sí"))</f>
        <v/>
      </c>
      <c r="D281" s="359" t="str">
        <f>IF(A281="","",--(LOWER('20_Registro_Diario'!E281)="sí"))</f>
        <v/>
      </c>
      <c r="E281" s="359" t="str">
        <f>IF(A281="","",--(LOWER('20_Registro_Diario'!F281)="sí"))</f>
        <v/>
      </c>
      <c r="F281" s="359" t="str">
        <f>IF(A281="","",--(LOWER('20_Registro_Diario'!G281)="sí"))</f>
        <v/>
      </c>
      <c r="G281" s="366" t="str">
        <f>IF(A281="","",IFERROR('20_Registro_Diario'!I281,0))</f>
        <v/>
      </c>
      <c r="H281" s="368" t="str">
        <f t="shared" si="35"/>
        <v/>
      </c>
      <c r="I281" s="359" t="str">
        <f t="shared" si="36"/>
        <v/>
      </c>
      <c r="J281" s="359" t="str">
        <f t="shared" si="37"/>
        <v/>
      </c>
      <c r="K281" s="359" t="str">
        <f t="shared" si="38"/>
        <v/>
      </c>
      <c r="L281" s="359" t="str">
        <f t="shared" si="39"/>
        <v/>
      </c>
      <c r="M281" s="359" t="str">
        <f t="shared" si="40"/>
        <v/>
      </c>
      <c r="N281" s="149" t="str">
        <f t="shared" si="41"/>
        <v/>
      </c>
    </row>
    <row r="282" spans="1:14">
      <c r="A282" s="417" t="str">
        <f>IF(OR('20_Registro_Diario'!A282="",'20_Registro_Diario'!A282=0),"",'20_Registro_Diario'!A282)</f>
        <v/>
      </c>
      <c r="B282" s="359" t="str">
        <f>IF(A282="","",--(LOWER('20_Registro_Diario'!C282)="sí"))</f>
        <v/>
      </c>
      <c r="C282" s="359" t="str">
        <f>IF(A282="","",--(LOWER('20_Registro_Diario'!D282)="sí"))</f>
        <v/>
      </c>
      <c r="D282" s="359" t="str">
        <f>IF(A282="","",--(LOWER('20_Registro_Diario'!E282)="sí"))</f>
        <v/>
      </c>
      <c r="E282" s="359" t="str">
        <f>IF(A282="","",--(LOWER('20_Registro_Diario'!F282)="sí"))</f>
        <v/>
      </c>
      <c r="F282" s="359" t="str">
        <f>IF(A282="","",--(LOWER('20_Registro_Diario'!G282)="sí"))</f>
        <v/>
      </c>
      <c r="G282" s="366" t="str">
        <f>IF(A282="","",IFERROR('20_Registro_Diario'!I282,0))</f>
        <v/>
      </c>
      <c r="H282" s="368" t="str">
        <f t="shared" si="35"/>
        <v/>
      </c>
      <c r="I282" s="359" t="str">
        <f t="shared" si="36"/>
        <v/>
      </c>
      <c r="J282" s="359" t="str">
        <f t="shared" si="37"/>
        <v/>
      </c>
      <c r="K282" s="359" t="str">
        <f t="shared" si="38"/>
        <v/>
      </c>
      <c r="L282" s="359" t="str">
        <f t="shared" si="39"/>
        <v/>
      </c>
      <c r="M282" s="359" t="str">
        <f t="shared" si="40"/>
        <v/>
      </c>
      <c r="N282" s="149" t="str">
        <f t="shared" si="41"/>
        <v/>
      </c>
    </row>
    <row r="283" spans="1:14">
      <c r="A283" s="417" t="str">
        <f>IF(OR('20_Registro_Diario'!A283="",'20_Registro_Diario'!A283=0),"",'20_Registro_Diario'!A283)</f>
        <v/>
      </c>
      <c r="B283" s="359" t="str">
        <f>IF(A283="","",--(LOWER('20_Registro_Diario'!C283)="sí"))</f>
        <v/>
      </c>
      <c r="C283" s="359" t="str">
        <f>IF(A283="","",--(LOWER('20_Registro_Diario'!D283)="sí"))</f>
        <v/>
      </c>
      <c r="D283" s="359" t="str">
        <f>IF(A283="","",--(LOWER('20_Registro_Diario'!E283)="sí"))</f>
        <v/>
      </c>
      <c r="E283" s="359" t="str">
        <f>IF(A283="","",--(LOWER('20_Registro_Diario'!F283)="sí"))</f>
        <v/>
      </c>
      <c r="F283" s="359" t="str">
        <f>IF(A283="","",--(LOWER('20_Registro_Diario'!G283)="sí"))</f>
        <v/>
      </c>
      <c r="G283" s="366" t="str">
        <f>IF(A283="","",IFERROR('20_Registro_Diario'!I283,0))</f>
        <v/>
      </c>
      <c r="H283" s="368" t="str">
        <f t="shared" si="35"/>
        <v/>
      </c>
      <c r="I283" s="359" t="str">
        <f t="shared" si="36"/>
        <v/>
      </c>
      <c r="J283" s="359" t="str">
        <f t="shared" si="37"/>
        <v/>
      </c>
      <c r="K283" s="359" t="str">
        <f t="shared" si="38"/>
        <v/>
      </c>
      <c r="L283" s="359" t="str">
        <f t="shared" si="39"/>
        <v/>
      </c>
      <c r="M283" s="359" t="str">
        <f t="shared" si="40"/>
        <v/>
      </c>
      <c r="N283" s="149" t="str">
        <f t="shared" si="41"/>
        <v/>
      </c>
    </row>
    <row r="284" spans="1:14">
      <c r="A284" s="417" t="str">
        <f>IF(OR('20_Registro_Diario'!A284="",'20_Registro_Diario'!A284=0),"",'20_Registro_Diario'!A284)</f>
        <v/>
      </c>
      <c r="B284" s="359" t="str">
        <f>IF(A284="","",--(LOWER('20_Registro_Diario'!C284)="sí"))</f>
        <v/>
      </c>
      <c r="C284" s="359" t="str">
        <f>IF(A284="","",--(LOWER('20_Registro_Diario'!D284)="sí"))</f>
        <v/>
      </c>
      <c r="D284" s="359" t="str">
        <f>IF(A284="","",--(LOWER('20_Registro_Diario'!E284)="sí"))</f>
        <v/>
      </c>
      <c r="E284" s="359" t="str">
        <f>IF(A284="","",--(LOWER('20_Registro_Diario'!F284)="sí"))</f>
        <v/>
      </c>
      <c r="F284" s="359" t="str">
        <f>IF(A284="","",--(LOWER('20_Registro_Diario'!G284)="sí"))</f>
        <v/>
      </c>
      <c r="G284" s="366" t="str">
        <f>IF(A284="","",IFERROR('20_Registro_Diario'!I284,0))</f>
        <v/>
      </c>
      <c r="H284" s="368" t="str">
        <f t="shared" si="35"/>
        <v/>
      </c>
      <c r="I284" s="359" t="str">
        <f t="shared" si="36"/>
        <v/>
      </c>
      <c r="J284" s="359" t="str">
        <f t="shared" si="37"/>
        <v/>
      </c>
      <c r="K284" s="359" t="str">
        <f t="shared" si="38"/>
        <v/>
      </c>
      <c r="L284" s="359" t="str">
        <f t="shared" si="39"/>
        <v/>
      </c>
      <c r="M284" s="359" t="str">
        <f t="shared" si="40"/>
        <v/>
      </c>
      <c r="N284" s="149" t="str">
        <f t="shared" si="41"/>
        <v/>
      </c>
    </row>
    <row r="285" spans="1:14">
      <c r="A285" s="417" t="str">
        <f>IF(OR('20_Registro_Diario'!A285="",'20_Registro_Diario'!A285=0),"",'20_Registro_Diario'!A285)</f>
        <v/>
      </c>
      <c r="B285" s="359" t="str">
        <f>IF(A285="","",--(LOWER('20_Registro_Diario'!C285)="sí"))</f>
        <v/>
      </c>
      <c r="C285" s="359" t="str">
        <f>IF(A285="","",--(LOWER('20_Registro_Diario'!D285)="sí"))</f>
        <v/>
      </c>
      <c r="D285" s="359" t="str">
        <f>IF(A285="","",--(LOWER('20_Registro_Diario'!E285)="sí"))</f>
        <v/>
      </c>
      <c r="E285" s="359" t="str">
        <f>IF(A285="","",--(LOWER('20_Registro_Diario'!F285)="sí"))</f>
        <v/>
      </c>
      <c r="F285" s="359" t="str">
        <f>IF(A285="","",--(LOWER('20_Registro_Diario'!G285)="sí"))</f>
        <v/>
      </c>
      <c r="G285" s="366" t="str">
        <f>IF(A285="","",IFERROR('20_Registro_Diario'!I285,0))</f>
        <v/>
      </c>
      <c r="H285" s="368" t="str">
        <f t="shared" si="35"/>
        <v/>
      </c>
      <c r="I285" s="359" t="str">
        <f t="shared" si="36"/>
        <v/>
      </c>
      <c r="J285" s="359" t="str">
        <f t="shared" si="37"/>
        <v/>
      </c>
      <c r="K285" s="359" t="str">
        <f t="shared" si="38"/>
        <v/>
      </c>
      <c r="L285" s="359" t="str">
        <f t="shared" si="39"/>
        <v/>
      </c>
      <c r="M285" s="359" t="str">
        <f t="shared" si="40"/>
        <v/>
      </c>
      <c r="N285" s="149" t="str">
        <f t="shared" si="41"/>
        <v/>
      </c>
    </row>
    <row r="286" spans="1:14">
      <c r="A286" s="417" t="str">
        <f>IF(OR('20_Registro_Diario'!A286="",'20_Registro_Diario'!A286=0),"",'20_Registro_Diario'!A286)</f>
        <v/>
      </c>
      <c r="B286" s="359" t="str">
        <f>IF(A286="","",--(LOWER('20_Registro_Diario'!C286)="sí"))</f>
        <v/>
      </c>
      <c r="C286" s="359" t="str">
        <f>IF(A286="","",--(LOWER('20_Registro_Diario'!D286)="sí"))</f>
        <v/>
      </c>
      <c r="D286" s="359" t="str">
        <f>IF(A286="","",--(LOWER('20_Registro_Diario'!E286)="sí"))</f>
        <v/>
      </c>
      <c r="E286" s="359" t="str">
        <f>IF(A286="","",--(LOWER('20_Registro_Diario'!F286)="sí"))</f>
        <v/>
      </c>
      <c r="F286" s="359" t="str">
        <f>IF(A286="","",--(LOWER('20_Registro_Diario'!G286)="sí"))</f>
        <v/>
      </c>
      <c r="G286" s="366" t="str">
        <f>IF(A286="","",IFERROR('20_Registro_Diario'!I286,0))</f>
        <v/>
      </c>
      <c r="H286" s="368" t="str">
        <f t="shared" si="35"/>
        <v/>
      </c>
      <c r="I286" s="359" t="str">
        <f t="shared" si="36"/>
        <v/>
      </c>
      <c r="J286" s="359" t="str">
        <f t="shared" si="37"/>
        <v/>
      </c>
      <c r="K286" s="359" t="str">
        <f t="shared" si="38"/>
        <v/>
      </c>
      <c r="L286" s="359" t="str">
        <f t="shared" si="39"/>
        <v/>
      </c>
      <c r="M286" s="359" t="str">
        <f t="shared" si="40"/>
        <v/>
      </c>
      <c r="N286" s="149" t="str">
        <f t="shared" si="41"/>
        <v/>
      </c>
    </row>
    <row r="287" spans="1:14">
      <c r="A287" s="417" t="str">
        <f>IF(OR('20_Registro_Diario'!A287="",'20_Registro_Diario'!A287=0),"",'20_Registro_Diario'!A287)</f>
        <v/>
      </c>
      <c r="B287" s="359" t="str">
        <f>IF(A287="","",--(LOWER('20_Registro_Diario'!C287)="sí"))</f>
        <v/>
      </c>
      <c r="C287" s="359" t="str">
        <f>IF(A287="","",--(LOWER('20_Registro_Diario'!D287)="sí"))</f>
        <v/>
      </c>
      <c r="D287" s="359" t="str">
        <f>IF(A287="","",--(LOWER('20_Registro_Diario'!E287)="sí"))</f>
        <v/>
      </c>
      <c r="E287" s="359" t="str">
        <f>IF(A287="","",--(LOWER('20_Registro_Diario'!F287)="sí"))</f>
        <v/>
      </c>
      <c r="F287" s="359" t="str">
        <f>IF(A287="","",--(LOWER('20_Registro_Diario'!G287)="sí"))</f>
        <v/>
      </c>
      <c r="G287" s="366" t="str">
        <f>IF(A287="","",IFERROR('20_Registro_Diario'!I287,0))</f>
        <v/>
      </c>
      <c r="H287" s="368" t="str">
        <f t="shared" si="35"/>
        <v/>
      </c>
      <c r="I287" s="359" t="str">
        <f t="shared" si="36"/>
        <v/>
      </c>
      <c r="J287" s="359" t="str">
        <f t="shared" si="37"/>
        <v/>
      </c>
      <c r="K287" s="359" t="str">
        <f t="shared" si="38"/>
        <v/>
      </c>
      <c r="L287" s="359" t="str">
        <f t="shared" si="39"/>
        <v/>
      </c>
      <c r="M287" s="359" t="str">
        <f t="shared" si="40"/>
        <v/>
      </c>
      <c r="N287" s="149" t="str">
        <f t="shared" si="41"/>
        <v/>
      </c>
    </row>
    <row r="288" spans="1:14">
      <c r="A288" s="417" t="str">
        <f>IF(OR('20_Registro_Diario'!A288="",'20_Registro_Diario'!A288=0),"",'20_Registro_Diario'!A288)</f>
        <v/>
      </c>
      <c r="B288" s="359" t="str">
        <f>IF(A288="","",--(LOWER('20_Registro_Diario'!C288)="sí"))</f>
        <v/>
      </c>
      <c r="C288" s="359" t="str">
        <f>IF(A288="","",--(LOWER('20_Registro_Diario'!D288)="sí"))</f>
        <v/>
      </c>
      <c r="D288" s="359" t="str">
        <f>IF(A288="","",--(LOWER('20_Registro_Diario'!E288)="sí"))</f>
        <v/>
      </c>
      <c r="E288" s="359" t="str">
        <f>IF(A288="","",--(LOWER('20_Registro_Diario'!F288)="sí"))</f>
        <v/>
      </c>
      <c r="F288" s="359" t="str">
        <f>IF(A288="","",--(LOWER('20_Registro_Diario'!G288)="sí"))</f>
        <v/>
      </c>
      <c r="G288" s="366" t="str">
        <f>IF(A288="","",IFERROR('20_Registro_Diario'!I288,0))</f>
        <v/>
      </c>
      <c r="H288" s="368" t="str">
        <f t="shared" si="35"/>
        <v/>
      </c>
      <c r="I288" s="359" t="str">
        <f t="shared" si="36"/>
        <v/>
      </c>
      <c r="J288" s="359" t="str">
        <f t="shared" si="37"/>
        <v/>
      </c>
      <c r="K288" s="359" t="str">
        <f t="shared" si="38"/>
        <v/>
      </c>
      <c r="L288" s="359" t="str">
        <f t="shared" si="39"/>
        <v/>
      </c>
      <c r="M288" s="359" t="str">
        <f t="shared" si="40"/>
        <v/>
      </c>
      <c r="N288" s="149" t="str">
        <f t="shared" si="41"/>
        <v/>
      </c>
    </row>
    <row r="289" spans="1:14">
      <c r="A289" s="417" t="str">
        <f>IF(OR('20_Registro_Diario'!A289="",'20_Registro_Diario'!A289=0),"",'20_Registro_Diario'!A289)</f>
        <v/>
      </c>
      <c r="B289" s="359" t="str">
        <f>IF(A289="","",--(LOWER('20_Registro_Diario'!C289)="sí"))</f>
        <v/>
      </c>
      <c r="C289" s="359" t="str">
        <f>IF(A289="","",--(LOWER('20_Registro_Diario'!D289)="sí"))</f>
        <v/>
      </c>
      <c r="D289" s="359" t="str">
        <f>IF(A289="","",--(LOWER('20_Registro_Diario'!E289)="sí"))</f>
        <v/>
      </c>
      <c r="E289" s="359" t="str">
        <f>IF(A289="","",--(LOWER('20_Registro_Diario'!F289)="sí"))</f>
        <v/>
      </c>
      <c r="F289" s="359" t="str">
        <f>IF(A289="","",--(LOWER('20_Registro_Diario'!G289)="sí"))</f>
        <v/>
      </c>
      <c r="G289" s="366" t="str">
        <f>IF(A289="","",IFERROR('20_Registro_Diario'!I289,0))</f>
        <v/>
      </c>
      <c r="H289" s="368" t="str">
        <f t="shared" si="35"/>
        <v/>
      </c>
      <c r="I289" s="359" t="str">
        <f t="shared" si="36"/>
        <v/>
      </c>
      <c r="J289" s="359" t="str">
        <f t="shared" si="37"/>
        <v/>
      </c>
      <c r="K289" s="359" t="str">
        <f t="shared" si="38"/>
        <v/>
      </c>
      <c r="L289" s="359" t="str">
        <f t="shared" si="39"/>
        <v/>
      </c>
      <c r="M289" s="359" t="str">
        <f t="shared" si="40"/>
        <v/>
      </c>
      <c r="N289" s="149" t="str">
        <f t="shared" si="41"/>
        <v/>
      </c>
    </row>
    <row r="290" spans="1:14">
      <c r="A290" s="417" t="str">
        <f>IF(OR('20_Registro_Diario'!A290="",'20_Registro_Diario'!A290=0),"",'20_Registro_Diario'!A290)</f>
        <v/>
      </c>
      <c r="B290" s="359" t="str">
        <f>IF(A290="","",--(LOWER('20_Registro_Diario'!C290)="sí"))</f>
        <v/>
      </c>
      <c r="C290" s="359" t="str">
        <f>IF(A290="","",--(LOWER('20_Registro_Diario'!D290)="sí"))</f>
        <v/>
      </c>
      <c r="D290" s="359" t="str">
        <f>IF(A290="","",--(LOWER('20_Registro_Diario'!E290)="sí"))</f>
        <v/>
      </c>
      <c r="E290" s="359" t="str">
        <f>IF(A290="","",--(LOWER('20_Registro_Diario'!F290)="sí"))</f>
        <v/>
      </c>
      <c r="F290" s="359" t="str">
        <f>IF(A290="","",--(LOWER('20_Registro_Diario'!G290)="sí"))</f>
        <v/>
      </c>
      <c r="G290" s="366" t="str">
        <f>IF(A290="","",IFERROR('20_Registro_Diario'!I290,0))</f>
        <v/>
      </c>
      <c r="H290" s="368" t="str">
        <f t="shared" si="35"/>
        <v/>
      </c>
      <c r="I290" s="359" t="str">
        <f t="shared" si="36"/>
        <v/>
      </c>
      <c r="J290" s="359" t="str">
        <f t="shared" si="37"/>
        <v/>
      </c>
      <c r="K290" s="359" t="str">
        <f t="shared" si="38"/>
        <v/>
      </c>
      <c r="L290" s="359" t="str">
        <f t="shared" si="39"/>
        <v/>
      </c>
      <c r="M290" s="359" t="str">
        <f t="shared" si="40"/>
        <v/>
      </c>
      <c r="N290" s="149" t="str">
        <f t="shared" si="41"/>
        <v/>
      </c>
    </row>
    <row r="291" spans="1:14">
      <c r="A291" s="417" t="str">
        <f>IF(OR('20_Registro_Diario'!A291="",'20_Registro_Diario'!A291=0),"",'20_Registro_Diario'!A291)</f>
        <v/>
      </c>
      <c r="B291" s="359" t="str">
        <f>IF(A291="","",--(LOWER('20_Registro_Diario'!C291)="sí"))</f>
        <v/>
      </c>
      <c r="C291" s="359" t="str">
        <f>IF(A291="","",--(LOWER('20_Registro_Diario'!D291)="sí"))</f>
        <v/>
      </c>
      <c r="D291" s="359" t="str">
        <f>IF(A291="","",--(LOWER('20_Registro_Diario'!E291)="sí"))</f>
        <v/>
      </c>
      <c r="E291" s="359" t="str">
        <f>IF(A291="","",--(LOWER('20_Registro_Diario'!F291)="sí"))</f>
        <v/>
      </c>
      <c r="F291" s="359" t="str">
        <f>IF(A291="","",--(LOWER('20_Registro_Diario'!G291)="sí"))</f>
        <v/>
      </c>
      <c r="G291" s="366" t="str">
        <f>IF(A291="","",IFERROR('20_Registro_Diario'!I291,0))</f>
        <v/>
      </c>
      <c r="H291" s="368" t="str">
        <f t="shared" si="35"/>
        <v/>
      </c>
      <c r="I291" s="359" t="str">
        <f t="shared" si="36"/>
        <v/>
      </c>
      <c r="J291" s="359" t="str">
        <f t="shared" si="37"/>
        <v/>
      </c>
      <c r="K291" s="359" t="str">
        <f t="shared" si="38"/>
        <v/>
      </c>
      <c r="L291" s="359" t="str">
        <f t="shared" si="39"/>
        <v/>
      </c>
      <c r="M291" s="359" t="str">
        <f t="shared" si="40"/>
        <v/>
      </c>
      <c r="N291" s="149" t="str">
        <f t="shared" si="41"/>
        <v/>
      </c>
    </row>
    <row r="292" spans="1:14">
      <c r="A292" s="417" t="str">
        <f>IF(OR('20_Registro_Diario'!A292="",'20_Registro_Diario'!A292=0),"",'20_Registro_Diario'!A292)</f>
        <v/>
      </c>
      <c r="B292" s="359" t="str">
        <f>IF(A292="","",--(LOWER('20_Registro_Diario'!C292)="sí"))</f>
        <v/>
      </c>
      <c r="C292" s="359" t="str">
        <f>IF(A292="","",--(LOWER('20_Registro_Diario'!D292)="sí"))</f>
        <v/>
      </c>
      <c r="D292" s="359" t="str">
        <f>IF(A292="","",--(LOWER('20_Registro_Diario'!E292)="sí"))</f>
        <v/>
      </c>
      <c r="E292" s="359" t="str">
        <f>IF(A292="","",--(LOWER('20_Registro_Diario'!F292)="sí"))</f>
        <v/>
      </c>
      <c r="F292" s="359" t="str">
        <f>IF(A292="","",--(LOWER('20_Registro_Diario'!G292)="sí"))</f>
        <v/>
      </c>
      <c r="G292" s="366" t="str">
        <f>IF(A292="","",IFERROR('20_Registro_Diario'!I292,0))</f>
        <v/>
      </c>
      <c r="H292" s="368" t="str">
        <f t="shared" si="35"/>
        <v/>
      </c>
      <c r="I292" s="359" t="str">
        <f t="shared" si="36"/>
        <v/>
      </c>
      <c r="J292" s="359" t="str">
        <f t="shared" si="37"/>
        <v/>
      </c>
      <c r="K292" s="359" t="str">
        <f t="shared" si="38"/>
        <v/>
      </c>
      <c r="L292" s="359" t="str">
        <f t="shared" si="39"/>
        <v/>
      </c>
      <c r="M292" s="359" t="str">
        <f t="shared" si="40"/>
        <v/>
      </c>
      <c r="N292" s="149" t="str">
        <f t="shared" si="41"/>
        <v/>
      </c>
    </row>
    <row r="293" spans="1:14">
      <c r="A293" s="417" t="str">
        <f>IF(OR('20_Registro_Diario'!A293="",'20_Registro_Diario'!A293=0),"",'20_Registro_Diario'!A293)</f>
        <v/>
      </c>
      <c r="B293" s="359" t="str">
        <f>IF(A293="","",--(LOWER('20_Registro_Diario'!C293)="sí"))</f>
        <v/>
      </c>
      <c r="C293" s="359" t="str">
        <f>IF(A293="","",--(LOWER('20_Registro_Diario'!D293)="sí"))</f>
        <v/>
      </c>
      <c r="D293" s="359" t="str">
        <f>IF(A293="","",--(LOWER('20_Registro_Diario'!E293)="sí"))</f>
        <v/>
      </c>
      <c r="E293" s="359" t="str">
        <f>IF(A293="","",--(LOWER('20_Registro_Diario'!F293)="sí"))</f>
        <v/>
      </c>
      <c r="F293" s="359" t="str">
        <f>IF(A293="","",--(LOWER('20_Registro_Diario'!G293)="sí"))</f>
        <v/>
      </c>
      <c r="G293" s="366" t="str">
        <f>IF(A293="","",IFERROR('20_Registro_Diario'!I293,0))</f>
        <v/>
      </c>
      <c r="H293" s="368" t="str">
        <f t="shared" si="35"/>
        <v/>
      </c>
      <c r="I293" s="359" t="str">
        <f t="shared" si="36"/>
        <v/>
      </c>
      <c r="J293" s="359" t="str">
        <f t="shared" si="37"/>
        <v/>
      </c>
      <c r="K293" s="359" t="str">
        <f t="shared" si="38"/>
        <v/>
      </c>
      <c r="L293" s="359" t="str">
        <f t="shared" si="39"/>
        <v/>
      </c>
      <c r="M293" s="359" t="str">
        <f t="shared" si="40"/>
        <v/>
      </c>
      <c r="N293" s="149" t="str">
        <f t="shared" si="41"/>
        <v/>
      </c>
    </row>
    <row r="294" spans="1:14">
      <c r="A294" s="417" t="str">
        <f>IF(OR('20_Registro_Diario'!A294="",'20_Registro_Diario'!A294=0),"",'20_Registro_Diario'!A294)</f>
        <v/>
      </c>
      <c r="B294" s="359" t="str">
        <f>IF(A294="","",--(LOWER('20_Registro_Diario'!C294)="sí"))</f>
        <v/>
      </c>
      <c r="C294" s="359" t="str">
        <f>IF(A294="","",--(LOWER('20_Registro_Diario'!D294)="sí"))</f>
        <v/>
      </c>
      <c r="D294" s="359" t="str">
        <f>IF(A294="","",--(LOWER('20_Registro_Diario'!E294)="sí"))</f>
        <v/>
      </c>
      <c r="E294" s="359" t="str">
        <f>IF(A294="","",--(LOWER('20_Registro_Diario'!F294)="sí"))</f>
        <v/>
      </c>
      <c r="F294" s="359" t="str">
        <f>IF(A294="","",--(LOWER('20_Registro_Diario'!G294)="sí"))</f>
        <v/>
      </c>
      <c r="G294" s="366" t="str">
        <f>IF(A294="","",IFERROR('20_Registro_Diario'!I294,0))</f>
        <v/>
      </c>
      <c r="H294" s="368" t="str">
        <f t="shared" si="35"/>
        <v/>
      </c>
      <c r="I294" s="359" t="str">
        <f t="shared" si="36"/>
        <v/>
      </c>
      <c r="J294" s="359" t="str">
        <f t="shared" si="37"/>
        <v/>
      </c>
      <c r="K294" s="359" t="str">
        <f t="shared" si="38"/>
        <v/>
      </c>
      <c r="L294" s="359" t="str">
        <f t="shared" si="39"/>
        <v/>
      </c>
      <c r="M294" s="359" t="str">
        <f t="shared" si="40"/>
        <v/>
      </c>
      <c r="N294" s="149" t="str">
        <f t="shared" si="41"/>
        <v/>
      </c>
    </row>
    <row r="295" spans="1:14">
      <c r="A295" s="417" t="str">
        <f>IF(OR('20_Registro_Diario'!A295="",'20_Registro_Diario'!A295=0),"",'20_Registro_Diario'!A295)</f>
        <v/>
      </c>
      <c r="B295" s="359" t="str">
        <f>IF(A295="","",--(LOWER('20_Registro_Diario'!C295)="sí"))</f>
        <v/>
      </c>
      <c r="C295" s="359" t="str">
        <f>IF(A295="","",--(LOWER('20_Registro_Diario'!D295)="sí"))</f>
        <v/>
      </c>
      <c r="D295" s="359" t="str">
        <f>IF(A295="","",--(LOWER('20_Registro_Diario'!E295)="sí"))</f>
        <v/>
      </c>
      <c r="E295" s="359" t="str">
        <f>IF(A295="","",--(LOWER('20_Registro_Diario'!F295)="sí"))</f>
        <v/>
      </c>
      <c r="F295" s="359" t="str">
        <f>IF(A295="","",--(LOWER('20_Registro_Diario'!G295)="sí"))</f>
        <v/>
      </c>
      <c r="G295" s="366" t="str">
        <f>IF(A295="","",IFERROR('20_Registro_Diario'!I295,0))</f>
        <v/>
      </c>
      <c r="H295" s="368" t="str">
        <f t="shared" si="35"/>
        <v/>
      </c>
      <c r="I295" s="359" t="str">
        <f t="shared" si="36"/>
        <v/>
      </c>
      <c r="J295" s="359" t="str">
        <f t="shared" si="37"/>
        <v/>
      </c>
      <c r="K295" s="359" t="str">
        <f t="shared" si="38"/>
        <v/>
      </c>
      <c r="L295" s="359" t="str">
        <f t="shared" si="39"/>
        <v/>
      </c>
      <c r="M295" s="359" t="str">
        <f t="shared" si="40"/>
        <v/>
      </c>
      <c r="N295" s="149" t="str">
        <f t="shared" si="41"/>
        <v/>
      </c>
    </row>
    <row r="296" spans="1:14">
      <c r="A296" s="417" t="str">
        <f>IF(OR('20_Registro_Diario'!A296="",'20_Registro_Diario'!A296=0),"",'20_Registro_Diario'!A296)</f>
        <v/>
      </c>
      <c r="B296" s="359" t="str">
        <f>IF(A296="","",--(LOWER('20_Registro_Diario'!C296)="sí"))</f>
        <v/>
      </c>
      <c r="C296" s="359" t="str">
        <f>IF(A296="","",--(LOWER('20_Registro_Diario'!D296)="sí"))</f>
        <v/>
      </c>
      <c r="D296" s="359" t="str">
        <f>IF(A296="","",--(LOWER('20_Registro_Diario'!E296)="sí"))</f>
        <v/>
      </c>
      <c r="E296" s="359" t="str">
        <f>IF(A296="","",--(LOWER('20_Registro_Diario'!F296)="sí"))</f>
        <v/>
      </c>
      <c r="F296" s="359" t="str">
        <f>IF(A296="","",--(LOWER('20_Registro_Diario'!G296)="sí"))</f>
        <v/>
      </c>
      <c r="G296" s="366" t="str">
        <f>IF(A296="","",IFERROR('20_Registro_Diario'!I296,0))</f>
        <v/>
      </c>
      <c r="H296" s="368" t="str">
        <f t="shared" si="35"/>
        <v/>
      </c>
      <c r="I296" s="359" t="str">
        <f t="shared" si="36"/>
        <v/>
      </c>
      <c r="J296" s="359" t="str">
        <f t="shared" si="37"/>
        <v/>
      </c>
      <c r="K296" s="359" t="str">
        <f t="shared" si="38"/>
        <v/>
      </c>
      <c r="L296" s="359" t="str">
        <f t="shared" si="39"/>
        <v/>
      </c>
      <c r="M296" s="359" t="str">
        <f t="shared" si="40"/>
        <v/>
      </c>
      <c r="N296" s="149" t="str">
        <f t="shared" si="41"/>
        <v/>
      </c>
    </row>
    <row r="297" spans="1:14">
      <c r="A297" s="417" t="str">
        <f>IF(OR('20_Registro_Diario'!A297="",'20_Registro_Diario'!A297=0),"",'20_Registro_Diario'!A297)</f>
        <v/>
      </c>
      <c r="B297" s="359" t="str">
        <f>IF(A297="","",--(LOWER('20_Registro_Diario'!C297)="sí"))</f>
        <v/>
      </c>
      <c r="C297" s="359" t="str">
        <f>IF(A297="","",--(LOWER('20_Registro_Diario'!D297)="sí"))</f>
        <v/>
      </c>
      <c r="D297" s="359" t="str">
        <f>IF(A297="","",--(LOWER('20_Registro_Diario'!E297)="sí"))</f>
        <v/>
      </c>
      <c r="E297" s="359" t="str">
        <f>IF(A297="","",--(LOWER('20_Registro_Diario'!F297)="sí"))</f>
        <v/>
      </c>
      <c r="F297" s="359" t="str">
        <f>IF(A297="","",--(LOWER('20_Registro_Diario'!G297)="sí"))</f>
        <v/>
      </c>
      <c r="G297" s="366" t="str">
        <f>IF(A297="","",IFERROR('20_Registro_Diario'!I297,0))</f>
        <v/>
      </c>
      <c r="H297" s="368" t="str">
        <f t="shared" si="35"/>
        <v/>
      </c>
      <c r="I297" s="359" t="str">
        <f t="shared" si="36"/>
        <v/>
      </c>
      <c r="J297" s="359" t="str">
        <f t="shared" si="37"/>
        <v/>
      </c>
      <c r="K297" s="359" t="str">
        <f t="shared" si="38"/>
        <v/>
      </c>
      <c r="L297" s="359" t="str">
        <f t="shared" si="39"/>
        <v/>
      </c>
      <c r="M297" s="359" t="str">
        <f t="shared" si="40"/>
        <v/>
      </c>
      <c r="N297" s="149" t="str">
        <f t="shared" si="41"/>
        <v/>
      </c>
    </row>
    <row r="298" spans="1:14">
      <c r="A298" s="417" t="str">
        <f>IF(OR('20_Registro_Diario'!A298="",'20_Registro_Diario'!A298=0),"",'20_Registro_Diario'!A298)</f>
        <v/>
      </c>
      <c r="B298" s="359" t="str">
        <f>IF(A298="","",--(LOWER('20_Registro_Diario'!C298)="sí"))</f>
        <v/>
      </c>
      <c r="C298" s="359" t="str">
        <f>IF(A298="","",--(LOWER('20_Registro_Diario'!D298)="sí"))</f>
        <v/>
      </c>
      <c r="D298" s="359" t="str">
        <f>IF(A298="","",--(LOWER('20_Registro_Diario'!E298)="sí"))</f>
        <v/>
      </c>
      <c r="E298" s="359" t="str">
        <f>IF(A298="","",--(LOWER('20_Registro_Diario'!F298)="sí"))</f>
        <v/>
      </c>
      <c r="F298" s="359" t="str">
        <f>IF(A298="","",--(LOWER('20_Registro_Diario'!G298)="sí"))</f>
        <v/>
      </c>
      <c r="G298" s="366" t="str">
        <f>IF(A298="","",IFERROR('20_Registro_Diario'!I298,0))</f>
        <v/>
      </c>
      <c r="H298" s="368" t="str">
        <f t="shared" si="35"/>
        <v/>
      </c>
      <c r="I298" s="359" t="str">
        <f t="shared" si="36"/>
        <v/>
      </c>
      <c r="J298" s="359" t="str">
        <f t="shared" si="37"/>
        <v/>
      </c>
      <c r="K298" s="359" t="str">
        <f t="shared" si="38"/>
        <v/>
      </c>
      <c r="L298" s="359" t="str">
        <f t="shared" si="39"/>
        <v/>
      </c>
      <c r="M298" s="359" t="str">
        <f t="shared" si="40"/>
        <v/>
      </c>
      <c r="N298" s="149" t="str">
        <f t="shared" si="41"/>
        <v/>
      </c>
    </row>
    <row r="299" spans="1:14">
      <c r="A299" s="417" t="str">
        <f>IF(OR('20_Registro_Diario'!A299="",'20_Registro_Diario'!A299=0),"",'20_Registro_Diario'!A299)</f>
        <v/>
      </c>
      <c r="B299" s="359" t="str">
        <f>IF(A299="","",--(LOWER('20_Registro_Diario'!C299)="sí"))</f>
        <v/>
      </c>
      <c r="C299" s="359" t="str">
        <f>IF(A299="","",--(LOWER('20_Registro_Diario'!D299)="sí"))</f>
        <v/>
      </c>
      <c r="D299" s="359" t="str">
        <f>IF(A299="","",--(LOWER('20_Registro_Diario'!E299)="sí"))</f>
        <v/>
      </c>
      <c r="E299" s="359" t="str">
        <f>IF(A299="","",--(LOWER('20_Registro_Diario'!F299)="sí"))</f>
        <v/>
      </c>
      <c r="F299" s="359" t="str">
        <f>IF(A299="","",--(LOWER('20_Registro_Diario'!G299)="sí"))</f>
        <v/>
      </c>
      <c r="G299" s="366" t="str">
        <f>IF(A299="","",IFERROR('20_Registro_Diario'!I299,0))</f>
        <v/>
      </c>
      <c r="H299" s="368" t="str">
        <f t="shared" si="35"/>
        <v/>
      </c>
      <c r="I299" s="359" t="str">
        <f t="shared" si="36"/>
        <v/>
      </c>
      <c r="J299" s="359" t="str">
        <f t="shared" si="37"/>
        <v/>
      </c>
      <c r="K299" s="359" t="str">
        <f t="shared" si="38"/>
        <v/>
      </c>
      <c r="L299" s="359" t="str">
        <f t="shared" si="39"/>
        <v/>
      </c>
      <c r="M299" s="359" t="str">
        <f t="shared" si="40"/>
        <v/>
      </c>
      <c r="N299" s="149" t="str">
        <f t="shared" si="41"/>
        <v/>
      </c>
    </row>
    <row r="300" spans="1:14">
      <c r="A300" s="417" t="str">
        <f>IF(OR('20_Registro_Diario'!A300="",'20_Registro_Diario'!A300=0),"",'20_Registro_Diario'!A300)</f>
        <v/>
      </c>
      <c r="B300" s="359" t="str">
        <f>IF(A300="","",--(LOWER('20_Registro_Diario'!C300)="sí"))</f>
        <v/>
      </c>
      <c r="C300" s="359" t="str">
        <f>IF(A300="","",--(LOWER('20_Registro_Diario'!D300)="sí"))</f>
        <v/>
      </c>
      <c r="D300" s="359" t="str">
        <f>IF(A300="","",--(LOWER('20_Registro_Diario'!E300)="sí"))</f>
        <v/>
      </c>
      <c r="E300" s="359" t="str">
        <f>IF(A300="","",--(LOWER('20_Registro_Diario'!F300)="sí"))</f>
        <v/>
      </c>
      <c r="F300" s="359" t="str">
        <f>IF(A300="","",--(LOWER('20_Registro_Diario'!G300)="sí"))</f>
        <v/>
      </c>
      <c r="G300" s="366" t="str">
        <f>IF(A300="","",IFERROR('20_Registro_Diario'!I300,0))</f>
        <v/>
      </c>
      <c r="H300" s="368" t="str">
        <f t="shared" si="35"/>
        <v/>
      </c>
      <c r="I300" s="359" t="str">
        <f t="shared" si="36"/>
        <v/>
      </c>
      <c r="J300" s="359" t="str">
        <f t="shared" si="37"/>
        <v/>
      </c>
      <c r="K300" s="359" t="str">
        <f t="shared" si="38"/>
        <v/>
      </c>
      <c r="L300" s="359" t="str">
        <f t="shared" si="39"/>
        <v/>
      </c>
      <c r="M300" s="359" t="str">
        <f t="shared" si="40"/>
        <v/>
      </c>
      <c r="N300" s="149" t="str">
        <f t="shared" si="41"/>
        <v/>
      </c>
    </row>
    <row r="301" spans="1:14">
      <c r="A301" s="417" t="str">
        <f>IF(OR('20_Registro_Diario'!A301="",'20_Registro_Diario'!A301=0),"",'20_Registro_Diario'!A301)</f>
        <v/>
      </c>
      <c r="B301" s="359" t="str">
        <f>IF(A301="","",--(LOWER('20_Registro_Diario'!C301)="sí"))</f>
        <v/>
      </c>
      <c r="C301" s="359" t="str">
        <f>IF(A301="","",--(LOWER('20_Registro_Diario'!D301)="sí"))</f>
        <v/>
      </c>
      <c r="D301" s="359" t="str">
        <f>IF(A301="","",--(LOWER('20_Registro_Diario'!E301)="sí"))</f>
        <v/>
      </c>
      <c r="E301" s="359" t="str">
        <f>IF(A301="","",--(LOWER('20_Registro_Diario'!F301)="sí"))</f>
        <v/>
      </c>
      <c r="F301" s="359" t="str">
        <f>IF(A301="","",--(LOWER('20_Registro_Diario'!G301)="sí"))</f>
        <v/>
      </c>
      <c r="G301" s="366" t="str">
        <f>IF(A301="","",IFERROR('20_Registro_Diario'!I301,0))</f>
        <v/>
      </c>
      <c r="H301" s="368" t="str">
        <f t="shared" si="35"/>
        <v/>
      </c>
      <c r="I301" s="359" t="str">
        <f t="shared" si="36"/>
        <v/>
      </c>
      <c r="J301" s="359" t="str">
        <f t="shared" si="37"/>
        <v/>
      </c>
      <c r="K301" s="359" t="str">
        <f t="shared" si="38"/>
        <v/>
      </c>
      <c r="L301" s="359" t="str">
        <f t="shared" si="39"/>
        <v/>
      </c>
      <c r="M301" s="359" t="str">
        <f t="shared" si="40"/>
        <v/>
      </c>
      <c r="N301" s="149" t="str">
        <f t="shared" si="41"/>
        <v/>
      </c>
    </row>
    <row r="302" spans="1:14">
      <c r="A302" s="417" t="str">
        <f>IF(OR('20_Registro_Diario'!A302="",'20_Registro_Diario'!A302=0),"",'20_Registro_Diario'!A302)</f>
        <v/>
      </c>
      <c r="B302" s="359" t="str">
        <f>IF(A302="","",--(LOWER('20_Registro_Diario'!C302)="sí"))</f>
        <v/>
      </c>
      <c r="C302" s="359" t="str">
        <f>IF(A302="","",--(LOWER('20_Registro_Diario'!D302)="sí"))</f>
        <v/>
      </c>
      <c r="D302" s="359" t="str">
        <f>IF(A302="","",--(LOWER('20_Registro_Diario'!E302)="sí"))</f>
        <v/>
      </c>
      <c r="E302" s="359" t="str">
        <f>IF(A302="","",--(LOWER('20_Registro_Diario'!F302)="sí"))</f>
        <v/>
      </c>
      <c r="F302" s="359" t="str">
        <f>IF(A302="","",--(LOWER('20_Registro_Diario'!G302)="sí"))</f>
        <v/>
      </c>
      <c r="G302" s="366" t="str">
        <f>IF(A302="","",IFERROR('20_Registro_Diario'!I302,0))</f>
        <v/>
      </c>
      <c r="H302" s="368" t="str">
        <f t="shared" si="35"/>
        <v/>
      </c>
      <c r="I302" s="359" t="str">
        <f t="shared" si="36"/>
        <v/>
      </c>
      <c r="J302" s="359" t="str">
        <f t="shared" si="37"/>
        <v/>
      </c>
      <c r="K302" s="359" t="str">
        <f t="shared" si="38"/>
        <v/>
      </c>
      <c r="L302" s="359" t="str">
        <f t="shared" si="39"/>
        <v/>
      </c>
      <c r="M302" s="359" t="str">
        <f t="shared" si="40"/>
        <v/>
      </c>
      <c r="N302" s="149" t="str">
        <f t="shared" si="41"/>
        <v/>
      </c>
    </row>
    <row r="303" spans="1:14">
      <c r="A303" s="417" t="str">
        <f>IF(OR('20_Registro_Diario'!A303="",'20_Registro_Diario'!A303=0),"",'20_Registro_Diario'!A303)</f>
        <v/>
      </c>
      <c r="B303" s="359" t="str">
        <f>IF(A303="","",--(LOWER('20_Registro_Diario'!C303)="sí"))</f>
        <v/>
      </c>
      <c r="C303" s="359" t="str">
        <f>IF(A303="","",--(LOWER('20_Registro_Diario'!D303)="sí"))</f>
        <v/>
      </c>
      <c r="D303" s="359" t="str">
        <f>IF(A303="","",--(LOWER('20_Registro_Diario'!E303)="sí"))</f>
        <v/>
      </c>
      <c r="E303" s="359" t="str">
        <f>IF(A303="","",--(LOWER('20_Registro_Diario'!F303)="sí"))</f>
        <v/>
      </c>
      <c r="F303" s="359" t="str">
        <f>IF(A303="","",--(LOWER('20_Registro_Diario'!G303)="sí"))</f>
        <v/>
      </c>
      <c r="G303" s="366" t="str">
        <f>IF(A303="","",IFERROR('20_Registro_Diario'!I303,0))</f>
        <v/>
      </c>
      <c r="H303" s="368" t="str">
        <f t="shared" si="35"/>
        <v/>
      </c>
      <c r="I303" s="359" t="str">
        <f t="shared" si="36"/>
        <v/>
      </c>
      <c r="J303" s="359" t="str">
        <f t="shared" si="37"/>
        <v/>
      </c>
      <c r="K303" s="359" t="str">
        <f t="shared" si="38"/>
        <v/>
      </c>
      <c r="L303" s="359" t="str">
        <f t="shared" si="39"/>
        <v/>
      </c>
      <c r="M303" s="359" t="str">
        <f t="shared" si="40"/>
        <v/>
      </c>
      <c r="N303" s="149" t="str">
        <f t="shared" si="41"/>
        <v/>
      </c>
    </row>
    <row r="304" spans="1:14">
      <c r="A304" s="417" t="str">
        <f>IF(OR('20_Registro_Diario'!A304="",'20_Registro_Diario'!A304=0),"",'20_Registro_Diario'!A304)</f>
        <v/>
      </c>
      <c r="B304" s="359" t="str">
        <f>IF(A304="","",--(LOWER('20_Registro_Diario'!C304)="sí"))</f>
        <v/>
      </c>
      <c r="C304" s="359" t="str">
        <f>IF(A304="","",--(LOWER('20_Registro_Diario'!D304)="sí"))</f>
        <v/>
      </c>
      <c r="D304" s="359" t="str">
        <f>IF(A304="","",--(LOWER('20_Registro_Diario'!E304)="sí"))</f>
        <v/>
      </c>
      <c r="E304" s="359" t="str">
        <f>IF(A304="","",--(LOWER('20_Registro_Diario'!F304)="sí"))</f>
        <v/>
      </c>
      <c r="F304" s="359" t="str">
        <f>IF(A304="","",--(LOWER('20_Registro_Diario'!G304)="sí"))</f>
        <v/>
      </c>
      <c r="G304" s="366" t="str">
        <f>IF(A304="","",IFERROR('20_Registro_Diario'!I304,0))</f>
        <v/>
      </c>
      <c r="H304" s="368" t="str">
        <f t="shared" si="35"/>
        <v/>
      </c>
      <c r="I304" s="359" t="str">
        <f t="shared" si="36"/>
        <v/>
      </c>
      <c r="J304" s="359" t="str">
        <f t="shared" si="37"/>
        <v/>
      </c>
      <c r="K304" s="359" t="str">
        <f t="shared" si="38"/>
        <v/>
      </c>
      <c r="L304" s="359" t="str">
        <f t="shared" si="39"/>
        <v/>
      </c>
      <c r="M304" s="359" t="str">
        <f t="shared" si="40"/>
        <v/>
      </c>
      <c r="N304" s="149" t="str">
        <f t="shared" si="41"/>
        <v/>
      </c>
    </row>
    <row r="305" spans="1:14">
      <c r="A305" s="417" t="str">
        <f>IF(OR('20_Registro_Diario'!A305="",'20_Registro_Diario'!A305=0),"",'20_Registro_Diario'!A305)</f>
        <v/>
      </c>
      <c r="B305" s="359" t="str">
        <f>IF(A305="","",--(LOWER('20_Registro_Diario'!C305)="sí"))</f>
        <v/>
      </c>
      <c r="C305" s="359" t="str">
        <f>IF(A305="","",--(LOWER('20_Registro_Diario'!D305)="sí"))</f>
        <v/>
      </c>
      <c r="D305" s="359" t="str">
        <f>IF(A305="","",--(LOWER('20_Registro_Diario'!E305)="sí"))</f>
        <v/>
      </c>
      <c r="E305" s="359" t="str">
        <f>IF(A305="","",--(LOWER('20_Registro_Diario'!F305)="sí"))</f>
        <v/>
      </c>
      <c r="F305" s="359" t="str">
        <f>IF(A305="","",--(LOWER('20_Registro_Diario'!G305)="sí"))</f>
        <v/>
      </c>
      <c r="G305" s="366" t="str">
        <f>IF(A305="","",IFERROR('20_Registro_Diario'!I305,0))</f>
        <v/>
      </c>
      <c r="H305" s="368" t="str">
        <f t="shared" si="35"/>
        <v/>
      </c>
      <c r="I305" s="359" t="str">
        <f t="shared" si="36"/>
        <v/>
      </c>
      <c r="J305" s="359" t="str">
        <f t="shared" si="37"/>
        <v/>
      </c>
      <c r="K305" s="359" t="str">
        <f t="shared" si="38"/>
        <v/>
      </c>
      <c r="L305" s="359" t="str">
        <f t="shared" si="39"/>
        <v/>
      </c>
      <c r="M305" s="359" t="str">
        <f t="shared" si="40"/>
        <v/>
      </c>
      <c r="N305" s="149" t="str">
        <f t="shared" si="41"/>
        <v/>
      </c>
    </row>
    <row r="306" spans="1:14">
      <c r="A306" s="417" t="str">
        <f>IF(OR('20_Registro_Diario'!A306="",'20_Registro_Diario'!A306=0),"",'20_Registro_Diario'!A306)</f>
        <v/>
      </c>
      <c r="B306" s="359" t="str">
        <f>IF(A306="","",--(LOWER('20_Registro_Diario'!C306)="sí"))</f>
        <v/>
      </c>
      <c r="C306" s="359" t="str">
        <f>IF(A306="","",--(LOWER('20_Registro_Diario'!D306)="sí"))</f>
        <v/>
      </c>
      <c r="D306" s="359" t="str">
        <f>IF(A306="","",--(LOWER('20_Registro_Diario'!E306)="sí"))</f>
        <v/>
      </c>
      <c r="E306" s="359" t="str">
        <f>IF(A306="","",--(LOWER('20_Registro_Diario'!F306)="sí"))</f>
        <v/>
      </c>
      <c r="F306" s="359" t="str">
        <f>IF(A306="","",--(LOWER('20_Registro_Diario'!G306)="sí"))</f>
        <v/>
      </c>
      <c r="G306" s="366" t="str">
        <f>IF(A306="","",IFERROR('20_Registro_Diario'!I306,0))</f>
        <v/>
      </c>
      <c r="H306" s="368" t="str">
        <f t="shared" si="35"/>
        <v/>
      </c>
      <c r="I306" s="359" t="str">
        <f t="shared" si="36"/>
        <v/>
      </c>
      <c r="J306" s="359" t="str">
        <f t="shared" si="37"/>
        <v/>
      </c>
      <c r="K306" s="359" t="str">
        <f t="shared" si="38"/>
        <v/>
      </c>
      <c r="L306" s="359" t="str">
        <f t="shared" si="39"/>
        <v/>
      </c>
      <c r="M306" s="359" t="str">
        <f t="shared" si="40"/>
        <v/>
      </c>
      <c r="N306" s="149" t="str">
        <f t="shared" si="41"/>
        <v/>
      </c>
    </row>
    <row r="307" spans="1:14">
      <c r="A307" s="417" t="str">
        <f>IF(OR('20_Registro_Diario'!A307="",'20_Registro_Diario'!A307=0),"",'20_Registro_Diario'!A307)</f>
        <v/>
      </c>
      <c r="B307" s="359" t="str">
        <f>IF(A307="","",--(LOWER('20_Registro_Diario'!C307)="sí"))</f>
        <v/>
      </c>
      <c r="C307" s="359" t="str">
        <f>IF(A307="","",--(LOWER('20_Registro_Diario'!D307)="sí"))</f>
        <v/>
      </c>
      <c r="D307" s="359" t="str">
        <f>IF(A307="","",--(LOWER('20_Registro_Diario'!E307)="sí"))</f>
        <v/>
      </c>
      <c r="E307" s="359" t="str">
        <f>IF(A307="","",--(LOWER('20_Registro_Diario'!F307)="sí"))</f>
        <v/>
      </c>
      <c r="F307" s="359" t="str">
        <f>IF(A307="","",--(LOWER('20_Registro_Diario'!G307)="sí"))</f>
        <v/>
      </c>
      <c r="G307" s="366" t="str">
        <f>IF(A307="","",IFERROR('20_Registro_Diario'!I307,0))</f>
        <v/>
      </c>
      <c r="H307" s="368" t="str">
        <f t="shared" si="35"/>
        <v/>
      </c>
      <c r="I307" s="359" t="str">
        <f t="shared" si="36"/>
        <v/>
      </c>
      <c r="J307" s="359" t="str">
        <f t="shared" si="37"/>
        <v/>
      </c>
      <c r="K307" s="359" t="str">
        <f t="shared" si="38"/>
        <v/>
      </c>
      <c r="L307" s="359" t="str">
        <f t="shared" si="39"/>
        <v/>
      </c>
      <c r="M307" s="359" t="str">
        <f t="shared" si="40"/>
        <v/>
      </c>
      <c r="N307" s="149" t="str">
        <f t="shared" si="41"/>
        <v/>
      </c>
    </row>
    <row r="308" spans="1:14">
      <c r="A308" s="417" t="str">
        <f>IF(OR('20_Registro_Diario'!A308="",'20_Registro_Diario'!A308=0),"",'20_Registro_Diario'!A308)</f>
        <v/>
      </c>
      <c r="B308" s="359" t="str">
        <f>IF(A308="","",--(LOWER('20_Registro_Diario'!C308)="sí"))</f>
        <v/>
      </c>
      <c r="C308" s="359" t="str">
        <f>IF(A308="","",--(LOWER('20_Registro_Diario'!D308)="sí"))</f>
        <v/>
      </c>
      <c r="D308" s="359" t="str">
        <f>IF(A308="","",--(LOWER('20_Registro_Diario'!E308)="sí"))</f>
        <v/>
      </c>
      <c r="E308" s="359" t="str">
        <f>IF(A308="","",--(LOWER('20_Registro_Diario'!F308)="sí"))</f>
        <v/>
      </c>
      <c r="F308" s="359" t="str">
        <f>IF(A308="","",--(LOWER('20_Registro_Diario'!G308)="sí"))</f>
        <v/>
      </c>
      <c r="G308" s="366" t="str">
        <f>IF(A308="","",IFERROR('20_Registro_Diario'!I308,0))</f>
        <v/>
      </c>
      <c r="H308" s="368" t="str">
        <f t="shared" si="35"/>
        <v/>
      </c>
      <c r="I308" s="359" t="str">
        <f t="shared" si="36"/>
        <v/>
      </c>
      <c r="J308" s="359" t="str">
        <f t="shared" si="37"/>
        <v/>
      </c>
      <c r="K308" s="359" t="str">
        <f t="shared" si="38"/>
        <v/>
      </c>
      <c r="L308" s="359" t="str">
        <f t="shared" si="39"/>
        <v/>
      </c>
      <c r="M308" s="359" t="str">
        <f t="shared" si="40"/>
        <v/>
      </c>
      <c r="N308" s="149" t="str">
        <f t="shared" si="41"/>
        <v/>
      </c>
    </row>
    <row r="309" spans="1:14">
      <c r="A309" s="417" t="str">
        <f>IF(OR('20_Registro_Diario'!A309="",'20_Registro_Diario'!A309=0),"",'20_Registro_Diario'!A309)</f>
        <v/>
      </c>
      <c r="B309" s="359" t="str">
        <f>IF(A309="","",--(LOWER('20_Registro_Diario'!C309)="sí"))</f>
        <v/>
      </c>
      <c r="C309" s="359" t="str">
        <f>IF(A309="","",--(LOWER('20_Registro_Diario'!D309)="sí"))</f>
        <v/>
      </c>
      <c r="D309" s="359" t="str">
        <f>IF(A309="","",--(LOWER('20_Registro_Diario'!E309)="sí"))</f>
        <v/>
      </c>
      <c r="E309" s="359" t="str">
        <f>IF(A309="","",--(LOWER('20_Registro_Diario'!F309)="sí"))</f>
        <v/>
      </c>
      <c r="F309" s="359" t="str">
        <f>IF(A309="","",--(LOWER('20_Registro_Diario'!G309)="sí"))</f>
        <v/>
      </c>
      <c r="G309" s="366" t="str">
        <f>IF(A309="","",IFERROR('20_Registro_Diario'!I309,0))</f>
        <v/>
      </c>
      <c r="H309" s="368" t="str">
        <f t="shared" si="35"/>
        <v/>
      </c>
      <c r="I309" s="359" t="str">
        <f t="shared" si="36"/>
        <v/>
      </c>
      <c r="J309" s="359" t="str">
        <f t="shared" si="37"/>
        <v/>
      </c>
      <c r="K309" s="359" t="str">
        <f t="shared" si="38"/>
        <v/>
      </c>
      <c r="L309" s="359" t="str">
        <f t="shared" si="39"/>
        <v/>
      </c>
      <c r="M309" s="359" t="str">
        <f t="shared" si="40"/>
        <v/>
      </c>
      <c r="N309" s="149" t="str">
        <f t="shared" si="41"/>
        <v/>
      </c>
    </row>
    <row r="310" spans="1:14">
      <c r="A310" s="417" t="str">
        <f>IF(OR('20_Registro_Diario'!A310="",'20_Registro_Diario'!A310=0),"",'20_Registro_Diario'!A310)</f>
        <v/>
      </c>
      <c r="B310" s="359" t="str">
        <f>IF(A310="","",--(LOWER('20_Registro_Diario'!C310)="sí"))</f>
        <v/>
      </c>
      <c r="C310" s="359" t="str">
        <f>IF(A310="","",--(LOWER('20_Registro_Diario'!D310)="sí"))</f>
        <v/>
      </c>
      <c r="D310" s="359" t="str">
        <f>IF(A310="","",--(LOWER('20_Registro_Diario'!E310)="sí"))</f>
        <v/>
      </c>
      <c r="E310" s="359" t="str">
        <f>IF(A310="","",--(LOWER('20_Registro_Diario'!F310)="sí"))</f>
        <v/>
      </c>
      <c r="F310" s="359" t="str">
        <f>IF(A310="","",--(LOWER('20_Registro_Diario'!G310)="sí"))</f>
        <v/>
      </c>
      <c r="G310" s="366" t="str">
        <f>IF(A310="","",IFERROR('20_Registro_Diario'!I310,0))</f>
        <v/>
      </c>
      <c r="H310" s="368" t="str">
        <f t="shared" si="35"/>
        <v/>
      </c>
      <c r="I310" s="359" t="str">
        <f t="shared" si="36"/>
        <v/>
      </c>
      <c r="J310" s="359" t="str">
        <f t="shared" si="37"/>
        <v/>
      </c>
      <c r="K310" s="359" t="str">
        <f t="shared" si="38"/>
        <v/>
      </c>
      <c r="L310" s="359" t="str">
        <f t="shared" si="39"/>
        <v/>
      </c>
      <c r="M310" s="359" t="str">
        <f t="shared" si="40"/>
        <v/>
      </c>
      <c r="N310" s="149" t="str">
        <f t="shared" si="41"/>
        <v/>
      </c>
    </row>
    <row r="311" spans="1:14">
      <c r="A311" s="417" t="str">
        <f>IF(OR('20_Registro_Diario'!A311="",'20_Registro_Diario'!A311=0),"",'20_Registro_Diario'!A311)</f>
        <v/>
      </c>
      <c r="B311" s="359" t="str">
        <f>IF(A311="","",--(LOWER('20_Registro_Diario'!C311)="sí"))</f>
        <v/>
      </c>
      <c r="C311" s="359" t="str">
        <f>IF(A311="","",--(LOWER('20_Registro_Diario'!D311)="sí"))</f>
        <v/>
      </c>
      <c r="D311" s="359" t="str">
        <f>IF(A311="","",--(LOWER('20_Registro_Diario'!E311)="sí"))</f>
        <v/>
      </c>
      <c r="E311" s="359" t="str">
        <f>IF(A311="","",--(LOWER('20_Registro_Diario'!F311)="sí"))</f>
        <v/>
      </c>
      <c r="F311" s="359" t="str">
        <f>IF(A311="","",--(LOWER('20_Registro_Diario'!G311)="sí"))</f>
        <v/>
      </c>
      <c r="G311" s="366" t="str">
        <f>IF(A311="","",IFERROR('20_Registro_Diario'!I311,0))</f>
        <v/>
      </c>
      <c r="H311" s="368" t="str">
        <f t="shared" si="35"/>
        <v/>
      </c>
      <c r="I311" s="359" t="str">
        <f t="shared" si="36"/>
        <v/>
      </c>
      <c r="J311" s="359" t="str">
        <f t="shared" si="37"/>
        <v/>
      </c>
      <c r="K311" s="359" t="str">
        <f t="shared" si="38"/>
        <v/>
      </c>
      <c r="L311" s="359" t="str">
        <f t="shared" si="39"/>
        <v/>
      </c>
      <c r="M311" s="359" t="str">
        <f t="shared" si="40"/>
        <v/>
      </c>
      <c r="N311" s="149" t="str">
        <f t="shared" si="41"/>
        <v/>
      </c>
    </row>
    <row r="312" spans="1:14">
      <c r="A312" s="417" t="str">
        <f>IF(OR('20_Registro_Diario'!A312="",'20_Registro_Diario'!A312=0),"",'20_Registro_Diario'!A312)</f>
        <v/>
      </c>
      <c r="B312" s="359" t="str">
        <f>IF(A312="","",--(LOWER('20_Registro_Diario'!C312)="sí"))</f>
        <v/>
      </c>
      <c r="C312" s="359" t="str">
        <f>IF(A312="","",--(LOWER('20_Registro_Diario'!D312)="sí"))</f>
        <v/>
      </c>
      <c r="D312" s="359" t="str">
        <f>IF(A312="","",--(LOWER('20_Registro_Diario'!E312)="sí"))</f>
        <v/>
      </c>
      <c r="E312" s="359" t="str">
        <f>IF(A312="","",--(LOWER('20_Registro_Diario'!F312)="sí"))</f>
        <v/>
      </c>
      <c r="F312" s="359" t="str">
        <f>IF(A312="","",--(LOWER('20_Registro_Diario'!G312)="sí"))</f>
        <v/>
      </c>
      <c r="G312" s="366" t="str">
        <f>IF(A312="","",IFERROR('20_Registro_Diario'!I312,0))</f>
        <v/>
      </c>
      <c r="H312" s="368" t="str">
        <f t="shared" si="35"/>
        <v/>
      </c>
      <c r="I312" s="359" t="str">
        <f t="shared" si="36"/>
        <v/>
      </c>
      <c r="J312" s="359" t="str">
        <f t="shared" si="37"/>
        <v/>
      </c>
      <c r="K312" s="359" t="str">
        <f t="shared" si="38"/>
        <v/>
      </c>
      <c r="L312" s="359" t="str">
        <f t="shared" si="39"/>
        <v/>
      </c>
      <c r="M312" s="359" t="str">
        <f t="shared" si="40"/>
        <v/>
      </c>
      <c r="N312" s="149" t="str">
        <f t="shared" si="41"/>
        <v/>
      </c>
    </row>
    <row r="313" spans="1:14">
      <c r="A313" s="417" t="str">
        <f>IF(OR('20_Registro_Diario'!A313="",'20_Registro_Diario'!A313=0),"",'20_Registro_Diario'!A313)</f>
        <v/>
      </c>
      <c r="B313" s="359" t="str">
        <f>IF(A313="","",--(LOWER('20_Registro_Diario'!C313)="sí"))</f>
        <v/>
      </c>
      <c r="C313" s="359" t="str">
        <f>IF(A313="","",--(LOWER('20_Registro_Diario'!D313)="sí"))</f>
        <v/>
      </c>
      <c r="D313" s="359" t="str">
        <f>IF(A313="","",--(LOWER('20_Registro_Diario'!E313)="sí"))</f>
        <v/>
      </c>
      <c r="E313" s="359" t="str">
        <f>IF(A313="","",--(LOWER('20_Registro_Diario'!F313)="sí"))</f>
        <v/>
      </c>
      <c r="F313" s="359" t="str">
        <f>IF(A313="","",--(LOWER('20_Registro_Diario'!G313)="sí"))</f>
        <v/>
      </c>
      <c r="G313" s="366" t="str">
        <f>IF(A313="","",IFERROR('20_Registro_Diario'!I313,0))</f>
        <v/>
      </c>
      <c r="H313" s="368" t="str">
        <f t="shared" si="35"/>
        <v/>
      </c>
      <c r="I313" s="359" t="str">
        <f t="shared" si="36"/>
        <v/>
      </c>
      <c r="J313" s="359" t="str">
        <f t="shared" si="37"/>
        <v/>
      </c>
      <c r="K313" s="359" t="str">
        <f t="shared" si="38"/>
        <v/>
      </c>
      <c r="L313" s="359" t="str">
        <f t="shared" si="39"/>
        <v/>
      </c>
      <c r="M313" s="359" t="str">
        <f t="shared" si="40"/>
        <v/>
      </c>
      <c r="N313" s="149" t="str">
        <f t="shared" si="41"/>
        <v/>
      </c>
    </row>
    <row r="314" spans="1:14">
      <c r="A314" s="417" t="str">
        <f>IF(OR('20_Registro_Diario'!A314="",'20_Registro_Diario'!A314=0),"",'20_Registro_Diario'!A314)</f>
        <v/>
      </c>
      <c r="B314" s="359" t="str">
        <f>IF(A314="","",--(LOWER('20_Registro_Diario'!C314)="sí"))</f>
        <v/>
      </c>
      <c r="C314" s="359" t="str">
        <f>IF(A314="","",--(LOWER('20_Registro_Diario'!D314)="sí"))</f>
        <v/>
      </c>
      <c r="D314" s="359" t="str">
        <f>IF(A314="","",--(LOWER('20_Registro_Diario'!E314)="sí"))</f>
        <v/>
      </c>
      <c r="E314" s="359" t="str">
        <f>IF(A314="","",--(LOWER('20_Registro_Diario'!F314)="sí"))</f>
        <v/>
      </c>
      <c r="F314" s="359" t="str">
        <f>IF(A314="","",--(LOWER('20_Registro_Diario'!G314)="sí"))</f>
        <v/>
      </c>
      <c r="G314" s="366" t="str">
        <f>IF(A314="","",IFERROR('20_Registro_Diario'!I314,0))</f>
        <v/>
      </c>
      <c r="H314" s="368" t="str">
        <f t="shared" si="35"/>
        <v/>
      </c>
      <c r="I314" s="359" t="str">
        <f t="shared" si="36"/>
        <v/>
      </c>
      <c r="J314" s="359" t="str">
        <f t="shared" si="37"/>
        <v/>
      </c>
      <c r="K314" s="359" t="str">
        <f t="shared" si="38"/>
        <v/>
      </c>
      <c r="L314" s="359" t="str">
        <f t="shared" si="39"/>
        <v/>
      </c>
      <c r="M314" s="359" t="str">
        <f t="shared" si="40"/>
        <v/>
      </c>
      <c r="N314" s="149" t="str">
        <f t="shared" si="41"/>
        <v/>
      </c>
    </row>
    <row r="315" spans="1:14">
      <c r="A315" s="417" t="str">
        <f>IF(OR('20_Registro_Diario'!A315="",'20_Registro_Diario'!A315=0),"",'20_Registro_Diario'!A315)</f>
        <v/>
      </c>
      <c r="B315" s="359" t="str">
        <f>IF(A315="","",--(LOWER('20_Registro_Diario'!C315)="sí"))</f>
        <v/>
      </c>
      <c r="C315" s="359" t="str">
        <f>IF(A315="","",--(LOWER('20_Registro_Diario'!D315)="sí"))</f>
        <v/>
      </c>
      <c r="D315" s="359" t="str">
        <f>IF(A315="","",--(LOWER('20_Registro_Diario'!E315)="sí"))</f>
        <v/>
      </c>
      <c r="E315" s="359" t="str">
        <f>IF(A315="","",--(LOWER('20_Registro_Diario'!F315)="sí"))</f>
        <v/>
      </c>
      <c r="F315" s="359" t="str">
        <f>IF(A315="","",--(LOWER('20_Registro_Diario'!G315)="sí"))</f>
        <v/>
      </c>
      <c r="G315" s="366" t="str">
        <f>IF(A315="","",IFERROR('20_Registro_Diario'!I315,0))</f>
        <v/>
      </c>
      <c r="H315" s="368" t="str">
        <f t="shared" si="35"/>
        <v/>
      </c>
      <c r="I315" s="359" t="str">
        <f t="shared" si="36"/>
        <v/>
      </c>
      <c r="J315" s="359" t="str">
        <f t="shared" si="37"/>
        <v/>
      </c>
      <c r="K315" s="359" t="str">
        <f t="shared" si="38"/>
        <v/>
      </c>
      <c r="L315" s="359" t="str">
        <f t="shared" si="39"/>
        <v/>
      </c>
      <c r="M315" s="359" t="str">
        <f t="shared" si="40"/>
        <v/>
      </c>
      <c r="N315" s="149" t="str">
        <f t="shared" si="41"/>
        <v/>
      </c>
    </row>
    <row r="316" spans="1:14">
      <c r="A316" s="417" t="str">
        <f>IF(OR('20_Registro_Diario'!A316="",'20_Registro_Diario'!A316=0),"",'20_Registro_Diario'!A316)</f>
        <v/>
      </c>
      <c r="B316" s="359" t="str">
        <f>IF(A316="","",--(LOWER('20_Registro_Diario'!C316)="sí"))</f>
        <v/>
      </c>
      <c r="C316" s="359" t="str">
        <f>IF(A316="","",--(LOWER('20_Registro_Diario'!D316)="sí"))</f>
        <v/>
      </c>
      <c r="D316" s="359" t="str">
        <f>IF(A316="","",--(LOWER('20_Registro_Diario'!E316)="sí"))</f>
        <v/>
      </c>
      <c r="E316" s="359" t="str">
        <f>IF(A316="","",--(LOWER('20_Registro_Diario'!F316)="sí"))</f>
        <v/>
      </c>
      <c r="F316" s="359" t="str">
        <f>IF(A316="","",--(LOWER('20_Registro_Diario'!G316)="sí"))</f>
        <v/>
      </c>
      <c r="G316" s="366" t="str">
        <f>IF(A316="","",IFERROR('20_Registro_Diario'!I316,0))</f>
        <v/>
      </c>
      <c r="H316" s="368" t="str">
        <f t="shared" si="35"/>
        <v/>
      </c>
      <c r="I316" s="359" t="str">
        <f t="shared" si="36"/>
        <v/>
      </c>
      <c r="J316" s="359" t="str">
        <f t="shared" si="37"/>
        <v/>
      </c>
      <c r="K316" s="359" t="str">
        <f t="shared" si="38"/>
        <v/>
      </c>
      <c r="L316" s="359" t="str">
        <f t="shared" si="39"/>
        <v/>
      </c>
      <c r="M316" s="359" t="str">
        <f t="shared" si="40"/>
        <v/>
      </c>
      <c r="N316" s="149" t="str">
        <f t="shared" si="41"/>
        <v/>
      </c>
    </row>
    <row r="317" spans="1:14">
      <c r="A317" s="417" t="str">
        <f>IF(OR('20_Registro_Diario'!A317="",'20_Registro_Diario'!A317=0),"",'20_Registro_Diario'!A317)</f>
        <v/>
      </c>
      <c r="B317" s="359" t="str">
        <f>IF(A317="","",--(LOWER('20_Registro_Diario'!C317)="sí"))</f>
        <v/>
      </c>
      <c r="C317" s="359" t="str">
        <f>IF(A317="","",--(LOWER('20_Registro_Diario'!D317)="sí"))</f>
        <v/>
      </c>
      <c r="D317" s="359" t="str">
        <f>IF(A317="","",--(LOWER('20_Registro_Diario'!E317)="sí"))</f>
        <v/>
      </c>
      <c r="E317" s="359" t="str">
        <f>IF(A317="","",--(LOWER('20_Registro_Diario'!F317)="sí"))</f>
        <v/>
      </c>
      <c r="F317" s="359" t="str">
        <f>IF(A317="","",--(LOWER('20_Registro_Diario'!G317)="sí"))</f>
        <v/>
      </c>
      <c r="G317" s="366" t="str">
        <f>IF(A317="","",IFERROR('20_Registro_Diario'!I317,0))</f>
        <v/>
      </c>
      <c r="H317" s="368" t="str">
        <f t="shared" si="35"/>
        <v/>
      </c>
      <c r="I317" s="359" t="str">
        <f t="shared" si="36"/>
        <v/>
      </c>
      <c r="J317" s="359" t="str">
        <f t="shared" si="37"/>
        <v/>
      </c>
      <c r="K317" s="359" t="str">
        <f t="shared" si="38"/>
        <v/>
      </c>
      <c r="L317" s="359" t="str">
        <f t="shared" si="39"/>
        <v/>
      </c>
      <c r="M317" s="359" t="str">
        <f t="shared" si="40"/>
        <v/>
      </c>
      <c r="N317" s="149" t="str">
        <f t="shared" si="41"/>
        <v/>
      </c>
    </row>
    <row r="318" spans="1:14">
      <c r="A318" s="417" t="str">
        <f>IF(OR('20_Registro_Diario'!A318="",'20_Registro_Diario'!A318=0),"",'20_Registro_Diario'!A318)</f>
        <v/>
      </c>
      <c r="B318" s="359" t="str">
        <f>IF(A318="","",--(LOWER('20_Registro_Diario'!C318)="sí"))</f>
        <v/>
      </c>
      <c r="C318" s="359" t="str">
        <f>IF(A318="","",--(LOWER('20_Registro_Diario'!D318)="sí"))</f>
        <v/>
      </c>
      <c r="D318" s="359" t="str">
        <f>IF(A318="","",--(LOWER('20_Registro_Diario'!E318)="sí"))</f>
        <v/>
      </c>
      <c r="E318" s="359" t="str">
        <f>IF(A318="","",--(LOWER('20_Registro_Diario'!F318)="sí"))</f>
        <v/>
      </c>
      <c r="F318" s="359" t="str">
        <f>IF(A318="","",--(LOWER('20_Registro_Diario'!G318)="sí"))</f>
        <v/>
      </c>
      <c r="G318" s="366" t="str">
        <f>IF(A318="","",IFERROR('20_Registro_Diario'!I318,0))</f>
        <v/>
      </c>
      <c r="H318" s="368" t="str">
        <f t="shared" si="35"/>
        <v/>
      </c>
      <c r="I318" s="359" t="str">
        <f t="shared" si="36"/>
        <v/>
      </c>
      <c r="J318" s="359" t="str">
        <f t="shared" si="37"/>
        <v/>
      </c>
      <c r="K318" s="359" t="str">
        <f t="shared" si="38"/>
        <v/>
      </c>
      <c r="L318" s="359" t="str">
        <f t="shared" si="39"/>
        <v/>
      </c>
      <c r="M318" s="359" t="str">
        <f t="shared" si="40"/>
        <v/>
      </c>
      <c r="N318" s="149" t="str">
        <f t="shared" si="41"/>
        <v/>
      </c>
    </row>
    <row r="319" spans="1:14">
      <c r="A319" s="417" t="str">
        <f>IF(OR('20_Registro_Diario'!A319="",'20_Registro_Diario'!A319=0),"",'20_Registro_Diario'!A319)</f>
        <v/>
      </c>
      <c r="B319" s="359" t="str">
        <f>IF(A319="","",--(LOWER('20_Registro_Diario'!C319)="sí"))</f>
        <v/>
      </c>
      <c r="C319" s="359" t="str">
        <f>IF(A319="","",--(LOWER('20_Registro_Diario'!D319)="sí"))</f>
        <v/>
      </c>
      <c r="D319" s="359" t="str">
        <f>IF(A319="","",--(LOWER('20_Registro_Diario'!E319)="sí"))</f>
        <v/>
      </c>
      <c r="E319" s="359" t="str">
        <f>IF(A319="","",--(LOWER('20_Registro_Diario'!F319)="sí"))</f>
        <v/>
      </c>
      <c r="F319" s="359" t="str">
        <f>IF(A319="","",--(LOWER('20_Registro_Diario'!G319)="sí"))</f>
        <v/>
      </c>
      <c r="G319" s="366" t="str">
        <f>IF(A319="","",IFERROR('20_Registro_Diario'!I319,0))</f>
        <v/>
      </c>
      <c r="H319" s="368" t="str">
        <f t="shared" si="35"/>
        <v/>
      </c>
      <c r="I319" s="359" t="str">
        <f t="shared" si="36"/>
        <v/>
      </c>
      <c r="J319" s="359" t="str">
        <f t="shared" si="37"/>
        <v/>
      </c>
      <c r="K319" s="359" t="str">
        <f t="shared" si="38"/>
        <v/>
      </c>
      <c r="L319" s="359" t="str">
        <f t="shared" si="39"/>
        <v/>
      </c>
      <c r="M319" s="359" t="str">
        <f t="shared" si="40"/>
        <v/>
      </c>
      <c r="N319" s="149" t="str">
        <f t="shared" si="41"/>
        <v/>
      </c>
    </row>
    <row r="320" spans="1:14">
      <c r="A320" s="417" t="str">
        <f>IF(OR('20_Registro_Diario'!A320="",'20_Registro_Diario'!A320=0),"",'20_Registro_Diario'!A320)</f>
        <v/>
      </c>
      <c r="B320" s="359" t="str">
        <f>IF(A320="","",--(LOWER('20_Registro_Diario'!C320)="sí"))</f>
        <v/>
      </c>
      <c r="C320" s="359" t="str">
        <f>IF(A320="","",--(LOWER('20_Registro_Diario'!D320)="sí"))</f>
        <v/>
      </c>
      <c r="D320" s="359" t="str">
        <f>IF(A320="","",--(LOWER('20_Registro_Diario'!E320)="sí"))</f>
        <v/>
      </c>
      <c r="E320" s="359" t="str">
        <f>IF(A320="","",--(LOWER('20_Registro_Diario'!F320)="sí"))</f>
        <v/>
      </c>
      <c r="F320" s="359" t="str">
        <f>IF(A320="","",--(LOWER('20_Registro_Diario'!G320)="sí"))</f>
        <v/>
      </c>
      <c r="G320" s="366" t="str">
        <f>IF(A320="","",IFERROR('20_Registro_Diario'!I320,0))</f>
        <v/>
      </c>
      <c r="H320" s="368" t="str">
        <f t="shared" si="35"/>
        <v/>
      </c>
      <c r="I320" s="359" t="str">
        <f t="shared" si="36"/>
        <v/>
      </c>
      <c r="J320" s="359" t="str">
        <f t="shared" si="37"/>
        <v/>
      </c>
      <c r="K320" s="359" t="str">
        <f t="shared" si="38"/>
        <v/>
      </c>
      <c r="L320" s="359" t="str">
        <f t="shared" si="39"/>
        <v/>
      </c>
      <c r="M320" s="359" t="str">
        <f t="shared" si="40"/>
        <v/>
      </c>
      <c r="N320" s="149" t="str">
        <f t="shared" si="41"/>
        <v/>
      </c>
    </row>
    <row r="321" spans="1:14">
      <c r="A321" s="417" t="str">
        <f>IF(OR('20_Registro_Diario'!A321="",'20_Registro_Diario'!A321=0),"",'20_Registro_Diario'!A321)</f>
        <v/>
      </c>
      <c r="B321" s="359" t="str">
        <f>IF(A321="","",--(LOWER('20_Registro_Diario'!C321)="sí"))</f>
        <v/>
      </c>
      <c r="C321" s="359" t="str">
        <f>IF(A321="","",--(LOWER('20_Registro_Diario'!D321)="sí"))</f>
        <v/>
      </c>
      <c r="D321" s="359" t="str">
        <f>IF(A321="","",--(LOWER('20_Registro_Diario'!E321)="sí"))</f>
        <v/>
      </c>
      <c r="E321" s="359" t="str">
        <f>IF(A321="","",--(LOWER('20_Registro_Diario'!F321)="sí"))</f>
        <v/>
      </c>
      <c r="F321" s="359" t="str">
        <f>IF(A321="","",--(LOWER('20_Registro_Diario'!G321)="sí"))</f>
        <v/>
      </c>
      <c r="G321" s="366" t="str">
        <f>IF(A321="","",IFERROR('20_Registro_Diario'!I321,0))</f>
        <v/>
      </c>
      <c r="H321" s="368" t="str">
        <f t="shared" si="35"/>
        <v/>
      </c>
      <c r="I321" s="359" t="str">
        <f t="shared" si="36"/>
        <v/>
      </c>
      <c r="J321" s="359" t="str">
        <f t="shared" si="37"/>
        <v/>
      </c>
      <c r="K321" s="359" t="str">
        <f t="shared" si="38"/>
        <v/>
      </c>
      <c r="L321" s="359" t="str">
        <f t="shared" si="39"/>
        <v/>
      </c>
      <c r="M321" s="359" t="str">
        <f t="shared" si="40"/>
        <v/>
      </c>
      <c r="N321" s="149" t="str">
        <f t="shared" si="41"/>
        <v/>
      </c>
    </row>
    <row r="322" spans="1:14">
      <c r="A322" s="417" t="str">
        <f>IF(OR('20_Registro_Diario'!A322="",'20_Registro_Diario'!A322=0),"",'20_Registro_Diario'!A322)</f>
        <v/>
      </c>
      <c r="B322" s="359" t="str">
        <f>IF(A322="","",--(LOWER('20_Registro_Diario'!C322)="sí"))</f>
        <v/>
      </c>
      <c r="C322" s="359" t="str">
        <f>IF(A322="","",--(LOWER('20_Registro_Diario'!D322)="sí"))</f>
        <v/>
      </c>
      <c r="D322" s="359" t="str">
        <f>IF(A322="","",--(LOWER('20_Registro_Diario'!E322)="sí"))</f>
        <v/>
      </c>
      <c r="E322" s="359" t="str">
        <f>IF(A322="","",--(LOWER('20_Registro_Diario'!F322)="sí"))</f>
        <v/>
      </c>
      <c r="F322" s="359" t="str">
        <f>IF(A322="","",--(LOWER('20_Registro_Diario'!G322)="sí"))</f>
        <v/>
      </c>
      <c r="G322" s="366" t="str">
        <f>IF(A322="","",IFERROR('20_Registro_Diario'!I322,0))</f>
        <v/>
      </c>
      <c r="H322" s="368" t="str">
        <f t="shared" si="35"/>
        <v/>
      </c>
      <c r="I322" s="359" t="str">
        <f t="shared" si="36"/>
        <v/>
      </c>
      <c r="J322" s="359" t="str">
        <f t="shared" si="37"/>
        <v/>
      </c>
      <c r="K322" s="359" t="str">
        <f t="shared" si="38"/>
        <v/>
      </c>
      <c r="L322" s="359" t="str">
        <f t="shared" si="39"/>
        <v/>
      </c>
      <c r="M322" s="359" t="str">
        <f t="shared" si="40"/>
        <v/>
      </c>
      <c r="N322" s="149" t="str">
        <f t="shared" si="41"/>
        <v/>
      </c>
    </row>
    <row r="323" spans="1:14">
      <c r="A323" s="417" t="str">
        <f>IF(OR('20_Registro_Diario'!A323="",'20_Registro_Diario'!A323=0),"",'20_Registro_Diario'!A323)</f>
        <v/>
      </c>
      <c r="B323" s="359" t="str">
        <f>IF(A323="","",--(LOWER('20_Registro_Diario'!C323)="sí"))</f>
        <v/>
      </c>
      <c r="C323" s="359" t="str">
        <f>IF(A323="","",--(LOWER('20_Registro_Diario'!D323)="sí"))</f>
        <v/>
      </c>
      <c r="D323" s="359" t="str">
        <f>IF(A323="","",--(LOWER('20_Registro_Diario'!E323)="sí"))</f>
        <v/>
      </c>
      <c r="E323" s="359" t="str">
        <f>IF(A323="","",--(LOWER('20_Registro_Diario'!F323)="sí"))</f>
        <v/>
      </c>
      <c r="F323" s="359" t="str">
        <f>IF(A323="","",--(LOWER('20_Registro_Diario'!G323)="sí"))</f>
        <v/>
      </c>
      <c r="G323" s="366" t="str">
        <f>IF(A323="","",IFERROR('20_Registro_Diario'!I323,0))</f>
        <v/>
      </c>
      <c r="H323" s="368" t="str">
        <f t="shared" si="35"/>
        <v/>
      </c>
      <c r="I323" s="359" t="str">
        <f t="shared" si="36"/>
        <v/>
      </c>
      <c r="J323" s="359" t="str">
        <f t="shared" si="37"/>
        <v/>
      </c>
      <c r="K323" s="359" t="str">
        <f t="shared" si="38"/>
        <v/>
      </c>
      <c r="L323" s="359" t="str">
        <f t="shared" si="39"/>
        <v/>
      </c>
      <c r="M323" s="359" t="str">
        <f t="shared" si="40"/>
        <v/>
      </c>
      <c r="N323" s="149" t="str">
        <f t="shared" si="41"/>
        <v/>
      </c>
    </row>
    <row r="324" spans="1:14">
      <c r="A324" s="417" t="str">
        <f>IF(OR('20_Registro_Diario'!A324="",'20_Registro_Diario'!A324=0),"",'20_Registro_Diario'!A324)</f>
        <v/>
      </c>
      <c r="B324" s="359" t="str">
        <f>IF(A324="","",--(LOWER('20_Registro_Diario'!C324)="sí"))</f>
        <v/>
      </c>
      <c r="C324" s="359" t="str">
        <f>IF(A324="","",--(LOWER('20_Registro_Diario'!D324)="sí"))</f>
        <v/>
      </c>
      <c r="D324" s="359" t="str">
        <f>IF(A324="","",--(LOWER('20_Registro_Diario'!E324)="sí"))</f>
        <v/>
      </c>
      <c r="E324" s="359" t="str">
        <f>IF(A324="","",--(LOWER('20_Registro_Diario'!F324)="sí"))</f>
        <v/>
      </c>
      <c r="F324" s="359" t="str">
        <f>IF(A324="","",--(LOWER('20_Registro_Diario'!G324)="sí"))</f>
        <v/>
      </c>
      <c r="G324" s="366" t="str">
        <f>IF(A324="","",IFERROR('20_Registro_Diario'!I324,0))</f>
        <v/>
      </c>
      <c r="H324" s="368" t="str">
        <f t="shared" si="35"/>
        <v/>
      </c>
      <c r="I324" s="359" t="str">
        <f t="shared" si="36"/>
        <v/>
      </c>
      <c r="J324" s="359" t="str">
        <f t="shared" si="37"/>
        <v/>
      </c>
      <c r="K324" s="359" t="str">
        <f t="shared" si="38"/>
        <v/>
      </c>
      <c r="L324" s="359" t="str">
        <f t="shared" si="39"/>
        <v/>
      </c>
      <c r="M324" s="359" t="str">
        <f t="shared" si="40"/>
        <v/>
      </c>
      <c r="N324" s="149" t="str">
        <f t="shared" si="41"/>
        <v/>
      </c>
    </row>
    <row r="325" spans="1:14">
      <c r="A325" s="417" t="str">
        <f>IF(OR('20_Registro_Diario'!A325="",'20_Registro_Diario'!A325=0),"",'20_Registro_Diario'!A325)</f>
        <v/>
      </c>
      <c r="B325" s="359" t="str">
        <f>IF(A325="","",--(LOWER('20_Registro_Diario'!C325)="sí"))</f>
        <v/>
      </c>
      <c r="C325" s="359" t="str">
        <f>IF(A325="","",--(LOWER('20_Registro_Diario'!D325)="sí"))</f>
        <v/>
      </c>
      <c r="D325" s="359" t="str">
        <f>IF(A325="","",--(LOWER('20_Registro_Diario'!E325)="sí"))</f>
        <v/>
      </c>
      <c r="E325" s="359" t="str">
        <f>IF(A325="","",--(LOWER('20_Registro_Diario'!F325)="sí"))</f>
        <v/>
      </c>
      <c r="F325" s="359" t="str">
        <f>IF(A325="","",--(LOWER('20_Registro_Diario'!G325)="sí"))</f>
        <v/>
      </c>
      <c r="G325" s="366" t="str">
        <f>IF(A325="","",IFERROR('20_Registro_Diario'!I325,0))</f>
        <v/>
      </c>
      <c r="H325" s="368" t="str">
        <f t="shared" ref="H325:H388" si="42">IF(A325="","",IFERROR(SUM(B325:F325)/5,0))</f>
        <v/>
      </c>
      <c r="I325" s="359" t="str">
        <f t="shared" ref="I325:I388" si="43">IF(A325="","",IF(H325&gt;=0.8,"🟢 Fuerte",IF(H325&gt;=0.5,"🟡 En proceso","🔴 Riesgo")))</f>
        <v/>
      </c>
      <c r="J325" s="359" t="str">
        <f t="shared" ref="J325:J388" si="44">IF(A325="","",IF(B325=1,"Sí","No"))</f>
        <v/>
      </c>
      <c r="K325" s="359" t="str">
        <f t="shared" ref="K325:K388" si="45">IF(A325="","",IF(D325=1,"Con universidad","Sin universidad"))</f>
        <v/>
      </c>
      <c r="L325" s="359" t="str">
        <f t="shared" ref="L325:L388" si="46">IF(A325="","",IF(H325&gt;=0.8,"Alto",IF(H325&gt;=0.5,"Medio","Bajo")))</f>
        <v/>
      </c>
      <c r="M325" s="359" t="str">
        <f t="shared" ref="M325:M388" si="47">IF(A325="","",IF(H325&gt;=0.8,"🟢 Fuerte",IF(H325&gt;=0.5,"🟡 Día útil","🔴 Revisar")))</f>
        <v/>
      </c>
      <c r="N325" s="149" t="str">
        <f t="shared" ref="N325:N388" si="48">IF(A325="","",H325*100)</f>
        <v/>
      </c>
    </row>
    <row r="326" spans="1:14">
      <c r="A326" s="417" t="str">
        <f>IF(OR('20_Registro_Diario'!A326="",'20_Registro_Diario'!A326=0),"",'20_Registro_Diario'!A326)</f>
        <v/>
      </c>
      <c r="B326" s="359" t="str">
        <f>IF(A326="","",--(LOWER('20_Registro_Diario'!C326)="sí"))</f>
        <v/>
      </c>
      <c r="C326" s="359" t="str">
        <f>IF(A326="","",--(LOWER('20_Registro_Diario'!D326)="sí"))</f>
        <v/>
      </c>
      <c r="D326" s="359" t="str">
        <f>IF(A326="","",--(LOWER('20_Registro_Diario'!E326)="sí"))</f>
        <v/>
      </c>
      <c r="E326" s="359" t="str">
        <f>IF(A326="","",--(LOWER('20_Registro_Diario'!F326)="sí"))</f>
        <v/>
      </c>
      <c r="F326" s="359" t="str">
        <f>IF(A326="","",--(LOWER('20_Registro_Diario'!G326)="sí"))</f>
        <v/>
      </c>
      <c r="G326" s="366" t="str">
        <f>IF(A326="","",IFERROR('20_Registro_Diario'!I326,0))</f>
        <v/>
      </c>
      <c r="H326" s="368" t="str">
        <f t="shared" si="42"/>
        <v/>
      </c>
      <c r="I326" s="359" t="str">
        <f t="shared" si="43"/>
        <v/>
      </c>
      <c r="J326" s="359" t="str">
        <f t="shared" si="44"/>
        <v/>
      </c>
      <c r="K326" s="359" t="str">
        <f t="shared" si="45"/>
        <v/>
      </c>
      <c r="L326" s="359" t="str">
        <f t="shared" si="46"/>
        <v/>
      </c>
      <c r="M326" s="359" t="str">
        <f t="shared" si="47"/>
        <v/>
      </c>
      <c r="N326" s="149" t="str">
        <f t="shared" si="48"/>
        <v/>
      </c>
    </row>
    <row r="327" spans="1:14">
      <c r="A327" s="417" t="str">
        <f>IF(OR('20_Registro_Diario'!A327="",'20_Registro_Diario'!A327=0),"",'20_Registro_Diario'!A327)</f>
        <v/>
      </c>
      <c r="B327" s="359" t="str">
        <f>IF(A327="","",--(LOWER('20_Registro_Diario'!C327)="sí"))</f>
        <v/>
      </c>
      <c r="C327" s="359" t="str">
        <f>IF(A327="","",--(LOWER('20_Registro_Diario'!D327)="sí"))</f>
        <v/>
      </c>
      <c r="D327" s="359" t="str">
        <f>IF(A327="","",--(LOWER('20_Registro_Diario'!E327)="sí"))</f>
        <v/>
      </c>
      <c r="E327" s="359" t="str">
        <f>IF(A327="","",--(LOWER('20_Registro_Diario'!F327)="sí"))</f>
        <v/>
      </c>
      <c r="F327" s="359" t="str">
        <f>IF(A327="","",--(LOWER('20_Registro_Diario'!G327)="sí"))</f>
        <v/>
      </c>
      <c r="G327" s="366" t="str">
        <f>IF(A327="","",IFERROR('20_Registro_Diario'!I327,0))</f>
        <v/>
      </c>
      <c r="H327" s="368" t="str">
        <f t="shared" si="42"/>
        <v/>
      </c>
      <c r="I327" s="359" t="str">
        <f t="shared" si="43"/>
        <v/>
      </c>
      <c r="J327" s="359" t="str">
        <f t="shared" si="44"/>
        <v/>
      </c>
      <c r="K327" s="359" t="str">
        <f t="shared" si="45"/>
        <v/>
      </c>
      <c r="L327" s="359" t="str">
        <f t="shared" si="46"/>
        <v/>
      </c>
      <c r="M327" s="359" t="str">
        <f t="shared" si="47"/>
        <v/>
      </c>
      <c r="N327" s="149" t="str">
        <f t="shared" si="48"/>
        <v/>
      </c>
    </row>
    <row r="328" spans="1:14">
      <c r="A328" s="417" t="str">
        <f>IF(OR('20_Registro_Diario'!A328="",'20_Registro_Diario'!A328=0),"",'20_Registro_Diario'!A328)</f>
        <v/>
      </c>
      <c r="B328" s="359" t="str">
        <f>IF(A328="","",--(LOWER('20_Registro_Diario'!C328)="sí"))</f>
        <v/>
      </c>
      <c r="C328" s="359" t="str">
        <f>IF(A328="","",--(LOWER('20_Registro_Diario'!D328)="sí"))</f>
        <v/>
      </c>
      <c r="D328" s="359" t="str">
        <f>IF(A328="","",--(LOWER('20_Registro_Diario'!E328)="sí"))</f>
        <v/>
      </c>
      <c r="E328" s="359" t="str">
        <f>IF(A328="","",--(LOWER('20_Registro_Diario'!F328)="sí"))</f>
        <v/>
      </c>
      <c r="F328" s="359" t="str">
        <f>IF(A328="","",--(LOWER('20_Registro_Diario'!G328)="sí"))</f>
        <v/>
      </c>
      <c r="G328" s="366" t="str">
        <f>IF(A328="","",IFERROR('20_Registro_Diario'!I328,0))</f>
        <v/>
      </c>
      <c r="H328" s="368" t="str">
        <f t="shared" si="42"/>
        <v/>
      </c>
      <c r="I328" s="359" t="str">
        <f t="shared" si="43"/>
        <v/>
      </c>
      <c r="J328" s="359" t="str">
        <f t="shared" si="44"/>
        <v/>
      </c>
      <c r="K328" s="359" t="str">
        <f t="shared" si="45"/>
        <v/>
      </c>
      <c r="L328" s="359" t="str">
        <f t="shared" si="46"/>
        <v/>
      </c>
      <c r="M328" s="359" t="str">
        <f t="shared" si="47"/>
        <v/>
      </c>
      <c r="N328" s="149" t="str">
        <f t="shared" si="48"/>
        <v/>
      </c>
    </row>
    <row r="329" spans="1:14">
      <c r="A329" s="417" t="str">
        <f>IF(OR('20_Registro_Diario'!A329="",'20_Registro_Diario'!A329=0),"",'20_Registro_Diario'!A329)</f>
        <v/>
      </c>
      <c r="B329" s="359" t="str">
        <f>IF(A329="","",--(LOWER('20_Registro_Diario'!C329)="sí"))</f>
        <v/>
      </c>
      <c r="C329" s="359" t="str">
        <f>IF(A329="","",--(LOWER('20_Registro_Diario'!D329)="sí"))</f>
        <v/>
      </c>
      <c r="D329" s="359" t="str">
        <f>IF(A329="","",--(LOWER('20_Registro_Diario'!E329)="sí"))</f>
        <v/>
      </c>
      <c r="E329" s="359" t="str">
        <f>IF(A329="","",--(LOWER('20_Registro_Diario'!F329)="sí"))</f>
        <v/>
      </c>
      <c r="F329" s="359" t="str">
        <f>IF(A329="","",--(LOWER('20_Registro_Diario'!G329)="sí"))</f>
        <v/>
      </c>
      <c r="G329" s="366" t="str">
        <f>IF(A329="","",IFERROR('20_Registro_Diario'!I329,0))</f>
        <v/>
      </c>
      <c r="H329" s="368" t="str">
        <f t="shared" si="42"/>
        <v/>
      </c>
      <c r="I329" s="359" t="str">
        <f t="shared" si="43"/>
        <v/>
      </c>
      <c r="J329" s="359" t="str">
        <f t="shared" si="44"/>
        <v/>
      </c>
      <c r="K329" s="359" t="str">
        <f t="shared" si="45"/>
        <v/>
      </c>
      <c r="L329" s="359" t="str">
        <f t="shared" si="46"/>
        <v/>
      </c>
      <c r="M329" s="359" t="str">
        <f t="shared" si="47"/>
        <v/>
      </c>
      <c r="N329" s="149" t="str">
        <f t="shared" si="48"/>
        <v/>
      </c>
    </row>
    <row r="330" spans="1:14">
      <c r="A330" s="417" t="str">
        <f>IF(OR('20_Registro_Diario'!A330="",'20_Registro_Diario'!A330=0),"",'20_Registro_Diario'!A330)</f>
        <v/>
      </c>
      <c r="B330" s="359" t="str">
        <f>IF(A330="","",--(LOWER('20_Registro_Diario'!C330)="sí"))</f>
        <v/>
      </c>
      <c r="C330" s="359" t="str">
        <f>IF(A330="","",--(LOWER('20_Registro_Diario'!D330)="sí"))</f>
        <v/>
      </c>
      <c r="D330" s="359" t="str">
        <f>IF(A330="","",--(LOWER('20_Registro_Diario'!E330)="sí"))</f>
        <v/>
      </c>
      <c r="E330" s="359" t="str">
        <f>IF(A330="","",--(LOWER('20_Registro_Diario'!F330)="sí"))</f>
        <v/>
      </c>
      <c r="F330" s="359" t="str">
        <f>IF(A330="","",--(LOWER('20_Registro_Diario'!G330)="sí"))</f>
        <v/>
      </c>
      <c r="G330" s="366" t="str">
        <f>IF(A330="","",IFERROR('20_Registro_Diario'!I330,0))</f>
        <v/>
      </c>
      <c r="H330" s="368" t="str">
        <f t="shared" si="42"/>
        <v/>
      </c>
      <c r="I330" s="359" t="str">
        <f t="shared" si="43"/>
        <v/>
      </c>
      <c r="J330" s="359" t="str">
        <f t="shared" si="44"/>
        <v/>
      </c>
      <c r="K330" s="359" t="str">
        <f t="shared" si="45"/>
        <v/>
      </c>
      <c r="L330" s="359" t="str">
        <f t="shared" si="46"/>
        <v/>
      </c>
      <c r="M330" s="359" t="str">
        <f t="shared" si="47"/>
        <v/>
      </c>
      <c r="N330" s="149" t="str">
        <f t="shared" si="48"/>
        <v/>
      </c>
    </row>
    <row r="331" spans="1:14">
      <c r="A331" s="417" t="str">
        <f>IF(OR('20_Registro_Diario'!A331="",'20_Registro_Diario'!A331=0),"",'20_Registro_Diario'!A331)</f>
        <v/>
      </c>
      <c r="B331" s="359" t="str">
        <f>IF(A331="","",--(LOWER('20_Registro_Diario'!C331)="sí"))</f>
        <v/>
      </c>
      <c r="C331" s="359" t="str">
        <f>IF(A331="","",--(LOWER('20_Registro_Diario'!D331)="sí"))</f>
        <v/>
      </c>
      <c r="D331" s="359" t="str">
        <f>IF(A331="","",--(LOWER('20_Registro_Diario'!E331)="sí"))</f>
        <v/>
      </c>
      <c r="E331" s="359" t="str">
        <f>IF(A331="","",--(LOWER('20_Registro_Diario'!F331)="sí"))</f>
        <v/>
      </c>
      <c r="F331" s="359" t="str">
        <f>IF(A331="","",--(LOWER('20_Registro_Diario'!G331)="sí"))</f>
        <v/>
      </c>
      <c r="G331" s="366" t="str">
        <f>IF(A331="","",IFERROR('20_Registro_Diario'!I331,0))</f>
        <v/>
      </c>
      <c r="H331" s="368" t="str">
        <f t="shared" si="42"/>
        <v/>
      </c>
      <c r="I331" s="359" t="str">
        <f t="shared" si="43"/>
        <v/>
      </c>
      <c r="J331" s="359" t="str">
        <f t="shared" si="44"/>
        <v/>
      </c>
      <c r="K331" s="359" t="str">
        <f t="shared" si="45"/>
        <v/>
      </c>
      <c r="L331" s="359" t="str">
        <f t="shared" si="46"/>
        <v/>
      </c>
      <c r="M331" s="359" t="str">
        <f t="shared" si="47"/>
        <v/>
      </c>
      <c r="N331" s="149" t="str">
        <f t="shared" si="48"/>
        <v/>
      </c>
    </row>
    <row r="332" spans="1:14">
      <c r="A332" s="417" t="str">
        <f>IF(OR('20_Registro_Diario'!A332="",'20_Registro_Diario'!A332=0),"",'20_Registro_Diario'!A332)</f>
        <v/>
      </c>
      <c r="B332" s="359" t="str">
        <f>IF(A332="","",--(LOWER('20_Registro_Diario'!C332)="sí"))</f>
        <v/>
      </c>
      <c r="C332" s="359" t="str">
        <f>IF(A332="","",--(LOWER('20_Registro_Diario'!D332)="sí"))</f>
        <v/>
      </c>
      <c r="D332" s="359" t="str">
        <f>IF(A332="","",--(LOWER('20_Registro_Diario'!E332)="sí"))</f>
        <v/>
      </c>
      <c r="E332" s="359" t="str">
        <f>IF(A332="","",--(LOWER('20_Registro_Diario'!F332)="sí"))</f>
        <v/>
      </c>
      <c r="F332" s="359" t="str">
        <f>IF(A332="","",--(LOWER('20_Registro_Diario'!G332)="sí"))</f>
        <v/>
      </c>
      <c r="G332" s="366" t="str">
        <f>IF(A332="","",IFERROR('20_Registro_Diario'!I332,0))</f>
        <v/>
      </c>
      <c r="H332" s="368" t="str">
        <f t="shared" si="42"/>
        <v/>
      </c>
      <c r="I332" s="359" t="str">
        <f t="shared" si="43"/>
        <v/>
      </c>
      <c r="J332" s="359" t="str">
        <f t="shared" si="44"/>
        <v/>
      </c>
      <c r="K332" s="359" t="str">
        <f t="shared" si="45"/>
        <v/>
      </c>
      <c r="L332" s="359" t="str">
        <f t="shared" si="46"/>
        <v/>
      </c>
      <c r="M332" s="359" t="str">
        <f t="shared" si="47"/>
        <v/>
      </c>
      <c r="N332" s="149" t="str">
        <f t="shared" si="48"/>
        <v/>
      </c>
    </row>
    <row r="333" spans="1:14">
      <c r="A333" s="417" t="str">
        <f>IF(OR('20_Registro_Diario'!A333="",'20_Registro_Diario'!A333=0),"",'20_Registro_Diario'!A333)</f>
        <v/>
      </c>
      <c r="B333" s="359" t="str">
        <f>IF(A333="","",--(LOWER('20_Registro_Diario'!C333)="sí"))</f>
        <v/>
      </c>
      <c r="C333" s="359" t="str">
        <f>IF(A333="","",--(LOWER('20_Registro_Diario'!D333)="sí"))</f>
        <v/>
      </c>
      <c r="D333" s="359" t="str">
        <f>IF(A333="","",--(LOWER('20_Registro_Diario'!E333)="sí"))</f>
        <v/>
      </c>
      <c r="E333" s="359" t="str">
        <f>IF(A333="","",--(LOWER('20_Registro_Diario'!F333)="sí"))</f>
        <v/>
      </c>
      <c r="F333" s="359" t="str">
        <f>IF(A333="","",--(LOWER('20_Registro_Diario'!G333)="sí"))</f>
        <v/>
      </c>
      <c r="G333" s="366" t="str">
        <f>IF(A333="","",IFERROR('20_Registro_Diario'!I333,0))</f>
        <v/>
      </c>
      <c r="H333" s="368" t="str">
        <f t="shared" si="42"/>
        <v/>
      </c>
      <c r="I333" s="359" t="str">
        <f t="shared" si="43"/>
        <v/>
      </c>
      <c r="J333" s="359" t="str">
        <f t="shared" si="44"/>
        <v/>
      </c>
      <c r="K333" s="359" t="str">
        <f t="shared" si="45"/>
        <v/>
      </c>
      <c r="L333" s="359" t="str">
        <f t="shared" si="46"/>
        <v/>
      </c>
      <c r="M333" s="359" t="str">
        <f t="shared" si="47"/>
        <v/>
      </c>
      <c r="N333" s="149" t="str">
        <f t="shared" si="48"/>
        <v/>
      </c>
    </row>
    <row r="334" spans="1:14">
      <c r="A334" s="417" t="str">
        <f>IF(OR('20_Registro_Diario'!A334="",'20_Registro_Diario'!A334=0),"",'20_Registro_Diario'!A334)</f>
        <v/>
      </c>
      <c r="B334" s="359" t="str">
        <f>IF(A334="","",--(LOWER('20_Registro_Diario'!C334)="sí"))</f>
        <v/>
      </c>
      <c r="C334" s="359" t="str">
        <f>IF(A334="","",--(LOWER('20_Registro_Diario'!D334)="sí"))</f>
        <v/>
      </c>
      <c r="D334" s="359" t="str">
        <f>IF(A334="","",--(LOWER('20_Registro_Diario'!E334)="sí"))</f>
        <v/>
      </c>
      <c r="E334" s="359" t="str">
        <f>IF(A334="","",--(LOWER('20_Registro_Diario'!F334)="sí"))</f>
        <v/>
      </c>
      <c r="F334" s="359" t="str">
        <f>IF(A334="","",--(LOWER('20_Registro_Diario'!G334)="sí"))</f>
        <v/>
      </c>
      <c r="G334" s="366" t="str">
        <f>IF(A334="","",IFERROR('20_Registro_Diario'!I334,0))</f>
        <v/>
      </c>
      <c r="H334" s="368" t="str">
        <f t="shared" si="42"/>
        <v/>
      </c>
      <c r="I334" s="359" t="str">
        <f t="shared" si="43"/>
        <v/>
      </c>
      <c r="J334" s="359" t="str">
        <f t="shared" si="44"/>
        <v/>
      </c>
      <c r="K334" s="359" t="str">
        <f t="shared" si="45"/>
        <v/>
      </c>
      <c r="L334" s="359" t="str">
        <f t="shared" si="46"/>
        <v/>
      </c>
      <c r="M334" s="359" t="str">
        <f t="shared" si="47"/>
        <v/>
      </c>
      <c r="N334" s="149" t="str">
        <f t="shared" si="48"/>
        <v/>
      </c>
    </row>
    <row r="335" spans="1:14">
      <c r="A335" s="417" t="str">
        <f>IF(OR('20_Registro_Diario'!A335="",'20_Registro_Diario'!A335=0),"",'20_Registro_Diario'!A335)</f>
        <v/>
      </c>
      <c r="B335" s="359" t="str">
        <f>IF(A335="","",--(LOWER('20_Registro_Diario'!C335)="sí"))</f>
        <v/>
      </c>
      <c r="C335" s="359" t="str">
        <f>IF(A335="","",--(LOWER('20_Registro_Diario'!D335)="sí"))</f>
        <v/>
      </c>
      <c r="D335" s="359" t="str">
        <f>IF(A335="","",--(LOWER('20_Registro_Diario'!E335)="sí"))</f>
        <v/>
      </c>
      <c r="E335" s="359" t="str">
        <f>IF(A335="","",--(LOWER('20_Registro_Diario'!F335)="sí"))</f>
        <v/>
      </c>
      <c r="F335" s="359" t="str">
        <f>IF(A335="","",--(LOWER('20_Registro_Diario'!G335)="sí"))</f>
        <v/>
      </c>
      <c r="G335" s="366" t="str">
        <f>IF(A335="","",IFERROR('20_Registro_Diario'!I335,0))</f>
        <v/>
      </c>
      <c r="H335" s="368" t="str">
        <f t="shared" si="42"/>
        <v/>
      </c>
      <c r="I335" s="359" t="str">
        <f t="shared" si="43"/>
        <v/>
      </c>
      <c r="J335" s="359" t="str">
        <f t="shared" si="44"/>
        <v/>
      </c>
      <c r="K335" s="359" t="str">
        <f t="shared" si="45"/>
        <v/>
      </c>
      <c r="L335" s="359" t="str">
        <f t="shared" si="46"/>
        <v/>
      </c>
      <c r="M335" s="359" t="str">
        <f t="shared" si="47"/>
        <v/>
      </c>
      <c r="N335" s="149" t="str">
        <f t="shared" si="48"/>
        <v/>
      </c>
    </row>
    <row r="336" spans="1:14">
      <c r="A336" s="417" t="str">
        <f>IF(OR('20_Registro_Diario'!A336="",'20_Registro_Diario'!A336=0),"",'20_Registro_Diario'!A336)</f>
        <v/>
      </c>
      <c r="B336" s="359" t="str">
        <f>IF(A336="","",--(LOWER('20_Registro_Diario'!C336)="sí"))</f>
        <v/>
      </c>
      <c r="C336" s="359" t="str">
        <f>IF(A336="","",--(LOWER('20_Registro_Diario'!D336)="sí"))</f>
        <v/>
      </c>
      <c r="D336" s="359" t="str">
        <f>IF(A336="","",--(LOWER('20_Registro_Diario'!E336)="sí"))</f>
        <v/>
      </c>
      <c r="E336" s="359" t="str">
        <f>IF(A336="","",--(LOWER('20_Registro_Diario'!F336)="sí"))</f>
        <v/>
      </c>
      <c r="F336" s="359" t="str">
        <f>IF(A336="","",--(LOWER('20_Registro_Diario'!G336)="sí"))</f>
        <v/>
      </c>
      <c r="G336" s="366" t="str">
        <f>IF(A336="","",IFERROR('20_Registro_Diario'!I336,0))</f>
        <v/>
      </c>
      <c r="H336" s="368" t="str">
        <f t="shared" si="42"/>
        <v/>
      </c>
      <c r="I336" s="359" t="str">
        <f t="shared" si="43"/>
        <v/>
      </c>
      <c r="J336" s="359" t="str">
        <f t="shared" si="44"/>
        <v/>
      </c>
      <c r="K336" s="359" t="str">
        <f t="shared" si="45"/>
        <v/>
      </c>
      <c r="L336" s="359" t="str">
        <f t="shared" si="46"/>
        <v/>
      </c>
      <c r="M336" s="359" t="str">
        <f t="shared" si="47"/>
        <v/>
      </c>
      <c r="N336" s="149" t="str">
        <f t="shared" si="48"/>
        <v/>
      </c>
    </row>
    <row r="337" spans="1:14">
      <c r="A337" s="417" t="str">
        <f>IF(OR('20_Registro_Diario'!A337="",'20_Registro_Diario'!A337=0),"",'20_Registro_Diario'!A337)</f>
        <v/>
      </c>
      <c r="B337" s="359" t="str">
        <f>IF(A337="","",--(LOWER('20_Registro_Diario'!C337)="sí"))</f>
        <v/>
      </c>
      <c r="C337" s="359" t="str">
        <f>IF(A337="","",--(LOWER('20_Registro_Diario'!D337)="sí"))</f>
        <v/>
      </c>
      <c r="D337" s="359" t="str">
        <f>IF(A337="","",--(LOWER('20_Registro_Diario'!E337)="sí"))</f>
        <v/>
      </c>
      <c r="E337" s="359" t="str">
        <f>IF(A337="","",--(LOWER('20_Registro_Diario'!F337)="sí"))</f>
        <v/>
      </c>
      <c r="F337" s="359" t="str">
        <f>IF(A337="","",--(LOWER('20_Registro_Diario'!G337)="sí"))</f>
        <v/>
      </c>
      <c r="G337" s="366" t="str">
        <f>IF(A337="","",IFERROR('20_Registro_Diario'!I337,0))</f>
        <v/>
      </c>
      <c r="H337" s="368" t="str">
        <f t="shared" si="42"/>
        <v/>
      </c>
      <c r="I337" s="359" t="str">
        <f t="shared" si="43"/>
        <v/>
      </c>
      <c r="J337" s="359" t="str">
        <f t="shared" si="44"/>
        <v/>
      </c>
      <c r="K337" s="359" t="str">
        <f t="shared" si="45"/>
        <v/>
      </c>
      <c r="L337" s="359" t="str">
        <f t="shared" si="46"/>
        <v/>
      </c>
      <c r="M337" s="359" t="str">
        <f t="shared" si="47"/>
        <v/>
      </c>
      <c r="N337" s="149" t="str">
        <f t="shared" si="48"/>
        <v/>
      </c>
    </row>
    <row r="338" spans="1:14">
      <c r="A338" s="417" t="str">
        <f>IF(OR('20_Registro_Diario'!A338="",'20_Registro_Diario'!A338=0),"",'20_Registro_Diario'!A338)</f>
        <v/>
      </c>
      <c r="B338" s="359" t="str">
        <f>IF(A338="","",--(LOWER('20_Registro_Diario'!C338)="sí"))</f>
        <v/>
      </c>
      <c r="C338" s="359" t="str">
        <f>IF(A338="","",--(LOWER('20_Registro_Diario'!D338)="sí"))</f>
        <v/>
      </c>
      <c r="D338" s="359" t="str">
        <f>IF(A338="","",--(LOWER('20_Registro_Diario'!E338)="sí"))</f>
        <v/>
      </c>
      <c r="E338" s="359" t="str">
        <f>IF(A338="","",--(LOWER('20_Registro_Diario'!F338)="sí"))</f>
        <v/>
      </c>
      <c r="F338" s="359" t="str">
        <f>IF(A338="","",--(LOWER('20_Registro_Diario'!G338)="sí"))</f>
        <v/>
      </c>
      <c r="G338" s="366" t="str">
        <f>IF(A338="","",IFERROR('20_Registro_Diario'!I338,0))</f>
        <v/>
      </c>
      <c r="H338" s="368" t="str">
        <f t="shared" si="42"/>
        <v/>
      </c>
      <c r="I338" s="359" t="str">
        <f t="shared" si="43"/>
        <v/>
      </c>
      <c r="J338" s="359" t="str">
        <f t="shared" si="44"/>
        <v/>
      </c>
      <c r="K338" s="359" t="str">
        <f t="shared" si="45"/>
        <v/>
      </c>
      <c r="L338" s="359" t="str">
        <f t="shared" si="46"/>
        <v/>
      </c>
      <c r="M338" s="359" t="str">
        <f t="shared" si="47"/>
        <v/>
      </c>
      <c r="N338" s="149" t="str">
        <f t="shared" si="48"/>
        <v/>
      </c>
    </row>
    <row r="339" spans="1:14">
      <c r="A339" s="417" t="str">
        <f>IF(OR('20_Registro_Diario'!A339="",'20_Registro_Diario'!A339=0),"",'20_Registro_Diario'!A339)</f>
        <v/>
      </c>
      <c r="B339" s="359" t="str">
        <f>IF(A339="","",--(LOWER('20_Registro_Diario'!C339)="sí"))</f>
        <v/>
      </c>
      <c r="C339" s="359" t="str">
        <f>IF(A339="","",--(LOWER('20_Registro_Diario'!D339)="sí"))</f>
        <v/>
      </c>
      <c r="D339" s="359" t="str">
        <f>IF(A339="","",--(LOWER('20_Registro_Diario'!E339)="sí"))</f>
        <v/>
      </c>
      <c r="E339" s="359" t="str">
        <f>IF(A339="","",--(LOWER('20_Registro_Diario'!F339)="sí"))</f>
        <v/>
      </c>
      <c r="F339" s="359" t="str">
        <f>IF(A339="","",--(LOWER('20_Registro_Diario'!G339)="sí"))</f>
        <v/>
      </c>
      <c r="G339" s="366" t="str">
        <f>IF(A339="","",IFERROR('20_Registro_Diario'!I339,0))</f>
        <v/>
      </c>
      <c r="H339" s="368" t="str">
        <f t="shared" si="42"/>
        <v/>
      </c>
      <c r="I339" s="359" t="str">
        <f t="shared" si="43"/>
        <v/>
      </c>
      <c r="J339" s="359" t="str">
        <f t="shared" si="44"/>
        <v/>
      </c>
      <c r="K339" s="359" t="str">
        <f t="shared" si="45"/>
        <v/>
      </c>
      <c r="L339" s="359" t="str">
        <f t="shared" si="46"/>
        <v/>
      </c>
      <c r="M339" s="359" t="str">
        <f t="shared" si="47"/>
        <v/>
      </c>
      <c r="N339" s="149" t="str">
        <f t="shared" si="48"/>
        <v/>
      </c>
    </row>
    <row r="340" spans="1:14">
      <c r="A340" s="417" t="str">
        <f>IF(OR('20_Registro_Diario'!A340="",'20_Registro_Diario'!A340=0),"",'20_Registro_Diario'!A340)</f>
        <v/>
      </c>
      <c r="B340" s="359" t="str">
        <f>IF(A340="","",--(LOWER('20_Registro_Diario'!C340)="sí"))</f>
        <v/>
      </c>
      <c r="C340" s="359" t="str">
        <f>IF(A340="","",--(LOWER('20_Registro_Diario'!D340)="sí"))</f>
        <v/>
      </c>
      <c r="D340" s="359" t="str">
        <f>IF(A340="","",--(LOWER('20_Registro_Diario'!E340)="sí"))</f>
        <v/>
      </c>
      <c r="E340" s="359" t="str">
        <f>IF(A340="","",--(LOWER('20_Registro_Diario'!F340)="sí"))</f>
        <v/>
      </c>
      <c r="F340" s="359" t="str">
        <f>IF(A340="","",--(LOWER('20_Registro_Diario'!G340)="sí"))</f>
        <v/>
      </c>
      <c r="G340" s="366" t="str">
        <f>IF(A340="","",IFERROR('20_Registro_Diario'!I340,0))</f>
        <v/>
      </c>
      <c r="H340" s="368" t="str">
        <f t="shared" si="42"/>
        <v/>
      </c>
      <c r="I340" s="359" t="str">
        <f t="shared" si="43"/>
        <v/>
      </c>
      <c r="J340" s="359" t="str">
        <f t="shared" si="44"/>
        <v/>
      </c>
      <c r="K340" s="359" t="str">
        <f t="shared" si="45"/>
        <v/>
      </c>
      <c r="L340" s="359" t="str">
        <f t="shared" si="46"/>
        <v/>
      </c>
      <c r="M340" s="359" t="str">
        <f t="shared" si="47"/>
        <v/>
      </c>
      <c r="N340" s="149" t="str">
        <f t="shared" si="48"/>
        <v/>
      </c>
    </row>
    <row r="341" spans="1:14">
      <c r="A341" s="417" t="str">
        <f>IF(OR('20_Registro_Diario'!A341="",'20_Registro_Diario'!A341=0),"",'20_Registro_Diario'!A341)</f>
        <v/>
      </c>
      <c r="B341" s="359" t="str">
        <f>IF(A341="","",--(LOWER('20_Registro_Diario'!C341)="sí"))</f>
        <v/>
      </c>
      <c r="C341" s="359" t="str">
        <f>IF(A341="","",--(LOWER('20_Registro_Diario'!D341)="sí"))</f>
        <v/>
      </c>
      <c r="D341" s="359" t="str">
        <f>IF(A341="","",--(LOWER('20_Registro_Diario'!E341)="sí"))</f>
        <v/>
      </c>
      <c r="E341" s="359" t="str">
        <f>IF(A341="","",--(LOWER('20_Registro_Diario'!F341)="sí"))</f>
        <v/>
      </c>
      <c r="F341" s="359" t="str">
        <f>IF(A341="","",--(LOWER('20_Registro_Diario'!G341)="sí"))</f>
        <v/>
      </c>
      <c r="G341" s="366" t="str">
        <f>IF(A341="","",IFERROR('20_Registro_Diario'!I341,0))</f>
        <v/>
      </c>
      <c r="H341" s="368" t="str">
        <f t="shared" si="42"/>
        <v/>
      </c>
      <c r="I341" s="359" t="str">
        <f t="shared" si="43"/>
        <v/>
      </c>
      <c r="J341" s="359" t="str">
        <f t="shared" si="44"/>
        <v/>
      </c>
      <c r="K341" s="359" t="str">
        <f t="shared" si="45"/>
        <v/>
      </c>
      <c r="L341" s="359" t="str">
        <f t="shared" si="46"/>
        <v/>
      </c>
      <c r="M341" s="359" t="str">
        <f t="shared" si="47"/>
        <v/>
      </c>
      <c r="N341" s="149" t="str">
        <f t="shared" si="48"/>
        <v/>
      </c>
    </row>
    <row r="342" spans="1:14">
      <c r="A342" s="417" t="str">
        <f>IF(OR('20_Registro_Diario'!A342="",'20_Registro_Diario'!A342=0),"",'20_Registro_Diario'!A342)</f>
        <v/>
      </c>
      <c r="B342" s="359" t="str">
        <f>IF(A342="","",--(LOWER('20_Registro_Diario'!C342)="sí"))</f>
        <v/>
      </c>
      <c r="C342" s="359" t="str">
        <f>IF(A342="","",--(LOWER('20_Registro_Diario'!D342)="sí"))</f>
        <v/>
      </c>
      <c r="D342" s="359" t="str">
        <f>IF(A342="","",--(LOWER('20_Registro_Diario'!E342)="sí"))</f>
        <v/>
      </c>
      <c r="E342" s="359" t="str">
        <f>IF(A342="","",--(LOWER('20_Registro_Diario'!F342)="sí"))</f>
        <v/>
      </c>
      <c r="F342" s="359" t="str">
        <f>IF(A342="","",--(LOWER('20_Registro_Diario'!G342)="sí"))</f>
        <v/>
      </c>
      <c r="G342" s="366" t="str">
        <f>IF(A342="","",IFERROR('20_Registro_Diario'!I342,0))</f>
        <v/>
      </c>
      <c r="H342" s="368" t="str">
        <f t="shared" si="42"/>
        <v/>
      </c>
      <c r="I342" s="359" t="str">
        <f t="shared" si="43"/>
        <v/>
      </c>
      <c r="J342" s="359" t="str">
        <f t="shared" si="44"/>
        <v/>
      </c>
      <c r="K342" s="359" t="str">
        <f t="shared" si="45"/>
        <v/>
      </c>
      <c r="L342" s="359" t="str">
        <f t="shared" si="46"/>
        <v/>
      </c>
      <c r="M342" s="359" t="str">
        <f t="shared" si="47"/>
        <v/>
      </c>
      <c r="N342" s="149" t="str">
        <f t="shared" si="48"/>
        <v/>
      </c>
    </row>
    <row r="343" spans="1:14">
      <c r="A343" s="417" t="str">
        <f>IF(OR('20_Registro_Diario'!A343="",'20_Registro_Diario'!A343=0),"",'20_Registro_Diario'!A343)</f>
        <v/>
      </c>
      <c r="B343" s="359" t="str">
        <f>IF(A343="","",--(LOWER('20_Registro_Diario'!C343)="sí"))</f>
        <v/>
      </c>
      <c r="C343" s="359" t="str">
        <f>IF(A343="","",--(LOWER('20_Registro_Diario'!D343)="sí"))</f>
        <v/>
      </c>
      <c r="D343" s="359" t="str">
        <f>IF(A343="","",--(LOWER('20_Registro_Diario'!E343)="sí"))</f>
        <v/>
      </c>
      <c r="E343" s="359" t="str">
        <f>IF(A343="","",--(LOWER('20_Registro_Diario'!F343)="sí"))</f>
        <v/>
      </c>
      <c r="F343" s="359" t="str">
        <f>IF(A343="","",--(LOWER('20_Registro_Diario'!G343)="sí"))</f>
        <v/>
      </c>
      <c r="G343" s="366" t="str">
        <f>IF(A343="","",IFERROR('20_Registro_Diario'!I343,0))</f>
        <v/>
      </c>
      <c r="H343" s="368" t="str">
        <f t="shared" si="42"/>
        <v/>
      </c>
      <c r="I343" s="359" t="str">
        <f t="shared" si="43"/>
        <v/>
      </c>
      <c r="J343" s="359" t="str">
        <f t="shared" si="44"/>
        <v/>
      </c>
      <c r="K343" s="359" t="str">
        <f t="shared" si="45"/>
        <v/>
      </c>
      <c r="L343" s="359" t="str">
        <f t="shared" si="46"/>
        <v/>
      </c>
      <c r="M343" s="359" t="str">
        <f t="shared" si="47"/>
        <v/>
      </c>
      <c r="N343" s="149" t="str">
        <f t="shared" si="48"/>
        <v/>
      </c>
    </row>
    <row r="344" spans="1:14">
      <c r="A344" s="417" t="str">
        <f>IF(OR('20_Registro_Diario'!A344="",'20_Registro_Diario'!A344=0),"",'20_Registro_Diario'!A344)</f>
        <v/>
      </c>
      <c r="B344" s="359" t="str">
        <f>IF(A344="","",--(LOWER('20_Registro_Diario'!C344)="sí"))</f>
        <v/>
      </c>
      <c r="C344" s="359" t="str">
        <f>IF(A344="","",--(LOWER('20_Registro_Diario'!D344)="sí"))</f>
        <v/>
      </c>
      <c r="D344" s="359" t="str">
        <f>IF(A344="","",--(LOWER('20_Registro_Diario'!E344)="sí"))</f>
        <v/>
      </c>
      <c r="E344" s="359" t="str">
        <f>IF(A344="","",--(LOWER('20_Registro_Diario'!F344)="sí"))</f>
        <v/>
      </c>
      <c r="F344" s="359" t="str">
        <f>IF(A344="","",--(LOWER('20_Registro_Diario'!G344)="sí"))</f>
        <v/>
      </c>
      <c r="G344" s="366" t="str">
        <f>IF(A344="","",IFERROR('20_Registro_Diario'!I344,0))</f>
        <v/>
      </c>
      <c r="H344" s="368" t="str">
        <f t="shared" si="42"/>
        <v/>
      </c>
      <c r="I344" s="359" t="str">
        <f t="shared" si="43"/>
        <v/>
      </c>
      <c r="J344" s="359" t="str">
        <f t="shared" si="44"/>
        <v/>
      </c>
      <c r="K344" s="359" t="str">
        <f t="shared" si="45"/>
        <v/>
      </c>
      <c r="L344" s="359" t="str">
        <f t="shared" si="46"/>
        <v/>
      </c>
      <c r="M344" s="359" t="str">
        <f t="shared" si="47"/>
        <v/>
      </c>
      <c r="N344" s="149" t="str">
        <f t="shared" si="48"/>
        <v/>
      </c>
    </row>
    <row r="345" spans="1:14">
      <c r="A345" s="417" t="str">
        <f>IF(OR('20_Registro_Diario'!A345="",'20_Registro_Diario'!A345=0),"",'20_Registro_Diario'!A345)</f>
        <v/>
      </c>
      <c r="B345" s="359" t="str">
        <f>IF(A345="","",--(LOWER('20_Registro_Diario'!C345)="sí"))</f>
        <v/>
      </c>
      <c r="C345" s="359" t="str">
        <f>IF(A345="","",--(LOWER('20_Registro_Diario'!D345)="sí"))</f>
        <v/>
      </c>
      <c r="D345" s="359" t="str">
        <f>IF(A345="","",--(LOWER('20_Registro_Diario'!E345)="sí"))</f>
        <v/>
      </c>
      <c r="E345" s="359" t="str">
        <f>IF(A345="","",--(LOWER('20_Registro_Diario'!F345)="sí"))</f>
        <v/>
      </c>
      <c r="F345" s="359" t="str">
        <f>IF(A345="","",--(LOWER('20_Registro_Diario'!G345)="sí"))</f>
        <v/>
      </c>
      <c r="G345" s="366" t="str">
        <f>IF(A345="","",IFERROR('20_Registro_Diario'!I345,0))</f>
        <v/>
      </c>
      <c r="H345" s="368" t="str">
        <f t="shared" si="42"/>
        <v/>
      </c>
      <c r="I345" s="359" t="str">
        <f t="shared" si="43"/>
        <v/>
      </c>
      <c r="J345" s="359" t="str">
        <f t="shared" si="44"/>
        <v/>
      </c>
      <c r="K345" s="359" t="str">
        <f t="shared" si="45"/>
        <v/>
      </c>
      <c r="L345" s="359" t="str">
        <f t="shared" si="46"/>
        <v/>
      </c>
      <c r="M345" s="359" t="str">
        <f t="shared" si="47"/>
        <v/>
      </c>
      <c r="N345" s="149" t="str">
        <f t="shared" si="48"/>
        <v/>
      </c>
    </row>
    <row r="346" spans="1:14">
      <c r="A346" s="417" t="str">
        <f>IF(OR('20_Registro_Diario'!A346="",'20_Registro_Diario'!A346=0),"",'20_Registro_Diario'!A346)</f>
        <v/>
      </c>
      <c r="B346" s="359" t="str">
        <f>IF(A346="","",--(LOWER('20_Registro_Diario'!C346)="sí"))</f>
        <v/>
      </c>
      <c r="C346" s="359" t="str">
        <f>IF(A346="","",--(LOWER('20_Registro_Diario'!D346)="sí"))</f>
        <v/>
      </c>
      <c r="D346" s="359" t="str">
        <f>IF(A346="","",--(LOWER('20_Registro_Diario'!E346)="sí"))</f>
        <v/>
      </c>
      <c r="E346" s="359" t="str">
        <f>IF(A346="","",--(LOWER('20_Registro_Diario'!F346)="sí"))</f>
        <v/>
      </c>
      <c r="F346" s="359" t="str">
        <f>IF(A346="","",--(LOWER('20_Registro_Diario'!G346)="sí"))</f>
        <v/>
      </c>
      <c r="G346" s="366" t="str">
        <f>IF(A346="","",IFERROR('20_Registro_Diario'!I346,0))</f>
        <v/>
      </c>
      <c r="H346" s="368" t="str">
        <f t="shared" si="42"/>
        <v/>
      </c>
      <c r="I346" s="359" t="str">
        <f t="shared" si="43"/>
        <v/>
      </c>
      <c r="J346" s="359" t="str">
        <f t="shared" si="44"/>
        <v/>
      </c>
      <c r="K346" s="359" t="str">
        <f t="shared" si="45"/>
        <v/>
      </c>
      <c r="L346" s="359" t="str">
        <f t="shared" si="46"/>
        <v/>
      </c>
      <c r="M346" s="359" t="str">
        <f t="shared" si="47"/>
        <v/>
      </c>
      <c r="N346" s="149" t="str">
        <f t="shared" si="48"/>
        <v/>
      </c>
    </row>
    <row r="347" spans="1:14">
      <c r="A347" s="417" t="str">
        <f>IF(OR('20_Registro_Diario'!A347="",'20_Registro_Diario'!A347=0),"",'20_Registro_Diario'!A347)</f>
        <v/>
      </c>
      <c r="B347" s="359" t="str">
        <f>IF(A347="","",--(LOWER('20_Registro_Diario'!C347)="sí"))</f>
        <v/>
      </c>
      <c r="C347" s="359" t="str">
        <f>IF(A347="","",--(LOWER('20_Registro_Diario'!D347)="sí"))</f>
        <v/>
      </c>
      <c r="D347" s="359" t="str">
        <f>IF(A347="","",--(LOWER('20_Registro_Diario'!E347)="sí"))</f>
        <v/>
      </c>
      <c r="E347" s="359" t="str">
        <f>IF(A347="","",--(LOWER('20_Registro_Diario'!F347)="sí"))</f>
        <v/>
      </c>
      <c r="F347" s="359" t="str">
        <f>IF(A347="","",--(LOWER('20_Registro_Diario'!G347)="sí"))</f>
        <v/>
      </c>
      <c r="G347" s="366" t="str">
        <f>IF(A347="","",IFERROR('20_Registro_Diario'!I347,0))</f>
        <v/>
      </c>
      <c r="H347" s="368" t="str">
        <f t="shared" si="42"/>
        <v/>
      </c>
      <c r="I347" s="359" t="str">
        <f t="shared" si="43"/>
        <v/>
      </c>
      <c r="J347" s="359" t="str">
        <f t="shared" si="44"/>
        <v/>
      </c>
      <c r="K347" s="359" t="str">
        <f t="shared" si="45"/>
        <v/>
      </c>
      <c r="L347" s="359" t="str">
        <f t="shared" si="46"/>
        <v/>
      </c>
      <c r="M347" s="359" t="str">
        <f t="shared" si="47"/>
        <v/>
      </c>
      <c r="N347" s="149" t="str">
        <f t="shared" si="48"/>
        <v/>
      </c>
    </row>
    <row r="348" spans="1:14">
      <c r="A348" s="417" t="str">
        <f>IF(OR('20_Registro_Diario'!A348="",'20_Registro_Diario'!A348=0),"",'20_Registro_Diario'!A348)</f>
        <v/>
      </c>
      <c r="B348" s="359" t="str">
        <f>IF(A348="","",--(LOWER('20_Registro_Diario'!C348)="sí"))</f>
        <v/>
      </c>
      <c r="C348" s="359" t="str">
        <f>IF(A348="","",--(LOWER('20_Registro_Diario'!D348)="sí"))</f>
        <v/>
      </c>
      <c r="D348" s="359" t="str">
        <f>IF(A348="","",--(LOWER('20_Registro_Diario'!E348)="sí"))</f>
        <v/>
      </c>
      <c r="E348" s="359" t="str">
        <f>IF(A348="","",--(LOWER('20_Registro_Diario'!F348)="sí"))</f>
        <v/>
      </c>
      <c r="F348" s="359" t="str">
        <f>IF(A348="","",--(LOWER('20_Registro_Diario'!G348)="sí"))</f>
        <v/>
      </c>
      <c r="G348" s="366" t="str">
        <f>IF(A348="","",IFERROR('20_Registro_Diario'!I348,0))</f>
        <v/>
      </c>
      <c r="H348" s="368" t="str">
        <f t="shared" si="42"/>
        <v/>
      </c>
      <c r="I348" s="359" t="str">
        <f t="shared" si="43"/>
        <v/>
      </c>
      <c r="J348" s="359" t="str">
        <f t="shared" si="44"/>
        <v/>
      </c>
      <c r="K348" s="359" t="str">
        <f t="shared" si="45"/>
        <v/>
      </c>
      <c r="L348" s="359" t="str">
        <f t="shared" si="46"/>
        <v/>
      </c>
      <c r="M348" s="359" t="str">
        <f t="shared" si="47"/>
        <v/>
      </c>
      <c r="N348" s="149" t="str">
        <f t="shared" si="48"/>
        <v/>
      </c>
    </row>
    <row r="349" spans="1:14">
      <c r="A349" s="417" t="str">
        <f>IF(OR('20_Registro_Diario'!A349="",'20_Registro_Diario'!A349=0),"",'20_Registro_Diario'!A349)</f>
        <v/>
      </c>
      <c r="B349" s="359" t="str">
        <f>IF(A349="","",--(LOWER('20_Registro_Diario'!C349)="sí"))</f>
        <v/>
      </c>
      <c r="C349" s="359" t="str">
        <f>IF(A349="","",--(LOWER('20_Registro_Diario'!D349)="sí"))</f>
        <v/>
      </c>
      <c r="D349" s="359" t="str">
        <f>IF(A349="","",--(LOWER('20_Registro_Diario'!E349)="sí"))</f>
        <v/>
      </c>
      <c r="E349" s="359" t="str">
        <f>IF(A349="","",--(LOWER('20_Registro_Diario'!F349)="sí"))</f>
        <v/>
      </c>
      <c r="F349" s="359" t="str">
        <f>IF(A349="","",--(LOWER('20_Registro_Diario'!G349)="sí"))</f>
        <v/>
      </c>
      <c r="G349" s="366" t="str">
        <f>IF(A349="","",IFERROR('20_Registro_Diario'!I349,0))</f>
        <v/>
      </c>
      <c r="H349" s="368" t="str">
        <f t="shared" si="42"/>
        <v/>
      </c>
      <c r="I349" s="359" t="str">
        <f t="shared" si="43"/>
        <v/>
      </c>
      <c r="J349" s="359" t="str">
        <f t="shared" si="44"/>
        <v/>
      </c>
      <c r="K349" s="359" t="str">
        <f t="shared" si="45"/>
        <v/>
      </c>
      <c r="L349" s="359" t="str">
        <f t="shared" si="46"/>
        <v/>
      </c>
      <c r="M349" s="359" t="str">
        <f t="shared" si="47"/>
        <v/>
      </c>
      <c r="N349" s="149" t="str">
        <f t="shared" si="48"/>
        <v/>
      </c>
    </row>
    <row r="350" spans="1:14">
      <c r="A350" s="417" t="str">
        <f>IF(OR('20_Registro_Diario'!A350="",'20_Registro_Diario'!A350=0),"",'20_Registro_Diario'!A350)</f>
        <v/>
      </c>
      <c r="B350" s="359" t="str">
        <f>IF(A350="","",--(LOWER('20_Registro_Diario'!C350)="sí"))</f>
        <v/>
      </c>
      <c r="C350" s="359" t="str">
        <f>IF(A350="","",--(LOWER('20_Registro_Diario'!D350)="sí"))</f>
        <v/>
      </c>
      <c r="D350" s="359" t="str">
        <f>IF(A350="","",--(LOWER('20_Registro_Diario'!E350)="sí"))</f>
        <v/>
      </c>
      <c r="E350" s="359" t="str">
        <f>IF(A350="","",--(LOWER('20_Registro_Diario'!F350)="sí"))</f>
        <v/>
      </c>
      <c r="F350" s="359" t="str">
        <f>IF(A350="","",--(LOWER('20_Registro_Diario'!G350)="sí"))</f>
        <v/>
      </c>
      <c r="G350" s="366" t="str">
        <f>IF(A350="","",IFERROR('20_Registro_Diario'!I350,0))</f>
        <v/>
      </c>
      <c r="H350" s="368" t="str">
        <f t="shared" si="42"/>
        <v/>
      </c>
      <c r="I350" s="359" t="str">
        <f t="shared" si="43"/>
        <v/>
      </c>
      <c r="J350" s="359" t="str">
        <f t="shared" si="44"/>
        <v/>
      </c>
      <c r="K350" s="359" t="str">
        <f t="shared" si="45"/>
        <v/>
      </c>
      <c r="L350" s="359" t="str">
        <f t="shared" si="46"/>
        <v/>
      </c>
      <c r="M350" s="359" t="str">
        <f t="shared" si="47"/>
        <v/>
      </c>
      <c r="N350" s="149" t="str">
        <f t="shared" si="48"/>
        <v/>
      </c>
    </row>
    <row r="351" spans="1:14">
      <c r="A351" s="417" t="str">
        <f>IF(OR('20_Registro_Diario'!A351="",'20_Registro_Diario'!A351=0),"",'20_Registro_Diario'!A351)</f>
        <v/>
      </c>
      <c r="B351" s="359" t="str">
        <f>IF(A351="","",--(LOWER('20_Registro_Diario'!C351)="sí"))</f>
        <v/>
      </c>
      <c r="C351" s="359" t="str">
        <f>IF(A351="","",--(LOWER('20_Registro_Diario'!D351)="sí"))</f>
        <v/>
      </c>
      <c r="D351" s="359" t="str">
        <f>IF(A351="","",--(LOWER('20_Registro_Diario'!E351)="sí"))</f>
        <v/>
      </c>
      <c r="E351" s="359" t="str">
        <f>IF(A351="","",--(LOWER('20_Registro_Diario'!F351)="sí"))</f>
        <v/>
      </c>
      <c r="F351" s="359" t="str">
        <f>IF(A351="","",--(LOWER('20_Registro_Diario'!G351)="sí"))</f>
        <v/>
      </c>
      <c r="G351" s="366" t="str">
        <f>IF(A351="","",IFERROR('20_Registro_Diario'!I351,0))</f>
        <v/>
      </c>
      <c r="H351" s="368" t="str">
        <f t="shared" si="42"/>
        <v/>
      </c>
      <c r="I351" s="359" t="str">
        <f t="shared" si="43"/>
        <v/>
      </c>
      <c r="J351" s="359" t="str">
        <f t="shared" si="44"/>
        <v/>
      </c>
      <c r="K351" s="359" t="str">
        <f t="shared" si="45"/>
        <v/>
      </c>
      <c r="L351" s="359" t="str">
        <f t="shared" si="46"/>
        <v/>
      </c>
      <c r="M351" s="359" t="str">
        <f t="shared" si="47"/>
        <v/>
      </c>
      <c r="N351" s="149" t="str">
        <f t="shared" si="48"/>
        <v/>
      </c>
    </row>
    <row r="352" spans="1:14">
      <c r="A352" s="417" t="str">
        <f>IF(OR('20_Registro_Diario'!A352="",'20_Registro_Diario'!A352=0),"",'20_Registro_Diario'!A352)</f>
        <v/>
      </c>
      <c r="B352" s="359" t="str">
        <f>IF(A352="","",--(LOWER('20_Registro_Diario'!C352)="sí"))</f>
        <v/>
      </c>
      <c r="C352" s="359" t="str">
        <f>IF(A352="","",--(LOWER('20_Registro_Diario'!D352)="sí"))</f>
        <v/>
      </c>
      <c r="D352" s="359" t="str">
        <f>IF(A352="","",--(LOWER('20_Registro_Diario'!E352)="sí"))</f>
        <v/>
      </c>
      <c r="E352" s="359" t="str">
        <f>IF(A352="","",--(LOWER('20_Registro_Diario'!F352)="sí"))</f>
        <v/>
      </c>
      <c r="F352" s="359" t="str">
        <f>IF(A352="","",--(LOWER('20_Registro_Diario'!G352)="sí"))</f>
        <v/>
      </c>
      <c r="G352" s="366" t="str">
        <f>IF(A352="","",IFERROR('20_Registro_Diario'!I352,0))</f>
        <v/>
      </c>
      <c r="H352" s="368" t="str">
        <f t="shared" si="42"/>
        <v/>
      </c>
      <c r="I352" s="359" t="str">
        <f t="shared" si="43"/>
        <v/>
      </c>
      <c r="J352" s="359" t="str">
        <f t="shared" si="44"/>
        <v/>
      </c>
      <c r="K352" s="359" t="str">
        <f t="shared" si="45"/>
        <v/>
      </c>
      <c r="L352" s="359" t="str">
        <f t="shared" si="46"/>
        <v/>
      </c>
      <c r="M352" s="359" t="str">
        <f t="shared" si="47"/>
        <v/>
      </c>
      <c r="N352" s="149" t="str">
        <f t="shared" si="48"/>
        <v/>
      </c>
    </row>
    <row r="353" spans="1:14">
      <c r="A353" s="417" t="str">
        <f>IF(OR('20_Registro_Diario'!A353="",'20_Registro_Diario'!A353=0),"",'20_Registro_Diario'!A353)</f>
        <v/>
      </c>
      <c r="B353" s="359" t="str">
        <f>IF(A353="","",--(LOWER('20_Registro_Diario'!C353)="sí"))</f>
        <v/>
      </c>
      <c r="C353" s="359" t="str">
        <f>IF(A353="","",--(LOWER('20_Registro_Diario'!D353)="sí"))</f>
        <v/>
      </c>
      <c r="D353" s="359" t="str">
        <f>IF(A353="","",--(LOWER('20_Registro_Diario'!E353)="sí"))</f>
        <v/>
      </c>
      <c r="E353" s="359" t="str">
        <f>IF(A353="","",--(LOWER('20_Registro_Diario'!F353)="sí"))</f>
        <v/>
      </c>
      <c r="F353" s="359" t="str">
        <f>IF(A353="","",--(LOWER('20_Registro_Diario'!G353)="sí"))</f>
        <v/>
      </c>
      <c r="G353" s="366" t="str">
        <f>IF(A353="","",IFERROR('20_Registro_Diario'!I353,0))</f>
        <v/>
      </c>
      <c r="H353" s="368" t="str">
        <f t="shared" si="42"/>
        <v/>
      </c>
      <c r="I353" s="359" t="str">
        <f t="shared" si="43"/>
        <v/>
      </c>
      <c r="J353" s="359" t="str">
        <f t="shared" si="44"/>
        <v/>
      </c>
      <c r="K353" s="359" t="str">
        <f t="shared" si="45"/>
        <v/>
      </c>
      <c r="L353" s="359" t="str">
        <f t="shared" si="46"/>
        <v/>
      </c>
      <c r="M353" s="359" t="str">
        <f t="shared" si="47"/>
        <v/>
      </c>
      <c r="N353" s="149" t="str">
        <f t="shared" si="48"/>
        <v/>
      </c>
    </row>
    <row r="354" spans="1:14">
      <c r="A354" s="417" t="str">
        <f>IF(OR('20_Registro_Diario'!A354="",'20_Registro_Diario'!A354=0),"",'20_Registro_Diario'!A354)</f>
        <v/>
      </c>
      <c r="B354" s="359" t="str">
        <f>IF(A354="","",--(LOWER('20_Registro_Diario'!C354)="sí"))</f>
        <v/>
      </c>
      <c r="C354" s="359" t="str">
        <f>IF(A354="","",--(LOWER('20_Registro_Diario'!D354)="sí"))</f>
        <v/>
      </c>
      <c r="D354" s="359" t="str">
        <f>IF(A354="","",--(LOWER('20_Registro_Diario'!E354)="sí"))</f>
        <v/>
      </c>
      <c r="E354" s="359" t="str">
        <f>IF(A354="","",--(LOWER('20_Registro_Diario'!F354)="sí"))</f>
        <v/>
      </c>
      <c r="F354" s="359" t="str">
        <f>IF(A354="","",--(LOWER('20_Registro_Diario'!G354)="sí"))</f>
        <v/>
      </c>
      <c r="G354" s="366" t="str">
        <f>IF(A354="","",IFERROR('20_Registro_Diario'!I354,0))</f>
        <v/>
      </c>
      <c r="H354" s="368" t="str">
        <f t="shared" si="42"/>
        <v/>
      </c>
      <c r="I354" s="359" t="str">
        <f t="shared" si="43"/>
        <v/>
      </c>
      <c r="J354" s="359" t="str">
        <f t="shared" si="44"/>
        <v/>
      </c>
      <c r="K354" s="359" t="str">
        <f t="shared" si="45"/>
        <v/>
      </c>
      <c r="L354" s="359" t="str">
        <f t="shared" si="46"/>
        <v/>
      </c>
      <c r="M354" s="359" t="str">
        <f t="shared" si="47"/>
        <v/>
      </c>
      <c r="N354" s="149" t="str">
        <f t="shared" si="48"/>
        <v/>
      </c>
    </row>
    <row r="355" spans="1:14">
      <c r="A355" s="417" t="str">
        <f>IF(OR('20_Registro_Diario'!A355="",'20_Registro_Diario'!A355=0),"",'20_Registro_Diario'!A355)</f>
        <v/>
      </c>
      <c r="B355" s="359" t="str">
        <f>IF(A355="","",--(LOWER('20_Registro_Diario'!C355)="sí"))</f>
        <v/>
      </c>
      <c r="C355" s="359" t="str">
        <f>IF(A355="","",--(LOWER('20_Registro_Diario'!D355)="sí"))</f>
        <v/>
      </c>
      <c r="D355" s="359" t="str">
        <f>IF(A355="","",--(LOWER('20_Registro_Diario'!E355)="sí"))</f>
        <v/>
      </c>
      <c r="E355" s="359" t="str">
        <f>IF(A355="","",--(LOWER('20_Registro_Diario'!F355)="sí"))</f>
        <v/>
      </c>
      <c r="F355" s="359" t="str">
        <f>IF(A355="","",--(LOWER('20_Registro_Diario'!G355)="sí"))</f>
        <v/>
      </c>
      <c r="G355" s="366" t="str">
        <f>IF(A355="","",IFERROR('20_Registro_Diario'!I355,0))</f>
        <v/>
      </c>
      <c r="H355" s="368" t="str">
        <f t="shared" si="42"/>
        <v/>
      </c>
      <c r="I355" s="359" t="str">
        <f t="shared" si="43"/>
        <v/>
      </c>
      <c r="J355" s="359" t="str">
        <f t="shared" si="44"/>
        <v/>
      </c>
      <c r="K355" s="359" t="str">
        <f t="shared" si="45"/>
        <v/>
      </c>
      <c r="L355" s="359" t="str">
        <f t="shared" si="46"/>
        <v/>
      </c>
      <c r="M355" s="359" t="str">
        <f t="shared" si="47"/>
        <v/>
      </c>
      <c r="N355" s="149" t="str">
        <f t="shared" si="48"/>
        <v/>
      </c>
    </row>
    <row r="356" spans="1:14">
      <c r="A356" s="417" t="str">
        <f>IF(OR('20_Registro_Diario'!A356="",'20_Registro_Diario'!A356=0),"",'20_Registro_Diario'!A356)</f>
        <v/>
      </c>
      <c r="B356" s="359" t="str">
        <f>IF(A356="","",--(LOWER('20_Registro_Diario'!C356)="sí"))</f>
        <v/>
      </c>
      <c r="C356" s="359" t="str">
        <f>IF(A356="","",--(LOWER('20_Registro_Diario'!D356)="sí"))</f>
        <v/>
      </c>
      <c r="D356" s="359" t="str">
        <f>IF(A356="","",--(LOWER('20_Registro_Diario'!E356)="sí"))</f>
        <v/>
      </c>
      <c r="E356" s="359" t="str">
        <f>IF(A356="","",--(LOWER('20_Registro_Diario'!F356)="sí"))</f>
        <v/>
      </c>
      <c r="F356" s="359" t="str">
        <f>IF(A356="","",--(LOWER('20_Registro_Diario'!G356)="sí"))</f>
        <v/>
      </c>
      <c r="G356" s="366" t="str">
        <f>IF(A356="","",IFERROR('20_Registro_Diario'!I356,0))</f>
        <v/>
      </c>
      <c r="H356" s="368" t="str">
        <f t="shared" si="42"/>
        <v/>
      </c>
      <c r="I356" s="359" t="str">
        <f t="shared" si="43"/>
        <v/>
      </c>
      <c r="J356" s="359" t="str">
        <f t="shared" si="44"/>
        <v/>
      </c>
      <c r="K356" s="359" t="str">
        <f t="shared" si="45"/>
        <v/>
      </c>
      <c r="L356" s="359" t="str">
        <f t="shared" si="46"/>
        <v/>
      </c>
      <c r="M356" s="359" t="str">
        <f t="shared" si="47"/>
        <v/>
      </c>
      <c r="N356" s="149" t="str">
        <f t="shared" si="48"/>
        <v/>
      </c>
    </row>
    <row r="357" spans="1:14">
      <c r="A357" s="417" t="str">
        <f>IF(OR('20_Registro_Diario'!A357="",'20_Registro_Diario'!A357=0),"",'20_Registro_Diario'!A357)</f>
        <v/>
      </c>
      <c r="B357" s="359" t="str">
        <f>IF(A357="","",--(LOWER('20_Registro_Diario'!C357)="sí"))</f>
        <v/>
      </c>
      <c r="C357" s="359" t="str">
        <f>IF(A357="","",--(LOWER('20_Registro_Diario'!D357)="sí"))</f>
        <v/>
      </c>
      <c r="D357" s="359" t="str">
        <f>IF(A357="","",--(LOWER('20_Registro_Diario'!E357)="sí"))</f>
        <v/>
      </c>
      <c r="E357" s="359" t="str">
        <f>IF(A357="","",--(LOWER('20_Registro_Diario'!F357)="sí"))</f>
        <v/>
      </c>
      <c r="F357" s="359" t="str">
        <f>IF(A357="","",--(LOWER('20_Registro_Diario'!G357)="sí"))</f>
        <v/>
      </c>
      <c r="G357" s="366" t="str">
        <f>IF(A357="","",IFERROR('20_Registro_Diario'!I357,0))</f>
        <v/>
      </c>
      <c r="H357" s="368" t="str">
        <f t="shared" si="42"/>
        <v/>
      </c>
      <c r="I357" s="359" t="str">
        <f t="shared" si="43"/>
        <v/>
      </c>
      <c r="J357" s="359" t="str">
        <f t="shared" si="44"/>
        <v/>
      </c>
      <c r="K357" s="359" t="str">
        <f t="shared" si="45"/>
        <v/>
      </c>
      <c r="L357" s="359" t="str">
        <f t="shared" si="46"/>
        <v/>
      </c>
      <c r="M357" s="359" t="str">
        <f t="shared" si="47"/>
        <v/>
      </c>
      <c r="N357" s="149" t="str">
        <f t="shared" si="48"/>
        <v/>
      </c>
    </row>
    <row r="358" spans="1:14">
      <c r="A358" s="417" t="str">
        <f>IF(OR('20_Registro_Diario'!A358="",'20_Registro_Diario'!A358=0),"",'20_Registro_Diario'!A358)</f>
        <v/>
      </c>
      <c r="B358" s="359" t="str">
        <f>IF(A358="","",--(LOWER('20_Registro_Diario'!C358)="sí"))</f>
        <v/>
      </c>
      <c r="C358" s="359" t="str">
        <f>IF(A358="","",--(LOWER('20_Registro_Diario'!D358)="sí"))</f>
        <v/>
      </c>
      <c r="D358" s="359" t="str">
        <f>IF(A358="","",--(LOWER('20_Registro_Diario'!E358)="sí"))</f>
        <v/>
      </c>
      <c r="E358" s="359" t="str">
        <f>IF(A358="","",--(LOWER('20_Registro_Diario'!F358)="sí"))</f>
        <v/>
      </c>
      <c r="F358" s="359" t="str">
        <f>IF(A358="","",--(LOWER('20_Registro_Diario'!G358)="sí"))</f>
        <v/>
      </c>
      <c r="G358" s="366" t="str">
        <f>IF(A358="","",IFERROR('20_Registro_Diario'!I358,0))</f>
        <v/>
      </c>
      <c r="H358" s="368" t="str">
        <f t="shared" si="42"/>
        <v/>
      </c>
      <c r="I358" s="359" t="str">
        <f t="shared" si="43"/>
        <v/>
      </c>
      <c r="J358" s="359" t="str">
        <f t="shared" si="44"/>
        <v/>
      </c>
      <c r="K358" s="359" t="str">
        <f t="shared" si="45"/>
        <v/>
      </c>
      <c r="L358" s="359" t="str">
        <f t="shared" si="46"/>
        <v/>
      </c>
      <c r="M358" s="359" t="str">
        <f t="shared" si="47"/>
        <v/>
      </c>
      <c r="N358" s="149" t="str">
        <f t="shared" si="48"/>
        <v/>
      </c>
    </row>
    <row r="359" spans="1:14">
      <c r="A359" s="417" t="str">
        <f>IF(OR('20_Registro_Diario'!A359="",'20_Registro_Diario'!A359=0),"",'20_Registro_Diario'!A359)</f>
        <v/>
      </c>
      <c r="B359" s="359" t="str">
        <f>IF(A359="","",--(LOWER('20_Registro_Diario'!C359)="sí"))</f>
        <v/>
      </c>
      <c r="C359" s="359" t="str">
        <f>IF(A359="","",--(LOWER('20_Registro_Diario'!D359)="sí"))</f>
        <v/>
      </c>
      <c r="D359" s="359" t="str">
        <f>IF(A359="","",--(LOWER('20_Registro_Diario'!E359)="sí"))</f>
        <v/>
      </c>
      <c r="E359" s="359" t="str">
        <f>IF(A359="","",--(LOWER('20_Registro_Diario'!F359)="sí"))</f>
        <v/>
      </c>
      <c r="F359" s="359" t="str">
        <f>IF(A359="","",--(LOWER('20_Registro_Diario'!G359)="sí"))</f>
        <v/>
      </c>
      <c r="G359" s="366" t="str">
        <f>IF(A359="","",IFERROR('20_Registro_Diario'!I359,0))</f>
        <v/>
      </c>
      <c r="H359" s="368" t="str">
        <f t="shared" si="42"/>
        <v/>
      </c>
      <c r="I359" s="359" t="str">
        <f t="shared" si="43"/>
        <v/>
      </c>
      <c r="J359" s="359" t="str">
        <f t="shared" si="44"/>
        <v/>
      </c>
      <c r="K359" s="359" t="str">
        <f t="shared" si="45"/>
        <v/>
      </c>
      <c r="L359" s="359" t="str">
        <f t="shared" si="46"/>
        <v/>
      </c>
      <c r="M359" s="359" t="str">
        <f t="shared" si="47"/>
        <v/>
      </c>
      <c r="N359" s="149" t="str">
        <f t="shared" si="48"/>
        <v/>
      </c>
    </row>
    <row r="360" spans="1:14">
      <c r="A360" s="417" t="str">
        <f>IF(OR('20_Registro_Diario'!A360="",'20_Registro_Diario'!A360=0),"",'20_Registro_Diario'!A360)</f>
        <v/>
      </c>
      <c r="B360" s="359" t="str">
        <f>IF(A360="","",--(LOWER('20_Registro_Diario'!C360)="sí"))</f>
        <v/>
      </c>
      <c r="C360" s="359" t="str">
        <f>IF(A360="","",--(LOWER('20_Registro_Diario'!D360)="sí"))</f>
        <v/>
      </c>
      <c r="D360" s="359" t="str">
        <f>IF(A360="","",--(LOWER('20_Registro_Diario'!E360)="sí"))</f>
        <v/>
      </c>
      <c r="E360" s="359" t="str">
        <f>IF(A360="","",--(LOWER('20_Registro_Diario'!F360)="sí"))</f>
        <v/>
      </c>
      <c r="F360" s="359" t="str">
        <f>IF(A360="","",--(LOWER('20_Registro_Diario'!G360)="sí"))</f>
        <v/>
      </c>
      <c r="G360" s="366" t="str">
        <f>IF(A360="","",IFERROR('20_Registro_Diario'!I360,0))</f>
        <v/>
      </c>
      <c r="H360" s="368" t="str">
        <f t="shared" si="42"/>
        <v/>
      </c>
      <c r="I360" s="359" t="str">
        <f t="shared" si="43"/>
        <v/>
      </c>
      <c r="J360" s="359" t="str">
        <f t="shared" si="44"/>
        <v/>
      </c>
      <c r="K360" s="359" t="str">
        <f t="shared" si="45"/>
        <v/>
      </c>
      <c r="L360" s="359" t="str">
        <f t="shared" si="46"/>
        <v/>
      </c>
      <c r="M360" s="359" t="str">
        <f t="shared" si="47"/>
        <v/>
      </c>
      <c r="N360" s="149" t="str">
        <f t="shared" si="48"/>
        <v/>
      </c>
    </row>
    <row r="361" spans="1:14">
      <c r="A361" s="417" t="str">
        <f>IF(OR('20_Registro_Diario'!A361="",'20_Registro_Diario'!A361=0),"",'20_Registro_Diario'!A361)</f>
        <v/>
      </c>
      <c r="B361" s="359" t="str">
        <f>IF(A361="","",--(LOWER('20_Registro_Diario'!C361)="sí"))</f>
        <v/>
      </c>
      <c r="C361" s="359" t="str">
        <f>IF(A361="","",--(LOWER('20_Registro_Diario'!D361)="sí"))</f>
        <v/>
      </c>
      <c r="D361" s="359" t="str">
        <f>IF(A361="","",--(LOWER('20_Registro_Diario'!E361)="sí"))</f>
        <v/>
      </c>
      <c r="E361" s="359" t="str">
        <f>IF(A361="","",--(LOWER('20_Registro_Diario'!F361)="sí"))</f>
        <v/>
      </c>
      <c r="F361" s="359" t="str">
        <f>IF(A361="","",--(LOWER('20_Registro_Diario'!G361)="sí"))</f>
        <v/>
      </c>
      <c r="G361" s="366" t="str">
        <f>IF(A361="","",IFERROR('20_Registro_Diario'!I361,0))</f>
        <v/>
      </c>
      <c r="H361" s="368" t="str">
        <f t="shared" si="42"/>
        <v/>
      </c>
      <c r="I361" s="359" t="str">
        <f t="shared" si="43"/>
        <v/>
      </c>
      <c r="J361" s="359" t="str">
        <f t="shared" si="44"/>
        <v/>
      </c>
      <c r="K361" s="359" t="str">
        <f t="shared" si="45"/>
        <v/>
      </c>
      <c r="L361" s="359" t="str">
        <f t="shared" si="46"/>
        <v/>
      </c>
      <c r="M361" s="359" t="str">
        <f t="shared" si="47"/>
        <v/>
      </c>
      <c r="N361" s="149" t="str">
        <f t="shared" si="48"/>
        <v/>
      </c>
    </row>
    <row r="362" spans="1:14">
      <c r="A362" s="417" t="str">
        <f>IF(OR('20_Registro_Diario'!A362="",'20_Registro_Diario'!A362=0),"",'20_Registro_Diario'!A362)</f>
        <v/>
      </c>
      <c r="B362" s="359" t="str">
        <f>IF(A362="","",--(LOWER('20_Registro_Diario'!C362)="sí"))</f>
        <v/>
      </c>
      <c r="C362" s="359" t="str">
        <f>IF(A362="","",--(LOWER('20_Registro_Diario'!D362)="sí"))</f>
        <v/>
      </c>
      <c r="D362" s="359" t="str">
        <f>IF(A362="","",--(LOWER('20_Registro_Diario'!E362)="sí"))</f>
        <v/>
      </c>
      <c r="E362" s="359" t="str">
        <f>IF(A362="","",--(LOWER('20_Registro_Diario'!F362)="sí"))</f>
        <v/>
      </c>
      <c r="F362" s="359" t="str">
        <f>IF(A362="","",--(LOWER('20_Registro_Diario'!G362)="sí"))</f>
        <v/>
      </c>
      <c r="G362" s="366" t="str">
        <f>IF(A362="","",IFERROR('20_Registro_Diario'!I362,0))</f>
        <v/>
      </c>
      <c r="H362" s="368" t="str">
        <f t="shared" si="42"/>
        <v/>
      </c>
      <c r="I362" s="359" t="str">
        <f t="shared" si="43"/>
        <v/>
      </c>
      <c r="J362" s="359" t="str">
        <f t="shared" si="44"/>
        <v/>
      </c>
      <c r="K362" s="359" t="str">
        <f t="shared" si="45"/>
        <v/>
      </c>
      <c r="L362" s="359" t="str">
        <f t="shared" si="46"/>
        <v/>
      </c>
      <c r="M362" s="359" t="str">
        <f t="shared" si="47"/>
        <v/>
      </c>
      <c r="N362" s="149" t="str">
        <f t="shared" si="48"/>
        <v/>
      </c>
    </row>
    <row r="363" spans="1:14">
      <c r="A363" s="417" t="str">
        <f>IF(OR('20_Registro_Diario'!A363="",'20_Registro_Diario'!A363=0),"",'20_Registro_Diario'!A363)</f>
        <v/>
      </c>
      <c r="B363" s="359" t="str">
        <f>IF(A363="","",--(LOWER('20_Registro_Diario'!C363)="sí"))</f>
        <v/>
      </c>
      <c r="C363" s="359" t="str">
        <f>IF(A363="","",--(LOWER('20_Registro_Diario'!D363)="sí"))</f>
        <v/>
      </c>
      <c r="D363" s="359" t="str">
        <f>IF(A363="","",--(LOWER('20_Registro_Diario'!E363)="sí"))</f>
        <v/>
      </c>
      <c r="E363" s="359" t="str">
        <f>IF(A363="","",--(LOWER('20_Registro_Diario'!F363)="sí"))</f>
        <v/>
      </c>
      <c r="F363" s="359" t="str">
        <f>IF(A363="","",--(LOWER('20_Registro_Diario'!G363)="sí"))</f>
        <v/>
      </c>
      <c r="G363" s="366" t="str">
        <f>IF(A363="","",IFERROR('20_Registro_Diario'!I363,0))</f>
        <v/>
      </c>
      <c r="H363" s="368" t="str">
        <f t="shared" si="42"/>
        <v/>
      </c>
      <c r="I363" s="359" t="str">
        <f t="shared" si="43"/>
        <v/>
      </c>
      <c r="J363" s="359" t="str">
        <f t="shared" si="44"/>
        <v/>
      </c>
      <c r="K363" s="359" t="str">
        <f t="shared" si="45"/>
        <v/>
      </c>
      <c r="L363" s="359" t="str">
        <f t="shared" si="46"/>
        <v/>
      </c>
      <c r="M363" s="359" t="str">
        <f t="shared" si="47"/>
        <v/>
      </c>
      <c r="N363" s="149" t="str">
        <f t="shared" si="48"/>
        <v/>
      </c>
    </row>
    <row r="364" spans="1:14">
      <c r="A364" s="417" t="str">
        <f>IF(OR('20_Registro_Diario'!A364="",'20_Registro_Diario'!A364=0),"",'20_Registro_Diario'!A364)</f>
        <v/>
      </c>
      <c r="B364" s="359" t="str">
        <f>IF(A364="","",--(LOWER('20_Registro_Diario'!C364)="sí"))</f>
        <v/>
      </c>
      <c r="C364" s="359" t="str">
        <f>IF(A364="","",--(LOWER('20_Registro_Diario'!D364)="sí"))</f>
        <v/>
      </c>
      <c r="D364" s="359" t="str">
        <f>IF(A364="","",--(LOWER('20_Registro_Diario'!E364)="sí"))</f>
        <v/>
      </c>
      <c r="E364" s="359" t="str">
        <f>IF(A364="","",--(LOWER('20_Registro_Diario'!F364)="sí"))</f>
        <v/>
      </c>
      <c r="F364" s="359" t="str">
        <f>IF(A364="","",--(LOWER('20_Registro_Diario'!G364)="sí"))</f>
        <v/>
      </c>
      <c r="G364" s="366" t="str">
        <f>IF(A364="","",IFERROR('20_Registro_Diario'!I364,0))</f>
        <v/>
      </c>
      <c r="H364" s="368" t="str">
        <f t="shared" si="42"/>
        <v/>
      </c>
      <c r="I364" s="359" t="str">
        <f t="shared" si="43"/>
        <v/>
      </c>
      <c r="J364" s="359" t="str">
        <f t="shared" si="44"/>
        <v/>
      </c>
      <c r="K364" s="359" t="str">
        <f t="shared" si="45"/>
        <v/>
      </c>
      <c r="L364" s="359" t="str">
        <f t="shared" si="46"/>
        <v/>
      </c>
      <c r="M364" s="359" t="str">
        <f t="shared" si="47"/>
        <v/>
      </c>
      <c r="N364" s="149" t="str">
        <f t="shared" si="48"/>
        <v/>
      </c>
    </row>
    <row r="365" spans="1:14">
      <c r="A365" s="417" t="str">
        <f>IF(OR('20_Registro_Diario'!A365="",'20_Registro_Diario'!A365=0),"",'20_Registro_Diario'!A365)</f>
        <v/>
      </c>
      <c r="B365" s="359" t="str">
        <f>IF(A365="","",--(LOWER('20_Registro_Diario'!C365)="sí"))</f>
        <v/>
      </c>
      <c r="C365" s="359" t="str">
        <f>IF(A365="","",--(LOWER('20_Registro_Diario'!D365)="sí"))</f>
        <v/>
      </c>
      <c r="D365" s="359" t="str">
        <f>IF(A365="","",--(LOWER('20_Registro_Diario'!E365)="sí"))</f>
        <v/>
      </c>
      <c r="E365" s="359" t="str">
        <f>IF(A365="","",--(LOWER('20_Registro_Diario'!F365)="sí"))</f>
        <v/>
      </c>
      <c r="F365" s="359" t="str">
        <f>IF(A365="","",--(LOWER('20_Registro_Diario'!G365)="sí"))</f>
        <v/>
      </c>
      <c r="G365" s="366" t="str">
        <f>IF(A365="","",IFERROR('20_Registro_Diario'!I365,0))</f>
        <v/>
      </c>
      <c r="H365" s="368" t="str">
        <f t="shared" si="42"/>
        <v/>
      </c>
      <c r="I365" s="359" t="str">
        <f t="shared" si="43"/>
        <v/>
      </c>
      <c r="J365" s="359" t="str">
        <f t="shared" si="44"/>
        <v/>
      </c>
      <c r="K365" s="359" t="str">
        <f t="shared" si="45"/>
        <v/>
      </c>
      <c r="L365" s="359" t="str">
        <f t="shared" si="46"/>
        <v/>
      </c>
      <c r="M365" s="359" t="str">
        <f t="shared" si="47"/>
        <v/>
      </c>
      <c r="N365" s="149" t="str">
        <f t="shared" si="48"/>
        <v/>
      </c>
    </row>
    <row r="366" spans="1:14">
      <c r="A366" s="417" t="str">
        <f>IF(OR('20_Registro_Diario'!A366="",'20_Registro_Diario'!A366=0),"",'20_Registro_Diario'!A366)</f>
        <v/>
      </c>
      <c r="B366" s="359" t="str">
        <f>IF(A366="","",--(LOWER('20_Registro_Diario'!C366)="sí"))</f>
        <v/>
      </c>
      <c r="C366" s="359" t="str">
        <f>IF(A366="","",--(LOWER('20_Registro_Diario'!D366)="sí"))</f>
        <v/>
      </c>
      <c r="D366" s="359" t="str">
        <f>IF(A366="","",--(LOWER('20_Registro_Diario'!E366)="sí"))</f>
        <v/>
      </c>
      <c r="E366" s="359" t="str">
        <f>IF(A366="","",--(LOWER('20_Registro_Diario'!F366)="sí"))</f>
        <v/>
      </c>
      <c r="F366" s="359" t="str">
        <f>IF(A366="","",--(LOWER('20_Registro_Diario'!G366)="sí"))</f>
        <v/>
      </c>
      <c r="G366" s="366" t="str">
        <f>IF(A366="","",IFERROR('20_Registro_Diario'!I366,0))</f>
        <v/>
      </c>
      <c r="H366" s="368" t="str">
        <f t="shared" si="42"/>
        <v/>
      </c>
      <c r="I366" s="359" t="str">
        <f t="shared" si="43"/>
        <v/>
      </c>
      <c r="J366" s="359" t="str">
        <f t="shared" si="44"/>
        <v/>
      </c>
      <c r="K366" s="359" t="str">
        <f t="shared" si="45"/>
        <v/>
      </c>
      <c r="L366" s="359" t="str">
        <f t="shared" si="46"/>
        <v/>
      </c>
      <c r="M366" s="359" t="str">
        <f t="shared" si="47"/>
        <v/>
      </c>
      <c r="N366" s="149" t="str">
        <f t="shared" si="48"/>
        <v/>
      </c>
    </row>
    <row r="367" spans="1:14">
      <c r="A367" s="417" t="str">
        <f>IF(OR('20_Registro_Diario'!A367="",'20_Registro_Diario'!A367=0),"",'20_Registro_Diario'!A367)</f>
        <v/>
      </c>
      <c r="B367" s="359" t="str">
        <f>IF(A367="","",--(LOWER('20_Registro_Diario'!C367)="sí"))</f>
        <v/>
      </c>
      <c r="C367" s="359" t="str">
        <f>IF(A367="","",--(LOWER('20_Registro_Diario'!D367)="sí"))</f>
        <v/>
      </c>
      <c r="D367" s="359" t="str">
        <f>IF(A367="","",--(LOWER('20_Registro_Diario'!E367)="sí"))</f>
        <v/>
      </c>
      <c r="E367" s="359" t="str">
        <f>IF(A367="","",--(LOWER('20_Registro_Diario'!F367)="sí"))</f>
        <v/>
      </c>
      <c r="F367" s="359" t="str">
        <f>IF(A367="","",--(LOWER('20_Registro_Diario'!G367)="sí"))</f>
        <v/>
      </c>
      <c r="G367" s="366" t="str">
        <f>IF(A367="","",IFERROR('20_Registro_Diario'!I367,0))</f>
        <v/>
      </c>
      <c r="H367" s="368" t="str">
        <f t="shared" si="42"/>
        <v/>
      </c>
      <c r="I367" s="359" t="str">
        <f t="shared" si="43"/>
        <v/>
      </c>
      <c r="J367" s="359" t="str">
        <f t="shared" si="44"/>
        <v/>
      </c>
      <c r="K367" s="359" t="str">
        <f t="shared" si="45"/>
        <v/>
      </c>
      <c r="L367" s="359" t="str">
        <f t="shared" si="46"/>
        <v/>
      </c>
      <c r="M367" s="359" t="str">
        <f t="shared" si="47"/>
        <v/>
      </c>
      <c r="N367" s="149" t="str">
        <f t="shared" si="48"/>
        <v/>
      </c>
    </row>
    <row r="368" spans="1:14">
      <c r="A368" s="417" t="str">
        <f>IF(OR('20_Registro_Diario'!A368="",'20_Registro_Diario'!A368=0),"",'20_Registro_Diario'!A368)</f>
        <v/>
      </c>
      <c r="B368" s="359" t="str">
        <f>IF(A368="","",--(LOWER('20_Registro_Diario'!C368)="sí"))</f>
        <v/>
      </c>
      <c r="C368" s="359" t="str">
        <f>IF(A368="","",--(LOWER('20_Registro_Diario'!D368)="sí"))</f>
        <v/>
      </c>
      <c r="D368" s="359" t="str">
        <f>IF(A368="","",--(LOWER('20_Registro_Diario'!E368)="sí"))</f>
        <v/>
      </c>
      <c r="E368" s="359" t="str">
        <f>IF(A368="","",--(LOWER('20_Registro_Diario'!F368)="sí"))</f>
        <v/>
      </c>
      <c r="F368" s="359" t="str">
        <f>IF(A368="","",--(LOWER('20_Registro_Diario'!G368)="sí"))</f>
        <v/>
      </c>
      <c r="G368" s="366" t="str">
        <f>IF(A368="","",IFERROR('20_Registro_Diario'!I368,0))</f>
        <v/>
      </c>
      <c r="H368" s="368" t="str">
        <f t="shared" si="42"/>
        <v/>
      </c>
      <c r="I368" s="359" t="str">
        <f t="shared" si="43"/>
        <v/>
      </c>
      <c r="J368" s="359" t="str">
        <f t="shared" si="44"/>
        <v/>
      </c>
      <c r="K368" s="359" t="str">
        <f t="shared" si="45"/>
        <v/>
      </c>
      <c r="L368" s="359" t="str">
        <f t="shared" si="46"/>
        <v/>
      </c>
      <c r="M368" s="359" t="str">
        <f t="shared" si="47"/>
        <v/>
      </c>
      <c r="N368" s="149" t="str">
        <f t="shared" si="48"/>
        <v/>
      </c>
    </row>
    <row r="369" spans="1:14">
      <c r="A369" s="417" t="str">
        <f>IF(OR('20_Registro_Diario'!A369="",'20_Registro_Diario'!A369=0),"",'20_Registro_Diario'!A369)</f>
        <v/>
      </c>
      <c r="B369" s="359" t="str">
        <f>IF(A369="","",--(LOWER('20_Registro_Diario'!C369)="sí"))</f>
        <v/>
      </c>
      <c r="C369" s="359" t="str">
        <f>IF(A369="","",--(LOWER('20_Registro_Diario'!D369)="sí"))</f>
        <v/>
      </c>
      <c r="D369" s="359" t="str">
        <f>IF(A369="","",--(LOWER('20_Registro_Diario'!E369)="sí"))</f>
        <v/>
      </c>
      <c r="E369" s="359" t="str">
        <f>IF(A369="","",--(LOWER('20_Registro_Diario'!F369)="sí"))</f>
        <v/>
      </c>
      <c r="F369" s="359" t="str">
        <f>IF(A369="","",--(LOWER('20_Registro_Diario'!G369)="sí"))</f>
        <v/>
      </c>
      <c r="G369" s="366" t="str">
        <f>IF(A369="","",IFERROR('20_Registro_Diario'!I369,0))</f>
        <v/>
      </c>
      <c r="H369" s="368" t="str">
        <f t="shared" si="42"/>
        <v/>
      </c>
      <c r="I369" s="359" t="str">
        <f t="shared" si="43"/>
        <v/>
      </c>
      <c r="J369" s="359" t="str">
        <f t="shared" si="44"/>
        <v/>
      </c>
      <c r="K369" s="359" t="str">
        <f t="shared" si="45"/>
        <v/>
      </c>
      <c r="L369" s="359" t="str">
        <f t="shared" si="46"/>
        <v/>
      </c>
      <c r="M369" s="359" t="str">
        <f t="shared" si="47"/>
        <v/>
      </c>
      <c r="N369" s="149" t="str">
        <f t="shared" si="48"/>
        <v/>
      </c>
    </row>
    <row r="370" spans="1:14">
      <c r="A370" s="417" t="str">
        <f>IF(OR('20_Registro_Diario'!A370="",'20_Registro_Diario'!A370=0),"",'20_Registro_Diario'!A370)</f>
        <v/>
      </c>
      <c r="B370" s="359" t="str">
        <f>IF(A370="","",--(LOWER('20_Registro_Diario'!C370)="sí"))</f>
        <v/>
      </c>
      <c r="C370" s="359" t="str">
        <f>IF(A370="","",--(LOWER('20_Registro_Diario'!D370)="sí"))</f>
        <v/>
      </c>
      <c r="D370" s="359" t="str">
        <f>IF(A370="","",--(LOWER('20_Registro_Diario'!E370)="sí"))</f>
        <v/>
      </c>
      <c r="E370" s="359" t="str">
        <f>IF(A370="","",--(LOWER('20_Registro_Diario'!F370)="sí"))</f>
        <v/>
      </c>
      <c r="F370" s="359" t="str">
        <f>IF(A370="","",--(LOWER('20_Registro_Diario'!G370)="sí"))</f>
        <v/>
      </c>
      <c r="G370" s="366" t="str">
        <f>IF(A370="","",IFERROR('20_Registro_Diario'!I370,0))</f>
        <v/>
      </c>
      <c r="H370" s="368" t="str">
        <f t="shared" si="42"/>
        <v/>
      </c>
      <c r="I370" s="359" t="str">
        <f t="shared" si="43"/>
        <v/>
      </c>
      <c r="J370" s="359" t="str">
        <f t="shared" si="44"/>
        <v/>
      </c>
      <c r="K370" s="359" t="str">
        <f t="shared" si="45"/>
        <v/>
      </c>
      <c r="L370" s="359" t="str">
        <f t="shared" si="46"/>
        <v/>
      </c>
      <c r="M370" s="359" t="str">
        <f t="shared" si="47"/>
        <v/>
      </c>
      <c r="N370" s="149" t="str">
        <f t="shared" si="48"/>
        <v/>
      </c>
    </row>
    <row r="371" spans="1:14">
      <c r="A371" s="417" t="str">
        <f>IF(OR('20_Registro_Diario'!A371="",'20_Registro_Diario'!A371=0),"",'20_Registro_Diario'!A371)</f>
        <v/>
      </c>
      <c r="B371" s="359" t="str">
        <f>IF(A371="","",--(LOWER('20_Registro_Diario'!C371)="sí"))</f>
        <v/>
      </c>
      <c r="C371" s="359" t="str">
        <f>IF(A371="","",--(LOWER('20_Registro_Diario'!D371)="sí"))</f>
        <v/>
      </c>
      <c r="D371" s="359" t="str">
        <f>IF(A371="","",--(LOWER('20_Registro_Diario'!E371)="sí"))</f>
        <v/>
      </c>
      <c r="E371" s="359" t="str">
        <f>IF(A371="","",--(LOWER('20_Registro_Diario'!F371)="sí"))</f>
        <v/>
      </c>
      <c r="F371" s="359" t="str">
        <f>IF(A371="","",--(LOWER('20_Registro_Diario'!G371)="sí"))</f>
        <v/>
      </c>
      <c r="G371" s="366" t="str">
        <f>IF(A371="","",IFERROR('20_Registro_Diario'!I371,0))</f>
        <v/>
      </c>
      <c r="H371" s="368" t="str">
        <f t="shared" si="42"/>
        <v/>
      </c>
      <c r="I371" s="359" t="str">
        <f t="shared" si="43"/>
        <v/>
      </c>
      <c r="J371" s="359" t="str">
        <f t="shared" si="44"/>
        <v/>
      </c>
      <c r="K371" s="359" t="str">
        <f t="shared" si="45"/>
        <v/>
      </c>
      <c r="L371" s="359" t="str">
        <f t="shared" si="46"/>
        <v/>
      </c>
      <c r="M371" s="359" t="str">
        <f t="shared" si="47"/>
        <v/>
      </c>
      <c r="N371" s="149" t="str">
        <f t="shared" si="48"/>
        <v/>
      </c>
    </row>
    <row r="372" spans="1:14">
      <c r="A372" s="417" t="str">
        <f>IF(OR('20_Registro_Diario'!A372="",'20_Registro_Diario'!A372=0),"",'20_Registro_Diario'!A372)</f>
        <v/>
      </c>
      <c r="B372" s="359" t="str">
        <f>IF(A372="","",--(LOWER('20_Registro_Diario'!C372)="sí"))</f>
        <v/>
      </c>
      <c r="C372" s="359" t="str">
        <f>IF(A372="","",--(LOWER('20_Registro_Diario'!D372)="sí"))</f>
        <v/>
      </c>
      <c r="D372" s="359" t="str">
        <f>IF(A372="","",--(LOWER('20_Registro_Diario'!E372)="sí"))</f>
        <v/>
      </c>
      <c r="E372" s="359" t="str">
        <f>IF(A372="","",--(LOWER('20_Registro_Diario'!F372)="sí"))</f>
        <v/>
      </c>
      <c r="F372" s="359" t="str">
        <f>IF(A372="","",--(LOWER('20_Registro_Diario'!G372)="sí"))</f>
        <v/>
      </c>
      <c r="G372" s="366" t="str">
        <f>IF(A372="","",IFERROR('20_Registro_Diario'!I372,0))</f>
        <v/>
      </c>
      <c r="H372" s="368" t="str">
        <f t="shared" si="42"/>
        <v/>
      </c>
      <c r="I372" s="359" t="str">
        <f t="shared" si="43"/>
        <v/>
      </c>
      <c r="J372" s="359" t="str">
        <f t="shared" si="44"/>
        <v/>
      </c>
      <c r="K372" s="359" t="str">
        <f t="shared" si="45"/>
        <v/>
      </c>
      <c r="L372" s="359" t="str">
        <f t="shared" si="46"/>
        <v/>
      </c>
      <c r="M372" s="359" t="str">
        <f t="shared" si="47"/>
        <v/>
      </c>
      <c r="N372" s="149" t="str">
        <f t="shared" si="48"/>
        <v/>
      </c>
    </row>
    <row r="373" spans="1:14">
      <c r="A373" s="417" t="str">
        <f>IF(OR('20_Registro_Diario'!A373="",'20_Registro_Diario'!A373=0),"",'20_Registro_Diario'!A373)</f>
        <v/>
      </c>
      <c r="B373" s="359" t="str">
        <f>IF(A373="","",--(LOWER('20_Registro_Diario'!C373)="sí"))</f>
        <v/>
      </c>
      <c r="C373" s="359" t="str">
        <f>IF(A373="","",--(LOWER('20_Registro_Diario'!D373)="sí"))</f>
        <v/>
      </c>
      <c r="D373" s="359" t="str">
        <f>IF(A373="","",--(LOWER('20_Registro_Diario'!E373)="sí"))</f>
        <v/>
      </c>
      <c r="E373" s="359" t="str">
        <f>IF(A373="","",--(LOWER('20_Registro_Diario'!F373)="sí"))</f>
        <v/>
      </c>
      <c r="F373" s="359" t="str">
        <f>IF(A373="","",--(LOWER('20_Registro_Diario'!G373)="sí"))</f>
        <v/>
      </c>
      <c r="G373" s="366" t="str">
        <f>IF(A373="","",IFERROR('20_Registro_Diario'!I373,0))</f>
        <v/>
      </c>
      <c r="H373" s="368" t="str">
        <f t="shared" si="42"/>
        <v/>
      </c>
      <c r="I373" s="359" t="str">
        <f t="shared" si="43"/>
        <v/>
      </c>
      <c r="J373" s="359" t="str">
        <f t="shared" si="44"/>
        <v/>
      </c>
      <c r="K373" s="359" t="str">
        <f t="shared" si="45"/>
        <v/>
      </c>
      <c r="L373" s="359" t="str">
        <f t="shared" si="46"/>
        <v/>
      </c>
      <c r="M373" s="359" t="str">
        <f t="shared" si="47"/>
        <v/>
      </c>
      <c r="N373" s="149" t="str">
        <f t="shared" si="48"/>
        <v/>
      </c>
    </row>
    <row r="374" spans="1:14">
      <c r="A374" s="417" t="str">
        <f>IF(OR('20_Registro_Diario'!A374="",'20_Registro_Diario'!A374=0),"",'20_Registro_Diario'!A374)</f>
        <v/>
      </c>
      <c r="B374" s="359" t="str">
        <f>IF(A374="","",--(LOWER('20_Registro_Diario'!C374)="sí"))</f>
        <v/>
      </c>
      <c r="C374" s="359" t="str">
        <f>IF(A374="","",--(LOWER('20_Registro_Diario'!D374)="sí"))</f>
        <v/>
      </c>
      <c r="D374" s="359" t="str">
        <f>IF(A374="","",--(LOWER('20_Registro_Diario'!E374)="sí"))</f>
        <v/>
      </c>
      <c r="E374" s="359" t="str">
        <f>IF(A374="","",--(LOWER('20_Registro_Diario'!F374)="sí"))</f>
        <v/>
      </c>
      <c r="F374" s="359" t="str">
        <f>IF(A374="","",--(LOWER('20_Registro_Diario'!G374)="sí"))</f>
        <v/>
      </c>
      <c r="G374" s="366" t="str">
        <f>IF(A374="","",IFERROR('20_Registro_Diario'!I374,0))</f>
        <v/>
      </c>
      <c r="H374" s="368" t="str">
        <f t="shared" si="42"/>
        <v/>
      </c>
      <c r="I374" s="359" t="str">
        <f t="shared" si="43"/>
        <v/>
      </c>
      <c r="J374" s="359" t="str">
        <f t="shared" si="44"/>
        <v/>
      </c>
      <c r="K374" s="359" t="str">
        <f t="shared" si="45"/>
        <v/>
      </c>
      <c r="L374" s="359" t="str">
        <f t="shared" si="46"/>
        <v/>
      </c>
      <c r="M374" s="359" t="str">
        <f t="shared" si="47"/>
        <v/>
      </c>
      <c r="N374" s="149" t="str">
        <f t="shared" si="48"/>
        <v/>
      </c>
    </row>
    <row r="375" spans="1:14">
      <c r="A375" s="417" t="str">
        <f>IF(OR('20_Registro_Diario'!A375="",'20_Registro_Diario'!A375=0),"",'20_Registro_Diario'!A375)</f>
        <v/>
      </c>
      <c r="B375" s="359" t="str">
        <f>IF(A375="","",--(LOWER('20_Registro_Diario'!C375)="sí"))</f>
        <v/>
      </c>
      <c r="C375" s="359" t="str">
        <f>IF(A375="","",--(LOWER('20_Registro_Diario'!D375)="sí"))</f>
        <v/>
      </c>
      <c r="D375" s="359" t="str">
        <f>IF(A375="","",--(LOWER('20_Registro_Diario'!E375)="sí"))</f>
        <v/>
      </c>
      <c r="E375" s="359" t="str">
        <f>IF(A375="","",--(LOWER('20_Registro_Diario'!F375)="sí"))</f>
        <v/>
      </c>
      <c r="F375" s="359" t="str">
        <f>IF(A375="","",--(LOWER('20_Registro_Diario'!G375)="sí"))</f>
        <v/>
      </c>
      <c r="G375" s="366" t="str">
        <f>IF(A375="","",IFERROR('20_Registro_Diario'!I375,0))</f>
        <v/>
      </c>
      <c r="H375" s="368" t="str">
        <f t="shared" si="42"/>
        <v/>
      </c>
      <c r="I375" s="359" t="str">
        <f t="shared" si="43"/>
        <v/>
      </c>
      <c r="J375" s="359" t="str">
        <f t="shared" si="44"/>
        <v/>
      </c>
      <c r="K375" s="359" t="str">
        <f t="shared" si="45"/>
        <v/>
      </c>
      <c r="L375" s="359" t="str">
        <f t="shared" si="46"/>
        <v/>
      </c>
      <c r="M375" s="359" t="str">
        <f t="shared" si="47"/>
        <v/>
      </c>
      <c r="N375" s="149" t="str">
        <f t="shared" si="48"/>
        <v/>
      </c>
    </row>
    <row r="376" spans="1:14">
      <c r="A376" s="417" t="str">
        <f>IF(OR('20_Registro_Diario'!A376="",'20_Registro_Diario'!A376=0),"",'20_Registro_Diario'!A376)</f>
        <v/>
      </c>
      <c r="B376" s="359" t="str">
        <f>IF(A376="","",--(LOWER('20_Registro_Diario'!C376)="sí"))</f>
        <v/>
      </c>
      <c r="C376" s="359" t="str">
        <f>IF(A376="","",--(LOWER('20_Registro_Diario'!D376)="sí"))</f>
        <v/>
      </c>
      <c r="D376" s="359" t="str">
        <f>IF(A376="","",--(LOWER('20_Registro_Diario'!E376)="sí"))</f>
        <v/>
      </c>
      <c r="E376" s="359" t="str">
        <f>IF(A376="","",--(LOWER('20_Registro_Diario'!F376)="sí"))</f>
        <v/>
      </c>
      <c r="F376" s="359" t="str">
        <f>IF(A376="","",--(LOWER('20_Registro_Diario'!G376)="sí"))</f>
        <v/>
      </c>
      <c r="G376" s="366" t="str">
        <f>IF(A376="","",IFERROR('20_Registro_Diario'!I376,0))</f>
        <v/>
      </c>
      <c r="H376" s="368" t="str">
        <f t="shared" si="42"/>
        <v/>
      </c>
      <c r="I376" s="359" t="str">
        <f t="shared" si="43"/>
        <v/>
      </c>
      <c r="J376" s="359" t="str">
        <f t="shared" si="44"/>
        <v/>
      </c>
      <c r="K376" s="359" t="str">
        <f t="shared" si="45"/>
        <v/>
      </c>
      <c r="L376" s="359" t="str">
        <f t="shared" si="46"/>
        <v/>
      </c>
      <c r="M376" s="359" t="str">
        <f t="shared" si="47"/>
        <v/>
      </c>
      <c r="N376" s="149" t="str">
        <f t="shared" si="48"/>
        <v/>
      </c>
    </row>
    <row r="377" spans="1:14">
      <c r="A377" s="417" t="str">
        <f>IF(OR('20_Registro_Diario'!A377="",'20_Registro_Diario'!A377=0),"",'20_Registro_Diario'!A377)</f>
        <v/>
      </c>
      <c r="B377" s="359" t="str">
        <f>IF(A377="","",--(LOWER('20_Registro_Diario'!C377)="sí"))</f>
        <v/>
      </c>
      <c r="C377" s="359" t="str">
        <f>IF(A377="","",--(LOWER('20_Registro_Diario'!D377)="sí"))</f>
        <v/>
      </c>
      <c r="D377" s="359" t="str">
        <f>IF(A377="","",--(LOWER('20_Registro_Diario'!E377)="sí"))</f>
        <v/>
      </c>
      <c r="E377" s="359" t="str">
        <f>IF(A377="","",--(LOWER('20_Registro_Diario'!F377)="sí"))</f>
        <v/>
      </c>
      <c r="F377" s="359" t="str">
        <f>IF(A377="","",--(LOWER('20_Registro_Diario'!G377)="sí"))</f>
        <v/>
      </c>
      <c r="G377" s="366" t="str">
        <f>IF(A377="","",IFERROR('20_Registro_Diario'!I377,0))</f>
        <v/>
      </c>
      <c r="H377" s="368" t="str">
        <f t="shared" si="42"/>
        <v/>
      </c>
      <c r="I377" s="359" t="str">
        <f t="shared" si="43"/>
        <v/>
      </c>
      <c r="J377" s="359" t="str">
        <f t="shared" si="44"/>
        <v/>
      </c>
      <c r="K377" s="359" t="str">
        <f t="shared" si="45"/>
        <v/>
      </c>
      <c r="L377" s="359" t="str">
        <f t="shared" si="46"/>
        <v/>
      </c>
      <c r="M377" s="359" t="str">
        <f t="shared" si="47"/>
        <v/>
      </c>
      <c r="N377" s="149" t="str">
        <f t="shared" si="48"/>
        <v/>
      </c>
    </row>
    <row r="378" spans="1:14">
      <c r="A378" s="417" t="str">
        <f>IF(OR('20_Registro_Diario'!A378="",'20_Registro_Diario'!A378=0),"",'20_Registro_Diario'!A378)</f>
        <v/>
      </c>
      <c r="B378" s="359" t="str">
        <f>IF(A378="","",--(LOWER('20_Registro_Diario'!C378)="sí"))</f>
        <v/>
      </c>
      <c r="C378" s="359" t="str">
        <f>IF(A378="","",--(LOWER('20_Registro_Diario'!D378)="sí"))</f>
        <v/>
      </c>
      <c r="D378" s="359" t="str">
        <f>IF(A378="","",--(LOWER('20_Registro_Diario'!E378)="sí"))</f>
        <v/>
      </c>
      <c r="E378" s="359" t="str">
        <f>IF(A378="","",--(LOWER('20_Registro_Diario'!F378)="sí"))</f>
        <v/>
      </c>
      <c r="F378" s="359" t="str">
        <f>IF(A378="","",--(LOWER('20_Registro_Diario'!G378)="sí"))</f>
        <v/>
      </c>
      <c r="G378" s="366" t="str">
        <f>IF(A378="","",IFERROR('20_Registro_Diario'!I378,0))</f>
        <v/>
      </c>
      <c r="H378" s="368" t="str">
        <f t="shared" si="42"/>
        <v/>
      </c>
      <c r="I378" s="359" t="str">
        <f t="shared" si="43"/>
        <v/>
      </c>
      <c r="J378" s="359" t="str">
        <f t="shared" si="44"/>
        <v/>
      </c>
      <c r="K378" s="359" t="str">
        <f t="shared" si="45"/>
        <v/>
      </c>
      <c r="L378" s="359" t="str">
        <f t="shared" si="46"/>
        <v/>
      </c>
      <c r="M378" s="359" t="str">
        <f t="shared" si="47"/>
        <v/>
      </c>
      <c r="N378" s="149" t="str">
        <f t="shared" si="48"/>
        <v/>
      </c>
    </row>
    <row r="379" spans="1:14">
      <c r="A379" s="417" t="str">
        <f>IF(OR('20_Registro_Diario'!A379="",'20_Registro_Diario'!A379=0),"",'20_Registro_Diario'!A379)</f>
        <v/>
      </c>
      <c r="B379" s="359" t="str">
        <f>IF(A379="","",--(LOWER('20_Registro_Diario'!C379)="sí"))</f>
        <v/>
      </c>
      <c r="C379" s="359" t="str">
        <f>IF(A379="","",--(LOWER('20_Registro_Diario'!D379)="sí"))</f>
        <v/>
      </c>
      <c r="D379" s="359" t="str">
        <f>IF(A379="","",--(LOWER('20_Registro_Diario'!E379)="sí"))</f>
        <v/>
      </c>
      <c r="E379" s="359" t="str">
        <f>IF(A379="","",--(LOWER('20_Registro_Diario'!F379)="sí"))</f>
        <v/>
      </c>
      <c r="F379" s="359" t="str">
        <f>IF(A379="","",--(LOWER('20_Registro_Diario'!G379)="sí"))</f>
        <v/>
      </c>
      <c r="G379" s="366" t="str">
        <f>IF(A379="","",IFERROR('20_Registro_Diario'!I379,0))</f>
        <v/>
      </c>
      <c r="H379" s="368" t="str">
        <f t="shared" si="42"/>
        <v/>
      </c>
      <c r="I379" s="359" t="str">
        <f t="shared" si="43"/>
        <v/>
      </c>
      <c r="J379" s="359" t="str">
        <f t="shared" si="44"/>
        <v/>
      </c>
      <c r="K379" s="359" t="str">
        <f t="shared" si="45"/>
        <v/>
      </c>
      <c r="L379" s="359" t="str">
        <f t="shared" si="46"/>
        <v/>
      </c>
      <c r="M379" s="359" t="str">
        <f t="shared" si="47"/>
        <v/>
      </c>
      <c r="N379" s="149" t="str">
        <f t="shared" si="48"/>
        <v/>
      </c>
    </row>
    <row r="380" spans="1:14">
      <c r="A380" s="417" t="str">
        <f>IF(OR('20_Registro_Diario'!A380="",'20_Registro_Diario'!A380=0),"",'20_Registro_Diario'!A380)</f>
        <v/>
      </c>
      <c r="B380" s="359" t="str">
        <f>IF(A380="","",--(LOWER('20_Registro_Diario'!C380)="sí"))</f>
        <v/>
      </c>
      <c r="C380" s="359" t="str">
        <f>IF(A380="","",--(LOWER('20_Registro_Diario'!D380)="sí"))</f>
        <v/>
      </c>
      <c r="D380" s="359" t="str">
        <f>IF(A380="","",--(LOWER('20_Registro_Diario'!E380)="sí"))</f>
        <v/>
      </c>
      <c r="E380" s="359" t="str">
        <f>IF(A380="","",--(LOWER('20_Registro_Diario'!F380)="sí"))</f>
        <v/>
      </c>
      <c r="F380" s="359" t="str">
        <f>IF(A380="","",--(LOWER('20_Registro_Diario'!G380)="sí"))</f>
        <v/>
      </c>
      <c r="G380" s="366" t="str">
        <f>IF(A380="","",IFERROR('20_Registro_Diario'!I380,0))</f>
        <v/>
      </c>
      <c r="H380" s="368" t="str">
        <f t="shared" si="42"/>
        <v/>
      </c>
      <c r="I380" s="359" t="str">
        <f t="shared" si="43"/>
        <v/>
      </c>
      <c r="J380" s="359" t="str">
        <f t="shared" si="44"/>
        <v/>
      </c>
      <c r="K380" s="359" t="str">
        <f t="shared" si="45"/>
        <v/>
      </c>
      <c r="L380" s="359" t="str">
        <f t="shared" si="46"/>
        <v/>
      </c>
      <c r="M380" s="359" t="str">
        <f t="shared" si="47"/>
        <v/>
      </c>
      <c r="N380" s="149" t="str">
        <f t="shared" si="48"/>
        <v/>
      </c>
    </row>
    <row r="381" spans="1:14">
      <c r="A381" s="417" t="str">
        <f>IF(OR('20_Registro_Diario'!A381="",'20_Registro_Diario'!A381=0),"",'20_Registro_Diario'!A381)</f>
        <v/>
      </c>
      <c r="B381" s="359" t="str">
        <f>IF(A381="","",--(LOWER('20_Registro_Diario'!C381)="sí"))</f>
        <v/>
      </c>
      <c r="C381" s="359" t="str">
        <f>IF(A381="","",--(LOWER('20_Registro_Diario'!D381)="sí"))</f>
        <v/>
      </c>
      <c r="D381" s="359" t="str">
        <f>IF(A381="","",--(LOWER('20_Registro_Diario'!E381)="sí"))</f>
        <v/>
      </c>
      <c r="E381" s="359" t="str">
        <f>IF(A381="","",--(LOWER('20_Registro_Diario'!F381)="sí"))</f>
        <v/>
      </c>
      <c r="F381" s="359" t="str">
        <f>IF(A381="","",--(LOWER('20_Registro_Diario'!G381)="sí"))</f>
        <v/>
      </c>
      <c r="G381" s="366" t="str">
        <f>IF(A381="","",IFERROR('20_Registro_Diario'!I381,0))</f>
        <v/>
      </c>
      <c r="H381" s="368" t="str">
        <f t="shared" si="42"/>
        <v/>
      </c>
      <c r="I381" s="359" t="str">
        <f t="shared" si="43"/>
        <v/>
      </c>
      <c r="J381" s="359" t="str">
        <f t="shared" si="44"/>
        <v/>
      </c>
      <c r="K381" s="359" t="str">
        <f t="shared" si="45"/>
        <v/>
      </c>
      <c r="L381" s="359" t="str">
        <f t="shared" si="46"/>
        <v/>
      </c>
      <c r="M381" s="359" t="str">
        <f t="shared" si="47"/>
        <v/>
      </c>
      <c r="N381" s="149" t="str">
        <f t="shared" si="48"/>
        <v/>
      </c>
    </row>
    <row r="382" spans="1:14">
      <c r="A382" s="417" t="str">
        <f>IF(OR('20_Registro_Diario'!A382="",'20_Registro_Diario'!A382=0),"",'20_Registro_Diario'!A382)</f>
        <v/>
      </c>
      <c r="B382" s="359" t="str">
        <f>IF(A382="","",--(LOWER('20_Registro_Diario'!C382)="sí"))</f>
        <v/>
      </c>
      <c r="C382" s="359" t="str">
        <f>IF(A382="","",--(LOWER('20_Registro_Diario'!D382)="sí"))</f>
        <v/>
      </c>
      <c r="D382" s="359" t="str">
        <f>IF(A382="","",--(LOWER('20_Registro_Diario'!E382)="sí"))</f>
        <v/>
      </c>
      <c r="E382" s="359" t="str">
        <f>IF(A382="","",--(LOWER('20_Registro_Diario'!F382)="sí"))</f>
        <v/>
      </c>
      <c r="F382" s="359" t="str">
        <f>IF(A382="","",--(LOWER('20_Registro_Diario'!G382)="sí"))</f>
        <v/>
      </c>
      <c r="G382" s="366" t="str">
        <f>IF(A382="","",IFERROR('20_Registro_Diario'!I382,0))</f>
        <v/>
      </c>
      <c r="H382" s="368" t="str">
        <f t="shared" si="42"/>
        <v/>
      </c>
      <c r="I382" s="359" t="str">
        <f t="shared" si="43"/>
        <v/>
      </c>
      <c r="J382" s="359" t="str">
        <f t="shared" si="44"/>
        <v/>
      </c>
      <c r="K382" s="359" t="str">
        <f t="shared" si="45"/>
        <v/>
      </c>
      <c r="L382" s="359" t="str">
        <f t="shared" si="46"/>
        <v/>
      </c>
      <c r="M382" s="359" t="str">
        <f t="shared" si="47"/>
        <v/>
      </c>
      <c r="N382" s="149" t="str">
        <f t="shared" si="48"/>
        <v/>
      </c>
    </row>
    <row r="383" spans="1:14">
      <c r="A383" s="417" t="str">
        <f>IF(OR('20_Registro_Diario'!A383="",'20_Registro_Diario'!A383=0),"",'20_Registro_Diario'!A383)</f>
        <v/>
      </c>
      <c r="B383" s="359" t="str">
        <f>IF(A383="","",--(LOWER('20_Registro_Diario'!C383)="sí"))</f>
        <v/>
      </c>
      <c r="C383" s="359" t="str">
        <f>IF(A383="","",--(LOWER('20_Registro_Diario'!D383)="sí"))</f>
        <v/>
      </c>
      <c r="D383" s="359" t="str">
        <f>IF(A383="","",--(LOWER('20_Registro_Diario'!E383)="sí"))</f>
        <v/>
      </c>
      <c r="E383" s="359" t="str">
        <f>IF(A383="","",--(LOWER('20_Registro_Diario'!F383)="sí"))</f>
        <v/>
      </c>
      <c r="F383" s="359" t="str">
        <f>IF(A383="","",--(LOWER('20_Registro_Diario'!G383)="sí"))</f>
        <v/>
      </c>
      <c r="G383" s="366" t="str">
        <f>IF(A383="","",IFERROR('20_Registro_Diario'!I383,0))</f>
        <v/>
      </c>
      <c r="H383" s="368" t="str">
        <f t="shared" si="42"/>
        <v/>
      </c>
      <c r="I383" s="359" t="str">
        <f t="shared" si="43"/>
        <v/>
      </c>
      <c r="J383" s="359" t="str">
        <f t="shared" si="44"/>
        <v/>
      </c>
      <c r="K383" s="359" t="str">
        <f t="shared" si="45"/>
        <v/>
      </c>
      <c r="L383" s="359" t="str">
        <f t="shared" si="46"/>
        <v/>
      </c>
      <c r="M383" s="359" t="str">
        <f t="shared" si="47"/>
        <v/>
      </c>
      <c r="N383" s="149" t="str">
        <f t="shared" si="48"/>
        <v/>
      </c>
    </row>
    <row r="384" spans="1:14">
      <c r="A384" s="417" t="str">
        <f>IF(OR('20_Registro_Diario'!A384="",'20_Registro_Diario'!A384=0),"",'20_Registro_Diario'!A384)</f>
        <v/>
      </c>
      <c r="B384" s="359" t="str">
        <f>IF(A384="","",--(LOWER('20_Registro_Diario'!C384)="sí"))</f>
        <v/>
      </c>
      <c r="C384" s="359" t="str">
        <f>IF(A384="","",--(LOWER('20_Registro_Diario'!D384)="sí"))</f>
        <v/>
      </c>
      <c r="D384" s="359" t="str">
        <f>IF(A384="","",--(LOWER('20_Registro_Diario'!E384)="sí"))</f>
        <v/>
      </c>
      <c r="E384" s="359" t="str">
        <f>IF(A384="","",--(LOWER('20_Registro_Diario'!F384)="sí"))</f>
        <v/>
      </c>
      <c r="F384" s="359" t="str">
        <f>IF(A384="","",--(LOWER('20_Registro_Diario'!G384)="sí"))</f>
        <v/>
      </c>
      <c r="G384" s="366" t="str">
        <f>IF(A384="","",IFERROR('20_Registro_Diario'!I384,0))</f>
        <v/>
      </c>
      <c r="H384" s="368" t="str">
        <f t="shared" si="42"/>
        <v/>
      </c>
      <c r="I384" s="359" t="str">
        <f t="shared" si="43"/>
        <v/>
      </c>
      <c r="J384" s="359" t="str">
        <f t="shared" si="44"/>
        <v/>
      </c>
      <c r="K384" s="359" t="str">
        <f t="shared" si="45"/>
        <v/>
      </c>
      <c r="L384" s="359" t="str">
        <f t="shared" si="46"/>
        <v/>
      </c>
      <c r="M384" s="359" t="str">
        <f t="shared" si="47"/>
        <v/>
      </c>
      <c r="N384" s="149" t="str">
        <f t="shared" si="48"/>
        <v/>
      </c>
    </row>
    <row r="385" spans="1:14">
      <c r="A385" s="417" t="str">
        <f>IF(OR('20_Registro_Diario'!A385="",'20_Registro_Diario'!A385=0),"",'20_Registro_Diario'!A385)</f>
        <v/>
      </c>
      <c r="B385" s="359" t="str">
        <f>IF(A385="","",--(LOWER('20_Registro_Diario'!C385)="sí"))</f>
        <v/>
      </c>
      <c r="C385" s="359" t="str">
        <f>IF(A385="","",--(LOWER('20_Registro_Diario'!D385)="sí"))</f>
        <v/>
      </c>
      <c r="D385" s="359" t="str">
        <f>IF(A385="","",--(LOWER('20_Registro_Diario'!E385)="sí"))</f>
        <v/>
      </c>
      <c r="E385" s="359" t="str">
        <f>IF(A385="","",--(LOWER('20_Registro_Diario'!F385)="sí"))</f>
        <v/>
      </c>
      <c r="F385" s="359" t="str">
        <f>IF(A385="","",--(LOWER('20_Registro_Diario'!G385)="sí"))</f>
        <v/>
      </c>
      <c r="G385" s="366" t="str">
        <f>IF(A385="","",IFERROR('20_Registro_Diario'!I385,0))</f>
        <v/>
      </c>
      <c r="H385" s="368" t="str">
        <f t="shared" si="42"/>
        <v/>
      </c>
      <c r="I385" s="359" t="str">
        <f t="shared" si="43"/>
        <v/>
      </c>
      <c r="J385" s="359" t="str">
        <f t="shared" si="44"/>
        <v/>
      </c>
      <c r="K385" s="359" t="str">
        <f t="shared" si="45"/>
        <v/>
      </c>
      <c r="L385" s="359" t="str">
        <f t="shared" si="46"/>
        <v/>
      </c>
      <c r="M385" s="359" t="str">
        <f t="shared" si="47"/>
        <v/>
      </c>
      <c r="N385" s="149" t="str">
        <f t="shared" si="48"/>
        <v/>
      </c>
    </row>
    <row r="386" spans="1:14">
      <c r="A386" s="417" t="str">
        <f>IF(OR('20_Registro_Diario'!A386="",'20_Registro_Diario'!A386=0),"",'20_Registro_Diario'!A386)</f>
        <v/>
      </c>
      <c r="B386" s="359" t="str">
        <f>IF(A386="","",--(LOWER('20_Registro_Diario'!C386)="sí"))</f>
        <v/>
      </c>
      <c r="C386" s="359" t="str">
        <f>IF(A386="","",--(LOWER('20_Registro_Diario'!D386)="sí"))</f>
        <v/>
      </c>
      <c r="D386" s="359" t="str">
        <f>IF(A386="","",--(LOWER('20_Registro_Diario'!E386)="sí"))</f>
        <v/>
      </c>
      <c r="E386" s="359" t="str">
        <f>IF(A386="","",--(LOWER('20_Registro_Diario'!F386)="sí"))</f>
        <v/>
      </c>
      <c r="F386" s="359" t="str">
        <f>IF(A386="","",--(LOWER('20_Registro_Diario'!G386)="sí"))</f>
        <v/>
      </c>
      <c r="G386" s="366" t="str">
        <f>IF(A386="","",IFERROR('20_Registro_Diario'!I386,0))</f>
        <v/>
      </c>
      <c r="H386" s="368" t="str">
        <f t="shared" si="42"/>
        <v/>
      </c>
      <c r="I386" s="359" t="str">
        <f t="shared" si="43"/>
        <v/>
      </c>
      <c r="J386" s="359" t="str">
        <f t="shared" si="44"/>
        <v/>
      </c>
      <c r="K386" s="359" t="str">
        <f t="shared" si="45"/>
        <v/>
      </c>
      <c r="L386" s="359" t="str">
        <f t="shared" si="46"/>
        <v/>
      </c>
      <c r="M386" s="359" t="str">
        <f t="shared" si="47"/>
        <v/>
      </c>
      <c r="N386" s="149" t="str">
        <f t="shared" si="48"/>
        <v/>
      </c>
    </row>
    <row r="387" spans="1:14">
      <c r="A387" s="417" t="str">
        <f>IF(OR('20_Registro_Diario'!A387="",'20_Registro_Diario'!A387=0),"",'20_Registro_Diario'!A387)</f>
        <v/>
      </c>
      <c r="B387" s="359" t="str">
        <f>IF(A387="","",--(LOWER('20_Registro_Diario'!C387)="sí"))</f>
        <v/>
      </c>
      <c r="C387" s="359" t="str">
        <f>IF(A387="","",--(LOWER('20_Registro_Diario'!D387)="sí"))</f>
        <v/>
      </c>
      <c r="D387" s="359" t="str">
        <f>IF(A387="","",--(LOWER('20_Registro_Diario'!E387)="sí"))</f>
        <v/>
      </c>
      <c r="E387" s="359" t="str">
        <f>IF(A387="","",--(LOWER('20_Registro_Diario'!F387)="sí"))</f>
        <v/>
      </c>
      <c r="F387" s="359" t="str">
        <f>IF(A387="","",--(LOWER('20_Registro_Diario'!G387)="sí"))</f>
        <v/>
      </c>
      <c r="G387" s="366" t="str">
        <f>IF(A387="","",IFERROR('20_Registro_Diario'!I387,0))</f>
        <v/>
      </c>
      <c r="H387" s="368" t="str">
        <f t="shared" si="42"/>
        <v/>
      </c>
      <c r="I387" s="359" t="str">
        <f t="shared" si="43"/>
        <v/>
      </c>
      <c r="J387" s="359" t="str">
        <f t="shared" si="44"/>
        <v/>
      </c>
      <c r="K387" s="359" t="str">
        <f t="shared" si="45"/>
        <v/>
      </c>
      <c r="L387" s="359" t="str">
        <f t="shared" si="46"/>
        <v/>
      </c>
      <c r="M387" s="359" t="str">
        <f t="shared" si="47"/>
        <v/>
      </c>
      <c r="N387" s="149" t="str">
        <f t="shared" si="48"/>
        <v/>
      </c>
    </row>
    <row r="388" spans="1:14">
      <c r="A388" s="417" t="str">
        <f>IF(OR('20_Registro_Diario'!A388="",'20_Registro_Diario'!A388=0),"",'20_Registro_Diario'!A388)</f>
        <v/>
      </c>
      <c r="B388" s="359" t="str">
        <f>IF(A388="","",--(LOWER('20_Registro_Diario'!C388)="sí"))</f>
        <v/>
      </c>
      <c r="C388" s="359" t="str">
        <f>IF(A388="","",--(LOWER('20_Registro_Diario'!D388)="sí"))</f>
        <v/>
      </c>
      <c r="D388" s="359" t="str">
        <f>IF(A388="","",--(LOWER('20_Registro_Diario'!E388)="sí"))</f>
        <v/>
      </c>
      <c r="E388" s="359" t="str">
        <f>IF(A388="","",--(LOWER('20_Registro_Diario'!F388)="sí"))</f>
        <v/>
      </c>
      <c r="F388" s="359" t="str">
        <f>IF(A388="","",--(LOWER('20_Registro_Diario'!G388)="sí"))</f>
        <v/>
      </c>
      <c r="G388" s="366" t="str">
        <f>IF(A388="","",IFERROR('20_Registro_Diario'!I388,0))</f>
        <v/>
      </c>
      <c r="H388" s="368" t="str">
        <f t="shared" si="42"/>
        <v/>
      </c>
      <c r="I388" s="359" t="str">
        <f t="shared" si="43"/>
        <v/>
      </c>
      <c r="J388" s="359" t="str">
        <f t="shared" si="44"/>
        <v/>
      </c>
      <c r="K388" s="359" t="str">
        <f t="shared" si="45"/>
        <v/>
      </c>
      <c r="L388" s="359" t="str">
        <f t="shared" si="46"/>
        <v/>
      </c>
      <c r="M388" s="359" t="str">
        <f t="shared" si="47"/>
        <v/>
      </c>
      <c r="N388" s="149" t="str">
        <f t="shared" si="48"/>
        <v/>
      </c>
    </row>
    <row r="389" spans="1:14">
      <c r="A389" s="417" t="str">
        <f>IF(OR('20_Registro_Diario'!A389="",'20_Registro_Diario'!A389=0),"",'20_Registro_Diario'!A389)</f>
        <v/>
      </c>
      <c r="B389" s="359" t="str">
        <f>IF(A389="","",--(LOWER('20_Registro_Diario'!C389)="sí"))</f>
        <v/>
      </c>
      <c r="C389" s="359" t="str">
        <f>IF(A389="","",--(LOWER('20_Registro_Diario'!D389)="sí"))</f>
        <v/>
      </c>
      <c r="D389" s="359" t="str">
        <f>IF(A389="","",--(LOWER('20_Registro_Diario'!E389)="sí"))</f>
        <v/>
      </c>
      <c r="E389" s="359" t="str">
        <f>IF(A389="","",--(LOWER('20_Registro_Diario'!F389)="sí"))</f>
        <v/>
      </c>
      <c r="F389" s="359" t="str">
        <f>IF(A389="","",--(LOWER('20_Registro_Diario'!G389)="sí"))</f>
        <v/>
      </c>
      <c r="G389" s="366" t="str">
        <f>IF(A389="","",IFERROR('20_Registro_Diario'!I389,0))</f>
        <v/>
      </c>
      <c r="H389" s="368" t="str">
        <f t="shared" ref="H389:H403" si="49">IF(A389="","",IFERROR(SUM(B389:F389)/5,0))</f>
        <v/>
      </c>
      <c r="I389" s="359" t="str">
        <f t="shared" ref="I389:I403" si="50">IF(A389="","",IF(H389&gt;=0.8,"🟢 Fuerte",IF(H389&gt;=0.5,"🟡 En proceso","🔴 Riesgo")))</f>
        <v/>
      </c>
      <c r="J389" s="359" t="str">
        <f t="shared" ref="J389:J403" si="51">IF(A389="","",IF(B389=1,"Sí","No"))</f>
        <v/>
      </c>
      <c r="K389" s="359" t="str">
        <f t="shared" ref="K389:K403" si="52">IF(A389="","",IF(D389=1,"Con universidad","Sin universidad"))</f>
        <v/>
      </c>
      <c r="L389" s="359" t="str">
        <f t="shared" ref="L389:L403" si="53">IF(A389="","",IF(H389&gt;=0.8,"Alto",IF(H389&gt;=0.5,"Medio","Bajo")))</f>
        <v/>
      </c>
      <c r="M389" s="359" t="str">
        <f t="shared" ref="M389:M403" si="54">IF(A389="","",IF(H389&gt;=0.8,"🟢 Fuerte",IF(H389&gt;=0.5,"🟡 Día útil","🔴 Revisar")))</f>
        <v/>
      </c>
      <c r="N389" s="149" t="str">
        <f t="shared" ref="N389:N403" si="55">IF(A389="","",H389*100)</f>
        <v/>
      </c>
    </row>
    <row r="390" spans="1:14">
      <c r="A390" s="417" t="str">
        <f>IF(OR('20_Registro_Diario'!A390="",'20_Registro_Diario'!A390=0),"",'20_Registro_Diario'!A390)</f>
        <v/>
      </c>
      <c r="B390" s="359" t="str">
        <f>IF(A390="","",--(LOWER('20_Registro_Diario'!C390)="sí"))</f>
        <v/>
      </c>
      <c r="C390" s="359" t="str">
        <f>IF(A390="","",--(LOWER('20_Registro_Diario'!D390)="sí"))</f>
        <v/>
      </c>
      <c r="D390" s="359" t="str">
        <f>IF(A390="","",--(LOWER('20_Registro_Diario'!E390)="sí"))</f>
        <v/>
      </c>
      <c r="E390" s="359" t="str">
        <f>IF(A390="","",--(LOWER('20_Registro_Diario'!F390)="sí"))</f>
        <v/>
      </c>
      <c r="F390" s="359" t="str">
        <f>IF(A390="","",--(LOWER('20_Registro_Diario'!G390)="sí"))</f>
        <v/>
      </c>
      <c r="G390" s="366" t="str">
        <f>IF(A390="","",IFERROR('20_Registro_Diario'!I390,0))</f>
        <v/>
      </c>
      <c r="H390" s="368" t="str">
        <f t="shared" si="49"/>
        <v/>
      </c>
      <c r="I390" s="359" t="str">
        <f t="shared" si="50"/>
        <v/>
      </c>
      <c r="J390" s="359" t="str">
        <f t="shared" si="51"/>
        <v/>
      </c>
      <c r="K390" s="359" t="str">
        <f t="shared" si="52"/>
        <v/>
      </c>
      <c r="L390" s="359" t="str">
        <f t="shared" si="53"/>
        <v/>
      </c>
      <c r="M390" s="359" t="str">
        <f t="shared" si="54"/>
        <v/>
      </c>
      <c r="N390" s="149" t="str">
        <f t="shared" si="55"/>
        <v/>
      </c>
    </row>
    <row r="391" spans="1:14">
      <c r="A391" s="417" t="str">
        <f>IF(OR('20_Registro_Diario'!A391="",'20_Registro_Diario'!A391=0),"",'20_Registro_Diario'!A391)</f>
        <v/>
      </c>
      <c r="B391" s="359" t="str">
        <f>IF(A391="","",--(LOWER('20_Registro_Diario'!C391)="sí"))</f>
        <v/>
      </c>
      <c r="C391" s="359" t="str">
        <f>IF(A391="","",--(LOWER('20_Registro_Diario'!D391)="sí"))</f>
        <v/>
      </c>
      <c r="D391" s="359" t="str">
        <f>IF(A391="","",--(LOWER('20_Registro_Diario'!E391)="sí"))</f>
        <v/>
      </c>
      <c r="E391" s="359" t="str">
        <f>IF(A391="","",--(LOWER('20_Registro_Diario'!F391)="sí"))</f>
        <v/>
      </c>
      <c r="F391" s="359" t="str">
        <f>IF(A391="","",--(LOWER('20_Registro_Diario'!G391)="sí"))</f>
        <v/>
      </c>
      <c r="G391" s="366" t="str">
        <f>IF(A391="","",IFERROR('20_Registro_Diario'!I391,0))</f>
        <v/>
      </c>
      <c r="H391" s="368" t="str">
        <f t="shared" si="49"/>
        <v/>
      </c>
      <c r="I391" s="359" t="str">
        <f t="shared" si="50"/>
        <v/>
      </c>
      <c r="J391" s="359" t="str">
        <f t="shared" si="51"/>
        <v/>
      </c>
      <c r="K391" s="359" t="str">
        <f t="shared" si="52"/>
        <v/>
      </c>
      <c r="L391" s="359" t="str">
        <f t="shared" si="53"/>
        <v/>
      </c>
      <c r="M391" s="359" t="str">
        <f t="shared" si="54"/>
        <v/>
      </c>
      <c r="N391" s="149" t="str">
        <f t="shared" si="55"/>
        <v/>
      </c>
    </row>
    <row r="392" spans="1:14">
      <c r="A392" s="417" t="str">
        <f>IF(OR('20_Registro_Diario'!A392="",'20_Registro_Diario'!A392=0),"",'20_Registro_Diario'!A392)</f>
        <v/>
      </c>
      <c r="B392" s="359" t="str">
        <f>IF(A392="","",--(LOWER('20_Registro_Diario'!C392)="sí"))</f>
        <v/>
      </c>
      <c r="C392" s="359" t="str">
        <f>IF(A392="","",--(LOWER('20_Registro_Diario'!D392)="sí"))</f>
        <v/>
      </c>
      <c r="D392" s="359" t="str">
        <f>IF(A392="","",--(LOWER('20_Registro_Diario'!E392)="sí"))</f>
        <v/>
      </c>
      <c r="E392" s="359" t="str">
        <f>IF(A392="","",--(LOWER('20_Registro_Diario'!F392)="sí"))</f>
        <v/>
      </c>
      <c r="F392" s="359" t="str">
        <f>IF(A392="","",--(LOWER('20_Registro_Diario'!G392)="sí"))</f>
        <v/>
      </c>
      <c r="G392" s="366" t="str">
        <f>IF(A392="","",IFERROR('20_Registro_Diario'!I392,0))</f>
        <v/>
      </c>
      <c r="H392" s="368" t="str">
        <f t="shared" si="49"/>
        <v/>
      </c>
      <c r="I392" s="359" t="str">
        <f t="shared" si="50"/>
        <v/>
      </c>
      <c r="J392" s="359" t="str">
        <f t="shared" si="51"/>
        <v/>
      </c>
      <c r="K392" s="359" t="str">
        <f t="shared" si="52"/>
        <v/>
      </c>
      <c r="L392" s="359" t="str">
        <f t="shared" si="53"/>
        <v/>
      </c>
      <c r="M392" s="359" t="str">
        <f t="shared" si="54"/>
        <v/>
      </c>
      <c r="N392" s="149" t="str">
        <f t="shared" si="55"/>
        <v/>
      </c>
    </row>
    <row r="393" spans="1:14">
      <c r="A393" s="417" t="str">
        <f>IF(OR('20_Registro_Diario'!A393="",'20_Registro_Diario'!A393=0),"",'20_Registro_Diario'!A393)</f>
        <v/>
      </c>
      <c r="B393" s="359" t="str">
        <f>IF(A393="","",--(LOWER('20_Registro_Diario'!C393)="sí"))</f>
        <v/>
      </c>
      <c r="C393" s="359" t="str">
        <f>IF(A393="","",--(LOWER('20_Registro_Diario'!D393)="sí"))</f>
        <v/>
      </c>
      <c r="D393" s="359" t="str">
        <f>IF(A393="","",--(LOWER('20_Registro_Diario'!E393)="sí"))</f>
        <v/>
      </c>
      <c r="E393" s="359" t="str">
        <f>IF(A393="","",--(LOWER('20_Registro_Diario'!F393)="sí"))</f>
        <v/>
      </c>
      <c r="F393" s="359" t="str">
        <f>IF(A393="","",--(LOWER('20_Registro_Diario'!G393)="sí"))</f>
        <v/>
      </c>
      <c r="G393" s="366" t="str">
        <f>IF(A393="","",IFERROR('20_Registro_Diario'!I393,0))</f>
        <v/>
      </c>
      <c r="H393" s="368" t="str">
        <f t="shared" si="49"/>
        <v/>
      </c>
      <c r="I393" s="359" t="str">
        <f t="shared" si="50"/>
        <v/>
      </c>
      <c r="J393" s="359" t="str">
        <f t="shared" si="51"/>
        <v/>
      </c>
      <c r="K393" s="359" t="str">
        <f t="shared" si="52"/>
        <v/>
      </c>
      <c r="L393" s="359" t="str">
        <f t="shared" si="53"/>
        <v/>
      </c>
      <c r="M393" s="359" t="str">
        <f t="shared" si="54"/>
        <v/>
      </c>
      <c r="N393" s="149" t="str">
        <f t="shared" si="55"/>
        <v/>
      </c>
    </row>
    <row r="394" spans="1:14">
      <c r="A394" s="417" t="str">
        <f>IF(OR('20_Registro_Diario'!A394="",'20_Registro_Diario'!A394=0),"",'20_Registro_Diario'!A394)</f>
        <v/>
      </c>
      <c r="B394" s="359" t="str">
        <f>IF(A394="","",--(LOWER('20_Registro_Diario'!C394)="sí"))</f>
        <v/>
      </c>
      <c r="C394" s="359" t="str">
        <f>IF(A394="","",--(LOWER('20_Registro_Diario'!D394)="sí"))</f>
        <v/>
      </c>
      <c r="D394" s="359" t="str">
        <f>IF(A394="","",--(LOWER('20_Registro_Diario'!E394)="sí"))</f>
        <v/>
      </c>
      <c r="E394" s="359" t="str">
        <f>IF(A394="","",--(LOWER('20_Registro_Diario'!F394)="sí"))</f>
        <v/>
      </c>
      <c r="F394" s="359" t="str">
        <f>IF(A394="","",--(LOWER('20_Registro_Diario'!G394)="sí"))</f>
        <v/>
      </c>
      <c r="G394" s="366" t="str">
        <f>IF(A394="","",IFERROR('20_Registro_Diario'!I394,0))</f>
        <v/>
      </c>
      <c r="H394" s="368" t="str">
        <f t="shared" si="49"/>
        <v/>
      </c>
      <c r="I394" s="359" t="str">
        <f t="shared" si="50"/>
        <v/>
      </c>
      <c r="J394" s="359" t="str">
        <f t="shared" si="51"/>
        <v/>
      </c>
      <c r="K394" s="359" t="str">
        <f t="shared" si="52"/>
        <v/>
      </c>
      <c r="L394" s="359" t="str">
        <f t="shared" si="53"/>
        <v/>
      </c>
      <c r="M394" s="359" t="str">
        <f t="shared" si="54"/>
        <v/>
      </c>
      <c r="N394" s="149" t="str">
        <f t="shared" si="55"/>
        <v/>
      </c>
    </row>
    <row r="395" spans="1:14">
      <c r="A395" s="417" t="str">
        <f>IF(OR('20_Registro_Diario'!A395="",'20_Registro_Diario'!A395=0),"",'20_Registro_Diario'!A395)</f>
        <v/>
      </c>
      <c r="B395" s="359" t="str">
        <f>IF(A395="","",--(LOWER('20_Registro_Diario'!C395)="sí"))</f>
        <v/>
      </c>
      <c r="C395" s="359" t="str">
        <f>IF(A395="","",--(LOWER('20_Registro_Diario'!D395)="sí"))</f>
        <v/>
      </c>
      <c r="D395" s="359" t="str">
        <f>IF(A395="","",--(LOWER('20_Registro_Diario'!E395)="sí"))</f>
        <v/>
      </c>
      <c r="E395" s="359" t="str">
        <f>IF(A395="","",--(LOWER('20_Registro_Diario'!F395)="sí"))</f>
        <v/>
      </c>
      <c r="F395" s="359" t="str">
        <f>IF(A395="","",--(LOWER('20_Registro_Diario'!G395)="sí"))</f>
        <v/>
      </c>
      <c r="G395" s="366" t="str">
        <f>IF(A395="","",IFERROR('20_Registro_Diario'!I395,0))</f>
        <v/>
      </c>
      <c r="H395" s="368" t="str">
        <f t="shared" si="49"/>
        <v/>
      </c>
      <c r="I395" s="359" t="str">
        <f t="shared" si="50"/>
        <v/>
      </c>
      <c r="J395" s="359" t="str">
        <f t="shared" si="51"/>
        <v/>
      </c>
      <c r="K395" s="359" t="str">
        <f t="shared" si="52"/>
        <v/>
      </c>
      <c r="L395" s="359" t="str">
        <f t="shared" si="53"/>
        <v/>
      </c>
      <c r="M395" s="359" t="str">
        <f t="shared" si="54"/>
        <v/>
      </c>
      <c r="N395" s="149" t="str">
        <f t="shared" si="55"/>
        <v/>
      </c>
    </row>
    <row r="396" spans="1:14">
      <c r="A396" s="417" t="str">
        <f>IF(OR('20_Registro_Diario'!A396="",'20_Registro_Diario'!A396=0),"",'20_Registro_Diario'!A396)</f>
        <v/>
      </c>
      <c r="B396" s="359" t="str">
        <f>IF(A396="","",--(LOWER('20_Registro_Diario'!C396)="sí"))</f>
        <v/>
      </c>
      <c r="C396" s="359" t="str">
        <f>IF(A396="","",--(LOWER('20_Registro_Diario'!D396)="sí"))</f>
        <v/>
      </c>
      <c r="D396" s="359" t="str">
        <f>IF(A396="","",--(LOWER('20_Registro_Diario'!E396)="sí"))</f>
        <v/>
      </c>
      <c r="E396" s="359" t="str">
        <f>IF(A396="","",--(LOWER('20_Registro_Diario'!F396)="sí"))</f>
        <v/>
      </c>
      <c r="F396" s="359" t="str">
        <f>IF(A396="","",--(LOWER('20_Registro_Diario'!G396)="sí"))</f>
        <v/>
      </c>
      <c r="G396" s="366" t="str">
        <f>IF(A396="","",IFERROR('20_Registro_Diario'!I396,0))</f>
        <v/>
      </c>
      <c r="H396" s="368" t="str">
        <f t="shared" si="49"/>
        <v/>
      </c>
      <c r="I396" s="359" t="str">
        <f t="shared" si="50"/>
        <v/>
      </c>
      <c r="J396" s="359" t="str">
        <f t="shared" si="51"/>
        <v/>
      </c>
      <c r="K396" s="359" t="str">
        <f t="shared" si="52"/>
        <v/>
      </c>
      <c r="L396" s="359" t="str">
        <f t="shared" si="53"/>
        <v/>
      </c>
      <c r="M396" s="359" t="str">
        <f t="shared" si="54"/>
        <v/>
      </c>
      <c r="N396" s="149" t="str">
        <f t="shared" si="55"/>
        <v/>
      </c>
    </row>
    <row r="397" spans="1:14">
      <c r="A397" s="417" t="str">
        <f>IF(OR('20_Registro_Diario'!A397="",'20_Registro_Diario'!A397=0),"",'20_Registro_Diario'!A397)</f>
        <v/>
      </c>
      <c r="B397" s="359" t="str">
        <f>IF(A397="","",--(LOWER('20_Registro_Diario'!C397)="sí"))</f>
        <v/>
      </c>
      <c r="C397" s="359" t="str">
        <f>IF(A397="","",--(LOWER('20_Registro_Diario'!D397)="sí"))</f>
        <v/>
      </c>
      <c r="D397" s="359" t="str">
        <f>IF(A397="","",--(LOWER('20_Registro_Diario'!E397)="sí"))</f>
        <v/>
      </c>
      <c r="E397" s="359" t="str">
        <f>IF(A397="","",--(LOWER('20_Registro_Diario'!F397)="sí"))</f>
        <v/>
      </c>
      <c r="F397" s="359" t="str">
        <f>IF(A397="","",--(LOWER('20_Registro_Diario'!G397)="sí"))</f>
        <v/>
      </c>
      <c r="G397" s="366" t="str">
        <f>IF(A397="","",IFERROR('20_Registro_Diario'!I397,0))</f>
        <v/>
      </c>
      <c r="H397" s="368" t="str">
        <f t="shared" si="49"/>
        <v/>
      </c>
      <c r="I397" s="359" t="str">
        <f t="shared" si="50"/>
        <v/>
      </c>
      <c r="J397" s="359" t="str">
        <f t="shared" si="51"/>
        <v/>
      </c>
      <c r="K397" s="359" t="str">
        <f t="shared" si="52"/>
        <v/>
      </c>
      <c r="L397" s="359" t="str">
        <f t="shared" si="53"/>
        <v/>
      </c>
      <c r="M397" s="359" t="str">
        <f t="shared" si="54"/>
        <v/>
      </c>
      <c r="N397" s="149" t="str">
        <f t="shared" si="55"/>
        <v/>
      </c>
    </row>
    <row r="398" spans="1:14">
      <c r="A398" s="417" t="str">
        <f>IF(OR('20_Registro_Diario'!A398="",'20_Registro_Diario'!A398=0),"",'20_Registro_Diario'!A398)</f>
        <v/>
      </c>
      <c r="B398" s="359" t="str">
        <f>IF(A398="","",--(LOWER('20_Registro_Diario'!C398)="sí"))</f>
        <v/>
      </c>
      <c r="C398" s="359" t="str">
        <f>IF(A398="","",--(LOWER('20_Registro_Diario'!D398)="sí"))</f>
        <v/>
      </c>
      <c r="D398" s="359" t="str">
        <f>IF(A398="","",--(LOWER('20_Registro_Diario'!E398)="sí"))</f>
        <v/>
      </c>
      <c r="E398" s="359" t="str">
        <f>IF(A398="","",--(LOWER('20_Registro_Diario'!F398)="sí"))</f>
        <v/>
      </c>
      <c r="F398" s="359" t="str">
        <f>IF(A398="","",--(LOWER('20_Registro_Diario'!G398)="sí"))</f>
        <v/>
      </c>
      <c r="G398" s="366" t="str">
        <f>IF(A398="","",IFERROR('20_Registro_Diario'!I398,0))</f>
        <v/>
      </c>
      <c r="H398" s="368" t="str">
        <f t="shared" si="49"/>
        <v/>
      </c>
      <c r="I398" s="359" t="str">
        <f t="shared" si="50"/>
        <v/>
      </c>
      <c r="J398" s="359" t="str">
        <f t="shared" si="51"/>
        <v/>
      </c>
      <c r="K398" s="359" t="str">
        <f t="shared" si="52"/>
        <v/>
      </c>
      <c r="L398" s="359" t="str">
        <f t="shared" si="53"/>
        <v/>
      </c>
      <c r="M398" s="359" t="str">
        <f t="shared" si="54"/>
        <v/>
      </c>
      <c r="N398" s="149" t="str">
        <f t="shared" si="55"/>
        <v/>
      </c>
    </row>
    <row r="399" spans="1:14">
      <c r="A399" s="417" t="str">
        <f>IF(OR('20_Registro_Diario'!A399="",'20_Registro_Diario'!A399=0),"",'20_Registro_Diario'!A399)</f>
        <v/>
      </c>
      <c r="B399" s="359" t="str">
        <f>IF(A399="","",--(LOWER('20_Registro_Diario'!C399)="sí"))</f>
        <v/>
      </c>
      <c r="C399" s="359" t="str">
        <f>IF(A399="","",--(LOWER('20_Registro_Diario'!D399)="sí"))</f>
        <v/>
      </c>
      <c r="D399" s="359" t="str">
        <f>IF(A399="","",--(LOWER('20_Registro_Diario'!E399)="sí"))</f>
        <v/>
      </c>
      <c r="E399" s="359" t="str">
        <f>IF(A399="","",--(LOWER('20_Registro_Diario'!F399)="sí"))</f>
        <v/>
      </c>
      <c r="F399" s="359" t="str">
        <f>IF(A399="","",--(LOWER('20_Registro_Diario'!G399)="sí"))</f>
        <v/>
      </c>
      <c r="G399" s="366" t="str">
        <f>IF(A399="","",IFERROR('20_Registro_Diario'!I399,0))</f>
        <v/>
      </c>
      <c r="H399" s="368" t="str">
        <f t="shared" si="49"/>
        <v/>
      </c>
      <c r="I399" s="359" t="str">
        <f t="shared" si="50"/>
        <v/>
      </c>
      <c r="J399" s="359" t="str">
        <f t="shared" si="51"/>
        <v/>
      </c>
      <c r="K399" s="359" t="str">
        <f t="shared" si="52"/>
        <v/>
      </c>
      <c r="L399" s="359" t="str">
        <f t="shared" si="53"/>
        <v/>
      </c>
      <c r="M399" s="359" t="str">
        <f t="shared" si="54"/>
        <v/>
      </c>
      <c r="N399" s="149" t="str">
        <f t="shared" si="55"/>
        <v/>
      </c>
    </row>
    <row r="400" spans="1:14">
      <c r="A400" s="417" t="str">
        <f>IF(OR('20_Registro_Diario'!A400="",'20_Registro_Diario'!A400=0),"",'20_Registro_Diario'!A400)</f>
        <v/>
      </c>
      <c r="B400" s="359" t="str">
        <f>IF(A400="","",--(LOWER('20_Registro_Diario'!C400)="sí"))</f>
        <v/>
      </c>
      <c r="C400" s="359" t="str">
        <f>IF(A400="","",--(LOWER('20_Registro_Diario'!D400)="sí"))</f>
        <v/>
      </c>
      <c r="D400" s="359" t="str">
        <f>IF(A400="","",--(LOWER('20_Registro_Diario'!E400)="sí"))</f>
        <v/>
      </c>
      <c r="E400" s="359" t="str">
        <f>IF(A400="","",--(LOWER('20_Registro_Diario'!F400)="sí"))</f>
        <v/>
      </c>
      <c r="F400" s="359" t="str">
        <f>IF(A400="","",--(LOWER('20_Registro_Diario'!G400)="sí"))</f>
        <v/>
      </c>
      <c r="G400" s="366" t="str">
        <f>IF(A400="","",IFERROR('20_Registro_Diario'!I400,0))</f>
        <v/>
      </c>
      <c r="H400" s="368" t="str">
        <f t="shared" si="49"/>
        <v/>
      </c>
      <c r="I400" s="359" t="str">
        <f t="shared" si="50"/>
        <v/>
      </c>
      <c r="J400" s="359" t="str">
        <f t="shared" si="51"/>
        <v/>
      </c>
      <c r="K400" s="359" t="str">
        <f t="shared" si="52"/>
        <v/>
      </c>
      <c r="L400" s="359" t="str">
        <f t="shared" si="53"/>
        <v/>
      </c>
      <c r="M400" s="359" t="str">
        <f t="shared" si="54"/>
        <v/>
      </c>
      <c r="N400" s="149" t="str">
        <f t="shared" si="55"/>
        <v/>
      </c>
    </row>
    <row r="401" spans="1:14">
      <c r="A401" s="417" t="str">
        <f>IF(OR('20_Registro_Diario'!A401="",'20_Registro_Diario'!A401=0),"",'20_Registro_Diario'!A401)</f>
        <v/>
      </c>
      <c r="B401" s="359" t="str">
        <f>IF(A401="","",--(LOWER('20_Registro_Diario'!C401)="sí"))</f>
        <v/>
      </c>
      <c r="C401" s="359" t="str">
        <f>IF(A401="","",--(LOWER('20_Registro_Diario'!D401)="sí"))</f>
        <v/>
      </c>
      <c r="D401" s="359" t="str">
        <f>IF(A401="","",--(LOWER('20_Registro_Diario'!E401)="sí"))</f>
        <v/>
      </c>
      <c r="E401" s="359" t="str">
        <f>IF(A401="","",--(LOWER('20_Registro_Diario'!F401)="sí"))</f>
        <v/>
      </c>
      <c r="F401" s="359" t="str">
        <f>IF(A401="","",--(LOWER('20_Registro_Diario'!G401)="sí"))</f>
        <v/>
      </c>
      <c r="G401" s="366" t="str">
        <f>IF(A401="","",IFERROR('20_Registro_Diario'!I401,0))</f>
        <v/>
      </c>
      <c r="H401" s="368" t="str">
        <f t="shared" si="49"/>
        <v/>
      </c>
      <c r="I401" s="359" t="str">
        <f t="shared" si="50"/>
        <v/>
      </c>
      <c r="J401" s="359" t="str">
        <f t="shared" si="51"/>
        <v/>
      </c>
      <c r="K401" s="359" t="str">
        <f t="shared" si="52"/>
        <v/>
      </c>
      <c r="L401" s="359" t="str">
        <f t="shared" si="53"/>
        <v/>
      </c>
      <c r="M401" s="359" t="str">
        <f t="shared" si="54"/>
        <v/>
      </c>
      <c r="N401" s="149" t="str">
        <f t="shared" si="55"/>
        <v/>
      </c>
    </row>
    <row r="402" spans="1:14">
      <c r="A402" s="417" t="str">
        <f>IF(OR('20_Registro_Diario'!A402="",'20_Registro_Diario'!A402=0),"",'20_Registro_Diario'!A402)</f>
        <v/>
      </c>
      <c r="B402" s="359" t="str">
        <f>IF(A402="","",--(LOWER('20_Registro_Diario'!C402)="sí"))</f>
        <v/>
      </c>
      <c r="C402" s="359" t="str">
        <f>IF(A402="","",--(LOWER('20_Registro_Diario'!D402)="sí"))</f>
        <v/>
      </c>
      <c r="D402" s="359" t="str">
        <f>IF(A402="","",--(LOWER('20_Registro_Diario'!E402)="sí"))</f>
        <v/>
      </c>
      <c r="E402" s="359" t="str">
        <f>IF(A402="","",--(LOWER('20_Registro_Diario'!F402)="sí"))</f>
        <v/>
      </c>
      <c r="F402" s="359" t="str">
        <f>IF(A402="","",--(LOWER('20_Registro_Diario'!G402)="sí"))</f>
        <v/>
      </c>
      <c r="G402" s="366" t="str">
        <f>IF(A402="","",IFERROR('20_Registro_Diario'!I402,0))</f>
        <v/>
      </c>
      <c r="H402" s="368" t="str">
        <f t="shared" si="49"/>
        <v/>
      </c>
      <c r="I402" s="359" t="str">
        <f t="shared" si="50"/>
        <v/>
      </c>
      <c r="J402" s="359" t="str">
        <f t="shared" si="51"/>
        <v/>
      </c>
      <c r="K402" s="359" t="str">
        <f t="shared" si="52"/>
        <v/>
      </c>
      <c r="L402" s="359" t="str">
        <f t="shared" si="53"/>
        <v/>
      </c>
      <c r="M402" s="359" t="str">
        <f t="shared" si="54"/>
        <v/>
      </c>
      <c r="N402" s="149" t="str">
        <f t="shared" si="55"/>
        <v/>
      </c>
    </row>
    <row r="403" spans="1:14">
      <c r="A403" s="417" t="str">
        <f>IF(OR('20_Registro_Diario'!A403="",'20_Registro_Diario'!A403=0),"",'20_Registro_Diario'!A403)</f>
        <v/>
      </c>
      <c r="B403" s="359" t="str">
        <f>IF(A403="","",--(LOWER('20_Registro_Diario'!C403)="sí"))</f>
        <v/>
      </c>
      <c r="C403" s="359" t="str">
        <f>IF(A403="","",--(LOWER('20_Registro_Diario'!D403)="sí"))</f>
        <v/>
      </c>
      <c r="D403" s="359" t="str">
        <f>IF(A403="","",--(LOWER('20_Registro_Diario'!E403)="sí"))</f>
        <v/>
      </c>
      <c r="E403" s="359" t="str">
        <f>IF(A403="","",--(LOWER('20_Registro_Diario'!F403)="sí"))</f>
        <v/>
      </c>
      <c r="F403" s="359" t="str">
        <f>IF(A403="","",--(LOWER('20_Registro_Diario'!G403)="sí"))</f>
        <v/>
      </c>
      <c r="G403" s="366" t="str">
        <f>IF(A403="","",IFERROR('20_Registro_Diario'!I403,0))</f>
        <v/>
      </c>
      <c r="H403" s="368" t="str">
        <f t="shared" si="49"/>
        <v/>
      </c>
      <c r="I403" s="359" t="str">
        <f t="shared" si="50"/>
        <v/>
      </c>
      <c r="J403" s="359" t="str">
        <f t="shared" si="51"/>
        <v/>
      </c>
      <c r="K403" s="359" t="str">
        <f t="shared" si="52"/>
        <v/>
      </c>
      <c r="L403" s="359" t="str">
        <f t="shared" si="53"/>
        <v/>
      </c>
      <c r="M403" s="359" t="str">
        <f t="shared" si="54"/>
        <v/>
      </c>
      <c r="N403" s="149" t="str">
        <f t="shared" si="55"/>
        <v/>
      </c>
    </row>
  </sheetData>
  <mergeCells count="2">
    <mergeCell ref="A1:J1"/>
    <mergeCell ref="A2:J2"/>
  </mergeCells>
  <conditionalFormatting sqref="I5:I204">
    <cfRule type="expression" dxfId="950" priority="1">
      <formula>ISNUMBER(SEARCH("Riesgo",I5))</formula>
    </cfRule>
    <cfRule type="expression" dxfId="949" priority="2">
      <formula>ISNUMBER(SEARCH("Crítico",I5))</formula>
    </cfRule>
    <cfRule type="expression" dxfId="948" priority="3">
      <formula>ISNUMBER(SEARCH("Pendiente",I5))</formula>
    </cfRule>
    <cfRule type="expression" dxfId="947" priority="4">
      <formula>ISNUMBER(SEARCH("En proceso",I5))</formula>
    </cfRule>
    <cfRule type="expression" dxfId="946" priority="5">
      <formula>ISNUMBER(SEARCH("Atención",I5))</formula>
    </cfRule>
    <cfRule type="expression" dxfId="945" priority="6">
      <formula>ISNUMBER(SEARCH("Cumple",I5))</formula>
    </cfRule>
    <cfRule type="expression" dxfId="944" priority="7">
      <formula>ISNUMBER(SEARCH("Cumplido",I5))</formula>
    </cfRule>
    <cfRule type="expression" dxfId="943" priority="8">
      <formula>ISNUMBER(SEARCH("Dominio",I5))</formula>
    </cfRule>
    <cfRule type="expression" dxfId="942" priority="9">
      <formula>ISNUMBER(SEARCH("Alto",I5))</formula>
    </cfRule>
    <cfRule type="expression" dxfId="941" priority="10">
      <formula>ISNUMBER(SEARCH("Meta",I5))</formula>
    </cfRule>
    <cfRule type="expression" dxfId="940" priority="11">
      <formula>ISNUMBER(SEARCH("Superado",I5))</formula>
    </cfRule>
  </conditionalFormatting>
  <conditionalFormatting sqref="M5:M204">
    <cfRule type="expression" dxfId="939" priority="12">
      <formula>ISNUMBER(SEARCH("Riesgo",M5))</formula>
    </cfRule>
    <cfRule type="expression" dxfId="938" priority="13">
      <formula>ISNUMBER(SEARCH("Crítico",M5))</formula>
    </cfRule>
    <cfRule type="expression" dxfId="937" priority="14">
      <formula>ISNUMBER(SEARCH("Pendiente",M5))</formula>
    </cfRule>
    <cfRule type="expression" dxfId="936" priority="15">
      <formula>ISNUMBER(SEARCH("En proceso",M5))</formula>
    </cfRule>
    <cfRule type="expression" dxfId="935" priority="16">
      <formula>ISNUMBER(SEARCH("Atención",M5))</formula>
    </cfRule>
    <cfRule type="expression" dxfId="934" priority="17">
      <formula>ISNUMBER(SEARCH("Cumple",M5))</formula>
    </cfRule>
    <cfRule type="expression" dxfId="933" priority="18">
      <formula>ISNUMBER(SEARCH("Cumplido",M5))</formula>
    </cfRule>
    <cfRule type="expression" dxfId="932" priority="19">
      <formula>ISNUMBER(SEARCH("Dominio",M5))</formula>
    </cfRule>
    <cfRule type="expression" dxfId="931" priority="20">
      <formula>ISNUMBER(SEARCH("Alto",M5))</formula>
    </cfRule>
    <cfRule type="expression" dxfId="930" priority="21">
      <formula>ISNUMBER(SEARCH("Meta",M5))</formula>
    </cfRule>
    <cfRule type="expression" dxfId="929" priority="22">
      <formula>ISNUMBER(SEARCH("Superado",M5))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A651"/>
  </sheetPr>
  <dimension ref="A1:P40"/>
  <sheetViews>
    <sheetView showGridLines="0" topLeftCell="A16" workbookViewId="0">
      <selection sqref="A1:K1"/>
    </sheetView>
  </sheetViews>
  <sheetFormatPr baseColWidth="10" defaultColWidth="8.7265625" defaultRowHeight="14.5"/>
  <cols>
    <col min="1" max="1" width="18" style="355" customWidth="1"/>
    <col min="2" max="3" width="14" style="355" customWidth="1"/>
    <col min="4" max="4" width="16" style="355" customWidth="1"/>
    <col min="5" max="5" width="18" style="355" customWidth="1"/>
    <col min="6" max="6" width="20" style="355" customWidth="1"/>
    <col min="7" max="10" width="14" style="355" customWidth="1"/>
    <col min="11" max="11" width="18" style="355" customWidth="1"/>
    <col min="12" max="12" width="20" style="355" customWidth="1"/>
    <col min="13" max="13" width="14" style="355" customWidth="1"/>
    <col min="14" max="14" width="28" style="355" customWidth="1"/>
    <col min="15" max="15" width="8.7265625" style="355"/>
    <col min="16" max="16" width="15" style="355" customWidth="1"/>
    <col min="17" max="16384" width="8.7265625" style="355"/>
  </cols>
  <sheetData>
    <row r="1" spans="1:16" ht="21" customHeight="1">
      <c r="A1" s="439" t="s">
        <v>1184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08"/>
      <c r="M1" s="408"/>
      <c r="N1" s="408"/>
    </row>
    <row r="2" spans="1:16" ht="14.5" customHeight="1">
      <c r="A2" s="441" t="s">
        <v>1185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357"/>
    </row>
    <row r="3" spans="1:16" ht="29" customHeigh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59"/>
      <c r="M3" s="359"/>
      <c r="N3" s="359"/>
      <c r="P3" s="371" t="s">
        <v>1186</v>
      </c>
    </row>
    <row r="4" spans="1:16">
      <c r="A4" s="372" t="s">
        <v>1187</v>
      </c>
      <c r="B4" s="373" t="s">
        <v>1188</v>
      </c>
      <c r="C4" s="374"/>
      <c r="D4" s="375"/>
      <c r="E4" s="375"/>
      <c r="F4" s="376"/>
      <c r="G4" s="376"/>
      <c r="H4" s="377"/>
      <c r="I4" s="377"/>
      <c r="J4" s="378"/>
      <c r="K4" s="378"/>
      <c r="L4" s="359"/>
      <c r="M4" s="359"/>
      <c r="N4" s="359"/>
      <c r="P4" s="371" t="s">
        <v>1189</v>
      </c>
    </row>
    <row r="5" spans="1:16">
      <c r="A5" s="372" t="s">
        <v>1190</v>
      </c>
      <c r="B5" s="373">
        <v>2026</v>
      </c>
      <c r="C5" s="374"/>
      <c r="D5" s="375"/>
      <c r="E5" s="375"/>
      <c r="F5" s="376"/>
      <c r="G5" s="376"/>
      <c r="H5" s="377"/>
      <c r="I5" s="377"/>
      <c r="J5" s="378"/>
      <c r="K5" s="378"/>
      <c r="L5" s="359"/>
      <c r="M5" s="359"/>
      <c r="N5" s="359"/>
      <c r="P5" s="371" t="s">
        <v>1191</v>
      </c>
    </row>
    <row r="6" spans="1:16">
      <c r="A6" s="372" t="s">
        <v>1192</v>
      </c>
      <c r="B6" s="274">
        <f>DATEVALUE("1 "&amp;B4&amp;" "&amp;B5)</f>
        <v>46174</v>
      </c>
      <c r="C6" s="274"/>
      <c r="D6" s="375"/>
      <c r="E6" s="375"/>
      <c r="F6" s="376"/>
      <c r="G6" s="376"/>
      <c r="H6" s="377"/>
      <c r="I6" s="377"/>
      <c r="J6" s="378"/>
      <c r="K6" s="378"/>
      <c r="L6" s="359"/>
      <c r="M6" s="359"/>
      <c r="N6" s="359"/>
      <c r="P6" s="371" t="s">
        <v>1193</v>
      </c>
    </row>
    <row r="7" spans="1:16">
      <c r="A7" s="372" t="s">
        <v>1194</v>
      </c>
      <c r="B7" s="274">
        <f>EOMONTH(B6,0)</f>
        <v>46203</v>
      </c>
      <c r="C7" s="274"/>
      <c r="D7" s="375"/>
      <c r="E7" s="375"/>
      <c r="F7" s="376"/>
      <c r="G7" s="376"/>
      <c r="H7" s="377"/>
      <c r="I7" s="377"/>
      <c r="J7" s="378"/>
      <c r="K7" s="378"/>
      <c r="L7" s="359"/>
      <c r="M7" s="359"/>
      <c r="N7" s="359"/>
      <c r="P7" s="371" t="s">
        <v>1195</v>
      </c>
    </row>
    <row r="8" spans="1:16" ht="29" customHeight="1">
      <c r="A8" s="372" t="s">
        <v>1196</v>
      </c>
      <c r="B8" s="274">
        <f>COUNTIFS('20_Registro_Diario'!$A$5:$A$403,"&gt;="&amp;$B$6,'20_Registro_Diario'!$A$5:$A$403,"&lt;="&amp;$B$7)</f>
        <v>29</v>
      </c>
      <c r="C8" s="274"/>
      <c r="D8" s="375"/>
      <c r="E8" s="375"/>
      <c r="F8" s="376"/>
      <c r="G8" s="376"/>
      <c r="H8" s="377"/>
      <c r="I8" s="377"/>
      <c r="J8" s="378"/>
      <c r="K8" s="378"/>
      <c r="L8" s="359"/>
      <c r="M8" s="359"/>
      <c r="N8" s="359"/>
      <c r="P8" s="371" t="s">
        <v>1197</v>
      </c>
    </row>
    <row r="9" spans="1:16">
      <c r="A9" s="359"/>
      <c r="B9" s="367"/>
      <c r="C9" s="367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P9" s="371" t="s">
        <v>1188</v>
      </c>
    </row>
    <row r="10" spans="1:16">
      <c r="A10" s="406" t="s">
        <v>1115</v>
      </c>
      <c r="B10" s="407" t="s">
        <v>1198</v>
      </c>
      <c r="C10" s="407" t="s">
        <v>1199</v>
      </c>
      <c r="D10" s="406" t="s">
        <v>1200</v>
      </c>
      <c r="E10" s="406" t="s">
        <v>1201</v>
      </c>
      <c r="F10" s="406" t="s">
        <v>1177</v>
      </c>
      <c r="G10" s="406" t="s">
        <v>1202</v>
      </c>
      <c r="H10" s="406" t="s">
        <v>1183</v>
      </c>
      <c r="I10" s="406" t="s">
        <v>1203</v>
      </c>
      <c r="J10" s="406" t="s">
        <v>1204</v>
      </c>
      <c r="K10" s="406" t="s">
        <v>1205</v>
      </c>
      <c r="L10" s="406" t="s">
        <v>673</v>
      </c>
      <c r="M10" s="406" t="s">
        <v>1206</v>
      </c>
      <c r="N10" s="406" t="s">
        <v>1207</v>
      </c>
      <c r="P10" s="371" t="s">
        <v>1208</v>
      </c>
    </row>
    <row r="11" spans="1:16">
      <c r="A11" s="359" t="s">
        <v>1209</v>
      </c>
      <c r="B11" s="367">
        <f>$B$6+0*7</f>
        <v>46174</v>
      </c>
      <c r="C11" s="367">
        <f>MIN($B$7,B11+6)</f>
        <v>46180</v>
      </c>
      <c r="D11" s="359">
        <f>MAX(0,C11-B11+1)</f>
        <v>7</v>
      </c>
      <c r="E11" s="359">
        <f>COUNTIFS('20_Registro_Diario'!$A$5:$A$403,"&gt;="&amp;B11,'20_Registro_Diario'!$A$5:$A$403,"&lt;="&amp;C11)</f>
        <v>7</v>
      </c>
      <c r="F11" s="368">
        <f>IF(E11=0,0,(COUNTIFS('20_Registro_Diario'!$A$5:$A$403,"&gt;="&amp;B11,'20_Registro_Diario'!$A$5:$A$403,"&lt;="&amp;C11,'20_Registro_Diario'!$C$5:$C$403,"Sí")+COUNTIFS('20_Registro_Diario'!$A$5:$A$403,"&gt;="&amp;B11,'20_Registro_Diario'!$A$5:$A$403,"&lt;="&amp;C11,'20_Registro_Diario'!$D$5:$D$403,"Sí")+COUNTIFS('20_Registro_Diario'!$A$5:$A$403,"&gt;="&amp;B11,'20_Registro_Diario'!$A$5:$A$403,"&lt;="&amp;C11,'20_Registro_Diario'!$E$5:$E$403,"Sí")+COUNTIFS('20_Registro_Diario'!$A$5:$A$403,"&gt;="&amp;B11,'20_Registro_Diario'!$A$5:$A$403,"&lt;="&amp;C11,'20_Registro_Diario'!$F$5:$F$403,"Sí")+COUNTIFS('20_Registro_Diario'!$A$5:$A$403,"&gt;="&amp;B11,'20_Registro_Diario'!$A$5:$A$403,"&lt;="&amp;C11,'20_Registro_Diario'!$G$5:$G$403,"Sí"))/(E11*5))</f>
        <v>0.2</v>
      </c>
      <c r="G11" s="366">
        <f>IFERROR(SUMIFS('20_Registro_Diario'!$I$5:$I$403,'20_Registro_Diario'!$A$5:$A$403,"&gt;="&amp;B11,'20_Registro_Diario'!$A$5:$A$403,"&lt;="&amp;C11)/MAX(1,E11),0)</f>
        <v>8</v>
      </c>
      <c r="H11" s="366">
        <f>IFERROR(AVERAGE(F11,G11/10),0)</f>
        <v>0.5</v>
      </c>
      <c r="I11" s="380">
        <f>SUMIFS('12_Gastos'!$D:$D,'12_Gastos'!$A:$A,"&gt;="&amp;B11,'12_Gastos'!$A:$A,"&lt;="&amp;C11)</f>
        <v>440223</v>
      </c>
      <c r="J11" s="380">
        <f>SUMIFS('11_Ingresos'!$D:$D,'11_Ingresos'!$A:$A,"&gt;="&amp;B11,'11_Ingresos'!$A:$A,"&lt;="&amp;C11)</f>
        <v>451015.4</v>
      </c>
      <c r="K11" s="359">
        <f>COUNTIFS('63_T2_Bloques'!$A:$A,"&gt;="&amp;B11,'63_T2_Bloques'!$A:$A,"&lt;="&amp;C11)</f>
        <v>0</v>
      </c>
      <c r="L11" s="359">
        <f>COUNTIFS('40_Estudio_Empresas'!$B:$B,"&gt;="&amp;B11,'40_Estudio_Empresas'!$B:$B,"&lt;="&amp;C11)</f>
        <v>0</v>
      </c>
      <c r="M11" s="381" t="str">
        <f>IFERROR(IF(H11&gt;=0.8,"🟢 OK",IF(H11&gt;=0.5,"🟡 Medio","🔴 Riesgo")),"🔴 Riesgo")</f>
        <v>🟡 Medio</v>
      </c>
      <c r="N11" s="359"/>
      <c r="P11" s="371" t="s">
        <v>1210</v>
      </c>
    </row>
    <row r="12" spans="1:16">
      <c r="A12" s="359" t="s">
        <v>1211</v>
      </c>
      <c r="B12" s="367">
        <f>$B$6+1*7</f>
        <v>46181</v>
      </c>
      <c r="C12" s="367">
        <f>MIN($B$7,B12+6)</f>
        <v>46187</v>
      </c>
      <c r="D12" s="359">
        <f>MAX(0,C12-B12+1)</f>
        <v>7</v>
      </c>
      <c r="E12" s="359">
        <f>COUNTIFS('20_Registro_Diario'!$A$5:$A$403,"&gt;="&amp;B12,'20_Registro_Diario'!$A$5:$A$403,"&lt;="&amp;C12)</f>
        <v>7</v>
      </c>
      <c r="F12" s="368">
        <f>IF(E12=0,0,(COUNTIFS('20_Registro_Diario'!$A$5:$A$403,"&gt;="&amp;B12,'20_Registro_Diario'!$A$5:$A$403,"&lt;="&amp;C12,'20_Registro_Diario'!$C$5:$C$403,"Sí")+COUNTIFS('20_Registro_Diario'!$A$5:$A$403,"&gt;="&amp;B12,'20_Registro_Diario'!$A$5:$A$403,"&lt;="&amp;C12,'20_Registro_Diario'!$D$5:$D$403,"Sí")+COUNTIFS('20_Registro_Diario'!$A$5:$A$403,"&gt;="&amp;B12,'20_Registro_Diario'!$A$5:$A$403,"&lt;="&amp;C12,'20_Registro_Diario'!$E$5:$E$403,"Sí")+COUNTIFS('20_Registro_Diario'!$A$5:$A$403,"&gt;="&amp;B12,'20_Registro_Diario'!$A$5:$A$403,"&lt;="&amp;C12,'20_Registro_Diario'!$F$5:$F$403,"Sí")+COUNTIFS('20_Registro_Diario'!$A$5:$A$403,"&gt;="&amp;B12,'20_Registro_Diario'!$A$5:$A$403,"&lt;="&amp;C12,'20_Registro_Diario'!$G$5:$G$403,"Sí"))/(E12*5))</f>
        <v>0.37142857142857144</v>
      </c>
      <c r="G12" s="366">
        <f>IFERROR(SUMIFS('20_Registro_Diario'!$I$5:$I$403,'20_Registro_Diario'!$A$5:$A$403,"&gt;="&amp;B12,'20_Registro_Diario'!$A$5:$A$403,"&lt;="&amp;C12)/MAX(1,E12),0)</f>
        <v>10</v>
      </c>
      <c r="H12" s="366">
        <f>IFERROR(AVERAGE(F12,G12/10),0)</f>
        <v>0.68571428571428572</v>
      </c>
      <c r="I12" s="380">
        <f>SUMIFS('12_Gastos'!$D:$D,'12_Gastos'!$A:$A,"&gt;="&amp;B12,'12_Gastos'!$A:$A,"&lt;="&amp;C12)</f>
        <v>71510</v>
      </c>
      <c r="J12" s="380">
        <f>SUMIFS('11_Ingresos'!$D:$D,'11_Ingresos'!$A:$A,"&gt;="&amp;B12,'11_Ingresos'!$A:$A,"&lt;="&amp;C12)</f>
        <v>2750</v>
      </c>
      <c r="K12" s="359">
        <f>COUNTIFS('63_T2_Bloques'!$A:$A,"&gt;="&amp;B12,'63_T2_Bloques'!$A:$A,"&lt;="&amp;C12)</f>
        <v>0</v>
      </c>
      <c r="L12" s="359">
        <f>COUNTIFS('40_Estudio_Empresas'!$B:$B,"&gt;="&amp;B12,'40_Estudio_Empresas'!$B:$B,"&lt;="&amp;C12)</f>
        <v>0</v>
      </c>
      <c r="M12" s="381" t="str">
        <f>IFERROR(IF(H12&gt;=0.8,"🟢 OK",IF(H12&gt;=0.5,"🟡 Medio","🔴 Riesgo")),"🔴 Riesgo")</f>
        <v>🟡 Medio</v>
      </c>
      <c r="N12" s="359"/>
      <c r="P12" s="371" t="s">
        <v>1212</v>
      </c>
    </row>
    <row r="13" spans="1:16">
      <c r="A13" s="359" t="s">
        <v>1213</v>
      </c>
      <c r="B13" s="367">
        <f>$B$6+2*7</f>
        <v>46188</v>
      </c>
      <c r="C13" s="367">
        <f>MIN($B$7,B13+6)</f>
        <v>46194</v>
      </c>
      <c r="D13" s="359">
        <f>MAX(0,C13-B13+1)</f>
        <v>7</v>
      </c>
      <c r="E13" s="359">
        <f>COUNTIFS('20_Registro_Diario'!$A$5:$A$403,"&gt;="&amp;B13,'20_Registro_Diario'!$A$5:$A$403,"&lt;="&amp;C13)</f>
        <v>7</v>
      </c>
      <c r="F13" s="368">
        <f>IF(E13=0,0,(COUNTIFS('20_Registro_Diario'!$A$5:$A$403,"&gt;="&amp;B13,'20_Registro_Diario'!$A$5:$A$403,"&lt;="&amp;C13,'20_Registro_Diario'!$C$5:$C$403,"Sí")+COUNTIFS('20_Registro_Diario'!$A$5:$A$403,"&gt;="&amp;B13,'20_Registro_Diario'!$A$5:$A$403,"&lt;="&amp;C13,'20_Registro_Diario'!$D$5:$D$403,"Sí")+COUNTIFS('20_Registro_Diario'!$A$5:$A$403,"&gt;="&amp;B13,'20_Registro_Diario'!$A$5:$A$403,"&lt;="&amp;C13,'20_Registro_Diario'!$E$5:$E$403,"Sí")+COUNTIFS('20_Registro_Diario'!$A$5:$A$403,"&gt;="&amp;B13,'20_Registro_Diario'!$A$5:$A$403,"&lt;="&amp;C13,'20_Registro_Diario'!$F$5:$F$403,"Sí")+COUNTIFS('20_Registro_Diario'!$A$5:$A$403,"&gt;="&amp;B13,'20_Registro_Diario'!$A$5:$A$403,"&lt;="&amp;C13,'20_Registro_Diario'!$G$5:$G$403,"Sí"))/(E13*5))</f>
        <v>0.48571428571428571</v>
      </c>
      <c r="G13" s="366">
        <f>IFERROR(SUMIFS('20_Registro_Diario'!$I$5:$I$403,'20_Registro_Diario'!$A$5:$A$403,"&gt;="&amp;B13,'20_Registro_Diario'!$A$5:$A$403,"&lt;="&amp;C13)/MAX(1,E13),0)</f>
        <v>8.5714285714285712</v>
      </c>
      <c r="H13" s="366">
        <f>IFERROR(AVERAGE(F13,G13/10),0)</f>
        <v>0.67142857142857137</v>
      </c>
      <c r="I13" s="380">
        <f>SUMIFS('12_Gastos'!$D:$D,'12_Gastos'!$A:$A,"&gt;="&amp;B13,'12_Gastos'!$A:$A,"&lt;="&amp;C13)</f>
        <v>254230</v>
      </c>
      <c r="J13" s="380">
        <f>SUMIFS('11_Ingresos'!$D:$D,'11_Ingresos'!$A:$A,"&gt;="&amp;B13,'11_Ingresos'!$A:$A,"&lt;="&amp;C13)</f>
        <v>79750</v>
      </c>
      <c r="K13" s="359">
        <f>COUNTIFS('63_T2_Bloques'!$A:$A,"&gt;="&amp;B13,'63_T2_Bloques'!$A:$A,"&lt;="&amp;C13)</f>
        <v>0</v>
      </c>
      <c r="L13" s="359">
        <f>COUNTIFS('40_Estudio_Empresas'!$B:$B,"&gt;="&amp;B13,'40_Estudio_Empresas'!$B:$B,"&lt;="&amp;C13)</f>
        <v>0</v>
      </c>
      <c r="M13" s="381" t="str">
        <f>IFERROR(IF(H13&gt;=0.8,"🟢 OK",IF(H13&gt;=0.5,"🟡 Medio","🔴 Riesgo")),"🔴 Riesgo")</f>
        <v>🟡 Medio</v>
      </c>
      <c r="N13" s="359"/>
      <c r="P13" s="371" t="s">
        <v>1214</v>
      </c>
    </row>
    <row r="14" spans="1:16">
      <c r="A14" s="359" t="s">
        <v>30</v>
      </c>
      <c r="B14" s="367">
        <f>$B$6+3*7</f>
        <v>46195</v>
      </c>
      <c r="C14" s="367">
        <f>MIN($B$7,B14+6)</f>
        <v>46201</v>
      </c>
      <c r="D14" s="359">
        <f>MAX(0,C14-B14+1)</f>
        <v>7</v>
      </c>
      <c r="E14" s="359">
        <f>COUNTIFS('20_Registro_Diario'!$A$5:$A$403,"&gt;="&amp;B14,'20_Registro_Diario'!$A$5:$A$403,"&lt;="&amp;C14)</f>
        <v>7</v>
      </c>
      <c r="F14" s="368">
        <f>IF(E14=0,0,(COUNTIFS('20_Registro_Diario'!$A$5:$A$403,"&gt;="&amp;B14,'20_Registro_Diario'!$A$5:$A$403,"&lt;="&amp;C14,'20_Registro_Diario'!$C$5:$C$403,"Sí")+COUNTIFS('20_Registro_Diario'!$A$5:$A$403,"&gt;="&amp;B14,'20_Registro_Diario'!$A$5:$A$403,"&lt;="&amp;C14,'20_Registro_Diario'!$D$5:$D$403,"Sí")+COUNTIFS('20_Registro_Diario'!$A$5:$A$403,"&gt;="&amp;B14,'20_Registro_Diario'!$A$5:$A$403,"&lt;="&amp;C14,'20_Registro_Diario'!$E$5:$E$403,"Sí")+COUNTIFS('20_Registro_Diario'!$A$5:$A$403,"&gt;="&amp;B14,'20_Registro_Diario'!$A$5:$A$403,"&lt;="&amp;C14,'20_Registro_Diario'!$F$5:$F$403,"Sí")+COUNTIFS('20_Registro_Diario'!$A$5:$A$403,"&gt;="&amp;B14,'20_Registro_Diario'!$A$5:$A$403,"&lt;="&amp;C14,'20_Registro_Diario'!$G$5:$G$403,"Sí"))/(E14*5))</f>
        <v>0.62857142857142856</v>
      </c>
      <c r="G14" s="366">
        <f>IFERROR(SUMIFS('20_Registro_Diario'!$I$5:$I$403,'20_Registro_Diario'!$A$5:$A$403,"&gt;="&amp;B14,'20_Registro_Diario'!$A$5:$A$403,"&lt;="&amp;C14)/MAX(1,E14),0)</f>
        <v>9</v>
      </c>
      <c r="H14" s="366">
        <f>IFERROR(AVERAGE(F14,G14/10),0)</f>
        <v>0.76428571428571423</v>
      </c>
      <c r="I14" s="380">
        <f>SUMIFS('12_Gastos'!$D:$D,'12_Gastos'!$A:$A,"&gt;="&amp;B14,'12_Gastos'!$A:$A,"&lt;="&amp;C14)</f>
        <v>30900</v>
      </c>
      <c r="J14" s="380">
        <f>SUMIFS('11_Ingresos'!$D:$D,'11_Ingresos'!$A:$A,"&gt;="&amp;B14,'11_Ingresos'!$A:$A,"&lt;="&amp;C14)</f>
        <v>154000</v>
      </c>
      <c r="K14" s="359">
        <f>COUNTIFS('63_T2_Bloques'!$A:$A,"&gt;="&amp;B14,'63_T2_Bloques'!$A:$A,"&lt;="&amp;C14)</f>
        <v>0</v>
      </c>
      <c r="L14" s="359">
        <f>COUNTIFS('40_Estudio_Empresas'!$B:$B,"&gt;="&amp;B14,'40_Estudio_Empresas'!$B:$B,"&lt;="&amp;C14)</f>
        <v>0</v>
      </c>
      <c r="M14" s="381" t="str">
        <f>IFERROR(IF(H14&gt;=0.8,"🟢 OK",IF(H14&gt;=0.5,"🟡 Medio","🔴 Riesgo")),"🔴 Riesgo")</f>
        <v>🟡 Medio</v>
      </c>
      <c r="N14" s="359"/>
      <c r="P14" s="371" t="s">
        <v>1215</v>
      </c>
    </row>
    <row r="15" spans="1:16">
      <c r="A15" s="359" t="s">
        <v>1216</v>
      </c>
      <c r="B15" s="367">
        <f>$B$6+4*7</f>
        <v>46202</v>
      </c>
      <c r="C15" s="367">
        <f>MIN($B$7,B15+6)</f>
        <v>46203</v>
      </c>
      <c r="D15" s="359">
        <f>MAX(0,C15-B15+1)</f>
        <v>2</v>
      </c>
      <c r="E15" s="359">
        <f>COUNTIFS('20_Registro_Diario'!$A$5:$A$403,"&gt;="&amp;B15,'20_Registro_Diario'!$A$5:$A$403,"&lt;="&amp;C15)</f>
        <v>1</v>
      </c>
      <c r="F15" s="368">
        <f>IF(E15=0,0,(COUNTIFS('20_Registro_Diario'!$A$5:$A$403,"&gt;="&amp;B15,'20_Registro_Diario'!$A$5:$A$403,"&lt;="&amp;C15,'20_Registro_Diario'!$C$5:$C$403,"Sí")+COUNTIFS('20_Registro_Diario'!$A$5:$A$403,"&gt;="&amp;B15,'20_Registro_Diario'!$A$5:$A$403,"&lt;="&amp;C15,'20_Registro_Diario'!$D$5:$D$403,"Sí")+COUNTIFS('20_Registro_Diario'!$A$5:$A$403,"&gt;="&amp;B15,'20_Registro_Diario'!$A$5:$A$403,"&lt;="&amp;C15,'20_Registro_Diario'!$E$5:$E$403,"Sí")+COUNTIFS('20_Registro_Diario'!$A$5:$A$403,"&gt;="&amp;B15,'20_Registro_Diario'!$A$5:$A$403,"&lt;="&amp;C15,'20_Registro_Diario'!$F$5:$F$403,"Sí")+COUNTIFS('20_Registro_Diario'!$A$5:$A$403,"&gt;="&amp;B15,'20_Registro_Diario'!$A$5:$A$403,"&lt;="&amp;C15,'20_Registro_Diario'!$G$5:$G$403,"Sí"))/(E15*5))</f>
        <v>1</v>
      </c>
      <c r="G15" s="366">
        <f>IFERROR(SUMIFS('20_Registro_Diario'!$I$5:$I$403,'20_Registro_Diario'!$A$5:$A$403,"&gt;="&amp;B15,'20_Registro_Diario'!$A$5:$A$403,"&lt;="&amp;C15)/MAX(1,E15),0)</f>
        <v>10</v>
      </c>
      <c r="H15" s="366">
        <f>IFERROR(AVERAGE(F15,G15/10),0)</f>
        <v>1</v>
      </c>
      <c r="I15" s="380">
        <f>SUMIFS('12_Gastos'!$D:$D,'12_Gastos'!$A:$A,"&gt;="&amp;B15,'12_Gastos'!$A:$A,"&lt;="&amp;C15)</f>
        <v>3100</v>
      </c>
      <c r="J15" s="380">
        <f>SUMIFS('11_Ingresos'!$D:$D,'11_Ingresos'!$A:$A,"&gt;="&amp;B15,'11_Ingresos'!$A:$A,"&lt;="&amp;C15)</f>
        <v>374000.00000000006</v>
      </c>
      <c r="K15" s="359">
        <f>COUNTIFS('63_T2_Bloques'!$A:$A,"&gt;="&amp;B15,'63_T2_Bloques'!$A:$A,"&lt;="&amp;C15)</f>
        <v>0</v>
      </c>
      <c r="L15" s="359">
        <f>COUNTIFS('40_Estudio_Empresas'!$B:$B,"&gt;="&amp;B15,'40_Estudio_Empresas'!$B:$B,"&lt;="&amp;C15)</f>
        <v>0</v>
      </c>
      <c r="M15" s="381" t="str">
        <f>IFERROR(IF(H15&gt;=0.8,"🟢 OK",IF(H15&gt;=0.5,"🟡 Medio","🔴 Riesgo")),"🔴 Riesgo")</f>
        <v>🟢 OK</v>
      </c>
      <c r="N15" s="359"/>
      <c r="P15" s="371" t="s">
        <v>1217</v>
      </c>
    </row>
    <row r="16" spans="1:16">
      <c r="A16" s="359"/>
      <c r="B16" s="359"/>
      <c r="C16" s="359"/>
      <c r="D16" s="359"/>
      <c r="E16" s="359"/>
      <c r="F16" s="359"/>
      <c r="G16" s="359"/>
      <c r="H16" s="359"/>
      <c r="I16" s="359"/>
      <c r="J16" s="359"/>
      <c r="K16" s="359"/>
      <c r="L16" s="359"/>
      <c r="M16" s="359"/>
      <c r="N16" s="359"/>
    </row>
    <row r="17" spans="1:14">
      <c r="A17" s="359"/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</row>
    <row r="18" spans="1:14">
      <c r="A18" s="382" t="s">
        <v>1218</v>
      </c>
      <c r="B18" s="382" t="s">
        <v>7</v>
      </c>
      <c r="C18" s="382" t="s">
        <v>655</v>
      </c>
      <c r="D18" s="382" t="s">
        <v>656</v>
      </c>
      <c r="E18" s="359"/>
      <c r="F18" s="359"/>
      <c r="G18" s="359"/>
      <c r="H18" s="359"/>
      <c r="I18" s="359"/>
      <c r="J18" s="359"/>
      <c r="K18" s="359"/>
      <c r="L18" s="359"/>
      <c r="M18" s="359"/>
      <c r="N18" s="359"/>
    </row>
    <row r="19" spans="1:14" ht="43.5" customHeight="1">
      <c r="A19" s="359" t="s">
        <v>1219</v>
      </c>
      <c r="B19" s="359">
        <f>SUM(E11:E15)</f>
        <v>29</v>
      </c>
      <c r="C19" s="359" t="str">
        <f>IF(B19&gt;=20,"🟢 Registrado",IF(B19&gt;=10,"🟡 Parcial","🔴 Bajo"))</f>
        <v>🟢 Registrado</v>
      </c>
      <c r="D19" s="359" t="s">
        <v>1220</v>
      </c>
      <c r="E19" s="359"/>
      <c r="F19" s="359"/>
      <c r="G19" s="359"/>
      <c r="H19" s="359"/>
      <c r="I19" s="359"/>
      <c r="J19" s="359"/>
      <c r="K19" s="359"/>
      <c r="L19" s="359"/>
      <c r="M19" s="359"/>
      <c r="N19" s="359"/>
    </row>
    <row r="20" spans="1:14" ht="29" customHeight="1">
      <c r="A20" s="359" t="s">
        <v>1221</v>
      </c>
      <c r="B20" s="368">
        <f>IFERROR(AVERAGE(F11:F15),0)</f>
        <v>0.53714285714285714</v>
      </c>
      <c r="C20" s="359" t="str">
        <f>IF(B20&gt;=0.8,"🟢 Alto",IF(B20&gt;=0.5,"🟡 Medio","🔴 Bajo"))</f>
        <v>🟡 Medio</v>
      </c>
      <c r="D20" s="359" t="s">
        <v>1222</v>
      </c>
      <c r="E20" s="359"/>
      <c r="F20" s="359"/>
      <c r="G20" s="359"/>
      <c r="H20" s="359"/>
      <c r="I20" s="359"/>
      <c r="J20" s="359"/>
      <c r="K20" s="359"/>
      <c r="L20" s="359"/>
      <c r="M20" s="359"/>
      <c r="N20" s="359"/>
    </row>
    <row r="21" spans="1:14" ht="29" customHeight="1">
      <c r="A21" s="359" t="s">
        <v>1223</v>
      </c>
      <c r="B21" s="366">
        <f>IFERROR(SUM(G11:G15)/MAX(1,COUNT(G11:G15)),0)</f>
        <v>9.1142857142857139</v>
      </c>
      <c r="C21" s="359" t="str">
        <f>IF(B21&gt;=8,"🟢 Alta",IF(B21&gt;=6,"🟡 Media","🔴 Baja"))</f>
        <v>🟢 Alta</v>
      </c>
      <c r="D21" s="359" t="s">
        <v>1224</v>
      </c>
      <c r="E21" s="359"/>
      <c r="F21" s="359"/>
      <c r="G21" s="359"/>
      <c r="H21" s="359"/>
      <c r="I21" s="359"/>
      <c r="J21" s="359"/>
      <c r="K21" s="359"/>
      <c r="L21" s="359"/>
      <c r="M21" s="359"/>
      <c r="N21" s="359"/>
    </row>
    <row r="22" spans="1:14">
      <c r="A22" s="359" t="s">
        <v>1225</v>
      </c>
      <c r="B22" s="366">
        <f>IFERROR(SUM(H11:H15)/MAX(1,COUNT(H11:H15)),0)</f>
        <v>0.72428571428571431</v>
      </c>
      <c r="C22" s="359" t="str">
        <f>IF(B22&gt;=0.8,"🟢 Alto",IF(B22&gt;=0.5,"🟡 Medio","🔴 Bajo"))</f>
        <v>🟡 Medio</v>
      </c>
      <c r="D22" s="359" t="s">
        <v>1226</v>
      </c>
      <c r="E22" s="359"/>
      <c r="F22" s="359"/>
      <c r="G22" s="359"/>
      <c r="H22" s="359"/>
      <c r="I22" s="359"/>
      <c r="J22" s="359"/>
      <c r="K22" s="359"/>
      <c r="L22" s="359"/>
      <c r="M22" s="359"/>
      <c r="N22" s="359"/>
    </row>
    <row r="23" spans="1:14">
      <c r="A23" s="359" t="s">
        <v>1227</v>
      </c>
      <c r="B23" s="380">
        <f>SUM(I11:I15)</f>
        <v>799963</v>
      </c>
      <c r="C23" s="359" t="str">
        <f>IF(B23&lt;=0,"🟢 Controlado","Revisar")</f>
        <v>Revisar</v>
      </c>
      <c r="D23" s="359" t="s">
        <v>1228</v>
      </c>
      <c r="E23" s="359"/>
      <c r="F23" s="359"/>
      <c r="G23" s="359"/>
      <c r="H23" s="359"/>
      <c r="I23" s="359"/>
      <c r="J23" s="359"/>
      <c r="K23" s="359"/>
      <c r="L23" s="359"/>
      <c r="M23" s="359"/>
      <c r="N23" s="359"/>
    </row>
    <row r="24" spans="1:14" ht="29" customHeight="1">
      <c r="A24" s="359" t="s">
        <v>1229</v>
      </c>
      <c r="B24" s="380">
        <f>SUM(J11:J15)</f>
        <v>1061515.4000000001</v>
      </c>
      <c r="C24" s="359" t="str">
        <f>IF(B24&gt;=B23,"🟢 Cubre gastos","🔴 No cubre")</f>
        <v>🟢 Cubre gastos</v>
      </c>
      <c r="D24" s="359" t="s">
        <v>1230</v>
      </c>
      <c r="E24" s="359"/>
      <c r="F24" s="359"/>
      <c r="G24" s="359"/>
      <c r="H24" s="359"/>
      <c r="I24" s="359"/>
      <c r="J24" s="359"/>
      <c r="K24" s="359"/>
      <c r="L24" s="359"/>
      <c r="M24" s="359"/>
      <c r="N24" s="359"/>
    </row>
    <row r="25" spans="1:14">
      <c r="A25" s="359"/>
      <c r="B25" s="359"/>
      <c r="C25" s="359"/>
      <c r="D25" s="359"/>
      <c r="E25" s="359"/>
      <c r="F25" s="359"/>
      <c r="G25" s="359"/>
      <c r="H25" s="359"/>
      <c r="I25" s="359"/>
      <c r="J25" s="359"/>
      <c r="K25" s="359"/>
      <c r="L25" s="359"/>
      <c r="M25" s="359"/>
      <c r="N25" s="359"/>
    </row>
    <row r="26" spans="1:14">
      <c r="A26" s="359"/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</row>
    <row r="27" spans="1:14">
      <c r="A27" s="359"/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</row>
    <row r="28" spans="1:14">
      <c r="A28" s="359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</row>
    <row r="29" spans="1:14">
      <c r="A29" s="359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</row>
    <row r="30" spans="1:14">
      <c r="A30" s="359"/>
      <c r="B30" s="359"/>
      <c r="C30" s="359"/>
      <c r="D30" s="359"/>
      <c r="E30" s="359"/>
      <c r="F30" s="359"/>
      <c r="G30" s="359"/>
      <c r="H30" s="359"/>
      <c r="I30" s="359"/>
      <c r="J30" s="359"/>
      <c r="K30" s="359"/>
      <c r="L30" s="359"/>
      <c r="M30" s="359"/>
      <c r="N30" s="359"/>
    </row>
    <row r="31" spans="1:14">
      <c r="A31" s="383"/>
      <c r="B31" s="383"/>
      <c r="C31" s="383"/>
      <c r="D31" s="383"/>
      <c r="E31" s="383"/>
      <c r="F31" s="383"/>
      <c r="G31" s="383"/>
      <c r="H31" s="383"/>
      <c r="I31" s="383"/>
      <c r="J31" s="383"/>
      <c r="K31" s="383"/>
    </row>
    <row r="32" spans="1:14">
      <c r="A32" s="383"/>
      <c r="B32" s="383"/>
      <c r="C32" s="383"/>
      <c r="D32" s="383"/>
      <c r="E32" s="383"/>
      <c r="F32" s="383"/>
      <c r="G32" s="383"/>
      <c r="H32" s="383"/>
      <c r="I32" s="383"/>
      <c r="J32" s="383"/>
      <c r="K32" s="383"/>
    </row>
    <row r="33" spans="1:11">
      <c r="A33" s="383"/>
      <c r="B33" s="383"/>
      <c r="C33" s="383"/>
      <c r="D33" s="383"/>
      <c r="E33" s="383"/>
      <c r="F33" s="383"/>
      <c r="G33" s="383"/>
      <c r="H33" s="383"/>
      <c r="I33" s="383"/>
      <c r="J33" s="383"/>
      <c r="K33" s="383"/>
    </row>
    <row r="34" spans="1:11">
      <c r="A34" s="383"/>
      <c r="B34" s="383"/>
      <c r="C34" s="383"/>
      <c r="D34" s="383"/>
      <c r="E34" s="383"/>
      <c r="F34" s="383"/>
      <c r="G34" s="383"/>
      <c r="H34" s="383"/>
      <c r="I34" s="383"/>
      <c r="J34" s="383"/>
      <c r="K34" s="383"/>
    </row>
    <row r="35" spans="1:11">
      <c r="A35" s="383"/>
      <c r="B35" s="383"/>
      <c r="C35" s="383"/>
      <c r="D35" s="383"/>
      <c r="E35" s="383"/>
      <c r="F35" s="383"/>
      <c r="G35" s="383"/>
      <c r="H35" s="383"/>
      <c r="I35" s="383"/>
      <c r="J35" s="383"/>
      <c r="K35" s="383"/>
    </row>
    <row r="36" spans="1:11">
      <c r="A36" s="383"/>
      <c r="B36" s="383"/>
      <c r="C36" s="383"/>
      <c r="D36" s="383"/>
      <c r="E36" s="383"/>
      <c r="F36" s="383"/>
      <c r="G36" s="383"/>
      <c r="H36" s="383"/>
      <c r="I36" s="383"/>
      <c r="J36" s="383"/>
      <c r="K36" s="383"/>
    </row>
    <row r="37" spans="1:11">
      <c r="A37" s="383"/>
      <c r="B37" s="383"/>
      <c r="C37" s="383"/>
      <c r="D37" s="383"/>
      <c r="E37" s="383"/>
      <c r="F37" s="383"/>
      <c r="G37" s="383"/>
      <c r="H37" s="383"/>
      <c r="I37" s="383"/>
      <c r="J37" s="383"/>
      <c r="K37" s="383"/>
    </row>
    <row r="38" spans="1:11">
      <c r="A38" s="383"/>
      <c r="B38" s="383"/>
      <c r="C38" s="383"/>
      <c r="D38" s="383"/>
      <c r="E38" s="383"/>
      <c r="F38" s="383"/>
      <c r="G38" s="383"/>
      <c r="H38" s="383"/>
      <c r="I38" s="383"/>
      <c r="J38" s="383"/>
      <c r="K38" s="383"/>
    </row>
    <row r="39" spans="1:11">
      <c r="A39" s="383"/>
      <c r="B39" s="383"/>
      <c r="C39" s="383"/>
      <c r="D39" s="383"/>
      <c r="E39" s="383"/>
      <c r="F39" s="383"/>
      <c r="G39" s="383"/>
      <c r="H39" s="383"/>
      <c r="I39" s="383"/>
      <c r="J39" s="383"/>
      <c r="K39" s="383"/>
    </row>
    <row r="40" spans="1:11">
      <c r="A40" s="383"/>
      <c r="B40" s="383"/>
      <c r="C40" s="383"/>
      <c r="D40" s="383"/>
      <c r="E40" s="383"/>
      <c r="F40" s="383"/>
      <c r="G40" s="383"/>
      <c r="H40" s="383"/>
      <c r="I40" s="383"/>
      <c r="J40" s="383"/>
      <c r="K40" s="383"/>
    </row>
  </sheetData>
  <mergeCells count="2">
    <mergeCell ref="A1:K1"/>
    <mergeCell ref="A2:M2"/>
  </mergeCells>
  <conditionalFormatting sqref="C19:C24">
    <cfRule type="expression" dxfId="928" priority="37">
      <formula>ISNUMBER(SEARCH("🔴",C19))</formula>
    </cfRule>
    <cfRule type="expression" dxfId="927" priority="35">
      <formula>ISNUMBER(SEARCH("🟢",C19))</formula>
    </cfRule>
    <cfRule type="expression" dxfId="926" priority="36">
      <formula>ISNUMBER(SEARCH("🟡",C19))</formula>
    </cfRule>
  </conditionalFormatting>
  <conditionalFormatting sqref="F4:K8">
    <cfRule type="expression" dxfId="925" priority="20">
      <formula>ISNUMBER(SEARCH("Vacío",F4))</formula>
    </cfRule>
    <cfRule type="expression" dxfId="924" priority="5">
      <formula>ISNUMBER(SEARCH("Riesgo",F4))</formula>
    </cfRule>
    <cfRule type="expression" dxfId="923" priority="6">
      <formula>ISNUMBER(SEARCH("Crítico",F4))</formula>
    </cfRule>
    <cfRule type="expression" dxfId="922" priority="7">
      <formula>ISNUMBER(SEARCH("Pendiente",F4))</formula>
    </cfRule>
    <cfRule type="expression" dxfId="921" priority="8">
      <formula>ISNUMBER(SEARCH("En riesgo",F4))</formula>
    </cfRule>
    <cfRule type="expression" dxfId="920" priority="9">
      <formula>ISNUMBER(SEARCH("Atención",F4))</formula>
    </cfRule>
    <cfRule type="expression" dxfId="919" priority="10">
      <formula>ISNUMBER(SEARCH("En proceso",F4))</formula>
    </cfRule>
    <cfRule type="expression" dxfId="918" priority="11">
      <formula>ISNUMBER(SEARCH("Meta",F4))</formula>
    </cfRule>
    <cfRule type="expression" dxfId="917" priority="12">
      <formula>ISNUMBER(SEARCH("Cumple",F4))</formula>
    </cfRule>
    <cfRule type="expression" dxfId="916" priority="13">
      <formula>ISNUMBER(SEARCH("Cumplido",F4))</formula>
    </cfRule>
    <cfRule type="expression" dxfId="915" priority="14">
      <formula>ISNUMBER(SEARCH("Positivo",F4))</formula>
    </cfRule>
    <cfRule type="expression" dxfId="914" priority="15">
      <formula>ISNUMBER(SEARCH("Dominio",F4))</formula>
    </cfRule>
    <cfRule type="expression" dxfId="913" priority="16">
      <formula>ISNUMBER(SEARCH("Alto",F4))</formula>
    </cfRule>
    <cfRule type="expression" dxfId="912" priority="17">
      <formula>ISNUMBER(SEARCH("Superado",F4))</formula>
    </cfRule>
    <cfRule type="expression" dxfId="911" priority="18">
      <formula>ISNUMBER(SEARCH("Cuadrado",F4))</formula>
    </cfRule>
    <cfRule type="expression" dxfId="910" priority="19">
      <formula>ISNUMBER(SEARCH("Revisar",F4))</formula>
    </cfRule>
  </conditionalFormatting>
  <conditionalFormatting sqref="I4:J8">
    <cfRule type="expression" dxfId="909" priority="2">
      <formula>OR(ISNUMBER(SEARCH("Atención",I4)),ISNUMBER(SEARCH("En construcción",I4)),ISNUMBER(SEARCH("Revisar",I4)),ISNUMBER(SEARCH("Manual",I4)),ISNUMBER(SEARCH("Vacío",I4)))</formula>
    </cfRule>
    <cfRule type="expression" dxfId="908" priority="4">
      <formula>ISNUMBER(SEARCH("Dominio",I4))</formula>
    </cfRule>
    <cfRule type="expression" dxfId="907" priority="3">
      <formula>OR(ISNUMBER(SEARCH("Cumple",I4)),ISNUMBER(SEARCH("Meta",I4)),ISNUMBER(SEARCH("Positivo",I4)),ISNUMBER(SEARCH("Activo",I4)),ISNUMBER(SEARCH("Fuerte",I4)),ISNUMBER(SEARCH("Cuadrado",I4)),ISNUMBER(SEARCH("OK",I4)))</formula>
    </cfRule>
    <cfRule type="expression" dxfId="906" priority="1">
      <formula>OR(ISNUMBER(SEARCH("Crítico",I4)),ISNUMBER(SEARCH("Controlar",I4)),ISNUMBER(SEARCH("Pendiente",I4)))</formula>
    </cfRule>
  </conditionalFormatting>
  <conditionalFormatting sqref="J4:J8">
    <cfRule type="expression" dxfId="905" priority="21">
      <formula>ISNUMBER(SEARCH("Riesgo",J4))</formula>
    </cfRule>
    <cfRule type="expression" dxfId="904" priority="22">
      <formula>ISNUMBER(SEARCH("Crítico",J4))</formula>
    </cfRule>
    <cfRule type="expression" dxfId="903" priority="23">
      <formula>ISNUMBER(SEARCH("Pendiente",J4))</formula>
    </cfRule>
    <cfRule type="expression" dxfId="902" priority="24">
      <formula>ISNUMBER(SEARCH("En proceso",J4))</formula>
    </cfRule>
    <cfRule type="expression" dxfId="901" priority="25">
      <formula>ISNUMBER(SEARCH("Atención",J4))</formula>
    </cfRule>
    <cfRule type="expression" dxfId="900" priority="26">
      <formula>ISNUMBER(SEARCH("Cumple",J4))</formula>
    </cfRule>
    <cfRule type="expression" dxfId="899" priority="27">
      <formula>ISNUMBER(SEARCH("Cumplido",J4))</formula>
    </cfRule>
    <cfRule type="expression" dxfId="898" priority="28">
      <formula>ISNUMBER(SEARCH("Dominio",J4))</formula>
    </cfRule>
    <cfRule type="expression" dxfId="897" priority="29">
      <formula>ISNUMBER(SEARCH("Alto",J4))</formula>
    </cfRule>
    <cfRule type="expression" dxfId="896" priority="30">
      <formula>ISNUMBER(SEARCH("Meta",J4))</formula>
    </cfRule>
    <cfRule type="expression" dxfId="895" priority="31">
      <formula>ISNUMBER(SEARCH("Superado",J4))</formula>
    </cfRule>
  </conditionalFormatting>
  <conditionalFormatting sqref="M11:M15">
    <cfRule type="expression" dxfId="894" priority="32">
      <formula>ISNUMBER(SEARCH("🟢",M11))</formula>
    </cfRule>
    <cfRule type="expression" dxfId="893" priority="33">
      <formula>ISNUMBER(SEARCH("🟡",M11))</formula>
    </cfRule>
    <cfRule type="expression" dxfId="892" priority="34">
      <formula>ISNUMBER(SEARCH("🔴",M11))</formula>
    </cfRule>
  </conditionalFormatting>
  <dataValidations count="1">
    <dataValidation type="list" sqref="B4" xr:uid="{00000000-0002-0000-0D00-000000000000}">
      <formula1>$P$4:$P$15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A651"/>
  </sheetPr>
  <dimension ref="A1:P60"/>
  <sheetViews>
    <sheetView showGridLines="0" topLeftCell="A19" workbookViewId="0">
      <selection sqref="A1:H1"/>
    </sheetView>
  </sheetViews>
  <sheetFormatPr baseColWidth="10" defaultColWidth="8.7265625" defaultRowHeight="14.5"/>
  <cols>
    <col min="1" max="1" width="22" style="355" customWidth="1"/>
    <col min="2" max="2" width="10" style="355" customWidth="1"/>
    <col min="3" max="3" width="14" style="355" customWidth="1"/>
    <col min="4" max="4" width="18" style="355" customWidth="1"/>
    <col min="5" max="5" width="11.1796875" style="355" customWidth="1"/>
    <col min="6" max="6" width="10" style="355" customWidth="1"/>
    <col min="7" max="7" width="8.7265625" style="355" customWidth="1"/>
    <col min="8" max="8" width="32" style="355" customWidth="1"/>
    <col min="9" max="10" width="14" style="355" customWidth="1"/>
    <col min="11" max="11" width="12" style="355" customWidth="1"/>
    <col min="12" max="12" width="18" style="355" customWidth="1"/>
    <col min="13" max="13" width="20" style="355" customWidth="1"/>
    <col min="14" max="14" width="32" style="355" customWidth="1"/>
    <col min="15" max="15" width="8.7265625" style="355"/>
    <col min="16" max="16" width="12" style="355" customWidth="1"/>
    <col min="17" max="16384" width="8.7265625" style="355"/>
  </cols>
  <sheetData>
    <row r="1" spans="1:16" ht="21" customHeight="1">
      <c r="A1" s="439" t="s">
        <v>1231</v>
      </c>
      <c r="B1" s="440"/>
      <c r="C1" s="440"/>
      <c r="D1" s="440"/>
      <c r="E1" s="440"/>
      <c r="F1" s="440"/>
      <c r="G1" s="440"/>
      <c r="H1" s="440"/>
      <c r="I1" s="415"/>
      <c r="J1" s="415"/>
      <c r="K1" s="415"/>
      <c r="L1" s="415"/>
      <c r="M1" s="415"/>
      <c r="N1" s="408"/>
    </row>
    <row r="2" spans="1:16" ht="6" customHeight="1">
      <c r="A2" s="357" t="s">
        <v>1232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</row>
    <row r="3" spans="1:16" ht="29" customHeight="1">
      <c r="A3" s="370"/>
      <c r="B3" s="370"/>
      <c r="C3" s="370"/>
      <c r="D3" s="370"/>
      <c r="E3" s="370"/>
      <c r="F3" s="370"/>
      <c r="G3" s="370"/>
      <c r="H3" s="370"/>
      <c r="I3" s="361"/>
      <c r="J3" s="361"/>
      <c r="K3" s="361"/>
      <c r="L3" s="361"/>
      <c r="M3" s="361"/>
      <c r="N3" s="359"/>
      <c r="P3" s="371" t="s">
        <v>1186</v>
      </c>
    </row>
    <row r="4" spans="1:16">
      <c r="A4" s="384" t="s">
        <v>1187</v>
      </c>
      <c r="B4" s="270" t="s">
        <v>1188</v>
      </c>
      <c r="C4" s="270"/>
      <c r="D4" s="374"/>
      <c r="E4" s="378"/>
      <c r="F4" s="385"/>
      <c r="G4" s="385"/>
      <c r="H4" s="378"/>
      <c r="I4" s="366"/>
      <c r="J4" s="386"/>
      <c r="K4" s="366"/>
      <c r="L4" s="359"/>
      <c r="M4" s="359"/>
      <c r="N4" s="359"/>
      <c r="P4" s="371" t="s">
        <v>1189</v>
      </c>
    </row>
    <row r="5" spans="1:16">
      <c r="A5" s="384" t="s">
        <v>1190</v>
      </c>
      <c r="B5" s="270">
        <v>2026</v>
      </c>
      <c r="C5" s="270"/>
      <c r="D5" s="374"/>
      <c r="E5" s="378"/>
      <c r="F5" s="385"/>
      <c r="G5" s="385"/>
      <c r="H5" s="378"/>
      <c r="I5" s="366"/>
      <c r="J5" s="386"/>
      <c r="K5" s="366"/>
      <c r="L5" s="359"/>
      <c r="M5" s="359"/>
      <c r="N5" s="359"/>
      <c r="P5" s="371" t="s">
        <v>1191</v>
      </c>
    </row>
    <row r="6" spans="1:16">
      <c r="A6" s="384" t="s">
        <v>1233</v>
      </c>
      <c r="B6" s="274">
        <f>DATEVALUE("1 "&amp;B4&amp;" "&amp;B5)</f>
        <v>46174</v>
      </c>
      <c r="C6" s="270"/>
      <c r="D6" s="374"/>
      <c r="E6" s="378"/>
      <c r="F6" s="385"/>
      <c r="G6" s="385"/>
      <c r="H6" s="378"/>
      <c r="I6" s="366"/>
      <c r="J6" s="386"/>
      <c r="K6" s="366"/>
      <c r="L6" s="359"/>
      <c r="M6" s="359"/>
      <c r="N6" s="359"/>
      <c r="P6" s="371" t="s">
        <v>1193</v>
      </c>
    </row>
    <row r="7" spans="1:16">
      <c r="A7" s="384" t="s">
        <v>1234</v>
      </c>
      <c r="B7" s="274">
        <f>EOMONTH(B6,0)</f>
        <v>46203</v>
      </c>
      <c r="C7" s="270"/>
      <c r="D7" s="374"/>
      <c r="E7" s="378"/>
      <c r="F7" s="385"/>
      <c r="G7" s="385"/>
      <c r="H7" s="378"/>
      <c r="I7" s="366"/>
      <c r="J7" s="386"/>
      <c r="K7" s="366"/>
      <c r="L7" s="359"/>
      <c r="M7" s="359"/>
      <c r="N7" s="359"/>
      <c r="P7" s="371" t="s">
        <v>1195</v>
      </c>
    </row>
    <row r="8" spans="1:16">
      <c r="A8" s="384" t="s">
        <v>1219</v>
      </c>
      <c r="B8" s="270">
        <f>COUNTIFS('20_Registro_Diario'!$A$5:$A$403,"&gt;="&amp;$B$6,'20_Registro_Diario'!$A$5:$A$403,"&lt;="&amp;$B$7)</f>
        <v>29</v>
      </c>
      <c r="C8" s="270"/>
      <c r="D8" s="374"/>
      <c r="E8" s="378"/>
      <c r="F8" s="385"/>
      <c r="G8" s="385"/>
      <c r="H8" s="378"/>
      <c r="I8" s="366"/>
      <c r="J8" s="386"/>
      <c r="K8" s="366"/>
      <c r="L8" s="359"/>
      <c r="M8" s="359"/>
      <c r="N8" s="359"/>
      <c r="P8" s="371" t="s">
        <v>1197</v>
      </c>
    </row>
    <row r="9" spans="1:16">
      <c r="A9" s="270"/>
      <c r="B9" s="270"/>
      <c r="C9" s="270"/>
      <c r="D9" s="374"/>
      <c r="E9" s="378"/>
      <c r="F9" s="385"/>
      <c r="G9" s="385"/>
      <c r="H9" s="378"/>
      <c r="I9" s="366"/>
      <c r="J9" s="386"/>
      <c r="K9" s="366"/>
      <c r="L9" s="359"/>
      <c r="M9" s="359"/>
      <c r="N9" s="359"/>
      <c r="P9" s="371" t="s">
        <v>1188</v>
      </c>
    </row>
    <row r="10" spans="1:16">
      <c r="A10" s="409" t="s">
        <v>66</v>
      </c>
      <c r="B10" s="409" t="s">
        <v>1235</v>
      </c>
      <c r="C10" s="409" t="s">
        <v>1236</v>
      </c>
      <c r="D10" s="410" t="s">
        <v>1237</v>
      </c>
      <c r="E10" s="411" t="s">
        <v>655</v>
      </c>
      <c r="F10" s="412" t="s">
        <v>1238</v>
      </c>
      <c r="G10" s="412" t="s">
        <v>1239</v>
      </c>
      <c r="H10" s="411" t="s">
        <v>656</v>
      </c>
      <c r="I10" s="413" t="s">
        <v>1202</v>
      </c>
      <c r="J10" s="414" t="s">
        <v>1240</v>
      </c>
      <c r="K10" s="413" t="s">
        <v>1241</v>
      </c>
      <c r="L10" s="406" t="s">
        <v>1242</v>
      </c>
      <c r="M10" s="406" t="s">
        <v>252</v>
      </c>
      <c r="N10" s="406" t="s">
        <v>1243</v>
      </c>
      <c r="P10" s="371" t="s">
        <v>1208</v>
      </c>
    </row>
    <row r="11" spans="1:16" ht="29" customHeight="1">
      <c r="A11" s="270" t="s">
        <v>683</v>
      </c>
      <c r="B11" s="270">
        <v>20</v>
      </c>
      <c r="C11" s="270">
        <f>COUNTIFS('20_Registro_Diario'!$A$5:$A$403,"&gt;="&amp;$B$6,'20_Registro_Diario'!$A$5:$A$403,"&lt;="&amp;$B$7)</f>
        <v>29</v>
      </c>
      <c r="D11" s="374">
        <f t="shared" ref="D11:D17" si="0">IFERROR(MIN(1,C11/B11),0)</f>
        <v>1</v>
      </c>
      <c r="E11" s="378" t="str">
        <f t="shared" ref="E11:E17" si="1">IF(D11&gt;=1,"⭐ Dominio",IF(D11&gt;=0.7,"🟢 Cumple",IF(D11&gt;=0.4,"🟡 En proceso","🔴 Riesgo")))</f>
        <v>⭐ Dominio</v>
      </c>
      <c r="F11" s="385">
        <v>0.2</v>
      </c>
      <c r="G11" s="385">
        <f t="shared" ref="G11:G17" si="2">D11*F11</f>
        <v>0.2</v>
      </c>
      <c r="H11" s="378" t="s">
        <v>1244</v>
      </c>
      <c r="I11" s="359">
        <f t="shared" ref="I11:I17" si="3">IFERROR(C11,0)</f>
        <v>29</v>
      </c>
      <c r="J11" s="359">
        <f t="shared" ref="J11:J17" si="4">IFERROR(C11,0)</f>
        <v>29</v>
      </c>
      <c r="K11" s="366">
        <f t="shared" ref="K11:K17" si="5">IFERROR(D11*100,0)</f>
        <v>100</v>
      </c>
      <c r="L11" s="359" t="s">
        <v>1245</v>
      </c>
      <c r="M11" s="359" t="s">
        <v>20</v>
      </c>
      <c r="N11" s="359" t="s">
        <v>1246</v>
      </c>
      <c r="P11" s="371" t="s">
        <v>1210</v>
      </c>
    </row>
    <row r="12" spans="1:16">
      <c r="A12" s="270" t="s">
        <v>157</v>
      </c>
      <c r="B12" s="270">
        <v>1</v>
      </c>
      <c r="C12" s="270">
        <f>IF(AND(COUNTIFS('11_Ingresos'!$A$5:$A$403,"&gt;="&amp;$B$6,'11_Ingresos'!$A$5:$A$403,"&lt;="&amp;$B$7)&gt;0,COUNTIFS('12_Gastos'!$A$5:$A$403,"&gt;="&amp;$B$6,'12_Gastos'!$A$5:$A$403,"&lt;="&amp;$B$7)&gt;0),1,0)</f>
        <v>1</v>
      </c>
      <c r="D12" s="374">
        <f t="shared" si="0"/>
        <v>1</v>
      </c>
      <c r="E12" s="378" t="str">
        <f t="shared" si="1"/>
        <v>⭐ Dominio</v>
      </c>
      <c r="F12" s="385">
        <v>0.2</v>
      </c>
      <c r="G12" s="385">
        <f t="shared" si="2"/>
        <v>0.2</v>
      </c>
      <c r="H12" s="378" t="s">
        <v>1247</v>
      </c>
      <c r="I12" s="359">
        <f t="shared" si="3"/>
        <v>1</v>
      </c>
      <c r="J12" s="359">
        <f t="shared" si="4"/>
        <v>1</v>
      </c>
      <c r="K12" s="366">
        <f t="shared" si="5"/>
        <v>100</v>
      </c>
      <c r="L12" s="359" t="s">
        <v>1248</v>
      </c>
      <c r="M12" s="359" t="s">
        <v>1249</v>
      </c>
      <c r="N12" s="359" t="s">
        <v>1250</v>
      </c>
      <c r="P12" s="371" t="s">
        <v>1212</v>
      </c>
    </row>
    <row r="13" spans="1:16" ht="29">
      <c r="A13" s="372" t="s">
        <v>286</v>
      </c>
      <c r="B13" s="372">
        <v>12</v>
      </c>
      <c r="C13" s="372">
        <f>COUNTIFS('63_T2_Bloques'!$A:$A,"&gt;="&amp;$B$6,'63_T2_Bloques'!$A:$A,"&lt;="&amp;$B$7)</f>
        <v>0</v>
      </c>
      <c r="D13" s="387">
        <f t="shared" si="0"/>
        <v>0</v>
      </c>
      <c r="E13" s="388" t="str">
        <f t="shared" si="1"/>
        <v>🔴 Riesgo</v>
      </c>
      <c r="F13" s="389">
        <v>0.2</v>
      </c>
      <c r="G13" s="389">
        <f t="shared" si="2"/>
        <v>0</v>
      </c>
      <c r="H13" s="388" t="s">
        <v>1251</v>
      </c>
      <c r="I13" s="359">
        <f t="shared" si="3"/>
        <v>0</v>
      </c>
      <c r="J13" s="359">
        <f t="shared" si="4"/>
        <v>0</v>
      </c>
      <c r="K13" s="366">
        <f t="shared" si="5"/>
        <v>0</v>
      </c>
      <c r="L13" s="359" t="s">
        <v>1245</v>
      </c>
      <c r="M13" s="359" t="s">
        <v>1252</v>
      </c>
      <c r="N13" s="359" t="s">
        <v>1253</v>
      </c>
      <c r="P13" s="371" t="s">
        <v>1214</v>
      </c>
    </row>
    <row r="14" spans="1:16">
      <c r="A14" s="359" t="s">
        <v>1254</v>
      </c>
      <c r="B14" s="359">
        <v>10</v>
      </c>
      <c r="C14" s="359">
        <f>COUNTIFS('40_Estudio_Empresas'!$B:$B,"&gt;="&amp;$B$6,'40_Estudio_Empresas'!$B:$B,"&lt;="&amp;$B$7)+COUNTIFS('70_Mercado_MGC'!$A:$A,"&gt;="&amp;$B$6,'70_Mercado_MGC'!$A:$A,"&lt;="&amp;$B$7)+COUNTIFS('71_Mercado_LNR'!$A:$A,"&gt;="&amp;$B$6,'71_Mercado_LNR'!$A:$A,"&lt;="&amp;$B$7)</f>
        <v>0</v>
      </c>
      <c r="D14" s="368">
        <f t="shared" si="0"/>
        <v>0</v>
      </c>
      <c r="E14" s="359" t="str">
        <f t="shared" si="1"/>
        <v>🔴 Riesgo</v>
      </c>
      <c r="F14" s="368">
        <v>0.15</v>
      </c>
      <c r="G14" s="368">
        <f t="shared" si="2"/>
        <v>0</v>
      </c>
      <c r="H14" s="359" t="s">
        <v>1255</v>
      </c>
      <c r="I14" s="359">
        <f t="shared" si="3"/>
        <v>0</v>
      </c>
      <c r="J14" s="359">
        <f t="shared" si="4"/>
        <v>0</v>
      </c>
      <c r="K14" s="366">
        <f t="shared" si="5"/>
        <v>0</v>
      </c>
      <c r="L14" s="359" t="s">
        <v>1245</v>
      </c>
      <c r="M14" s="359" t="s">
        <v>1256</v>
      </c>
      <c r="N14" s="359" t="s">
        <v>1257</v>
      </c>
      <c r="P14" s="371" t="s">
        <v>1215</v>
      </c>
    </row>
    <row r="15" spans="1:16">
      <c r="A15" s="359" t="s">
        <v>1258</v>
      </c>
      <c r="B15" s="359">
        <v>8</v>
      </c>
      <c r="C15" s="359">
        <f>IFERROR(COUNTIFS([1]H03_Presión_Log!$A:$A,"&gt;="&amp;$B$6,[1]H03_Presión_Log!$A:$A,"&lt;="&amp;$B$7),0)</f>
        <v>0</v>
      </c>
      <c r="D15" s="368">
        <f t="shared" si="0"/>
        <v>0</v>
      </c>
      <c r="E15" s="359" t="str">
        <f t="shared" si="1"/>
        <v>🔴 Riesgo</v>
      </c>
      <c r="F15" s="368">
        <v>0.1</v>
      </c>
      <c r="G15" s="368">
        <f t="shared" si="2"/>
        <v>0</v>
      </c>
      <c r="H15" s="359" t="s">
        <v>1259</v>
      </c>
      <c r="I15" s="359">
        <f t="shared" si="3"/>
        <v>0</v>
      </c>
      <c r="J15" s="359">
        <f t="shared" si="4"/>
        <v>0</v>
      </c>
      <c r="K15" s="366">
        <f t="shared" si="5"/>
        <v>0</v>
      </c>
      <c r="L15" s="359" t="s">
        <v>1245</v>
      </c>
      <c r="M15" s="359" t="s">
        <v>1260</v>
      </c>
      <c r="N15" s="359" t="s">
        <v>1261</v>
      </c>
      <c r="P15" s="371" t="s">
        <v>1217</v>
      </c>
    </row>
    <row r="16" spans="1:16">
      <c r="A16" s="359" t="s">
        <v>897</v>
      </c>
      <c r="B16" s="359">
        <v>4</v>
      </c>
      <c r="C16" s="359">
        <f>COUNTIF('23_Domingo_CEO'!$A:$A,"&lt;&gt;")</f>
        <v>8</v>
      </c>
      <c r="D16" s="368">
        <f t="shared" si="0"/>
        <v>1</v>
      </c>
      <c r="E16" s="359" t="str">
        <f t="shared" si="1"/>
        <v>⭐ Dominio</v>
      </c>
      <c r="F16" s="368">
        <v>0.1</v>
      </c>
      <c r="G16" s="368">
        <f t="shared" si="2"/>
        <v>0.1</v>
      </c>
      <c r="H16" s="359" t="s">
        <v>1262</v>
      </c>
      <c r="I16" s="359">
        <f t="shared" si="3"/>
        <v>8</v>
      </c>
      <c r="J16" s="359">
        <f t="shared" si="4"/>
        <v>8</v>
      </c>
      <c r="K16" s="366">
        <f t="shared" si="5"/>
        <v>100</v>
      </c>
      <c r="L16" s="359" t="s">
        <v>1245</v>
      </c>
      <c r="M16" s="359" t="s">
        <v>713</v>
      </c>
      <c r="N16" s="359" t="s">
        <v>910</v>
      </c>
    </row>
    <row r="17" spans="1:14">
      <c r="A17" s="359" t="s">
        <v>916</v>
      </c>
      <c r="B17" s="359">
        <v>5</v>
      </c>
      <c r="C17" s="359">
        <f>0</f>
        <v>0</v>
      </c>
      <c r="D17" s="368">
        <f t="shared" si="0"/>
        <v>0</v>
      </c>
      <c r="E17" s="359" t="str">
        <f t="shared" si="1"/>
        <v>🔴 Riesgo</v>
      </c>
      <c r="F17" s="368">
        <v>0.05</v>
      </c>
      <c r="G17" s="368">
        <f t="shared" si="2"/>
        <v>0</v>
      </c>
      <c r="H17" s="359" t="s">
        <v>1263</v>
      </c>
      <c r="I17" s="359">
        <f t="shared" si="3"/>
        <v>0</v>
      </c>
      <c r="J17" s="359">
        <f t="shared" si="4"/>
        <v>0</v>
      </c>
      <c r="K17" s="366">
        <f t="shared" si="5"/>
        <v>0</v>
      </c>
      <c r="L17" s="359" t="s">
        <v>1245</v>
      </c>
      <c r="M17" s="359" t="s">
        <v>747</v>
      </c>
      <c r="N17" s="359" t="s">
        <v>1264</v>
      </c>
    </row>
    <row r="18" spans="1:14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66"/>
      <c r="L18" s="359"/>
      <c r="M18" s="359"/>
      <c r="N18" s="359"/>
    </row>
    <row r="19" spans="1:14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66"/>
      <c r="L19" s="359"/>
      <c r="M19" s="359"/>
      <c r="N19" s="359"/>
    </row>
    <row r="20" spans="1:14">
      <c r="A20" s="382" t="s">
        <v>1265</v>
      </c>
      <c r="B20" s="382"/>
      <c r="C20" s="382"/>
      <c r="D20" s="382"/>
      <c r="E20" s="382"/>
      <c r="F20" s="382"/>
      <c r="G20" s="382">
        <f>SUM(G11:G17)</f>
        <v>0.5</v>
      </c>
      <c r="H20" s="382" t="str">
        <f>IF(G20&gt;=0.85,"⭐ Dominio",IF(G20&gt;=0.7,"🟢 Meta",IF(G20&gt;=0.45,"🟡 Atención","🔴 Riesgo")))</f>
        <v>🟡 Atención</v>
      </c>
      <c r="I20" s="382"/>
      <c r="J20" s="382"/>
      <c r="K20" s="390">
        <f>G20*100</f>
        <v>50</v>
      </c>
      <c r="L20" s="382"/>
      <c r="M20" s="382"/>
      <c r="N20" s="382"/>
    </row>
    <row r="21" spans="1:14">
      <c r="A21" s="359"/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</row>
    <row r="22" spans="1:14">
      <c r="A22" s="359"/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s="359"/>
      <c r="M22" s="359"/>
      <c r="N22" s="359"/>
    </row>
    <row r="23" spans="1:14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</row>
    <row r="24" spans="1:14">
      <c r="A24" s="359"/>
      <c r="B24" s="359"/>
      <c r="C24" s="359"/>
      <c r="D24" s="359"/>
      <c r="E24" s="359"/>
      <c r="F24" s="359"/>
      <c r="G24" s="359"/>
      <c r="H24" s="359"/>
      <c r="I24" s="359"/>
      <c r="J24" s="359"/>
      <c r="K24" s="359"/>
      <c r="L24" s="359"/>
      <c r="M24" s="359"/>
      <c r="N24" s="359"/>
    </row>
    <row r="25" spans="1:14">
      <c r="A25" s="359"/>
      <c r="B25" s="359"/>
      <c r="C25" s="359"/>
      <c r="D25" s="359"/>
      <c r="E25" s="359"/>
      <c r="F25" s="359"/>
      <c r="G25" s="359"/>
      <c r="H25" s="359"/>
      <c r="I25" s="359"/>
      <c r="J25" s="359"/>
      <c r="K25" s="359"/>
      <c r="L25" s="359"/>
      <c r="M25" s="359"/>
      <c r="N25" s="359"/>
    </row>
    <row r="26" spans="1:14">
      <c r="A26" s="359"/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</row>
    <row r="27" spans="1:14">
      <c r="A27" s="359"/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</row>
    <row r="28" spans="1:14">
      <c r="A28" s="359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</row>
    <row r="29" spans="1:14">
      <c r="A29" s="359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</row>
    <row r="30" spans="1:14">
      <c r="A30" s="359"/>
      <c r="B30" s="359"/>
      <c r="C30" s="359"/>
      <c r="D30" s="359"/>
      <c r="E30" s="359"/>
      <c r="F30" s="359"/>
      <c r="G30" s="359"/>
      <c r="H30" s="359"/>
      <c r="I30" s="359"/>
      <c r="J30" s="359"/>
      <c r="K30" s="359"/>
      <c r="L30" s="359"/>
      <c r="M30" s="359"/>
      <c r="N30" s="359"/>
    </row>
    <row r="31" spans="1:14">
      <c r="A31" s="383"/>
      <c r="B31" s="383"/>
      <c r="C31" s="383"/>
      <c r="D31" s="383"/>
      <c r="E31" s="383"/>
      <c r="F31" s="383"/>
      <c r="G31" s="383"/>
      <c r="H31" s="383"/>
    </row>
    <row r="32" spans="1:14">
      <c r="A32" s="383"/>
      <c r="B32" s="383"/>
      <c r="C32" s="383"/>
      <c r="D32" s="383"/>
      <c r="E32" s="383"/>
      <c r="F32" s="383"/>
      <c r="G32" s="383"/>
      <c r="H32" s="383"/>
    </row>
    <row r="33" spans="1:8">
      <c r="A33" s="383"/>
      <c r="B33" s="383"/>
      <c r="C33" s="383"/>
      <c r="D33" s="383"/>
      <c r="E33" s="383"/>
      <c r="F33" s="383"/>
      <c r="G33" s="383"/>
      <c r="H33" s="383"/>
    </row>
    <row r="34" spans="1:8">
      <c r="A34" s="383"/>
      <c r="B34" s="383"/>
      <c r="C34" s="383"/>
      <c r="D34" s="383"/>
      <c r="E34" s="383"/>
      <c r="F34" s="383"/>
      <c r="G34" s="383"/>
      <c r="H34" s="383"/>
    </row>
    <row r="35" spans="1:8">
      <c r="A35" s="383"/>
      <c r="B35" s="383"/>
      <c r="C35" s="383"/>
      <c r="D35" s="383"/>
      <c r="E35" s="383"/>
      <c r="F35" s="383"/>
      <c r="G35" s="383"/>
      <c r="H35" s="383"/>
    </row>
    <row r="36" spans="1:8">
      <c r="A36" s="383"/>
      <c r="B36" s="383"/>
      <c r="C36" s="383"/>
      <c r="D36" s="383"/>
      <c r="E36" s="383"/>
      <c r="F36" s="383"/>
      <c r="G36" s="383"/>
      <c r="H36" s="383"/>
    </row>
    <row r="37" spans="1:8">
      <c r="A37" s="383"/>
      <c r="B37" s="383"/>
      <c r="C37" s="383"/>
      <c r="D37" s="383"/>
      <c r="E37" s="383"/>
      <c r="F37" s="383"/>
      <c r="G37" s="383"/>
      <c r="H37" s="383"/>
    </row>
    <row r="38" spans="1:8">
      <c r="A38" s="383"/>
      <c r="B38" s="383"/>
      <c r="C38" s="383"/>
      <c r="D38" s="383"/>
      <c r="E38" s="383"/>
      <c r="F38" s="383"/>
      <c r="G38" s="383"/>
      <c r="H38" s="383"/>
    </row>
    <row r="39" spans="1:8">
      <c r="A39" s="383"/>
      <c r="B39" s="383"/>
      <c r="C39" s="383"/>
      <c r="D39" s="383"/>
      <c r="E39" s="383"/>
      <c r="F39" s="383"/>
      <c r="G39" s="383"/>
      <c r="H39" s="383"/>
    </row>
    <row r="40" spans="1:8">
      <c r="A40" s="383"/>
      <c r="B40" s="383"/>
      <c r="C40" s="383"/>
      <c r="D40" s="383"/>
      <c r="E40" s="383"/>
      <c r="F40" s="383"/>
      <c r="G40" s="383"/>
      <c r="H40" s="383"/>
    </row>
    <row r="41" spans="1:8">
      <c r="A41" s="383"/>
      <c r="B41" s="383"/>
      <c r="C41" s="383"/>
      <c r="D41" s="383"/>
      <c r="E41" s="383"/>
      <c r="F41" s="383"/>
      <c r="G41" s="383"/>
      <c r="H41" s="383"/>
    </row>
    <row r="42" spans="1:8">
      <c r="A42" s="383"/>
      <c r="B42" s="383"/>
      <c r="C42" s="383"/>
      <c r="D42" s="383"/>
      <c r="E42" s="383"/>
      <c r="F42" s="383"/>
      <c r="G42" s="383"/>
      <c r="H42" s="383"/>
    </row>
    <row r="43" spans="1:8">
      <c r="A43" s="383"/>
      <c r="B43" s="383"/>
      <c r="C43" s="383"/>
      <c r="D43" s="383"/>
      <c r="E43" s="383"/>
      <c r="F43" s="383"/>
      <c r="G43" s="383"/>
      <c r="H43" s="383"/>
    </row>
    <row r="44" spans="1:8">
      <c r="A44" s="383"/>
      <c r="B44" s="383"/>
      <c r="C44" s="383"/>
      <c r="D44" s="383"/>
      <c r="E44" s="383"/>
      <c r="F44" s="383"/>
      <c r="G44" s="383"/>
      <c r="H44" s="383"/>
    </row>
    <row r="45" spans="1:8">
      <c r="A45" s="383"/>
      <c r="B45" s="383"/>
      <c r="C45" s="383"/>
      <c r="D45" s="383"/>
      <c r="E45" s="383"/>
      <c r="F45" s="383"/>
      <c r="G45" s="383"/>
      <c r="H45" s="383"/>
    </row>
    <row r="46" spans="1:8">
      <c r="A46" s="383"/>
      <c r="B46" s="383"/>
      <c r="C46" s="383"/>
      <c r="D46" s="383"/>
      <c r="E46" s="383"/>
      <c r="F46" s="383"/>
      <c r="G46" s="383"/>
      <c r="H46" s="383"/>
    </row>
    <row r="47" spans="1:8">
      <c r="A47" s="383"/>
      <c r="B47" s="383"/>
      <c r="C47" s="383"/>
      <c r="D47" s="383"/>
      <c r="E47" s="383"/>
      <c r="F47" s="383"/>
      <c r="G47" s="383"/>
      <c r="H47" s="383"/>
    </row>
    <row r="48" spans="1:8">
      <c r="A48" s="383"/>
      <c r="B48" s="383"/>
      <c r="C48" s="383"/>
      <c r="D48" s="383"/>
      <c r="E48" s="383"/>
      <c r="F48" s="383"/>
      <c r="G48" s="383"/>
      <c r="H48" s="383"/>
    </row>
    <row r="49" spans="1:8">
      <c r="A49" s="383"/>
      <c r="B49" s="383"/>
      <c r="C49" s="383"/>
      <c r="D49" s="383"/>
      <c r="E49" s="383"/>
      <c r="F49" s="383"/>
      <c r="G49" s="383"/>
      <c r="H49" s="383"/>
    </row>
    <row r="50" spans="1:8">
      <c r="A50" s="383"/>
      <c r="B50" s="383"/>
      <c r="C50" s="383"/>
      <c r="D50" s="383"/>
      <c r="E50" s="383"/>
      <c r="F50" s="383"/>
      <c r="G50" s="383"/>
      <c r="H50" s="383"/>
    </row>
    <row r="51" spans="1:8">
      <c r="A51" s="383"/>
      <c r="B51" s="383"/>
      <c r="C51" s="383"/>
      <c r="D51" s="383"/>
      <c r="E51" s="383"/>
      <c r="F51" s="383"/>
      <c r="G51" s="383"/>
      <c r="H51" s="383"/>
    </row>
    <row r="52" spans="1:8">
      <c r="A52" s="383"/>
      <c r="B52" s="383"/>
      <c r="C52" s="383"/>
      <c r="D52" s="383"/>
      <c r="E52" s="383"/>
      <c r="F52" s="383"/>
      <c r="G52" s="383"/>
      <c r="H52" s="383"/>
    </row>
    <row r="53" spans="1:8">
      <c r="A53" s="383"/>
      <c r="B53" s="383"/>
      <c r="C53" s="383"/>
      <c r="D53" s="383"/>
      <c r="E53" s="383"/>
      <c r="F53" s="383"/>
      <c r="G53" s="383"/>
      <c r="H53" s="383"/>
    </row>
    <row r="54" spans="1:8">
      <c r="A54" s="383"/>
      <c r="B54" s="383"/>
      <c r="C54" s="383"/>
      <c r="D54" s="383"/>
      <c r="E54" s="383"/>
      <c r="F54" s="383"/>
      <c r="G54" s="383"/>
      <c r="H54" s="383"/>
    </row>
    <row r="55" spans="1:8">
      <c r="A55" s="383"/>
      <c r="B55" s="383"/>
      <c r="C55" s="383"/>
      <c r="D55" s="383"/>
      <c r="E55" s="383"/>
      <c r="F55" s="383"/>
      <c r="G55" s="383"/>
      <c r="H55" s="383"/>
    </row>
    <row r="56" spans="1:8">
      <c r="A56" s="383"/>
      <c r="B56" s="383"/>
      <c r="C56" s="383"/>
      <c r="D56" s="383"/>
      <c r="E56" s="383"/>
      <c r="F56" s="383"/>
      <c r="G56" s="383"/>
      <c r="H56" s="383"/>
    </row>
    <row r="57" spans="1:8">
      <c r="A57" s="383"/>
      <c r="B57" s="383"/>
      <c r="C57" s="383"/>
      <c r="D57" s="383"/>
      <c r="E57" s="383"/>
      <c r="F57" s="383"/>
      <c r="G57" s="383"/>
      <c r="H57" s="383"/>
    </row>
    <row r="58" spans="1:8">
      <c r="A58" s="383"/>
      <c r="B58" s="383"/>
      <c r="C58" s="383"/>
      <c r="D58" s="383"/>
      <c r="E58" s="383"/>
      <c r="F58" s="383"/>
      <c r="G58" s="383"/>
      <c r="H58" s="383"/>
    </row>
    <row r="59" spans="1:8">
      <c r="A59" s="383"/>
      <c r="B59" s="383"/>
      <c r="C59" s="383"/>
      <c r="D59" s="383"/>
      <c r="E59" s="383"/>
      <c r="F59" s="383"/>
      <c r="G59" s="383"/>
      <c r="H59" s="383"/>
    </row>
    <row r="60" spans="1:8">
      <c r="A60" s="383"/>
      <c r="B60" s="383"/>
      <c r="C60" s="383"/>
      <c r="D60" s="383"/>
      <c r="E60" s="383"/>
      <c r="F60" s="383"/>
      <c r="G60" s="383"/>
      <c r="H60" s="383"/>
    </row>
  </sheetData>
  <mergeCells count="1">
    <mergeCell ref="A1:H1"/>
  </mergeCells>
  <conditionalFormatting sqref="E4:E10">
    <cfRule type="expression" dxfId="891" priority="38">
      <formula>ISNUMBER(SEARCH("Superado",E4))</formula>
    </cfRule>
    <cfRule type="expression" dxfId="890" priority="30">
      <formula>ISNUMBER(SEARCH("Pendiente",E4))</formula>
    </cfRule>
    <cfRule type="expression" dxfId="889" priority="29">
      <formula>ISNUMBER(SEARCH("Crítico",E4))</formula>
    </cfRule>
    <cfRule type="expression" dxfId="888" priority="28">
      <formula>ISNUMBER(SEARCH("Riesgo",E4))</formula>
    </cfRule>
    <cfRule type="expression" dxfId="887" priority="31">
      <formula>ISNUMBER(SEARCH("En proceso",E4))</formula>
    </cfRule>
    <cfRule type="expression" dxfId="886" priority="32">
      <formula>ISNUMBER(SEARCH("Atención",E4))</formula>
    </cfRule>
    <cfRule type="expression" dxfId="885" priority="33">
      <formula>ISNUMBER(SEARCH("Cumple",E4))</formula>
    </cfRule>
    <cfRule type="expression" dxfId="884" priority="34">
      <formula>ISNUMBER(SEARCH("Cumplido",E4))</formula>
    </cfRule>
    <cfRule type="expression" dxfId="883" priority="35">
      <formula>ISNUMBER(SEARCH("Dominio",E4))</formula>
    </cfRule>
    <cfRule type="expression" dxfId="882" priority="36">
      <formula>ISNUMBER(SEARCH("Alto",E4))</formula>
    </cfRule>
    <cfRule type="expression" dxfId="881" priority="37">
      <formula>ISNUMBER(SEARCH("Meta",E4))</formula>
    </cfRule>
  </conditionalFormatting>
  <conditionalFormatting sqref="E4:H13">
    <cfRule type="expression" dxfId="880" priority="9">
      <formula>ISNUMBER(SEARCH("Cumplido",E4))</formula>
    </cfRule>
    <cfRule type="expression" dxfId="879" priority="10">
      <formula>ISNUMBER(SEARCH("Positivo",E4))</formula>
    </cfRule>
    <cfRule type="expression" dxfId="878" priority="11">
      <formula>ISNUMBER(SEARCH("Dominio",E4))</formula>
    </cfRule>
    <cfRule type="expression" dxfId="877" priority="12">
      <formula>ISNUMBER(SEARCH("Alto",E4))</formula>
    </cfRule>
    <cfRule type="expression" dxfId="876" priority="13">
      <formula>ISNUMBER(SEARCH("Superado",E4))</formula>
    </cfRule>
    <cfRule type="expression" dxfId="875" priority="14">
      <formula>ISNUMBER(SEARCH("Cuadrado",E4))</formula>
    </cfRule>
    <cfRule type="expression" dxfId="874" priority="15">
      <formula>ISNUMBER(SEARCH("Revisar",E4))</formula>
    </cfRule>
    <cfRule type="expression" dxfId="873" priority="16">
      <formula>ISNUMBER(SEARCH("Vacío",E4))</formula>
    </cfRule>
    <cfRule type="expression" dxfId="872" priority="1">
      <formula>ISNUMBER(SEARCH("Riesgo",E4))</formula>
    </cfRule>
    <cfRule type="expression" dxfId="871" priority="2">
      <formula>ISNUMBER(SEARCH("Crítico",E4))</formula>
    </cfRule>
    <cfRule type="expression" dxfId="870" priority="3">
      <formula>ISNUMBER(SEARCH("Pendiente",E4))</formula>
    </cfRule>
    <cfRule type="expression" dxfId="869" priority="4">
      <formula>ISNUMBER(SEARCH("En riesgo",E4))</formula>
    </cfRule>
    <cfRule type="expression" dxfId="868" priority="5">
      <formula>ISNUMBER(SEARCH("Atención",E4))</formula>
    </cfRule>
    <cfRule type="expression" dxfId="867" priority="6">
      <formula>ISNUMBER(SEARCH("En proceso",E4))</formula>
    </cfRule>
    <cfRule type="expression" dxfId="866" priority="7">
      <formula>ISNUMBER(SEARCH("Meta",E4))</formula>
    </cfRule>
    <cfRule type="expression" dxfId="865" priority="8">
      <formula>ISNUMBER(SEARCH("Cumple",E4))</formula>
    </cfRule>
  </conditionalFormatting>
  <conditionalFormatting sqref="H13">
    <cfRule type="expression" dxfId="864" priority="19">
      <formula>ISNUMBER(SEARCH("Pendiente",H13))</formula>
    </cfRule>
    <cfRule type="expression" dxfId="863" priority="18">
      <formula>ISNUMBER(SEARCH("Crítico",H13))</formula>
    </cfRule>
    <cfRule type="expression" dxfId="862" priority="17">
      <formula>ISNUMBER(SEARCH("Riesgo",H13))</formula>
    </cfRule>
    <cfRule type="expression" dxfId="861" priority="21">
      <formula>ISNUMBER(SEARCH("Atención",H13))</formula>
    </cfRule>
    <cfRule type="expression" dxfId="860" priority="22">
      <formula>ISNUMBER(SEARCH("Cumple",H13))</formula>
    </cfRule>
    <cfRule type="expression" dxfId="859" priority="23">
      <formula>ISNUMBER(SEARCH("Cumplido",H13))</formula>
    </cfRule>
    <cfRule type="expression" dxfId="858" priority="24">
      <formula>ISNUMBER(SEARCH("Dominio",H13))</formula>
    </cfRule>
    <cfRule type="expression" dxfId="857" priority="25">
      <formula>ISNUMBER(SEARCH("Alto",H13))</formula>
    </cfRule>
    <cfRule type="expression" dxfId="856" priority="26">
      <formula>ISNUMBER(SEARCH("Meta",H13))</formula>
    </cfRule>
    <cfRule type="expression" dxfId="855" priority="27">
      <formula>ISNUMBER(SEARCH("Superado",H13))</formula>
    </cfRule>
    <cfRule type="expression" dxfId="854" priority="20">
      <formula>ISNUMBER(SEARCH("En proceso",H13))</formula>
    </cfRule>
  </conditionalFormatting>
  <dataValidations count="1">
    <dataValidation type="list" sqref="B4" xr:uid="{00000000-0002-0000-0E00-000000000000}">
      <formula1>$P$4:$P$15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BFBF"/>
  </sheetPr>
  <dimension ref="A1:H100"/>
  <sheetViews>
    <sheetView showGridLines="0" workbookViewId="0"/>
  </sheetViews>
  <sheetFormatPr baseColWidth="10" defaultColWidth="14.453125" defaultRowHeight="14.5"/>
  <cols>
    <col min="1" max="2" width="20" style="355" customWidth="1"/>
    <col min="3" max="3" width="25.6328125" style="355" customWidth="1"/>
    <col min="4" max="4" width="32.7265625" style="355" customWidth="1"/>
    <col min="5" max="5" width="5.54296875" style="355" customWidth="1"/>
    <col min="6" max="6" width="34.26953125" style="355" customWidth="1"/>
    <col min="7" max="11" width="8.7265625" style="355" customWidth="1"/>
    <col min="12" max="16384" width="14.453125" style="355"/>
  </cols>
  <sheetData>
    <row r="1" spans="1:8" ht="22" customHeight="1">
      <c r="A1" s="442" t="s">
        <v>1266</v>
      </c>
      <c r="B1" s="421"/>
      <c r="C1" s="421"/>
      <c r="D1" s="421"/>
      <c r="E1" s="421"/>
      <c r="F1" s="421"/>
      <c r="G1" s="421"/>
      <c r="H1" s="421"/>
    </row>
    <row r="2" spans="1:8">
      <c r="A2" s="438" t="s">
        <v>1267</v>
      </c>
      <c r="B2" s="421"/>
      <c r="C2" s="421"/>
      <c r="D2" s="421"/>
      <c r="E2" s="421"/>
      <c r="F2" s="421"/>
      <c r="G2" s="421"/>
      <c r="H2" s="421"/>
    </row>
    <row r="3" spans="1:8" ht="1.9" customHeight="1">
      <c r="A3" s="391"/>
      <c r="B3" s="391"/>
      <c r="C3" s="391"/>
      <c r="D3" s="391"/>
      <c r="E3" s="391"/>
      <c r="F3" s="391"/>
      <c r="G3" s="391"/>
      <c r="H3" s="391"/>
    </row>
    <row r="4" spans="1:8">
      <c r="A4" s="392" t="s">
        <v>1115</v>
      </c>
      <c r="B4" s="392" t="s">
        <v>157</v>
      </c>
      <c r="C4" s="392" t="s">
        <v>286</v>
      </c>
      <c r="D4" s="392" t="s">
        <v>1111</v>
      </c>
      <c r="E4" s="392" t="s">
        <v>322</v>
      </c>
      <c r="F4" s="392" t="s">
        <v>1268</v>
      </c>
      <c r="G4" s="391"/>
      <c r="H4" s="391"/>
    </row>
    <row r="5" spans="1:8" ht="29" customHeight="1">
      <c r="A5" s="393" t="s">
        <v>1211</v>
      </c>
      <c r="B5" s="393" t="s">
        <v>1269</v>
      </c>
      <c r="C5" s="393" t="s">
        <v>1270</v>
      </c>
      <c r="D5" s="393" t="s">
        <v>1271</v>
      </c>
      <c r="E5" s="393" t="s">
        <v>1272</v>
      </c>
      <c r="F5" s="393" t="s">
        <v>1273</v>
      </c>
      <c r="G5" s="391"/>
      <c r="H5" s="391"/>
    </row>
    <row r="6" spans="1:8">
      <c r="A6" s="393" t="s">
        <v>1209</v>
      </c>
      <c r="B6" s="393"/>
      <c r="C6" s="393"/>
      <c r="D6" s="393"/>
      <c r="E6" s="393"/>
      <c r="F6" s="393"/>
      <c r="G6" s="391"/>
      <c r="H6" s="391"/>
    </row>
    <row r="7" spans="1:8">
      <c r="A7" s="393" t="s">
        <v>1213</v>
      </c>
      <c r="B7" s="393"/>
      <c r="C7" s="393"/>
      <c r="D7" s="393"/>
      <c r="E7" s="393"/>
      <c r="F7" s="393"/>
      <c r="G7" s="391"/>
      <c r="H7" s="391"/>
    </row>
    <row r="8" spans="1:8">
      <c r="A8" s="393" t="s">
        <v>30</v>
      </c>
      <c r="B8" s="393"/>
      <c r="C8" s="393"/>
      <c r="D8" s="393"/>
      <c r="E8" s="393"/>
      <c r="F8" s="393"/>
      <c r="G8" s="391"/>
      <c r="H8" s="391"/>
    </row>
    <row r="9" spans="1:8">
      <c r="A9" s="393" t="s">
        <v>1216</v>
      </c>
      <c r="B9" s="393"/>
      <c r="C9" s="393"/>
      <c r="D9" s="393"/>
      <c r="E9" s="393"/>
      <c r="F9" s="393"/>
      <c r="G9" s="391"/>
      <c r="H9" s="391"/>
    </row>
    <row r="10" spans="1:8">
      <c r="A10" s="393"/>
      <c r="B10" s="393"/>
      <c r="C10" s="393"/>
      <c r="D10" s="393"/>
      <c r="E10" s="393"/>
      <c r="F10" s="393"/>
      <c r="G10" s="391"/>
      <c r="H10" s="391"/>
    </row>
    <row r="11" spans="1:8">
      <c r="A11" s="393"/>
      <c r="B11" s="393"/>
      <c r="C11" s="393"/>
      <c r="D11" s="393"/>
      <c r="E11" s="393"/>
      <c r="F11" s="393"/>
      <c r="G11" s="391"/>
      <c r="H11" s="391"/>
    </row>
    <row r="12" spans="1:8">
      <c r="A12" s="393"/>
      <c r="B12" s="393"/>
      <c r="C12" s="393"/>
      <c r="D12" s="393"/>
      <c r="E12" s="393"/>
      <c r="F12" s="393"/>
      <c r="G12" s="391"/>
      <c r="H12" s="391"/>
    </row>
    <row r="13" spans="1:8">
      <c r="A13" s="393"/>
      <c r="B13" s="393"/>
      <c r="C13" s="393"/>
      <c r="D13" s="393"/>
      <c r="E13" s="393"/>
      <c r="F13" s="393"/>
      <c r="G13" s="391"/>
      <c r="H13" s="391"/>
    </row>
    <row r="14" spans="1:8">
      <c r="A14" s="393"/>
      <c r="B14" s="393"/>
      <c r="C14" s="393"/>
      <c r="D14" s="393"/>
      <c r="E14" s="393"/>
      <c r="F14" s="393"/>
      <c r="G14" s="391"/>
      <c r="H14" s="391"/>
    </row>
    <row r="15" spans="1:8">
      <c r="A15" s="393"/>
      <c r="B15" s="393"/>
      <c r="C15" s="393"/>
      <c r="D15" s="393"/>
      <c r="E15" s="393"/>
      <c r="F15" s="393"/>
      <c r="G15" s="391"/>
      <c r="H15" s="391"/>
    </row>
    <row r="16" spans="1:8">
      <c r="A16" s="393"/>
      <c r="B16" s="393"/>
      <c r="C16" s="393"/>
      <c r="D16" s="393"/>
      <c r="E16" s="393"/>
      <c r="F16" s="393"/>
      <c r="G16" s="391"/>
      <c r="H16" s="391"/>
    </row>
    <row r="17" spans="1:8" ht="1.9" customHeight="1">
      <c r="A17" s="393"/>
      <c r="B17" s="393"/>
      <c r="C17" s="393"/>
      <c r="D17" s="393"/>
      <c r="E17" s="393"/>
      <c r="F17" s="393"/>
      <c r="G17" s="391"/>
      <c r="H17" s="391"/>
    </row>
    <row r="18" spans="1:8" ht="1.9" customHeight="1">
      <c r="A18" s="393"/>
      <c r="B18" s="393"/>
      <c r="C18" s="393"/>
      <c r="D18" s="393"/>
      <c r="E18" s="393"/>
      <c r="F18" s="393"/>
      <c r="G18" s="391"/>
      <c r="H18" s="391"/>
    </row>
    <row r="19" spans="1:8" ht="1.9" customHeight="1">
      <c r="A19" s="393"/>
      <c r="B19" s="393"/>
      <c r="C19" s="393"/>
      <c r="D19" s="393"/>
      <c r="E19" s="393"/>
      <c r="F19" s="393"/>
      <c r="G19" s="391"/>
      <c r="H19" s="391"/>
    </row>
    <row r="20" spans="1:8" ht="1.9" customHeight="1">
      <c r="A20" s="393"/>
      <c r="B20" s="393"/>
      <c r="C20" s="393"/>
      <c r="D20" s="393"/>
      <c r="E20" s="393"/>
      <c r="F20" s="393"/>
      <c r="G20" s="391"/>
      <c r="H20" s="391"/>
    </row>
    <row r="21" spans="1:8" ht="1.9" customHeight="1">
      <c r="A21" s="393"/>
      <c r="B21" s="393"/>
      <c r="C21" s="393"/>
      <c r="D21" s="393"/>
      <c r="E21" s="393"/>
      <c r="F21" s="393"/>
      <c r="G21" s="391"/>
      <c r="H21" s="391"/>
    </row>
    <row r="22" spans="1:8" ht="1.9" customHeight="1">
      <c r="A22" s="393"/>
      <c r="B22" s="393"/>
      <c r="C22" s="393"/>
      <c r="D22" s="393"/>
      <c r="E22" s="393"/>
      <c r="F22" s="393"/>
      <c r="G22" s="391"/>
      <c r="H22" s="391"/>
    </row>
    <row r="23" spans="1:8" ht="1.9" customHeight="1">
      <c r="A23" s="393"/>
      <c r="B23" s="393"/>
      <c r="C23" s="393"/>
      <c r="D23" s="393"/>
      <c r="E23" s="393"/>
      <c r="F23" s="393"/>
      <c r="G23" s="391"/>
      <c r="H23" s="391"/>
    </row>
    <row r="24" spans="1:8" ht="1.9" customHeight="1">
      <c r="A24" s="393"/>
      <c r="B24" s="393"/>
      <c r="C24" s="393"/>
      <c r="D24" s="393"/>
      <c r="E24" s="393"/>
      <c r="F24" s="393"/>
      <c r="G24" s="391"/>
      <c r="H24" s="391"/>
    </row>
    <row r="25" spans="1:8" ht="1.9" customHeight="1">
      <c r="A25" s="393"/>
      <c r="B25" s="393"/>
      <c r="C25" s="393"/>
      <c r="D25" s="393"/>
      <c r="E25" s="393"/>
      <c r="F25" s="393"/>
      <c r="G25" s="391"/>
      <c r="H25" s="391"/>
    </row>
    <row r="26" spans="1:8" ht="1.9" customHeight="1">
      <c r="A26" s="393"/>
      <c r="B26" s="393"/>
      <c r="C26" s="393"/>
      <c r="D26" s="393"/>
      <c r="E26" s="393"/>
      <c r="F26" s="393"/>
      <c r="G26" s="391"/>
      <c r="H26" s="391"/>
    </row>
    <row r="27" spans="1:8" ht="1.9" customHeight="1">
      <c r="A27" s="393"/>
      <c r="B27" s="393"/>
      <c r="C27" s="393"/>
      <c r="D27" s="393"/>
      <c r="E27" s="393"/>
      <c r="F27" s="393"/>
      <c r="G27" s="391"/>
      <c r="H27" s="391"/>
    </row>
    <row r="28" spans="1:8" ht="1.9" customHeight="1">
      <c r="A28" s="393"/>
      <c r="B28" s="393"/>
      <c r="C28" s="393"/>
      <c r="D28" s="393"/>
      <c r="E28" s="393"/>
      <c r="F28" s="393"/>
      <c r="G28" s="391"/>
      <c r="H28" s="391"/>
    </row>
    <row r="29" spans="1:8" ht="1.9" customHeight="1">
      <c r="A29" s="393"/>
      <c r="B29" s="393"/>
      <c r="C29" s="393"/>
      <c r="D29" s="393"/>
      <c r="E29" s="393"/>
      <c r="F29" s="393"/>
      <c r="G29" s="391"/>
      <c r="H29" s="391"/>
    </row>
    <row r="30" spans="1:8" ht="1.9" customHeight="1">
      <c r="A30" s="393"/>
      <c r="B30" s="393"/>
      <c r="C30" s="393"/>
      <c r="D30" s="393"/>
      <c r="E30" s="393"/>
      <c r="F30" s="393"/>
      <c r="G30" s="391"/>
      <c r="H30" s="391"/>
    </row>
    <row r="31" spans="1:8" ht="1.9" customHeight="1">
      <c r="A31" s="393"/>
      <c r="B31" s="393"/>
      <c r="C31" s="393"/>
      <c r="D31" s="393"/>
      <c r="E31" s="393"/>
      <c r="F31" s="393"/>
      <c r="G31" s="391"/>
      <c r="H31" s="391"/>
    </row>
    <row r="32" spans="1:8" ht="1.9" customHeight="1">
      <c r="A32" s="393"/>
      <c r="B32" s="393"/>
      <c r="C32" s="393"/>
      <c r="D32" s="393"/>
      <c r="E32" s="393"/>
      <c r="F32" s="393"/>
      <c r="G32" s="391"/>
      <c r="H32" s="391"/>
    </row>
    <row r="33" spans="1:8" ht="1.9" customHeight="1">
      <c r="A33" s="393"/>
      <c r="B33" s="393"/>
      <c r="C33" s="393"/>
      <c r="D33" s="393"/>
      <c r="E33" s="393"/>
      <c r="F33" s="393"/>
      <c r="G33" s="391"/>
      <c r="H33" s="391"/>
    </row>
    <row r="34" spans="1:8" ht="1.9" customHeight="1">
      <c r="A34" s="393"/>
      <c r="B34" s="393"/>
      <c r="C34" s="393"/>
      <c r="D34" s="393"/>
      <c r="E34" s="393"/>
      <c r="F34" s="393"/>
      <c r="G34" s="391"/>
      <c r="H34" s="391"/>
    </row>
    <row r="35" spans="1:8" ht="1.9" customHeight="1">
      <c r="A35" s="393"/>
      <c r="B35" s="393"/>
      <c r="C35" s="393"/>
      <c r="D35" s="393"/>
      <c r="E35" s="393"/>
      <c r="F35" s="393"/>
      <c r="G35" s="391"/>
      <c r="H35" s="391"/>
    </row>
    <row r="36" spans="1:8" ht="1.9" customHeight="1">
      <c r="A36" s="393"/>
      <c r="B36" s="393"/>
      <c r="C36" s="393"/>
      <c r="D36" s="393"/>
      <c r="E36" s="393"/>
      <c r="F36" s="393"/>
      <c r="G36" s="391"/>
      <c r="H36" s="391"/>
    </row>
    <row r="37" spans="1:8" ht="1.9" customHeight="1">
      <c r="A37" s="393"/>
      <c r="B37" s="393"/>
      <c r="C37" s="393"/>
      <c r="D37" s="393"/>
      <c r="E37" s="393"/>
      <c r="F37" s="393"/>
      <c r="G37" s="391"/>
      <c r="H37" s="391"/>
    </row>
    <row r="38" spans="1:8" ht="1.9" customHeight="1">
      <c r="A38" s="393"/>
      <c r="B38" s="393"/>
      <c r="C38" s="393"/>
      <c r="D38" s="393"/>
      <c r="E38" s="393"/>
      <c r="F38" s="393"/>
      <c r="G38" s="391"/>
      <c r="H38" s="391"/>
    </row>
    <row r="39" spans="1:8" ht="1.9" customHeight="1">
      <c r="A39" s="393"/>
      <c r="B39" s="393"/>
      <c r="C39" s="393"/>
      <c r="D39" s="393"/>
      <c r="E39" s="393"/>
      <c r="F39" s="393"/>
      <c r="G39" s="391"/>
      <c r="H39" s="391"/>
    </row>
    <row r="40" spans="1:8" ht="1.9" customHeight="1">
      <c r="A40" s="393"/>
      <c r="B40" s="393"/>
      <c r="C40" s="393"/>
      <c r="D40" s="393"/>
      <c r="E40" s="393"/>
      <c r="F40" s="393"/>
      <c r="G40" s="391"/>
      <c r="H40" s="391"/>
    </row>
    <row r="41" spans="1:8" ht="1.9" customHeight="1">
      <c r="A41" s="393"/>
      <c r="B41" s="393"/>
      <c r="C41" s="393"/>
      <c r="D41" s="393"/>
      <c r="E41" s="393"/>
      <c r="F41" s="393"/>
      <c r="G41" s="391"/>
      <c r="H41" s="391"/>
    </row>
    <row r="42" spans="1:8" ht="1.9" customHeight="1">
      <c r="A42" s="393"/>
      <c r="B42" s="393"/>
      <c r="C42" s="393"/>
      <c r="D42" s="393"/>
      <c r="E42" s="393"/>
      <c r="F42" s="393"/>
      <c r="G42" s="391"/>
      <c r="H42" s="391"/>
    </row>
    <row r="43" spans="1:8" ht="1.9" customHeight="1">
      <c r="A43" s="393"/>
      <c r="B43" s="393"/>
      <c r="C43" s="393"/>
      <c r="D43" s="393"/>
      <c r="E43" s="393"/>
      <c r="F43" s="393"/>
      <c r="G43" s="391"/>
      <c r="H43" s="391"/>
    </row>
    <row r="44" spans="1:8" ht="1.9" customHeight="1">
      <c r="A44" s="393"/>
      <c r="B44" s="393"/>
      <c r="C44" s="393"/>
      <c r="D44" s="393"/>
      <c r="E44" s="393"/>
      <c r="F44" s="393"/>
      <c r="G44" s="391"/>
      <c r="H44" s="391"/>
    </row>
    <row r="45" spans="1:8" ht="1.9" customHeight="1">
      <c r="A45" s="393"/>
      <c r="B45" s="393"/>
      <c r="C45" s="393"/>
      <c r="D45" s="393"/>
      <c r="E45" s="393"/>
      <c r="F45" s="393"/>
      <c r="G45" s="391"/>
      <c r="H45" s="391"/>
    </row>
    <row r="46" spans="1:8" ht="1.9" customHeight="1">
      <c r="A46" s="393"/>
      <c r="B46" s="393"/>
      <c r="C46" s="393"/>
      <c r="D46" s="393"/>
      <c r="E46" s="393"/>
      <c r="F46" s="393"/>
      <c r="G46" s="391"/>
      <c r="H46" s="391"/>
    </row>
    <row r="47" spans="1:8" ht="1.9" customHeight="1">
      <c r="A47" s="393"/>
      <c r="B47" s="393"/>
      <c r="C47" s="393"/>
      <c r="D47" s="393"/>
      <c r="E47" s="393"/>
      <c r="F47" s="393"/>
      <c r="G47" s="391"/>
      <c r="H47" s="391"/>
    </row>
    <row r="48" spans="1:8" ht="1.9" customHeight="1">
      <c r="A48" s="393"/>
      <c r="B48" s="393"/>
      <c r="C48" s="393"/>
      <c r="D48" s="393"/>
      <c r="E48" s="393"/>
      <c r="F48" s="393"/>
      <c r="G48" s="391"/>
      <c r="H48" s="391"/>
    </row>
    <row r="49" spans="1:8" ht="1.9" customHeight="1">
      <c r="A49" s="393"/>
      <c r="B49" s="393"/>
      <c r="C49" s="393"/>
      <c r="D49" s="393"/>
      <c r="E49" s="393"/>
      <c r="F49" s="393"/>
      <c r="G49" s="391"/>
      <c r="H49" s="391"/>
    </row>
    <row r="50" spans="1:8" ht="1.9" customHeight="1">
      <c r="A50" s="393"/>
      <c r="B50" s="393"/>
      <c r="C50" s="393"/>
      <c r="D50" s="393"/>
      <c r="E50" s="393"/>
      <c r="F50" s="393"/>
      <c r="G50" s="391"/>
      <c r="H50" s="391"/>
    </row>
    <row r="51" spans="1:8" ht="1.9" customHeight="1">
      <c r="A51" s="393"/>
      <c r="B51" s="393"/>
      <c r="C51" s="393"/>
      <c r="D51" s="393"/>
      <c r="E51" s="393"/>
      <c r="F51" s="393"/>
      <c r="G51" s="391"/>
      <c r="H51" s="391"/>
    </row>
    <row r="52" spans="1:8" ht="1.9" customHeight="1">
      <c r="A52" s="393"/>
      <c r="B52" s="393"/>
      <c r="C52" s="393"/>
      <c r="D52" s="393"/>
      <c r="E52" s="393"/>
      <c r="F52" s="393"/>
      <c r="G52" s="391"/>
      <c r="H52" s="391"/>
    </row>
    <row r="53" spans="1:8" ht="1.9" customHeight="1">
      <c r="A53" s="393"/>
      <c r="B53" s="393"/>
      <c r="C53" s="393"/>
      <c r="D53" s="393"/>
      <c r="E53" s="393"/>
      <c r="F53" s="393"/>
      <c r="G53" s="391"/>
      <c r="H53" s="391"/>
    </row>
    <row r="54" spans="1:8" ht="1.9" customHeight="1">
      <c r="A54" s="393"/>
      <c r="B54" s="393"/>
      <c r="C54" s="393"/>
      <c r="D54" s="393"/>
      <c r="E54" s="393"/>
      <c r="F54" s="393"/>
      <c r="G54" s="391"/>
      <c r="H54" s="391"/>
    </row>
    <row r="55" spans="1:8" ht="1.9" customHeight="1">
      <c r="A55" s="393"/>
      <c r="B55" s="393"/>
      <c r="C55" s="393"/>
      <c r="D55" s="393"/>
      <c r="E55" s="393"/>
      <c r="F55" s="393"/>
      <c r="G55" s="391"/>
      <c r="H55" s="391"/>
    </row>
    <row r="56" spans="1:8" ht="1.9" customHeight="1">
      <c r="A56" s="393"/>
      <c r="B56" s="393"/>
      <c r="C56" s="393"/>
      <c r="D56" s="393"/>
      <c r="E56" s="393"/>
      <c r="F56" s="393"/>
      <c r="G56" s="391"/>
      <c r="H56" s="391"/>
    </row>
    <row r="57" spans="1:8" ht="1.9" customHeight="1">
      <c r="A57" s="393"/>
      <c r="B57" s="393"/>
      <c r="C57" s="393"/>
      <c r="D57" s="393"/>
      <c r="E57" s="393"/>
      <c r="F57" s="393"/>
      <c r="G57" s="391"/>
      <c r="H57" s="391"/>
    </row>
    <row r="58" spans="1:8" ht="1.9" customHeight="1">
      <c r="A58" s="393"/>
      <c r="B58" s="393"/>
      <c r="C58" s="393"/>
      <c r="D58" s="393"/>
      <c r="E58" s="393"/>
      <c r="F58" s="393"/>
      <c r="G58" s="391"/>
      <c r="H58" s="391"/>
    </row>
    <row r="59" spans="1:8" ht="1.9" customHeight="1">
      <c r="A59" s="393"/>
      <c r="B59" s="393"/>
      <c r="C59" s="393"/>
      <c r="D59" s="393"/>
      <c r="E59" s="393"/>
      <c r="F59" s="393"/>
      <c r="G59" s="391"/>
      <c r="H59" s="391"/>
    </row>
    <row r="60" spans="1:8" ht="1.9" customHeight="1">
      <c r="A60" s="393"/>
      <c r="B60" s="393"/>
      <c r="C60" s="393"/>
      <c r="D60" s="393"/>
      <c r="E60" s="393"/>
      <c r="F60" s="393"/>
      <c r="G60" s="391"/>
      <c r="H60" s="391"/>
    </row>
    <row r="61" spans="1:8" ht="1.9" customHeight="1">
      <c r="A61" s="393"/>
      <c r="B61" s="393"/>
      <c r="C61" s="393"/>
      <c r="D61" s="393"/>
      <c r="E61" s="393"/>
      <c r="F61" s="393"/>
      <c r="G61" s="391"/>
      <c r="H61" s="391"/>
    </row>
    <row r="62" spans="1:8" ht="1.9" customHeight="1">
      <c r="A62" s="393"/>
      <c r="B62" s="393"/>
      <c r="C62" s="393"/>
      <c r="D62" s="393"/>
      <c r="E62" s="393"/>
      <c r="F62" s="393"/>
      <c r="G62" s="391"/>
      <c r="H62" s="391"/>
    </row>
    <row r="63" spans="1:8" ht="1.9" customHeight="1">
      <c r="A63" s="393"/>
      <c r="B63" s="393"/>
      <c r="C63" s="393"/>
      <c r="D63" s="393"/>
      <c r="E63" s="393"/>
      <c r="F63" s="393"/>
      <c r="G63" s="391"/>
      <c r="H63" s="391"/>
    </row>
    <row r="64" spans="1:8" ht="1.9" customHeight="1">
      <c r="A64" s="393"/>
      <c r="B64" s="393"/>
      <c r="C64" s="393"/>
      <c r="D64" s="393"/>
      <c r="E64" s="393"/>
      <c r="F64" s="393"/>
      <c r="G64" s="391"/>
      <c r="H64" s="391"/>
    </row>
    <row r="65" spans="1:8" ht="1.9" customHeight="1">
      <c r="A65" s="393"/>
      <c r="B65" s="393"/>
      <c r="C65" s="393"/>
      <c r="D65" s="393"/>
      <c r="E65" s="393"/>
      <c r="F65" s="393"/>
      <c r="G65" s="391"/>
      <c r="H65" s="391"/>
    </row>
    <row r="66" spans="1:8" ht="1.9" customHeight="1">
      <c r="A66" s="393"/>
      <c r="B66" s="393"/>
      <c r="C66" s="393"/>
      <c r="D66" s="393"/>
      <c r="E66" s="393"/>
      <c r="F66" s="393"/>
      <c r="G66" s="391"/>
      <c r="H66" s="391"/>
    </row>
    <row r="67" spans="1:8" ht="1.9" customHeight="1">
      <c r="A67" s="393"/>
      <c r="B67" s="393"/>
      <c r="C67" s="393"/>
      <c r="D67" s="393"/>
      <c r="E67" s="393"/>
      <c r="F67" s="393"/>
      <c r="G67" s="391"/>
      <c r="H67" s="391"/>
    </row>
    <row r="68" spans="1:8" ht="1.9" customHeight="1">
      <c r="A68" s="393"/>
      <c r="B68" s="393"/>
      <c r="C68" s="393"/>
      <c r="D68" s="393"/>
      <c r="E68" s="393"/>
      <c r="F68" s="393"/>
      <c r="G68" s="391"/>
      <c r="H68" s="391"/>
    </row>
    <row r="69" spans="1:8" ht="1.9" customHeight="1">
      <c r="A69" s="393"/>
      <c r="B69" s="393"/>
      <c r="C69" s="393"/>
      <c r="D69" s="393"/>
      <c r="E69" s="393"/>
      <c r="F69" s="393"/>
      <c r="G69" s="391"/>
      <c r="H69" s="391"/>
    </row>
    <row r="70" spans="1:8" ht="1.9" customHeight="1">
      <c r="A70" s="393"/>
      <c r="B70" s="393"/>
      <c r="C70" s="393"/>
      <c r="D70" s="393"/>
      <c r="E70" s="393"/>
      <c r="F70" s="393"/>
      <c r="G70" s="391"/>
      <c r="H70" s="391"/>
    </row>
    <row r="71" spans="1:8" ht="1.9" customHeight="1">
      <c r="A71" s="393"/>
      <c r="B71" s="393"/>
      <c r="C71" s="393"/>
      <c r="D71" s="393"/>
      <c r="E71" s="393"/>
      <c r="F71" s="393"/>
      <c r="G71" s="391"/>
      <c r="H71" s="391"/>
    </row>
    <row r="72" spans="1:8" ht="1.9" customHeight="1">
      <c r="A72" s="393"/>
      <c r="B72" s="393"/>
      <c r="C72" s="393"/>
      <c r="D72" s="393"/>
      <c r="E72" s="393"/>
      <c r="F72" s="393"/>
      <c r="G72" s="391"/>
      <c r="H72" s="391"/>
    </row>
    <row r="73" spans="1:8" ht="1.9" customHeight="1">
      <c r="A73" s="393"/>
      <c r="B73" s="393"/>
      <c r="C73" s="393"/>
      <c r="D73" s="393"/>
      <c r="E73" s="393"/>
      <c r="F73" s="393"/>
      <c r="G73" s="391"/>
      <c r="H73" s="391"/>
    </row>
    <row r="74" spans="1:8" ht="1.9" customHeight="1">
      <c r="A74" s="393"/>
      <c r="B74" s="393"/>
      <c r="C74" s="393"/>
      <c r="D74" s="393"/>
      <c r="E74" s="393"/>
      <c r="F74" s="393"/>
      <c r="G74" s="391"/>
      <c r="H74" s="391"/>
    </row>
    <row r="75" spans="1:8" ht="1.9" customHeight="1">
      <c r="A75" s="393"/>
      <c r="B75" s="393"/>
      <c r="C75" s="393"/>
      <c r="D75" s="393"/>
      <c r="E75" s="393"/>
      <c r="F75" s="393"/>
      <c r="G75" s="391"/>
      <c r="H75" s="391"/>
    </row>
    <row r="76" spans="1:8" ht="1.9" customHeight="1">
      <c r="A76" s="393"/>
      <c r="B76" s="393"/>
      <c r="C76" s="393"/>
      <c r="D76" s="393"/>
      <c r="E76" s="393"/>
      <c r="F76" s="393"/>
      <c r="G76" s="391"/>
      <c r="H76" s="391"/>
    </row>
    <row r="77" spans="1:8" ht="1.9" customHeight="1">
      <c r="A77" s="393"/>
      <c r="B77" s="393"/>
      <c r="C77" s="393"/>
      <c r="D77" s="393"/>
      <c r="E77" s="393"/>
      <c r="F77" s="393"/>
      <c r="G77" s="391"/>
      <c r="H77" s="391"/>
    </row>
    <row r="78" spans="1:8" ht="1.9" customHeight="1">
      <c r="A78" s="393"/>
      <c r="B78" s="393"/>
      <c r="C78" s="393"/>
      <c r="D78" s="393"/>
      <c r="E78" s="393"/>
      <c r="F78" s="393"/>
      <c r="G78" s="391"/>
      <c r="H78" s="391"/>
    </row>
    <row r="79" spans="1:8" ht="1.9" customHeight="1">
      <c r="A79" s="393"/>
      <c r="B79" s="393"/>
      <c r="C79" s="393"/>
      <c r="D79" s="393"/>
      <c r="E79" s="393"/>
      <c r="F79" s="393"/>
      <c r="G79" s="391"/>
      <c r="H79" s="391"/>
    </row>
    <row r="80" spans="1:8" ht="1.9" customHeight="1">
      <c r="A80" s="393"/>
      <c r="B80" s="393"/>
      <c r="C80" s="393"/>
      <c r="D80" s="393"/>
      <c r="E80" s="393"/>
      <c r="F80" s="393"/>
      <c r="G80" s="391"/>
      <c r="H80" s="391"/>
    </row>
    <row r="81" spans="1:6" ht="1.9" customHeight="1">
      <c r="A81" s="383"/>
      <c r="B81" s="383"/>
      <c r="C81" s="383"/>
      <c r="D81" s="383"/>
      <c r="E81" s="383"/>
      <c r="F81" s="383"/>
    </row>
    <row r="82" spans="1:6" ht="1.9" customHeight="1">
      <c r="A82" s="383"/>
      <c r="B82" s="383"/>
      <c r="C82" s="383"/>
      <c r="D82" s="383"/>
      <c r="E82" s="383"/>
      <c r="F82" s="383"/>
    </row>
    <row r="83" spans="1:6" ht="1.9" customHeight="1">
      <c r="A83" s="383"/>
      <c r="B83" s="383"/>
      <c r="C83" s="383"/>
      <c r="D83" s="383"/>
      <c r="E83" s="383"/>
      <c r="F83" s="383"/>
    </row>
    <row r="84" spans="1:6" ht="1.9" customHeight="1">
      <c r="A84" s="383"/>
      <c r="B84" s="383"/>
      <c r="C84" s="383"/>
      <c r="D84" s="383"/>
      <c r="E84" s="383"/>
      <c r="F84" s="383"/>
    </row>
    <row r="85" spans="1:6" ht="1.9" customHeight="1">
      <c r="A85" s="383"/>
      <c r="B85" s="383"/>
      <c r="C85" s="383"/>
      <c r="D85" s="383"/>
      <c r="E85" s="383"/>
      <c r="F85" s="383"/>
    </row>
    <row r="86" spans="1:6" ht="1.9" customHeight="1">
      <c r="A86" s="383"/>
      <c r="B86" s="383"/>
      <c r="C86" s="383"/>
      <c r="D86" s="383"/>
      <c r="E86" s="383"/>
      <c r="F86" s="383"/>
    </row>
    <row r="87" spans="1:6" ht="1.9" customHeight="1">
      <c r="A87" s="383"/>
      <c r="B87" s="383"/>
      <c r="C87" s="383"/>
      <c r="D87" s="383"/>
      <c r="E87" s="383"/>
      <c r="F87" s="383"/>
    </row>
    <row r="88" spans="1:6" ht="1.9" customHeight="1">
      <c r="A88" s="383"/>
      <c r="B88" s="383"/>
      <c r="C88" s="383"/>
      <c r="D88" s="383"/>
      <c r="E88" s="383"/>
      <c r="F88" s="383"/>
    </row>
    <row r="89" spans="1:6" ht="1.9" customHeight="1">
      <c r="A89" s="383"/>
      <c r="B89" s="383"/>
      <c r="C89" s="383"/>
      <c r="D89" s="383"/>
      <c r="E89" s="383"/>
      <c r="F89" s="383"/>
    </row>
    <row r="90" spans="1:6" ht="1.9" customHeight="1">
      <c r="A90" s="383"/>
      <c r="B90" s="383"/>
      <c r="C90" s="383"/>
      <c r="D90" s="383"/>
      <c r="E90" s="383"/>
      <c r="F90" s="383"/>
    </row>
    <row r="91" spans="1:6" ht="1.9" customHeight="1">
      <c r="A91" s="383"/>
      <c r="B91" s="383"/>
      <c r="C91" s="383"/>
      <c r="D91" s="383"/>
      <c r="E91" s="383"/>
      <c r="F91" s="383"/>
    </row>
    <row r="92" spans="1:6" ht="1.9" customHeight="1">
      <c r="A92" s="383"/>
      <c r="B92" s="383"/>
      <c r="C92" s="383"/>
      <c r="D92" s="383"/>
      <c r="E92" s="383"/>
      <c r="F92" s="383"/>
    </row>
    <row r="93" spans="1:6" ht="1.9" customHeight="1">
      <c r="A93" s="383"/>
      <c r="B93" s="383"/>
      <c r="C93" s="383"/>
      <c r="D93" s="383"/>
      <c r="E93" s="383"/>
      <c r="F93" s="383"/>
    </row>
    <row r="94" spans="1:6" ht="1.9" customHeight="1">
      <c r="A94" s="383"/>
      <c r="B94" s="383"/>
      <c r="C94" s="383"/>
      <c r="D94" s="383"/>
      <c r="E94" s="383"/>
      <c r="F94" s="383"/>
    </row>
    <row r="95" spans="1:6" ht="1.9" customHeight="1">
      <c r="A95" s="383"/>
      <c r="B95" s="383"/>
      <c r="C95" s="383"/>
      <c r="D95" s="383"/>
      <c r="E95" s="383"/>
      <c r="F95" s="383"/>
    </row>
    <row r="96" spans="1:6" ht="1.9" customHeight="1">
      <c r="A96" s="383"/>
      <c r="B96" s="383"/>
      <c r="C96" s="383"/>
      <c r="D96" s="383"/>
      <c r="E96" s="383"/>
      <c r="F96" s="383"/>
    </row>
    <row r="97" spans="1:6" ht="1.9" customHeight="1">
      <c r="A97" s="383"/>
      <c r="B97" s="383"/>
      <c r="C97" s="383"/>
      <c r="D97" s="383"/>
      <c r="E97" s="383"/>
      <c r="F97" s="383"/>
    </row>
    <row r="98" spans="1:6" ht="1.9" customHeight="1">
      <c r="A98" s="383"/>
      <c r="B98" s="383"/>
      <c r="C98" s="383"/>
      <c r="D98" s="383"/>
      <c r="E98" s="383"/>
      <c r="F98" s="383"/>
    </row>
    <row r="99" spans="1:6" ht="1.9" customHeight="1">
      <c r="A99" s="383"/>
      <c r="B99" s="383"/>
      <c r="C99" s="383"/>
      <c r="D99" s="383"/>
      <c r="E99" s="383"/>
      <c r="F99" s="383"/>
    </row>
    <row r="100" spans="1:6" ht="1.9" customHeight="1">
      <c r="A100" s="383"/>
      <c r="B100" s="383"/>
      <c r="C100" s="383"/>
      <c r="D100" s="383"/>
      <c r="E100" s="383"/>
      <c r="F100" s="383"/>
    </row>
  </sheetData>
  <mergeCells count="2">
    <mergeCell ref="A2:H2"/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BFBF"/>
  </sheetPr>
  <dimension ref="A1:H100"/>
  <sheetViews>
    <sheetView showGridLines="0" workbookViewId="0">
      <selection sqref="A1:H1"/>
    </sheetView>
  </sheetViews>
  <sheetFormatPr baseColWidth="10" defaultColWidth="14.453125" defaultRowHeight="14.5"/>
  <cols>
    <col min="1" max="1" width="22.36328125" style="355" customWidth="1"/>
    <col min="2" max="2" width="16.26953125" style="355" customWidth="1"/>
    <col min="3" max="3" width="10.36328125" style="355" customWidth="1"/>
    <col min="4" max="4" width="30.08984375" style="355" customWidth="1"/>
    <col min="5" max="5" width="14" style="355" customWidth="1"/>
    <col min="6" max="6" width="8.7265625" style="355" customWidth="1"/>
    <col min="7" max="7" width="13.26953125" style="355" customWidth="1"/>
    <col min="8" max="8" width="62" style="355" customWidth="1"/>
    <col min="9" max="11" width="8.7265625" style="355" customWidth="1"/>
    <col min="12" max="16384" width="14.453125" style="355"/>
  </cols>
  <sheetData>
    <row r="1" spans="1:8" ht="23.5" customHeight="1">
      <c r="A1" s="442" t="s">
        <v>1274</v>
      </c>
      <c r="B1" s="421"/>
      <c r="C1" s="421"/>
      <c r="D1" s="421"/>
      <c r="E1" s="421"/>
      <c r="F1" s="421"/>
      <c r="G1" s="421"/>
      <c r="H1" s="421"/>
    </row>
    <row r="2" spans="1:8">
      <c r="A2" s="438" t="s">
        <v>1267</v>
      </c>
      <c r="B2" s="421"/>
      <c r="C2" s="421"/>
      <c r="D2" s="421"/>
      <c r="E2" s="421"/>
      <c r="F2" s="421"/>
      <c r="G2" s="421"/>
      <c r="H2" s="421"/>
    </row>
    <row r="3" spans="1:8" ht="1.9" customHeight="1">
      <c r="A3" s="391"/>
      <c r="B3" s="391"/>
      <c r="C3" s="391"/>
      <c r="D3" s="391"/>
      <c r="E3" s="391"/>
      <c r="F3" s="391"/>
      <c r="G3" s="391"/>
      <c r="H3" s="391"/>
    </row>
    <row r="4" spans="1:8">
      <c r="A4" s="392" t="s">
        <v>66</v>
      </c>
      <c r="B4" s="392" t="s">
        <v>1275</v>
      </c>
      <c r="C4" s="392" t="s">
        <v>1276</v>
      </c>
      <c r="D4" s="392" t="s">
        <v>1277</v>
      </c>
      <c r="E4" s="392" t="s">
        <v>1278</v>
      </c>
      <c r="F4" s="392" t="s">
        <v>248</v>
      </c>
      <c r="G4" s="392" t="s">
        <v>655</v>
      </c>
      <c r="H4" s="392" t="s">
        <v>11</v>
      </c>
    </row>
    <row r="5" spans="1:8">
      <c r="A5" s="393" t="s">
        <v>1109</v>
      </c>
      <c r="B5" s="394">
        <f>IFERROR('24_KPI_Mensual_V4'!$G$20,0)</f>
        <v>0.5</v>
      </c>
      <c r="C5" s="395"/>
      <c r="D5" s="393"/>
      <c r="E5" s="393"/>
      <c r="F5" s="393" t="s">
        <v>332</v>
      </c>
      <c r="G5" s="396" t="s">
        <v>1279</v>
      </c>
      <c r="H5" s="393"/>
    </row>
    <row r="6" spans="1:8" ht="16" customHeight="1">
      <c r="A6" s="393" t="s">
        <v>353</v>
      </c>
      <c r="B6" s="394" t="str">
        <f>IFERROR('24_KPI_Mensual_V4'!$B$4,"junio")</f>
        <v>junio</v>
      </c>
      <c r="C6" s="395">
        <v>150000</v>
      </c>
      <c r="D6" s="340" t="s">
        <v>1280</v>
      </c>
      <c r="E6" s="397">
        <v>46208</v>
      </c>
      <c r="F6" s="393" t="s">
        <v>332</v>
      </c>
      <c r="G6" s="396" t="s">
        <v>1279</v>
      </c>
      <c r="H6" s="340" t="s">
        <v>1281</v>
      </c>
    </row>
    <row r="7" spans="1:8" ht="29" customHeight="1">
      <c r="A7" s="393" t="s">
        <v>1282</v>
      </c>
      <c r="B7" s="394">
        <v>150000</v>
      </c>
      <c r="C7" s="395">
        <v>650000</v>
      </c>
      <c r="D7" s="340" t="s">
        <v>1283</v>
      </c>
      <c r="E7" s="397">
        <v>46208</v>
      </c>
      <c r="F7" s="393" t="s">
        <v>332</v>
      </c>
      <c r="G7" s="396" t="s">
        <v>1279</v>
      </c>
      <c r="H7" s="340" t="s">
        <v>1284</v>
      </c>
    </row>
    <row r="8" spans="1:8" ht="43.5" customHeight="1">
      <c r="A8" s="393" t="s">
        <v>1285</v>
      </c>
      <c r="B8" s="394">
        <f>IFERROR('24_KPI_Mensual_V4'!$K$20,0)</f>
        <v>50</v>
      </c>
      <c r="C8" s="395">
        <v>450000</v>
      </c>
      <c r="D8" s="340" t="s">
        <v>1286</v>
      </c>
      <c r="E8" s="397">
        <v>46208</v>
      </c>
      <c r="F8" s="393" t="s">
        <v>332</v>
      </c>
      <c r="G8" s="396" t="s">
        <v>1279</v>
      </c>
      <c r="H8" s="340" t="s">
        <v>1287</v>
      </c>
    </row>
    <row r="9" spans="1:8">
      <c r="A9" s="393" t="s">
        <v>286</v>
      </c>
      <c r="B9" s="398">
        <f>IFERROR('24_KPI_Mensual_V4'!$D$13,0)</f>
        <v>0</v>
      </c>
      <c r="C9" s="364">
        <v>1</v>
      </c>
      <c r="D9" s="340" t="s">
        <v>1288</v>
      </c>
      <c r="E9" s="397">
        <v>46189</v>
      </c>
      <c r="F9" s="393" t="s">
        <v>1289</v>
      </c>
      <c r="G9" s="396" t="str">
        <f>IFERROR(IF(B9&gt;=C9,"🟢 Cumplido",IF(B9&gt;=0.4*C9,"🟡 En proceso","🔴 Riesgo")),"🟡 En proceso")</f>
        <v>🔴 Riesgo</v>
      </c>
      <c r="H9" s="340" t="s">
        <v>1290</v>
      </c>
    </row>
    <row r="10" spans="1:8">
      <c r="A10" s="393" t="s">
        <v>1291</v>
      </c>
      <c r="B10" s="398">
        <f>IFERROR('24_KPI_Mensual_V4'!$D$14,0)</f>
        <v>0</v>
      </c>
      <c r="C10" s="364">
        <v>1</v>
      </c>
      <c r="D10" s="340" t="s">
        <v>1292</v>
      </c>
      <c r="E10" s="397">
        <v>46189</v>
      </c>
      <c r="F10" s="393" t="s">
        <v>1289</v>
      </c>
      <c r="G10" s="396" t="str">
        <f>IFERROR(IF(B10&gt;=C10,"🟢 Cumplido",IF(B10&gt;=0.4*C10,"🟡 En proceso","🔴 Riesgo")),"🟡 En proceso")</f>
        <v>🔴 Riesgo</v>
      </c>
      <c r="H10" s="340" t="s">
        <v>1293</v>
      </c>
    </row>
    <row r="11" spans="1:8">
      <c r="A11" s="393" t="s">
        <v>322</v>
      </c>
      <c r="B11" s="398">
        <f>IFERROR('24_KPI_Mensual_V4'!$D$15,0)</f>
        <v>0</v>
      </c>
      <c r="C11" s="364">
        <v>1</v>
      </c>
      <c r="D11" s="340" t="s">
        <v>1294</v>
      </c>
      <c r="E11" s="397">
        <v>46189</v>
      </c>
      <c r="F11" s="393" t="s">
        <v>1289</v>
      </c>
      <c r="G11" s="396" t="str">
        <f>IFERROR(IF(B11&gt;=C11,"🟢 Cumplido",IF(B11&gt;=0.4*C11,"🟡 En proceso","🔴 Riesgo")),"🟡 En proceso")</f>
        <v>🔴 Riesgo</v>
      </c>
      <c r="H11" s="340" t="s">
        <v>1295</v>
      </c>
    </row>
    <row r="12" spans="1:8">
      <c r="A12" s="393" t="s">
        <v>1110</v>
      </c>
      <c r="B12" s="399">
        <f>COUNTIFS('20_Registro_Diario'!$A$5:$A$403,"&gt;="&amp;'24_KPI_Mensual_V4'!$B$6,'20_Registro_Diario'!$A$5:$A$403,"&lt;="&amp;'24_KPI_Mensual_V4'!$B$7,'20_Registro_Diario'!$D$5:$D$403,"Sí")</f>
        <v>16</v>
      </c>
      <c r="C12" s="362">
        <v>20</v>
      </c>
      <c r="D12" s="340" t="s">
        <v>1296</v>
      </c>
      <c r="E12" s="397">
        <v>46181</v>
      </c>
      <c r="F12" s="393" t="s">
        <v>1289</v>
      </c>
      <c r="G12" s="396" t="str">
        <f>IFERROR(IF(B12&gt;=C12,"🟢 Cumplido",IF(B12&gt;=0.4*C12,"🟡 En proceso","🔴 Riesgo")),"🟡 En proceso")</f>
        <v>🟡 En proceso</v>
      </c>
      <c r="H12" s="340" t="s">
        <v>1297</v>
      </c>
    </row>
    <row r="13" spans="1:8">
      <c r="A13" s="393"/>
      <c r="B13" s="393"/>
      <c r="C13" s="393"/>
      <c r="D13" s="393"/>
      <c r="E13" s="393"/>
      <c r="F13" s="393"/>
      <c r="G13" s="393"/>
      <c r="H13" s="393"/>
    </row>
    <row r="14" spans="1:8" ht="1.9" customHeight="1">
      <c r="A14" s="393"/>
      <c r="B14" s="393"/>
      <c r="C14" s="393"/>
      <c r="D14" s="393"/>
      <c r="E14" s="393"/>
      <c r="F14" s="393"/>
      <c r="G14" s="393"/>
      <c r="H14" s="393"/>
    </row>
    <row r="15" spans="1:8" ht="1.9" customHeight="1">
      <c r="A15" s="393"/>
      <c r="B15" s="393"/>
      <c r="C15" s="393"/>
      <c r="D15" s="393"/>
      <c r="E15" s="393"/>
      <c r="F15" s="393"/>
      <c r="G15" s="393"/>
      <c r="H15" s="393"/>
    </row>
    <row r="16" spans="1:8" ht="1.9" customHeight="1">
      <c r="A16" s="393"/>
      <c r="B16" s="393"/>
      <c r="C16" s="393"/>
      <c r="D16" s="393"/>
      <c r="E16" s="393"/>
      <c r="F16" s="393"/>
      <c r="G16" s="393"/>
      <c r="H16" s="393"/>
    </row>
    <row r="17" spans="1:8" ht="1.9" customHeight="1">
      <c r="A17" s="393"/>
      <c r="B17" s="393"/>
      <c r="C17" s="393"/>
      <c r="D17" s="393"/>
      <c r="E17" s="393"/>
      <c r="F17" s="393"/>
      <c r="G17" s="393"/>
      <c r="H17" s="393"/>
    </row>
    <row r="18" spans="1:8" ht="1.9" customHeight="1">
      <c r="A18" s="393"/>
      <c r="B18" s="393"/>
      <c r="C18" s="393"/>
      <c r="D18" s="393"/>
      <c r="E18" s="393"/>
      <c r="F18" s="393"/>
      <c r="G18" s="393"/>
      <c r="H18" s="393"/>
    </row>
    <row r="19" spans="1:8" ht="1.9" customHeight="1">
      <c r="A19" s="393"/>
      <c r="B19" s="393"/>
      <c r="C19" s="393"/>
      <c r="D19" s="393"/>
      <c r="E19" s="393"/>
      <c r="F19" s="393"/>
      <c r="G19" s="393"/>
      <c r="H19" s="393"/>
    </row>
    <row r="20" spans="1:8" ht="1.9" customHeight="1">
      <c r="A20" s="393"/>
      <c r="B20" s="393"/>
      <c r="C20" s="393"/>
      <c r="D20" s="393"/>
      <c r="E20" s="393"/>
      <c r="F20" s="393"/>
      <c r="G20" s="393"/>
      <c r="H20" s="393"/>
    </row>
    <row r="21" spans="1:8" ht="1.9" customHeight="1">
      <c r="A21" s="393"/>
      <c r="B21" s="393"/>
      <c r="C21" s="393"/>
      <c r="D21" s="393"/>
      <c r="E21" s="393"/>
      <c r="F21" s="393"/>
      <c r="G21" s="393"/>
      <c r="H21" s="393"/>
    </row>
    <row r="22" spans="1:8" ht="1.9" customHeight="1">
      <c r="A22" s="393"/>
      <c r="B22" s="393"/>
      <c r="C22" s="393"/>
      <c r="D22" s="393"/>
      <c r="E22" s="393"/>
      <c r="F22" s="393"/>
      <c r="G22" s="393"/>
      <c r="H22" s="393"/>
    </row>
    <row r="23" spans="1:8" ht="1.9" customHeight="1">
      <c r="A23" s="393"/>
      <c r="B23" s="393"/>
      <c r="C23" s="393"/>
      <c r="D23" s="393"/>
      <c r="E23" s="393"/>
      <c r="F23" s="393"/>
      <c r="G23" s="393"/>
      <c r="H23" s="393"/>
    </row>
    <row r="24" spans="1:8" ht="1.9" customHeight="1">
      <c r="A24" s="393"/>
      <c r="B24" s="393"/>
      <c r="C24" s="393"/>
      <c r="D24" s="393"/>
      <c r="E24" s="393"/>
      <c r="F24" s="393"/>
      <c r="G24" s="393"/>
      <c r="H24" s="393"/>
    </row>
    <row r="25" spans="1:8" ht="1.9" customHeight="1">
      <c r="A25" s="393"/>
      <c r="B25" s="393"/>
      <c r="C25" s="393"/>
      <c r="D25" s="393"/>
      <c r="E25" s="393"/>
      <c r="F25" s="393"/>
      <c r="G25" s="393"/>
      <c r="H25" s="393"/>
    </row>
    <row r="26" spans="1:8" ht="1.9" customHeight="1">
      <c r="A26" s="393"/>
      <c r="B26" s="393"/>
      <c r="C26" s="393"/>
      <c r="D26" s="393"/>
      <c r="E26" s="393"/>
      <c r="F26" s="393"/>
      <c r="G26" s="393"/>
      <c r="H26" s="393"/>
    </row>
    <row r="27" spans="1:8" ht="1.9" customHeight="1">
      <c r="A27" s="393"/>
      <c r="B27" s="393"/>
      <c r="C27" s="393"/>
      <c r="D27" s="393"/>
      <c r="E27" s="393"/>
      <c r="F27" s="393"/>
      <c r="G27" s="393"/>
      <c r="H27" s="393"/>
    </row>
    <row r="28" spans="1:8" ht="1.9" customHeight="1">
      <c r="A28" s="393"/>
      <c r="B28" s="393"/>
      <c r="C28" s="393"/>
      <c r="D28" s="393"/>
      <c r="E28" s="393"/>
      <c r="F28" s="393"/>
      <c r="G28" s="393"/>
      <c r="H28" s="393"/>
    </row>
    <row r="29" spans="1:8" ht="1.9" customHeight="1">
      <c r="A29" s="393"/>
      <c r="B29" s="393"/>
      <c r="C29" s="393"/>
      <c r="D29" s="393"/>
      <c r="E29" s="393"/>
      <c r="F29" s="393"/>
      <c r="G29" s="393"/>
      <c r="H29" s="393"/>
    </row>
    <row r="30" spans="1:8" ht="1.9" customHeight="1">
      <c r="A30" s="393"/>
      <c r="B30" s="393"/>
      <c r="C30" s="393"/>
      <c r="D30" s="393"/>
      <c r="E30" s="393"/>
      <c r="F30" s="393"/>
      <c r="G30" s="393"/>
      <c r="H30" s="393"/>
    </row>
    <row r="31" spans="1:8" ht="1.9" customHeight="1">
      <c r="A31" s="393"/>
      <c r="B31" s="393"/>
      <c r="C31" s="393"/>
      <c r="D31" s="393"/>
      <c r="E31" s="393"/>
      <c r="F31" s="393"/>
      <c r="G31" s="393"/>
      <c r="H31" s="393"/>
    </row>
    <row r="32" spans="1:8" ht="1.9" customHeight="1">
      <c r="A32" s="393"/>
      <c r="B32" s="393"/>
      <c r="C32" s="393"/>
      <c r="D32" s="393"/>
      <c r="E32" s="393"/>
      <c r="F32" s="393"/>
      <c r="G32" s="393"/>
      <c r="H32" s="393"/>
    </row>
    <row r="33" spans="1:8" ht="1.9" customHeight="1">
      <c r="A33" s="393"/>
      <c r="B33" s="393"/>
      <c r="C33" s="393"/>
      <c r="D33" s="393"/>
      <c r="E33" s="393"/>
      <c r="F33" s="393"/>
      <c r="G33" s="393"/>
      <c r="H33" s="393"/>
    </row>
    <row r="34" spans="1:8" ht="1.9" customHeight="1">
      <c r="A34" s="393"/>
      <c r="B34" s="393"/>
      <c r="C34" s="393"/>
      <c r="D34" s="393"/>
      <c r="E34" s="393"/>
      <c r="F34" s="393"/>
      <c r="G34" s="393"/>
      <c r="H34" s="393"/>
    </row>
    <row r="35" spans="1:8" ht="1.9" customHeight="1">
      <c r="A35" s="393"/>
      <c r="B35" s="393"/>
      <c r="C35" s="393"/>
      <c r="D35" s="393"/>
      <c r="E35" s="393"/>
      <c r="F35" s="393"/>
      <c r="G35" s="393"/>
      <c r="H35" s="393"/>
    </row>
    <row r="36" spans="1:8" ht="1.9" customHeight="1">
      <c r="A36" s="393"/>
      <c r="B36" s="393"/>
      <c r="C36" s="393"/>
      <c r="D36" s="393"/>
      <c r="E36" s="393"/>
      <c r="F36" s="393"/>
      <c r="G36" s="393"/>
      <c r="H36" s="393"/>
    </row>
    <row r="37" spans="1:8" ht="1.9" customHeight="1">
      <c r="A37" s="393"/>
      <c r="B37" s="393"/>
      <c r="C37" s="393"/>
      <c r="D37" s="393"/>
      <c r="E37" s="393"/>
      <c r="F37" s="393"/>
      <c r="G37" s="393"/>
      <c r="H37" s="393"/>
    </row>
    <row r="38" spans="1:8" ht="1.9" customHeight="1">
      <c r="A38" s="393"/>
      <c r="B38" s="393"/>
      <c r="C38" s="393"/>
      <c r="D38" s="393"/>
      <c r="E38" s="393"/>
      <c r="F38" s="393"/>
      <c r="G38" s="393"/>
      <c r="H38" s="393"/>
    </row>
    <row r="39" spans="1:8" ht="1.9" customHeight="1">
      <c r="A39" s="393"/>
      <c r="B39" s="393"/>
      <c r="C39" s="393"/>
      <c r="D39" s="393"/>
      <c r="E39" s="393"/>
      <c r="F39" s="393"/>
      <c r="G39" s="393"/>
      <c r="H39" s="393"/>
    </row>
    <row r="40" spans="1:8" ht="1.9" customHeight="1">
      <c r="A40" s="393"/>
      <c r="B40" s="393"/>
      <c r="C40" s="393"/>
      <c r="D40" s="393"/>
      <c r="E40" s="393"/>
      <c r="F40" s="393"/>
      <c r="G40" s="393"/>
      <c r="H40" s="393"/>
    </row>
    <row r="41" spans="1:8" ht="1.9" customHeight="1">
      <c r="A41" s="393"/>
      <c r="B41" s="393"/>
      <c r="C41" s="393"/>
      <c r="D41" s="393"/>
      <c r="E41" s="393"/>
      <c r="F41" s="393"/>
      <c r="G41" s="393"/>
      <c r="H41" s="393"/>
    </row>
    <row r="42" spans="1:8" ht="1.9" customHeight="1">
      <c r="A42" s="393"/>
      <c r="B42" s="393"/>
      <c r="C42" s="393"/>
      <c r="D42" s="393"/>
      <c r="E42" s="393"/>
      <c r="F42" s="393"/>
      <c r="G42" s="393"/>
      <c r="H42" s="393"/>
    </row>
    <row r="43" spans="1:8" ht="1.9" customHeight="1">
      <c r="A43" s="393"/>
      <c r="B43" s="393"/>
      <c r="C43" s="393"/>
      <c r="D43" s="393"/>
      <c r="E43" s="393"/>
      <c r="F43" s="393"/>
      <c r="G43" s="393"/>
      <c r="H43" s="393"/>
    </row>
    <row r="44" spans="1:8" ht="1.9" customHeight="1">
      <c r="A44" s="393"/>
      <c r="B44" s="393"/>
      <c r="C44" s="393"/>
      <c r="D44" s="393"/>
      <c r="E44" s="393"/>
      <c r="F44" s="393"/>
      <c r="G44" s="393"/>
      <c r="H44" s="393"/>
    </row>
    <row r="45" spans="1:8" ht="1.9" customHeight="1">
      <c r="A45" s="393"/>
      <c r="B45" s="393"/>
      <c r="C45" s="393"/>
      <c r="D45" s="393"/>
      <c r="E45" s="393"/>
      <c r="F45" s="393"/>
      <c r="G45" s="393"/>
      <c r="H45" s="393"/>
    </row>
    <row r="46" spans="1:8" ht="1.9" customHeight="1">
      <c r="A46" s="393"/>
      <c r="B46" s="393"/>
      <c r="C46" s="393"/>
      <c r="D46" s="393"/>
      <c r="E46" s="393"/>
      <c r="F46" s="393"/>
      <c r="G46" s="393"/>
      <c r="H46" s="393"/>
    </row>
    <row r="47" spans="1:8" ht="1.9" customHeight="1">
      <c r="A47" s="393"/>
      <c r="B47" s="393"/>
      <c r="C47" s="393"/>
      <c r="D47" s="393"/>
      <c r="E47" s="393"/>
      <c r="F47" s="393"/>
      <c r="G47" s="393"/>
      <c r="H47" s="393"/>
    </row>
    <row r="48" spans="1:8" ht="1.9" customHeight="1">
      <c r="A48" s="393"/>
      <c r="B48" s="393"/>
      <c r="C48" s="393"/>
      <c r="D48" s="393"/>
      <c r="E48" s="393"/>
      <c r="F48" s="393"/>
      <c r="G48" s="393"/>
      <c r="H48" s="393"/>
    </row>
    <row r="49" spans="1:8" ht="1.9" customHeight="1">
      <c r="A49" s="393"/>
      <c r="B49" s="393"/>
      <c r="C49" s="393"/>
      <c r="D49" s="393"/>
      <c r="E49" s="393"/>
      <c r="F49" s="393"/>
      <c r="G49" s="393"/>
      <c r="H49" s="393"/>
    </row>
    <row r="50" spans="1:8" ht="1.9" customHeight="1">
      <c r="A50" s="393"/>
      <c r="B50" s="393"/>
      <c r="C50" s="393"/>
      <c r="D50" s="393"/>
      <c r="E50" s="393"/>
      <c r="F50" s="393"/>
      <c r="G50" s="393"/>
      <c r="H50" s="393"/>
    </row>
    <row r="51" spans="1:8" ht="1.9" customHeight="1">
      <c r="A51" s="393"/>
      <c r="B51" s="393"/>
      <c r="C51" s="393"/>
      <c r="D51" s="393"/>
      <c r="E51" s="393"/>
      <c r="F51" s="393"/>
      <c r="G51" s="393"/>
      <c r="H51" s="393"/>
    </row>
    <row r="52" spans="1:8" ht="1.9" customHeight="1">
      <c r="A52" s="393"/>
      <c r="B52" s="393"/>
      <c r="C52" s="393"/>
      <c r="D52" s="393"/>
      <c r="E52" s="393"/>
      <c r="F52" s="393"/>
      <c r="G52" s="393"/>
      <c r="H52" s="393"/>
    </row>
    <row r="53" spans="1:8" ht="1.9" customHeight="1">
      <c r="A53" s="393"/>
      <c r="B53" s="393"/>
      <c r="C53" s="393"/>
      <c r="D53" s="393"/>
      <c r="E53" s="393"/>
      <c r="F53" s="393"/>
      <c r="G53" s="393"/>
      <c r="H53" s="393"/>
    </row>
    <row r="54" spans="1:8" ht="1.9" customHeight="1">
      <c r="A54" s="393"/>
      <c r="B54" s="393"/>
      <c r="C54" s="393"/>
      <c r="D54" s="393"/>
      <c r="E54" s="393"/>
      <c r="F54" s="393"/>
      <c r="G54" s="393"/>
      <c r="H54" s="393"/>
    </row>
    <row r="55" spans="1:8" ht="1.9" customHeight="1">
      <c r="A55" s="393"/>
      <c r="B55" s="393"/>
      <c r="C55" s="393"/>
      <c r="D55" s="393"/>
      <c r="E55" s="393"/>
      <c r="F55" s="393"/>
      <c r="G55" s="393"/>
      <c r="H55" s="393"/>
    </row>
    <row r="56" spans="1:8" ht="1.9" customHeight="1">
      <c r="A56" s="393"/>
      <c r="B56" s="393"/>
      <c r="C56" s="393"/>
      <c r="D56" s="393"/>
      <c r="E56" s="393"/>
      <c r="F56" s="393"/>
      <c r="G56" s="393"/>
      <c r="H56" s="393"/>
    </row>
    <row r="57" spans="1:8" ht="1.9" customHeight="1">
      <c r="A57" s="393"/>
      <c r="B57" s="393"/>
      <c r="C57" s="393"/>
      <c r="D57" s="393"/>
      <c r="E57" s="393"/>
      <c r="F57" s="393"/>
      <c r="G57" s="393"/>
      <c r="H57" s="393"/>
    </row>
    <row r="58" spans="1:8" ht="1.9" customHeight="1">
      <c r="A58" s="393"/>
      <c r="B58" s="393"/>
      <c r="C58" s="393"/>
      <c r="D58" s="393"/>
      <c r="E58" s="393"/>
      <c r="F58" s="393"/>
      <c r="G58" s="393"/>
      <c r="H58" s="393"/>
    </row>
    <row r="59" spans="1:8" ht="1.9" customHeight="1">
      <c r="A59" s="393"/>
      <c r="B59" s="393"/>
      <c r="C59" s="393"/>
      <c r="D59" s="393"/>
      <c r="E59" s="393"/>
      <c r="F59" s="393"/>
      <c r="G59" s="393"/>
      <c r="H59" s="393"/>
    </row>
    <row r="60" spans="1:8" ht="1.9" customHeight="1">
      <c r="A60" s="393"/>
      <c r="B60" s="393"/>
      <c r="C60" s="393"/>
      <c r="D60" s="393"/>
      <c r="E60" s="393"/>
      <c r="F60" s="393"/>
      <c r="G60" s="393"/>
      <c r="H60" s="393"/>
    </row>
    <row r="61" spans="1:8" ht="1.9" customHeight="1">
      <c r="A61" s="393"/>
      <c r="B61" s="393"/>
      <c r="C61" s="393"/>
      <c r="D61" s="393"/>
      <c r="E61" s="393"/>
      <c r="F61" s="393"/>
      <c r="G61" s="393"/>
      <c r="H61" s="393"/>
    </row>
    <row r="62" spans="1:8" ht="1.9" customHeight="1">
      <c r="A62" s="393"/>
      <c r="B62" s="393"/>
      <c r="C62" s="393"/>
      <c r="D62" s="393"/>
      <c r="E62" s="393"/>
      <c r="F62" s="393"/>
      <c r="G62" s="393"/>
      <c r="H62" s="393"/>
    </row>
    <row r="63" spans="1:8" ht="1.9" customHeight="1">
      <c r="A63" s="393"/>
      <c r="B63" s="393"/>
      <c r="C63" s="393"/>
      <c r="D63" s="393"/>
      <c r="E63" s="393"/>
      <c r="F63" s="393"/>
      <c r="G63" s="393"/>
      <c r="H63" s="393"/>
    </row>
    <row r="64" spans="1:8" ht="1.9" customHeight="1">
      <c r="A64" s="393"/>
      <c r="B64" s="393"/>
      <c r="C64" s="393"/>
      <c r="D64" s="393"/>
      <c r="E64" s="393"/>
      <c r="F64" s="393"/>
      <c r="G64" s="393"/>
      <c r="H64" s="393"/>
    </row>
    <row r="65" spans="1:8" ht="1.9" customHeight="1">
      <c r="A65" s="393"/>
      <c r="B65" s="393"/>
      <c r="C65" s="393"/>
      <c r="D65" s="393"/>
      <c r="E65" s="393"/>
      <c r="F65" s="393"/>
      <c r="G65" s="393"/>
      <c r="H65" s="393"/>
    </row>
    <row r="66" spans="1:8" ht="1.9" customHeight="1">
      <c r="A66" s="393"/>
      <c r="B66" s="393"/>
      <c r="C66" s="393"/>
      <c r="D66" s="393"/>
      <c r="E66" s="393"/>
      <c r="F66" s="393"/>
      <c r="G66" s="393"/>
      <c r="H66" s="393"/>
    </row>
    <row r="67" spans="1:8" ht="1.9" customHeight="1">
      <c r="A67" s="393"/>
      <c r="B67" s="393"/>
      <c r="C67" s="393"/>
      <c r="D67" s="393"/>
      <c r="E67" s="393"/>
      <c r="F67" s="393"/>
      <c r="G67" s="393"/>
      <c r="H67" s="393"/>
    </row>
    <row r="68" spans="1:8" ht="1.9" customHeight="1">
      <c r="A68" s="393"/>
      <c r="B68" s="393"/>
      <c r="C68" s="393"/>
      <c r="D68" s="393"/>
      <c r="E68" s="393"/>
      <c r="F68" s="393"/>
      <c r="G68" s="393"/>
      <c r="H68" s="393"/>
    </row>
    <row r="69" spans="1:8" ht="1.9" customHeight="1">
      <c r="A69" s="393"/>
      <c r="B69" s="393"/>
      <c r="C69" s="393"/>
      <c r="D69" s="393"/>
      <c r="E69" s="393"/>
      <c r="F69" s="393"/>
      <c r="G69" s="393"/>
      <c r="H69" s="393"/>
    </row>
    <row r="70" spans="1:8" ht="1.9" customHeight="1">
      <c r="A70" s="393"/>
      <c r="B70" s="393"/>
      <c r="C70" s="393"/>
      <c r="D70" s="393"/>
      <c r="E70" s="393"/>
      <c r="F70" s="393"/>
      <c r="G70" s="393"/>
      <c r="H70" s="393"/>
    </row>
    <row r="71" spans="1:8" ht="1.9" customHeight="1">
      <c r="A71" s="393"/>
      <c r="B71" s="393"/>
      <c r="C71" s="393"/>
      <c r="D71" s="393"/>
      <c r="E71" s="393"/>
      <c r="F71" s="393"/>
      <c r="G71" s="393"/>
      <c r="H71" s="393"/>
    </row>
    <row r="72" spans="1:8" ht="1.9" customHeight="1">
      <c r="A72" s="393"/>
      <c r="B72" s="393"/>
      <c r="C72" s="393"/>
      <c r="D72" s="393"/>
      <c r="E72" s="393"/>
      <c r="F72" s="393"/>
      <c r="G72" s="393"/>
      <c r="H72" s="393"/>
    </row>
    <row r="73" spans="1:8" ht="1.9" customHeight="1">
      <c r="A73" s="393"/>
      <c r="B73" s="393"/>
      <c r="C73" s="393"/>
      <c r="D73" s="393"/>
      <c r="E73" s="393"/>
      <c r="F73" s="393"/>
      <c r="G73" s="393"/>
      <c r="H73" s="393"/>
    </row>
    <row r="74" spans="1:8" ht="1.9" customHeight="1">
      <c r="A74" s="393"/>
      <c r="B74" s="393"/>
      <c r="C74" s="393"/>
      <c r="D74" s="393"/>
      <c r="E74" s="393"/>
      <c r="F74" s="393"/>
      <c r="G74" s="393"/>
      <c r="H74" s="393"/>
    </row>
    <row r="75" spans="1:8" ht="1.9" customHeight="1">
      <c r="A75" s="393"/>
      <c r="B75" s="393"/>
      <c r="C75" s="393"/>
      <c r="D75" s="393"/>
      <c r="E75" s="393"/>
      <c r="F75" s="393"/>
      <c r="G75" s="393"/>
      <c r="H75" s="393"/>
    </row>
    <row r="76" spans="1:8" ht="1.9" customHeight="1">
      <c r="A76" s="393"/>
      <c r="B76" s="393"/>
      <c r="C76" s="393"/>
      <c r="D76" s="393"/>
      <c r="E76" s="393"/>
      <c r="F76" s="393"/>
      <c r="G76" s="393"/>
      <c r="H76" s="393"/>
    </row>
    <row r="77" spans="1:8" ht="1.9" customHeight="1">
      <c r="A77" s="393"/>
      <c r="B77" s="393"/>
      <c r="C77" s="393"/>
      <c r="D77" s="393"/>
      <c r="E77" s="393"/>
      <c r="F77" s="393"/>
      <c r="G77" s="393"/>
      <c r="H77" s="393"/>
    </row>
    <row r="78" spans="1:8" ht="1.9" customHeight="1">
      <c r="A78" s="393"/>
      <c r="B78" s="393"/>
      <c r="C78" s="393"/>
      <c r="D78" s="393"/>
      <c r="E78" s="393"/>
      <c r="F78" s="393"/>
      <c r="G78" s="393"/>
      <c r="H78" s="393"/>
    </row>
    <row r="79" spans="1:8" ht="1.9" customHeight="1">
      <c r="A79" s="393"/>
      <c r="B79" s="393"/>
      <c r="C79" s="393"/>
      <c r="D79" s="393"/>
      <c r="E79" s="393"/>
      <c r="F79" s="393"/>
      <c r="G79" s="393"/>
      <c r="H79" s="393"/>
    </row>
    <row r="80" spans="1:8" ht="1.9" customHeight="1">
      <c r="A80" s="393"/>
      <c r="B80" s="393"/>
      <c r="C80" s="393"/>
      <c r="D80" s="393"/>
      <c r="E80" s="393"/>
      <c r="F80" s="393"/>
      <c r="G80" s="393"/>
      <c r="H80" s="393"/>
    </row>
    <row r="81" spans="1:8" ht="1.9" customHeight="1">
      <c r="A81" s="383"/>
      <c r="B81" s="383"/>
      <c r="C81" s="383"/>
      <c r="D81" s="383"/>
      <c r="E81" s="383"/>
      <c r="F81" s="383"/>
      <c r="G81" s="383"/>
      <c r="H81" s="383"/>
    </row>
    <row r="82" spans="1:8" ht="1.9" customHeight="1">
      <c r="A82" s="383"/>
      <c r="B82" s="383"/>
      <c r="C82" s="383"/>
      <c r="D82" s="383"/>
      <c r="E82" s="383"/>
      <c r="F82" s="383"/>
      <c r="G82" s="383"/>
      <c r="H82" s="383"/>
    </row>
    <row r="83" spans="1:8" ht="1.9" customHeight="1">
      <c r="A83" s="383"/>
      <c r="B83" s="383"/>
      <c r="C83" s="383"/>
      <c r="D83" s="383"/>
      <c r="E83" s="383"/>
      <c r="F83" s="383"/>
      <c r="G83" s="383"/>
      <c r="H83" s="383"/>
    </row>
    <row r="84" spans="1:8" ht="1.9" customHeight="1">
      <c r="A84" s="383"/>
      <c r="B84" s="383"/>
      <c r="C84" s="383"/>
      <c r="D84" s="383"/>
      <c r="E84" s="383"/>
      <c r="F84" s="383"/>
      <c r="G84" s="383"/>
      <c r="H84" s="383"/>
    </row>
    <row r="85" spans="1:8" ht="1.9" customHeight="1">
      <c r="A85" s="383"/>
      <c r="B85" s="383"/>
      <c r="C85" s="383"/>
      <c r="D85" s="383"/>
      <c r="E85" s="383"/>
      <c r="F85" s="383"/>
      <c r="G85" s="383"/>
      <c r="H85" s="383"/>
    </row>
    <row r="86" spans="1:8" ht="1.9" customHeight="1">
      <c r="A86" s="383"/>
      <c r="B86" s="383"/>
      <c r="C86" s="383"/>
      <c r="D86" s="383"/>
      <c r="E86" s="383"/>
      <c r="F86" s="383"/>
      <c r="G86" s="383"/>
      <c r="H86" s="383"/>
    </row>
    <row r="87" spans="1:8" ht="1.9" customHeight="1">
      <c r="A87" s="383"/>
      <c r="B87" s="383"/>
      <c r="C87" s="383"/>
      <c r="D87" s="383"/>
      <c r="E87" s="383"/>
      <c r="F87" s="383"/>
      <c r="G87" s="383"/>
      <c r="H87" s="383"/>
    </row>
    <row r="88" spans="1:8" ht="1.9" customHeight="1">
      <c r="A88" s="383"/>
      <c r="B88" s="383"/>
      <c r="C88" s="383"/>
      <c r="D88" s="383"/>
      <c r="E88" s="383"/>
      <c r="F88" s="383"/>
      <c r="G88" s="383"/>
      <c r="H88" s="383"/>
    </row>
    <row r="89" spans="1:8" ht="1.9" customHeight="1">
      <c r="A89" s="383"/>
      <c r="B89" s="383"/>
      <c r="C89" s="383"/>
      <c r="D89" s="383"/>
      <c r="E89" s="383"/>
      <c r="F89" s="383"/>
      <c r="G89" s="383"/>
      <c r="H89" s="383"/>
    </row>
    <row r="90" spans="1:8" ht="1.9" customHeight="1">
      <c r="A90" s="383"/>
      <c r="B90" s="383"/>
      <c r="C90" s="383"/>
      <c r="D90" s="383"/>
      <c r="E90" s="383"/>
      <c r="F90" s="383"/>
      <c r="G90" s="383"/>
      <c r="H90" s="383"/>
    </row>
    <row r="91" spans="1:8" ht="1.9" customHeight="1">
      <c r="A91" s="383"/>
      <c r="B91" s="383"/>
      <c r="C91" s="383"/>
      <c r="D91" s="383"/>
      <c r="E91" s="383"/>
      <c r="F91" s="383"/>
      <c r="G91" s="383"/>
      <c r="H91" s="383"/>
    </row>
    <row r="92" spans="1:8" ht="1.9" customHeight="1">
      <c r="A92" s="383"/>
      <c r="B92" s="383"/>
      <c r="C92" s="383"/>
      <c r="D92" s="383"/>
      <c r="E92" s="383"/>
      <c r="F92" s="383"/>
      <c r="G92" s="383"/>
      <c r="H92" s="383"/>
    </row>
    <row r="93" spans="1:8" ht="1.9" customHeight="1">
      <c r="A93" s="383"/>
      <c r="B93" s="383"/>
      <c r="C93" s="383"/>
      <c r="D93" s="383"/>
      <c r="E93" s="383"/>
      <c r="F93" s="383"/>
      <c r="G93" s="383"/>
      <c r="H93" s="383"/>
    </row>
    <row r="94" spans="1:8" ht="1.9" customHeight="1">
      <c r="A94" s="383"/>
      <c r="B94" s="383"/>
      <c r="C94" s="383"/>
      <c r="D94" s="383"/>
      <c r="E94" s="383"/>
      <c r="F94" s="383"/>
      <c r="G94" s="383"/>
      <c r="H94" s="383"/>
    </row>
    <row r="95" spans="1:8" ht="1.9" customHeight="1">
      <c r="A95" s="383"/>
      <c r="B95" s="383"/>
      <c r="C95" s="383"/>
      <c r="D95" s="383"/>
      <c r="E95" s="383"/>
      <c r="F95" s="383"/>
      <c r="G95" s="383"/>
      <c r="H95" s="383"/>
    </row>
    <row r="96" spans="1:8" ht="1.9" customHeight="1">
      <c r="A96" s="383"/>
      <c r="B96" s="383"/>
      <c r="C96" s="383"/>
      <c r="D96" s="383"/>
      <c r="E96" s="383"/>
      <c r="F96" s="383"/>
      <c r="G96" s="383"/>
      <c r="H96" s="383"/>
    </row>
    <row r="97" spans="1:8" ht="1.9" customHeight="1">
      <c r="A97" s="383"/>
      <c r="B97" s="383"/>
      <c r="C97" s="383"/>
      <c r="D97" s="383"/>
      <c r="E97" s="383"/>
      <c r="F97" s="383"/>
      <c r="G97" s="383"/>
      <c r="H97" s="383"/>
    </row>
    <row r="98" spans="1:8" ht="1.9" customHeight="1">
      <c r="A98" s="383"/>
      <c r="B98" s="383"/>
      <c r="C98" s="383"/>
      <c r="D98" s="383"/>
      <c r="E98" s="383"/>
      <c r="F98" s="383"/>
      <c r="G98" s="383"/>
      <c r="H98" s="383"/>
    </row>
    <row r="99" spans="1:8" ht="1.9" customHeight="1">
      <c r="A99" s="383"/>
      <c r="B99" s="383"/>
      <c r="C99" s="383"/>
      <c r="D99" s="383"/>
      <c r="E99" s="383"/>
      <c r="F99" s="383"/>
      <c r="G99" s="383"/>
      <c r="H99" s="383"/>
    </row>
    <row r="100" spans="1:8" ht="1.9" customHeight="1">
      <c r="A100" s="383"/>
      <c r="B100" s="383"/>
      <c r="C100" s="383"/>
      <c r="D100" s="383"/>
      <c r="E100" s="383"/>
      <c r="F100" s="383"/>
      <c r="G100" s="383"/>
      <c r="H100" s="383"/>
    </row>
  </sheetData>
  <mergeCells count="2">
    <mergeCell ref="A2:H2"/>
    <mergeCell ref="A1:H1"/>
  </mergeCells>
  <conditionalFormatting sqref="G5:G12">
    <cfRule type="expression" dxfId="853" priority="1">
      <formula>ISNUMBER(SEARCH("Riesgo",G5))</formula>
    </cfRule>
    <cfRule type="expression" dxfId="852" priority="2">
      <formula>ISNUMBER(SEARCH("Crítico",G5))</formula>
    </cfRule>
    <cfRule type="expression" dxfId="851" priority="3">
      <formula>ISNUMBER(SEARCH("Pendiente",G5))</formula>
    </cfRule>
    <cfRule type="expression" dxfId="850" priority="4">
      <formula>ISNUMBER(SEARCH("En proceso",G5))</formula>
    </cfRule>
    <cfRule type="expression" dxfId="849" priority="5">
      <formula>ISNUMBER(SEARCH("Atención",G5))</formula>
    </cfRule>
    <cfRule type="expression" dxfId="848" priority="6">
      <formula>ISNUMBER(SEARCH("Cumple",G5))</formula>
    </cfRule>
    <cfRule type="expression" dxfId="847" priority="7">
      <formula>ISNUMBER(SEARCH("Cumplido",G5))</formula>
    </cfRule>
    <cfRule type="expression" dxfId="846" priority="8">
      <formula>ISNUMBER(SEARCH("Dominio",G5))</formula>
    </cfRule>
    <cfRule type="expression" dxfId="845" priority="9">
      <formula>ISNUMBER(SEARCH("Alto",G5))</formula>
    </cfRule>
    <cfRule type="expression" dxfId="844" priority="10">
      <formula>ISNUMBER(SEARCH("Meta",G5))</formula>
    </cfRule>
    <cfRule type="expression" dxfId="843" priority="11">
      <formula>ISNUMBER(SEARCH("Superado",G5))</formula>
    </cfRule>
  </conditionalFormatting>
  <dataValidations count="2">
    <dataValidation type="list" allowBlank="1" sqref="F5:F12" xr:uid="{00000000-0002-0000-1000-000000000000}">
      <formula1>"Alta,Media,Baja"</formula1>
    </dataValidation>
    <dataValidation type="list" allowBlank="1" sqref="G5:G12" xr:uid="{00000000-0002-0000-1000-000001000000}">
      <formula1>"🔴 Riesgo,🟡 En proceso,🟢 Cumplido,🔵 Superado"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E3D"/>
  </sheetPr>
  <dimension ref="A1:L40"/>
  <sheetViews>
    <sheetView showGridLines="0" workbookViewId="0"/>
  </sheetViews>
  <sheetFormatPr baseColWidth="10" defaultColWidth="8.7265625" defaultRowHeight="14.5"/>
  <cols>
    <col min="1" max="1" width="22" style="355" customWidth="1"/>
    <col min="2" max="2" width="25" style="355" customWidth="1"/>
    <col min="3" max="4" width="18" style="355" customWidth="1"/>
    <col min="5" max="5" width="14" style="355" customWidth="1"/>
    <col min="6" max="6" width="10.90625" style="355" customWidth="1"/>
    <col min="7" max="8" width="30" style="355" customWidth="1"/>
    <col min="9" max="9" width="34" style="355" customWidth="1"/>
    <col min="10" max="10" width="18" style="355" customWidth="1"/>
    <col min="11" max="11" width="24" style="355" customWidth="1"/>
    <col min="12" max="12" width="16" style="355" customWidth="1"/>
    <col min="13" max="16384" width="8.7265625" style="355"/>
  </cols>
  <sheetData>
    <row r="1" spans="1:12" ht="32" customHeight="1">
      <c r="A1" s="443" t="s">
        <v>1298</v>
      </c>
      <c r="B1" s="421"/>
      <c r="C1" s="421"/>
      <c r="D1" s="421"/>
      <c r="E1" s="421"/>
      <c r="F1" s="421"/>
      <c r="G1" s="421"/>
      <c r="H1" s="421"/>
      <c r="I1" s="421"/>
      <c r="J1" s="421"/>
      <c r="K1" s="369"/>
      <c r="L1" s="369"/>
    </row>
    <row r="2" spans="1:12">
      <c r="A2" s="441" t="s">
        <v>1299</v>
      </c>
      <c r="B2" s="421"/>
      <c r="C2" s="421"/>
      <c r="D2" s="421"/>
      <c r="E2" s="421"/>
      <c r="F2" s="421"/>
      <c r="G2" s="421"/>
      <c r="H2" s="421"/>
      <c r="I2" s="357"/>
      <c r="J2" s="357"/>
      <c r="K2" s="357"/>
      <c r="L2" s="357"/>
    </row>
    <row r="3" spans="1:12">
      <c r="A3" s="359"/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</row>
    <row r="4" spans="1:12">
      <c r="A4" s="379" t="s">
        <v>66</v>
      </c>
      <c r="B4" s="379" t="s">
        <v>1300</v>
      </c>
      <c r="C4" s="379" t="s">
        <v>1235</v>
      </c>
      <c r="D4" s="379" t="s">
        <v>1301</v>
      </c>
      <c r="E4" s="379" t="s">
        <v>1302</v>
      </c>
      <c r="F4" s="379" t="s">
        <v>655</v>
      </c>
      <c r="G4" s="379" t="s">
        <v>1303</v>
      </c>
      <c r="H4" s="379" t="s">
        <v>1304</v>
      </c>
      <c r="I4" s="379" t="s">
        <v>1305</v>
      </c>
      <c r="J4" s="379" t="s">
        <v>1306</v>
      </c>
      <c r="K4" s="379" t="s">
        <v>252</v>
      </c>
      <c r="L4" s="379" t="s">
        <v>1307</v>
      </c>
    </row>
    <row r="5" spans="1:12" ht="29" customHeight="1">
      <c r="A5" s="358" t="s">
        <v>1308</v>
      </c>
      <c r="B5" s="358" t="s">
        <v>1309</v>
      </c>
      <c r="C5" s="400">
        <v>1</v>
      </c>
      <c r="D5" s="400">
        <v>0</v>
      </c>
      <c r="E5" s="400">
        <f t="shared" ref="E5:E16" si="0">IFERROR(D5-C5,0)</f>
        <v>-1</v>
      </c>
      <c r="F5" s="358" t="str">
        <f>IF(D5&gt;=C5,"🟢 OK","🔴 Crítico")</f>
        <v>🔴 Crítico</v>
      </c>
      <c r="G5" s="358" t="s">
        <v>1310</v>
      </c>
      <c r="H5" s="358" t="s">
        <v>1311</v>
      </c>
      <c r="I5" s="358" t="s">
        <v>1312</v>
      </c>
      <c r="J5" s="358" t="s">
        <v>1313</v>
      </c>
      <c r="K5" s="358" t="s">
        <v>91</v>
      </c>
      <c r="L5" s="358" t="s">
        <v>1314</v>
      </c>
    </row>
    <row r="6" spans="1:12" ht="29" customHeight="1">
      <c r="A6" s="358" t="s">
        <v>157</v>
      </c>
      <c r="B6" s="358" t="s">
        <v>1315</v>
      </c>
      <c r="C6" s="401">
        <v>200000</v>
      </c>
      <c r="D6" s="401">
        <v>0</v>
      </c>
      <c r="E6" s="401">
        <f t="shared" si="0"/>
        <v>-200000</v>
      </c>
      <c r="F6" s="358" t="str">
        <f>IF(D6&lt;=C6,"🟢 OK",IF(D6&lt;=C6*1.25,"🟡 Atención","🔴 Crítico"))</f>
        <v>🟢 OK</v>
      </c>
      <c r="G6" s="358" t="s">
        <v>1316</v>
      </c>
      <c r="H6" s="358" t="s">
        <v>1317</v>
      </c>
      <c r="I6" s="358" t="s">
        <v>1318</v>
      </c>
      <c r="J6" s="358" t="s">
        <v>1319</v>
      </c>
      <c r="K6" s="358" t="s">
        <v>164</v>
      </c>
      <c r="L6" s="358" t="s">
        <v>1314</v>
      </c>
    </row>
    <row r="7" spans="1:12" ht="29" customHeight="1">
      <c r="A7" s="358" t="s">
        <v>157</v>
      </c>
      <c r="B7" s="358" t="s">
        <v>1320</v>
      </c>
      <c r="C7" s="401">
        <v>0</v>
      </c>
      <c r="D7" s="401">
        <v>0</v>
      </c>
      <c r="E7" s="401">
        <f t="shared" si="0"/>
        <v>0</v>
      </c>
      <c r="F7" s="358" t="str">
        <f>IF(ABS(D7)&lt;=1000,"🟢 OK",IF(ABS(D7)&lt;=50000,"🟡 Atención","🔴 Crítico"))</f>
        <v>🟢 OK</v>
      </c>
      <c r="G7" s="358" t="s">
        <v>1321</v>
      </c>
      <c r="H7" s="358" t="s">
        <v>1322</v>
      </c>
      <c r="I7" s="358" t="s">
        <v>1323</v>
      </c>
      <c r="J7" s="358" t="s">
        <v>1009</v>
      </c>
      <c r="K7" s="358" t="s">
        <v>770</v>
      </c>
      <c r="L7" s="358" t="s">
        <v>1314</v>
      </c>
    </row>
    <row r="8" spans="1:12" ht="29" customHeight="1">
      <c r="A8" s="358" t="s">
        <v>1324</v>
      </c>
      <c r="B8" s="358" t="s">
        <v>1325</v>
      </c>
      <c r="C8" s="402">
        <v>1</v>
      </c>
      <c r="D8" s="402">
        <v>0</v>
      </c>
      <c r="E8" s="402">
        <f t="shared" si="0"/>
        <v>-1</v>
      </c>
      <c r="F8" s="358" t="str">
        <f>IF(D8&gt;=C8,"🟢 OK","🔴 Crítico")</f>
        <v>🔴 Crítico</v>
      </c>
      <c r="G8" s="358" t="s">
        <v>1326</v>
      </c>
      <c r="H8" s="358" t="s">
        <v>1327</v>
      </c>
      <c r="I8" s="358" t="s">
        <v>1328</v>
      </c>
      <c r="J8" s="358" t="s">
        <v>1006</v>
      </c>
      <c r="K8" s="358" t="s">
        <v>708</v>
      </c>
      <c r="L8" s="358" t="s">
        <v>1314</v>
      </c>
    </row>
    <row r="9" spans="1:12" ht="29" customHeight="1">
      <c r="A9" s="358" t="s">
        <v>286</v>
      </c>
      <c r="B9" s="358" t="s">
        <v>1329</v>
      </c>
      <c r="C9" s="402">
        <v>0</v>
      </c>
      <c r="D9" s="402">
        <v>0</v>
      </c>
      <c r="E9" s="402">
        <f t="shared" si="0"/>
        <v>0</v>
      </c>
      <c r="F9" s="358" t="str">
        <f>IF(D9&lt;=C9,"🟢 OK",IF(D9&lt;=2,"🟡 Atención","🔴 Crítico"))</f>
        <v>🟢 OK</v>
      </c>
      <c r="G9" s="358" t="s">
        <v>1330</v>
      </c>
      <c r="H9" s="358" t="s">
        <v>1331</v>
      </c>
      <c r="I9" s="358" t="s">
        <v>1332</v>
      </c>
      <c r="J9" s="358" t="s">
        <v>1333</v>
      </c>
      <c r="K9" s="358" t="s">
        <v>1334</v>
      </c>
      <c r="L9" s="358" t="s">
        <v>1314</v>
      </c>
    </row>
    <row r="10" spans="1:12" ht="29" customHeight="1">
      <c r="A10" s="358" t="s">
        <v>286</v>
      </c>
      <c r="B10" s="358" t="s">
        <v>1335</v>
      </c>
      <c r="C10" s="400">
        <v>12</v>
      </c>
      <c r="D10" s="400">
        <v>0</v>
      </c>
      <c r="E10" s="400">
        <f t="shared" si="0"/>
        <v>-12</v>
      </c>
      <c r="F10" s="358" t="str">
        <f>IF(D10&gt;=C10,"🟢 OK",IF(D10&gt;=C10*0.7,"🟡 Atención","🔴 Crítico"))</f>
        <v>🔴 Crítico</v>
      </c>
      <c r="G10" s="358" t="s">
        <v>1336</v>
      </c>
      <c r="H10" s="358" t="s">
        <v>1337</v>
      </c>
      <c r="I10" s="358" t="s">
        <v>1338</v>
      </c>
      <c r="J10" s="358" t="s">
        <v>1009</v>
      </c>
      <c r="K10" s="358" t="s">
        <v>1252</v>
      </c>
      <c r="L10" s="358" t="s">
        <v>1314</v>
      </c>
    </row>
    <row r="11" spans="1:12" ht="29" customHeight="1">
      <c r="A11" s="358" t="s">
        <v>286</v>
      </c>
      <c r="B11" s="358" t="s">
        <v>1339</v>
      </c>
      <c r="C11" s="402">
        <v>5</v>
      </c>
      <c r="D11" s="402">
        <v>0</v>
      </c>
      <c r="E11" s="402">
        <f t="shared" si="0"/>
        <v>-5</v>
      </c>
      <c r="F11" s="358" t="str">
        <f>IF(D11&lt;=C11,"🟢 OK",IF(D11&lt;=C11*1.5,"🟡 Atención","🔴 Crítico"))</f>
        <v>🟢 OK</v>
      </c>
      <c r="G11" s="358" t="s">
        <v>1340</v>
      </c>
      <c r="H11" s="358" t="s">
        <v>1341</v>
      </c>
      <c r="I11" s="358" t="s">
        <v>1342</v>
      </c>
      <c r="J11" s="358" t="s">
        <v>1009</v>
      </c>
      <c r="K11" s="358" t="s">
        <v>1252</v>
      </c>
      <c r="L11" s="358" t="s">
        <v>1314</v>
      </c>
    </row>
    <row r="12" spans="1:12" ht="29" customHeight="1">
      <c r="A12" s="358" t="s">
        <v>1343</v>
      </c>
      <c r="B12" s="358" t="s">
        <v>1344</v>
      </c>
      <c r="C12" s="402">
        <v>3</v>
      </c>
      <c r="D12" s="402">
        <v>0</v>
      </c>
      <c r="E12" s="402">
        <f t="shared" si="0"/>
        <v>-3</v>
      </c>
      <c r="F12" s="358" t="str">
        <f>IF(D12&gt;=C12,"🟢 OK",IF(D12&gt;=C12*0.7,"🟡 Atención","🔴 Crítico"))</f>
        <v>🔴 Crítico</v>
      </c>
      <c r="G12" s="358" t="s">
        <v>1345</v>
      </c>
      <c r="H12" s="358" t="s">
        <v>1346</v>
      </c>
      <c r="I12" s="358" t="s">
        <v>1347</v>
      </c>
      <c r="J12" s="358" t="s">
        <v>1009</v>
      </c>
      <c r="K12" s="358" t="s">
        <v>675</v>
      </c>
      <c r="L12" s="358" t="s">
        <v>1314</v>
      </c>
    </row>
    <row r="13" spans="1:12" ht="29" customHeight="1">
      <c r="A13" s="358" t="s">
        <v>1348</v>
      </c>
      <c r="B13" s="358" t="s">
        <v>1349</v>
      </c>
      <c r="C13" s="402">
        <v>3</v>
      </c>
      <c r="D13" s="402">
        <v>0</v>
      </c>
      <c r="E13" s="402">
        <f t="shared" si="0"/>
        <v>-3</v>
      </c>
      <c r="F13" s="358" t="str">
        <f>IF(D13&gt;=C13,"🟢 OK",IF(D13&gt;=C13*0.7,"🟡 Atención","🔴 Crítico"))</f>
        <v>🔴 Crítico</v>
      </c>
      <c r="G13" s="358" t="s">
        <v>1350</v>
      </c>
      <c r="H13" s="358" t="s">
        <v>1351</v>
      </c>
      <c r="I13" s="358" t="s">
        <v>1352</v>
      </c>
      <c r="J13" s="358" t="s">
        <v>1009</v>
      </c>
      <c r="K13" s="358" t="s">
        <v>1353</v>
      </c>
      <c r="L13" s="358" t="s">
        <v>1314</v>
      </c>
    </row>
    <row r="14" spans="1:12" ht="29" customHeight="1">
      <c r="A14" s="358" t="s">
        <v>1354</v>
      </c>
      <c r="B14" s="358" t="s">
        <v>1355</v>
      </c>
      <c r="C14" s="402">
        <v>1</v>
      </c>
      <c r="D14" s="402">
        <v>0</v>
      </c>
      <c r="E14" s="402">
        <f t="shared" si="0"/>
        <v>-1</v>
      </c>
      <c r="F14" s="358" t="str">
        <f>IF(D14&gt;=C14,"🟢 OK","🔴 Crítico")</f>
        <v>🔴 Crítico</v>
      </c>
      <c r="G14" s="358" t="s">
        <v>1356</v>
      </c>
      <c r="H14" s="358" t="s">
        <v>1357</v>
      </c>
      <c r="I14" s="358" t="s">
        <v>1358</v>
      </c>
      <c r="J14" s="358" t="s">
        <v>1006</v>
      </c>
      <c r="K14" s="358" t="s">
        <v>753</v>
      </c>
      <c r="L14" s="358" t="s">
        <v>1314</v>
      </c>
    </row>
    <row r="15" spans="1:12" ht="29" customHeight="1">
      <c r="A15" s="358" t="s">
        <v>207</v>
      </c>
      <c r="B15" s="358" t="s">
        <v>1359</v>
      </c>
      <c r="C15" s="403">
        <v>0.25</v>
      </c>
      <c r="D15" s="403">
        <v>0</v>
      </c>
      <c r="E15" s="403">
        <f t="shared" si="0"/>
        <v>-0.25</v>
      </c>
      <c r="F15" s="358" t="str">
        <f>IF(D15&gt;=C15,"🟢 OK",IF(D15&gt;=C15*0.7,"🟡 Atención","🔴 Crítico"))</f>
        <v>🔴 Crítico</v>
      </c>
      <c r="G15" s="358" t="s">
        <v>1360</v>
      </c>
      <c r="H15" s="358" t="s">
        <v>1361</v>
      </c>
      <c r="I15" s="358" t="s">
        <v>1362</v>
      </c>
      <c r="J15" s="358" t="s">
        <v>1319</v>
      </c>
      <c r="K15" s="358" t="s">
        <v>208</v>
      </c>
      <c r="L15" s="358" t="s">
        <v>1314</v>
      </c>
    </row>
    <row r="16" spans="1:12" ht="29" customHeight="1">
      <c r="A16" s="358" t="s">
        <v>1258</v>
      </c>
      <c r="B16" s="358" t="s">
        <v>1363</v>
      </c>
      <c r="C16" s="402">
        <v>5</v>
      </c>
      <c r="D16" s="402">
        <v>0</v>
      </c>
      <c r="E16" s="402">
        <f t="shared" si="0"/>
        <v>-5</v>
      </c>
      <c r="F16" s="358" t="str">
        <f>IF(D16&gt;=C16,"🟢 OK",IF(D16&gt;=C16*0.7,"🟡 Atención","🔴 Crítico"))</f>
        <v>🔴 Crítico</v>
      </c>
      <c r="G16" s="358" t="s">
        <v>1364</v>
      </c>
      <c r="H16" s="358" t="s">
        <v>1365</v>
      </c>
      <c r="I16" s="358" t="s">
        <v>1366</v>
      </c>
      <c r="J16" s="358" t="s">
        <v>1009</v>
      </c>
      <c r="K16" s="358" t="s">
        <v>715</v>
      </c>
      <c r="L16" s="358" t="s">
        <v>1314</v>
      </c>
    </row>
    <row r="17" spans="1:12">
      <c r="A17" s="359"/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59"/>
    </row>
    <row r="18" spans="1:12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</row>
    <row r="19" spans="1:12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</row>
    <row r="20" spans="1:12">
      <c r="A20" s="359"/>
      <c r="B20" s="359"/>
      <c r="C20" s="359"/>
      <c r="D20" s="359"/>
      <c r="E20" s="359"/>
      <c r="F20" s="359"/>
      <c r="G20" s="359"/>
      <c r="H20" s="359"/>
      <c r="I20" s="359"/>
      <c r="J20" s="359"/>
      <c r="K20" s="359"/>
      <c r="L20" s="359"/>
    </row>
    <row r="21" spans="1:12">
      <c r="A21" s="359"/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</row>
    <row r="22" spans="1:12">
      <c r="A22" s="382" t="s">
        <v>1367</v>
      </c>
      <c r="B22" s="382" t="s">
        <v>1236</v>
      </c>
      <c r="C22" s="382" t="s">
        <v>1368</v>
      </c>
      <c r="D22" s="382" t="s">
        <v>1369</v>
      </c>
      <c r="E22" s="382" t="s">
        <v>1061</v>
      </c>
      <c r="F22" s="382" t="s">
        <v>656</v>
      </c>
      <c r="G22" s="359"/>
      <c r="H22" s="359"/>
      <c r="I22" s="359"/>
      <c r="J22" s="359"/>
      <c r="K22" s="359"/>
      <c r="L22" s="359"/>
    </row>
    <row r="23" spans="1:12" ht="29" customHeight="1">
      <c r="A23" s="359" t="s">
        <v>1370</v>
      </c>
      <c r="B23" s="359"/>
      <c r="C23" s="359"/>
      <c r="D23" s="359"/>
      <c r="E23" s="359"/>
      <c r="F23" s="359"/>
      <c r="G23" s="359"/>
      <c r="H23" s="359"/>
      <c r="I23" s="359"/>
      <c r="J23" s="359"/>
      <c r="K23" s="359"/>
      <c r="L23" s="359"/>
    </row>
    <row r="24" spans="1:12" ht="29" customHeight="1">
      <c r="A24" s="359" t="s">
        <v>1371</v>
      </c>
      <c r="B24" s="359"/>
      <c r="C24" s="359"/>
      <c r="D24" s="359"/>
      <c r="E24" s="359"/>
      <c r="F24" s="359"/>
      <c r="G24" s="359"/>
      <c r="H24" s="359"/>
      <c r="I24" s="359"/>
      <c r="J24" s="359"/>
      <c r="K24" s="359"/>
      <c r="L24" s="359"/>
    </row>
    <row r="25" spans="1:12" ht="29" customHeight="1">
      <c r="A25" s="359" t="s">
        <v>1372</v>
      </c>
      <c r="B25" s="359"/>
      <c r="C25" s="359"/>
      <c r="D25" s="359"/>
      <c r="E25" s="359"/>
      <c r="F25" s="359"/>
      <c r="G25" s="359"/>
      <c r="H25" s="359"/>
      <c r="I25" s="359"/>
      <c r="J25" s="359"/>
      <c r="K25" s="359"/>
      <c r="L25" s="359"/>
    </row>
    <row r="26" spans="1:12" ht="29" customHeight="1">
      <c r="A26" s="359" t="s">
        <v>1373</v>
      </c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</row>
    <row r="27" spans="1:12" ht="29" customHeight="1">
      <c r="A27" s="359" t="s">
        <v>1374</v>
      </c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</row>
    <row r="28" spans="1:12" ht="29" customHeight="1">
      <c r="A28" s="359" t="s">
        <v>1375</v>
      </c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</row>
    <row r="29" spans="1:12" ht="29" customHeight="1">
      <c r="A29" s="359" t="s">
        <v>1376</v>
      </c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</row>
    <row r="30" spans="1:12">
      <c r="A30" s="359"/>
      <c r="B30" s="359"/>
      <c r="C30" s="359"/>
      <c r="D30" s="359"/>
      <c r="E30" s="359"/>
      <c r="F30" s="359"/>
      <c r="G30" s="359"/>
      <c r="H30" s="359"/>
      <c r="I30" s="359"/>
      <c r="J30" s="359"/>
      <c r="K30" s="359"/>
      <c r="L30" s="359"/>
    </row>
    <row r="31" spans="1:12" ht="29" customHeight="1">
      <c r="A31" s="359" t="s">
        <v>1377</v>
      </c>
      <c r="B31" s="359" t="s">
        <v>1378</v>
      </c>
      <c r="C31" s="359">
        <v>1</v>
      </c>
      <c r="D31" s="359">
        <v>1</v>
      </c>
      <c r="E31" s="359">
        <f>IFERROR(D31-C31,0)</f>
        <v>0</v>
      </c>
      <c r="F31" s="359" t="str">
        <f>IF(D31&gt;=C31,"🟢 OK","🔴 Crítico")</f>
        <v>🟢 OK</v>
      </c>
      <c r="G31" s="359" t="s">
        <v>1379</v>
      </c>
      <c r="H31" s="359" t="s">
        <v>1380</v>
      </c>
      <c r="I31" s="359" t="s">
        <v>1381</v>
      </c>
      <c r="J31" s="359" t="s">
        <v>1009</v>
      </c>
      <c r="K31" s="359" t="s">
        <v>813</v>
      </c>
      <c r="L31" s="359" t="s">
        <v>1314</v>
      </c>
    </row>
    <row r="32" spans="1:12">
      <c r="A32" s="359"/>
      <c r="B32" s="359"/>
      <c r="C32" s="359"/>
      <c r="D32" s="359"/>
      <c r="E32" s="359"/>
      <c r="F32" s="359"/>
      <c r="G32" s="359"/>
      <c r="H32" s="359"/>
      <c r="I32" s="359"/>
      <c r="J32" s="359"/>
      <c r="K32" s="359"/>
      <c r="L32" s="359"/>
    </row>
    <row r="33" spans="1:12">
      <c r="A33" s="359"/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</row>
    <row r="34" spans="1:12">
      <c r="A34" s="359"/>
      <c r="B34" s="359"/>
      <c r="C34" s="359"/>
      <c r="D34" s="359"/>
      <c r="E34" s="359"/>
      <c r="F34" s="359"/>
      <c r="G34" s="359"/>
      <c r="H34" s="359"/>
      <c r="I34" s="359"/>
      <c r="J34" s="359"/>
      <c r="K34" s="359"/>
      <c r="L34" s="359"/>
    </row>
    <row r="35" spans="1:12">
      <c r="A35" s="359"/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</row>
    <row r="36" spans="1:12">
      <c r="A36" s="359"/>
      <c r="B36" s="359"/>
      <c r="C36" s="359"/>
      <c r="D36" s="359"/>
      <c r="E36" s="359"/>
      <c r="F36" s="359"/>
      <c r="G36" s="359"/>
      <c r="H36" s="359"/>
      <c r="I36" s="359"/>
      <c r="J36" s="359"/>
      <c r="K36" s="359"/>
      <c r="L36" s="359"/>
    </row>
    <row r="37" spans="1:12">
      <c r="A37" s="359"/>
      <c r="B37" s="359"/>
      <c r="C37" s="359"/>
      <c r="D37" s="359"/>
      <c r="E37" s="359"/>
      <c r="F37" s="359"/>
      <c r="G37" s="359"/>
      <c r="H37" s="359"/>
      <c r="I37" s="359"/>
      <c r="J37" s="359"/>
      <c r="K37" s="359"/>
      <c r="L37" s="359"/>
    </row>
    <row r="38" spans="1:12">
      <c r="A38" s="359"/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</row>
    <row r="39" spans="1:12">
      <c r="A39" s="359"/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59"/>
    </row>
    <row r="40" spans="1:12">
      <c r="A40" s="359"/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</row>
  </sheetData>
  <mergeCells count="2">
    <mergeCell ref="A1:J1"/>
    <mergeCell ref="A2:H2"/>
  </mergeCells>
  <conditionalFormatting sqref="F5:F16">
    <cfRule type="expression" dxfId="842" priority="1">
      <formula>ISNUMBER(SEARCH("🟢",F5))</formula>
    </cfRule>
    <cfRule type="expression" dxfId="841" priority="2">
      <formula>ISNUMBER(SEARCH("🟡",F5))</formula>
    </cfRule>
    <cfRule type="expression" dxfId="840" priority="3">
      <formula>ISNUMBER(SEARCH("🔴",F5))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4E3D"/>
  </sheetPr>
  <dimension ref="A1:N14"/>
  <sheetViews>
    <sheetView showGridLines="0" workbookViewId="0"/>
  </sheetViews>
  <sheetFormatPr baseColWidth="10" defaultColWidth="8.7265625" defaultRowHeight="14.5"/>
  <cols>
    <col min="1" max="1" width="10.26953125" customWidth="1"/>
    <col min="2" max="2" width="9.90625" customWidth="1"/>
    <col min="3" max="3" width="10.7265625" customWidth="1"/>
    <col min="4" max="4" width="10.6328125" customWidth="1"/>
    <col min="5" max="5" width="13.453125" customWidth="1"/>
    <col min="6" max="6" width="18.26953125" customWidth="1"/>
    <col min="7" max="7" width="17.08984375" customWidth="1"/>
    <col min="8" max="8" width="12.26953125" customWidth="1"/>
    <col min="9" max="9" width="12.81640625" customWidth="1"/>
    <col min="10" max="10" width="8.54296875" customWidth="1"/>
    <col min="11" max="11" width="21.7265625" customWidth="1"/>
    <col min="12" max="12" width="11.7265625" customWidth="1"/>
    <col min="13" max="13" width="21.36328125" customWidth="1"/>
    <col min="14" max="14" width="22.08984375" customWidth="1"/>
  </cols>
  <sheetData>
    <row r="1" spans="1:14" ht="21" customHeight="1">
      <c r="A1" s="445" t="s">
        <v>1382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 ht="29" customHeight="1">
      <c r="A2" s="444" t="s">
        <v>1383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3" spans="1:14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 ht="29" customHeight="1">
      <c r="A4" s="138" t="s">
        <v>1061</v>
      </c>
      <c r="B4" s="138" t="s">
        <v>1204</v>
      </c>
      <c r="C4" s="138" t="s">
        <v>1384</v>
      </c>
      <c r="D4" s="138" t="s">
        <v>1385</v>
      </c>
      <c r="E4" s="138" t="s">
        <v>1386</v>
      </c>
      <c r="F4" s="138" t="s">
        <v>1387</v>
      </c>
      <c r="G4" s="138" t="s">
        <v>1344</v>
      </c>
      <c r="H4" s="138" t="s">
        <v>916</v>
      </c>
      <c r="I4" s="138" t="s">
        <v>1388</v>
      </c>
      <c r="J4" s="138" t="s">
        <v>1389</v>
      </c>
      <c r="K4" s="138" t="s">
        <v>1390</v>
      </c>
      <c r="L4" s="138" t="s">
        <v>655</v>
      </c>
      <c r="M4" s="138" t="s">
        <v>389</v>
      </c>
      <c r="N4" s="138" t="s">
        <v>1391</v>
      </c>
    </row>
    <row r="5" spans="1:14" ht="29" customHeight="1">
      <c r="A5" s="98" t="s">
        <v>1197</v>
      </c>
      <c r="B5" s="123">
        <f>SUMIF('11_Ingresos'!$K$5:$K$204,A5,'11_Ingresos'!$C$5:$C$204)</f>
        <v>1130484</v>
      </c>
      <c r="C5" s="123">
        <f>SUMIFS('12_Gastos'!$D$5:$D$403,'12_Gastos'!$I$5:$I$403,A5,'12_Gastos'!$J$5:$J$403,"Gasto real")</f>
        <v>0</v>
      </c>
      <c r="D5" s="123">
        <f>IF(A5='18_Conciliacion_Bancaria_V2'!$B$3,'18_Conciliacion_Bancaria_V2'!B12,IF(A5="mayo",'15_Conciliacion'!B12,0))</f>
        <v>1144342</v>
      </c>
      <c r="E5" s="123">
        <f>IF(A5='18_Conciliacion_Bancaria_V2'!$B$3,'18_Conciliacion_Bancaria_V2'!B22,IF(A5="mayo",'15_Conciliacion'!B22,0))</f>
        <v>90470</v>
      </c>
      <c r="F5" s="123">
        <f>IF(A5='18_Conciliacion_Bancaria_V2'!$B$3,'18_Conciliacion_Bancaria_V2'!B26,IF(A5="mayo",'15_Conciliacion'!B26,0))</f>
        <v>-1053872</v>
      </c>
      <c r="G5" s="151">
        <f>COUNTA('40_Estudio_Empresas'!C3:C204)</f>
        <v>1</v>
      </c>
      <c r="H5" s="151">
        <f>COUNTIF('32_Oportunidades'!A5:A204,"?*")</f>
        <v>0</v>
      </c>
      <c r="I5" s="150">
        <f>IF(A5="mayo",'01_Score_Mayo'!B5,0)</f>
        <v>0</v>
      </c>
      <c r="J5" s="150">
        <f>IF(A5="mayo",'01_Score_Mayo'!B8,0)</f>
        <v>0</v>
      </c>
      <c r="K5" s="149">
        <f>IFERROR(IF(A5="mayo",'01_Score_Mayo'!I11,AVERAGE(IFERROR(B5/MAX(1,B5+C5),0),IFERROR(G5/25,0),IFERROR(H5/5,0))*100),0)</f>
        <v>0</v>
      </c>
      <c r="L5" s="98" t="str">
        <f t="shared" ref="L5:L12" si="0">IF(K5&gt;=90,"⭐ Dominio",IF(K5&gt;=70,"🟢 Cumple",IF(K5&gt;=40,"🟡 En proceso","🔴 Riesgo")))</f>
        <v>🔴 Riesgo</v>
      </c>
      <c r="M5" s="98" t="s">
        <v>5022</v>
      </c>
      <c r="N5" s="98" t="str">
        <f t="shared" ref="N5:N12" si="1">IF(L5="🔴 Riesgo","Revisar prioridad mensual",IF(L5="🟡 En proceso","Completar registros y cierre","Mantener sistema"))</f>
        <v>Revisar prioridad mensual</v>
      </c>
    </row>
    <row r="6" spans="1:14" ht="29" customHeight="1">
      <c r="A6" s="98" t="s">
        <v>1188</v>
      </c>
      <c r="B6" s="123">
        <f>SUMIF('11_Ingresos'!$K$5:$K$204,A6,'11_Ingresos'!$C$5:$C$204)</f>
        <v>1930028</v>
      </c>
      <c r="C6" s="123">
        <f>SUMIFS('12_Gastos'!$D$5:$D$403,'12_Gastos'!$I$5:$I$403,A6,'12_Gastos'!$J$5:$J$403,"Gasto real")</f>
        <v>525069</v>
      </c>
      <c r="D6" s="123">
        <f>IF(A6='18_Conciliacion_Bancaria_V2'!$B$3,'18_Conciliacion_Bancaria_V2'!B12,IF(A6="mayo",'15_Conciliacion'!B12,0))</f>
        <v>1453708</v>
      </c>
      <c r="E6" s="123">
        <f>IF(A6='18_Conciliacion_Bancaria_V2'!$B$3,'18_Conciliacion_Bancaria_V2'!B22,IF(A6="mayo",'15_Conciliacion'!B22,0))</f>
        <v>51789</v>
      </c>
      <c r="F6" s="123">
        <f>IF(A6='18_Conciliacion_Bancaria_V2'!$B$3,'18_Conciliacion_Bancaria_V2'!B26,IF(A6="mayo",'15_Conciliacion'!B26,0))</f>
        <v>-1401919</v>
      </c>
      <c r="G6" s="151">
        <f>COUNTA('40_Estudio_Empresas'!C3:C204)</f>
        <v>1</v>
      </c>
      <c r="H6" s="151">
        <f>COUNTIF('32_Oportunidades'!A5:A204,"?*")</f>
        <v>0</v>
      </c>
      <c r="I6" s="150">
        <f>IF(A6="mayo",'01_Score_Mayo'!B5,0)</f>
        <v>0</v>
      </c>
      <c r="J6" s="150">
        <f>IF(A6="mayo",'01_Score_Mayo'!B8,0)</f>
        <v>0</v>
      </c>
      <c r="K6" s="149">
        <f>IF(A6="mayo",'01_Score_Mayo'!I11,AVERAGE(IFERROR(B6/MAX(1,B6+C6),0),IFERROR(G6/25,0),IFERROR(H6/5,0))*100)</f>
        <v>27.537701904785568</v>
      </c>
      <c r="L6" s="98" t="str">
        <f t="shared" si="0"/>
        <v>🔴 Riesgo</v>
      </c>
      <c r="M6" s="98" t="str">
        <f>IF(A6="mayo","Cierre Mayo",IF(A6='18_Conciliacion_Bancaria_V2'!$B$3,'18_Conciliacion_Bancaria_V2'!B28,"Pendiente"))</f>
        <v>🔴 Diferencia crítica</v>
      </c>
      <c r="N6" s="98" t="str">
        <f t="shared" si="1"/>
        <v>Revisar prioridad mensual</v>
      </c>
    </row>
    <row r="7" spans="1:14" ht="29" customHeight="1">
      <c r="A7" s="98" t="s">
        <v>1208</v>
      </c>
      <c r="B7" s="123">
        <f>SUMIF('11_Ingresos'!$K$5:$K$204,A7,'11_Ingresos'!$C$5:$C$204)</f>
        <v>0</v>
      </c>
      <c r="C7" s="123">
        <f>SUMIFS('12_Gastos'!$D$5:$D$403,'12_Gastos'!$I$5:$I$403,A7,'12_Gastos'!$J$5:$J$403,"Gasto real")</f>
        <v>0</v>
      </c>
      <c r="D7" s="123">
        <f>IF(A7='18_Conciliacion_Bancaria_V2'!$B$3,'18_Conciliacion_Bancaria_V2'!B12,IF(A7="mayo",'15_Conciliacion'!B12,0))</f>
        <v>0</v>
      </c>
      <c r="E7" s="123">
        <f>IF(A7='18_Conciliacion_Bancaria_V2'!$B$3,'18_Conciliacion_Bancaria_V2'!B22,IF(A7="mayo",'15_Conciliacion'!B22,0))</f>
        <v>0</v>
      </c>
      <c r="F7" s="123">
        <f>IF(A7='18_Conciliacion_Bancaria_V2'!$B$3,'18_Conciliacion_Bancaria_V2'!B26,IF(A7="mayo",'15_Conciliacion'!B26,0))</f>
        <v>0</v>
      </c>
      <c r="G7" s="151">
        <f>COUNTA('40_Estudio_Empresas'!C3:C204)</f>
        <v>1</v>
      </c>
      <c r="H7" s="151">
        <f>COUNTIF('32_Oportunidades'!A5:A204,"?*")</f>
        <v>0</v>
      </c>
      <c r="I7" s="150">
        <f>IF(A7="mayo",'01_Score_Mayo'!B5,0)</f>
        <v>0</v>
      </c>
      <c r="J7" s="150">
        <f>IF(A7="mayo",'01_Score_Mayo'!B8,0)</f>
        <v>0</v>
      </c>
      <c r="K7" s="149">
        <f>IF(A7="mayo",'01_Score_Mayo'!I11,AVERAGE(IFERROR(B7/MAX(1,B7+C7),0),IFERROR(G7/25,0),IFERROR(H7/5,0))*100)</f>
        <v>1.3333333333333335</v>
      </c>
      <c r="L7" s="98" t="str">
        <f t="shared" si="0"/>
        <v>🔴 Riesgo</v>
      </c>
      <c r="M7" s="98" t="str">
        <f>IF(A7="mayo","Cierre Mayo",IF(A7='18_Conciliacion_Bancaria_V2'!$B$3,'18_Conciliacion_Bancaria_V2'!B28,"Pendiente"))</f>
        <v>Pendiente</v>
      </c>
      <c r="N7" s="98" t="str">
        <f t="shared" si="1"/>
        <v>Revisar prioridad mensual</v>
      </c>
    </row>
    <row r="8" spans="1:14" ht="29" customHeight="1">
      <c r="A8" s="98" t="s">
        <v>1210</v>
      </c>
      <c r="B8" s="123">
        <f>SUMIF('11_Ingresos'!$K$5:$K$204,A8,'11_Ingresos'!$C$5:$C$204)</f>
        <v>0</v>
      </c>
      <c r="C8" s="123">
        <f>SUMIFS('12_Gastos'!$D$5:$D$403,'12_Gastos'!$I$5:$I$403,A8,'12_Gastos'!$J$5:$J$403,"Gasto real")</f>
        <v>0</v>
      </c>
      <c r="D8" s="123">
        <f>IF(A8='18_Conciliacion_Bancaria_V2'!$B$3,'18_Conciliacion_Bancaria_V2'!B12,IF(A8="mayo",'15_Conciliacion'!B12,0))</f>
        <v>0</v>
      </c>
      <c r="E8" s="123">
        <f>IF(A8='18_Conciliacion_Bancaria_V2'!$B$3,'18_Conciliacion_Bancaria_V2'!B22,IF(A8="mayo",'15_Conciliacion'!B22,0))</f>
        <v>0</v>
      </c>
      <c r="F8" s="123">
        <f>IF(A8='18_Conciliacion_Bancaria_V2'!$B$3,'18_Conciliacion_Bancaria_V2'!B26,IF(A8="mayo",'15_Conciliacion'!B26,0))</f>
        <v>0</v>
      </c>
      <c r="G8" s="151">
        <f>COUNTA('40_Estudio_Empresas'!C3:C204)</f>
        <v>1</v>
      </c>
      <c r="H8" s="151">
        <f>COUNTIF('32_Oportunidades'!A5:A204,"?*")</f>
        <v>0</v>
      </c>
      <c r="I8" s="150">
        <f>IF(A8="mayo",'01_Score_Mayo'!B5,0)</f>
        <v>0</v>
      </c>
      <c r="J8" s="150">
        <f>IF(A8="mayo",'01_Score_Mayo'!B8,0)</f>
        <v>0</v>
      </c>
      <c r="K8" s="149">
        <f>IF(A8="mayo",'01_Score_Mayo'!I11,AVERAGE(IFERROR(B8/MAX(1,B8+C8),0),IFERROR(G8/25,0),IFERROR(H8/5,0))*100)</f>
        <v>1.3333333333333335</v>
      </c>
      <c r="L8" s="98" t="str">
        <f t="shared" si="0"/>
        <v>🔴 Riesgo</v>
      </c>
      <c r="M8" s="98" t="str">
        <f>IF(A8="mayo","Cierre Mayo",IF(A8='18_Conciliacion_Bancaria_V2'!$B$3,'18_Conciliacion_Bancaria_V2'!B28,"Pendiente"))</f>
        <v>Pendiente</v>
      </c>
      <c r="N8" s="98" t="str">
        <f t="shared" si="1"/>
        <v>Revisar prioridad mensual</v>
      </c>
    </row>
    <row r="9" spans="1:14" ht="29" customHeight="1">
      <c r="A9" s="98" t="s">
        <v>1212</v>
      </c>
      <c r="B9" s="123">
        <f>SUMIF('11_Ingresos'!$K$5:$K$204,A9,'11_Ingresos'!$C$5:$C$204)</f>
        <v>0</v>
      </c>
      <c r="C9" s="123">
        <f>SUMIFS('12_Gastos'!$D$5:$D$403,'12_Gastos'!$I$5:$I$403,A9,'12_Gastos'!$J$5:$J$403,"Gasto real")</f>
        <v>0</v>
      </c>
      <c r="D9" s="123">
        <f>IF(A9='18_Conciliacion_Bancaria_V2'!$B$3,'18_Conciliacion_Bancaria_V2'!B12,IF(A9="mayo",'15_Conciliacion'!B12,0))</f>
        <v>0</v>
      </c>
      <c r="E9" s="123">
        <f>IF(A9='18_Conciliacion_Bancaria_V2'!$B$3,'18_Conciliacion_Bancaria_V2'!B22,IF(A9="mayo",'15_Conciliacion'!B22,0))</f>
        <v>0</v>
      </c>
      <c r="F9" s="123">
        <f>IF(A9='18_Conciliacion_Bancaria_V2'!$B$3,'18_Conciliacion_Bancaria_V2'!B26,IF(A9="mayo",'15_Conciliacion'!B26,0))</f>
        <v>0</v>
      </c>
      <c r="G9" s="151">
        <f>COUNTA('40_Estudio_Empresas'!C3:C204)</f>
        <v>1</v>
      </c>
      <c r="H9" s="151">
        <f>COUNTIF('32_Oportunidades'!A5:A204,"?*")</f>
        <v>0</v>
      </c>
      <c r="I9" s="150">
        <f>IF(A9="mayo",'01_Score_Mayo'!B5,0)</f>
        <v>0</v>
      </c>
      <c r="J9" s="150">
        <f>IF(A9="mayo",'01_Score_Mayo'!B8,0)</f>
        <v>0</v>
      </c>
      <c r="K9" s="149">
        <f>IF(A9="mayo",'01_Score_Mayo'!I11,AVERAGE(IFERROR(B9/MAX(1,B9+C9),0),IFERROR(G9/25,0),IFERROR(H9/5,0))*100)</f>
        <v>1.3333333333333335</v>
      </c>
      <c r="L9" s="98" t="str">
        <f t="shared" si="0"/>
        <v>🔴 Riesgo</v>
      </c>
      <c r="M9" s="98" t="str">
        <f>IF(A9="mayo","Cierre Mayo",IF(A9='18_Conciliacion_Bancaria_V2'!$B$3,'18_Conciliacion_Bancaria_V2'!B28,"Pendiente"))</f>
        <v>Pendiente</v>
      </c>
      <c r="N9" s="98" t="str">
        <f t="shared" si="1"/>
        <v>Revisar prioridad mensual</v>
      </c>
    </row>
    <row r="10" spans="1:14" ht="29" customHeight="1">
      <c r="A10" s="98" t="s">
        <v>1214</v>
      </c>
      <c r="B10" s="123">
        <f>SUMIF('11_Ingresos'!$K$5:$K$204,A10,'11_Ingresos'!$C$5:$C$204)</f>
        <v>0</v>
      </c>
      <c r="C10" s="123">
        <f>SUMIFS('12_Gastos'!$D$5:$D$403,'12_Gastos'!$I$5:$I$403,A10,'12_Gastos'!$J$5:$J$403,"Gasto real")</f>
        <v>0</v>
      </c>
      <c r="D10" s="123">
        <f>IF(A10='18_Conciliacion_Bancaria_V2'!$B$3,'18_Conciliacion_Bancaria_V2'!B12,IF(A10="mayo",'15_Conciliacion'!B12,0))</f>
        <v>0</v>
      </c>
      <c r="E10" s="123">
        <f>IF(A10='18_Conciliacion_Bancaria_V2'!$B$3,'18_Conciliacion_Bancaria_V2'!B22,IF(A10="mayo",'15_Conciliacion'!B22,0))</f>
        <v>0</v>
      </c>
      <c r="F10" s="123">
        <f>IF(A10='18_Conciliacion_Bancaria_V2'!$B$3,'18_Conciliacion_Bancaria_V2'!B26,IF(A10="mayo",'15_Conciliacion'!B26,0))</f>
        <v>0</v>
      </c>
      <c r="G10" s="151">
        <f>COUNTA('40_Estudio_Empresas'!C3:C204)</f>
        <v>1</v>
      </c>
      <c r="H10" s="151">
        <f>COUNTIF('32_Oportunidades'!A5:A204,"?*")</f>
        <v>0</v>
      </c>
      <c r="I10" s="150">
        <f>IF(A10="mayo",'01_Score_Mayo'!B5,0)</f>
        <v>0</v>
      </c>
      <c r="J10" s="150">
        <f>IF(A10="mayo",'01_Score_Mayo'!B8,0)</f>
        <v>0</v>
      </c>
      <c r="K10" s="149">
        <f>IF(A10="mayo",'01_Score_Mayo'!I11,AVERAGE(IFERROR(B10/MAX(1,B10+C10),0),IFERROR(G10/25,0),IFERROR(H10/5,0))*100)</f>
        <v>1.3333333333333335</v>
      </c>
      <c r="L10" s="98" t="str">
        <f t="shared" si="0"/>
        <v>🔴 Riesgo</v>
      </c>
      <c r="M10" s="98" t="str">
        <f>IF(A10="mayo","Cierre Mayo",IF(A10='18_Conciliacion_Bancaria_V2'!$B$3,'18_Conciliacion_Bancaria_V2'!B28,"Pendiente"))</f>
        <v>Pendiente</v>
      </c>
      <c r="N10" s="98" t="str">
        <f t="shared" si="1"/>
        <v>Revisar prioridad mensual</v>
      </c>
    </row>
    <row r="11" spans="1:14" ht="29" customHeight="1">
      <c r="A11" s="98" t="s">
        <v>1215</v>
      </c>
      <c r="B11" s="123">
        <f>SUMIF('11_Ingresos'!$K$5:$K$204,A11,'11_Ingresos'!$C$5:$C$204)</f>
        <v>0</v>
      </c>
      <c r="C11" s="123">
        <f>SUMIFS('12_Gastos'!$D$5:$D$403,'12_Gastos'!$I$5:$I$403,A11,'12_Gastos'!$J$5:$J$403,"Gasto real")</f>
        <v>0</v>
      </c>
      <c r="D11" s="123">
        <f>IF(A11='18_Conciliacion_Bancaria_V2'!$B$3,'18_Conciliacion_Bancaria_V2'!B12,IF(A11="mayo",'15_Conciliacion'!B12,0))</f>
        <v>0</v>
      </c>
      <c r="E11" s="123">
        <f>IF(A11='18_Conciliacion_Bancaria_V2'!$B$3,'18_Conciliacion_Bancaria_V2'!B22,IF(A11="mayo",'15_Conciliacion'!B22,0))</f>
        <v>0</v>
      </c>
      <c r="F11" s="123">
        <f>IF(A11='18_Conciliacion_Bancaria_V2'!$B$3,'18_Conciliacion_Bancaria_V2'!B26,IF(A11="mayo",'15_Conciliacion'!B26,0))</f>
        <v>0</v>
      </c>
      <c r="G11" s="151">
        <f>COUNTA('40_Estudio_Empresas'!C3:C204)</f>
        <v>1</v>
      </c>
      <c r="H11" s="151">
        <f>COUNTIF('32_Oportunidades'!A5:A204,"?*")</f>
        <v>0</v>
      </c>
      <c r="I11" s="150">
        <f>IF(A11="mayo",'01_Score_Mayo'!B5,0)</f>
        <v>0</v>
      </c>
      <c r="J11" s="150">
        <f>IF(A11="mayo",'01_Score_Mayo'!B8,0)</f>
        <v>0</v>
      </c>
      <c r="K11" s="149">
        <f>IF(A11="mayo",'01_Score_Mayo'!I11,AVERAGE(IFERROR(B11/MAX(1,B11+C11),0),IFERROR(G11/25,0),IFERROR(H11/5,0))*100)</f>
        <v>1.3333333333333335</v>
      </c>
      <c r="L11" s="98" t="str">
        <f t="shared" si="0"/>
        <v>🔴 Riesgo</v>
      </c>
      <c r="M11" s="98" t="str">
        <f>IF(A11="mayo","Cierre Mayo",IF(A11='18_Conciliacion_Bancaria_V2'!$B$3,'18_Conciliacion_Bancaria_V2'!B28,"Pendiente"))</f>
        <v>Pendiente</v>
      </c>
      <c r="N11" s="98" t="str">
        <f t="shared" si="1"/>
        <v>Revisar prioridad mensual</v>
      </c>
    </row>
    <row r="12" spans="1:14" ht="29" customHeight="1">
      <c r="A12" s="98" t="s">
        <v>1217</v>
      </c>
      <c r="B12" s="123">
        <f>SUMIF('11_Ingresos'!$K$5:$K$204,A12,'11_Ingresos'!$C$5:$C$204)</f>
        <v>0</v>
      </c>
      <c r="C12" s="123">
        <f>SUMIFS('12_Gastos'!$D$5:$D$403,'12_Gastos'!$I$5:$I$403,A12,'12_Gastos'!$J$5:$J$403,"Gasto real")</f>
        <v>0</v>
      </c>
      <c r="D12" s="123">
        <f>IF(A12='18_Conciliacion_Bancaria_V2'!$B$3,'18_Conciliacion_Bancaria_V2'!B12,IF(A12="mayo",'15_Conciliacion'!B12,0))</f>
        <v>0</v>
      </c>
      <c r="E12" s="123">
        <f>IF(A12='18_Conciliacion_Bancaria_V2'!$B$3,'18_Conciliacion_Bancaria_V2'!B22,IF(A12="mayo",'15_Conciliacion'!B22,0))</f>
        <v>0</v>
      </c>
      <c r="F12" s="123">
        <f>IF(A12='18_Conciliacion_Bancaria_V2'!$B$3,'18_Conciliacion_Bancaria_V2'!B26,IF(A12="mayo",'15_Conciliacion'!B26,0))</f>
        <v>0</v>
      </c>
      <c r="G12" s="151">
        <f>COUNTA('40_Estudio_Empresas'!C3:C204)</f>
        <v>1</v>
      </c>
      <c r="H12" s="151">
        <f>COUNTIF('32_Oportunidades'!A5:A204,"?*")</f>
        <v>0</v>
      </c>
      <c r="I12" s="150">
        <f>IF(A12="mayo",'01_Score_Mayo'!B5,0)</f>
        <v>0</v>
      </c>
      <c r="J12" s="150">
        <f>IF(A12="mayo",'01_Score_Mayo'!B8,0)</f>
        <v>0</v>
      </c>
      <c r="K12" s="149">
        <f>IF(A12="mayo",'01_Score_Mayo'!I11,AVERAGE(IFERROR(B12/MAX(1,B12+C12),0),IFERROR(G12/25,0),IFERROR(H12/5,0))*100)</f>
        <v>1.3333333333333335</v>
      </c>
      <c r="L12" s="98" t="str">
        <f t="shared" si="0"/>
        <v>🔴 Riesgo</v>
      </c>
      <c r="M12" s="98" t="str">
        <f>IF(A12="mayo","Cierre Mayo",IF(A12='18_Conciliacion_Bancaria_V2'!$B$3,'18_Conciliacion_Bancaria_V2'!B28,"Pendiente"))</f>
        <v>Pendiente</v>
      </c>
      <c r="N12" s="98" t="str">
        <f t="shared" si="1"/>
        <v>Revisar prioridad mensual</v>
      </c>
    </row>
    <row r="13" spans="1:14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</row>
    <row r="14" spans="1:14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</sheetData>
  <mergeCells count="2">
    <mergeCell ref="A2:N2"/>
    <mergeCell ref="A1:N1"/>
  </mergeCells>
  <conditionalFormatting sqref="L5:M12">
    <cfRule type="expression" dxfId="839" priority="1">
      <formula>ISNUMBER(SEARCH("Conciliado",L5))</formula>
    </cfRule>
    <cfRule type="expression" dxfId="838" priority="2">
      <formula>ISNUMBER(SEARCH("Cumple",L5))</formula>
    </cfRule>
    <cfRule type="expression" dxfId="837" priority="3">
      <formula>ISNUMBER(SEARCH("Dominio",L5))</formula>
    </cfRule>
    <cfRule type="expression" dxfId="836" priority="4">
      <formula>ISNUMBER(SEARCH("Cerrado",L5))</formula>
    </cfRule>
    <cfRule type="expression" dxfId="835" priority="5">
      <formula>ISNUMBER(SEARCH("Activo",L5))</formula>
    </cfRule>
    <cfRule type="expression" dxfId="834" priority="6">
      <formula>ISNUMBER(SEARCH("En proceso",L5))</formula>
    </cfRule>
    <cfRule type="expression" dxfId="833" priority="7">
      <formula>ISNUMBER(SEARCH("Atención",L5))</formula>
    </cfRule>
    <cfRule type="expression" dxfId="832" priority="8">
      <formula>ISNUMBER(SEARCH("Revisar",L5))</formula>
    </cfRule>
    <cfRule type="expression" dxfId="831" priority="9">
      <formula>ISNUMBER(SEARCH("Pendiente",L5))</formula>
    </cfRule>
    <cfRule type="expression" dxfId="830" priority="10">
      <formula>ISNUMBER(SEARCH("Diferencia crítica",L5))</formula>
    </cfRule>
    <cfRule type="expression" dxfId="829" priority="11">
      <formula>ISNUMBER(SEARCH("Crítico",L5))</formula>
    </cfRule>
    <cfRule type="expression" dxfId="828" priority="12">
      <formula>ISNUMBER(SEARCH("Riesgo",L5))</formula>
    </cfRule>
    <cfRule type="expression" dxfId="827" priority="13">
      <formula>ISNUMBER(SEARCH("No iniciado",L5))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871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A651"/>
  </sheetPr>
  <dimension ref="A1:I80"/>
  <sheetViews>
    <sheetView showGridLines="0" workbookViewId="0"/>
  </sheetViews>
  <sheetFormatPr baseColWidth="10" defaultColWidth="8.7265625" defaultRowHeight="14.5"/>
  <cols>
    <col min="1" max="1" width="14" customWidth="1"/>
    <col min="2" max="2" width="34" customWidth="1"/>
    <col min="3" max="3" width="18" customWidth="1"/>
    <col min="4" max="4" width="10" customWidth="1"/>
    <col min="5" max="5" width="18" customWidth="1"/>
    <col min="6" max="6" width="13" customWidth="1"/>
    <col min="7" max="7" width="18" customWidth="1"/>
    <col min="8" max="8" width="16" customWidth="1"/>
    <col min="9" max="9" width="36" customWidth="1"/>
  </cols>
  <sheetData>
    <row r="1" spans="1:9" ht="28" customHeight="1">
      <c r="A1" s="446" t="s">
        <v>1392</v>
      </c>
      <c r="B1" s="426"/>
      <c r="C1" s="426"/>
      <c r="D1" s="426"/>
      <c r="E1" s="426"/>
      <c r="F1" s="426"/>
      <c r="G1" s="426"/>
      <c r="H1" s="173"/>
      <c r="I1" s="173"/>
    </row>
    <row r="2" spans="1:9">
      <c r="A2" s="447" t="s">
        <v>1393</v>
      </c>
      <c r="B2" s="426"/>
      <c r="C2" s="426"/>
      <c r="D2" s="426"/>
      <c r="E2" s="426"/>
      <c r="F2" s="426"/>
      <c r="G2" s="426"/>
      <c r="H2" s="426"/>
      <c r="I2" s="426"/>
    </row>
    <row r="3" spans="1:9">
      <c r="A3" s="132"/>
      <c r="B3" s="132"/>
      <c r="C3" s="132"/>
      <c r="D3" s="132"/>
      <c r="E3" s="132"/>
      <c r="F3" s="132"/>
      <c r="G3" s="132"/>
      <c r="H3" s="132"/>
      <c r="I3" s="132"/>
    </row>
    <row r="4" spans="1:9">
      <c r="A4" s="175" t="s">
        <v>67</v>
      </c>
      <c r="B4" s="175" t="s">
        <v>1394</v>
      </c>
      <c r="C4" s="175" t="s">
        <v>8</v>
      </c>
      <c r="D4" s="175" t="s">
        <v>1395</v>
      </c>
      <c r="E4" s="175" t="s">
        <v>1396</v>
      </c>
      <c r="F4" s="175" t="s">
        <v>1397</v>
      </c>
      <c r="G4" s="175" t="s">
        <v>1398</v>
      </c>
      <c r="H4" s="175" t="s">
        <v>655</v>
      </c>
      <c r="I4" s="175" t="s">
        <v>656</v>
      </c>
    </row>
    <row r="5" spans="1:9" ht="29" customHeight="1">
      <c r="A5" s="132" t="s">
        <v>1399</v>
      </c>
      <c r="B5" s="171" t="s">
        <v>1400</v>
      </c>
      <c r="C5" s="132" t="s">
        <v>1401</v>
      </c>
      <c r="D5" s="132" t="s">
        <v>1402</v>
      </c>
      <c r="E5" s="171">
        <f>'10_Apertura'!C9</f>
        <v>13858</v>
      </c>
      <c r="F5" s="171">
        <v>950</v>
      </c>
      <c r="G5" s="171">
        <f>IF(E5="","",IF(D5="USD",E5*F5,E5))</f>
        <v>13858</v>
      </c>
      <c r="H5" s="132" t="s">
        <v>79</v>
      </c>
      <c r="I5" s="132" t="s">
        <v>1403</v>
      </c>
    </row>
    <row r="6" spans="1:9">
      <c r="A6" s="132" t="s">
        <v>1399</v>
      </c>
      <c r="B6" s="171" t="s">
        <v>1404</v>
      </c>
      <c r="C6" s="132" t="s">
        <v>1324</v>
      </c>
      <c r="D6" s="132" t="s">
        <v>1402</v>
      </c>
      <c r="E6" s="171">
        <f>'08_Rentabilidad_Inversiones'!V5</f>
        <v>236224</v>
      </c>
      <c r="F6" s="171">
        <v>950</v>
      </c>
      <c r="G6" s="171">
        <f>IF(E6="","",IF(D6="USD",E6*F6,E6))</f>
        <v>236224</v>
      </c>
      <c r="H6" s="132" t="s">
        <v>79</v>
      </c>
      <c r="I6" s="132" t="s">
        <v>1405</v>
      </c>
    </row>
    <row r="7" spans="1:9">
      <c r="A7" s="132" t="s">
        <v>1399</v>
      </c>
      <c r="B7" s="171" t="s">
        <v>1406</v>
      </c>
      <c r="C7" s="132" t="s">
        <v>764</v>
      </c>
      <c r="D7" s="132" t="s">
        <v>1402</v>
      </c>
      <c r="E7" s="171">
        <v>0</v>
      </c>
      <c r="F7" s="171">
        <v>950</v>
      </c>
      <c r="G7" s="171">
        <f>IF(E7="","",IF(D7="USD",E7*F7,E7))</f>
        <v>0</v>
      </c>
      <c r="H7" s="132" t="s">
        <v>49</v>
      </c>
      <c r="I7" s="132" t="s">
        <v>1407</v>
      </c>
    </row>
    <row r="8" spans="1:9">
      <c r="A8" s="132" t="s">
        <v>1408</v>
      </c>
      <c r="B8" s="171" t="s">
        <v>1409</v>
      </c>
      <c r="C8" s="132" t="s">
        <v>1285</v>
      </c>
      <c r="D8" s="132" t="s">
        <v>1402</v>
      </c>
      <c r="E8" s="171">
        <f>'13_Deudas'!O8</f>
        <v>-653763</v>
      </c>
      <c r="F8" s="171">
        <v>950</v>
      </c>
      <c r="G8" s="171">
        <f>IF(E8="","",IF(D8="USD",E8*F8,E8))</f>
        <v>-653763</v>
      </c>
      <c r="H8" s="132" t="s">
        <v>79</v>
      </c>
      <c r="I8" s="132" t="s">
        <v>1410</v>
      </c>
    </row>
    <row r="9" spans="1:9">
      <c r="A9" s="132"/>
      <c r="B9" s="171"/>
      <c r="C9" s="132"/>
      <c r="D9" s="132"/>
      <c r="E9" s="171"/>
      <c r="F9" s="132"/>
      <c r="G9" s="171"/>
      <c r="H9" s="132"/>
      <c r="I9" s="132"/>
    </row>
    <row r="10" spans="1:9">
      <c r="A10" s="175" t="s">
        <v>1411</v>
      </c>
      <c r="B10" s="181" t="s">
        <v>1398</v>
      </c>
      <c r="C10" s="175" t="s">
        <v>655</v>
      </c>
      <c r="D10" s="132"/>
      <c r="E10" s="171"/>
      <c r="F10" s="132"/>
      <c r="G10" s="171"/>
      <c r="H10" s="132"/>
      <c r="I10" s="132"/>
    </row>
    <row r="11" spans="1:9">
      <c r="A11" s="132" t="s">
        <v>1412</v>
      </c>
      <c r="B11" s="171">
        <f>SUMIF(A5:A8,"ACTIVO",G5:G8)</f>
        <v>250082</v>
      </c>
      <c r="C11" s="132" t="str">
        <f>IF(B11&gt;0,"🟢 Activo","🔴 Sin activos")</f>
        <v>🟢 Activo</v>
      </c>
      <c r="D11" s="132"/>
      <c r="E11" s="171"/>
      <c r="F11" s="132"/>
      <c r="G11" s="171"/>
      <c r="H11" s="132"/>
      <c r="I11" s="132"/>
    </row>
    <row r="12" spans="1:9">
      <c r="A12" s="132" t="s">
        <v>1413</v>
      </c>
      <c r="B12" s="171">
        <f>SUMIF(A5:A8,"PASIVO",G5:G8)</f>
        <v>-653763</v>
      </c>
      <c r="C12" s="132" t="str">
        <f>IF(B12=0,"🟢 Sin deuda",IF(B12/B11&lt;0.3,"🟡 Controlable","🔴 Alta"))</f>
        <v>🟡 Controlable</v>
      </c>
      <c r="D12" s="132"/>
      <c r="E12" s="171"/>
      <c r="F12" s="132"/>
      <c r="G12" s="171"/>
      <c r="H12" s="132"/>
      <c r="I12" s="132"/>
    </row>
    <row r="13" spans="1:9" ht="29" customHeight="1">
      <c r="A13" s="132" t="s">
        <v>1040</v>
      </c>
      <c r="B13" s="171">
        <f>B11-B12</f>
        <v>903845</v>
      </c>
      <c r="C13" s="132" t="str">
        <f>IF(B13&gt;0,"🟢 Positivo","🔴 Negativo")</f>
        <v>🟢 Positivo</v>
      </c>
      <c r="D13" s="132"/>
      <c r="E13" s="171"/>
      <c r="F13" s="132"/>
      <c r="G13" s="171"/>
      <c r="H13" s="132"/>
      <c r="I13" s="132"/>
    </row>
    <row r="14" spans="1:9" ht="29" customHeight="1">
      <c r="A14" s="132" t="s">
        <v>1414</v>
      </c>
      <c r="B14" s="180">
        <f>IFERROR(G6/B11,0)</f>
        <v>0.9445861757343591</v>
      </c>
      <c r="C14" s="132" t="str">
        <f>IF(B14&gt;=0.2,"🟢 Capital invertido","🟡 Bajo")</f>
        <v>🟢 Capital invertido</v>
      </c>
      <c r="D14" s="132"/>
      <c r="E14" s="171"/>
      <c r="F14" s="132"/>
      <c r="G14" s="171"/>
      <c r="H14" s="132"/>
      <c r="I14" s="132"/>
    </row>
    <row r="15" spans="1:9" ht="29" customHeight="1">
      <c r="A15" s="132" t="s">
        <v>1415</v>
      </c>
      <c r="B15" s="180">
        <f>IFERROR(B12/B11,0)</f>
        <v>-2.6141945441895058</v>
      </c>
      <c r="C15" s="132" t="str">
        <f>IF(B15&lt;0.3,"🟢 Controlado",IF(B15&lt;0.6,"🟡 Atención","🔴 Riesgo"))</f>
        <v>🟢 Controlado</v>
      </c>
      <c r="D15" s="132"/>
      <c r="E15" s="171"/>
      <c r="F15" s="132"/>
      <c r="G15" s="171"/>
      <c r="H15" s="132"/>
      <c r="I15" s="132"/>
    </row>
    <row r="16" spans="1:9">
      <c r="A16" s="132"/>
      <c r="B16" s="132"/>
      <c r="C16" s="132"/>
      <c r="D16" s="132"/>
      <c r="E16" s="132"/>
      <c r="F16" s="132"/>
      <c r="G16" s="132"/>
      <c r="H16" s="132"/>
      <c r="I16" s="132"/>
    </row>
    <row r="17" spans="1:9">
      <c r="A17" s="132"/>
      <c r="B17" s="132"/>
      <c r="C17" s="132"/>
      <c r="D17" s="132"/>
      <c r="E17" s="132"/>
      <c r="F17" s="132"/>
      <c r="G17" s="132"/>
      <c r="H17" s="132"/>
      <c r="I17" s="132"/>
    </row>
    <row r="18" spans="1:9">
      <c r="A18" s="132"/>
      <c r="B18" s="132"/>
      <c r="C18" s="132"/>
      <c r="D18" s="132"/>
      <c r="E18" s="132"/>
      <c r="F18" s="132"/>
      <c r="G18" s="132"/>
      <c r="H18" s="132"/>
      <c r="I18" s="132"/>
    </row>
    <row r="19" spans="1:9">
      <c r="A19" s="132"/>
      <c r="B19" s="132"/>
      <c r="C19" s="132"/>
      <c r="D19" s="132"/>
      <c r="E19" s="132"/>
      <c r="F19" s="132"/>
      <c r="G19" s="132"/>
      <c r="H19" s="132"/>
      <c r="I19" s="132"/>
    </row>
    <row r="20" spans="1:9">
      <c r="A20" s="132"/>
      <c r="B20" s="132"/>
      <c r="C20" s="132"/>
      <c r="D20" s="132"/>
      <c r="E20" s="132"/>
      <c r="F20" s="132"/>
      <c r="G20" s="132"/>
      <c r="H20" s="132"/>
      <c r="I20" s="132"/>
    </row>
    <row r="21" spans="1:9">
      <c r="A21" s="132"/>
      <c r="B21" s="132"/>
      <c r="C21" s="132"/>
      <c r="D21" s="132"/>
      <c r="E21" s="132"/>
      <c r="F21" s="132"/>
      <c r="G21" s="132"/>
      <c r="H21" s="132"/>
      <c r="I21" s="132"/>
    </row>
    <row r="22" spans="1:9">
      <c r="A22" s="132"/>
      <c r="B22" s="132"/>
      <c r="C22" s="132"/>
      <c r="D22" s="132"/>
      <c r="E22" s="132"/>
      <c r="F22" s="132"/>
      <c r="G22" s="132"/>
      <c r="H22" s="132"/>
      <c r="I22" s="132"/>
    </row>
    <row r="23" spans="1:9">
      <c r="A23" s="132"/>
      <c r="B23" s="132"/>
      <c r="C23" s="132"/>
      <c r="D23" s="132"/>
      <c r="E23" s="132"/>
      <c r="F23" s="132"/>
      <c r="G23" s="132"/>
      <c r="H23" s="132"/>
      <c r="I23" s="132"/>
    </row>
    <row r="24" spans="1:9">
      <c r="A24" s="132"/>
      <c r="B24" s="132"/>
      <c r="C24" s="132"/>
      <c r="D24" s="132"/>
      <c r="E24" s="132"/>
      <c r="F24" s="132"/>
      <c r="G24" s="132"/>
      <c r="H24" s="132"/>
      <c r="I24" s="132"/>
    </row>
    <row r="25" spans="1:9">
      <c r="A25" s="132"/>
      <c r="B25" s="132"/>
      <c r="C25" s="132"/>
      <c r="D25" s="132"/>
      <c r="E25" s="132"/>
      <c r="F25" s="132"/>
      <c r="G25" s="132"/>
      <c r="H25" s="132"/>
      <c r="I25" s="132"/>
    </row>
    <row r="26" spans="1:9">
      <c r="A26" s="132"/>
      <c r="B26" s="132"/>
      <c r="C26" s="132"/>
      <c r="D26" s="132"/>
      <c r="E26" s="132"/>
      <c r="F26" s="132"/>
      <c r="G26" s="132"/>
      <c r="H26" s="132"/>
      <c r="I26" s="132"/>
    </row>
    <row r="27" spans="1:9">
      <c r="A27" s="132"/>
      <c r="B27" s="132"/>
      <c r="C27" s="132"/>
      <c r="D27" s="132"/>
      <c r="E27" s="132"/>
      <c r="F27" s="132"/>
      <c r="G27" s="132"/>
      <c r="H27" s="132"/>
      <c r="I27" s="132"/>
    </row>
    <row r="28" spans="1:9">
      <c r="A28" s="132"/>
      <c r="B28" s="132"/>
      <c r="C28" s="132"/>
      <c r="D28" s="132"/>
      <c r="E28" s="132"/>
      <c r="F28" s="132"/>
      <c r="G28" s="132"/>
      <c r="H28" s="132"/>
      <c r="I28" s="132"/>
    </row>
    <row r="29" spans="1:9">
      <c r="A29" s="132"/>
      <c r="B29" s="132"/>
      <c r="C29" s="132"/>
      <c r="D29" s="132"/>
      <c r="E29" s="132"/>
      <c r="F29" s="132"/>
      <c r="G29" s="132"/>
      <c r="H29" s="132"/>
      <c r="I29" s="132"/>
    </row>
    <row r="30" spans="1:9">
      <c r="A30" s="132"/>
      <c r="B30" s="132"/>
      <c r="C30" s="132"/>
      <c r="D30" s="132"/>
      <c r="E30" s="132"/>
      <c r="F30" s="132"/>
      <c r="G30" s="132"/>
      <c r="H30" s="132"/>
      <c r="I30" s="132"/>
    </row>
    <row r="31" spans="1:9">
      <c r="A31" s="132"/>
      <c r="B31" s="132"/>
      <c r="C31" s="132"/>
      <c r="D31" s="132"/>
      <c r="E31" s="132"/>
      <c r="F31" s="132"/>
      <c r="G31" s="132"/>
      <c r="H31" s="132"/>
      <c r="I31" s="132"/>
    </row>
    <row r="32" spans="1:9">
      <c r="A32" s="132"/>
      <c r="B32" s="132"/>
      <c r="C32" s="132"/>
      <c r="D32" s="132"/>
      <c r="E32" s="132"/>
      <c r="F32" s="132"/>
      <c r="G32" s="132"/>
      <c r="H32" s="132"/>
      <c r="I32" s="132"/>
    </row>
    <row r="33" spans="1:9">
      <c r="A33" s="132"/>
      <c r="B33" s="132"/>
      <c r="C33" s="132"/>
      <c r="D33" s="132"/>
      <c r="E33" s="132"/>
      <c r="F33" s="132"/>
      <c r="G33" s="132"/>
      <c r="H33" s="132"/>
      <c r="I33" s="132"/>
    </row>
    <row r="34" spans="1:9">
      <c r="A34" s="132"/>
      <c r="B34" s="132"/>
      <c r="C34" s="132"/>
      <c r="D34" s="132"/>
      <c r="E34" s="132"/>
      <c r="F34" s="132"/>
      <c r="G34" s="132"/>
      <c r="H34" s="132"/>
      <c r="I34" s="132"/>
    </row>
    <row r="35" spans="1:9">
      <c r="A35" s="132"/>
      <c r="B35" s="132"/>
      <c r="C35" s="132"/>
      <c r="D35" s="132"/>
      <c r="E35" s="132"/>
      <c r="F35" s="132"/>
      <c r="G35" s="132"/>
      <c r="H35" s="132"/>
      <c r="I35" s="132"/>
    </row>
    <row r="36" spans="1:9">
      <c r="A36" s="132"/>
      <c r="B36" s="132"/>
      <c r="C36" s="132"/>
      <c r="D36" s="132"/>
      <c r="E36" s="132"/>
      <c r="F36" s="132"/>
      <c r="G36" s="132"/>
      <c r="H36" s="132"/>
      <c r="I36" s="132"/>
    </row>
    <row r="37" spans="1:9">
      <c r="A37" s="132"/>
      <c r="B37" s="132"/>
      <c r="C37" s="132"/>
      <c r="D37" s="132"/>
      <c r="E37" s="132"/>
      <c r="F37" s="132"/>
      <c r="G37" s="132"/>
      <c r="H37" s="132"/>
      <c r="I37" s="132"/>
    </row>
    <row r="38" spans="1:9">
      <c r="A38" s="132"/>
      <c r="B38" s="132"/>
      <c r="C38" s="132"/>
      <c r="D38" s="132"/>
      <c r="E38" s="132"/>
      <c r="F38" s="132"/>
      <c r="G38" s="132"/>
      <c r="H38" s="132"/>
      <c r="I38" s="132"/>
    </row>
    <row r="39" spans="1:9">
      <c r="A39" s="132"/>
      <c r="B39" s="132"/>
      <c r="C39" s="132"/>
      <c r="D39" s="132"/>
      <c r="E39" s="132"/>
      <c r="F39" s="132"/>
      <c r="G39" s="132"/>
      <c r="H39" s="132"/>
      <c r="I39" s="132"/>
    </row>
    <row r="40" spans="1:9">
      <c r="A40" s="132"/>
      <c r="B40" s="132"/>
      <c r="C40" s="132"/>
      <c r="D40" s="132"/>
      <c r="E40" s="132"/>
      <c r="F40" s="132"/>
      <c r="G40" s="132"/>
      <c r="H40" s="132"/>
      <c r="I40" s="132"/>
    </row>
    <row r="41" spans="1:9">
      <c r="A41" s="132"/>
      <c r="B41" s="132"/>
      <c r="C41" s="132"/>
      <c r="D41" s="132"/>
      <c r="E41" s="132"/>
      <c r="F41" s="132"/>
      <c r="G41" s="132"/>
      <c r="H41" s="132"/>
      <c r="I41" s="132"/>
    </row>
    <row r="42" spans="1:9">
      <c r="A42" s="132"/>
      <c r="B42" s="132"/>
      <c r="C42" s="132"/>
      <c r="D42" s="132"/>
      <c r="E42" s="132"/>
      <c r="F42" s="132"/>
      <c r="G42" s="132"/>
      <c r="H42" s="132"/>
      <c r="I42" s="132"/>
    </row>
    <row r="43" spans="1:9">
      <c r="A43" s="132"/>
      <c r="B43" s="132"/>
      <c r="C43" s="132"/>
      <c r="D43" s="132"/>
      <c r="E43" s="132"/>
      <c r="F43" s="132"/>
      <c r="G43" s="132"/>
      <c r="H43" s="132"/>
      <c r="I43" s="132"/>
    </row>
    <row r="44" spans="1:9">
      <c r="A44" s="132"/>
      <c r="B44" s="132"/>
      <c r="C44" s="132"/>
      <c r="D44" s="132"/>
      <c r="E44" s="132"/>
      <c r="F44" s="132"/>
      <c r="G44" s="132"/>
      <c r="H44" s="132"/>
      <c r="I44" s="132"/>
    </row>
    <row r="45" spans="1:9">
      <c r="A45" s="132"/>
      <c r="B45" s="132"/>
      <c r="C45" s="132"/>
      <c r="D45" s="132"/>
      <c r="E45" s="132"/>
      <c r="F45" s="132"/>
      <c r="G45" s="132"/>
      <c r="H45" s="132"/>
      <c r="I45" s="132"/>
    </row>
    <row r="46" spans="1:9">
      <c r="A46" s="132"/>
      <c r="B46" s="132"/>
      <c r="C46" s="132"/>
      <c r="D46" s="132"/>
      <c r="E46" s="132"/>
      <c r="F46" s="132"/>
      <c r="G46" s="132"/>
      <c r="H46" s="132"/>
      <c r="I46" s="132"/>
    </row>
    <row r="47" spans="1:9">
      <c r="A47" s="132"/>
      <c r="B47" s="132"/>
      <c r="C47" s="132"/>
      <c r="D47" s="132"/>
      <c r="E47" s="132"/>
      <c r="F47" s="132"/>
      <c r="G47" s="132"/>
      <c r="H47" s="132"/>
      <c r="I47" s="132"/>
    </row>
    <row r="48" spans="1:9">
      <c r="A48" s="132"/>
      <c r="B48" s="132"/>
      <c r="C48" s="132"/>
      <c r="D48" s="132"/>
      <c r="E48" s="132"/>
      <c r="F48" s="132"/>
      <c r="G48" s="132"/>
      <c r="H48" s="132"/>
      <c r="I48" s="132"/>
    </row>
    <row r="49" spans="1:9">
      <c r="A49" s="132"/>
      <c r="B49" s="132"/>
      <c r="C49" s="132"/>
      <c r="D49" s="132"/>
      <c r="E49" s="132"/>
      <c r="F49" s="132"/>
      <c r="G49" s="132"/>
      <c r="H49" s="132"/>
      <c r="I49" s="132"/>
    </row>
    <row r="50" spans="1:9">
      <c r="A50" s="132"/>
      <c r="B50" s="132"/>
      <c r="C50" s="132"/>
      <c r="D50" s="132"/>
      <c r="E50" s="132"/>
      <c r="F50" s="132"/>
      <c r="G50" s="132"/>
      <c r="H50" s="132"/>
      <c r="I50" s="132"/>
    </row>
    <row r="51" spans="1:9">
      <c r="A51" s="132"/>
      <c r="B51" s="132"/>
      <c r="C51" s="132"/>
      <c r="D51" s="132"/>
      <c r="E51" s="132"/>
      <c r="F51" s="132"/>
      <c r="G51" s="132"/>
      <c r="H51" s="132"/>
      <c r="I51" s="132"/>
    </row>
    <row r="52" spans="1:9">
      <c r="A52" s="132"/>
      <c r="B52" s="132"/>
      <c r="C52" s="132"/>
      <c r="D52" s="132"/>
      <c r="E52" s="132"/>
      <c r="F52" s="132"/>
      <c r="G52" s="132"/>
      <c r="H52" s="132"/>
      <c r="I52" s="132"/>
    </row>
    <row r="53" spans="1:9">
      <c r="A53" s="132"/>
      <c r="B53" s="132"/>
      <c r="C53" s="132"/>
      <c r="D53" s="132"/>
      <c r="E53" s="132"/>
      <c r="F53" s="132"/>
      <c r="G53" s="132"/>
      <c r="H53" s="132"/>
      <c r="I53" s="132"/>
    </row>
    <row r="54" spans="1:9">
      <c r="A54" s="132"/>
      <c r="B54" s="132"/>
      <c r="C54" s="132"/>
      <c r="D54" s="132"/>
      <c r="E54" s="132"/>
      <c r="F54" s="132"/>
      <c r="G54" s="132"/>
      <c r="H54" s="132"/>
      <c r="I54" s="132"/>
    </row>
    <row r="55" spans="1:9">
      <c r="A55" s="132"/>
      <c r="B55" s="132"/>
      <c r="C55" s="132"/>
      <c r="D55" s="132"/>
      <c r="E55" s="132"/>
      <c r="F55" s="132"/>
      <c r="G55" s="132"/>
      <c r="H55" s="132"/>
      <c r="I55" s="132"/>
    </row>
    <row r="56" spans="1:9">
      <c r="A56" s="132"/>
      <c r="B56" s="132"/>
      <c r="C56" s="132"/>
      <c r="D56" s="132"/>
      <c r="E56" s="132"/>
      <c r="F56" s="132"/>
      <c r="G56" s="132"/>
      <c r="H56" s="132"/>
      <c r="I56" s="132"/>
    </row>
    <row r="57" spans="1:9">
      <c r="A57" s="132"/>
      <c r="B57" s="132"/>
      <c r="C57" s="132"/>
      <c r="D57" s="132"/>
      <c r="E57" s="132"/>
      <c r="F57" s="132"/>
      <c r="G57" s="132"/>
      <c r="H57" s="132"/>
      <c r="I57" s="132"/>
    </row>
    <row r="58" spans="1:9">
      <c r="A58" s="132"/>
      <c r="B58" s="132"/>
      <c r="C58" s="132"/>
      <c r="D58" s="132"/>
      <c r="E58" s="132"/>
      <c r="F58" s="132"/>
      <c r="G58" s="132"/>
      <c r="H58" s="132"/>
      <c r="I58" s="132"/>
    </row>
    <row r="59" spans="1:9">
      <c r="A59" s="132"/>
      <c r="B59" s="132"/>
      <c r="C59" s="132"/>
      <c r="D59" s="132"/>
      <c r="E59" s="132"/>
      <c r="F59" s="132"/>
      <c r="G59" s="132"/>
      <c r="H59" s="132"/>
      <c r="I59" s="132"/>
    </row>
    <row r="60" spans="1:9">
      <c r="A60" s="132"/>
      <c r="B60" s="132"/>
      <c r="C60" s="132"/>
      <c r="D60" s="132"/>
      <c r="E60" s="132"/>
      <c r="F60" s="132"/>
      <c r="G60" s="132"/>
      <c r="H60" s="132"/>
      <c r="I60" s="132"/>
    </row>
    <row r="61" spans="1:9">
      <c r="A61" s="132"/>
      <c r="B61" s="132"/>
      <c r="C61" s="132"/>
      <c r="D61" s="132"/>
      <c r="E61" s="132"/>
      <c r="F61" s="132"/>
      <c r="G61" s="132"/>
      <c r="H61" s="132"/>
      <c r="I61" s="132"/>
    </row>
    <row r="62" spans="1:9">
      <c r="A62" s="132"/>
      <c r="B62" s="132"/>
      <c r="C62" s="132"/>
      <c r="D62" s="132"/>
      <c r="E62" s="132"/>
      <c r="F62" s="132"/>
      <c r="G62" s="132"/>
      <c r="H62" s="132"/>
      <c r="I62" s="132"/>
    </row>
    <row r="63" spans="1:9">
      <c r="A63" s="132"/>
      <c r="B63" s="132"/>
      <c r="C63" s="132"/>
      <c r="D63" s="132"/>
      <c r="E63" s="132"/>
      <c r="F63" s="132"/>
      <c r="G63" s="132"/>
      <c r="H63" s="132"/>
      <c r="I63" s="132"/>
    </row>
    <row r="64" spans="1:9">
      <c r="A64" s="132"/>
      <c r="B64" s="132"/>
      <c r="C64" s="132"/>
      <c r="D64" s="132"/>
      <c r="E64" s="132"/>
      <c r="F64" s="132"/>
      <c r="G64" s="132"/>
      <c r="H64" s="132"/>
      <c r="I64" s="132"/>
    </row>
    <row r="65" spans="1:9">
      <c r="A65" s="132"/>
      <c r="B65" s="132"/>
      <c r="C65" s="132"/>
      <c r="D65" s="132"/>
      <c r="E65" s="132"/>
      <c r="F65" s="132"/>
      <c r="G65" s="132"/>
      <c r="H65" s="132"/>
      <c r="I65" s="132"/>
    </row>
    <row r="66" spans="1:9">
      <c r="A66" s="132"/>
      <c r="B66" s="132"/>
      <c r="C66" s="132"/>
      <c r="D66" s="132"/>
      <c r="E66" s="132"/>
      <c r="F66" s="132"/>
      <c r="G66" s="132"/>
      <c r="H66" s="132"/>
      <c r="I66" s="132"/>
    </row>
    <row r="67" spans="1:9">
      <c r="A67" s="132"/>
      <c r="B67" s="132"/>
      <c r="C67" s="132"/>
      <c r="D67" s="132"/>
      <c r="E67" s="132"/>
      <c r="F67" s="132"/>
      <c r="G67" s="132"/>
      <c r="H67" s="132"/>
      <c r="I67" s="132"/>
    </row>
    <row r="68" spans="1:9">
      <c r="A68" s="132"/>
      <c r="B68" s="132"/>
      <c r="C68" s="132"/>
      <c r="D68" s="132"/>
      <c r="E68" s="132"/>
      <c r="F68" s="132"/>
      <c r="G68" s="132"/>
      <c r="H68" s="132"/>
      <c r="I68" s="132"/>
    </row>
    <row r="69" spans="1:9">
      <c r="A69" s="132"/>
      <c r="B69" s="132"/>
      <c r="C69" s="132"/>
      <c r="D69" s="132"/>
      <c r="E69" s="132"/>
      <c r="F69" s="132"/>
      <c r="G69" s="132"/>
      <c r="H69" s="132"/>
      <c r="I69" s="132"/>
    </row>
    <row r="70" spans="1:9">
      <c r="A70" s="132"/>
      <c r="B70" s="132"/>
      <c r="C70" s="132"/>
      <c r="D70" s="132"/>
      <c r="E70" s="132"/>
      <c r="F70" s="132"/>
      <c r="G70" s="132"/>
      <c r="H70" s="132"/>
      <c r="I70" s="132"/>
    </row>
    <row r="71" spans="1:9">
      <c r="A71" s="132"/>
      <c r="B71" s="132"/>
      <c r="C71" s="132"/>
      <c r="D71" s="132"/>
      <c r="E71" s="132"/>
      <c r="F71" s="132"/>
      <c r="G71" s="132"/>
      <c r="H71" s="132"/>
      <c r="I71" s="132"/>
    </row>
    <row r="72" spans="1:9">
      <c r="A72" s="132"/>
      <c r="B72" s="132"/>
      <c r="C72" s="132"/>
      <c r="D72" s="132"/>
      <c r="E72" s="132"/>
      <c r="F72" s="132"/>
      <c r="G72" s="132"/>
      <c r="H72" s="132"/>
      <c r="I72" s="132"/>
    </row>
    <row r="73" spans="1:9">
      <c r="A73" s="132"/>
      <c r="B73" s="132"/>
      <c r="C73" s="132"/>
      <c r="D73" s="132"/>
      <c r="E73" s="132"/>
      <c r="F73" s="132"/>
      <c r="G73" s="132"/>
      <c r="H73" s="132"/>
      <c r="I73" s="132"/>
    </row>
    <row r="74" spans="1:9">
      <c r="A74" s="132"/>
      <c r="B74" s="132"/>
      <c r="C74" s="132"/>
      <c r="D74" s="132"/>
      <c r="E74" s="132"/>
      <c r="F74" s="132"/>
      <c r="G74" s="132"/>
      <c r="H74" s="132"/>
      <c r="I74" s="132"/>
    </row>
    <row r="75" spans="1:9">
      <c r="A75" s="132"/>
      <c r="B75" s="132"/>
      <c r="C75" s="132"/>
      <c r="D75" s="132"/>
      <c r="E75" s="132"/>
      <c r="F75" s="132"/>
      <c r="G75" s="132"/>
      <c r="H75" s="132"/>
      <c r="I75" s="132"/>
    </row>
    <row r="76" spans="1:9">
      <c r="A76" s="132"/>
      <c r="B76" s="132"/>
      <c r="C76" s="132"/>
      <c r="D76" s="132"/>
      <c r="E76" s="132"/>
      <c r="F76" s="132"/>
      <c r="G76" s="132"/>
      <c r="H76" s="132"/>
      <c r="I76" s="132"/>
    </row>
    <row r="77" spans="1:9">
      <c r="A77" s="132"/>
      <c r="B77" s="132"/>
      <c r="C77" s="132"/>
      <c r="D77" s="132"/>
      <c r="E77" s="132"/>
      <c r="F77" s="132"/>
      <c r="G77" s="132"/>
      <c r="H77" s="132"/>
      <c r="I77" s="132"/>
    </row>
    <row r="78" spans="1:9">
      <c r="A78" s="132"/>
      <c r="B78" s="132"/>
      <c r="C78" s="132"/>
      <c r="D78" s="132"/>
      <c r="E78" s="132"/>
      <c r="F78" s="132"/>
      <c r="G78" s="132"/>
      <c r="H78" s="132"/>
      <c r="I78" s="132"/>
    </row>
    <row r="79" spans="1:9">
      <c r="A79" s="132"/>
      <c r="B79" s="132"/>
      <c r="C79" s="132"/>
      <c r="D79" s="132"/>
      <c r="E79" s="132"/>
      <c r="F79" s="132"/>
      <c r="G79" s="132"/>
      <c r="H79" s="132"/>
      <c r="I79" s="132"/>
    </row>
    <row r="80" spans="1:9">
      <c r="A80" s="132"/>
      <c r="B80" s="132"/>
      <c r="C80" s="132"/>
      <c r="D80" s="132"/>
      <c r="E80" s="132"/>
      <c r="F80" s="132"/>
      <c r="G80" s="132"/>
      <c r="H80" s="132"/>
      <c r="I80" s="132"/>
    </row>
  </sheetData>
  <mergeCells count="2">
    <mergeCell ref="A1:G1"/>
    <mergeCell ref="A2:I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A651"/>
  </sheetPr>
  <dimension ref="A1:O204"/>
  <sheetViews>
    <sheetView showGridLines="0" workbookViewId="0"/>
  </sheetViews>
  <sheetFormatPr baseColWidth="10" defaultColWidth="14.453125" defaultRowHeight="14.5"/>
  <cols>
    <col min="1" max="1" width="14" customWidth="1"/>
    <col min="2" max="2" width="10.54296875" customWidth="1"/>
    <col min="3" max="3" width="8.36328125" customWidth="1"/>
    <col min="4" max="4" width="12.6328125" customWidth="1"/>
    <col min="5" max="5" width="10.6328125" customWidth="1"/>
    <col min="6" max="6" width="10.1796875" customWidth="1"/>
    <col min="7" max="7" width="13.36328125" customWidth="1"/>
    <col min="8" max="8" width="9" customWidth="1"/>
    <col min="9" max="9" width="17.26953125" customWidth="1"/>
    <col min="10" max="10" width="30.26953125" customWidth="1"/>
    <col min="11" max="11" width="5.54296875" customWidth="1"/>
    <col min="12" max="12" width="8.7265625" customWidth="1"/>
    <col min="13" max="13" width="21.26953125" customWidth="1"/>
    <col min="14" max="14" width="9.90625" customWidth="1"/>
    <col min="15" max="15" width="8.7265625" customWidth="1"/>
  </cols>
  <sheetData>
    <row r="1" spans="1:15" ht="23" customHeight="1">
      <c r="A1" s="449" t="s">
        <v>1416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1"/>
    </row>
    <row r="2" spans="1:15">
      <c r="A2" s="448" t="s">
        <v>1417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1"/>
    </row>
    <row r="3" spans="1:15" ht="1.9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5" t="s">
        <v>13</v>
      </c>
      <c r="B4" s="5" t="s">
        <v>8</v>
      </c>
      <c r="C4" s="5" t="s">
        <v>1418</v>
      </c>
      <c r="D4" s="5" t="s">
        <v>1419</v>
      </c>
      <c r="E4" s="5" t="s">
        <v>1420</v>
      </c>
      <c r="F4" s="5" t="s">
        <v>1421</v>
      </c>
      <c r="G4" s="5" t="s">
        <v>1422</v>
      </c>
      <c r="H4" s="5" t="s">
        <v>1115</v>
      </c>
      <c r="I4" s="5" t="s">
        <v>1423</v>
      </c>
      <c r="J4" s="5" t="s">
        <v>656</v>
      </c>
      <c r="K4" s="5" t="s">
        <v>1061</v>
      </c>
      <c r="L4" s="1"/>
      <c r="M4" s="5" t="s">
        <v>1424</v>
      </c>
      <c r="N4" s="6"/>
      <c r="O4" s="1"/>
    </row>
    <row r="5" spans="1:15">
      <c r="A5" s="16">
        <v>46143</v>
      </c>
      <c r="B5" s="17" t="s">
        <v>1425</v>
      </c>
      <c r="C5" s="18">
        <v>366477</v>
      </c>
      <c r="D5" s="19">
        <f t="shared" ref="D5:D36" si="0">IF(C5="","",C5*0.55)</f>
        <v>201562.35</v>
      </c>
      <c r="E5" s="19">
        <f t="shared" ref="E5:E36" si="1">IF(C5="","",C5*0.2)</f>
        <v>73295.400000000009</v>
      </c>
      <c r="F5" s="19">
        <f t="shared" ref="F5:F36" si="2">IF(C5="","",C5*0.15)</f>
        <v>54971.549999999996</v>
      </c>
      <c r="G5" s="19">
        <f t="shared" ref="G5:G36" si="3">IF(C5="","",C5*0.1)</f>
        <v>36647.700000000004</v>
      </c>
      <c r="H5" s="6" t="str">
        <f t="shared" ref="H5:H36" si="4">IF(A5="","", "Semana "&amp;(WEEKNUM(A5,2)-WEEKNUM(DATE(YEAR(A5),MONTH(A5),1),2)+1))</f>
        <v>Semana 1</v>
      </c>
      <c r="I5" s="17" t="s">
        <v>1426</v>
      </c>
      <c r="J5" s="17" t="s">
        <v>1427</v>
      </c>
      <c r="K5" s="6" t="str">
        <f t="shared" ref="K5:K36" si="5">IF(A5="","",IF(MONTH(A5)=5,"mayo",IF(MONTH(A5)=4,"abril",TEXT(A5,"mmmm"))))</f>
        <v>mayo</v>
      </c>
      <c r="L5" s="1"/>
      <c r="M5" s="6" t="s">
        <v>1428</v>
      </c>
      <c r="N5" s="20">
        <f>SUMIFS(C5:C204,K5:K204,"mayo")</f>
        <v>1130484</v>
      </c>
      <c r="O5" s="1"/>
    </row>
    <row r="6" spans="1:15">
      <c r="A6" s="16">
        <v>46120</v>
      </c>
      <c r="B6" s="17" t="s">
        <v>1429</v>
      </c>
      <c r="C6" s="18">
        <v>62000</v>
      </c>
      <c r="D6" s="19">
        <f t="shared" si="0"/>
        <v>34100</v>
      </c>
      <c r="E6" s="19">
        <f t="shared" si="1"/>
        <v>12400</v>
      </c>
      <c r="F6" s="19">
        <f t="shared" si="2"/>
        <v>9300</v>
      </c>
      <c r="G6" s="19">
        <f t="shared" si="3"/>
        <v>6200</v>
      </c>
      <c r="H6" s="6" t="str">
        <f t="shared" si="4"/>
        <v>Semana 2</v>
      </c>
      <c r="I6" s="17" t="s">
        <v>1430</v>
      </c>
      <c r="J6" s="17" t="s">
        <v>1431</v>
      </c>
      <c r="K6" s="6" t="str">
        <f t="shared" si="5"/>
        <v>abril</v>
      </c>
      <c r="L6" s="1"/>
      <c r="M6" s="6" t="s">
        <v>1419</v>
      </c>
      <c r="N6" s="20">
        <f>SUMIFS(D5:D204,K5:K204,"mayo")</f>
        <v>621766.19999999995</v>
      </c>
      <c r="O6" s="1"/>
    </row>
    <row r="7" spans="1:15">
      <c r="A7" s="16">
        <v>46127</v>
      </c>
      <c r="B7" s="17" t="s">
        <v>764</v>
      </c>
      <c r="C7" s="18">
        <v>100000</v>
      </c>
      <c r="D7" s="19">
        <f t="shared" si="0"/>
        <v>55000.000000000007</v>
      </c>
      <c r="E7" s="19">
        <f t="shared" si="1"/>
        <v>20000</v>
      </c>
      <c r="F7" s="19">
        <f t="shared" si="2"/>
        <v>15000</v>
      </c>
      <c r="G7" s="19">
        <f t="shared" si="3"/>
        <v>10000</v>
      </c>
      <c r="H7" s="6" t="str">
        <f t="shared" si="4"/>
        <v>Semana 3</v>
      </c>
      <c r="I7" s="17" t="s">
        <v>1432</v>
      </c>
      <c r="J7" s="17" t="s">
        <v>1431</v>
      </c>
      <c r="K7" s="6" t="str">
        <f t="shared" si="5"/>
        <v>abril</v>
      </c>
      <c r="L7" s="1"/>
      <c r="M7" s="6" t="s">
        <v>1420</v>
      </c>
      <c r="N7" s="20">
        <f>SUMIFS(E5:E204,K5:K204,"mayo")</f>
        <v>226096.80000000002</v>
      </c>
      <c r="O7" s="1"/>
    </row>
    <row r="8" spans="1:15">
      <c r="A8" s="16">
        <v>46134</v>
      </c>
      <c r="B8" s="17" t="s">
        <v>1429</v>
      </c>
      <c r="C8" s="18">
        <v>120000</v>
      </c>
      <c r="D8" s="19">
        <f t="shared" si="0"/>
        <v>66000</v>
      </c>
      <c r="E8" s="19">
        <f t="shared" si="1"/>
        <v>24000</v>
      </c>
      <c r="F8" s="19">
        <f t="shared" si="2"/>
        <v>18000</v>
      </c>
      <c r="G8" s="19">
        <f t="shared" si="3"/>
        <v>12000</v>
      </c>
      <c r="H8" s="6" t="str">
        <f t="shared" si="4"/>
        <v>Semana 4</v>
      </c>
      <c r="I8" s="17" t="s">
        <v>1430</v>
      </c>
      <c r="J8" s="17" t="s">
        <v>1431</v>
      </c>
      <c r="K8" s="6" t="str">
        <f t="shared" si="5"/>
        <v>abril</v>
      </c>
      <c r="L8" s="1"/>
      <c r="M8" s="6" t="s">
        <v>1421</v>
      </c>
      <c r="N8" s="20">
        <f>SUMIFS(F5:F204,K5:K204,"mayo")</f>
        <v>169572.59999999998</v>
      </c>
      <c r="O8" s="1"/>
    </row>
    <row r="9" spans="1:15">
      <c r="A9" s="16">
        <v>46146</v>
      </c>
      <c r="B9" s="17" t="s">
        <v>1433</v>
      </c>
      <c r="C9" s="18">
        <v>63000</v>
      </c>
      <c r="D9" s="19">
        <f t="shared" si="0"/>
        <v>34650</v>
      </c>
      <c r="E9" s="19">
        <f t="shared" si="1"/>
        <v>12600</v>
      </c>
      <c r="F9" s="19">
        <f t="shared" si="2"/>
        <v>9450</v>
      </c>
      <c r="G9" s="19">
        <f t="shared" si="3"/>
        <v>6300</v>
      </c>
      <c r="H9" s="6" t="str">
        <f t="shared" si="4"/>
        <v>Semana 2</v>
      </c>
      <c r="I9" s="17" t="s">
        <v>1434</v>
      </c>
      <c r="J9" s="17" t="s">
        <v>1435</v>
      </c>
      <c r="K9" s="6" t="str">
        <f t="shared" si="5"/>
        <v>mayo</v>
      </c>
      <c r="L9" s="1"/>
      <c r="M9" s="6" t="s">
        <v>1422</v>
      </c>
      <c r="N9" s="20">
        <f>SUMIFS(G5:G204,K5:K204,"mayo")</f>
        <v>113048.40000000001</v>
      </c>
      <c r="O9" s="1"/>
    </row>
    <row r="10" spans="1:15" ht="29" customHeight="1">
      <c r="A10" s="16">
        <v>46147</v>
      </c>
      <c r="B10" s="17" t="s">
        <v>1436</v>
      </c>
      <c r="C10" s="18">
        <v>162700</v>
      </c>
      <c r="D10" s="19">
        <f t="shared" si="0"/>
        <v>89485</v>
      </c>
      <c r="E10" s="19">
        <f t="shared" si="1"/>
        <v>32540</v>
      </c>
      <c r="F10" s="19">
        <f t="shared" si="2"/>
        <v>24405</v>
      </c>
      <c r="G10" s="19">
        <f t="shared" si="3"/>
        <v>16270</v>
      </c>
      <c r="H10" s="6" t="str">
        <f t="shared" si="4"/>
        <v>Semana 2</v>
      </c>
      <c r="I10" s="17" t="s">
        <v>1437</v>
      </c>
      <c r="J10" s="17" t="s">
        <v>1435</v>
      </c>
      <c r="K10" s="6" t="str">
        <f t="shared" si="5"/>
        <v>mayo</v>
      </c>
      <c r="L10" s="1"/>
      <c r="M10" s="6" t="s">
        <v>1438</v>
      </c>
      <c r="N10" s="20">
        <f>'10_Apertura'!$B$33</f>
        <v>1160000</v>
      </c>
      <c r="O10" s="1"/>
    </row>
    <row r="11" spans="1:15">
      <c r="A11" s="16">
        <v>46148</v>
      </c>
      <c r="B11" s="17" t="s">
        <v>764</v>
      </c>
      <c r="C11" s="18">
        <v>2200</v>
      </c>
      <c r="D11" s="19">
        <f t="shared" si="0"/>
        <v>1210</v>
      </c>
      <c r="E11" s="19">
        <f t="shared" si="1"/>
        <v>440</v>
      </c>
      <c r="F11" s="19">
        <f t="shared" si="2"/>
        <v>330</v>
      </c>
      <c r="G11" s="19">
        <f t="shared" si="3"/>
        <v>220</v>
      </c>
      <c r="H11" s="6" t="str">
        <f t="shared" si="4"/>
        <v>Semana 2</v>
      </c>
      <c r="I11" s="52" t="s">
        <v>1439</v>
      </c>
      <c r="J11" s="52" t="s">
        <v>1440</v>
      </c>
      <c r="K11" s="6" t="str">
        <f t="shared" si="5"/>
        <v>mayo</v>
      </c>
      <c r="L11" s="1"/>
      <c r="M11" s="6" t="s">
        <v>1441</v>
      </c>
      <c r="N11" s="20">
        <f>N5-N10</f>
        <v>-29516</v>
      </c>
      <c r="O11" s="1"/>
    </row>
    <row r="12" spans="1:15" ht="29" customHeight="1">
      <c r="A12" s="16">
        <v>46149</v>
      </c>
      <c r="B12" s="17" t="s">
        <v>1442</v>
      </c>
      <c r="C12" s="18">
        <v>81107</v>
      </c>
      <c r="D12" s="19">
        <f t="shared" si="0"/>
        <v>44608.850000000006</v>
      </c>
      <c r="E12" s="19">
        <f t="shared" si="1"/>
        <v>16221.400000000001</v>
      </c>
      <c r="F12" s="19">
        <f t="shared" si="2"/>
        <v>12166.05</v>
      </c>
      <c r="G12" s="19">
        <f t="shared" si="3"/>
        <v>8110.7000000000007</v>
      </c>
      <c r="H12" s="6" t="str">
        <f t="shared" si="4"/>
        <v>Semana 2</v>
      </c>
      <c r="I12" s="52" t="s">
        <v>1439</v>
      </c>
      <c r="J12" s="17" t="s">
        <v>1443</v>
      </c>
      <c r="K12" s="6" t="str">
        <f t="shared" si="5"/>
        <v>mayo</v>
      </c>
      <c r="L12" s="1"/>
      <c r="M12" s="6"/>
      <c r="N12" s="19"/>
      <c r="O12" s="1"/>
    </row>
    <row r="13" spans="1:15" ht="29" customHeight="1">
      <c r="A13" s="16">
        <v>46149</v>
      </c>
      <c r="B13" s="17" t="s">
        <v>764</v>
      </c>
      <c r="C13" s="18">
        <v>170000</v>
      </c>
      <c r="D13" s="19">
        <f t="shared" si="0"/>
        <v>93500.000000000015</v>
      </c>
      <c r="E13" s="19">
        <f t="shared" si="1"/>
        <v>34000</v>
      </c>
      <c r="F13" s="19">
        <f t="shared" si="2"/>
        <v>25500</v>
      </c>
      <c r="G13" s="19">
        <f t="shared" si="3"/>
        <v>17000</v>
      </c>
      <c r="H13" s="6" t="str">
        <f t="shared" si="4"/>
        <v>Semana 2</v>
      </c>
      <c r="I13" s="52" t="s">
        <v>1439</v>
      </c>
      <c r="J13" s="17" t="s">
        <v>1444</v>
      </c>
      <c r="K13" s="6" t="str">
        <f t="shared" si="5"/>
        <v>mayo</v>
      </c>
      <c r="L13" s="1"/>
      <c r="M13" s="6"/>
      <c r="N13" s="19"/>
      <c r="O13" s="1"/>
    </row>
    <row r="14" spans="1:15">
      <c r="A14" s="16">
        <v>46156</v>
      </c>
      <c r="B14" s="17" t="s">
        <v>1429</v>
      </c>
      <c r="C14" s="18">
        <v>40000</v>
      </c>
      <c r="D14" s="19">
        <f t="shared" si="0"/>
        <v>22000</v>
      </c>
      <c r="E14" s="19">
        <f t="shared" si="1"/>
        <v>8000</v>
      </c>
      <c r="F14" s="19">
        <f t="shared" si="2"/>
        <v>6000</v>
      </c>
      <c r="G14" s="19">
        <f t="shared" si="3"/>
        <v>4000</v>
      </c>
      <c r="H14" s="6" t="str">
        <f t="shared" si="4"/>
        <v>Semana 3</v>
      </c>
      <c r="I14" s="52" t="s">
        <v>1439</v>
      </c>
      <c r="J14" s="17" t="s">
        <v>1445</v>
      </c>
      <c r="K14" s="6" t="str">
        <f t="shared" si="5"/>
        <v>mayo</v>
      </c>
      <c r="L14" s="1"/>
      <c r="M14" s="21" t="s">
        <v>1446</v>
      </c>
      <c r="N14" s="19"/>
      <c r="O14" s="1"/>
    </row>
    <row r="15" spans="1:15">
      <c r="A15" s="16">
        <v>46157</v>
      </c>
      <c r="B15" s="17" t="s">
        <v>764</v>
      </c>
      <c r="C15" s="18">
        <v>100000</v>
      </c>
      <c r="D15" s="19">
        <f t="shared" si="0"/>
        <v>55000.000000000007</v>
      </c>
      <c r="E15" s="19">
        <f t="shared" si="1"/>
        <v>20000</v>
      </c>
      <c r="F15" s="19">
        <f t="shared" si="2"/>
        <v>15000</v>
      </c>
      <c r="G15" s="19">
        <f t="shared" si="3"/>
        <v>10000</v>
      </c>
      <c r="H15" s="6" t="str">
        <f t="shared" si="4"/>
        <v>Semana 3</v>
      </c>
      <c r="I15" s="52" t="s">
        <v>1439</v>
      </c>
      <c r="J15" s="17" t="s">
        <v>1447</v>
      </c>
      <c r="K15" s="6" t="str">
        <f t="shared" si="5"/>
        <v>mayo</v>
      </c>
      <c r="L15" s="1"/>
      <c r="M15" s="6" t="s">
        <v>1209</v>
      </c>
      <c r="N15" s="19">
        <f>SUMIFS(C$5:C$204,K$5:K$204,"mayo",H$5:H$204,M15)</f>
        <v>366477</v>
      </c>
      <c r="O15" s="1"/>
    </row>
    <row r="16" spans="1:15">
      <c r="A16" s="16">
        <v>46162</v>
      </c>
      <c r="B16" s="17" t="s">
        <v>1429</v>
      </c>
      <c r="C16" s="18">
        <v>80000</v>
      </c>
      <c r="D16" s="19">
        <f t="shared" si="0"/>
        <v>44000</v>
      </c>
      <c r="E16" s="19">
        <f t="shared" si="1"/>
        <v>16000</v>
      </c>
      <c r="F16" s="19">
        <f t="shared" si="2"/>
        <v>12000</v>
      </c>
      <c r="G16" s="19">
        <f t="shared" si="3"/>
        <v>8000</v>
      </c>
      <c r="H16" s="6" t="str">
        <f t="shared" si="4"/>
        <v>Semana 4</v>
      </c>
      <c r="I16" s="52" t="s">
        <v>1439</v>
      </c>
      <c r="J16" s="17" t="s">
        <v>1445</v>
      </c>
      <c r="K16" s="6" t="str">
        <f t="shared" si="5"/>
        <v>mayo</v>
      </c>
      <c r="L16" s="1"/>
      <c r="M16" s="6" t="s">
        <v>1211</v>
      </c>
      <c r="N16" s="19">
        <f>SUMIFS(C$5:C$204,K$5:K$204,"mayo",H$5:H$204,M16)</f>
        <v>479007</v>
      </c>
      <c r="O16" s="1"/>
    </row>
    <row r="17" spans="1:15">
      <c r="A17" s="16">
        <v>46169</v>
      </c>
      <c r="B17" s="17" t="s">
        <v>764</v>
      </c>
      <c r="C17" s="18">
        <v>65000</v>
      </c>
      <c r="D17" s="19">
        <f t="shared" si="0"/>
        <v>35750</v>
      </c>
      <c r="E17" s="19">
        <f t="shared" si="1"/>
        <v>13000</v>
      </c>
      <c r="F17" s="19">
        <f t="shared" si="2"/>
        <v>9750</v>
      </c>
      <c r="G17" s="19">
        <f t="shared" si="3"/>
        <v>6500</v>
      </c>
      <c r="H17" s="6" t="str">
        <f t="shared" si="4"/>
        <v>Semana 5</v>
      </c>
      <c r="I17" s="52" t="s">
        <v>1439</v>
      </c>
      <c r="J17" s="17" t="s">
        <v>1445</v>
      </c>
      <c r="K17" s="6" t="str">
        <f t="shared" si="5"/>
        <v>mayo</v>
      </c>
      <c r="L17" s="1"/>
      <c r="M17" s="6" t="s">
        <v>1213</v>
      </c>
      <c r="N17" s="19">
        <f>SUMIFS(C$5:C$204,K$5:K$204,"mayo",H$5:H$204,M17)</f>
        <v>140000</v>
      </c>
      <c r="O17" s="1"/>
    </row>
    <row r="18" spans="1:15">
      <c r="A18" s="16">
        <v>46174</v>
      </c>
      <c r="B18" s="17" t="s">
        <v>1425</v>
      </c>
      <c r="C18" s="18">
        <v>490876</v>
      </c>
      <c r="D18" s="19">
        <f t="shared" si="0"/>
        <v>269981.80000000005</v>
      </c>
      <c r="E18" s="19">
        <f t="shared" si="1"/>
        <v>98175.200000000012</v>
      </c>
      <c r="F18" s="19">
        <f t="shared" si="2"/>
        <v>73631.399999999994</v>
      </c>
      <c r="G18" s="19">
        <f t="shared" si="3"/>
        <v>49087.600000000006</v>
      </c>
      <c r="H18" s="6" t="str">
        <f t="shared" si="4"/>
        <v>Semana 1</v>
      </c>
      <c r="I18" s="52" t="s">
        <v>1439</v>
      </c>
      <c r="J18" s="17" t="s">
        <v>1445</v>
      </c>
      <c r="K18" s="6" t="str">
        <f t="shared" si="5"/>
        <v>junio</v>
      </c>
      <c r="L18" s="1"/>
      <c r="M18" s="6" t="s">
        <v>30</v>
      </c>
      <c r="N18" s="19">
        <f>SUMIFS(C$5:C$204,K$5:K$204,"mayo",H$5:H$204,M18)</f>
        <v>80000</v>
      </c>
      <c r="O18" s="1"/>
    </row>
    <row r="19" spans="1:15">
      <c r="A19" s="16">
        <v>46174</v>
      </c>
      <c r="B19" s="17" t="s">
        <v>764</v>
      </c>
      <c r="C19" s="18">
        <v>7000</v>
      </c>
      <c r="D19" s="19">
        <f t="shared" si="0"/>
        <v>3850.0000000000005</v>
      </c>
      <c r="E19" s="19">
        <f t="shared" si="1"/>
        <v>1400</v>
      </c>
      <c r="F19" s="19">
        <f t="shared" si="2"/>
        <v>1050</v>
      </c>
      <c r="G19" s="19">
        <f t="shared" si="3"/>
        <v>700</v>
      </c>
      <c r="H19" s="6" t="str">
        <f t="shared" si="4"/>
        <v>Semana 1</v>
      </c>
      <c r="I19" s="52" t="s">
        <v>1439</v>
      </c>
      <c r="J19" s="17" t="s">
        <v>1445</v>
      </c>
      <c r="K19" s="6" t="str">
        <f t="shared" si="5"/>
        <v>junio</v>
      </c>
      <c r="L19" s="1"/>
      <c r="M19" s="6" t="s">
        <v>1216</v>
      </c>
      <c r="N19" s="19">
        <f>SUMIFS(C$5:C$204,K$5:K$204,"mayo",H$5:H$204,M19)</f>
        <v>65000</v>
      </c>
      <c r="O19" s="1"/>
    </row>
    <row r="20" spans="1:15">
      <c r="A20" s="16">
        <v>46174</v>
      </c>
      <c r="B20" s="17" t="s">
        <v>764</v>
      </c>
      <c r="C20" s="18">
        <v>77000</v>
      </c>
      <c r="D20" s="19">
        <f t="shared" si="0"/>
        <v>42350</v>
      </c>
      <c r="E20" s="19">
        <f t="shared" si="1"/>
        <v>15400</v>
      </c>
      <c r="F20" s="19">
        <f t="shared" si="2"/>
        <v>11550</v>
      </c>
      <c r="G20" s="19">
        <f t="shared" si="3"/>
        <v>7700</v>
      </c>
      <c r="H20" s="6" t="str">
        <f t="shared" si="4"/>
        <v>Semana 1</v>
      </c>
      <c r="I20" s="52" t="s">
        <v>1439</v>
      </c>
      <c r="J20" s="17" t="s">
        <v>1445</v>
      </c>
      <c r="K20" s="6" t="str">
        <f t="shared" si="5"/>
        <v>junio</v>
      </c>
      <c r="L20" s="1"/>
      <c r="M20" s="6"/>
      <c r="N20" s="19"/>
      <c r="O20" s="1"/>
    </row>
    <row r="21" spans="1:15">
      <c r="A21" s="16">
        <v>46174</v>
      </c>
      <c r="B21" s="17" t="s">
        <v>764</v>
      </c>
      <c r="C21" s="18">
        <v>26000</v>
      </c>
      <c r="D21" s="19">
        <f t="shared" si="0"/>
        <v>14300.000000000002</v>
      </c>
      <c r="E21" s="19">
        <f t="shared" si="1"/>
        <v>5200</v>
      </c>
      <c r="F21" s="19">
        <f t="shared" si="2"/>
        <v>3900</v>
      </c>
      <c r="G21" s="19">
        <f t="shared" si="3"/>
        <v>2600</v>
      </c>
      <c r="H21" s="6" t="str">
        <f t="shared" si="4"/>
        <v>Semana 1</v>
      </c>
      <c r="I21" s="52" t="s">
        <v>1439</v>
      </c>
      <c r="J21" s="17" t="s">
        <v>1445</v>
      </c>
      <c r="K21" s="6" t="str">
        <f t="shared" si="5"/>
        <v>junio</v>
      </c>
      <c r="L21" s="1"/>
      <c r="M21" s="6"/>
      <c r="N21" s="19"/>
      <c r="O21" s="1"/>
    </row>
    <row r="22" spans="1:15">
      <c r="A22" s="16">
        <v>46174</v>
      </c>
      <c r="B22" s="17" t="s">
        <v>1433</v>
      </c>
      <c r="C22" s="18">
        <v>97152</v>
      </c>
      <c r="D22" s="19">
        <f t="shared" si="0"/>
        <v>53433.600000000006</v>
      </c>
      <c r="E22" s="19">
        <f t="shared" si="1"/>
        <v>19430.400000000001</v>
      </c>
      <c r="F22" s="19">
        <f t="shared" si="2"/>
        <v>14572.8</v>
      </c>
      <c r="G22" s="19">
        <f t="shared" si="3"/>
        <v>9715.2000000000007</v>
      </c>
      <c r="H22" s="6" t="str">
        <f t="shared" si="4"/>
        <v>Semana 1</v>
      </c>
      <c r="I22" s="52" t="s">
        <v>1439</v>
      </c>
      <c r="J22" s="17" t="s">
        <v>1445</v>
      </c>
      <c r="K22" s="6" t="str">
        <f t="shared" si="5"/>
        <v>junio</v>
      </c>
      <c r="L22" s="1"/>
      <c r="M22" s="21" t="s">
        <v>1448</v>
      </c>
      <c r="N22" s="19"/>
      <c r="O22" s="1"/>
    </row>
    <row r="23" spans="1:15">
      <c r="A23" s="16">
        <v>46174</v>
      </c>
      <c r="B23" s="17" t="s">
        <v>1433</v>
      </c>
      <c r="C23" s="18">
        <v>72000</v>
      </c>
      <c r="D23" s="19">
        <f t="shared" si="0"/>
        <v>39600</v>
      </c>
      <c r="E23" s="19">
        <f t="shared" si="1"/>
        <v>14400</v>
      </c>
      <c r="F23" s="19">
        <f t="shared" si="2"/>
        <v>10800</v>
      </c>
      <c r="G23" s="19">
        <f t="shared" si="3"/>
        <v>7200</v>
      </c>
      <c r="H23" s="6" t="str">
        <f t="shared" si="4"/>
        <v>Semana 1</v>
      </c>
      <c r="I23" s="52" t="s">
        <v>1439</v>
      </c>
      <c r="J23" s="17" t="s">
        <v>1445</v>
      </c>
      <c r="K23" s="6" t="str">
        <f t="shared" si="5"/>
        <v>junio</v>
      </c>
      <c r="L23" s="1"/>
      <c r="M23" s="6" t="s">
        <v>1425</v>
      </c>
      <c r="N23" s="19">
        <f t="shared" ref="N23:N30" si="6">SUMIFS(C$5:C$204,K$5:K$204,"mayo",B$5:B$204,M23)</f>
        <v>366477</v>
      </c>
      <c r="O23" s="1"/>
    </row>
    <row r="24" spans="1:15">
      <c r="A24" s="16">
        <v>46177</v>
      </c>
      <c r="B24" s="17" t="s">
        <v>764</v>
      </c>
      <c r="C24" s="18">
        <v>50000</v>
      </c>
      <c r="D24" s="19">
        <f t="shared" si="0"/>
        <v>27500.000000000004</v>
      </c>
      <c r="E24" s="19">
        <f t="shared" si="1"/>
        <v>10000</v>
      </c>
      <c r="F24" s="19">
        <f t="shared" si="2"/>
        <v>7500</v>
      </c>
      <c r="G24" s="19">
        <f t="shared" si="3"/>
        <v>5000</v>
      </c>
      <c r="H24" s="6" t="str">
        <f t="shared" si="4"/>
        <v>Semana 1</v>
      </c>
      <c r="I24" s="52" t="s">
        <v>1439</v>
      </c>
      <c r="J24" s="17" t="s">
        <v>1445</v>
      </c>
      <c r="K24" s="6" t="str">
        <f t="shared" si="5"/>
        <v>junio</v>
      </c>
      <c r="L24" s="1"/>
      <c r="M24" s="6" t="s">
        <v>1433</v>
      </c>
      <c r="N24" s="19">
        <f t="shared" si="6"/>
        <v>63000</v>
      </c>
      <c r="O24" s="1"/>
    </row>
    <row r="25" spans="1:15">
      <c r="A25" s="16">
        <v>46187</v>
      </c>
      <c r="B25" s="17" t="s">
        <v>764</v>
      </c>
      <c r="C25" s="18">
        <v>5000</v>
      </c>
      <c r="D25" s="19">
        <f t="shared" si="0"/>
        <v>2750</v>
      </c>
      <c r="E25" s="19">
        <f t="shared" si="1"/>
        <v>1000</v>
      </c>
      <c r="F25" s="19">
        <f t="shared" si="2"/>
        <v>750</v>
      </c>
      <c r="G25" s="19">
        <f t="shared" si="3"/>
        <v>500</v>
      </c>
      <c r="H25" s="6" t="str">
        <f t="shared" si="4"/>
        <v>Semana 2</v>
      </c>
      <c r="I25" s="52" t="s">
        <v>1439</v>
      </c>
      <c r="J25" s="17" t="s">
        <v>1445</v>
      </c>
      <c r="K25" s="6" t="str">
        <f t="shared" si="5"/>
        <v>junio</v>
      </c>
      <c r="L25" s="1"/>
      <c r="M25" s="6" t="s">
        <v>1429</v>
      </c>
      <c r="N25" s="19">
        <f t="shared" si="6"/>
        <v>120000</v>
      </c>
      <c r="O25" s="1"/>
    </row>
    <row r="26" spans="1:15">
      <c r="A26" s="16">
        <v>46188</v>
      </c>
      <c r="B26" s="17" t="s">
        <v>764</v>
      </c>
      <c r="C26" s="18">
        <v>40000</v>
      </c>
      <c r="D26" s="19">
        <f t="shared" si="0"/>
        <v>22000</v>
      </c>
      <c r="E26" s="19">
        <f t="shared" si="1"/>
        <v>8000</v>
      </c>
      <c r="F26" s="19">
        <f t="shared" si="2"/>
        <v>6000</v>
      </c>
      <c r="G26" s="19">
        <f t="shared" si="3"/>
        <v>4000</v>
      </c>
      <c r="H26" s="6" t="str">
        <f t="shared" si="4"/>
        <v>Semana 3</v>
      </c>
      <c r="I26" s="52" t="s">
        <v>1439</v>
      </c>
      <c r="J26" s="17" t="s">
        <v>1445</v>
      </c>
      <c r="K26" s="6" t="str">
        <f t="shared" si="5"/>
        <v>junio</v>
      </c>
      <c r="L26" s="1"/>
      <c r="M26" s="6" t="s">
        <v>1436</v>
      </c>
      <c r="N26" s="19">
        <f t="shared" si="6"/>
        <v>162700</v>
      </c>
      <c r="O26" s="1"/>
    </row>
    <row r="27" spans="1:15">
      <c r="A27" s="16">
        <v>46188</v>
      </c>
      <c r="B27" s="17" t="s">
        <v>764</v>
      </c>
      <c r="C27" s="18">
        <v>20000</v>
      </c>
      <c r="D27" s="19">
        <f t="shared" si="0"/>
        <v>11000</v>
      </c>
      <c r="E27" s="19">
        <f t="shared" si="1"/>
        <v>4000</v>
      </c>
      <c r="F27" s="19">
        <f t="shared" si="2"/>
        <v>3000</v>
      </c>
      <c r="G27" s="19">
        <f t="shared" si="3"/>
        <v>2000</v>
      </c>
      <c r="H27" s="6" t="str">
        <f t="shared" si="4"/>
        <v>Semana 3</v>
      </c>
      <c r="I27" s="52" t="s">
        <v>1439</v>
      </c>
      <c r="J27" s="17" t="s">
        <v>1445</v>
      </c>
      <c r="K27" s="6" t="str">
        <f t="shared" si="5"/>
        <v>junio</v>
      </c>
      <c r="L27" s="1"/>
      <c r="M27" s="6" t="s">
        <v>1449</v>
      </c>
      <c r="N27" s="19">
        <f t="shared" si="6"/>
        <v>0</v>
      </c>
      <c r="O27" s="1"/>
    </row>
    <row r="28" spans="1:15">
      <c r="A28" s="16">
        <v>46188</v>
      </c>
      <c r="B28" s="17" t="s">
        <v>764</v>
      </c>
      <c r="C28" s="18">
        <v>70000</v>
      </c>
      <c r="D28" s="19">
        <f t="shared" si="0"/>
        <v>38500</v>
      </c>
      <c r="E28" s="19">
        <f t="shared" si="1"/>
        <v>14000</v>
      </c>
      <c r="F28" s="19">
        <f t="shared" si="2"/>
        <v>10500</v>
      </c>
      <c r="G28" s="19">
        <f t="shared" si="3"/>
        <v>7000</v>
      </c>
      <c r="H28" s="6" t="str">
        <f t="shared" si="4"/>
        <v>Semana 3</v>
      </c>
      <c r="I28" s="17" t="s">
        <v>1439</v>
      </c>
      <c r="J28" s="17" t="s">
        <v>1445</v>
      </c>
      <c r="K28" s="6" t="str">
        <f t="shared" si="5"/>
        <v>junio</v>
      </c>
      <c r="L28" s="1"/>
      <c r="M28" s="6" t="s">
        <v>1442</v>
      </c>
      <c r="N28" s="19">
        <f t="shared" si="6"/>
        <v>81107</v>
      </c>
      <c r="O28" s="1"/>
    </row>
    <row r="29" spans="1:15">
      <c r="A29" s="16">
        <v>46188</v>
      </c>
      <c r="B29" s="17" t="s">
        <v>764</v>
      </c>
      <c r="C29" s="18">
        <v>15000</v>
      </c>
      <c r="D29" s="19">
        <f t="shared" si="0"/>
        <v>8250</v>
      </c>
      <c r="E29" s="19">
        <f t="shared" si="1"/>
        <v>3000</v>
      </c>
      <c r="F29" s="19">
        <f t="shared" si="2"/>
        <v>2250</v>
      </c>
      <c r="G29" s="19">
        <f t="shared" si="3"/>
        <v>1500</v>
      </c>
      <c r="H29" s="6" t="str">
        <f t="shared" si="4"/>
        <v>Semana 3</v>
      </c>
      <c r="I29" s="17" t="s">
        <v>1439</v>
      </c>
      <c r="J29" s="17" t="s">
        <v>1445</v>
      </c>
      <c r="K29" s="6" t="str">
        <f t="shared" si="5"/>
        <v>junio</v>
      </c>
      <c r="L29" s="1"/>
      <c r="M29" s="6" t="s">
        <v>1450</v>
      </c>
      <c r="N29" s="19">
        <f t="shared" si="6"/>
        <v>0</v>
      </c>
      <c r="O29" s="1"/>
    </row>
    <row r="30" spans="1:15">
      <c r="A30" s="16">
        <v>46195</v>
      </c>
      <c r="B30" s="17" t="s">
        <v>764</v>
      </c>
      <c r="C30" s="18">
        <v>220000</v>
      </c>
      <c r="D30" s="19">
        <f t="shared" si="0"/>
        <v>121000.00000000001</v>
      </c>
      <c r="E30" s="19">
        <f t="shared" si="1"/>
        <v>44000</v>
      </c>
      <c r="F30" s="19">
        <f t="shared" si="2"/>
        <v>33000</v>
      </c>
      <c r="G30" s="19">
        <f t="shared" si="3"/>
        <v>22000</v>
      </c>
      <c r="H30" s="6" t="str">
        <f t="shared" si="4"/>
        <v>Semana 4</v>
      </c>
      <c r="I30" s="17" t="s">
        <v>1451</v>
      </c>
      <c r="J30" s="17" t="s">
        <v>1452</v>
      </c>
      <c r="K30" s="6" t="str">
        <f t="shared" si="5"/>
        <v>junio</v>
      </c>
      <c r="L30" s="1"/>
      <c r="M30" s="6" t="s">
        <v>764</v>
      </c>
      <c r="N30" s="19">
        <f t="shared" si="6"/>
        <v>337200</v>
      </c>
      <c r="O30" s="1"/>
    </row>
    <row r="31" spans="1:15">
      <c r="A31" s="16">
        <v>46196</v>
      </c>
      <c r="B31" s="17" t="s">
        <v>1450</v>
      </c>
      <c r="C31" s="18">
        <v>60000</v>
      </c>
      <c r="D31" s="19">
        <f t="shared" si="0"/>
        <v>33000</v>
      </c>
      <c r="E31" s="19">
        <f t="shared" si="1"/>
        <v>12000</v>
      </c>
      <c r="F31" s="19">
        <f t="shared" si="2"/>
        <v>9000</v>
      </c>
      <c r="G31" s="19">
        <f t="shared" si="3"/>
        <v>6000</v>
      </c>
      <c r="H31" s="6" t="str">
        <f t="shared" si="4"/>
        <v>Semana 4</v>
      </c>
      <c r="I31" s="17" t="s">
        <v>1451</v>
      </c>
      <c r="J31" s="17" t="s">
        <v>1453</v>
      </c>
      <c r="K31" s="6" t="str">
        <f t="shared" si="5"/>
        <v>junio</v>
      </c>
      <c r="L31" s="1"/>
      <c r="M31" s="6"/>
      <c r="N31" s="6"/>
      <c r="O31" s="1"/>
    </row>
    <row r="32" spans="1:15">
      <c r="A32" s="16">
        <v>46202</v>
      </c>
      <c r="B32" s="17" t="s">
        <v>1425</v>
      </c>
      <c r="C32" s="18">
        <v>680000</v>
      </c>
      <c r="D32" s="19">
        <f t="shared" si="0"/>
        <v>374000.00000000006</v>
      </c>
      <c r="E32" s="19">
        <f t="shared" si="1"/>
        <v>136000</v>
      </c>
      <c r="F32" s="19">
        <f t="shared" si="2"/>
        <v>102000</v>
      </c>
      <c r="G32" s="19">
        <f t="shared" si="3"/>
        <v>68000</v>
      </c>
      <c r="H32" s="6" t="str">
        <f t="shared" si="4"/>
        <v>Semana 5</v>
      </c>
      <c r="I32" s="17" t="s">
        <v>1439</v>
      </c>
      <c r="J32" s="17" t="s">
        <v>1454</v>
      </c>
      <c r="K32" s="6" t="str">
        <f t="shared" si="5"/>
        <v>junio</v>
      </c>
      <c r="L32" s="1"/>
      <c r="M32" s="6"/>
      <c r="N32" s="6"/>
      <c r="O32" s="1"/>
    </row>
    <row r="33" spans="1:15">
      <c r="A33" s="16"/>
      <c r="B33" s="17"/>
      <c r="C33" s="18"/>
      <c r="D33" s="19" t="str">
        <f t="shared" si="0"/>
        <v/>
      </c>
      <c r="E33" s="19" t="str">
        <f t="shared" si="1"/>
        <v/>
      </c>
      <c r="F33" s="19" t="str">
        <f t="shared" si="2"/>
        <v/>
      </c>
      <c r="G33" s="19" t="str">
        <f t="shared" si="3"/>
        <v/>
      </c>
      <c r="H33" s="6" t="str">
        <f t="shared" si="4"/>
        <v/>
      </c>
      <c r="I33" s="17"/>
      <c r="J33" s="17"/>
      <c r="K33" s="6" t="str">
        <f t="shared" si="5"/>
        <v/>
      </c>
      <c r="L33" s="1"/>
      <c r="M33" s="1"/>
      <c r="N33" s="1"/>
      <c r="O33" s="1"/>
    </row>
    <row r="34" spans="1:15">
      <c r="A34" s="16"/>
      <c r="B34" s="17"/>
      <c r="C34" s="18"/>
      <c r="D34" s="19" t="str">
        <f t="shared" si="0"/>
        <v/>
      </c>
      <c r="E34" s="19" t="str">
        <f t="shared" si="1"/>
        <v/>
      </c>
      <c r="F34" s="19" t="str">
        <f t="shared" si="2"/>
        <v/>
      </c>
      <c r="G34" s="19" t="str">
        <f t="shared" si="3"/>
        <v/>
      </c>
      <c r="H34" s="6" t="str">
        <f t="shared" si="4"/>
        <v/>
      </c>
      <c r="I34" s="17"/>
      <c r="J34" s="17"/>
      <c r="K34" s="6" t="str">
        <f t="shared" si="5"/>
        <v/>
      </c>
      <c r="L34" s="1"/>
      <c r="M34" s="1"/>
      <c r="N34" s="1"/>
      <c r="O34" s="1"/>
    </row>
    <row r="35" spans="1:15">
      <c r="A35" s="16"/>
      <c r="B35" s="17"/>
      <c r="C35" s="18"/>
      <c r="D35" s="19" t="str">
        <f t="shared" si="0"/>
        <v/>
      </c>
      <c r="E35" s="19" t="str">
        <f t="shared" si="1"/>
        <v/>
      </c>
      <c r="F35" s="19" t="str">
        <f t="shared" si="2"/>
        <v/>
      </c>
      <c r="G35" s="19" t="str">
        <f t="shared" si="3"/>
        <v/>
      </c>
      <c r="H35" s="6" t="str">
        <f t="shared" si="4"/>
        <v/>
      </c>
      <c r="I35" s="17"/>
      <c r="J35" s="17"/>
      <c r="K35" s="6" t="str">
        <f t="shared" si="5"/>
        <v/>
      </c>
      <c r="L35" s="1"/>
      <c r="M35" s="1"/>
      <c r="N35" s="1"/>
      <c r="O35" s="1"/>
    </row>
    <row r="36" spans="1:15">
      <c r="A36" s="16"/>
      <c r="B36" s="17"/>
      <c r="C36" s="18"/>
      <c r="D36" s="19" t="str">
        <f t="shared" si="0"/>
        <v/>
      </c>
      <c r="E36" s="19" t="str">
        <f t="shared" si="1"/>
        <v/>
      </c>
      <c r="F36" s="19" t="str">
        <f t="shared" si="2"/>
        <v/>
      </c>
      <c r="G36" s="19" t="str">
        <f t="shared" si="3"/>
        <v/>
      </c>
      <c r="H36" s="6" t="str">
        <f t="shared" si="4"/>
        <v/>
      </c>
      <c r="I36" s="17"/>
      <c r="J36" s="17"/>
      <c r="K36" s="6" t="str">
        <f t="shared" si="5"/>
        <v/>
      </c>
      <c r="L36" s="1"/>
      <c r="M36" s="1"/>
      <c r="N36" s="1"/>
      <c r="O36" s="1"/>
    </row>
    <row r="37" spans="1:15">
      <c r="A37" s="16"/>
      <c r="B37" s="17"/>
      <c r="C37" s="18"/>
      <c r="D37" s="19" t="str">
        <f t="shared" ref="D37:D68" si="7">IF(C37="","",C37*0.55)</f>
        <v/>
      </c>
      <c r="E37" s="19" t="str">
        <f t="shared" ref="E37:E68" si="8">IF(C37="","",C37*0.2)</f>
        <v/>
      </c>
      <c r="F37" s="19" t="str">
        <f t="shared" ref="F37:F68" si="9">IF(C37="","",C37*0.15)</f>
        <v/>
      </c>
      <c r="G37" s="19" t="str">
        <f t="shared" ref="G37:G68" si="10">IF(C37="","",C37*0.1)</f>
        <v/>
      </c>
      <c r="H37" s="6" t="str">
        <f t="shared" ref="H37:H68" si="11">IF(A37="","", "Semana "&amp;(WEEKNUM(A37,2)-WEEKNUM(DATE(YEAR(A37),MONTH(A37),1),2)+1))</f>
        <v/>
      </c>
      <c r="I37" s="17"/>
      <c r="J37" s="17"/>
      <c r="K37" s="6" t="str">
        <f t="shared" ref="K37:K68" si="12">IF(A37="","",IF(MONTH(A37)=5,"mayo",IF(MONTH(A37)=4,"abril",TEXT(A37,"mmmm"))))</f>
        <v/>
      </c>
      <c r="L37" s="1"/>
      <c r="M37" s="1"/>
      <c r="N37" s="1"/>
      <c r="O37" s="1"/>
    </row>
    <row r="38" spans="1:15">
      <c r="A38" s="16"/>
      <c r="B38" s="17"/>
      <c r="C38" s="18"/>
      <c r="D38" s="19" t="str">
        <f t="shared" si="7"/>
        <v/>
      </c>
      <c r="E38" s="19" t="str">
        <f t="shared" si="8"/>
        <v/>
      </c>
      <c r="F38" s="19" t="str">
        <f t="shared" si="9"/>
        <v/>
      </c>
      <c r="G38" s="19" t="str">
        <f t="shared" si="10"/>
        <v/>
      </c>
      <c r="H38" s="6" t="str">
        <f t="shared" si="11"/>
        <v/>
      </c>
      <c r="I38" s="17"/>
      <c r="J38" s="17"/>
      <c r="K38" s="6" t="str">
        <f t="shared" si="12"/>
        <v/>
      </c>
      <c r="L38" s="1"/>
      <c r="M38" s="1"/>
      <c r="N38" s="1"/>
      <c r="O38" s="1"/>
    </row>
    <row r="39" spans="1:15">
      <c r="A39" s="16"/>
      <c r="B39" s="17"/>
      <c r="C39" s="18"/>
      <c r="D39" s="19" t="str">
        <f t="shared" si="7"/>
        <v/>
      </c>
      <c r="E39" s="19" t="str">
        <f t="shared" si="8"/>
        <v/>
      </c>
      <c r="F39" s="19" t="str">
        <f t="shared" si="9"/>
        <v/>
      </c>
      <c r="G39" s="19" t="str">
        <f t="shared" si="10"/>
        <v/>
      </c>
      <c r="H39" s="6" t="str">
        <f t="shared" si="11"/>
        <v/>
      </c>
      <c r="I39" s="17"/>
      <c r="J39" s="17"/>
      <c r="K39" s="6" t="str">
        <f t="shared" si="12"/>
        <v/>
      </c>
      <c r="L39" s="1"/>
      <c r="M39" s="1"/>
      <c r="N39" s="1"/>
      <c r="O39" s="1"/>
    </row>
    <row r="40" spans="1:15">
      <c r="A40" s="16"/>
      <c r="B40" s="17"/>
      <c r="C40" s="18"/>
      <c r="D40" s="19" t="str">
        <f t="shared" si="7"/>
        <v/>
      </c>
      <c r="E40" s="19" t="str">
        <f t="shared" si="8"/>
        <v/>
      </c>
      <c r="F40" s="19" t="str">
        <f t="shared" si="9"/>
        <v/>
      </c>
      <c r="G40" s="19" t="str">
        <f t="shared" si="10"/>
        <v/>
      </c>
      <c r="H40" s="6" t="str">
        <f t="shared" si="11"/>
        <v/>
      </c>
      <c r="I40" s="17"/>
      <c r="J40" s="17"/>
      <c r="K40" s="6" t="str">
        <f t="shared" si="12"/>
        <v/>
      </c>
      <c r="L40" s="1"/>
      <c r="M40" s="1"/>
      <c r="N40" s="1"/>
      <c r="O40" s="1"/>
    </row>
    <row r="41" spans="1:15" ht="1.9" customHeight="1">
      <c r="A41" s="16"/>
      <c r="B41" s="17"/>
      <c r="C41" s="18"/>
      <c r="D41" s="19" t="str">
        <f t="shared" si="7"/>
        <v/>
      </c>
      <c r="E41" s="19" t="str">
        <f t="shared" si="8"/>
        <v/>
      </c>
      <c r="F41" s="19" t="str">
        <f t="shared" si="9"/>
        <v/>
      </c>
      <c r="G41" s="19" t="str">
        <f t="shared" si="10"/>
        <v/>
      </c>
      <c r="H41" s="6" t="str">
        <f t="shared" si="11"/>
        <v/>
      </c>
      <c r="I41" s="17"/>
      <c r="J41" s="17"/>
      <c r="K41" s="6" t="str">
        <f t="shared" si="12"/>
        <v/>
      </c>
      <c r="L41" s="1"/>
      <c r="M41" s="1"/>
      <c r="N41" s="1"/>
      <c r="O41" s="1"/>
    </row>
    <row r="42" spans="1:15" ht="1.9" customHeight="1">
      <c r="A42" s="16"/>
      <c r="B42" s="17"/>
      <c r="C42" s="18"/>
      <c r="D42" s="19" t="str">
        <f t="shared" si="7"/>
        <v/>
      </c>
      <c r="E42" s="19" t="str">
        <f t="shared" si="8"/>
        <v/>
      </c>
      <c r="F42" s="19" t="str">
        <f t="shared" si="9"/>
        <v/>
      </c>
      <c r="G42" s="19" t="str">
        <f t="shared" si="10"/>
        <v/>
      </c>
      <c r="H42" s="6" t="str">
        <f t="shared" si="11"/>
        <v/>
      </c>
      <c r="I42" s="17"/>
      <c r="J42" s="17"/>
      <c r="K42" s="6" t="str">
        <f t="shared" si="12"/>
        <v/>
      </c>
      <c r="L42" s="1"/>
      <c r="M42" s="1"/>
      <c r="N42" s="1"/>
      <c r="O42" s="1"/>
    </row>
    <row r="43" spans="1:15" ht="1.9" customHeight="1">
      <c r="A43" s="16"/>
      <c r="B43" s="17"/>
      <c r="C43" s="18"/>
      <c r="D43" s="19" t="str">
        <f t="shared" si="7"/>
        <v/>
      </c>
      <c r="E43" s="19" t="str">
        <f t="shared" si="8"/>
        <v/>
      </c>
      <c r="F43" s="19" t="str">
        <f t="shared" si="9"/>
        <v/>
      </c>
      <c r="G43" s="19" t="str">
        <f t="shared" si="10"/>
        <v/>
      </c>
      <c r="H43" s="6" t="str">
        <f t="shared" si="11"/>
        <v/>
      </c>
      <c r="I43" s="17"/>
      <c r="J43" s="17"/>
      <c r="K43" s="6" t="str">
        <f t="shared" si="12"/>
        <v/>
      </c>
      <c r="L43" s="1"/>
      <c r="M43" s="1"/>
      <c r="N43" s="1"/>
      <c r="O43" s="1"/>
    </row>
    <row r="44" spans="1:15" ht="1.9" customHeight="1">
      <c r="A44" s="16"/>
      <c r="B44" s="17"/>
      <c r="C44" s="18"/>
      <c r="D44" s="19" t="str">
        <f t="shared" si="7"/>
        <v/>
      </c>
      <c r="E44" s="19" t="str">
        <f t="shared" si="8"/>
        <v/>
      </c>
      <c r="F44" s="19" t="str">
        <f t="shared" si="9"/>
        <v/>
      </c>
      <c r="G44" s="19" t="str">
        <f t="shared" si="10"/>
        <v/>
      </c>
      <c r="H44" s="6" t="str">
        <f t="shared" si="11"/>
        <v/>
      </c>
      <c r="I44" s="17"/>
      <c r="J44" s="17"/>
      <c r="K44" s="6" t="str">
        <f t="shared" si="12"/>
        <v/>
      </c>
      <c r="L44" s="1"/>
      <c r="M44" s="1"/>
      <c r="N44" s="1"/>
      <c r="O44" s="1"/>
    </row>
    <row r="45" spans="1:15" ht="1.9" customHeight="1">
      <c r="A45" s="16"/>
      <c r="B45" s="17"/>
      <c r="C45" s="18"/>
      <c r="D45" s="19" t="str">
        <f t="shared" si="7"/>
        <v/>
      </c>
      <c r="E45" s="19" t="str">
        <f t="shared" si="8"/>
        <v/>
      </c>
      <c r="F45" s="19" t="str">
        <f t="shared" si="9"/>
        <v/>
      </c>
      <c r="G45" s="19" t="str">
        <f t="shared" si="10"/>
        <v/>
      </c>
      <c r="H45" s="6" t="str">
        <f t="shared" si="11"/>
        <v/>
      </c>
      <c r="I45" s="17"/>
      <c r="J45" s="17"/>
      <c r="K45" s="6" t="str">
        <f t="shared" si="12"/>
        <v/>
      </c>
      <c r="L45" s="1"/>
      <c r="M45" s="1"/>
      <c r="N45" s="1"/>
      <c r="O45" s="1"/>
    </row>
    <row r="46" spans="1:15" ht="1.9" customHeight="1">
      <c r="A46" s="16"/>
      <c r="B46" s="17"/>
      <c r="C46" s="18"/>
      <c r="D46" s="19" t="str">
        <f t="shared" si="7"/>
        <v/>
      </c>
      <c r="E46" s="19" t="str">
        <f t="shared" si="8"/>
        <v/>
      </c>
      <c r="F46" s="19" t="str">
        <f t="shared" si="9"/>
        <v/>
      </c>
      <c r="G46" s="19" t="str">
        <f t="shared" si="10"/>
        <v/>
      </c>
      <c r="H46" s="6" t="str">
        <f t="shared" si="11"/>
        <v/>
      </c>
      <c r="I46" s="17"/>
      <c r="J46" s="17"/>
      <c r="K46" s="6" t="str">
        <f t="shared" si="12"/>
        <v/>
      </c>
      <c r="L46" s="1"/>
      <c r="M46" s="1"/>
      <c r="N46" s="1"/>
      <c r="O46" s="1"/>
    </row>
    <row r="47" spans="1:15" ht="1.9" customHeight="1">
      <c r="A47" s="16"/>
      <c r="B47" s="17"/>
      <c r="C47" s="18"/>
      <c r="D47" s="19" t="str">
        <f t="shared" si="7"/>
        <v/>
      </c>
      <c r="E47" s="19" t="str">
        <f t="shared" si="8"/>
        <v/>
      </c>
      <c r="F47" s="19" t="str">
        <f t="shared" si="9"/>
        <v/>
      </c>
      <c r="G47" s="19" t="str">
        <f t="shared" si="10"/>
        <v/>
      </c>
      <c r="H47" s="6" t="str">
        <f t="shared" si="11"/>
        <v/>
      </c>
      <c r="I47" s="17"/>
      <c r="J47" s="17"/>
      <c r="K47" s="6" t="str">
        <f t="shared" si="12"/>
        <v/>
      </c>
      <c r="L47" s="1"/>
      <c r="M47" s="1"/>
      <c r="N47" s="1"/>
      <c r="O47" s="1"/>
    </row>
    <row r="48" spans="1:15" ht="1.9" customHeight="1">
      <c r="A48" s="16"/>
      <c r="B48" s="17"/>
      <c r="C48" s="18"/>
      <c r="D48" s="19" t="str">
        <f t="shared" si="7"/>
        <v/>
      </c>
      <c r="E48" s="19" t="str">
        <f t="shared" si="8"/>
        <v/>
      </c>
      <c r="F48" s="19" t="str">
        <f t="shared" si="9"/>
        <v/>
      </c>
      <c r="G48" s="19" t="str">
        <f t="shared" si="10"/>
        <v/>
      </c>
      <c r="H48" s="6" t="str">
        <f t="shared" si="11"/>
        <v/>
      </c>
      <c r="I48" s="17"/>
      <c r="J48" s="17"/>
      <c r="K48" s="6" t="str">
        <f t="shared" si="12"/>
        <v/>
      </c>
      <c r="L48" s="1"/>
      <c r="M48" s="1"/>
      <c r="N48" s="1"/>
      <c r="O48" s="1"/>
    </row>
    <row r="49" spans="1:15" ht="1.9" customHeight="1">
      <c r="A49" s="16"/>
      <c r="B49" s="17"/>
      <c r="C49" s="18"/>
      <c r="D49" s="19" t="str">
        <f t="shared" si="7"/>
        <v/>
      </c>
      <c r="E49" s="19" t="str">
        <f t="shared" si="8"/>
        <v/>
      </c>
      <c r="F49" s="19" t="str">
        <f t="shared" si="9"/>
        <v/>
      </c>
      <c r="G49" s="19" t="str">
        <f t="shared" si="10"/>
        <v/>
      </c>
      <c r="H49" s="6" t="str">
        <f t="shared" si="11"/>
        <v/>
      </c>
      <c r="I49" s="17"/>
      <c r="J49" s="17"/>
      <c r="K49" s="6" t="str">
        <f t="shared" si="12"/>
        <v/>
      </c>
      <c r="L49" s="1"/>
      <c r="M49" s="1"/>
      <c r="N49" s="1"/>
      <c r="O49" s="1"/>
    </row>
    <row r="50" spans="1:15" ht="1.9" customHeight="1">
      <c r="A50" s="16"/>
      <c r="B50" s="17"/>
      <c r="C50" s="18"/>
      <c r="D50" s="19" t="str">
        <f t="shared" si="7"/>
        <v/>
      </c>
      <c r="E50" s="19" t="str">
        <f t="shared" si="8"/>
        <v/>
      </c>
      <c r="F50" s="19" t="str">
        <f t="shared" si="9"/>
        <v/>
      </c>
      <c r="G50" s="19" t="str">
        <f t="shared" si="10"/>
        <v/>
      </c>
      <c r="H50" s="6" t="str">
        <f t="shared" si="11"/>
        <v/>
      </c>
      <c r="I50" s="17"/>
      <c r="J50" s="17"/>
      <c r="K50" s="6" t="str">
        <f t="shared" si="12"/>
        <v/>
      </c>
      <c r="L50" s="1"/>
      <c r="M50" s="1"/>
      <c r="N50" s="1"/>
      <c r="O50" s="1"/>
    </row>
    <row r="51" spans="1:15" ht="1.9" customHeight="1">
      <c r="A51" s="16"/>
      <c r="B51" s="17"/>
      <c r="C51" s="18"/>
      <c r="D51" s="19" t="str">
        <f t="shared" si="7"/>
        <v/>
      </c>
      <c r="E51" s="19" t="str">
        <f t="shared" si="8"/>
        <v/>
      </c>
      <c r="F51" s="19" t="str">
        <f t="shared" si="9"/>
        <v/>
      </c>
      <c r="G51" s="19" t="str">
        <f t="shared" si="10"/>
        <v/>
      </c>
      <c r="H51" s="6" t="str">
        <f t="shared" si="11"/>
        <v/>
      </c>
      <c r="I51" s="17"/>
      <c r="J51" s="17"/>
      <c r="K51" s="6" t="str">
        <f t="shared" si="12"/>
        <v/>
      </c>
      <c r="L51" s="1"/>
      <c r="M51" s="1"/>
      <c r="N51" s="1"/>
      <c r="O51" s="1"/>
    </row>
    <row r="52" spans="1:15" ht="1.9" customHeight="1">
      <c r="A52" s="16"/>
      <c r="B52" s="17"/>
      <c r="C52" s="18"/>
      <c r="D52" s="19" t="str">
        <f t="shared" si="7"/>
        <v/>
      </c>
      <c r="E52" s="19" t="str">
        <f t="shared" si="8"/>
        <v/>
      </c>
      <c r="F52" s="19" t="str">
        <f t="shared" si="9"/>
        <v/>
      </c>
      <c r="G52" s="19" t="str">
        <f t="shared" si="10"/>
        <v/>
      </c>
      <c r="H52" s="6" t="str">
        <f t="shared" si="11"/>
        <v/>
      </c>
      <c r="I52" s="17"/>
      <c r="J52" s="17"/>
      <c r="K52" s="6" t="str">
        <f t="shared" si="12"/>
        <v/>
      </c>
      <c r="L52" s="1"/>
      <c r="M52" s="1"/>
      <c r="N52" s="1"/>
      <c r="O52" s="1"/>
    </row>
    <row r="53" spans="1:15" ht="1.9" customHeight="1">
      <c r="A53" s="16"/>
      <c r="B53" s="17"/>
      <c r="C53" s="18"/>
      <c r="D53" s="19" t="str">
        <f t="shared" si="7"/>
        <v/>
      </c>
      <c r="E53" s="19" t="str">
        <f t="shared" si="8"/>
        <v/>
      </c>
      <c r="F53" s="19" t="str">
        <f t="shared" si="9"/>
        <v/>
      </c>
      <c r="G53" s="19" t="str">
        <f t="shared" si="10"/>
        <v/>
      </c>
      <c r="H53" s="6" t="str">
        <f t="shared" si="11"/>
        <v/>
      </c>
      <c r="I53" s="17"/>
      <c r="J53" s="17"/>
      <c r="K53" s="6" t="str">
        <f t="shared" si="12"/>
        <v/>
      </c>
      <c r="L53" s="1"/>
      <c r="M53" s="1"/>
      <c r="N53" s="1"/>
      <c r="O53" s="1"/>
    </row>
    <row r="54" spans="1:15" ht="1.9" customHeight="1">
      <c r="A54" s="16"/>
      <c r="B54" s="17"/>
      <c r="C54" s="18"/>
      <c r="D54" s="19" t="str">
        <f t="shared" si="7"/>
        <v/>
      </c>
      <c r="E54" s="19" t="str">
        <f t="shared" si="8"/>
        <v/>
      </c>
      <c r="F54" s="19" t="str">
        <f t="shared" si="9"/>
        <v/>
      </c>
      <c r="G54" s="19" t="str">
        <f t="shared" si="10"/>
        <v/>
      </c>
      <c r="H54" s="6" t="str">
        <f t="shared" si="11"/>
        <v/>
      </c>
      <c r="I54" s="17"/>
      <c r="J54" s="17"/>
      <c r="K54" s="6" t="str">
        <f t="shared" si="12"/>
        <v/>
      </c>
      <c r="L54" s="1"/>
      <c r="M54" s="1"/>
      <c r="N54" s="1"/>
      <c r="O54" s="1"/>
    </row>
    <row r="55" spans="1:15" ht="1.9" customHeight="1">
      <c r="A55" s="16"/>
      <c r="B55" s="17"/>
      <c r="C55" s="18"/>
      <c r="D55" s="19" t="str">
        <f t="shared" si="7"/>
        <v/>
      </c>
      <c r="E55" s="19" t="str">
        <f t="shared" si="8"/>
        <v/>
      </c>
      <c r="F55" s="19" t="str">
        <f t="shared" si="9"/>
        <v/>
      </c>
      <c r="G55" s="19" t="str">
        <f t="shared" si="10"/>
        <v/>
      </c>
      <c r="H55" s="6" t="str">
        <f t="shared" si="11"/>
        <v/>
      </c>
      <c r="I55" s="17"/>
      <c r="J55" s="17"/>
      <c r="K55" s="6" t="str">
        <f t="shared" si="12"/>
        <v/>
      </c>
      <c r="L55" s="1"/>
      <c r="M55" s="1"/>
      <c r="N55" s="1"/>
      <c r="O55" s="1"/>
    </row>
    <row r="56" spans="1:15" ht="1.9" customHeight="1">
      <c r="A56" s="16"/>
      <c r="B56" s="17"/>
      <c r="C56" s="18"/>
      <c r="D56" s="19" t="str">
        <f t="shared" si="7"/>
        <v/>
      </c>
      <c r="E56" s="19" t="str">
        <f t="shared" si="8"/>
        <v/>
      </c>
      <c r="F56" s="19" t="str">
        <f t="shared" si="9"/>
        <v/>
      </c>
      <c r="G56" s="19" t="str">
        <f t="shared" si="10"/>
        <v/>
      </c>
      <c r="H56" s="6" t="str">
        <f t="shared" si="11"/>
        <v/>
      </c>
      <c r="I56" s="17"/>
      <c r="J56" s="17"/>
      <c r="K56" s="6" t="str">
        <f t="shared" si="12"/>
        <v/>
      </c>
      <c r="L56" s="1"/>
      <c r="M56" s="1"/>
      <c r="N56" s="1"/>
      <c r="O56" s="1"/>
    </row>
    <row r="57" spans="1:15" ht="1.9" customHeight="1">
      <c r="A57" s="16"/>
      <c r="B57" s="17"/>
      <c r="C57" s="18"/>
      <c r="D57" s="19" t="str">
        <f t="shared" si="7"/>
        <v/>
      </c>
      <c r="E57" s="19" t="str">
        <f t="shared" si="8"/>
        <v/>
      </c>
      <c r="F57" s="19" t="str">
        <f t="shared" si="9"/>
        <v/>
      </c>
      <c r="G57" s="19" t="str">
        <f t="shared" si="10"/>
        <v/>
      </c>
      <c r="H57" s="6" t="str">
        <f t="shared" si="11"/>
        <v/>
      </c>
      <c r="I57" s="17"/>
      <c r="J57" s="17"/>
      <c r="K57" s="6" t="str">
        <f t="shared" si="12"/>
        <v/>
      </c>
      <c r="L57" s="1"/>
      <c r="M57" s="1"/>
      <c r="N57" s="1"/>
      <c r="O57" s="1"/>
    </row>
    <row r="58" spans="1:15" ht="1.9" customHeight="1">
      <c r="A58" s="16"/>
      <c r="B58" s="17"/>
      <c r="C58" s="18"/>
      <c r="D58" s="19" t="str">
        <f t="shared" si="7"/>
        <v/>
      </c>
      <c r="E58" s="19" t="str">
        <f t="shared" si="8"/>
        <v/>
      </c>
      <c r="F58" s="19" t="str">
        <f t="shared" si="9"/>
        <v/>
      </c>
      <c r="G58" s="19" t="str">
        <f t="shared" si="10"/>
        <v/>
      </c>
      <c r="H58" s="6" t="str">
        <f t="shared" si="11"/>
        <v/>
      </c>
      <c r="I58" s="17"/>
      <c r="J58" s="17"/>
      <c r="K58" s="6" t="str">
        <f t="shared" si="12"/>
        <v/>
      </c>
      <c r="L58" s="1"/>
      <c r="M58" s="1"/>
      <c r="N58" s="1"/>
      <c r="O58" s="1"/>
    </row>
    <row r="59" spans="1:15" ht="1.9" customHeight="1">
      <c r="A59" s="16"/>
      <c r="B59" s="17"/>
      <c r="C59" s="18"/>
      <c r="D59" s="19" t="str">
        <f t="shared" si="7"/>
        <v/>
      </c>
      <c r="E59" s="19" t="str">
        <f t="shared" si="8"/>
        <v/>
      </c>
      <c r="F59" s="19" t="str">
        <f t="shared" si="9"/>
        <v/>
      </c>
      <c r="G59" s="19" t="str">
        <f t="shared" si="10"/>
        <v/>
      </c>
      <c r="H59" s="6" t="str">
        <f t="shared" si="11"/>
        <v/>
      </c>
      <c r="I59" s="17"/>
      <c r="J59" s="17"/>
      <c r="K59" s="6" t="str">
        <f t="shared" si="12"/>
        <v/>
      </c>
      <c r="L59" s="1"/>
      <c r="M59" s="1"/>
      <c r="N59" s="1"/>
      <c r="O59" s="1"/>
    </row>
    <row r="60" spans="1:15" ht="1.9" customHeight="1">
      <c r="A60" s="16"/>
      <c r="B60" s="17"/>
      <c r="C60" s="18"/>
      <c r="D60" s="19" t="str">
        <f t="shared" si="7"/>
        <v/>
      </c>
      <c r="E60" s="19" t="str">
        <f t="shared" si="8"/>
        <v/>
      </c>
      <c r="F60" s="19" t="str">
        <f t="shared" si="9"/>
        <v/>
      </c>
      <c r="G60" s="19" t="str">
        <f t="shared" si="10"/>
        <v/>
      </c>
      <c r="H60" s="6" t="str">
        <f t="shared" si="11"/>
        <v/>
      </c>
      <c r="I60" s="17"/>
      <c r="J60" s="17"/>
      <c r="K60" s="6" t="str">
        <f t="shared" si="12"/>
        <v/>
      </c>
      <c r="L60" s="1"/>
      <c r="M60" s="1"/>
      <c r="N60" s="1"/>
      <c r="O60" s="1"/>
    </row>
    <row r="61" spans="1:15" ht="1.9" customHeight="1">
      <c r="A61" s="16"/>
      <c r="B61" s="17"/>
      <c r="C61" s="18"/>
      <c r="D61" s="19" t="str">
        <f t="shared" si="7"/>
        <v/>
      </c>
      <c r="E61" s="19" t="str">
        <f t="shared" si="8"/>
        <v/>
      </c>
      <c r="F61" s="19" t="str">
        <f t="shared" si="9"/>
        <v/>
      </c>
      <c r="G61" s="19" t="str">
        <f t="shared" si="10"/>
        <v/>
      </c>
      <c r="H61" s="6" t="str">
        <f t="shared" si="11"/>
        <v/>
      </c>
      <c r="I61" s="17"/>
      <c r="J61" s="17"/>
      <c r="K61" s="6" t="str">
        <f t="shared" si="12"/>
        <v/>
      </c>
      <c r="L61" s="1"/>
      <c r="M61" s="1"/>
      <c r="N61" s="1"/>
      <c r="O61" s="1"/>
    </row>
    <row r="62" spans="1:15" ht="1.9" customHeight="1">
      <c r="A62" s="16"/>
      <c r="B62" s="17"/>
      <c r="C62" s="18"/>
      <c r="D62" s="19" t="str">
        <f t="shared" si="7"/>
        <v/>
      </c>
      <c r="E62" s="19" t="str">
        <f t="shared" si="8"/>
        <v/>
      </c>
      <c r="F62" s="19" t="str">
        <f t="shared" si="9"/>
        <v/>
      </c>
      <c r="G62" s="19" t="str">
        <f t="shared" si="10"/>
        <v/>
      </c>
      <c r="H62" s="6" t="str">
        <f t="shared" si="11"/>
        <v/>
      </c>
      <c r="I62" s="17"/>
      <c r="J62" s="17"/>
      <c r="K62" s="6" t="str">
        <f t="shared" si="12"/>
        <v/>
      </c>
      <c r="L62" s="1"/>
      <c r="M62" s="1"/>
      <c r="N62" s="1"/>
      <c r="O62" s="1"/>
    </row>
    <row r="63" spans="1:15" ht="1.9" customHeight="1">
      <c r="A63" s="16"/>
      <c r="B63" s="17"/>
      <c r="C63" s="18"/>
      <c r="D63" s="19" t="str">
        <f t="shared" si="7"/>
        <v/>
      </c>
      <c r="E63" s="19" t="str">
        <f t="shared" si="8"/>
        <v/>
      </c>
      <c r="F63" s="19" t="str">
        <f t="shared" si="9"/>
        <v/>
      </c>
      <c r="G63" s="19" t="str">
        <f t="shared" si="10"/>
        <v/>
      </c>
      <c r="H63" s="6" t="str">
        <f t="shared" si="11"/>
        <v/>
      </c>
      <c r="I63" s="17"/>
      <c r="J63" s="17"/>
      <c r="K63" s="6" t="str">
        <f t="shared" si="12"/>
        <v/>
      </c>
      <c r="L63" s="1"/>
      <c r="M63" s="1"/>
      <c r="N63" s="1"/>
      <c r="O63" s="1"/>
    </row>
    <row r="64" spans="1:15" ht="1.9" customHeight="1">
      <c r="A64" s="16"/>
      <c r="B64" s="17"/>
      <c r="C64" s="18"/>
      <c r="D64" s="19" t="str">
        <f t="shared" si="7"/>
        <v/>
      </c>
      <c r="E64" s="19" t="str">
        <f t="shared" si="8"/>
        <v/>
      </c>
      <c r="F64" s="19" t="str">
        <f t="shared" si="9"/>
        <v/>
      </c>
      <c r="G64" s="19" t="str">
        <f t="shared" si="10"/>
        <v/>
      </c>
      <c r="H64" s="6" t="str">
        <f t="shared" si="11"/>
        <v/>
      </c>
      <c r="I64" s="17"/>
      <c r="J64" s="17"/>
      <c r="K64" s="6" t="str">
        <f t="shared" si="12"/>
        <v/>
      </c>
      <c r="L64" s="1"/>
      <c r="M64" s="1"/>
      <c r="N64" s="1"/>
      <c r="O64" s="1"/>
    </row>
    <row r="65" spans="1:15" ht="1.9" customHeight="1">
      <c r="A65" s="16"/>
      <c r="B65" s="17"/>
      <c r="C65" s="18"/>
      <c r="D65" s="19" t="str">
        <f t="shared" si="7"/>
        <v/>
      </c>
      <c r="E65" s="19" t="str">
        <f t="shared" si="8"/>
        <v/>
      </c>
      <c r="F65" s="19" t="str">
        <f t="shared" si="9"/>
        <v/>
      </c>
      <c r="G65" s="19" t="str">
        <f t="shared" si="10"/>
        <v/>
      </c>
      <c r="H65" s="6" t="str">
        <f t="shared" si="11"/>
        <v/>
      </c>
      <c r="I65" s="17"/>
      <c r="J65" s="17"/>
      <c r="K65" s="6" t="str">
        <f t="shared" si="12"/>
        <v/>
      </c>
      <c r="L65" s="1"/>
      <c r="M65" s="1"/>
      <c r="N65" s="1"/>
      <c r="O65" s="1"/>
    </row>
    <row r="66" spans="1:15" ht="1.9" customHeight="1">
      <c r="A66" s="16"/>
      <c r="B66" s="17"/>
      <c r="C66" s="18"/>
      <c r="D66" s="19" t="str">
        <f t="shared" si="7"/>
        <v/>
      </c>
      <c r="E66" s="19" t="str">
        <f t="shared" si="8"/>
        <v/>
      </c>
      <c r="F66" s="19" t="str">
        <f t="shared" si="9"/>
        <v/>
      </c>
      <c r="G66" s="19" t="str">
        <f t="shared" si="10"/>
        <v/>
      </c>
      <c r="H66" s="6" t="str">
        <f t="shared" si="11"/>
        <v/>
      </c>
      <c r="I66" s="17"/>
      <c r="J66" s="17"/>
      <c r="K66" s="6" t="str">
        <f t="shared" si="12"/>
        <v/>
      </c>
      <c r="L66" s="1"/>
      <c r="M66" s="1"/>
      <c r="N66" s="1"/>
      <c r="O66" s="1"/>
    </row>
    <row r="67" spans="1:15" ht="1.9" customHeight="1">
      <c r="A67" s="16"/>
      <c r="B67" s="17"/>
      <c r="C67" s="18"/>
      <c r="D67" s="19" t="str">
        <f t="shared" si="7"/>
        <v/>
      </c>
      <c r="E67" s="19" t="str">
        <f t="shared" si="8"/>
        <v/>
      </c>
      <c r="F67" s="19" t="str">
        <f t="shared" si="9"/>
        <v/>
      </c>
      <c r="G67" s="19" t="str">
        <f t="shared" si="10"/>
        <v/>
      </c>
      <c r="H67" s="6" t="str">
        <f t="shared" si="11"/>
        <v/>
      </c>
      <c r="I67" s="17"/>
      <c r="J67" s="17"/>
      <c r="K67" s="6" t="str">
        <f t="shared" si="12"/>
        <v/>
      </c>
      <c r="L67" s="1"/>
      <c r="M67" s="1"/>
      <c r="N67" s="1"/>
      <c r="O67" s="1"/>
    </row>
    <row r="68" spans="1:15" ht="1.9" customHeight="1">
      <c r="A68" s="16"/>
      <c r="B68" s="17"/>
      <c r="C68" s="18"/>
      <c r="D68" s="19" t="str">
        <f t="shared" si="7"/>
        <v/>
      </c>
      <c r="E68" s="19" t="str">
        <f t="shared" si="8"/>
        <v/>
      </c>
      <c r="F68" s="19" t="str">
        <f t="shared" si="9"/>
        <v/>
      </c>
      <c r="G68" s="19" t="str">
        <f t="shared" si="10"/>
        <v/>
      </c>
      <c r="H68" s="6" t="str">
        <f t="shared" si="11"/>
        <v/>
      </c>
      <c r="I68" s="17"/>
      <c r="J68" s="17"/>
      <c r="K68" s="6" t="str">
        <f t="shared" si="12"/>
        <v/>
      </c>
      <c r="L68" s="1"/>
      <c r="M68" s="1"/>
      <c r="N68" s="1"/>
      <c r="O68" s="1"/>
    </row>
    <row r="69" spans="1:15" ht="1.9" customHeight="1">
      <c r="A69" s="16"/>
      <c r="B69" s="17"/>
      <c r="C69" s="18"/>
      <c r="D69" s="19" t="str">
        <f t="shared" ref="D69:D100" si="13">IF(C69="","",C69*0.55)</f>
        <v/>
      </c>
      <c r="E69" s="19" t="str">
        <f t="shared" ref="E69:E100" si="14">IF(C69="","",C69*0.2)</f>
        <v/>
      </c>
      <c r="F69" s="19" t="str">
        <f t="shared" ref="F69:F100" si="15">IF(C69="","",C69*0.15)</f>
        <v/>
      </c>
      <c r="G69" s="19" t="str">
        <f t="shared" ref="G69:G100" si="16">IF(C69="","",C69*0.1)</f>
        <v/>
      </c>
      <c r="H69" s="6" t="str">
        <f t="shared" ref="H69:H100" si="17">IF(A69="","", "Semana "&amp;(WEEKNUM(A69,2)-WEEKNUM(DATE(YEAR(A69),MONTH(A69),1),2)+1))</f>
        <v/>
      </c>
      <c r="I69" s="17"/>
      <c r="J69" s="17"/>
      <c r="K69" s="6" t="str">
        <f t="shared" ref="K69:K100" si="18">IF(A69="","",IF(MONTH(A69)=5,"mayo",IF(MONTH(A69)=4,"abril",TEXT(A69,"mmmm"))))</f>
        <v/>
      </c>
      <c r="L69" s="1"/>
      <c r="M69" s="1"/>
      <c r="N69" s="1"/>
      <c r="O69" s="1"/>
    </row>
    <row r="70" spans="1:15" ht="1.9" customHeight="1">
      <c r="A70" s="16"/>
      <c r="B70" s="17"/>
      <c r="C70" s="18"/>
      <c r="D70" s="19" t="str">
        <f t="shared" si="13"/>
        <v/>
      </c>
      <c r="E70" s="19" t="str">
        <f t="shared" si="14"/>
        <v/>
      </c>
      <c r="F70" s="19" t="str">
        <f t="shared" si="15"/>
        <v/>
      </c>
      <c r="G70" s="19" t="str">
        <f t="shared" si="16"/>
        <v/>
      </c>
      <c r="H70" s="6" t="str">
        <f t="shared" si="17"/>
        <v/>
      </c>
      <c r="I70" s="17"/>
      <c r="J70" s="17"/>
      <c r="K70" s="6" t="str">
        <f t="shared" si="18"/>
        <v/>
      </c>
      <c r="L70" s="1"/>
      <c r="M70" s="1"/>
      <c r="N70" s="1"/>
      <c r="O70" s="1"/>
    </row>
    <row r="71" spans="1:15" ht="1.9" customHeight="1">
      <c r="A71" s="16"/>
      <c r="B71" s="17"/>
      <c r="C71" s="18"/>
      <c r="D71" s="19" t="str">
        <f t="shared" si="13"/>
        <v/>
      </c>
      <c r="E71" s="19" t="str">
        <f t="shared" si="14"/>
        <v/>
      </c>
      <c r="F71" s="19" t="str">
        <f t="shared" si="15"/>
        <v/>
      </c>
      <c r="G71" s="19" t="str">
        <f t="shared" si="16"/>
        <v/>
      </c>
      <c r="H71" s="6" t="str">
        <f t="shared" si="17"/>
        <v/>
      </c>
      <c r="I71" s="17"/>
      <c r="J71" s="17"/>
      <c r="K71" s="6" t="str">
        <f t="shared" si="18"/>
        <v/>
      </c>
      <c r="L71" s="1"/>
      <c r="M71" s="1"/>
      <c r="N71" s="1"/>
      <c r="O71" s="1"/>
    </row>
    <row r="72" spans="1:15" ht="1.9" customHeight="1">
      <c r="A72" s="16"/>
      <c r="B72" s="17"/>
      <c r="C72" s="18"/>
      <c r="D72" s="19" t="str">
        <f t="shared" si="13"/>
        <v/>
      </c>
      <c r="E72" s="19" t="str">
        <f t="shared" si="14"/>
        <v/>
      </c>
      <c r="F72" s="19" t="str">
        <f t="shared" si="15"/>
        <v/>
      </c>
      <c r="G72" s="19" t="str">
        <f t="shared" si="16"/>
        <v/>
      </c>
      <c r="H72" s="6" t="str">
        <f t="shared" si="17"/>
        <v/>
      </c>
      <c r="I72" s="17"/>
      <c r="J72" s="17"/>
      <c r="K72" s="6" t="str">
        <f t="shared" si="18"/>
        <v/>
      </c>
      <c r="L72" s="1"/>
      <c r="M72" s="1"/>
      <c r="N72" s="1"/>
      <c r="O72" s="1"/>
    </row>
    <row r="73" spans="1:15" ht="1.9" customHeight="1">
      <c r="A73" s="16"/>
      <c r="B73" s="17"/>
      <c r="C73" s="18"/>
      <c r="D73" s="19" t="str">
        <f t="shared" si="13"/>
        <v/>
      </c>
      <c r="E73" s="19" t="str">
        <f t="shared" si="14"/>
        <v/>
      </c>
      <c r="F73" s="19" t="str">
        <f t="shared" si="15"/>
        <v/>
      </c>
      <c r="G73" s="19" t="str">
        <f t="shared" si="16"/>
        <v/>
      </c>
      <c r="H73" s="6" t="str">
        <f t="shared" si="17"/>
        <v/>
      </c>
      <c r="I73" s="17"/>
      <c r="J73" s="17"/>
      <c r="K73" s="6" t="str">
        <f t="shared" si="18"/>
        <v/>
      </c>
      <c r="L73" s="1"/>
      <c r="M73" s="1"/>
      <c r="N73" s="1"/>
      <c r="O73" s="1"/>
    </row>
    <row r="74" spans="1:15" ht="1.9" customHeight="1">
      <c r="A74" s="16"/>
      <c r="B74" s="17"/>
      <c r="C74" s="18"/>
      <c r="D74" s="19" t="str">
        <f t="shared" si="13"/>
        <v/>
      </c>
      <c r="E74" s="19" t="str">
        <f t="shared" si="14"/>
        <v/>
      </c>
      <c r="F74" s="19" t="str">
        <f t="shared" si="15"/>
        <v/>
      </c>
      <c r="G74" s="19" t="str">
        <f t="shared" si="16"/>
        <v/>
      </c>
      <c r="H74" s="6" t="str">
        <f t="shared" si="17"/>
        <v/>
      </c>
      <c r="I74" s="17"/>
      <c r="J74" s="17"/>
      <c r="K74" s="6" t="str">
        <f t="shared" si="18"/>
        <v/>
      </c>
      <c r="L74" s="1"/>
      <c r="M74" s="1"/>
      <c r="N74" s="1"/>
      <c r="O74" s="1"/>
    </row>
    <row r="75" spans="1:15" ht="1.9" customHeight="1">
      <c r="A75" s="16"/>
      <c r="B75" s="17"/>
      <c r="C75" s="18"/>
      <c r="D75" s="19" t="str">
        <f t="shared" si="13"/>
        <v/>
      </c>
      <c r="E75" s="19" t="str">
        <f t="shared" si="14"/>
        <v/>
      </c>
      <c r="F75" s="19" t="str">
        <f t="shared" si="15"/>
        <v/>
      </c>
      <c r="G75" s="19" t="str">
        <f t="shared" si="16"/>
        <v/>
      </c>
      <c r="H75" s="6" t="str">
        <f t="shared" si="17"/>
        <v/>
      </c>
      <c r="I75" s="17"/>
      <c r="J75" s="17"/>
      <c r="K75" s="6" t="str">
        <f t="shared" si="18"/>
        <v/>
      </c>
      <c r="L75" s="1"/>
      <c r="M75" s="1"/>
      <c r="N75" s="1"/>
      <c r="O75" s="1"/>
    </row>
    <row r="76" spans="1:15" ht="1.9" customHeight="1">
      <c r="A76" s="16"/>
      <c r="B76" s="17"/>
      <c r="C76" s="18"/>
      <c r="D76" s="19" t="str">
        <f t="shared" si="13"/>
        <v/>
      </c>
      <c r="E76" s="19" t="str">
        <f t="shared" si="14"/>
        <v/>
      </c>
      <c r="F76" s="19" t="str">
        <f t="shared" si="15"/>
        <v/>
      </c>
      <c r="G76" s="19" t="str">
        <f t="shared" si="16"/>
        <v/>
      </c>
      <c r="H76" s="6" t="str">
        <f t="shared" si="17"/>
        <v/>
      </c>
      <c r="I76" s="17"/>
      <c r="J76" s="17"/>
      <c r="K76" s="6" t="str">
        <f t="shared" si="18"/>
        <v/>
      </c>
      <c r="L76" s="1"/>
      <c r="M76" s="1"/>
      <c r="N76" s="1"/>
      <c r="O76" s="1"/>
    </row>
    <row r="77" spans="1:15" ht="1.9" customHeight="1">
      <c r="A77" s="16"/>
      <c r="B77" s="17"/>
      <c r="C77" s="18"/>
      <c r="D77" s="19" t="str">
        <f t="shared" si="13"/>
        <v/>
      </c>
      <c r="E77" s="19" t="str">
        <f t="shared" si="14"/>
        <v/>
      </c>
      <c r="F77" s="19" t="str">
        <f t="shared" si="15"/>
        <v/>
      </c>
      <c r="G77" s="19" t="str">
        <f t="shared" si="16"/>
        <v/>
      </c>
      <c r="H77" s="6" t="str">
        <f t="shared" si="17"/>
        <v/>
      </c>
      <c r="I77" s="17"/>
      <c r="J77" s="17"/>
      <c r="K77" s="6" t="str">
        <f t="shared" si="18"/>
        <v/>
      </c>
      <c r="L77" s="1"/>
      <c r="M77" s="1"/>
      <c r="N77" s="1"/>
      <c r="O77" s="1"/>
    </row>
    <row r="78" spans="1:15" ht="1.9" customHeight="1">
      <c r="A78" s="16"/>
      <c r="B78" s="17"/>
      <c r="C78" s="18"/>
      <c r="D78" s="19" t="str">
        <f t="shared" si="13"/>
        <v/>
      </c>
      <c r="E78" s="19" t="str">
        <f t="shared" si="14"/>
        <v/>
      </c>
      <c r="F78" s="19" t="str">
        <f t="shared" si="15"/>
        <v/>
      </c>
      <c r="G78" s="19" t="str">
        <f t="shared" si="16"/>
        <v/>
      </c>
      <c r="H78" s="6" t="str">
        <f t="shared" si="17"/>
        <v/>
      </c>
      <c r="I78" s="17"/>
      <c r="J78" s="17"/>
      <c r="K78" s="6" t="str">
        <f t="shared" si="18"/>
        <v/>
      </c>
      <c r="L78" s="1"/>
      <c r="M78" s="1"/>
      <c r="N78" s="1"/>
      <c r="O78" s="1"/>
    </row>
    <row r="79" spans="1:15" ht="1.9" customHeight="1">
      <c r="A79" s="16"/>
      <c r="B79" s="17"/>
      <c r="C79" s="18"/>
      <c r="D79" s="19" t="str">
        <f t="shared" si="13"/>
        <v/>
      </c>
      <c r="E79" s="19" t="str">
        <f t="shared" si="14"/>
        <v/>
      </c>
      <c r="F79" s="19" t="str">
        <f t="shared" si="15"/>
        <v/>
      </c>
      <c r="G79" s="19" t="str">
        <f t="shared" si="16"/>
        <v/>
      </c>
      <c r="H79" s="6" t="str">
        <f t="shared" si="17"/>
        <v/>
      </c>
      <c r="I79" s="17"/>
      <c r="J79" s="17"/>
      <c r="K79" s="6" t="str">
        <f t="shared" si="18"/>
        <v/>
      </c>
      <c r="L79" s="1"/>
      <c r="M79" s="1"/>
      <c r="N79" s="1"/>
      <c r="O79" s="1"/>
    </row>
    <row r="80" spans="1:15" ht="1.9" customHeight="1">
      <c r="A80" s="16"/>
      <c r="B80" s="17"/>
      <c r="C80" s="18"/>
      <c r="D80" s="19" t="str">
        <f t="shared" si="13"/>
        <v/>
      </c>
      <c r="E80" s="19" t="str">
        <f t="shared" si="14"/>
        <v/>
      </c>
      <c r="F80" s="19" t="str">
        <f t="shared" si="15"/>
        <v/>
      </c>
      <c r="G80" s="19" t="str">
        <f t="shared" si="16"/>
        <v/>
      </c>
      <c r="H80" s="6" t="str">
        <f t="shared" si="17"/>
        <v/>
      </c>
      <c r="I80" s="17"/>
      <c r="J80" s="17"/>
      <c r="K80" s="6" t="str">
        <f t="shared" si="18"/>
        <v/>
      </c>
      <c r="L80" s="1"/>
      <c r="M80" s="1"/>
      <c r="N80" s="1"/>
      <c r="O80" s="1"/>
    </row>
    <row r="81" spans="1:15" ht="1.9" customHeight="1">
      <c r="A81" s="16"/>
      <c r="B81" s="17"/>
      <c r="C81" s="18"/>
      <c r="D81" s="19" t="str">
        <f t="shared" si="13"/>
        <v/>
      </c>
      <c r="E81" s="19" t="str">
        <f t="shared" si="14"/>
        <v/>
      </c>
      <c r="F81" s="19" t="str">
        <f t="shared" si="15"/>
        <v/>
      </c>
      <c r="G81" s="19" t="str">
        <f t="shared" si="16"/>
        <v/>
      </c>
      <c r="H81" s="6" t="str">
        <f t="shared" si="17"/>
        <v/>
      </c>
      <c r="I81" s="17"/>
      <c r="J81" s="17"/>
      <c r="K81" s="6" t="str">
        <f t="shared" si="18"/>
        <v/>
      </c>
      <c r="L81" s="1"/>
      <c r="M81" s="1"/>
      <c r="N81" s="1"/>
      <c r="O81" s="1"/>
    </row>
    <row r="82" spans="1:15" ht="1.9" customHeight="1">
      <c r="A82" s="16"/>
      <c r="B82" s="17"/>
      <c r="C82" s="18"/>
      <c r="D82" s="19" t="str">
        <f t="shared" si="13"/>
        <v/>
      </c>
      <c r="E82" s="19" t="str">
        <f t="shared" si="14"/>
        <v/>
      </c>
      <c r="F82" s="19" t="str">
        <f t="shared" si="15"/>
        <v/>
      </c>
      <c r="G82" s="19" t="str">
        <f t="shared" si="16"/>
        <v/>
      </c>
      <c r="H82" s="6" t="str">
        <f t="shared" si="17"/>
        <v/>
      </c>
      <c r="I82" s="17"/>
      <c r="J82" s="17"/>
      <c r="K82" s="6" t="str">
        <f t="shared" si="18"/>
        <v/>
      </c>
      <c r="L82" s="1"/>
      <c r="M82" s="1"/>
      <c r="N82" s="1"/>
      <c r="O82" s="1"/>
    </row>
    <row r="83" spans="1:15" ht="1.9" customHeight="1">
      <c r="A83" s="16"/>
      <c r="B83" s="17"/>
      <c r="C83" s="18"/>
      <c r="D83" s="19" t="str">
        <f t="shared" si="13"/>
        <v/>
      </c>
      <c r="E83" s="19" t="str">
        <f t="shared" si="14"/>
        <v/>
      </c>
      <c r="F83" s="19" t="str">
        <f t="shared" si="15"/>
        <v/>
      </c>
      <c r="G83" s="19" t="str">
        <f t="shared" si="16"/>
        <v/>
      </c>
      <c r="H83" s="6" t="str">
        <f t="shared" si="17"/>
        <v/>
      </c>
      <c r="I83" s="17"/>
      <c r="J83" s="17"/>
      <c r="K83" s="6" t="str">
        <f t="shared" si="18"/>
        <v/>
      </c>
      <c r="L83" s="1"/>
      <c r="M83" s="1"/>
      <c r="N83" s="1"/>
      <c r="O83" s="1"/>
    </row>
    <row r="84" spans="1:15" ht="1.9" customHeight="1">
      <c r="A84" s="16"/>
      <c r="B84" s="17"/>
      <c r="C84" s="18"/>
      <c r="D84" s="19" t="str">
        <f t="shared" si="13"/>
        <v/>
      </c>
      <c r="E84" s="19" t="str">
        <f t="shared" si="14"/>
        <v/>
      </c>
      <c r="F84" s="19" t="str">
        <f t="shared" si="15"/>
        <v/>
      </c>
      <c r="G84" s="19" t="str">
        <f t="shared" si="16"/>
        <v/>
      </c>
      <c r="H84" s="6" t="str">
        <f t="shared" si="17"/>
        <v/>
      </c>
      <c r="I84" s="17"/>
      <c r="J84" s="17"/>
      <c r="K84" s="6" t="str">
        <f t="shared" si="18"/>
        <v/>
      </c>
      <c r="L84" s="1"/>
      <c r="M84" s="1"/>
      <c r="N84" s="1"/>
      <c r="O84" s="1"/>
    </row>
    <row r="85" spans="1:15" ht="1.9" customHeight="1">
      <c r="A85" s="16"/>
      <c r="B85" s="17"/>
      <c r="C85" s="18"/>
      <c r="D85" s="19" t="str">
        <f t="shared" si="13"/>
        <v/>
      </c>
      <c r="E85" s="19" t="str">
        <f t="shared" si="14"/>
        <v/>
      </c>
      <c r="F85" s="19" t="str">
        <f t="shared" si="15"/>
        <v/>
      </c>
      <c r="G85" s="19" t="str">
        <f t="shared" si="16"/>
        <v/>
      </c>
      <c r="H85" s="6" t="str">
        <f t="shared" si="17"/>
        <v/>
      </c>
      <c r="I85" s="17"/>
      <c r="J85" s="17"/>
      <c r="K85" s="6" t="str">
        <f t="shared" si="18"/>
        <v/>
      </c>
      <c r="L85" s="1"/>
      <c r="M85" s="1"/>
      <c r="N85" s="1"/>
      <c r="O85" s="1"/>
    </row>
    <row r="86" spans="1:15" ht="1.9" customHeight="1">
      <c r="A86" s="16"/>
      <c r="B86" s="17"/>
      <c r="C86" s="18"/>
      <c r="D86" s="19" t="str">
        <f t="shared" si="13"/>
        <v/>
      </c>
      <c r="E86" s="19" t="str">
        <f t="shared" si="14"/>
        <v/>
      </c>
      <c r="F86" s="19" t="str">
        <f t="shared" si="15"/>
        <v/>
      </c>
      <c r="G86" s="19" t="str">
        <f t="shared" si="16"/>
        <v/>
      </c>
      <c r="H86" s="6" t="str">
        <f t="shared" si="17"/>
        <v/>
      </c>
      <c r="I86" s="17"/>
      <c r="J86" s="17"/>
      <c r="K86" s="6" t="str">
        <f t="shared" si="18"/>
        <v/>
      </c>
      <c r="L86" s="1"/>
      <c r="M86" s="1"/>
      <c r="N86" s="1"/>
      <c r="O86" s="1"/>
    </row>
    <row r="87" spans="1:15" ht="1.9" customHeight="1">
      <c r="A87" s="16"/>
      <c r="B87" s="17"/>
      <c r="C87" s="18"/>
      <c r="D87" s="19" t="str">
        <f t="shared" si="13"/>
        <v/>
      </c>
      <c r="E87" s="19" t="str">
        <f t="shared" si="14"/>
        <v/>
      </c>
      <c r="F87" s="19" t="str">
        <f t="shared" si="15"/>
        <v/>
      </c>
      <c r="G87" s="19" t="str">
        <f t="shared" si="16"/>
        <v/>
      </c>
      <c r="H87" s="6" t="str">
        <f t="shared" si="17"/>
        <v/>
      </c>
      <c r="I87" s="17"/>
      <c r="J87" s="17"/>
      <c r="K87" s="6" t="str">
        <f t="shared" si="18"/>
        <v/>
      </c>
      <c r="L87" s="1"/>
      <c r="M87" s="1"/>
      <c r="N87" s="1"/>
      <c r="O87" s="1"/>
    </row>
    <row r="88" spans="1:15" ht="1.9" customHeight="1">
      <c r="A88" s="16"/>
      <c r="B88" s="17"/>
      <c r="C88" s="18"/>
      <c r="D88" s="19" t="str">
        <f t="shared" si="13"/>
        <v/>
      </c>
      <c r="E88" s="19" t="str">
        <f t="shared" si="14"/>
        <v/>
      </c>
      <c r="F88" s="19" t="str">
        <f t="shared" si="15"/>
        <v/>
      </c>
      <c r="G88" s="19" t="str">
        <f t="shared" si="16"/>
        <v/>
      </c>
      <c r="H88" s="6" t="str">
        <f t="shared" si="17"/>
        <v/>
      </c>
      <c r="I88" s="17"/>
      <c r="J88" s="17"/>
      <c r="K88" s="6" t="str">
        <f t="shared" si="18"/>
        <v/>
      </c>
      <c r="L88" s="1"/>
      <c r="M88" s="1"/>
      <c r="N88" s="1"/>
      <c r="O88" s="1"/>
    </row>
    <row r="89" spans="1:15" ht="1.9" customHeight="1">
      <c r="A89" s="16"/>
      <c r="B89" s="17"/>
      <c r="C89" s="18"/>
      <c r="D89" s="19" t="str">
        <f t="shared" si="13"/>
        <v/>
      </c>
      <c r="E89" s="19" t="str">
        <f t="shared" si="14"/>
        <v/>
      </c>
      <c r="F89" s="19" t="str">
        <f t="shared" si="15"/>
        <v/>
      </c>
      <c r="G89" s="19" t="str">
        <f t="shared" si="16"/>
        <v/>
      </c>
      <c r="H89" s="6" t="str">
        <f t="shared" si="17"/>
        <v/>
      </c>
      <c r="I89" s="17"/>
      <c r="J89" s="17"/>
      <c r="K89" s="6" t="str">
        <f t="shared" si="18"/>
        <v/>
      </c>
      <c r="L89" s="1"/>
      <c r="M89" s="1"/>
      <c r="N89" s="1"/>
      <c r="O89" s="1"/>
    </row>
    <row r="90" spans="1:15" ht="1.9" customHeight="1">
      <c r="A90" s="16"/>
      <c r="B90" s="17"/>
      <c r="C90" s="18"/>
      <c r="D90" s="19" t="str">
        <f t="shared" si="13"/>
        <v/>
      </c>
      <c r="E90" s="19" t="str">
        <f t="shared" si="14"/>
        <v/>
      </c>
      <c r="F90" s="19" t="str">
        <f t="shared" si="15"/>
        <v/>
      </c>
      <c r="G90" s="19" t="str">
        <f t="shared" si="16"/>
        <v/>
      </c>
      <c r="H90" s="6" t="str">
        <f t="shared" si="17"/>
        <v/>
      </c>
      <c r="I90" s="17"/>
      <c r="J90" s="17"/>
      <c r="K90" s="6" t="str">
        <f t="shared" si="18"/>
        <v/>
      </c>
      <c r="L90" s="1"/>
      <c r="M90" s="1"/>
      <c r="N90" s="1"/>
      <c r="O90" s="1"/>
    </row>
    <row r="91" spans="1:15" ht="1.9" customHeight="1">
      <c r="A91" s="16"/>
      <c r="B91" s="17"/>
      <c r="C91" s="18"/>
      <c r="D91" s="19" t="str">
        <f t="shared" si="13"/>
        <v/>
      </c>
      <c r="E91" s="19" t="str">
        <f t="shared" si="14"/>
        <v/>
      </c>
      <c r="F91" s="19" t="str">
        <f t="shared" si="15"/>
        <v/>
      </c>
      <c r="G91" s="19" t="str">
        <f t="shared" si="16"/>
        <v/>
      </c>
      <c r="H91" s="6" t="str">
        <f t="shared" si="17"/>
        <v/>
      </c>
      <c r="I91" s="17"/>
      <c r="J91" s="17"/>
      <c r="K91" s="6" t="str">
        <f t="shared" si="18"/>
        <v/>
      </c>
      <c r="L91" s="1"/>
      <c r="M91" s="1"/>
      <c r="N91" s="1"/>
      <c r="O91" s="1"/>
    </row>
    <row r="92" spans="1:15" ht="1.9" customHeight="1">
      <c r="A92" s="16"/>
      <c r="B92" s="17"/>
      <c r="C92" s="18"/>
      <c r="D92" s="19" t="str">
        <f t="shared" si="13"/>
        <v/>
      </c>
      <c r="E92" s="19" t="str">
        <f t="shared" si="14"/>
        <v/>
      </c>
      <c r="F92" s="19" t="str">
        <f t="shared" si="15"/>
        <v/>
      </c>
      <c r="G92" s="19" t="str">
        <f t="shared" si="16"/>
        <v/>
      </c>
      <c r="H92" s="6" t="str">
        <f t="shared" si="17"/>
        <v/>
      </c>
      <c r="I92" s="17"/>
      <c r="J92" s="17"/>
      <c r="K92" s="6" t="str">
        <f t="shared" si="18"/>
        <v/>
      </c>
      <c r="L92" s="1"/>
      <c r="M92" s="1"/>
      <c r="N92" s="1"/>
      <c r="O92" s="1"/>
    </row>
    <row r="93" spans="1:15" ht="1.9" customHeight="1">
      <c r="A93" s="16"/>
      <c r="B93" s="17"/>
      <c r="C93" s="18"/>
      <c r="D93" s="19" t="str">
        <f t="shared" si="13"/>
        <v/>
      </c>
      <c r="E93" s="19" t="str">
        <f t="shared" si="14"/>
        <v/>
      </c>
      <c r="F93" s="19" t="str">
        <f t="shared" si="15"/>
        <v/>
      </c>
      <c r="G93" s="19" t="str">
        <f t="shared" si="16"/>
        <v/>
      </c>
      <c r="H93" s="6" t="str">
        <f t="shared" si="17"/>
        <v/>
      </c>
      <c r="I93" s="17"/>
      <c r="J93" s="17"/>
      <c r="K93" s="6" t="str">
        <f t="shared" si="18"/>
        <v/>
      </c>
      <c r="L93" s="1"/>
      <c r="M93" s="1"/>
      <c r="N93" s="1"/>
      <c r="O93" s="1"/>
    </row>
    <row r="94" spans="1:15" ht="1.9" customHeight="1">
      <c r="A94" s="16"/>
      <c r="B94" s="17"/>
      <c r="C94" s="18"/>
      <c r="D94" s="19" t="str">
        <f t="shared" si="13"/>
        <v/>
      </c>
      <c r="E94" s="19" t="str">
        <f t="shared" si="14"/>
        <v/>
      </c>
      <c r="F94" s="19" t="str">
        <f t="shared" si="15"/>
        <v/>
      </c>
      <c r="G94" s="19" t="str">
        <f t="shared" si="16"/>
        <v/>
      </c>
      <c r="H94" s="6" t="str">
        <f t="shared" si="17"/>
        <v/>
      </c>
      <c r="I94" s="17"/>
      <c r="J94" s="17"/>
      <c r="K94" s="6" t="str">
        <f t="shared" si="18"/>
        <v/>
      </c>
      <c r="L94" s="1"/>
      <c r="M94" s="1"/>
      <c r="N94" s="1"/>
      <c r="O94" s="1"/>
    </row>
    <row r="95" spans="1:15" ht="1.9" customHeight="1">
      <c r="A95" s="16"/>
      <c r="B95" s="17"/>
      <c r="C95" s="18"/>
      <c r="D95" s="19" t="str">
        <f t="shared" si="13"/>
        <v/>
      </c>
      <c r="E95" s="19" t="str">
        <f t="shared" si="14"/>
        <v/>
      </c>
      <c r="F95" s="19" t="str">
        <f t="shared" si="15"/>
        <v/>
      </c>
      <c r="G95" s="19" t="str">
        <f t="shared" si="16"/>
        <v/>
      </c>
      <c r="H95" s="6" t="str">
        <f t="shared" si="17"/>
        <v/>
      </c>
      <c r="I95" s="17"/>
      <c r="J95" s="17"/>
      <c r="K95" s="6" t="str">
        <f t="shared" si="18"/>
        <v/>
      </c>
      <c r="L95" s="1"/>
      <c r="M95" s="1"/>
      <c r="N95" s="1"/>
      <c r="O95" s="1"/>
    </row>
    <row r="96" spans="1:15" ht="1.9" customHeight="1">
      <c r="A96" s="16"/>
      <c r="B96" s="17"/>
      <c r="C96" s="18"/>
      <c r="D96" s="19" t="str">
        <f t="shared" si="13"/>
        <v/>
      </c>
      <c r="E96" s="19" t="str">
        <f t="shared" si="14"/>
        <v/>
      </c>
      <c r="F96" s="19" t="str">
        <f t="shared" si="15"/>
        <v/>
      </c>
      <c r="G96" s="19" t="str">
        <f t="shared" si="16"/>
        <v/>
      </c>
      <c r="H96" s="6" t="str">
        <f t="shared" si="17"/>
        <v/>
      </c>
      <c r="I96" s="17"/>
      <c r="J96" s="17"/>
      <c r="K96" s="6" t="str">
        <f t="shared" si="18"/>
        <v/>
      </c>
      <c r="L96" s="1"/>
      <c r="M96" s="1"/>
      <c r="N96" s="1"/>
      <c r="O96" s="1"/>
    </row>
    <row r="97" spans="1:15" ht="1.9" customHeight="1">
      <c r="A97" s="16"/>
      <c r="B97" s="17"/>
      <c r="C97" s="18"/>
      <c r="D97" s="19" t="str">
        <f t="shared" si="13"/>
        <v/>
      </c>
      <c r="E97" s="19" t="str">
        <f t="shared" si="14"/>
        <v/>
      </c>
      <c r="F97" s="19" t="str">
        <f t="shared" si="15"/>
        <v/>
      </c>
      <c r="G97" s="19" t="str">
        <f t="shared" si="16"/>
        <v/>
      </c>
      <c r="H97" s="6" t="str">
        <f t="shared" si="17"/>
        <v/>
      </c>
      <c r="I97" s="17"/>
      <c r="J97" s="17"/>
      <c r="K97" s="6" t="str">
        <f t="shared" si="18"/>
        <v/>
      </c>
      <c r="L97" s="1"/>
      <c r="M97" s="1"/>
      <c r="N97" s="1"/>
      <c r="O97" s="1"/>
    </row>
    <row r="98" spans="1:15" ht="1.9" customHeight="1">
      <c r="A98" s="16"/>
      <c r="B98" s="17"/>
      <c r="C98" s="18"/>
      <c r="D98" s="19" t="str">
        <f t="shared" si="13"/>
        <v/>
      </c>
      <c r="E98" s="19" t="str">
        <f t="shared" si="14"/>
        <v/>
      </c>
      <c r="F98" s="19" t="str">
        <f t="shared" si="15"/>
        <v/>
      </c>
      <c r="G98" s="19" t="str">
        <f t="shared" si="16"/>
        <v/>
      </c>
      <c r="H98" s="6" t="str">
        <f t="shared" si="17"/>
        <v/>
      </c>
      <c r="I98" s="17"/>
      <c r="J98" s="17"/>
      <c r="K98" s="6" t="str">
        <f t="shared" si="18"/>
        <v/>
      </c>
      <c r="L98" s="1"/>
      <c r="M98" s="1"/>
      <c r="N98" s="1"/>
      <c r="O98" s="1"/>
    </row>
    <row r="99" spans="1:15" ht="1.9" customHeight="1">
      <c r="A99" s="16"/>
      <c r="B99" s="17"/>
      <c r="C99" s="18"/>
      <c r="D99" s="19" t="str">
        <f t="shared" si="13"/>
        <v/>
      </c>
      <c r="E99" s="19" t="str">
        <f t="shared" si="14"/>
        <v/>
      </c>
      <c r="F99" s="19" t="str">
        <f t="shared" si="15"/>
        <v/>
      </c>
      <c r="G99" s="19" t="str">
        <f t="shared" si="16"/>
        <v/>
      </c>
      <c r="H99" s="6" t="str">
        <f t="shared" si="17"/>
        <v/>
      </c>
      <c r="I99" s="17"/>
      <c r="J99" s="17"/>
      <c r="K99" s="6" t="str">
        <f t="shared" si="18"/>
        <v/>
      </c>
      <c r="L99" s="1"/>
      <c r="M99" s="1"/>
      <c r="N99" s="1"/>
      <c r="O99" s="1"/>
    </row>
    <row r="100" spans="1:15" ht="1.9" customHeight="1">
      <c r="A100" s="16"/>
      <c r="B100" s="17"/>
      <c r="C100" s="18"/>
      <c r="D100" s="19" t="str">
        <f t="shared" si="13"/>
        <v/>
      </c>
      <c r="E100" s="19" t="str">
        <f t="shared" si="14"/>
        <v/>
      </c>
      <c r="F100" s="19" t="str">
        <f t="shared" si="15"/>
        <v/>
      </c>
      <c r="G100" s="19" t="str">
        <f t="shared" si="16"/>
        <v/>
      </c>
      <c r="H100" s="6" t="str">
        <f t="shared" si="17"/>
        <v/>
      </c>
      <c r="I100" s="17"/>
      <c r="J100" s="17"/>
      <c r="K100" s="6" t="str">
        <f t="shared" si="18"/>
        <v/>
      </c>
      <c r="L100" s="1"/>
      <c r="M100" s="1"/>
      <c r="N100" s="1"/>
      <c r="O100" s="1"/>
    </row>
    <row r="101" spans="1:15" ht="1.9" customHeight="1">
      <c r="A101" s="16"/>
      <c r="B101" s="17"/>
      <c r="C101" s="18"/>
      <c r="D101" s="19" t="str">
        <f t="shared" ref="D101:D132" si="19">IF(C101="","",C101*0.55)</f>
        <v/>
      </c>
      <c r="E101" s="19" t="str">
        <f t="shared" ref="E101:E132" si="20">IF(C101="","",C101*0.2)</f>
        <v/>
      </c>
      <c r="F101" s="19" t="str">
        <f t="shared" ref="F101:F132" si="21">IF(C101="","",C101*0.15)</f>
        <v/>
      </c>
      <c r="G101" s="19" t="str">
        <f t="shared" ref="G101:G132" si="22">IF(C101="","",C101*0.1)</f>
        <v/>
      </c>
      <c r="H101" s="6" t="str">
        <f t="shared" ref="H101:H132" si="23">IF(A101="","", "Semana "&amp;(WEEKNUM(A101,2)-WEEKNUM(DATE(YEAR(A101),MONTH(A101),1),2)+1))</f>
        <v/>
      </c>
      <c r="I101" s="17"/>
      <c r="J101" s="17"/>
      <c r="K101" s="6" t="str">
        <f t="shared" ref="K101:K132" si="24">IF(A101="","",IF(MONTH(A101)=5,"mayo",IF(MONTH(A101)=4,"abril",TEXT(A101,"mmmm"))))</f>
        <v/>
      </c>
      <c r="L101" s="1"/>
      <c r="M101" s="1"/>
      <c r="N101" s="1"/>
      <c r="O101" s="1"/>
    </row>
    <row r="102" spans="1:15" ht="1.9" customHeight="1">
      <c r="A102" s="16"/>
      <c r="B102" s="17"/>
      <c r="C102" s="18"/>
      <c r="D102" s="19" t="str">
        <f t="shared" si="19"/>
        <v/>
      </c>
      <c r="E102" s="19" t="str">
        <f t="shared" si="20"/>
        <v/>
      </c>
      <c r="F102" s="19" t="str">
        <f t="shared" si="21"/>
        <v/>
      </c>
      <c r="G102" s="19" t="str">
        <f t="shared" si="22"/>
        <v/>
      </c>
      <c r="H102" s="6" t="str">
        <f t="shared" si="23"/>
        <v/>
      </c>
      <c r="I102" s="17"/>
      <c r="J102" s="17"/>
      <c r="K102" s="6" t="str">
        <f t="shared" si="24"/>
        <v/>
      </c>
      <c r="L102" s="1"/>
      <c r="M102" s="1"/>
      <c r="N102" s="1"/>
      <c r="O102" s="1"/>
    </row>
    <row r="103" spans="1:15" ht="1.9" customHeight="1">
      <c r="A103" s="16"/>
      <c r="B103" s="17"/>
      <c r="C103" s="18"/>
      <c r="D103" s="19" t="str">
        <f t="shared" si="19"/>
        <v/>
      </c>
      <c r="E103" s="19" t="str">
        <f t="shared" si="20"/>
        <v/>
      </c>
      <c r="F103" s="19" t="str">
        <f t="shared" si="21"/>
        <v/>
      </c>
      <c r="G103" s="19" t="str">
        <f t="shared" si="22"/>
        <v/>
      </c>
      <c r="H103" s="6" t="str">
        <f t="shared" si="23"/>
        <v/>
      </c>
      <c r="I103" s="17"/>
      <c r="J103" s="17"/>
      <c r="K103" s="6" t="str">
        <f t="shared" si="24"/>
        <v/>
      </c>
      <c r="L103" s="1"/>
      <c r="M103" s="1"/>
      <c r="N103" s="1"/>
      <c r="O103" s="1"/>
    </row>
    <row r="104" spans="1:15" ht="1.9" customHeight="1">
      <c r="A104" s="16"/>
      <c r="B104" s="17"/>
      <c r="C104" s="18"/>
      <c r="D104" s="19" t="str">
        <f t="shared" si="19"/>
        <v/>
      </c>
      <c r="E104" s="19" t="str">
        <f t="shared" si="20"/>
        <v/>
      </c>
      <c r="F104" s="19" t="str">
        <f t="shared" si="21"/>
        <v/>
      </c>
      <c r="G104" s="19" t="str">
        <f t="shared" si="22"/>
        <v/>
      </c>
      <c r="H104" s="6" t="str">
        <f t="shared" si="23"/>
        <v/>
      </c>
      <c r="I104" s="17"/>
      <c r="J104" s="17"/>
      <c r="K104" s="6" t="str">
        <f t="shared" si="24"/>
        <v/>
      </c>
      <c r="L104" s="1"/>
      <c r="M104" s="1"/>
      <c r="N104" s="1"/>
      <c r="O104" s="1"/>
    </row>
    <row r="105" spans="1:15" ht="1.9" customHeight="1">
      <c r="A105" s="16"/>
      <c r="B105" s="17"/>
      <c r="C105" s="18"/>
      <c r="D105" s="19" t="str">
        <f t="shared" si="19"/>
        <v/>
      </c>
      <c r="E105" s="19" t="str">
        <f t="shared" si="20"/>
        <v/>
      </c>
      <c r="F105" s="19" t="str">
        <f t="shared" si="21"/>
        <v/>
      </c>
      <c r="G105" s="19" t="str">
        <f t="shared" si="22"/>
        <v/>
      </c>
      <c r="H105" s="6" t="str">
        <f t="shared" si="23"/>
        <v/>
      </c>
      <c r="I105" s="17"/>
      <c r="J105" s="17"/>
      <c r="K105" s="6" t="str">
        <f t="shared" si="24"/>
        <v/>
      </c>
      <c r="L105" s="1"/>
      <c r="M105" s="1"/>
      <c r="N105" s="1"/>
      <c r="O105" s="1"/>
    </row>
    <row r="106" spans="1:15" ht="1.9" customHeight="1">
      <c r="A106" s="16"/>
      <c r="B106" s="17"/>
      <c r="C106" s="18"/>
      <c r="D106" s="19" t="str">
        <f t="shared" si="19"/>
        <v/>
      </c>
      <c r="E106" s="19" t="str">
        <f t="shared" si="20"/>
        <v/>
      </c>
      <c r="F106" s="19" t="str">
        <f t="shared" si="21"/>
        <v/>
      </c>
      <c r="G106" s="19" t="str">
        <f t="shared" si="22"/>
        <v/>
      </c>
      <c r="H106" s="6" t="str">
        <f t="shared" si="23"/>
        <v/>
      </c>
      <c r="I106" s="17"/>
      <c r="J106" s="17"/>
      <c r="K106" s="6" t="str">
        <f t="shared" si="24"/>
        <v/>
      </c>
      <c r="L106" s="1"/>
      <c r="M106" s="1"/>
      <c r="N106" s="1"/>
      <c r="O106" s="1"/>
    </row>
    <row r="107" spans="1:15" ht="1.9" customHeight="1">
      <c r="A107" s="16"/>
      <c r="B107" s="17"/>
      <c r="C107" s="18"/>
      <c r="D107" s="19" t="str">
        <f t="shared" si="19"/>
        <v/>
      </c>
      <c r="E107" s="19" t="str">
        <f t="shared" si="20"/>
        <v/>
      </c>
      <c r="F107" s="19" t="str">
        <f t="shared" si="21"/>
        <v/>
      </c>
      <c r="G107" s="19" t="str">
        <f t="shared" si="22"/>
        <v/>
      </c>
      <c r="H107" s="6" t="str">
        <f t="shared" si="23"/>
        <v/>
      </c>
      <c r="I107" s="17"/>
      <c r="J107" s="17"/>
      <c r="K107" s="6" t="str">
        <f t="shared" si="24"/>
        <v/>
      </c>
      <c r="L107" s="1"/>
      <c r="M107" s="1"/>
      <c r="N107" s="1"/>
      <c r="O107" s="1"/>
    </row>
    <row r="108" spans="1:15" ht="1.9" customHeight="1">
      <c r="A108" s="16"/>
      <c r="B108" s="17"/>
      <c r="C108" s="18"/>
      <c r="D108" s="19" t="str">
        <f t="shared" si="19"/>
        <v/>
      </c>
      <c r="E108" s="19" t="str">
        <f t="shared" si="20"/>
        <v/>
      </c>
      <c r="F108" s="19" t="str">
        <f t="shared" si="21"/>
        <v/>
      </c>
      <c r="G108" s="19" t="str">
        <f t="shared" si="22"/>
        <v/>
      </c>
      <c r="H108" s="6" t="str">
        <f t="shared" si="23"/>
        <v/>
      </c>
      <c r="I108" s="17"/>
      <c r="J108" s="17"/>
      <c r="K108" s="6" t="str">
        <f t="shared" si="24"/>
        <v/>
      </c>
      <c r="L108" s="1"/>
      <c r="M108" s="1"/>
      <c r="N108" s="1"/>
      <c r="O108" s="1"/>
    </row>
    <row r="109" spans="1:15" ht="1.9" customHeight="1">
      <c r="A109" s="16"/>
      <c r="B109" s="17"/>
      <c r="C109" s="18"/>
      <c r="D109" s="19" t="str">
        <f t="shared" si="19"/>
        <v/>
      </c>
      <c r="E109" s="19" t="str">
        <f t="shared" si="20"/>
        <v/>
      </c>
      <c r="F109" s="19" t="str">
        <f t="shared" si="21"/>
        <v/>
      </c>
      <c r="G109" s="19" t="str">
        <f t="shared" si="22"/>
        <v/>
      </c>
      <c r="H109" s="6" t="str">
        <f t="shared" si="23"/>
        <v/>
      </c>
      <c r="I109" s="17"/>
      <c r="J109" s="17"/>
      <c r="K109" s="6" t="str">
        <f t="shared" si="24"/>
        <v/>
      </c>
      <c r="L109" s="1"/>
      <c r="M109" s="1"/>
      <c r="N109" s="1"/>
      <c r="O109" s="1"/>
    </row>
    <row r="110" spans="1:15" ht="1.9" customHeight="1">
      <c r="A110" s="16"/>
      <c r="B110" s="17"/>
      <c r="C110" s="18"/>
      <c r="D110" s="19" t="str">
        <f t="shared" si="19"/>
        <v/>
      </c>
      <c r="E110" s="19" t="str">
        <f t="shared" si="20"/>
        <v/>
      </c>
      <c r="F110" s="19" t="str">
        <f t="shared" si="21"/>
        <v/>
      </c>
      <c r="G110" s="19" t="str">
        <f t="shared" si="22"/>
        <v/>
      </c>
      <c r="H110" s="6" t="str">
        <f t="shared" si="23"/>
        <v/>
      </c>
      <c r="I110" s="17"/>
      <c r="J110" s="17"/>
      <c r="K110" s="6" t="str">
        <f t="shared" si="24"/>
        <v/>
      </c>
      <c r="L110" s="1"/>
      <c r="M110" s="1"/>
      <c r="N110" s="1"/>
      <c r="O110" s="1"/>
    </row>
    <row r="111" spans="1:15" ht="1.9" customHeight="1">
      <c r="A111" s="16"/>
      <c r="B111" s="17"/>
      <c r="C111" s="18"/>
      <c r="D111" s="19" t="str">
        <f t="shared" si="19"/>
        <v/>
      </c>
      <c r="E111" s="19" t="str">
        <f t="shared" si="20"/>
        <v/>
      </c>
      <c r="F111" s="19" t="str">
        <f t="shared" si="21"/>
        <v/>
      </c>
      <c r="G111" s="19" t="str">
        <f t="shared" si="22"/>
        <v/>
      </c>
      <c r="H111" s="6" t="str">
        <f t="shared" si="23"/>
        <v/>
      </c>
      <c r="I111" s="17"/>
      <c r="J111" s="17"/>
      <c r="K111" s="6" t="str">
        <f t="shared" si="24"/>
        <v/>
      </c>
      <c r="L111" s="1"/>
      <c r="M111" s="1"/>
      <c r="N111" s="1"/>
      <c r="O111" s="1"/>
    </row>
    <row r="112" spans="1:15" ht="1.9" customHeight="1">
      <c r="A112" s="16"/>
      <c r="B112" s="17"/>
      <c r="C112" s="18"/>
      <c r="D112" s="19" t="str">
        <f t="shared" si="19"/>
        <v/>
      </c>
      <c r="E112" s="19" t="str">
        <f t="shared" si="20"/>
        <v/>
      </c>
      <c r="F112" s="19" t="str">
        <f t="shared" si="21"/>
        <v/>
      </c>
      <c r="G112" s="19" t="str">
        <f t="shared" si="22"/>
        <v/>
      </c>
      <c r="H112" s="6" t="str">
        <f t="shared" si="23"/>
        <v/>
      </c>
      <c r="I112" s="17"/>
      <c r="J112" s="17"/>
      <c r="K112" s="6" t="str">
        <f t="shared" si="24"/>
        <v/>
      </c>
      <c r="L112" s="1"/>
      <c r="M112" s="1"/>
      <c r="N112" s="1"/>
      <c r="O112" s="1"/>
    </row>
    <row r="113" spans="1:15" ht="1.9" customHeight="1">
      <c r="A113" s="16"/>
      <c r="B113" s="17"/>
      <c r="C113" s="18"/>
      <c r="D113" s="19" t="str">
        <f t="shared" si="19"/>
        <v/>
      </c>
      <c r="E113" s="19" t="str">
        <f t="shared" si="20"/>
        <v/>
      </c>
      <c r="F113" s="19" t="str">
        <f t="shared" si="21"/>
        <v/>
      </c>
      <c r="G113" s="19" t="str">
        <f t="shared" si="22"/>
        <v/>
      </c>
      <c r="H113" s="6" t="str">
        <f t="shared" si="23"/>
        <v/>
      </c>
      <c r="I113" s="17"/>
      <c r="J113" s="17"/>
      <c r="K113" s="6" t="str">
        <f t="shared" si="24"/>
        <v/>
      </c>
      <c r="L113" s="1"/>
      <c r="M113" s="1"/>
      <c r="N113" s="1"/>
      <c r="O113" s="1"/>
    </row>
    <row r="114" spans="1:15" ht="1.9" customHeight="1">
      <c r="A114" s="16"/>
      <c r="B114" s="17"/>
      <c r="C114" s="18"/>
      <c r="D114" s="19" t="str">
        <f t="shared" si="19"/>
        <v/>
      </c>
      <c r="E114" s="19" t="str">
        <f t="shared" si="20"/>
        <v/>
      </c>
      <c r="F114" s="19" t="str">
        <f t="shared" si="21"/>
        <v/>
      </c>
      <c r="G114" s="19" t="str">
        <f t="shared" si="22"/>
        <v/>
      </c>
      <c r="H114" s="6" t="str">
        <f t="shared" si="23"/>
        <v/>
      </c>
      <c r="I114" s="17"/>
      <c r="J114" s="17"/>
      <c r="K114" s="6" t="str">
        <f t="shared" si="24"/>
        <v/>
      </c>
      <c r="L114" s="1"/>
      <c r="M114" s="1"/>
      <c r="N114" s="1"/>
      <c r="O114" s="1"/>
    </row>
    <row r="115" spans="1:15" ht="1.9" customHeight="1">
      <c r="A115" s="16"/>
      <c r="B115" s="17"/>
      <c r="C115" s="18"/>
      <c r="D115" s="19" t="str">
        <f t="shared" si="19"/>
        <v/>
      </c>
      <c r="E115" s="19" t="str">
        <f t="shared" si="20"/>
        <v/>
      </c>
      <c r="F115" s="19" t="str">
        <f t="shared" si="21"/>
        <v/>
      </c>
      <c r="G115" s="19" t="str">
        <f t="shared" si="22"/>
        <v/>
      </c>
      <c r="H115" s="6" t="str">
        <f t="shared" si="23"/>
        <v/>
      </c>
      <c r="I115" s="17"/>
      <c r="J115" s="17"/>
      <c r="K115" s="6" t="str">
        <f t="shared" si="24"/>
        <v/>
      </c>
      <c r="L115" s="1"/>
      <c r="M115" s="1"/>
      <c r="N115" s="1"/>
      <c r="O115" s="1"/>
    </row>
    <row r="116" spans="1:15" ht="1.9" customHeight="1">
      <c r="A116" s="16"/>
      <c r="B116" s="17"/>
      <c r="C116" s="18"/>
      <c r="D116" s="19" t="str">
        <f t="shared" si="19"/>
        <v/>
      </c>
      <c r="E116" s="19" t="str">
        <f t="shared" si="20"/>
        <v/>
      </c>
      <c r="F116" s="19" t="str">
        <f t="shared" si="21"/>
        <v/>
      </c>
      <c r="G116" s="19" t="str">
        <f t="shared" si="22"/>
        <v/>
      </c>
      <c r="H116" s="6" t="str">
        <f t="shared" si="23"/>
        <v/>
      </c>
      <c r="I116" s="17"/>
      <c r="J116" s="17"/>
      <c r="K116" s="6" t="str">
        <f t="shared" si="24"/>
        <v/>
      </c>
      <c r="L116" s="1"/>
      <c r="M116" s="1"/>
      <c r="N116" s="1"/>
      <c r="O116" s="1"/>
    </row>
    <row r="117" spans="1:15" ht="1.9" customHeight="1">
      <c r="A117" s="16"/>
      <c r="B117" s="17"/>
      <c r="C117" s="18"/>
      <c r="D117" s="19" t="str">
        <f t="shared" si="19"/>
        <v/>
      </c>
      <c r="E117" s="19" t="str">
        <f t="shared" si="20"/>
        <v/>
      </c>
      <c r="F117" s="19" t="str">
        <f t="shared" si="21"/>
        <v/>
      </c>
      <c r="G117" s="19" t="str">
        <f t="shared" si="22"/>
        <v/>
      </c>
      <c r="H117" s="6" t="str">
        <f t="shared" si="23"/>
        <v/>
      </c>
      <c r="I117" s="17"/>
      <c r="J117" s="17"/>
      <c r="K117" s="6" t="str">
        <f t="shared" si="24"/>
        <v/>
      </c>
      <c r="L117" s="1"/>
      <c r="M117" s="1"/>
      <c r="N117" s="1"/>
      <c r="O117" s="1"/>
    </row>
    <row r="118" spans="1:15" ht="1.9" customHeight="1">
      <c r="A118" s="16"/>
      <c r="B118" s="17"/>
      <c r="C118" s="18"/>
      <c r="D118" s="19" t="str">
        <f t="shared" si="19"/>
        <v/>
      </c>
      <c r="E118" s="19" t="str">
        <f t="shared" si="20"/>
        <v/>
      </c>
      <c r="F118" s="19" t="str">
        <f t="shared" si="21"/>
        <v/>
      </c>
      <c r="G118" s="19" t="str">
        <f t="shared" si="22"/>
        <v/>
      </c>
      <c r="H118" s="6" t="str">
        <f t="shared" si="23"/>
        <v/>
      </c>
      <c r="I118" s="17"/>
      <c r="J118" s="17"/>
      <c r="K118" s="6" t="str">
        <f t="shared" si="24"/>
        <v/>
      </c>
      <c r="L118" s="1"/>
      <c r="M118" s="1"/>
      <c r="N118" s="1"/>
      <c r="O118" s="1"/>
    </row>
    <row r="119" spans="1:15" ht="1.9" customHeight="1">
      <c r="A119" s="16"/>
      <c r="B119" s="17"/>
      <c r="C119" s="18"/>
      <c r="D119" s="19" t="str">
        <f t="shared" si="19"/>
        <v/>
      </c>
      <c r="E119" s="19" t="str">
        <f t="shared" si="20"/>
        <v/>
      </c>
      <c r="F119" s="19" t="str">
        <f t="shared" si="21"/>
        <v/>
      </c>
      <c r="G119" s="19" t="str">
        <f t="shared" si="22"/>
        <v/>
      </c>
      <c r="H119" s="6" t="str">
        <f t="shared" si="23"/>
        <v/>
      </c>
      <c r="I119" s="17"/>
      <c r="J119" s="17"/>
      <c r="K119" s="6" t="str">
        <f t="shared" si="24"/>
        <v/>
      </c>
      <c r="L119" s="1"/>
      <c r="M119" s="1"/>
      <c r="N119" s="1"/>
      <c r="O119" s="1"/>
    </row>
    <row r="120" spans="1:15" ht="1.9" customHeight="1">
      <c r="A120" s="16"/>
      <c r="B120" s="17"/>
      <c r="C120" s="18"/>
      <c r="D120" s="19" t="str">
        <f t="shared" si="19"/>
        <v/>
      </c>
      <c r="E120" s="19" t="str">
        <f t="shared" si="20"/>
        <v/>
      </c>
      <c r="F120" s="19" t="str">
        <f t="shared" si="21"/>
        <v/>
      </c>
      <c r="G120" s="19" t="str">
        <f t="shared" si="22"/>
        <v/>
      </c>
      <c r="H120" s="6" t="str">
        <f t="shared" si="23"/>
        <v/>
      </c>
      <c r="I120" s="17"/>
      <c r="J120" s="17"/>
      <c r="K120" s="6" t="str">
        <f t="shared" si="24"/>
        <v/>
      </c>
      <c r="L120" s="1"/>
      <c r="M120" s="1"/>
      <c r="N120" s="1"/>
      <c r="O120" s="1"/>
    </row>
    <row r="121" spans="1:15" ht="1.9" customHeight="1">
      <c r="A121" s="16"/>
      <c r="B121" s="17"/>
      <c r="C121" s="18"/>
      <c r="D121" s="19" t="str">
        <f t="shared" si="19"/>
        <v/>
      </c>
      <c r="E121" s="19" t="str">
        <f t="shared" si="20"/>
        <v/>
      </c>
      <c r="F121" s="19" t="str">
        <f t="shared" si="21"/>
        <v/>
      </c>
      <c r="G121" s="19" t="str">
        <f t="shared" si="22"/>
        <v/>
      </c>
      <c r="H121" s="6" t="str">
        <f t="shared" si="23"/>
        <v/>
      </c>
      <c r="I121" s="17"/>
      <c r="J121" s="17"/>
      <c r="K121" s="6" t="str">
        <f t="shared" si="24"/>
        <v/>
      </c>
      <c r="L121" s="1"/>
      <c r="M121" s="1"/>
      <c r="N121" s="1"/>
      <c r="O121" s="1"/>
    </row>
    <row r="122" spans="1:15" ht="1.9" customHeight="1">
      <c r="A122" s="16"/>
      <c r="B122" s="17"/>
      <c r="C122" s="18"/>
      <c r="D122" s="19" t="str">
        <f t="shared" si="19"/>
        <v/>
      </c>
      <c r="E122" s="19" t="str">
        <f t="shared" si="20"/>
        <v/>
      </c>
      <c r="F122" s="19" t="str">
        <f t="shared" si="21"/>
        <v/>
      </c>
      <c r="G122" s="19" t="str">
        <f t="shared" si="22"/>
        <v/>
      </c>
      <c r="H122" s="6" t="str">
        <f t="shared" si="23"/>
        <v/>
      </c>
      <c r="I122" s="17"/>
      <c r="J122" s="17"/>
      <c r="K122" s="6" t="str">
        <f t="shared" si="24"/>
        <v/>
      </c>
      <c r="L122" s="1"/>
      <c r="M122" s="1"/>
      <c r="N122" s="1"/>
      <c r="O122" s="1"/>
    </row>
    <row r="123" spans="1:15" ht="1.9" customHeight="1">
      <c r="A123" s="16"/>
      <c r="B123" s="17"/>
      <c r="C123" s="18"/>
      <c r="D123" s="19" t="str">
        <f t="shared" si="19"/>
        <v/>
      </c>
      <c r="E123" s="19" t="str">
        <f t="shared" si="20"/>
        <v/>
      </c>
      <c r="F123" s="19" t="str">
        <f t="shared" si="21"/>
        <v/>
      </c>
      <c r="G123" s="19" t="str">
        <f t="shared" si="22"/>
        <v/>
      </c>
      <c r="H123" s="6" t="str">
        <f t="shared" si="23"/>
        <v/>
      </c>
      <c r="I123" s="17"/>
      <c r="J123" s="17"/>
      <c r="K123" s="6" t="str">
        <f t="shared" si="24"/>
        <v/>
      </c>
      <c r="L123" s="1"/>
      <c r="M123" s="1"/>
      <c r="N123" s="1"/>
      <c r="O123" s="1"/>
    </row>
    <row r="124" spans="1:15" ht="1.9" customHeight="1">
      <c r="A124" s="16"/>
      <c r="B124" s="17"/>
      <c r="C124" s="18"/>
      <c r="D124" s="19" t="str">
        <f t="shared" si="19"/>
        <v/>
      </c>
      <c r="E124" s="19" t="str">
        <f t="shared" si="20"/>
        <v/>
      </c>
      <c r="F124" s="19" t="str">
        <f t="shared" si="21"/>
        <v/>
      </c>
      <c r="G124" s="19" t="str">
        <f t="shared" si="22"/>
        <v/>
      </c>
      <c r="H124" s="6" t="str">
        <f t="shared" si="23"/>
        <v/>
      </c>
      <c r="I124" s="17"/>
      <c r="J124" s="17"/>
      <c r="K124" s="6" t="str">
        <f t="shared" si="24"/>
        <v/>
      </c>
      <c r="L124" s="1"/>
      <c r="M124" s="1"/>
      <c r="N124" s="1"/>
      <c r="O124" s="1"/>
    </row>
    <row r="125" spans="1:15" ht="1.9" customHeight="1">
      <c r="A125" s="16"/>
      <c r="B125" s="17"/>
      <c r="C125" s="18"/>
      <c r="D125" s="19" t="str">
        <f t="shared" si="19"/>
        <v/>
      </c>
      <c r="E125" s="19" t="str">
        <f t="shared" si="20"/>
        <v/>
      </c>
      <c r="F125" s="19" t="str">
        <f t="shared" si="21"/>
        <v/>
      </c>
      <c r="G125" s="19" t="str">
        <f t="shared" si="22"/>
        <v/>
      </c>
      <c r="H125" s="6" t="str">
        <f t="shared" si="23"/>
        <v/>
      </c>
      <c r="I125" s="17"/>
      <c r="J125" s="17"/>
      <c r="K125" s="6" t="str">
        <f t="shared" si="24"/>
        <v/>
      </c>
      <c r="L125" s="1"/>
      <c r="M125" s="1"/>
      <c r="N125" s="1"/>
      <c r="O125" s="1"/>
    </row>
    <row r="126" spans="1:15" ht="1.9" customHeight="1">
      <c r="A126" s="16"/>
      <c r="B126" s="17"/>
      <c r="C126" s="18"/>
      <c r="D126" s="19" t="str">
        <f t="shared" si="19"/>
        <v/>
      </c>
      <c r="E126" s="19" t="str">
        <f t="shared" si="20"/>
        <v/>
      </c>
      <c r="F126" s="19" t="str">
        <f t="shared" si="21"/>
        <v/>
      </c>
      <c r="G126" s="19" t="str">
        <f t="shared" si="22"/>
        <v/>
      </c>
      <c r="H126" s="6" t="str">
        <f t="shared" si="23"/>
        <v/>
      </c>
      <c r="I126" s="17"/>
      <c r="J126" s="17"/>
      <c r="K126" s="6" t="str">
        <f t="shared" si="24"/>
        <v/>
      </c>
      <c r="L126" s="1"/>
      <c r="M126" s="1"/>
      <c r="N126" s="1"/>
      <c r="O126" s="1"/>
    </row>
    <row r="127" spans="1:15" ht="1.9" customHeight="1">
      <c r="A127" s="16"/>
      <c r="B127" s="17"/>
      <c r="C127" s="18"/>
      <c r="D127" s="19" t="str">
        <f t="shared" si="19"/>
        <v/>
      </c>
      <c r="E127" s="19" t="str">
        <f t="shared" si="20"/>
        <v/>
      </c>
      <c r="F127" s="19" t="str">
        <f t="shared" si="21"/>
        <v/>
      </c>
      <c r="G127" s="19" t="str">
        <f t="shared" si="22"/>
        <v/>
      </c>
      <c r="H127" s="6" t="str">
        <f t="shared" si="23"/>
        <v/>
      </c>
      <c r="I127" s="17"/>
      <c r="J127" s="17"/>
      <c r="K127" s="6" t="str">
        <f t="shared" si="24"/>
        <v/>
      </c>
      <c r="L127" s="1"/>
      <c r="M127" s="1"/>
      <c r="N127" s="1"/>
      <c r="O127" s="1"/>
    </row>
    <row r="128" spans="1:15" ht="1.9" customHeight="1">
      <c r="A128" s="16"/>
      <c r="B128" s="17"/>
      <c r="C128" s="18"/>
      <c r="D128" s="19" t="str">
        <f t="shared" si="19"/>
        <v/>
      </c>
      <c r="E128" s="19" t="str">
        <f t="shared" si="20"/>
        <v/>
      </c>
      <c r="F128" s="19" t="str">
        <f t="shared" si="21"/>
        <v/>
      </c>
      <c r="G128" s="19" t="str">
        <f t="shared" si="22"/>
        <v/>
      </c>
      <c r="H128" s="6" t="str">
        <f t="shared" si="23"/>
        <v/>
      </c>
      <c r="I128" s="17"/>
      <c r="J128" s="17"/>
      <c r="K128" s="6" t="str">
        <f t="shared" si="24"/>
        <v/>
      </c>
      <c r="L128" s="1"/>
      <c r="M128" s="1"/>
      <c r="N128" s="1"/>
      <c r="O128" s="1"/>
    </row>
    <row r="129" spans="1:15" ht="1.9" customHeight="1">
      <c r="A129" s="16"/>
      <c r="B129" s="17"/>
      <c r="C129" s="18"/>
      <c r="D129" s="19" t="str">
        <f t="shared" si="19"/>
        <v/>
      </c>
      <c r="E129" s="19" t="str">
        <f t="shared" si="20"/>
        <v/>
      </c>
      <c r="F129" s="19" t="str">
        <f t="shared" si="21"/>
        <v/>
      </c>
      <c r="G129" s="19" t="str">
        <f t="shared" si="22"/>
        <v/>
      </c>
      <c r="H129" s="6" t="str">
        <f t="shared" si="23"/>
        <v/>
      </c>
      <c r="I129" s="17"/>
      <c r="J129" s="17"/>
      <c r="K129" s="6" t="str">
        <f t="shared" si="24"/>
        <v/>
      </c>
      <c r="L129" s="1"/>
      <c r="M129" s="1"/>
      <c r="N129" s="1"/>
      <c r="O129" s="1"/>
    </row>
    <row r="130" spans="1:15" ht="1.9" customHeight="1">
      <c r="A130" s="16"/>
      <c r="B130" s="17"/>
      <c r="C130" s="18"/>
      <c r="D130" s="19" t="str">
        <f t="shared" si="19"/>
        <v/>
      </c>
      <c r="E130" s="19" t="str">
        <f t="shared" si="20"/>
        <v/>
      </c>
      <c r="F130" s="19" t="str">
        <f t="shared" si="21"/>
        <v/>
      </c>
      <c r="G130" s="19" t="str">
        <f t="shared" si="22"/>
        <v/>
      </c>
      <c r="H130" s="6" t="str">
        <f t="shared" si="23"/>
        <v/>
      </c>
      <c r="I130" s="17"/>
      <c r="J130" s="17"/>
      <c r="K130" s="6" t="str">
        <f t="shared" si="24"/>
        <v/>
      </c>
      <c r="L130" s="1"/>
      <c r="M130" s="1"/>
      <c r="N130" s="1"/>
      <c r="O130" s="1"/>
    </row>
    <row r="131" spans="1:15" ht="1.9" customHeight="1">
      <c r="A131" s="16"/>
      <c r="B131" s="17"/>
      <c r="C131" s="18"/>
      <c r="D131" s="19" t="str">
        <f t="shared" si="19"/>
        <v/>
      </c>
      <c r="E131" s="19" t="str">
        <f t="shared" si="20"/>
        <v/>
      </c>
      <c r="F131" s="19" t="str">
        <f t="shared" si="21"/>
        <v/>
      </c>
      <c r="G131" s="19" t="str">
        <f t="shared" si="22"/>
        <v/>
      </c>
      <c r="H131" s="6" t="str">
        <f t="shared" si="23"/>
        <v/>
      </c>
      <c r="I131" s="17"/>
      <c r="J131" s="17"/>
      <c r="K131" s="6" t="str">
        <f t="shared" si="24"/>
        <v/>
      </c>
      <c r="L131" s="1"/>
      <c r="M131" s="1"/>
      <c r="N131" s="1"/>
      <c r="O131" s="1"/>
    </row>
    <row r="132" spans="1:15" ht="1.9" customHeight="1">
      <c r="A132" s="16"/>
      <c r="B132" s="17"/>
      <c r="C132" s="18"/>
      <c r="D132" s="19" t="str">
        <f t="shared" si="19"/>
        <v/>
      </c>
      <c r="E132" s="19" t="str">
        <f t="shared" si="20"/>
        <v/>
      </c>
      <c r="F132" s="19" t="str">
        <f t="shared" si="21"/>
        <v/>
      </c>
      <c r="G132" s="19" t="str">
        <f t="shared" si="22"/>
        <v/>
      </c>
      <c r="H132" s="6" t="str">
        <f t="shared" si="23"/>
        <v/>
      </c>
      <c r="I132" s="17"/>
      <c r="J132" s="17"/>
      <c r="K132" s="6" t="str">
        <f t="shared" si="24"/>
        <v/>
      </c>
      <c r="L132" s="1"/>
      <c r="M132" s="1"/>
      <c r="N132" s="1"/>
      <c r="O132" s="1"/>
    </row>
    <row r="133" spans="1:15" ht="1.9" customHeight="1">
      <c r="A133" s="16"/>
      <c r="B133" s="17"/>
      <c r="C133" s="18"/>
      <c r="D133" s="19" t="str">
        <f t="shared" ref="D133:D164" si="25">IF(C133="","",C133*0.55)</f>
        <v/>
      </c>
      <c r="E133" s="19" t="str">
        <f t="shared" ref="E133:E164" si="26">IF(C133="","",C133*0.2)</f>
        <v/>
      </c>
      <c r="F133" s="19" t="str">
        <f t="shared" ref="F133:F164" si="27">IF(C133="","",C133*0.15)</f>
        <v/>
      </c>
      <c r="G133" s="19" t="str">
        <f t="shared" ref="G133:G164" si="28">IF(C133="","",C133*0.1)</f>
        <v/>
      </c>
      <c r="H133" s="6" t="str">
        <f t="shared" ref="H133:H164" si="29">IF(A133="","", "Semana "&amp;(WEEKNUM(A133,2)-WEEKNUM(DATE(YEAR(A133),MONTH(A133),1),2)+1))</f>
        <v/>
      </c>
      <c r="I133" s="17"/>
      <c r="J133" s="17"/>
      <c r="K133" s="6" t="str">
        <f t="shared" ref="K133:K164" si="30">IF(A133="","",IF(MONTH(A133)=5,"mayo",IF(MONTH(A133)=4,"abril",TEXT(A133,"mmmm"))))</f>
        <v/>
      </c>
      <c r="L133" s="1"/>
      <c r="M133" s="1"/>
      <c r="N133" s="1"/>
      <c r="O133" s="1"/>
    </row>
    <row r="134" spans="1:15" ht="1.9" customHeight="1">
      <c r="A134" s="16"/>
      <c r="B134" s="17"/>
      <c r="C134" s="18"/>
      <c r="D134" s="19" t="str">
        <f t="shared" si="25"/>
        <v/>
      </c>
      <c r="E134" s="19" t="str">
        <f t="shared" si="26"/>
        <v/>
      </c>
      <c r="F134" s="19" t="str">
        <f t="shared" si="27"/>
        <v/>
      </c>
      <c r="G134" s="19" t="str">
        <f t="shared" si="28"/>
        <v/>
      </c>
      <c r="H134" s="6" t="str">
        <f t="shared" si="29"/>
        <v/>
      </c>
      <c r="I134" s="17"/>
      <c r="J134" s="17"/>
      <c r="K134" s="6" t="str">
        <f t="shared" si="30"/>
        <v/>
      </c>
      <c r="L134" s="1"/>
      <c r="M134" s="1"/>
      <c r="N134" s="1"/>
      <c r="O134" s="1"/>
    </row>
    <row r="135" spans="1:15" ht="1.9" customHeight="1">
      <c r="A135" s="16"/>
      <c r="B135" s="17"/>
      <c r="C135" s="18"/>
      <c r="D135" s="19" t="str">
        <f t="shared" si="25"/>
        <v/>
      </c>
      <c r="E135" s="19" t="str">
        <f t="shared" si="26"/>
        <v/>
      </c>
      <c r="F135" s="19" t="str">
        <f t="shared" si="27"/>
        <v/>
      </c>
      <c r="G135" s="19" t="str">
        <f t="shared" si="28"/>
        <v/>
      </c>
      <c r="H135" s="6" t="str">
        <f t="shared" si="29"/>
        <v/>
      </c>
      <c r="I135" s="17"/>
      <c r="J135" s="17"/>
      <c r="K135" s="6" t="str">
        <f t="shared" si="30"/>
        <v/>
      </c>
      <c r="L135" s="1"/>
      <c r="M135" s="1"/>
      <c r="N135" s="1"/>
      <c r="O135" s="1"/>
    </row>
    <row r="136" spans="1:15" ht="1.9" customHeight="1">
      <c r="A136" s="16"/>
      <c r="B136" s="17"/>
      <c r="C136" s="18"/>
      <c r="D136" s="19" t="str">
        <f t="shared" si="25"/>
        <v/>
      </c>
      <c r="E136" s="19" t="str">
        <f t="shared" si="26"/>
        <v/>
      </c>
      <c r="F136" s="19" t="str">
        <f t="shared" si="27"/>
        <v/>
      </c>
      <c r="G136" s="19" t="str">
        <f t="shared" si="28"/>
        <v/>
      </c>
      <c r="H136" s="6" t="str">
        <f t="shared" si="29"/>
        <v/>
      </c>
      <c r="I136" s="17"/>
      <c r="J136" s="17"/>
      <c r="K136" s="6" t="str">
        <f t="shared" si="30"/>
        <v/>
      </c>
      <c r="L136" s="1"/>
      <c r="M136" s="1"/>
      <c r="N136" s="1"/>
      <c r="O136" s="1"/>
    </row>
    <row r="137" spans="1:15" ht="1.9" customHeight="1">
      <c r="A137" s="16"/>
      <c r="B137" s="17"/>
      <c r="C137" s="18"/>
      <c r="D137" s="19" t="str">
        <f t="shared" si="25"/>
        <v/>
      </c>
      <c r="E137" s="19" t="str">
        <f t="shared" si="26"/>
        <v/>
      </c>
      <c r="F137" s="19" t="str">
        <f t="shared" si="27"/>
        <v/>
      </c>
      <c r="G137" s="19" t="str">
        <f t="shared" si="28"/>
        <v/>
      </c>
      <c r="H137" s="6" t="str">
        <f t="shared" si="29"/>
        <v/>
      </c>
      <c r="I137" s="17"/>
      <c r="J137" s="17"/>
      <c r="K137" s="6" t="str">
        <f t="shared" si="30"/>
        <v/>
      </c>
      <c r="L137" s="1"/>
      <c r="M137" s="1"/>
      <c r="N137" s="1"/>
      <c r="O137" s="1"/>
    </row>
    <row r="138" spans="1:15" ht="1.9" customHeight="1">
      <c r="A138" s="16"/>
      <c r="B138" s="17"/>
      <c r="C138" s="18"/>
      <c r="D138" s="19" t="str">
        <f t="shared" si="25"/>
        <v/>
      </c>
      <c r="E138" s="19" t="str">
        <f t="shared" si="26"/>
        <v/>
      </c>
      <c r="F138" s="19" t="str">
        <f t="shared" si="27"/>
        <v/>
      </c>
      <c r="G138" s="19" t="str">
        <f t="shared" si="28"/>
        <v/>
      </c>
      <c r="H138" s="6" t="str">
        <f t="shared" si="29"/>
        <v/>
      </c>
      <c r="I138" s="17"/>
      <c r="J138" s="17"/>
      <c r="K138" s="6" t="str">
        <f t="shared" si="30"/>
        <v/>
      </c>
      <c r="L138" s="1"/>
      <c r="M138" s="1"/>
      <c r="N138" s="1"/>
      <c r="O138" s="1"/>
    </row>
    <row r="139" spans="1:15" ht="1.9" customHeight="1">
      <c r="A139" s="16"/>
      <c r="B139" s="17"/>
      <c r="C139" s="18"/>
      <c r="D139" s="19" t="str">
        <f t="shared" si="25"/>
        <v/>
      </c>
      <c r="E139" s="19" t="str">
        <f t="shared" si="26"/>
        <v/>
      </c>
      <c r="F139" s="19" t="str">
        <f t="shared" si="27"/>
        <v/>
      </c>
      <c r="G139" s="19" t="str">
        <f t="shared" si="28"/>
        <v/>
      </c>
      <c r="H139" s="6" t="str">
        <f t="shared" si="29"/>
        <v/>
      </c>
      <c r="I139" s="17"/>
      <c r="J139" s="17"/>
      <c r="K139" s="6" t="str">
        <f t="shared" si="30"/>
        <v/>
      </c>
      <c r="L139" s="1"/>
      <c r="M139" s="1"/>
      <c r="N139" s="1"/>
      <c r="O139" s="1"/>
    </row>
    <row r="140" spans="1:15" ht="1.9" customHeight="1">
      <c r="A140" s="16"/>
      <c r="B140" s="17"/>
      <c r="C140" s="18"/>
      <c r="D140" s="19" t="str">
        <f t="shared" si="25"/>
        <v/>
      </c>
      <c r="E140" s="19" t="str">
        <f t="shared" si="26"/>
        <v/>
      </c>
      <c r="F140" s="19" t="str">
        <f t="shared" si="27"/>
        <v/>
      </c>
      <c r="G140" s="19" t="str">
        <f t="shared" si="28"/>
        <v/>
      </c>
      <c r="H140" s="6" t="str">
        <f t="shared" si="29"/>
        <v/>
      </c>
      <c r="I140" s="17"/>
      <c r="J140" s="17"/>
      <c r="K140" s="6" t="str">
        <f t="shared" si="30"/>
        <v/>
      </c>
      <c r="L140" s="1"/>
      <c r="M140" s="1"/>
      <c r="N140" s="1"/>
      <c r="O140" s="1"/>
    </row>
    <row r="141" spans="1:15" ht="1.9" customHeight="1">
      <c r="A141" s="16"/>
      <c r="B141" s="17"/>
      <c r="C141" s="18"/>
      <c r="D141" s="19" t="str">
        <f t="shared" si="25"/>
        <v/>
      </c>
      <c r="E141" s="19" t="str">
        <f t="shared" si="26"/>
        <v/>
      </c>
      <c r="F141" s="19" t="str">
        <f t="shared" si="27"/>
        <v/>
      </c>
      <c r="G141" s="19" t="str">
        <f t="shared" si="28"/>
        <v/>
      </c>
      <c r="H141" s="6" t="str">
        <f t="shared" si="29"/>
        <v/>
      </c>
      <c r="I141" s="17"/>
      <c r="J141" s="17"/>
      <c r="K141" s="6" t="str">
        <f t="shared" si="30"/>
        <v/>
      </c>
      <c r="L141" s="1"/>
      <c r="M141" s="1"/>
      <c r="N141" s="1"/>
      <c r="O141" s="1"/>
    </row>
    <row r="142" spans="1:15" ht="1.9" customHeight="1">
      <c r="A142" s="16"/>
      <c r="B142" s="17"/>
      <c r="C142" s="18"/>
      <c r="D142" s="19" t="str">
        <f t="shared" si="25"/>
        <v/>
      </c>
      <c r="E142" s="19" t="str">
        <f t="shared" si="26"/>
        <v/>
      </c>
      <c r="F142" s="19" t="str">
        <f t="shared" si="27"/>
        <v/>
      </c>
      <c r="G142" s="19" t="str">
        <f t="shared" si="28"/>
        <v/>
      </c>
      <c r="H142" s="6" t="str">
        <f t="shared" si="29"/>
        <v/>
      </c>
      <c r="I142" s="17"/>
      <c r="J142" s="17"/>
      <c r="K142" s="6" t="str">
        <f t="shared" si="30"/>
        <v/>
      </c>
      <c r="L142" s="1"/>
      <c r="M142" s="1"/>
      <c r="N142" s="1"/>
      <c r="O142" s="1"/>
    </row>
    <row r="143" spans="1:15" ht="1.9" customHeight="1">
      <c r="A143" s="16"/>
      <c r="B143" s="17"/>
      <c r="C143" s="18"/>
      <c r="D143" s="19" t="str">
        <f t="shared" si="25"/>
        <v/>
      </c>
      <c r="E143" s="19" t="str">
        <f t="shared" si="26"/>
        <v/>
      </c>
      <c r="F143" s="19" t="str">
        <f t="shared" si="27"/>
        <v/>
      </c>
      <c r="G143" s="19" t="str">
        <f t="shared" si="28"/>
        <v/>
      </c>
      <c r="H143" s="6" t="str">
        <f t="shared" si="29"/>
        <v/>
      </c>
      <c r="I143" s="17"/>
      <c r="J143" s="17"/>
      <c r="K143" s="6" t="str">
        <f t="shared" si="30"/>
        <v/>
      </c>
      <c r="L143" s="1"/>
      <c r="M143" s="1"/>
      <c r="N143" s="1"/>
      <c r="O143" s="1"/>
    </row>
    <row r="144" spans="1:15" ht="1.9" customHeight="1">
      <c r="A144" s="16"/>
      <c r="B144" s="17"/>
      <c r="C144" s="18"/>
      <c r="D144" s="19" t="str">
        <f t="shared" si="25"/>
        <v/>
      </c>
      <c r="E144" s="19" t="str">
        <f t="shared" si="26"/>
        <v/>
      </c>
      <c r="F144" s="19" t="str">
        <f t="shared" si="27"/>
        <v/>
      </c>
      <c r="G144" s="19" t="str">
        <f t="shared" si="28"/>
        <v/>
      </c>
      <c r="H144" s="6" t="str">
        <f t="shared" si="29"/>
        <v/>
      </c>
      <c r="I144" s="17"/>
      <c r="J144" s="17"/>
      <c r="K144" s="6" t="str">
        <f t="shared" si="30"/>
        <v/>
      </c>
      <c r="L144" s="1"/>
      <c r="M144" s="1"/>
      <c r="N144" s="1"/>
      <c r="O144" s="1"/>
    </row>
    <row r="145" spans="1:15" ht="1.9" customHeight="1">
      <c r="A145" s="16"/>
      <c r="B145" s="17"/>
      <c r="C145" s="18"/>
      <c r="D145" s="19" t="str">
        <f t="shared" si="25"/>
        <v/>
      </c>
      <c r="E145" s="19" t="str">
        <f t="shared" si="26"/>
        <v/>
      </c>
      <c r="F145" s="19" t="str">
        <f t="shared" si="27"/>
        <v/>
      </c>
      <c r="G145" s="19" t="str">
        <f t="shared" si="28"/>
        <v/>
      </c>
      <c r="H145" s="6" t="str">
        <f t="shared" si="29"/>
        <v/>
      </c>
      <c r="I145" s="17"/>
      <c r="J145" s="17"/>
      <c r="K145" s="6" t="str">
        <f t="shared" si="30"/>
        <v/>
      </c>
      <c r="L145" s="1"/>
      <c r="M145" s="1"/>
      <c r="N145" s="1"/>
      <c r="O145" s="1"/>
    </row>
    <row r="146" spans="1:15" ht="1.9" customHeight="1">
      <c r="A146" s="16"/>
      <c r="B146" s="17"/>
      <c r="C146" s="18"/>
      <c r="D146" s="19" t="str">
        <f t="shared" si="25"/>
        <v/>
      </c>
      <c r="E146" s="19" t="str">
        <f t="shared" si="26"/>
        <v/>
      </c>
      <c r="F146" s="19" t="str">
        <f t="shared" si="27"/>
        <v/>
      </c>
      <c r="G146" s="19" t="str">
        <f t="shared" si="28"/>
        <v/>
      </c>
      <c r="H146" s="6" t="str">
        <f t="shared" si="29"/>
        <v/>
      </c>
      <c r="I146" s="17"/>
      <c r="J146" s="17"/>
      <c r="K146" s="6" t="str">
        <f t="shared" si="30"/>
        <v/>
      </c>
      <c r="L146" s="1"/>
      <c r="M146" s="1"/>
      <c r="N146" s="1"/>
      <c r="O146" s="1"/>
    </row>
    <row r="147" spans="1:15" ht="1.9" customHeight="1">
      <c r="A147" s="16"/>
      <c r="B147" s="17"/>
      <c r="C147" s="18"/>
      <c r="D147" s="19" t="str">
        <f t="shared" si="25"/>
        <v/>
      </c>
      <c r="E147" s="19" t="str">
        <f t="shared" si="26"/>
        <v/>
      </c>
      <c r="F147" s="19" t="str">
        <f t="shared" si="27"/>
        <v/>
      </c>
      <c r="G147" s="19" t="str">
        <f t="shared" si="28"/>
        <v/>
      </c>
      <c r="H147" s="6" t="str">
        <f t="shared" si="29"/>
        <v/>
      </c>
      <c r="I147" s="17"/>
      <c r="J147" s="17"/>
      <c r="K147" s="6" t="str">
        <f t="shared" si="30"/>
        <v/>
      </c>
      <c r="L147" s="1"/>
      <c r="M147" s="1"/>
      <c r="N147" s="1"/>
      <c r="O147" s="1"/>
    </row>
    <row r="148" spans="1:15" ht="1.9" customHeight="1">
      <c r="A148" s="16"/>
      <c r="B148" s="17"/>
      <c r="C148" s="18"/>
      <c r="D148" s="19" t="str">
        <f t="shared" si="25"/>
        <v/>
      </c>
      <c r="E148" s="19" t="str">
        <f t="shared" si="26"/>
        <v/>
      </c>
      <c r="F148" s="19" t="str">
        <f t="shared" si="27"/>
        <v/>
      </c>
      <c r="G148" s="19" t="str">
        <f t="shared" si="28"/>
        <v/>
      </c>
      <c r="H148" s="6" t="str">
        <f t="shared" si="29"/>
        <v/>
      </c>
      <c r="I148" s="17"/>
      <c r="J148" s="17"/>
      <c r="K148" s="6" t="str">
        <f t="shared" si="30"/>
        <v/>
      </c>
      <c r="L148" s="1"/>
      <c r="M148" s="1"/>
      <c r="N148" s="1"/>
      <c r="O148" s="1"/>
    </row>
    <row r="149" spans="1:15" ht="1.9" customHeight="1">
      <c r="A149" s="16"/>
      <c r="B149" s="17"/>
      <c r="C149" s="18"/>
      <c r="D149" s="19" t="str">
        <f t="shared" si="25"/>
        <v/>
      </c>
      <c r="E149" s="19" t="str">
        <f t="shared" si="26"/>
        <v/>
      </c>
      <c r="F149" s="19" t="str">
        <f t="shared" si="27"/>
        <v/>
      </c>
      <c r="G149" s="19" t="str">
        <f t="shared" si="28"/>
        <v/>
      </c>
      <c r="H149" s="6" t="str">
        <f t="shared" si="29"/>
        <v/>
      </c>
      <c r="I149" s="17"/>
      <c r="J149" s="17"/>
      <c r="K149" s="6" t="str">
        <f t="shared" si="30"/>
        <v/>
      </c>
      <c r="L149" s="1"/>
      <c r="M149" s="1"/>
      <c r="N149" s="1"/>
      <c r="O149" s="1"/>
    </row>
    <row r="150" spans="1:15" ht="1.9" customHeight="1">
      <c r="A150" s="16"/>
      <c r="B150" s="17"/>
      <c r="C150" s="18"/>
      <c r="D150" s="19" t="str">
        <f t="shared" si="25"/>
        <v/>
      </c>
      <c r="E150" s="19" t="str">
        <f t="shared" si="26"/>
        <v/>
      </c>
      <c r="F150" s="19" t="str">
        <f t="shared" si="27"/>
        <v/>
      </c>
      <c r="G150" s="19" t="str">
        <f t="shared" si="28"/>
        <v/>
      </c>
      <c r="H150" s="6" t="str">
        <f t="shared" si="29"/>
        <v/>
      </c>
      <c r="I150" s="17"/>
      <c r="J150" s="17"/>
      <c r="K150" s="6" t="str">
        <f t="shared" si="30"/>
        <v/>
      </c>
      <c r="L150" s="1"/>
      <c r="M150" s="1"/>
      <c r="N150" s="1"/>
      <c r="O150" s="1"/>
    </row>
    <row r="151" spans="1:15" ht="1.9" customHeight="1">
      <c r="A151" s="16"/>
      <c r="B151" s="17"/>
      <c r="C151" s="18"/>
      <c r="D151" s="19" t="str">
        <f t="shared" si="25"/>
        <v/>
      </c>
      <c r="E151" s="19" t="str">
        <f t="shared" si="26"/>
        <v/>
      </c>
      <c r="F151" s="19" t="str">
        <f t="shared" si="27"/>
        <v/>
      </c>
      <c r="G151" s="19" t="str">
        <f t="shared" si="28"/>
        <v/>
      </c>
      <c r="H151" s="6" t="str">
        <f t="shared" si="29"/>
        <v/>
      </c>
      <c r="I151" s="17"/>
      <c r="J151" s="17"/>
      <c r="K151" s="6" t="str">
        <f t="shared" si="30"/>
        <v/>
      </c>
      <c r="L151" s="1"/>
      <c r="M151" s="1"/>
      <c r="N151" s="1"/>
      <c r="O151" s="1"/>
    </row>
    <row r="152" spans="1:15" ht="1.9" customHeight="1">
      <c r="A152" s="16"/>
      <c r="B152" s="17"/>
      <c r="C152" s="18"/>
      <c r="D152" s="19" t="str">
        <f t="shared" si="25"/>
        <v/>
      </c>
      <c r="E152" s="19" t="str">
        <f t="shared" si="26"/>
        <v/>
      </c>
      <c r="F152" s="19" t="str">
        <f t="shared" si="27"/>
        <v/>
      </c>
      <c r="G152" s="19" t="str">
        <f t="shared" si="28"/>
        <v/>
      </c>
      <c r="H152" s="6" t="str">
        <f t="shared" si="29"/>
        <v/>
      </c>
      <c r="I152" s="17"/>
      <c r="J152" s="17"/>
      <c r="K152" s="6" t="str">
        <f t="shared" si="30"/>
        <v/>
      </c>
      <c r="L152" s="1"/>
      <c r="M152" s="1"/>
      <c r="N152" s="1"/>
      <c r="O152" s="1"/>
    </row>
    <row r="153" spans="1:15" ht="1.9" customHeight="1">
      <c r="A153" s="16"/>
      <c r="B153" s="17"/>
      <c r="C153" s="18"/>
      <c r="D153" s="19" t="str">
        <f t="shared" si="25"/>
        <v/>
      </c>
      <c r="E153" s="19" t="str">
        <f t="shared" si="26"/>
        <v/>
      </c>
      <c r="F153" s="19" t="str">
        <f t="shared" si="27"/>
        <v/>
      </c>
      <c r="G153" s="19" t="str">
        <f t="shared" si="28"/>
        <v/>
      </c>
      <c r="H153" s="6" t="str">
        <f t="shared" si="29"/>
        <v/>
      </c>
      <c r="I153" s="17"/>
      <c r="J153" s="17"/>
      <c r="K153" s="6" t="str">
        <f t="shared" si="30"/>
        <v/>
      </c>
      <c r="L153" s="1"/>
      <c r="M153" s="1"/>
      <c r="N153" s="1"/>
      <c r="O153" s="1"/>
    </row>
    <row r="154" spans="1:15" ht="1.9" customHeight="1">
      <c r="A154" s="16"/>
      <c r="B154" s="17"/>
      <c r="C154" s="18"/>
      <c r="D154" s="19" t="str">
        <f t="shared" si="25"/>
        <v/>
      </c>
      <c r="E154" s="19" t="str">
        <f t="shared" si="26"/>
        <v/>
      </c>
      <c r="F154" s="19" t="str">
        <f t="shared" si="27"/>
        <v/>
      </c>
      <c r="G154" s="19" t="str">
        <f t="shared" si="28"/>
        <v/>
      </c>
      <c r="H154" s="6" t="str">
        <f t="shared" si="29"/>
        <v/>
      </c>
      <c r="I154" s="17"/>
      <c r="J154" s="17"/>
      <c r="K154" s="6" t="str">
        <f t="shared" si="30"/>
        <v/>
      </c>
      <c r="L154" s="1"/>
      <c r="M154" s="1"/>
      <c r="N154" s="1"/>
      <c r="O154" s="1"/>
    </row>
    <row r="155" spans="1:15" ht="1.9" customHeight="1">
      <c r="A155" s="16"/>
      <c r="B155" s="17"/>
      <c r="C155" s="18"/>
      <c r="D155" s="19" t="str">
        <f t="shared" si="25"/>
        <v/>
      </c>
      <c r="E155" s="19" t="str">
        <f t="shared" si="26"/>
        <v/>
      </c>
      <c r="F155" s="19" t="str">
        <f t="shared" si="27"/>
        <v/>
      </c>
      <c r="G155" s="19" t="str">
        <f t="shared" si="28"/>
        <v/>
      </c>
      <c r="H155" s="6" t="str">
        <f t="shared" si="29"/>
        <v/>
      </c>
      <c r="I155" s="17"/>
      <c r="J155" s="17"/>
      <c r="K155" s="6" t="str">
        <f t="shared" si="30"/>
        <v/>
      </c>
      <c r="L155" s="1"/>
      <c r="M155" s="1"/>
      <c r="N155" s="1"/>
      <c r="O155" s="1"/>
    </row>
    <row r="156" spans="1:15" ht="1.9" customHeight="1">
      <c r="A156" s="16"/>
      <c r="B156" s="17"/>
      <c r="C156" s="18"/>
      <c r="D156" s="19" t="str">
        <f t="shared" si="25"/>
        <v/>
      </c>
      <c r="E156" s="19" t="str">
        <f t="shared" si="26"/>
        <v/>
      </c>
      <c r="F156" s="19" t="str">
        <f t="shared" si="27"/>
        <v/>
      </c>
      <c r="G156" s="19" t="str">
        <f t="shared" si="28"/>
        <v/>
      </c>
      <c r="H156" s="6" t="str">
        <f t="shared" si="29"/>
        <v/>
      </c>
      <c r="I156" s="17"/>
      <c r="J156" s="17"/>
      <c r="K156" s="6" t="str">
        <f t="shared" si="30"/>
        <v/>
      </c>
      <c r="L156" s="1"/>
      <c r="M156" s="1"/>
      <c r="N156" s="1"/>
      <c r="O156" s="1"/>
    </row>
    <row r="157" spans="1:15" ht="1.9" customHeight="1">
      <c r="A157" s="16"/>
      <c r="B157" s="17"/>
      <c r="C157" s="18"/>
      <c r="D157" s="19" t="str">
        <f t="shared" si="25"/>
        <v/>
      </c>
      <c r="E157" s="19" t="str">
        <f t="shared" si="26"/>
        <v/>
      </c>
      <c r="F157" s="19" t="str">
        <f t="shared" si="27"/>
        <v/>
      </c>
      <c r="G157" s="19" t="str">
        <f t="shared" si="28"/>
        <v/>
      </c>
      <c r="H157" s="6" t="str">
        <f t="shared" si="29"/>
        <v/>
      </c>
      <c r="I157" s="17"/>
      <c r="J157" s="17"/>
      <c r="K157" s="6" t="str">
        <f t="shared" si="30"/>
        <v/>
      </c>
      <c r="L157" s="1"/>
      <c r="M157" s="1"/>
      <c r="N157" s="1"/>
      <c r="O157" s="1"/>
    </row>
    <row r="158" spans="1:15" ht="1.9" customHeight="1">
      <c r="A158" s="16"/>
      <c r="B158" s="17"/>
      <c r="C158" s="18"/>
      <c r="D158" s="19" t="str">
        <f t="shared" si="25"/>
        <v/>
      </c>
      <c r="E158" s="19" t="str">
        <f t="shared" si="26"/>
        <v/>
      </c>
      <c r="F158" s="19" t="str">
        <f t="shared" si="27"/>
        <v/>
      </c>
      <c r="G158" s="19" t="str">
        <f t="shared" si="28"/>
        <v/>
      </c>
      <c r="H158" s="6" t="str">
        <f t="shared" si="29"/>
        <v/>
      </c>
      <c r="I158" s="17"/>
      <c r="J158" s="17"/>
      <c r="K158" s="6" t="str">
        <f t="shared" si="30"/>
        <v/>
      </c>
      <c r="L158" s="1"/>
      <c r="M158" s="1"/>
      <c r="N158" s="1"/>
      <c r="O158" s="1"/>
    </row>
    <row r="159" spans="1:15" ht="1.9" customHeight="1">
      <c r="A159" s="16"/>
      <c r="B159" s="17"/>
      <c r="C159" s="18"/>
      <c r="D159" s="19" t="str">
        <f t="shared" si="25"/>
        <v/>
      </c>
      <c r="E159" s="19" t="str">
        <f t="shared" si="26"/>
        <v/>
      </c>
      <c r="F159" s="19" t="str">
        <f t="shared" si="27"/>
        <v/>
      </c>
      <c r="G159" s="19" t="str">
        <f t="shared" si="28"/>
        <v/>
      </c>
      <c r="H159" s="6" t="str">
        <f t="shared" si="29"/>
        <v/>
      </c>
      <c r="I159" s="17"/>
      <c r="J159" s="17"/>
      <c r="K159" s="6" t="str">
        <f t="shared" si="30"/>
        <v/>
      </c>
      <c r="L159" s="1"/>
      <c r="M159" s="1"/>
      <c r="N159" s="1"/>
      <c r="O159" s="1"/>
    </row>
    <row r="160" spans="1:15" ht="1.9" customHeight="1">
      <c r="A160" s="16"/>
      <c r="B160" s="17"/>
      <c r="C160" s="18"/>
      <c r="D160" s="19" t="str">
        <f t="shared" si="25"/>
        <v/>
      </c>
      <c r="E160" s="19" t="str">
        <f t="shared" si="26"/>
        <v/>
      </c>
      <c r="F160" s="19" t="str">
        <f t="shared" si="27"/>
        <v/>
      </c>
      <c r="G160" s="19" t="str">
        <f t="shared" si="28"/>
        <v/>
      </c>
      <c r="H160" s="6" t="str">
        <f t="shared" si="29"/>
        <v/>
      </c>
      <c r="I160" s="17"/>
      <c r="J160" s="17"/>
      <c r="K160" s="6" t="str">
        <f t="shared" si="30"/>
        <v/>
      </c>
      <c r="L160" s="1"/>
      <c r="M160" s="1"/>
      <c r="N160" s="1"/>
      <c r="O160" s="1"/>
    </row>
    <row r="161" spans="1:15" ht="1.9" customHeight="1">
      <c r="A161" s="16"/>
      <c r="B161" s="17"/>
      <c r="C161" s="18"/>
      <c r="D161" s="19" t="str">
        <f t="shared" si="25"/>
        <v/>
      </c>
      <c r="E161" s="19" t="str">
        <f t="shared" si="26"/>
        <v/>
      </c>
      <c r="F161" s="19" t="str">
        <f t="shared" si="27"/>
        <v/>
      </c>
      <c r="G161" s="19" t="str">
        <f t="shared" si="28"/>
        <v/>
      </c>
      <c r="H161" s="6" t="str">
        <f t="shared" si="29"/>
        <v/>
      </c>
      <c r="I161" s="17"/>
      <c r="J161" s="17"/>
      <c r="K161" s="6" t="str">
        <f t="shared" si="30"/>
        <v/>
      </c>
      <c r="L161" s="1"/>
      <c r="M161" s="1"/>
      <c r="N161" s="1"/>
      <c r="O161" s="1"/>
    </row>
    <row r="162" spans="1:15" ht="1.9" customHeight="1">
      <c r="A162" s="16"/>
      <c r="B162" s="17"/>
      <c r="C162" s="18"/>
      <c r="D162" s="19" t="str">
        <f t="shared" si="25"/>
        <v/>
      </c>
      <c r="E162" s="19" t="str">
        <f t="shared" si="26"/>
        <v/>
      </c>
      <c r="F162" s="19" t="str">
        <f t="shared" si="27"/>
        <v/>
      </c>
      <c r="G162" s="19" t="str">
        <f t="shared" si="28"/>
        <v/>
      </c>
      <c r="H162" s="6" t="str">
        <f t="shared" si="29"/>
        <v/>
      </c>
      <c r="I162" s="17"/>
      <c r="J162" s="17"/>
      <c r="K162" s="6" t="str">
        <f t="shared" si="30"/>
        <v/>
      </c>
      <c r="L162" s="1"/>
      <c r="M162" s="1"/>
      <c r="N162" s="1"/>
      <c r="O162" s="1"/>
    </row>
    <row r="163" spans="1:15" ht="1.9" customHeight="1">
      <c r="A163" s="16"/>
      <c r="B163" s="17"/>
      <c r="C163" s="18"/>
      <c r="D163" s="19" t="str">
        <f t="shared" si="25"/>
        <v/>
      </c>
      <c r="E163" s="19" t="str">
        <f t="shared" si="26"/>
        <v/>
      </c>
      <c r="F163" s="19" t="str">
        <f t="shared" si="27"/>
        <v/>
      </c>
      <c r="G163" s="19" t="str">
        <f t="shared" si="28"/>
        <v/>
      </c>
      <c r="H163" s="6" t="str">
        <f t="shared" si="29"/>
        <v/>
      </c>
      <c r="I163" s="17"/>
      <c r="J163" s="17"/>
      <c r="K163" s="6" t="str">
        <f t="shared" si="30"/>
        <v/>
      </c>
      <c r="L163" s="1"/>
      <c r="M163" s="1"/>
      <c r="N163" s="1"/>
      <c r="O163" s="1"/>
    </row>
    <row r="164" spans="1:15" ht="1.9" customHeight="1">
      <c r="A164" s="16"/>
      <c r="B164" s="17"/>
      <c r="C164" s="18"/>
      <c r="D164" s="19" t="str">
        <f t="shared" si="25"/>
        <v/>
      </c>
      <c r="E164" s="19" t="str">
        <f t="shared" si="26"/>
        <v/>
      </c>
      <c r="F164" s="19" t="str">
        <f t="shared" si="27"/>
        <v/>
      </c>
      <c r="G164" s="19" t="str">
        <f t="shared" si="28"/>
        <v/>
      </c>
      <c r="H164" s="6" t="str">
        <f t="shared" si="29"/>
        <v/>
      </c>
      <c r="I164" s="17"/>
      <c r="J164" s="17"/>
      <c r="K164" s="6" t="str">
        <f t="shared" si="30"/>
        <v/>
      </c>
      <c r="L164" s="1"/>
      <c r="M164" s="1"/>
      <c r="N164" s="1"/>
      <c r="O164" s="1"/>
    </row>
    <row r="165" spans="1:15" ht="1.9" customHeight="1">
      <c r="A165" s="16"/>
      <c r="B165" s="17"/>
      <c r="C165" s="18"/>
      <c r="D165" s="19" t="str">
        <f t="shared" ref="D165:D196" si="31">IF(C165="","",C165*0.55)</f>
        <v/>
      </c>
      <c r="E165" s="19" t="str">
        <f t="shared" ref="E165:E196" si="32">IF(C165="","",C165*0.2)</f>
        <v/>
      </c>
      <c r="F165" s="19" t="str">
        <f t="shared" ref="F165:F196" si="33">IF(C165="","",C165*0.15)</f>
        <v/>
      </c>
      <c r="G165" s="19" t="str">
        <f t="shared" ref="G165:G196" si="34">IF(C165="","",C165*0.1)</f>
        <v/>
      </c>
      <c r="H165" s="6" t="str">
        <f t="shared" ref="H165:H196" si="35">IF(A165="","", "Semana "&amp;(WEEKNUM(A165,2)-WEEKNUM(DATE(YEAR(A165),MONTH(A165),1),2)+1))</f>
        <v/>
      </c>
      <c r="I165" s="17"/>
      <c r="J165" s="17"/>
      <c r="K165" s="6" t="str">
        <f t="shared" ref="K165:K196" si="36">IF(A165="","",IF(MONTH(A165)=5,"mayo",IF(MONTH(A165)=4,"abril",TEXT(A165,"mmmm"))))</f>
        <v/>
      </c>
      <c r="L165" s="1"/>
      <c r="M165" s="1"/>
      <c r="N165" s="1"/>
      <c r="O165" s="1"/>
    </row>
    <row r="166" spans="1:15" ht="1.9" customHeight="1">
      <c r="A166" s="16"/>
      <c r="B166" s="17"/>
      <c r="C166" s="18"/>
      <c r="D166" s="19" t="str">
        <f t="shared" si="31"/>
        <v/>
      </c>
      <c r="E166" s="19" t="str">
        <f t="shared" si="32"/>
        <v/>
      </c>
      <c r="F166" s="19" t="str">
        <f t="shared" si="33"/>
        <v/>
      </c>
      <c r="G166" s="19" t="str">
        <f t="shared" si="34"/>
        <v/>
      </c>
      <c r="H166" s="6" t="str">
        <f t="shared" si="35"/>
        <v/>
      </c>
      <c r="I166" s="17"/>
      <c r="J166" s="17"/>
      <c r="K166" s="6" t="str">
        <f t="shared" si="36"/>
        <v/>
      </c>
      <c r="L166" s="1"/>
      <c r="M166" s="1"/>
      <c r="N166" s="1"/>
      <c r="O166" s="1"/>
    </row>
    <row r="167" spans="1:15" ht="1.9" customHeight="1">
      <c r="A167" s="16"/>
      <c r="B167" s="17"/>
      <c r="C167" s="18"/>
      <c r="D167" s="19" t="str">
        <f t="shared" si="31"/>
        <v/>
      </c>
      <c r="E167" s="19" t="str">
        <f t="shared" si="32"/>
        <v/>
      </c>
      <c r="F167" s="19" t="str">
        <f t="shared" si="33"/>
        <v/>
      </c>
      <c r="G167" s="19" t="str">
        <f t="shared" si="34"/>
        <v/>
      </c>
      <c r="H167" s="6" t="str">
        <f t="shared" si="35"/>
        <v/>
      </c>
      <c r="I167" s="17"/>
      <c r="J167" s="17"/>
      <c r="K167" s="6" t="str">
        <f t="shared" si="36"/>
        <v/>
      </c>
      <c r="L167" s="1"/>
      <c r="M167" s="1"/>
      <c r="N167" s="1"/>
      <c r="O167" s="1"/>
    </row>
    <row r="168" spans="1:15" ht="1.9" customHeight="1">
      <c r="A168" s="16"/>
      <c r="B168" s="17"/>
      <c r="C168" s="18"/>
      <c r="D168" s="19" t="str">
        <f t="shared" si="31"/>
        <v/>
      </c>
      <c r="E168" s="19" t="str">
        <f t="shared" si="32"/>
        <v/>
      </c>
      <c r="F168" s="19" t="str">
        <f t="shared" si="33"/>
        <v/>
      </c>
      <c r="G168" s="19" t="str">
        <f t="shared" si="34"/>
        <v/>
      </c>
      <c r="H168" s="6" t="str">
        <f t="shared" si="35"/>
        <v/>
      </c>
      <c r="I168" s="17"/>
      <c r="J168" s="17"/>
      <c r="K168" s="6" t="str">
        <f t="shared" si="36"/>
        <v/>
      </c>
      <c r="L168" s="1"/>
      <c r="M168" s="1"/>
      <c r="N168" s="1"/>
      <c r="O168" s="1"/>
    </row>
    <row r="169" spans="1:15" ht="1.9" customHeight="1">
      <c r="A169" s="16"/>
      <c r="B169" s="17"/>
      <c r="C169" s="18"/>
      <c r="D169" s="19" t="str">
        <f t="shared" si="31"/>
        <v/>
      </c>
      <c r="E169" s="19" t="str">
        <f t="shared" si="32"/>
        <v/>
      </c>
      <c r="F169" s="19" t="str">
        <f t="shared" si="33"/>
        <v/>
      </c>
      <c r="G169" s="19" t="str">
        <f t="shared" si="34"/>
        <v/>
      </c>
      <c r="H169" s="6" t="str">
        <f t="shared" si="35"/>
        <v/>
      </c>
      <c r="I169" s="17"/>
      <c r="J169" s="17"/>
      <c r="K169" s="6" t="str">
        <f t="shared" si="36"/>
        <v/>
      </c>
      <c r="L169" s="1"/>
      <c r="M169" s="1"/>
      <c r="N169" s="1"/>
      <c r="O169" s="1"/>
    </row>
    <row r="170" spans="1:15" ht="1.9" customHeight="1">
      <c r="A170" s="16"/>
      <c r="B170" s="17"/>
      <c r="C170" s="18"/>
      <c r="D170" s="19" t="str">
        <f t="shared" si="31"/>
        <v/>
      </c>
      <c r="E170" s="19" t="str">
        <f t="shared" si="32"/>
        <v/>
      </c>
      <c r="F170" s="19" t="str">
        <f t="shared" si="33"/>
        <v/>
      </c>
      <c r="G170" s="19" t="str">
        <f t="shared" si="34"/>
        <v/>
      </c>
      <c r="H170" s="6" t="str">
        <f t="shared" si="35"/>
        <v/>
      </c>
      <c r="I170" s="17"/>
      <c r="J170" s="17"/>
      <c r="K170" s="6" t="str">
        <f t="shared" si="36"/>
        <v/>
      </c>
      <c r="L170" s="1"/>
      <c r="M170" s="1"/>
      <c r="N170" s="1"/>
      <c r="O170" s="1"/>
    </row>
    <row r="171" spans="1:15" ht="1.9" customHeight="1">
      <c r="A171" s="16"/>
      <c r="B171" s="17"/>
      <c r="C171" s="18"/>
      <c r="D171" s="19" t="str">
        <f t="shared" si="31"/>
        <v/>
      </c>
      <c r="E171" s="19" t="str">
        <f t="shared" si="32"/>
        <v/>
      </c>
      <c r="F171" s="19" t="str">
        <f t="shared" si="33"/>
        <v/>
      </c>
      <c r="G171" s="19" t="str">
        <f t="shared" si="34"/>
        <v/>
      </c>
      <c r="H171" s="6" t="str">
        <f t="shared" si="35"/>
        <v/>
      </c>
      <c r="I171" s="17"/>
      <c r="J171" s="17"/>
      <c r="K171" s="6" t="str">
        <f t="shared" si="36"/>
        <v/>
      </c>
      <c r="L171" s="1"/>
      <c r="M171" s="1"/>
      <c r="N171" s="1"/>
      <c r="O171" s="1"/>
    </row>
    <row r="172" spans="1:15" ht="1.9" customHeight="1">
      <c r="A172" s="16"/>
      <c r="B172" s="17"/>
      <c r="C172" s="18"/>
      <c r="D172" s="19" t="str">
        <f t="shared" si="31"/>
        <v/>
      </c>
      <c r="E172" s="19" t="str">
        <f t="shared" si="32"/>
        <v/>
      </c>
      <c r="F172" s="19" t="str">
        <f t="shared" si="33"/>
        <v/>
      </c>
      <c r="G172" s="19" t="str">
        <f t="shared" si="34"/>
        <v/>
      </c>
      <c r="H172" s="6" t="str">
        <f t="shared" si="35"/>
        <v/>
      </c>
      <c r="I172" s="17"/>
      <c r="J172" s="17"/>
      <c r="K172" s="6" t="str">
        <f t="shared" si="36"/>
        <v/>
      </c>
      <c r="L172" s="1"/>
      <c r="M172" s="1"/>
      <c r="N172" s="1"/>
      <c r="O172" s="1"/>
    </row>
    <row r="173" spans="1:15" ht="1.9" customHeight="1">
      <c r="A173" s="16"/>
      <c r="B173" s="17"/>
      <c r="C173" s="18"/>
      <c r="D173" s="19" t="str">
        <f t="shared" si="31"/>
        <v/>
      </c>
      <c r="E173" s="19" t="str">
        <f t="shared" si="32"/>
        <v/>
      </c>
      <c r="F173" s="19" t="str">
        <f t="shared" si="33"/>
        <v/>
      </c>
      <c r="G173" s="19" t="str">
        <f t="shared" si="34"/>
        <v/>
      </c>
      <c r="H173" s="6" t="str">
        <f t="shared" si="35"/>
        <v/>
      </c>
      <c r="I173" s="17"/>
      <c r="J173" s="17"/>
      <c r="K173" s="6" t="str">
        <f t="shared" si="36"/>
        <v/>
      </c>
      <c r="L173" s="1"/>
      <c r="M173" s="1"/>
      <c r="N173" s="1"/>
      <c r="O173" s="1"/>
    </row>
    <row r="174" spans="1:15" ht="1.9" customHeight="1">
      <c r="A174" s="16"/>
      <c r="B174" s="17"/>
      <c r="C174" s="18"/>
      <c r="D174" s="19" t="str">
        <f t="shared" si="31"/>
        <v/>
      </c>
      <c r="E174" s="19" t="str">
        <f t="shared" si="32"/>
        <v/>
      </c>
      <c r="F174" s="19" t="str">
        <f t="shared" si="33"/>
        <v/>
      </c>
      <c r="G174" s="19" t="str">
        <f t="shared" si="34"/>
        <v/>
      </c>
      <c r="H174" s="6" t="str">
        <f t="shared" si="35"/>
        <v/>
      </c>
      <c r="I174" s="17"/>
      <c r="J174" s="17"/>
      <c r="K174" s="6" t="str">
        <f t="shared" si="36"/>
        <v/>
      </c>
      <c r="L174" s="1"/>
      <c r="M174" s="1"/>
      <c r="N174" s="1"/>
      <c r="O174" s="1"/>
    </row>
    <row r="175" spans="1:15" ht="1.9" customHeight="1">
      <c r="A175" s="16"/>
      <c r="B175" s="17"/>
      <c r="C175" s="18"/>
      <c r="D175" s="19" t="str">
        <f t="shared" si="31"/>
        <v/>
      </c>
      <c r="E175" s="19" t="str">
        <f t="shared" si="32"/>
        <v/>
      </c>
      <c r="F175" s="19" t="str">
        <f t="shared" si="33"/>
        <v/>
      </c>
      <c r="G175" s="19" t="str">
        <f t="shared" si="34"/>
        <v/>
      </c>
      <c r="H175" s="6" t="str">
        <f t="shared" si="35"/>
        <v/>
      </c>
      <c r="I175" s="17"/>
      <c r="J175" s="17"/>
      <c r="K175" s="6" t="str">
        <f t="shared" si="36"/>
        <v/>
      </c>
      <c r="L175" s="1"/>
      <c r="M175" s="1"/>
      <c r="N175" s="1"/>
      <c r="O175" s="1"/>
    </row>
    <row r="176" spans="1:15" ht="1.9" customHeight="1">
      <c r="A176" s="16"/>
      <c r="B176" s="17"/>
      <c r="C176" s="18"/>
      <c r="D176" s="19" t="str">
        <f t="shared" si="31"/>
        <v/>
      </c>
      <c r="E176" s="19" t="str">
        <f t="shared" si="32"/>
        <v/>
      </c>
      <c r="F176" s="19" t="str">
        <f t="shared" si="33"/>
        <v/>
      </c>
      <c r="G176" s="19" t="str">
        <f t="shared" si="34"/>
        <v/>
      </c>
      <c r="H176" s="6" t="str">
        <f t="shared" si="35"/>
        <v/>
      </c>
      <c r="I176" s="17"/>
      <c r="J176" s="17"/>
      <c r="K176" s="6" t="str">
        <f t="shared" si="36"/>
        <v/>
      </c>
      <c r="L176" s="1"/>
      <c r="M176" s="1"/>
      <c r="N176" s="1"/>
      <c r="O176" s="1"/>
    </row>
    <row r="177" spans="1:15" ht="1.9" customHeight="1">
      <c r="A177" s="16"/>
      <c r="B177" s="17"/>
      <c r="C177" s="18"/>
      <c r="D177" s="19" t="str">
        <f t="shared" si="31"/>
        <v/>
      </c>
      <c r="E177" s="19" t="str">
        <f t="shared" si="32"/>
        <v/>
      </c>
      <c r="F177" s="19" t="str">
        <f t="shared" si="33"/>
        <v/>
      </c>
      <c r="G177" s="19" t="str">
        <f t="shared" si="34"/>
        <v/>
      </c>
      <c r="H177" s="6" t="str">
        <f t="shared" si="35"/>
        <v/>
      </c>
      <c r="I177" s="17"/>
      <c r="J177" s="17"/>
      <c r="K177" s="6" t="str">
        <f t="shared" si="36"/>
        <v/>
      </c>
      <c r="L177" s="1"/>
      <c r="M177" s="1"/>
      <c r="N177" s="1"/>
      <c r="O177" s="1"/>
    </row>
    <row r="178" spans="1:15" ht="1.9" customHeight="1">
      <c r="A178" s="16"/>
      <c r="B178" s="17"/>
      <c r="C178" s="18"/>
      <c r="D178" s="19" t="str">
        <f t="shared" si="31"/>
        <v/>
      </c>
      <c r="E178" s="19" t="str">
        <f t="shared" si="32"/>
        <v/>
      </c>
      <c r="F178" s="19" t="str">
        <f t="shared" si="33"/>
        <v/>
      </c>
      <c r="G178" s="19" t="str">
        <f t="shared" si="34"/>
        <v/>
      </c>
      <c r="H178" s="6" t="str">
        <f t="shared" si="35"/>
        <v/>
      </c>
      <c r="I178" s="17"/>
      <c r="J178" s="17"/>
      <c r="K178" s="6" t="str">
        <f t="shared" si="36"/>
        <v/>
      </c>
      <c r="L178" s="1"/>
      <c r="M178" s="1"/>
      <c r="N178" s="1"/>
      <c r="O178" s="1"/>
    </row>
    <row r="179" spans="1:15" ht="1.9" customHeight="1">
      <c r="A179" s="16"/>
      <c r="B179" s="17"/>
      <c r="C179" s="18"/>
      <c r="D179" s="19" t="str">
        <f t="shared" si="31"/>
        <v/>
      </c>
      <c r="E179" s="19" t="str">
        <f t="shared" si="32"/>
        <v/>
      </c>
      <c r="F179" s="19" t="str">
        <f t="shared" si="33"/>
        <v/>
      </c>
      <c r="G179" s="19" t="str">
        <f t="shared" si="34"/>
        <v/>
      </c>
      <c r="H179" s="6" t="str">
        <f t="shared" si="35"/>
        <v/>
      </c>
      <c r="I179" s="17"/>
      <c r="J179" s="17"/>
      <c r="K179" s="6" t="str">
        <f t="shared" si="36"/>
        <v/>
      </c>
      <c r="L179" s="1"/>
      <c r="M179" s="1"/>
      <c r="N179" s="1"/>
      <c r="O179" s="1"/>
    </row>
    <row r="180" spans="1:15" ht="1.9" customHeight="1">
      <c r="A180" s="16"/>
      <c r="B180" s="17"/>
      <c r="C180" s="18"/>
      <c r="D180" s="19" t="str">
        <f t="shared" si="31"/>
        <v/>
      </c>
      <c r="E180" s="19" t="str">
        <f t="shared" si="32"/>
        <v/>
      </c>
      <c r="F180" s="19" t="str">
        <f t="shared" si="33"/>
        <v/>
      </c>
      <c r="G180" s="19" t="str">
        <f t="shared" si="34"/>
        <v/>
      </c>
      <c r="H180" s="6" t="str">
        <f t="shared" si="35"/>
        <v/>
      </c>
      <c r="I180" s="17"/>
      <c r="J180" s="17"/>
      <c r="K180" s="6" t="str">
        <f t="shared" si="36"/>
        <v/>
      </c>
      <c r="L180" s="1"/>
      <c r="M180" s="1"/>
      <c r="N180" s="1"/>
      <c r="O180" s="1"/>
    </row>
    <row r="181" spans="1:15" ht="1.9" customHeight="1">
      <c r="A181" s="16"/>
      <c r="B181" s="17"/>
      <c r="C181" s="18"/>
      <c r="D181" s="19" t="str">
        <f t="shared" si="31"/>
        <v/>
      </c>
      <c r="E181" s="19" t="str">
        <f t="shared" si="32"/>
        <v/>
      </c>
      <c r="F181" s="19" t="str">
        <f t="shared" si="33"/>
        <v/>
      </c>
      <c r="G181" s="19" t="str">
        <f t="shared" si="34"/>
        <v/>
      </c>
      <c r="H181" s="6" t="str">
        <f t="shared" si="35"/>
        <v/>
      </c>
      <c r="I181" s="17"/>
      <c r="J181" s="17"/>
      <c r="K181" s="6" t="str">
        <f t="shared" si="36"/>
        <v/>
      </c>
      <c r="L181" s="1"/>
      <c r="M181" s="1"/>
      <c r="N181" s="1"/>
      <c r="O181" s="1"/>
    </row>
    <row r="182" spans="1:15" ht="1.9" customHeight="1">
      <c r="A182" s="16"/>
      <c r="B182" s="17"/>
      <c r="C182" s="18"/>
      <c r="D182" s="19" t="str">
        <f t="shared" si="31"/>
        <v/>
      </c>
      <c r="E182" s="19" t="str">
        <f t="shared" si="32"/>
        <v/>
      </c>
      <c r="F182" s="19" t="str">
        <f t="shared" si="33"/>
        <v/>
      </c>
      <c r="G182" s="19" t="str">
        <f t="shared" si="34"/>
        <v/>
      </c>
      <c r="H182" s="6" t="str">
        <f t="shared" si="35"/>
        <v/>
      </c>
      <c r="I182" s="17"/>
      <c r="J182" s="17"/>
      <c r="K182" s="6" t="str">
        <f t="shared" si="36"/>
        <v/>
      </c>
      <c r="L182" s="1"/>
      <c r="M182" s="1"/>
      <c r="N182" s="1"/>
      <c r="O182" s="1"/>
    </row>
    <row r="183" spans="1:15" ht="1.9" customHeight="1">
      <c r="A183" s="16"/>
      <c r="B183" s="17"/>
      <c r="C183" s="18"/>
      <c r="D183" s="19" t="str">
        <f t="shared" si="31"/>
        <v/>
      </c>
      <c r="E183" s="19" t="str">
        <f t="shared" si="32"/>
        <v/>
      </c>
      <c r="F183" s="19" t="str">
        <f t="shared" si="33"/>
        <v/>
      </c>
      <c r="G183" s="19" t="str">
        <f t="shared" si="34"/>
        <v/>
      </c>
      <c r="H183" s="6" t="str">
        <f t="shared" si="35"/>
        <v/>
      </c>
      <c r="I183" s="17"/>
      <c r="J183" s="17"/>
      <c r="K183" s="6" t="str">
        <f t="shared" si="36"/>
        <v/>
      </c>
      <c r="L183" s="1"/>
      <c r="M183" s="1"/>
      <c r="N183" s="1"/>
      <c r="O183" s="1"/>
    </row>
    <row r="184" spans="1:15" ht="1.9" customHeight="1">
      <c r="A184" s="16"/>
      <c r="B184" s="17"/>
      <c r="C184" s="18"/>
      <c r="D184" s="19" t="str">
        <f t="shared" si="31"/>
        <v/>
      </c>
      <c r="E184" s="19" t="str">
        <f t="shared" si="32"/>
        <v/>
      </c>
      <c r="F184" s="19" t="str">
        <f t="shared" si="33"/>
        <v/>
      </c>
      <c r="G184" s="19" t="str">
        <f t="shared" si="34"/>
        <v/>
      </c>
      <c r="H184" s="6" t="str">
        <f t="shared" si="35"/>
        <v/>
      </c>
      <c r="I184" s="17"/>
      <c r="J184" s="17"/>
      <c r="K184" s="6" t="str">
        <f t="shared" si="36"/>
        <v/>
      </c>
      <c r="L184" s="1"/>
      <c r="M184" s="1"/>
      <c r="N184" s="1"/>
      <c r="O184" s="1"/>
    </row>
    <row r="185" spans="1:15" ht="1.9" customHeight="1">
      <c r="A185" s="16"/>
      <c r="B185" s="17"/>
      <c r="C185" s="18"/>
      <c r="D185" s="19" t="str">
        <f t="shared" si="31"/>
        <v/>
      </c>
      <c r="E185" s="19" t="str">
        <f t="shared" si="32"/>
        <v/>
      </c>
      <c r="F185" s="19" t="str">
        <f t="shared" si="33"/>
        <v/>
      </c>
      <c r="G185" s="19" t="str">
        <f t="shared" si="34"/>
        <v/>
      </c>
      <c r="H185" s="6" t="str">
        <f t="shared" si="35"/>
        <v/>
      </c>
      <c r="I185" s="17"/>
      <c r="J185" s="17"/>
      <c r="K185" s="6" t="str">
        <f t="shared" si="36"/>
        <v/>
      </c>
      <c r="L185" s="1"/>
      <c r="M185" s="1"/>
      <c r="N185" s="1"/>
      <c r="O185" s="1"/>
    </row>
    <row r="186" spans="1:15" ht="1.9" customHeight="1">
      <c r="A186" s="16"/>
      <c r="B186" s="17"/>
      <c r="C186" s="18"/>
      <c r="D186" s="19" t="str">
        <f t="shared" si="31"/>
        <v/>
      </c>
      <c r="E186" s="19" t="str">
        <f t="shared" si="32"/>
        <v/>
      </c>
      <c r="F186" s="19" t="str">
        <f t="shared" si="33"/>
        <v/>
      </c>
      <c r="G186" s="19" t="str">
        <f t="shared" si="34"/>
        <v/>
      </c>
      <c r="H186" s="6" t="str">
        <f t="shared" si="35"/>
        <v/>
      </c>
      <c r="I186" s="17"/>
      <c r="J186" s="17"/>
      <c r="K186" s="6" t="str">
        <f t="shared" si="36"/>
        <v/>
      </c>
      <c r="L186" s="1"/>
      <c r="M186" s="1"/>
      <c r="N186" s="1"/>
      <c r="O186" s="1"/>
    </row>
    <row r="187" spans="1:15" ht="1.9" customHeight="1">
      <c r="A187" s="16"/>
      <c r="B187" s="17"/>
      <c r="C187" s="18"/>
      <c r="D187" s="19" t="str">
        <f t="shared" si="31"/>
        <v/>
      </c>
      <c r="E187" s="19" t="str">
        <f t="shared" si="32"/>
        <v/>
      </c>
      <c r="F187" s="19" t="str">
        <f t="shared" si="33"/>
        <v/>
      </c>
      <c r="G187" s="19" t="str">
        <f t="shared" si="34"/>
        <v/>
      </c>
      <c r="H187" s="6" t="str">
        <f t="shared" si="35"/>
        <v/>
      </c>
      <c r="I187" s="17"/>
      <c r="J187" s="17"/>
      <c r="K187" s="6" t="str">
        <f t="shared" si="36"/>
        <v/>
      </c>
      <c r="L187" s="1"/>
      <c r="M187" s="1"/>
      <c r="N187" s="1"/>
      <c r="O187" s="1"/>
    </row>
    <row r="188" spans="1:15" ht="1.9" customHeight="1">
      <c r="A188" s="16"/>
      <c r="B188" s="17"/>
      <c r="C188" s="18"/>
      <c r="D188" s="19" t="str">
        <f t="shared" si="31"/>
        <v/>
      </c>
      <c r="E188" s="19" t="str">
        <f t="shared" si="32"/>
        <v/>
      </c>
      <c r="F188" s="19" t="str">
        <f t="shared" si="33"/>
        <v/>
      </c>
      <c r="G188" s="19" t="str">
        <f t="shared" si="34"/>
        <v/>
      </c>
      <c r="H188" s="6" t="str">
        <f t="shared" si="35"/>
        <v/>
      </c>
      <c r="I188" s="17"/>
      <c r="J188" s="17"/>
      <c r="K188" s="6" t="str">
        <f t="shared" si="36"/>
        <v/>
      </c>
      <c r="L188" s="1"/>
      <c r="M188" s="1"/>
      <c r="N188" s="1"/>
      <c r="O188" s="1"/>
    </row>
    <row r="189" spans="1:15" ht="1.9" customHeight="1">
      <c r="A189" s="16"/>
      <c r="B189" s="17"/>
      <c r="C189" s="18"/>
      <c r="D189" s="19" t="str">
        <f t="shared" si="31"/>
        <v/>
      </c>
      <c r="E189" s="19" t="str">
        <f t="shared" si="32"/>
        <v/>
      </c>
      <c r="F189" s="19" t="str">
        <f t="shared" si="33"/>
        <v/>
      </c>
      <c r="G189" s="19" t="str">
        <f t="shared" si="34"/>
        <v/>
      </c>
      <c r="H189" s="6" t="str">
        <f t="shared" si="35"/>
        <v/>
      </c>
      <c r="I189" s="17"/>
      <c r="J189" s="17"/>
      <c r="K189" s="6" t="str">
        <f t="shared" si="36"/>
        <v/>
      </c>
      <c r="L189" s="1"/>
      <c r="M189" s="1"/>
      <c r="N189" s="1"/>
      <c r="O189" s="1"/>
    </row>
    <row r="190" spans="1:15" ht="1.9" customHeight="1">
      <c r="A190" s="16"/>
      <c r="B190" s="17"/>
      <c r="C190" s="18"/>
      <c r="D190" s="19" t="str">
        <f t="shared" si="31"/>
        <v/>
      </c>
      <c r="E190" s="19" t="str">
        <f t="shared" si="32"/>
        <v/>
      </c>
      <c r="F190" s="19" t="str">
        <f t="shared" si="33"/>
        <v/>
      </c>
      <c r="G190" s="19" t="str">
        <f t="shared" si="34"/>
        <v/>
      </c>
      <c r="H190" s="6" t="str">
        <f t="shared" si="35"/>
        <v/>
      </c>
      <c r="I190" s="17"/>
      <c r="J190" s="17"/>
      <c r="K190" s="6" t="str">
        <f t="shared" si="36"/>
        <v/>
      </c>
      <c r="L190" s="1"/>
      <c r="M190" s="1"/>
      <c r="N190" s="1"/>
      <c r="O190" s="1"/>
    </row>
    <row r="191" spans="1:15" ht="1.9" customHeight="1">
      <c r="A191" s="16"/>
      <c r="B191" s="17"/>
      <c r="C191" s="18"/>
      <c r="D191" s="19" t="str">
        <f t="shared" si="31"/>
        <v/>
      </c>
      <c r="E191" s="19" t="str">
        <f t="shared" si="32"/>
        <v/>
      </c>
      <c r="F191" s="19" t="str">
        <f t="shared" si="33"/>
        <v/>
      </c>
      <c r="G191" s="19" t="str">
        <f t="shared" si="34"/>
        <v/>
      </c>
      <c r="H191" s="6" t="str">
        <f t="shared" si="35"/>
        <v/>
      </c>
      <c r="I191" s="17"/>
      <c r="J191" s="17"/>
      <c r="K191" s="6" t="str">
        <f t="shared" si="36"/>
        <v/>
      </c>
      <c r="L191" s="1"/>
      <c r="M191" s="1"/>
      <c r="N191" s="1"/>
      <c r="O191" s="1"/>
    </row>
    <row r="192" spans="1:15" ht="1.9" customHeight="1">
      <c r="A192" s="16"/>
      <c r="B192" s="17"/>
      <c r="C192" s="18"/>
      <c r="D192" s="19" t="str">
        <f t="shared" si="31"/>
        <v/>
      </c>
      <c r="E192" s="19" t="str">
        <f t="shared" si="32"/>
        <v/>
      </c>
      <c r="F192" s="19" t="str">
        <f t="shared" si="33"/>
        <v/>
      </c>
      <c r="G192" s="19" t="str">
        <f t="shared" si="34"/>
        <v/>
      </c>
      <c r="H192" s="6" t="str">
        <f t="shared" si="35"/>
        <v/>
      </c>
      <c r="I192" s="17"/>
      <c r="J192" s="17"/>
      <c r="K192" s="6" t="str">
        <f t="shared" si="36"/>
        <v/>
      </c>
      <c r="L192" s="1"/>
      <c r="M192" s="1"/>
      <c r="N192" s="1"/>
      <c r="O192" s="1"/>
    </row>
    <row r="193" spans="1:15" ht="1.9" customHeight="1">
      <c r="A193" s="16"/>
      <c r="B193" s="17"/>
      <c r="C193" s="18"/>
      <c r="D193" s="19" t="str">
        <f t="shared" si="31"/>
        <v/>
      </c>
      <c r="E193" s="19" t="str">
        <f t="shared" si="32"/>
        <v/>
      </c>
      <c r="F193" s="19" t="str">
        <f t="shared" si="33"/>
        <v/>
      </c>
      <c r="G193" s="19" t="str">
        <f t="shared" si="34"/>
        <v/>
      </c>
      <c r="H193" s="6" t="str">
        <f t="shared" si="35"/>
        <v/>
      </c>
      <c r="I193" s="17"/>
      <c r="J193" s="17"/>
      <c r="K193" s="6" t="str">
        <f t="shared" si="36"/>
        <v/>
      </c>
      <c r="L193" s="1"/>
      <c r="M193" s="1"/>
      <c r="N193" s="1"/>
      <c r="O193" s="1"/>
    </row>
    <row r="194" spans="1:15" ht="1.9" customHeight="1">
      <c r="A194" s="16"/>
      <c r="B194" s="17"/>
      <c r="C194" s="18"/>
      <c r="D194" s="19" t="str">
        <f t="shared" si="31"/>
        <v/>
      </c>
      <c r="E194" s="19" t="str">
        <f t="shared" si="32"/>
        <v/>
      </c>
      <c r="F194" s="19" t="str">
        <f t="shared" si="33"/>
        <v/>
      </c>
      <c r="G194" s="19" t="str">
        <f t="shared" si="34"/>
        <v/>
      </c>
      <c r="H194" s="6" t="str">
        <f t="shared" si="35"/>
        <v/>
      </c>
      <c r="I194" s="17"/>
      <c r="J194" s="17"/>
      <c r="K194" s="6" t="str">
        <f t="shared" si="36"/>
        <v/>
      </c>
      <c r="L194" s="1"/>
      <c r="M194" s="1"/>
      <c r="N194" s="1"/>
      <c r="O194" s="1"/>
    </row>
    <row r="195" spans="1:15" ht="1.9" customHeight="1">
      <c r="A195" s="16"/>
      <c r="B195" s="17"/>
      <c r="C195" s="18"/>
      <c r="D195" s="19" t="str">
        <f t="shared" si="31"/>
        <v/>
      </c>
      <c r="E195" s="19" t="str">
        <f t="shared" si="32"/>
        <v/>
      </c>
      <c r="F195" s="19" t="str">
        <f t="shared" si="33"/>
        <v/>
      </c>
      <c r="G195" s="19" t="str">
        <f t="shared" si="34"/>
        <v/>
      </c>
      <c r="H195" s="6" t="str">
        <f t="shared" si="35"/>
        <v/>
      </c>
      <c r="I195" s="17"/>
      <c r="J195" s="17"/>
      <c r="K195" s="6" t="str">
        <f t="shared" si="36"/>
        <v/>
      </c>
      <c r="L195" s="1"/>
      <c r="M195" s="1"/>
      <c r="N195" s="1"/>
      <c r="O195" s="1"/>
    </row>
    <row r="196" spans="1:15" ht="1.9" customHeight="1">
      <c r="A196" s="16"/>
      <c r="B196" s="17"/>
      <c r="C196" s="18"/>
      <c r="D196" s="19" t="str">
        <f t="shared" si="31"/>
        <v/>
      </c>
      <c r="E196" s="19" t="str">
        <f t="shared" si="32"/>
        <v/>
      </c>
      <c r="F196" s="19" t="str">
        <f t="shared" si="33"/>
        <v/>
      </c>
      <c r="G196" s="19" t="str">
        <f t="shared" si="34"/>
        <v/>
      </c>
      <c r="H196" s="6" t="str">
        <f t="shared" si="35"/>
        <v/>
      </c>
      <c r="I196" s="17"/>
      <c r="J196" s="17"/>
      <c r="K196" s="6" t="str">
        <f t="shared" si="36"/>
        <v/>
      </c>
      <c r="L196" s="1"/>
      <c r="M196" s="1"/>
      <c r="N196" s="1"/>
      <c r="O196" s="1"/>
    </row>
    <row r="197" spans="1:15" ht="1.9" customHeight="1">
      <c r="A197" s="16"/>
      <c r="B197" s="17"/>
      <c r="C197" s="18"/>
      <c r="D197" s="19" t="str">
        <f t="shared" ref="D197:D204" si="37">IF(C197="","",C197*0.55)</f>
        <v/>
      </c>
      <c r="E197" s="19" t="str">
        <f t="shared" ref="E197:E204" si="38">IF(C197="","",C197*0.2)</f>
        <v/>
      </c>
      <c r="F197" s="19" t="str">
        <f t="shared" ref="F197:F204" si="39">IF(C197="","",C197*0.15)</f>
        <v/>
      </c>
      <c r="G197" s="19" t="str">
        <f t="shared" ref="G197:G204" si="40">IF(C197="","",C197*0.1)</f>
        <v/>
      </c>
      <c r="H197" s="6" t="str">
        <f t="shared" ref="H197:H204" si="41">IF(A197="","", "Semana "&amp;(WEEKNUM(A197,2)-WEEKNUM(DATE(YEAR(A197),MONTH(A197),1),2)+1))</f>
        <v/>
      </c>
      <c r="I197" s="17"/>
      <c r="J197" s="17"/>
      <c r="K197" s="6" t="str">
        <f t="shared" ref="K197:K204" si="42">IF(A197="","",IF(MONTH(A197)=5,"mayo",IF(MONTH(A197)=4,"abril",TEXT(A197,"mmmm"))))</f>
        <v/>
      </c>
      <c r="L197" s="1"/>
      <c r="M197" s="1"/>
      <c r="N197" s="1"/>
      <c r="O197" s="1"/>
    </row>
    <row r="198" spans="1:15" ht="1.9" customHeight="1">
      <c r="A198" s="16"/>
      <c r="B198" s="17"/>
      <c r="C198" s="18"/>
      <c r="D198" s="19" t="str">
        <f t="shared" si="37"/>
        <v/>
      </c>
      <c r="E198" s="19" t="str">
        <f t="shared" si="38"/>
        <v/>
      </c>
      <c r="F198" s="19" t="str">
        <f t="shared" si="39"/>
        <v/>
      </c>
      <c r="G198" s="19" t="str">
        <f t="shared" si="40"/>
        <v/>
      </c>
      <c r="H198" s="6" t="str">
        <f t="shared" si="41"/>
        <v/>
      </c>
      <c r="I198" s="17"/>
      <c r="J198" s="17"/>
      <c r="K198" s="6" t="str">
        <f t="shared" si="42"/>
        <v/>
      </c>
      <c r="L198" s="1"/>
      <c r="M198" s="1"/>
      <c r="N198" s="1"/>
      <c r="O198" s="1"/>
    </row>
    <row r="199" spans="1:15" ht="1.9" customHeight="1">
      <c r="A199" s="16"/>
      <c r="B199" s="17"/>
      <c r="C199" s="18"/>
      <c r="D199" s="19" t="str">
        <f t="shared" si="37"/>
        <v/>
      </c>
      <c r="E199" s="19" t="str">
        <f t="shared" si="38"/>
        <v/>
      </c>
      <c r="F199" s="19" t="str">
        <f t="shared" si="39"/>
        <v/>
      </c>
      <c r="G199" s="19" t="str">
        <f t="shared" si="40"/>
        <v/>
      </c>
      <c r="H199" s="6" t="str">
        <f t="shared" si="41"/>
        <v/>
      </c>
      <c r="I199" s="17"/>
      <c r="J199" s="17"/>
      <c r="K199" s="6" t="str">
        <f t="shared" si="42"/>
        <v/>
      </c>
      <c r="L199" s="1"/>
      <c r="M199" s="1"/>
      <c r="N199" s="1"/>
      <c r="O199" s="1"/>
    </row>
    <row r="200" spans="1:15" ht="1.9" customHeight="1">
      <c r="A200" s="16"/>
      <c r="B200" s="17"/>
      <c r="C200" s="18"/>
      <c r="D200" s="19" t="str">
        <f t="shared" si="37"/>
        <v/>
      </c>
      <c r="E200" s="19" t="str">
        <f t="shared" si="38"/>
        <v/>
      </c>
      <c r="F200" s="19" t="str">
        <f t="shared" si="39"/>
        <v/>
      </c>
      <c r="G200" s="19" t="str">
        <f t="shared" si="40"/>
        <v/>
      </c>
      <c r="H200" s="6" t="str">
        <f t="shared" si="41"/>
        <v/>
      </c>
      <c r="I200" s="17"/>
      <c r="J200" s="17"/>
      <c r="K200" s="6" t="str">
        <f t="shared" si="42"/>
        <v/>
      </c>
      <c r="L200" s="1"/>
      <c r="M200" s="1"/>
      <c r="N200" s="1"/>
      <c r="O200" s="1"/>
    </row>
    <row r="201" spans="1:15" ht="1.9" customHeight="1">
      <c r="A201" s="16"/>
      <c r="B201" s="17"/>
      <c r="C201" s="18"/>
      <c r="D201" s="19" t="str">
        <f t="shared" si="37"/>
        <v/>
      </c>
      <c r="E201" s="19" t="str">
        <f t="shared" si="38"/>
        <v/>
      </c>
      <c r="F201" s="19" t="str">
        <f t="shared" si="39"/>
        <v/>
      </c>
      <c r="G201" s="19" t="str">
        <f t="shared" si="40"/>
        <v/>
      </c>
      <c r="H201" s="6" t="str">
        <f t="shared" si="41"/>
        <v/>
      </c>
      <c r="I201" s="17"/>
      <c r="J201" s="17"/>
      <c r="K201" s="6" t="str">
        <f t="shared" si="42"/>
        <v/>
      </c>
      <c r="L201" s="1"/>
      <c r="M201" s="1"/>
      <c r="N201" s="1"/>
      <c r="O201" s="1"/>
    </row>
    <row r="202" spans="1:15" ht="1.9" customHeight="1">
      <c r="A202" s="16"/>
      <c r="B202" s="17"/>
      <c r="C202" s="18"/>
      <c r="D202" s="19" t="str">
        <f t="shared" si="37"/>
        <v/>
      </c>
      <c r="E202" s="19" t="str">
        <f t="shared" si="38"/>
        <v/>
      </c>
      <c r="F202" s="19" t="str">
        <f t="shared" si="39"/>
        <v/>
      </c>
      <c r="G202" s="19" t="str">
        <f t="shared" si="40"/>
        <v/>
      </c>
      <c r="H202" s="6" t="str">
        <f t="shared" si="41"/>
        <v/>
      </c>
      <c r="I202" s="17"/>
      <c r="J202" s="17"/>
      <c r="K202" s="6" t="str">
        <f t="shared" si="42"/>
        <v/>
      </c>
      <c r="L202" s="1"/>
      <c r="M202" s="1"/>
      <c r="N202" s="1"/>
      <c r="O202" s="1"/>
    </row>
    <row r="203" spans="1:15" ht="1.9" customHeight="1">
      <c r="A203" s="16"/>
      <c r="B203" s="17"/>
      <c r="C203" s="18"/>
      <c r="D203" s="19" t="str">
        <f t="shared" si="37"/>
        <v/>
      </c>
      <c r="E203" s="19" t="str">
        <f t="shared" si="38"/>
        <v/>
      </c>
      <c r="F203" s="19" t="str">
        <f t="shared" si="39"/>
        <v/>
      </c>
      <c r="G203" s="19" t="str">
        <f t="shared" si="40"/>
        <v/>
      </c>
      <c r="H203" s="6" t="str">
        <f t="shared" si="41"/>
        <v/>
      </c>
      <c r="I203" s="17"/>
      <c r="J203" s="17"/>
      <c r="K203" s="6" t="str">
        <f t="shared" si="42"/>
        <v/>
      </c>
      <c r="L203" s="1"/>
      <c r="M203" s="1"/>
      <c r="N203" s="1"/>
      <c r="O203" s="1"/>
    </row>
    <row r="204" spans="1:15" ht="1.9" customHeight="1">
      <c r="A204" s="16"/>
      <c r="B204" s="17"/>
      <c r="C204" s="18"/>
      <c r="D204" s="19" t="str">
        <f t="shared" si="37"/>
        <v/>
      </c>
      <c r="E204" s="19" t="str">
        <f t="shared" si="38"/>
        <v/>
      </c>
      <c r="F204" s="19" t="str">
        <f t="shared" si="39"/>
        <v/>
      </c>
      <c r="G204" s="19" t="str">
        <f t="shared" si="40"/>
        <v/>
      </c>
      <c r="H204" s="6" t="str">
        <f t="shared" si="41"/>
        <v/>
      </c>
      <c r="I204" s="17"/>
      <c r="J204" s="17"/>
      <c r="K204" s="6" t="str">
        <f t="shared" si="42"/>
        <v/>
      </c>
      <c r="L204" s="1"/>
      <c r="M204" s="1"/>
      <c r="N204" s="1"/>
      <c r="O204" s="1"/>
    </row>
  </sheetData>
  <mergeCells count="2">
    <mergeCell ref="A2:N2"/>
    <mergeCell ref="A1:N1"/>
  </mergeCells>
  <dataValidations count="1">
    <dataValidation type="list" allowBlank="1" sqref="B5:B204" xr:uid="{00000000-0002-0000-1500-000000000000}">
      <formula1>"Sueldo,Bono,Turno Extra,Arriendo,Colaciones,Reembolso,Venta,Otro"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A651"/>
  </sheetPr>
  <dimension ref="A1:O403"/>
  <sheetViews>
    <sheetView showGridLines="0" workbookViewId="0"/>
  </sheetViews>
  <sheetFormatPr baseColWidth="10" defaultColWidth="14.453125" defaultRowHeight="14.5"/>
  <cols>
    <col min="1" max="1" width="14" customWidth="1"/>
    <col min="2" max="2" width="18" customWidth="1"/>
    <col min="3" max="3" width="30" customWidth="1"/>
    <col min="4" max="4" width="16" customWidth="1"/>
    <col min="5" max="5" width="14" customWidth="1"/>
    <col min="6" max="6" width="24" customWidth="1"/>
    <col min="7" max="7" width="9" customWidth="1"/>
    <col min="8" max="8" width="44.453125" customWidth="1"/>
    <col min="9" max="9" width="14" customWidth="1"/>
    <col min="10" max="10" width="21.81640625" customWidth="1"/>
    <col min="11" max="11" width="26" customWidth="1"/>
    <col min="12" max="12" width="18" customWidth="1"/>
    <col min="13" max="15" width="8.7265625" customWidth="1"/>
  </cols>
  <sheetData>
    <row r="1" spans="1:15" ht="3.15" customHeight="1">
      <c r="A1" s="450" t="s">
        <v>1455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1"/>
    </row>
    <row r="2" spans="1:15" ht="1.9" customHeight="1">
      <c r="A2" s="435" t="s">
        <v>1456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1"/>
    </row>
    <row r="3" spans="1:15" ht="1.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"/>
    </row>
    <row r="4" spans="1:15">
      <c r="A4" s="5" t="s">
        <v>13</v>
      </c>
      <c r="B4" s="5" t="s">
        <v>1457</v>
      </c>
      <c r="C4" s="5" t="s">
        <v>1458</v>
      </c>
      <c r="D4" s="5" t="s">
        <v>1418</v>
      </c>
      <c r="E4" s="5" t="s">
        <v>1459</v>
      </c>
      <c r="F4" s="5" t="s">
        <v>1460</v>
      </c>
      <c r="G4" s="5" t="s">
        <v>1115</v>
      </c>
      <c r="H4" s="5" t="s">
        <v>656</v>
      </c>
      <c r="I4" s="5" t="s">
        <v>1061</v>
      </c>
      <c r="J4" s="4" t="s">
        <v>1461</v>
      </c>
      <c r="K4" s="22" t="s">
        <v>1462</v>
      </c>
      <c r="L4" s="4"/>
      <c r="M4" s="4"/>
      <c r="N4" s="4"/>
      <c r="O4" s="1"/>
    </row>
    <row r="5" spans="1:15">
      <c r="A5" s="23">
        <v>46143</v>
      </c>
      <c r="B5" s="6" t="s">
        <v>1463</v>
      </c>
      <c r="C5" s="6" t="s">
        <v>1464</v>
      </c>
      <c r="D5" s="232">
        <v>20000</v>
      </c>
      <c r="E5" s="6" t="s">
        <v>87</v>
      </c>
      <c r="F5" s="6" t="s">
        <v>1465</v>
      </c>
      <c r="G5" s="6" t="str">
        <f t="shared" ref="G5:G68" si="0">IF(A5="","", "Semana "&amp;(WEEKNUM(A5,2)-WEEKNUM(DATE(YEAR(A5),MONTH(A5),1),2)+1))</f>
        <v>Semana 1</v>
      </c>
      <c r="H5" s="6" t="s">
        <v>1466</v>
      </c>
      <c r="I5" s="6" t="str">
        <f t="shared" ref="I5:I68" si="1">IF(A5="","",IF(MONTH(A5)=5,"mayo",IF(MONTH(A5)=4,"abril",TEXT(A5,"mmmm"))))</f>
        <v>mayo</v>
      </c>
      <c r="J5" s="4" t="s">
        <v>1467</v>
      </c>
      <c r="K5" s="4" t="s">
        <v>1468</v>
      </c>
      <c r="L5" s="233">
        <f>SUMIFS($D$5:$D$403,$I$5:$I$403,'18_Conciliacion_Bancaria_V2'!$B$3,$J$5:$J$403,"Gasto real")+SUMIFS($D$5:$D$403,$I$5:$I$403,'18_Conciliacion_Bancaria_V2'!$B$3,$J$5:$J$403,"Movimiento patrimonial")</f>
        <v>535069</v>
      </c>
      <c r="M5" s="4"/>
      <c r="N5" s="4"/>
      <c r="O5" s="1"/>
    </row>
    <row r="6" spans="1:15">
      <c r="A6" s="23">
        <v>46143</v>
      </c>
      <c r="B6" s="6" t="s">
        <v>1469</v>
      </c>
      <c r="C6" s="6" t="s">
        <v>1470</v>
      </c>
      <c r="D6" s="232">
        <v>202695</v>
      </c>
      <c r="E6" s="6" t="s">
        <v>87</v>
      </c>
      <c r="F6" s="6" t="s">
        <v>1285</v>
      </c>
      <c r="G6" s="6" t="str">
        <f t="shared" si="0"/>
        <v>Semana 1</v>
      </c>
      <c r="H6" s="6" t="s">
        <v>1471</v>
      </c>
      <c r="I6" s="6" t="str">
        <f t="shared" si="1"/>
        <v>mayo</v>
      </c>
      <c r="J6" s="4" t="s">
        <v>1467</v>
      </c>
      <c r="K6" s="4" t="s">
        <v>1472</v>
      </c>
      <c r="L6" s="233">
        <f>SUMIFS($D$5:$D$403,$I$5:$I$403,'18_Conciliacion_Bancaria_V2'!$B$3,$E$5:$E$403,"Sí")+SUMIFS($D$5:$D$403,$I$5:$I$403,'18_Conciliacion_Bancaria_V2'!$B$3,$E$5:$E$403,"si")</f>
        <v>706503</v>
      </c>
      <c r="M6" s="4"/>
      <c r="N6" s="4"/>
      <c r="O6" s="1"/>
    </row>
    <row r="7" spans="1:15">
      <c r="A7" s="23">
        <v>46143</v>
      </c>
      <c r="B7" s="6" t="s">
        <v>1463</v>
      </c>
      <c r="C7" s="6" t="s">
        <v>1470</v>
      </c>
      <c r="D7" s="232">
        <v>3690</v>
      </c>
      <c r="E7" s="6" t="s">
        <v>87</v>
      </c>
      <c r="F7" s="6" t="s">
        <v>1110</v>
      </c>
      <c r="G7" s="6" t="str">
        <f t="shared" si="0"/>
        <v>Semana 1</v>
      </c>
      <c r="H7" s="6" t="s">
        <v>1473</v>
      </c>
      <c r="I7" s="6" t="str">
        <f t="shared" si="1"/>
        <v>mayo</v>
      </c>
      <c r="J7" s="4" t="s">
        <v>1467</v>
      </c>
      <c r="K7" s="4" t="s">
        <v>1474</v>
      </c>
      <c r="L7" s="233">
        <f>SUMIFS($D$5:$D$403,$I$5:$I$403,'18_Conciliacion_Bancaria_V2'!$B$3,$E$5:$E$403,"No")+SUMIFS($D$5:$D$403,$I$5:$I$403,'18_Conciliacion_Bancaria_V2'!$B$3,$E$5:$E$403,"no")</f>
        <v>186920</v>
      </c>
      <c r="M7" s="4"/>
      <c r="N7" s="4"/>
      <c r="O7" s="1"/>
    </row>
    <row r="8" spans="1:15">
      <c r="A8" s="23">
        <v>46143</v>
      </c>
      <c r="B8" s="6" t="s">
        <v>1463</v>
      </c>
      <c r="C8" s="6" t="s">
        <v>1470</v>
      </c>
      <c r="D8" s="232">
        <v>900</v>
      </c>
      <c r="E8" s="6" t="s">
        <v>58</v>
      </c>
      <c r="F8" s="6" t="s">
        <v>1110</v>
      </c>
      <c r="G8" s="6" t="str">
        <f t="shared" si="0"/>
        <v>Semana 1</v>
      </c>
      <c r="H8" s="6" t="s">
        <v>1475</v>
      </c>
      <c r="I8" s="6" t="str">
        <f t="shared" si="1"/>
        <v>mayo</v>
      </c>
      <c r="J8" s="4" t="s">
        <v>1467</v>
      </c>
      <c r="K8" s="4" t="s">
        <v>1476</v>
      </c>
      <c r="L8" s="234">
        <f>IFERROR(L7/L5,0)</f>
        <v>0.34933812274678594</v>
      </c>
      <c r="M8" s="4"/>
      <c r="N8" s="4"/>
      <c r="O8" s="1"/>
    </row>
    <row r="9" spans="1:15">
      <c r="A9" s="23">
        <v>46143</v>
      </c>
      <c r="B9" s="6" t="s">
        <v>1477</v>
      </c>
      <c r="C9" s="6" t="s">
        <v>1478</v>
      </c>
      <c r="D9" s="232">
        <v>3900</v>
      </c>
      <c r="E9" s="6" t="s">
        <v>87</v>
      </c>
      <c r="F9" s="6" t="s">
        <v>1465</v>
      </c>
      <c r="G9" s="6" t="str">
        <f t="shared" si="0"/>
        <v>Semana 1</v>
      </c>
      <c r="H9" s="6" t="s">
        <v>1479</v>
      </c>
      <c r="I9" s="6" t="str">
        <f t="shared" si="1"/>
        <v>mayo</v>
      </c>
      <c r="J9" s="4" t="s">
        <v>1467</v>
      </c>
      <c r="K9" s="4"/>
      <c r="L9" s="4"/>
      <c r="M9" s="4"/>
      <c r="N9" s="4"/>
      <c r="O9" s="1"/>
    </row>
    <row r="10" spans="1:15">
      <c r="A10" s="23">
        <v>46143</v>
      </c>
      <c r="B10" s="6" t="s">
        <v>1477</v>
      </c>
      <c r="C10" s="6" t="s">
        <v>1470</v>
      </c>
      <c r="D10" s="232">
        <v>1790</v>
      </c>
      <c r="E10" s="6" t="s">
        <v>58</v>
      </c>
      <c r="F10" s="6" t="s">
        <v>1465</v>
      </c>
      <c r="G10" s="6" t="str">
        <f t="shared" si="0"/>
        <v>Semana 1</v>
      </c>
      <c r="H10" s="6" t="s">
        <v>1480</v>
      </c>
      <c r="I10" s="6" t="str">
        <f t="shared" si="1"/>
        <v>mayo</v>
      </c>
      <c r="J10" s="4" t="s">
        <v>1467</v>
      </c>
      <c r="K10" s="4"/>
      <c r="L10" s="4"/>
      <c r="M10" s="4"/>
      <c r="N10" s="4"/>
      <c r="O10" s="1"/>
    </row>
    <row r="11" spans="1:15">
      <c r="A11" s="23">
        <v>46127</v>
      </c>
      <c r="B11" s="6" t="s">
        <v>1110</v>
      </c>
      <c r="C11" s="6" t="s">
        <v>1432</v>
      </c>
      <c r="D11" s="232">
        <v>100000</v>
      </c>
      <c r="E11" s="6" t="s">
        <v>87</v>
      </c>
      <c r="F11" s="6" t="s">
        <v>1110</v>
      </c>
      <c r="G11" s="6" t="str">
        <f t="shared" si="0"/>
        <v>Semana 3</v>
      </c>
      <c r="H11" s="6" t="s">
        <v>1481</v>
      </c>
      <c r="I11" s="6" t="str">
        <f t="shared" si="1"/>
        <v>abril</v>
      </c>
      <c r="J11" s="4" t="s">
        <v>1467</v>
      </c>
      <c r="K11" s="26" t="s">
        <v>1482</v>
      </c>
      <c r="L11" s="4"/>
      <c r="M11" s="4"/>
      <c r="N11" s="4"/>
      <c r="O11" s="1"/>
    </row>
    <row r="12" spans="1:15">
      <c r="A12" s="23">
        <v>46143</v>
      </c>
      <c r="B12" s="6" t="s">
        <v>1110</v>
      </c>
      <c r="C12" s="6" t="s">
        <v>1430</v>
      </c>
      <c r="D12" s="232">
        <v>182000</v>
      </c>
      <c r="E12" s="6" t="s">
        <v>87</v>
      </c>
      <c r="F12" s="6" t="s">
        <v>1110</v>
      </c>
      <c r="G12" s="6" t="str">
        <f t="shared" si="0"/>
        <v>Semana 1</v>
      </c>
      <c r="H12" s="6" t="s">
        <v>1483</v>
      </c>
      <c r="I12" s="6" t="str">
        <f t="shared" si="1"/>
        <v>mayo</v>
      </c>
      <c r="J12" s="4" t="s">
        <v>1467</v>
      </c>
      <c r="K12" s="4" t="s">
        <v>1465</v>
      </c>
      <c r="L12" s="27">
        <f t="shared" ref="L12:L20" si="2">SUMIFS(D$5:D$403,I$5:I$403,"mayo",F$5:F$403,K12)</f>
        <v>631698</v>
      </c>
      <c r="M12" s="4"/>
      <c r="N12" s="4"/>
      <c r="O12" s="1"/>
    </row>
    <row r="13" spans="1:15">
      <c r="A13" s="23">
        <v>46143</v>
      </c>
      <c r="B13" s="6" t="s">
        <v>1463</v>
      </c>
      <c r="C13" s="6" t="s">
        <v>1484</v>
      </c>
      <c r="D13" s="232">
        <v>5190</v>
      </c>
      <c r="E13" s="6" t="s">
        <v>87</v>
      </c>
      <c r="F13" s="6" t="s">
        <v>1110</v>
      </c>
      <c r="G13" s="6" t="str">
        <f t="shared" si="0"/>
        <v>Semana 1</v>
      </c>
      <c r="H13" s="6" t="s">
        <v>1485</v>
      </c>
      <c r="I13" s="6" t="str">
        <f t="shared" si="1"/>
        <v>mayo</v>
      </c>
      <c r="J13" s="4" t="s">
        <v>1467</v>
      </c>
      <c r="K13" s="4" t="s">
        <v>353</v>
      </c>
      <c r="L13" s="27">
        <f t="shared" si="2"/>
        <v>40000</v>
      </c>
      <c r="M13" s="4"/>
      <c r="N13" s="4"/>
      <c r="O13" s="1"/>
    </row>
    <row r="14" spans="1:15">
      <c r="A14" s="23">
        <v>46143</v>
      </c>
      <c r="B14" s="6" t="s">
        <v>1477</v>
      </c>
      <c r="C14" s="6" t="s">
        <v>1486</v>
      </c>
      <c r="D14" s="232">
        <v>1790</v>
      </c>
      <c r="E14" s="6" t="s">
        <v>87</v>
      </c>
      <c r="F14" s="6" t="s">
        <v>1291</v>
      </c>
      <c r="G14" s="6" t="str">
        <f t="shared" si="0"/>
        <v>Semana 1</v>
      </c>
      <c r="H14" s="28" t="s">
        <v>1487</v>
      </c>
      <c r="I14" s="6" t="str">
        <f t="shared" si="1"/>
        <v>mayo</v>
      </c>
      <c r="J14" s="4" t="s">
        <v>1467</v>
      </c>
      <c r="K14" s="4" t="s">
        <v>1282</v>
      </c>
      <c r="L14" s="27">
        <f t="shared" si="2"/>
        <v>101000</v>
      </c>
      <c r="M14" s="4"/>
      <c r="N14" s="4"/>
      <c r="O14" s="1"/>
    </row>
    <row r="15" spans="1:15">
      <c r="A15" s="23">
        <v>46144</v>
      </c>
      <c r="B15" s="6" t="s">
        <v>1488</v>
      </c>
      <c r="C15" s="6" t="s">
        <v>1464</v>
      </c>
      <c r="D15" s="232">
        <v>56000</v>
      </c>
      <c r="E15" s="6" t="s">
        <v>87</v>
      </c>
      <c r="F15" s="6" t="s">
        <v>1465</v>
      </c>
      <c r="G15" s="6" t="str">
        <f t="shared" si="0"/>
        <v>Semana 1</v>
      </c>
      <c r="H15" s="6" t="s">
        <v>1489</v>
      </c>
      <c r="I15" s="6" t="str">
        <f t="shared" si="1"/>
        <v>mayo</v>
      </c>
      <c r="J15" s="4" t="s">
        <v>1467</v>
      </c>
      <c r="K15" s="4" t="s">
        <v>1285</v>
      </c>
      <c r="L15" s="27">
        <f t="shared" si="2"/>
        <v>202695</v>
      </c>
      <c r="M15" s="4"/>
      <c r="N15" s="4"/>
      <c r="O15" s="1"/>
    </row>
    <row r="16" spans="1:15">
      <c r="A16" s="23">
        <v>46144</v>
      </c>
      <c r="B16" s="6" t="s">
        <v>1490</v>
      </c>
      <c r="C16" s="6" t="s">
        <v>1491</v>
      </c>
      <c r="D16" s="232">
        <v>10000</v>
      </c>
      <c r="E16" s="6" t="s">
        <v>87</v>
      </c>
      <c r="F16" s="6" t="s">
        <v>1110</v>
      </c>
      <c r="G16" s="6" t="str">
        <f t="shared" si="0"/>
        <v>Semana 1</v>
      </c>
      <c r="H16" s="6" t="s">
        <v>1492</v>
      </c>
      <c r="I16" s="6" t="str">
        <f t="shared" si="1"/>
        <v>mayo</v>
      </c>
      <c r="J16" s="4" t="s">
        <v>1467</v>
      </c>
      <c r="K16" s="4" t="s">
        <v>1493</v>
      </c>
      <c r="L16" s="27">
        <f t="shared" si="2"/>
        <v>0</v>
      </c>
      <c r="M16" s="4"/>
      <c r="N16" s="4"/>
      <c r="O16" s="1"/>
    </row>
    <row r="17" spans="1:15">
      <c r="A17" s="23">
        <v>46144</v>
      </c>
      <c r="B17" s="6" t="s">
        <v>1463</v>
      </c>
      <c r="C17" s="6" t="s">
        <v>1486</v>
      </c>
      <c r="D17" s="232">
        <v>1000</v>
      </c>
      <c r="E17" s="6" t="s">
        <v>87</v>
      </c>
      <c r="F17" s="6" t="s">
        <v>1110</v>
      </c>
      <c r="G17" s="6" t="str">
        <f t="shared" si="0"/>
        <v>Semana 1</v>
      </c>
      <c r="H17" s="47" t="s">
        <v>1494</v>
      </c>
      <c r="I17" s="6" t="str">
        <f t="shared" si="1"/>
        <v>mayo</v>
      </c>
      <c r="J17" s="4" t="s">
        <v>1467</v>
      </c>
      <c r="K17" s="4" t="s">
        <v>286</v>
      </c>
      <c r="L17" s="27">
        <f t="shared" si="2"/>
        <v>0</v>
      </c>
      <c r="M17" s="4"/>
      <c r="N17" s="4"/>
      <c r="O17" s="1"/>
    </row>
    <row r="18" spans="1:15">
      <c r="A18" s="23">
        <v>46144</v>
      </c>
      <c r="B18" s="6" t="s">
        <v>1463</v>
      </c>
      <c r="C18" s="6" t="s">
        <v>1486</v>
      </c>
      <c r="D18" s="232">
        <v>2180</v>
      </c>
      <c r="E18" s="47" t="s">
        <v>87</v>
      </c>
      <c r="F18" s="6" t="s">
        <v>1110</v>
      </c>
      <c r="G18" s="6" t="str">
        <f t="shared" si="0"/>
        <v>Semana 1</v>
      </c>
      <c r="H18" s="47" t="s">
        <v>1495</v>
      </c>
      <c r="I18" s="6" t="str">
        <f t="shared" si="1"/>
        <v>mayo</v>
      </c>
      <c r="J18" s="4" t="s">
        <v>1467</v>
      </c>
      <c r="K18" s="4" t="s">
        <v>322</v>
      </c>
      <c r="L18" s="27">
        <f t="shared" si="2"/>
        <v>41659</v>
      </c>
      <c r="M18" s="4"/>
      <c r="N18" s="4"/>
      <c r="O18" s="1"/>
    </row>
    <row r="19" spans="1:15">
      <c r="A19" s="23">
        <v>46144</v>
      </c>
      <c r="B19" s="6" t="s">
        <v>1477</v>
      </c>
      <c r="C19" s="6" t="s">
        <v>1486</v>
      </c>
      <c r="D19" s="232">
        <v>4950</v>
      </c>
      <c r="E19" s="6" t="s">
        <v>58</v>
      </c>
      <c r="F19" s="6" t="s">
        <v>1465</v>
      </c>
      <c r="G19" s="6" t="str">
        <f t="shared" si="0"/>
        <v>Semana 1</v>
      </c>
      <c r="H19" s="47" t="s">
        <v>1496</v>
      </c>
      <c r="I19" s="6" t="str">
        <f t="shared" si="1"/>
        <v>mayo</v>
      </c>
      <c r="J19" s="4" t="s">
        <v>1467</v>
      </c>
      <c r="K19" s="4" t="s">
        <v>1110</v>
      </c>
      <c r="L19" s="27">
        <f t="shared" si="2"/>
        <v>252227</v>
      </c>
      <c r="M19" s="4"/>
      <c r="N19" s="4"/>
      <c r="O19" s="1"/>
    </row>
    <row r="20" spans="1:15">
      <c r="A20" s="23">
        <v>46145</v>
      </c>
      <c r="B20" s="6" t="s">
        <v>1477</v>
      </c>
      <c r="C20" s="6" t="s">
        <v>1486</v>
      </c>
      <c r="D20" s="232">
        <v>8490</v>
      </c>
      <c r="E20" s="6" t="s">
        <v>87</v>
      </c>
      <c r="F20" s="6" t="s">
        <v>1291</v>
      </c>
      <c r="G20" s="6" t="str">
        <f t="shared" si="0"/>
        <v>Semana 1</v>
      </c>
      <c r="H20" s="47" t="s">
        <v>1497</v>
      </c>
      <c r="I20" s="6" t="str">
        <f t="shared" si="1"/>
        <v>mayo</v>
      </c>
      <c r="J20" s="4" t="s">
        <v>1467</v>
      </c>
      <c r="K20" s="4" t="s">
        <v>1291</v>
      </c>
      <c r="L20" s="27">
        <f t="shared" si="2"/>
        <v>69738</v>
      </c>
      <c r="M20" s="4"/>
      <c r="N20" s="4"/>
      <c r="O20" s="1"/>
    </row>
    <row r="21" spans="1:15">
      <c r="A21" s="23">
        <v>46146</v>
      </c>
      <c r="B21" s="6" t="s">
        <v>1463</v>
      </c>
      <c r="C21" s="6" t="s">
        <v>1486</v>
      </c>
      <c r="D21" s="232">
        <v>13447</v>
      </c>
      <c r="E21" s="6" t="s">
        <v>87</v>
      </c>
      <c r="F21" s="6" t="s">
        <v>1465</v>
      </c>
      <c r="G21" s="6" t="str">
        <f t="shared" si="0"/>
        <v>Semana 2</v>
      </c>
      <c r="H21" s="47" t="s">
        <v>1498</v>
      </c>
      <c r="I21" s="6" t="str">
        <f t="shared" si="1"/>
        <v>mayo</v>
      </c>
      <c r="J21" s="4" t="s">
        <v>1467</v>
      </c>
      <c r="K21" s="4"/>
      <c r="L21" s="4"/>
      <c r="M21" s="4"/>
      <c r="N21" s="4"/>
      <c r="O21" s="1"/>
    </row>
    <row r="22" spans="1:15">
      <c r="A22" s="23">
        <v>46146</v>
      </c>
      <c r="B22" s="6" t="s">
        <v>1463</v>
      </c>
      <c r="C22" s="6" t="s">
        <v>1486</v>
      </c>
      <c r="D22" s="232">
        <v>5000</v>
      </c>
      <c r="E22" s="6" t="s">
        <v>87</v>
      </c>
      <c r="F22" s="6" t="s">
        <v>1465</v>
      </c>
      <c r="G22" s="6" t="str">
        <f t="shared" si="0"/>
        <v>Semana 2</v>
      </c>
      <c r="H22" s="47" t="s">
        <v>1499</v>
      </c>
      <c r="I22" s="6" t="str">
        <f t="shared" si="1"/>
        <v>mayo</v>
      </c>
      <c r="J22" s="4" t="s">
        <v>1467</v>
      </c>
      <c r="K22" s="4"/>
      <c r="L22" s="4"/>
      <c r="M22" s="4"/>
      <c r="N22" s="4"/>
      <c r="O22" s="1"/>
    </row>
    <row r="23" spans="1:15">
      <c r="A23" s="23">
        <v>46146</v>
      </c>
      <c r="B23" s="6" t="s">
        <v>1500</v>
      </c>
      <c r="C23" s="47" t="s">
        <v>1486</v>
      </c>
      <c r="D23" s="232">
        <v>6210</v>
      </c>
      <c r="E23" s="6" t="s">
        <v>87</v>
      </c>
      <c r="F23" s="6" t="s">
        <v>1291</v>
      </c>
      <c r="G23" s="6" t="str">
        <f t="shared" si="0"/>
        <v>Semana 2</v>
      </c>
      <c r="H23" s="47" t="s">
        <v>1501</v>
      </c>
      <c r="I23" s="6" t="str">
        <f t="shared" si="1"/>
        <v>mayo</v>
      </c>
      <c r="J23" s="4" t="s">
        <v>1467</v>
      </c>
      <c r="K23" s="26" t="s">
        <v>1446</v>
      </c>
      <c r="L23" s="4"/>
      <c r="M23" s="4"/>
      <c r="N23" s="4"/>
      <c r="O23" s="1"/>
    </row>
    <row r="24" spans="1:15">
      <c r="A24" s="23">
        <v>46146</v>
      </c>
      <c r="B24" s="6" t="s">
        <v>1463</v>
      </c>
      <c r="C24" s="47" t="s">
        <v>1486</v>
      </c>
      <c r="D24" s="232">
        <v>27360</v>
      </c>
      <c r="E24" s="47" t="s">
        <v>87</v>
      </c>
      <c r="F24" s="6" t="s">
        <v>1465</v>
      </c>
      <c r="G24" s="6" t="str">
        <f t="shared" si="0"/>
        <v>Semana 2</v>
      </c>
      <c r="H24" s="47" t="s">
        <v>1502</v>
      </c>
      <c r="I24" s="6" t="str">
        <f t="shared" si="1"/>
        <v>mayo</v>
      </c>
      <c r="J24" s="4" t="s">
        <v>1467</v>
      </c>
      <c r="K24" s="4" t="s">
        <v>1209</v>
      </c>
      <c r="L24" s="27">
        <f>SUMIFS(D$5:D$403,I$5:I$403,"mayo",G$5:G$403,K24)</f>
        <v>504575</v>
      </c>
      <c r="M24" s="4"/>
      <c r="N24" s="4"/>
      <c r="O24" s="1"/>
    </row>
    <row r="25" spans="1:15">
      <c r="A25" s="23">
        <v>46147</v>
      </c>
      <c r="B25" s="6" t="s">
        <v>1463</v>
      </c>
      <c r="C25" s="51" t="s">
        <v>1486</v>
      </c>
      <c r="D25" s="232">
        <v>2470</v>
      </c>
      <c r="E25" s="6" t="s">
        <v>87</v>
      </c>
      <c r="F25" s="6" t="s">
        <v>1110</v>
      </c>
      <c r="G25" s="6" t="str">
        <f t="shared" si="0"/>
        <v>Semana 2</v>
      </c>
      <c r="H25" s="51" t="s">
        <v>1503</v>
      </c>
      <c r="I25" s="6" t="str">
        <f t="shared" si="1"/>
        <v>mayo</v>
      </c>
      <c r="J25" s="4" t="s">
        <v>1467</v>
      </c>
      <c r="K25" s="4" t="s">
        <v>1211</v>
      </c>
      <c r="L25" s="27">
        <f>SUMIFS(D$5:D$403,I$5:I$403,"mayo",G$5:G$403,K25)</f>
        <v>479907</v>
      </c>
      <c r="M25" s="4"/>
      <c r="N25" s="4"/>
      <c r="O25" s="1"/>
    </row>
    <row r="26" spans="1:15">
      <c r="A26" s="23">
        <v>46147</v>
      </c>
      <c r="B26" s="6" t="s">
        <v>1463</v>
      </c>
      <c r="C26" s="51" t="s">
        <v>1504</v>
      </c>
      <c r="D26" s="232">
        <v>1310</v>
      </c>
      <c r="E26" s="6" t="s">
        <v>87</v>
      </c>
      <c r="F26" s="51" t="s">
        <v>1110</v>
      </c>
      <c r="G26" s="6" t="str">
        <f t="shared" si="0"/>
        <v>Semana 2</v>
      </c>
      <c r="H26" s="51" t="s">
        <v>1505</v>
      </c>
      <c r="I26" s="6" t="str">
        <f t="shared" si="1"/>
        <v>mayo</v>
      </c>
      <c r="J26" s="4" t="s">
        <v>1467</v>
      </c>
      <c r="K26" s="4" t="s">
        <v>1213</v>
      </c>
      <c r="L26" s="27">
        <f>SUMIFS(D$5:D$403,I$5:I$403,"mayo",G$5:G$403,K26)</f>
        <v>223148</v>
      </c>
      <c r="M26" s="4"/>
      <c r="N26" s="4"/>
      <c r="O26" s="1"/>
    </row>
    <row r="27" spans="1:15">
      <c r="A27" s="23">
        <v>46147</v>
      </c>
      <c r="B27" s="6" t="s">
        <v>1488</v>
      </c>
      <c r="C27" s="6" t="s">
        <v>1464</v>
      </c>
      <c r="D27" s="232">
        <v>20000</v>
      </c>
      <c r="E27" s="6" t="s">
        <v>87</v>
      </c>
      <c r="F27" s="6" t="s">
        <v>1465</v>
      </c>
      <c r="G27" s="6" t="str">
        <f t="shared" si="0"/>
        <v>Semana 2</v>
      </c>
      <c r="H27" s="51" t="s">
        <v>1506</v>
      </c>
      <c r="I27" s="6" t="str">
        <f t="shared" si="1"/>
        <v>mayo</v>
      </c>
      <c r="J27" s="4" t="s">
        <v>1467</v>
      </c>
      <c r="K27" s="4" t="s">
        <v>30</v>
      </c>
      <c r="L27" s="27">
        <f>SUMIFS(D$5:D$403,I$5:I$403,"mayo",G$5:G$403,K27)</f>
        <v>65266</v>
      </c>
      <c r="M27" s="4"/>
      <c r="N27" s="4"/>
      <c r="O27" s="1"/>
    </row>
    <row r="28" spans="1:15">
      <c r="A28" s="53">
        <v>46147</v>
      </c>
      <c r="B28" s="6" t="s">
        <v>1488</v>
      </c>
      <c r="C28" s="6" t="s">
        <v>1464</v>
      </c>
      <c r="D28" s="232">
        <v>40000</v>
      </c>
      <c r="E28" s="51" t="s">
        <v>1149</v>
      </c>
      <c r="F28" s="6" t="s">
        <v>353</v>
      </c>
      <c r="G28" s="6" t="str">
        <f t="shared" si="0"/>
        <v>Semana 2</v>
      </c>
      <c r="H28" s="51" t="s">
        <v>1507</v>
      </c>
      <c r="I28" s="6" t="str">
        <f t="shared" si="1"/>
        <v>mayo</v>
      </c>
      <c r="J28" s="4" t="s">
        <v>1467</v>
      </c>
      <c r="K28" s="4" t="s">
        <v>1216</v>
      </c>
      <c r="L28" s="27">
        <f>SUMIFS(D$5:D$403,I$5:I$403,"mayo",G$5:G$403,K28)</f>
        <v>66121</v>
      </c>
      <c r="M28" s="4"/>
      <c r="N28" s="4"/>
      <c r="O28" s="1"/>
    </row>
    <row r="29" spans="1:15">
      <c r="A29" s="23">
        <v>46147</v>
      </c>
      <c r="B29" s="6" t="s">
        <v>1282</v>
      </c>
      <c r="C29" s="6" t="s">
        <v>1464</v>
      </c>
      <c r="D29" s="232">
        <v>47000</v>
      </c>
      <c r="E29" s="6" t="s">
        <v>87</v>
      </c>
      <c r="F29" s="6" t="s">
        <v>1282</v>
      </c>
      <c r="G29" s="6" t="str">
        <f t="shared" si="0"/>
        <v>Semana 2</v>
      </c>
      <c r="H29" s="51" t="s">
        <v>1508</v>
      </c>
      <c r="I29" s="6" t="str">
        <f t="shared" si="1"/>
        <v>mayo</v>
      </c>
      <c r="J29" s="4" t="s">
        <v>1467</v>
      </c>
      <c r="K29" s="4"/>
      <c r="L29" s="4"/>
      <c r="M29" s="4"/>
      <c r="N29" s="4"/>
      <c r="O29" s="1"/>
    </row>
    <row r="30" spans="1:15">
      <c r="A30" s="23">
        <v>46147</v>
      </c>
      <c r="B30" s="6" t="s">
        <v>1282</v>
      </c>
      <c r="C30" s="6" t="s">
        <v>1464</v>
      </c>
      <c r="D30" s="232">
        <v>8000</v>
      </c>
      <c r="E30" s="51" t="s">
        <v>1149</v>
      </c>
      <c r="F30" s="6" t="s">
        <v>1282</v>
      </c>
      <c r="G30" s="6" t="str">
        <f t="shared" si="0"/>
        <v>Semana 2</v>
      </c>
      <c r="H30" s="51" t="s">
        <v>1508</v>
      </c>
      <c r="I30" s="6" t="str">
        <f t="shared" si="1"/>
        <v>mayo</v>
      </c>
      <c r="J30" s="4" t="s">
        <v>1467</v>
      </c>
      <c r="K30" s="4"/>
      <c r="L30" s="4"/>
      <c r="M30" s="4"/>
      <c r="N30" s="4"/>
      <c r="O30" s="1"/>
    </row>
    <row r="31" spans="1:15">
      <c r="A31" s="23">
        <v>46148</v>
      </c>
      <c r="B31" s="6" t="s">
        <v>1282</v>
      </c>
      <c r="C31" s="6" t="s">
        <v>1464</v>
      </c>
      <c r="D31" s="232">
        <v>8000</v>
      </c>
      <c r="E31" s="6" t="s">
        <v>87</v>
      </c>
      <c r="F31" s="6" t="s">
        <v>1282</v>
      </c>
      <c r="G31" s="6" t="str">
        <f t="shared" si="0"/>
        <v>Semana 2</v>
      </c>
      <c r="H31" s="51" t="s">
        <v>1508</v>
      </c>
      <c r="I31" s="6" t="str">
        <f t="shared" si="1"/>
        <v>mayo</v>
      </c>
      <c r="J31" s="4" t="s">
        <v>1467</v>
      </c>
      <c r="K31" s="4" t="s">
        <v>1509</v>
      </c>
      <c r="L31" s="4"/>
      <c r="M31" s="4"/>
      <c r="N31" s="4"/>
      <c r="O31" s="1"/>
    </row>
    <row r="32" spans="1:15">
      <c r="A32" s="23">
        <v>46148</v>
      </c>
      <c r="B32" s="6" t="s">
        <v>1463</v>
      </c>
      <c r="C32" s="51" t="s">
        <v>1486</v>
      </c>
      <c r="D32" s="232">
        <v>5300</v>
      </c>
      <c r="E32" s="6" t="s">
        <v>87</v>
      </c>
      <c r="F32" s="6" t="s">
        <v>1465</v>
      </c>
      <c r="G32" s="6" t="str">
        <f t="shared" si="0"/>
        <v>Semana 2</v>
      </c>
      <c r="H32" s="51" t="s">
        <v>1510</v>
      </c>
      <c r="I32" s="6" t="str">
        <f t="shared" si="1"/>
        <v>mayo</v>
      </c>
      <c r="J32" s="4" t="s">
        <v>1467</v>
      </c>
      <c r="K32" s="4" t="s">
        <v>1511</v>
      </c>
      <c r="L32" s="64">
        <f>SUMIFS(D$5:D$403,I$5:I$403,"mayo",J$5:J$403,"Gasto real")</f>
        <v>0</v>
      </c>
      <c r="M32" s="4"/>
      <c r="N32" s="4"/>
      <c r="O32" s="1"/>
    </row>
    <row r="33" spans="1:15">
      <c r="A33" s="23">
        <v>46148</v>
      </c>
      <c r="B33" s="6" t="s">
        <v>1463</v>
      </c>
      <c r="C33" s="51" t="s">
        <v>1486</v>
      </c>
      <c r="D33" s="232">
        <v>9700</v>
      </c>
      <c r="E33" s="6" t="s">
        <v>58</v>
      </c>
      <c r="F33" s="6" t="s">
        <v>1465</v>
      </c>
      <c r="G33" s="6" t="str">
        <f t="shared" si="0"/>
        <v>Semana 2</v>
      </c>
      <c r="H33" s="51" t="s">
        <v>1512</v>
      </c>
      <c r="I33" s="6" t="str">
        <f t="shared" si="1"/>
        <v>mayo</v>
      </c>
      <c r="J33" s="4" t="s">
        <v>1467</v>
      </c>
      <c r="K33" s="4" t="s">
        <v>1513</v>
      </c>
      <c r="L33" s="64">
        <f>SUMIFS(D$5:D$403,I$5:I$403,"mayo",J$5:J$403,"Movimiento patrimonial")</f>
        <v>0</v>
      </c>
      <c r="M33" s="4"/>
      <c r="N33" s="4"/>
      <c r="O33" s="1"/>
    </row>
    <row r="34" spans="1:15">
      <c r="A34" s="23">
        <v>46148</v>
      </c>
      <c r="B34" s="6" t="s">
        <v>1477</v>
      </c>
      <c r="C34" s="51" t="s">
        <v>1486</v>
      </c>
      <c r="D34" s="232">
        <v>2290</v>
      </c>
      <c r="E34" s="6" t="s">
        <v>58</v>
      </c>
      <c r="F34" s="6" t="s">
        <v>1110</v>
      </c>
      <c r="G34" s="6" t="str">
        <f t="shared" si="0"/>
        <v>Semana 2</v>
      </c>
      <c r="H34" s="51" t="s">
        <v>1514</v>
      </c>
      <c r="I34" s="6" t="str">
        <f t="shared" si="1"/>
        <v>mayo</v>
      </c>
      <c r="J34" s="4" t="s">
        <v>1467</v>
      </c>
      <c r="K34" s="4" t="s">
        <v>1515</v>
      </c>
      <c r="L34" s="64">
        <f>SUMIFS(D$5:D$403,I$5:I$403,"abril")</f>
        <v>100000</v>
      </c>
      <c r="M34" s="4"/>
      <c r="N34" s="4"/>
      <c r="O34" s="1"/>
    </row>
    <row r="35" spans="1:15">
      <c r="A35" s="23">
        <v>46149</v>
      </c>
      <c r="B35" s="6" t="s">
        <v>1463</v>
      </c>
      <c r="C35" s="51" t="s">
        <v>1486</v>
      </c>
      <c r="D35" s="232">
        <v>7430</v>
      </c>
      <c r="E35" s="47" t="s">
        <v>1149</v>
      </c>
      <c r="F35" s="6" t="s">
        <v>1465</v>
      </c>
      <c r="G35" s="6" t="str">
        <f t="shared" si="0"/>
        <v>Semana 2</v>
      </c>
      <c r="H35" s="47" t="s">
        <v>1516</v>
      </c>
      <c r="I35" s="6" t="str">
        <f t="shared" si="1"/>
        <v>mayo</v>
      </c>
      <c r="J35" s="4" t="s">
        <v>1467</v>
      </c>
      <c r="K35" s="4"/>
      <c r="L35" s="4"/>
      <c r="M35" s="4"/>
      <c r="N35" s="4"/>
      <c r="O35" s="1"/>
    </row>
    <row r="36" spans="1:15">
      <c r="A36" s="23">
        <v>46149</v>
      </c>
      <c r="B36" s="6" t="s">
        <v>1463</v>
      </c>
      <c r="C36" s="51" t="s">
        <v>1486</v>
      </c>
      <c r="D36" s="232">
        <v>3830</v>
      </c>
      <c r="E36" s="47" t="s">
        <v>1149</v>
      </c>
      <c r="F36" s="6" t="s">
        <v>1465</v>
      </c>
      <c r="G36" s="6" t="str">
        <f t="shared" si="0"/>
        <v>Semana 2</v>
      </c>
      <c r="H36" s="47" t="s">
        <v>1517</v>
      </c>
      <c r="I36" s="6" t="str">
        <f t="shared" si="1"/>
        <v>mayo</v>
      </c>
      <c r="J36" s="4" t="s">
        <v>1467</v>
      </c>
      <c r="K36" s="4"/>
      <c r="L36" s="4"/>
      <c r="M36" s="4"/>
      <c r="N36" s="4"/>
      <c r="O36" s="1"/>
    </row>
    <row r="37" spans="1:15">
      <c r="A37" s="23">
        <v>46149</v>
      </c>
      <c r="B37" s="6" t="s">
        <v>1463</v>
      </c>
      <c r="C37" s="51" t="s">
        <v>1486</v>
      </c>
      <c r="D37" s="232">
        <v>220460</v>
      </c>
      <c r="E37" s="47" t="s">
        <v>1149</v>
      </c>
      <c r="F37" s="6" t="s">
        <v>1465</v>
      </c>
      <c r="G37" s="6" t="str">
        <f t="shared" si="0"/>
        <v>Semana 2</v>
      </c>
      <c r="H37" s="47" t="s">
        <v>1518</v>
      </c>
      <c r="I37" s="6" t="str">
        <f t="shared" si="1"/>
        <v>mayo</v>
      </c>
      <c r="J37" s="4" t="s">
        <v>1467</v>
      </c>
      <c r="K37" s="4"/>
      <c r="L37" s="4"/>
      <c r="M37" s="4"/>
      <c r="N37" s="4"/>
      <c r="O37" s="1"/>
    </row>
    <row r="38" spans="1:15">
      <c r="A38" s="23">
        <v>46150</v>
      </c>
      <c r="B38" s="6" t="s">
        <v>1463</v>
      </c>
      <c r="C38" s="47" t="s">
        <v>1486</v>
      </c>
      <c r="D38" s="232">
        <v>20000</v>
      </c>
      <c r="E38" s="47" t="s">
        <v>1149</v>
      </c>
      <c r="F38" s="6" t="s">
        <v>1465</v>
      </c>
      <c r="G38" s="6" t="str">
        <f t="shared" si="0"/>
        <v>Semana 2</v>
      </c>
      <c r="H38" s="47" t="s">
        <v>1519</v>
      </c>
      <c r="I38" s="6" t="str">
        <f t="shared" si="1"/>
        <v>mayo</v>
      </c>
      <c r="J38" s="4" t="s">
        <v>1467</v>
      </c>
      <c r="K38" s="4"/>
      <c r="L38" s="4"/>
      <c r="M38" s="4"/>
      <c r="N38" s="4"/>
      <c r="O38" s="1"/>
    </row>
    <row r="39" spans="1:15">
      <c r="A39" s="23">
        <v>46150</v>
      </c>
      <c r="B39" s="47" t="s">
        <v>1490</v>
      </c>
      <c r="C39" s="47" t="s">
        <v>1486</v>
      </c>
      <c r="D39" s="232">
        <v>4000</v>
      </c>
      <c r="E39" s="6" t="s">
        <v>58</v>
      </c>
      <c r="F39" s="6" t="s">
        <v>1110</v>
      </c>
      <c r="G39" s="6" t="str">
        <f t="shared" si="0"/>
        <v>Semana 2</v>
      </c>
      <c r="H39" s="47" t="s">
        <v>1514</v>
      </c>
      <c r="I39" s="6" t="str">
        <f t="shared" si="1"/>
        <v>mayo</v>
      </c>
      <c r="J39" s="4" t="s">
        <v>1467</v>
      </c>
      <c r="K39" s="4"/>
      <c r="L39" s="4"/>
      <c r="M39" s="4"/>
      <c r="N39" s="4"/>
      <c r="O39" s="1"/>
    </row>
    <row r="40" spans="1:15">
      <c r="A40" s="23">
        <v>46150</v>
      </c>
      <c r="B40" s="6" t="s">
        <v>1488</v>
      </c>
      <c r="C40" s="47" t="s">
        <v>1486</v>
      </c>
      <c r="D40" s="232">
        <v>2200</v>
      </c>
      <c r="E40" s="47" t="s">
        <v>1149</v>
      </c>
      <c r="F40" s="6" t="s">
        <v>1110</v>
      </c>
      <c r="G40" s="6" t="str">
        <f t="shared" si="0"/>
        <v>Semana 2</v>
      </c>
      <c r="H40" s="47" t="s">
        <v>1520</v>
      </c>
      <c r="I40" s="6" t="str">
        <f t="shared" si="1"/>
        <v>mayo</v>
      </c>
      <c r="J40" s="4" t="s">
        <v>1467</v>
      </c>
      <c r="K40" s="4"/>
      <c r="L40" s="4"/>
      <c r="M40" s="4"/>
      <c r="N40" s="4"/>
      <c r="O40" s="1"/>
    </row>
    <row r="41" spans="1:15">
      <c r="A41" s="23">
        <v>46150</v>
      </c>
      <c r="B41" s="6" t="s">
        <v>1488</v>
      </c>
      <c r="C41" s="47" t="s">
        <v>1486</v>
      </c>
      <c r="D41" s="232">
        <v>2900</v>
      </c>
      <c r="E41" s="6" t="s">
        <v>58</v>
      </c>
      <c r="F41" s="6" t="s">
        <v>1465</v>
      </c>
      <c r="G41" s="6" t="str">
        <f t="shared" si="0"/>
        <v>Semana 2</v>
      </c>
      <c r="H41" s="47" t="s">
        <v>1480</v>
      </c>
      <c r="I41" s="6" t="str">
        <f t="shared" si="1"/>
        <v>mayo</v>
      </c>
      <c r="J41" s="4" t="s">
        <v>1467</v>
      </c>
      <c r="K41" s="4"/>
      <c r="L41" s="4"/>
      <c r="M41" s="4"/>
      <c r="N41" s="4"/>
      <c r="O41" s="1"/>
    </row>
    <row r="42" spans="1:15">
      <c r="A42" s="23">
        <v>46151</v>
      </c>
      <c r="B42" s="6" t="s">
        <v>1463</v>
      </c>
      <c r="C42" s="47" t="s">
        <v>1486</v>
      </c>
      <c r="D42" s="232">
        <v>5000</v>
      </c>
      <c r="E42" s="47" t="s">
        <v>1149</v>
      </c>
      <c r="F42" s="6" t="s">
        <v>1465</v>
      </c>
      <c r="G42" s="6" t="str">
        <f t="shared" si="0"/>
        <v>Semana 2</v>
      </c>
      <c r="H42" s="47" t="s">
        <v>1517</v>
      </c>
      <c r="I42" s="6" t="str">
        <f t="shared" si="1"/>
        <v>mayo</v>
      </c>
      <c r="J42" s="4" t="s">
        <v>1467</v>
      </c>
      <c r="K42" s="4"/>
      <c r="L42" s="4"/>
      <c r="M42" s="4"/>
      <c r="N42" s="4"/>
      <c r="O42" s="1"/>
    </row>
    <row r="43" spans="1:15">
      <c r="A43" s="23">
        <v>46152</v>
      </c>
      <c r="B43" s="6" t="s">
        <v>1463</v>
      </c>
      <c r="C43" s="47" t="s">
        <v>1486</v>
      </c>
      <c r="D43" s="232">
        <v>3000</v>
      </c>
      <c r="E43" s="47" t="s">
        <v>1149</v>
      </c>
      <c r="F43" s="6" t="s">
        <v>1465</v>
      </c>
      <c r="G43" s="6" t="str">
        <f t="shared" si="0"/>
        <v>Semana 2</v>
      </c>
      <c r="H43" s="47" t="s">
        <v>1517</v>
      </c>
      <c r="I43" s="6" t="str">
        <f t="shared" si="1"/>
        <v>mayo</v>
      </c>
      <c r="J43" s="4" t="s">
        <v>1467</v>
      </c>
      <c r="K43" s="4"/>
      <c r="L43" s="4"/>
      <c r="M43" s="4"/>
      <c r="N43" s="4"/>
      <c r="O43" s="1"/>
    </row>
    <row r="44" spans="1:15">
      <c r="A44" s="23">
        <v>46152</v>
      </c>
      <c r="B44" s="6" t="s">
        <v>1490</v>
      </c>
      <c r="C44" s="47" t="s">
        <v>1486</v>
      </c>
      <c r="D44" s="232">
        <v>10000</v>
      </c>
      <c r="E44" s="47" t="s">
        <v>1149</v>
      </c>
      <c r="F44" s="6" t="s">
        <v>1110</v>
      </c>
      <c r="G44" s="6" t="str">
        <f t="shared" si="0"/>
        <v>Semana 2</v>
      </c>
      <c r="H44" s="47" t="s">
        <v>1521</v>
      </c>
      <c r="I44" s="6" t="str">
        <f t="shared" si="1"/>
        <v>mayo</v>
      </c>
      <c r="J44" s="4" t="s">
        <v>1467</v>
      </c>
      <c r="K44" s="4"/>
      <c r="L44" s="4"/>
      <c r="M44" s="4"/>
      <c r="N44" s="4"/>
      <c r="O44" s="1"/>
    </row>
    <row r="45" spans="1:15">
      <c r="A45" s="23">
        <v>46152</v>
      </c>
      <c r="B45" s="6" t="s">
        <v>1463</v>
      </c>
      <c r="C45" s="47" t="s">
        <v>1486</v>
      </c>
      <c r="D45" s="232">
        <v>5000</v>
      </c>
      <c r="E45" s="47" t="s">
        <v>1149</v>
      </c>
      <c r="F45" s="6" t="s">
        <v>1465</v>
      </c>
      <c r="G45" s="6" t="str">
        <f t="shared" si="0"/>
        <v>Semana 2</v>
      </c>
      <c r="H45" s="47" t="s">
        <v>1522</v>
      </c>
      <c r="I45" s="6" t="str">
        <f t="shared" si="1"/>
        <v>mayo</v>
      </c>
      <c r="J45" s="4" t="s">
        <v>1467</v>
      </c>
      <c r="K45" s="27"/>
      <c r="L45" s="4"/>
      <c r="M45" s="4"/>
      <c r="N45" s="4"/>
      <c r="O45" s="1"/>
    </row>
    <row r="46" spans="1:15">
      <c r="A46" s="23">
        <v>46153</v>
      </c>
      <c r="B46" s="6" t="s">
        <v>1500</v>
      </c>
      <c r="C46" s="47" t="s">
        <v>1486</v>
      </c>
      <c r="D46" s="232">
        <v>7900</v>
      </c>
      <c r="E46" s="6" t="s">
        <v>87</v>
      </c>
      <c r="F46" s="6" t="s">
        <v>1291</v>
      </c>
      <c r="G46" s="6" t="str">
        <f t="shared" si="0"/>
        <v>Semana 3</v>
      </c>
      <c r="H46" s="66" t="s">
        <v>1523</v>
      </c>
      <c r="I46" s="6" t="str">
        <f t="shared" si="1"/>
        <v>mayo</v>
      </c>
      <c r="J46" s="4" t="s">
        <v>1467</v>
      </c>
      <c r="K46" s="4"/>
      <c r="L46" s="4"/>
      <c r="M46" s="4"/>
      <c r="N46" s="4"/>
      <c r="O46" s="1"/>
    </row>
    <row r="47" spans="1:15">
      <c r="A47" s="23">
        <v>46153</v>
      </c>
      <c r="B47" s="6" t="s">
        <v>1477</v>
      </c>
      <c r="C47" s="47" t="s">
        <v>1486</v>
      </c>
      <c r="D47" s="232">
        <v>1845</v>
      </c>
      <c r="E47" s="6" t="s">
        <v>87</v>
      </c>
      <c r="F47" s="6" t="s">
        <v>1110</v>
      </c>
      <c r="G47" s="6" t="str">
        <f t="shared" si="0"/>
        <v>Semana 3</v>
      </c>
      <c r="H47" s="66" t="s">
        <v>1524</v>
      </c>
      <c r="I47" s="6" t="str">
        <f t="shared" si="1"/>
        <v>mayo</v>
      </c>
      <c r="J47" s="4" t="s">
        <v>1467</v>
      </c>
      <c r="L47" s="4"/>
      <c r="M47" s="4"/>
      <c r="N47" s="4"/>
      <c r="O47" s="1"/>
    </row>
    <row r="48" spans="1:15">
      <c r="A48" s="23">
        <v>46153</v>
      </c>
      <c r="B48" s="6" t="s">
        <v>322</v>
      </c>
      <c r="C48" s="47" t="s">
        <v>1486</v>
      </c>
      <c r="D48" s="232">
        <v>27480</v>
      </c>
      <c r="E48" s="6" t="s">
        <v>87</v>
      </c>
      <c r="F48" s="6" t="s">
        <v>322</v>
      </c>
      <c r="G48" s="6" t="str">
        <f t="shared" si="0"/>
        <v>Semana 3</v>
      </c>
      <c r="H48" s="66" t="s">
        <v>1525</v>
      </c>
      <c r="I48" s="6" t="str">
        <f t="shared" si="1"/>
        <v>mayo</v>
      </c>
      <c r="J48" s="4" t="s">
        <v>1467</v>
      </c>
      <c r="K48" s="4"/>
      <c r="L48" s="4"/>
      <c r="M48" s="4"/>
      <c r="N48" s="4"/>
      <c r="O48" s="1"/>
    </row>
    <row r="49" spans="1:15">
      <c r="A49" s="23">
        <v>46154</v>
      </c>
      <c r="B49" s="6" t="s">
        <v>1488</v>
      </c>
      <c r="C49" s="47" t="s">
        <v>1486</v>
      </c>
      <c r="D49" s="232">
        <v>6299</v>
      </c>
      <c r="E49" s="66" t="s">
        <v>1149</v>
      </c>
      <c r="F49" s="6" t="s">
        <v>322</v>
      </c>
      <c r="G49" s="6" t="str">
        <f t="shared" si="0"/>
        <v>Semana 3</v>
      </c>
      <c r="H49" s="66" t="s">
        <v>1526</v>
      </c>
      <c r="I49" s="6" t="str">
        <f t="shared" si="1"/>
        <v>mayo</v>
      </c>
      <c r="J49" s="4" t="s">
        <v>1467</v>
      </c>
      <c r="K49" s="4"/>
      <c r="L49" s="4"/>
      <c r="M49" s="4"/>
      <c r="N49" s="4"/>
      <c r="O49" s="1"/>
    </row>
    <row r="50" spans="1:15">
      <c r="A50" s="23">
        <v>46154</v>
      </c>
      <c r="B50" s="6" t="s">
        <v>1463</v>
      </c>
      <c r="C50" s="47" t="s">
        <v>1486</v>
      </c>
      <c r="D50" s="232">
        <v>1190</v>
      </c>
      <c r="E50" s="66" t="s">
        <v>1149</v>
      </c>
      <c r="F50" s="6" t="s">
        <v>1465</v>
      </c>
      <c r="G50" s="6" t="str">
        <f t="shared" si="0"/>
        <v>Semana 3</v>
      </c>
      <c r="H50" s="66" t="s">
        <v>1517</v>
      </c>
      <c r="I50" s="6" t="str">
        <f t="shared" si="1"/>
        <v>mayo</v>
      </c>
      <c r="J50" s="4" t="s">
        <v>1467</v>
      </c>
      <c r="K50" s="4"/>
      <c r="L50" s="4"/>
      <c r="M50" s="4"/>
      <c r="N50" s="4"/>
      <c r="O50" s="1"/>
    </row>
    <row r="51" spans="1:15">
      <c r="A51" s="23">
        <v>46154</v>
      </c>
      <c r="B51" s="6" t="s">
        <v>1463</v>
      </c>
      <c r="C51" s="47" t="s">
        <v>1486</v>
      </c>
      <c r="D51" s="232">
        <v>5680</v>
      </c>
      <c r="E51" s="6" t="s">
        <v>87</v>
      </c>
      <c r="F51" s="6" t="s">
        <v>1465</v>
      </c>
      <c r="G51" s="6" t="str">
        <f t="shared" si="0"/>
        <v>Semana 3</v>
      </c>
      <c r="H51" s="66" t="s">
        <v>1527</v>
      </c>
      <c r="I51" s="6" t="str">
        <f t="shared" si="1"/>
        <v>mayo</v>
      </c>
      <c r="J51" s="4" t="s">
        <v>1467</v>
      </c>
      <c r="K51" s="4"/>
      <c r="L51" s="4"/>
      <c r="M51" s="4"/>
      <c r="N51" s="4"/>
      <c r="O51" s="1"/>
    </row>
    <row r="52" spans="1:15">
      <c r="A52" s="23">
        <v>46155</v>
      </c>
      <c r="B52" s="6" t="s">
        <v>1463</v>
      </c>
      <c r="C52" s="47" t="s">
        <v>1486</v>
      </c>
      <c r="D52" s="232">
        <v>6640</v>
      </c>
      <c r="E52" s="6" t="s">
        <v>87</v>
      </c>
      <c r="F52" s="6" t="s">
        <v>1465</v>
      </c>
      <c r="G52" s="6" t="str">
        <f t="shared" si="0"/>
        <v>Semana 3</v>
      </c>
      <c r="H52" s="66" t="s">
        <v>1528</v>
      </c>
      <c r="I52" s="6" t="str">
        <f t="shared" si="1"/>
        <v>mayo</v>
      </c>
      <c r="J52" s="4" t="s">
        <v>1467</v>
      </c>
      <c r="K52" s="4"/>
      <c r="L52" s="4"/>
      <c r="M52" s="4"/>
      <c r="N52" s="4"/>
      <c r="O52" s="1"/>
    </row>
    <row r="53" spans="1:15">
      <c r="A53" s="23">
        <v>46155</v>
      </c>
      <c r="B53" s="6" t="s">
        <v>1463</v>
      </c>
      <c r="C53" s="47" t="s">
        <v>1486</v>
      </c>
      <c r="D53" s="232">
        <v>2670</v>
      </c>
      <c r="E53" s="6" t="s">
        <v>87</v>
      </c>
      <c r="F53" s="6" t="s">
        <v>1465</v>
      </c>
      <c r="G53" s="6" t="str">
        <f t="shared" si="0"/>
        <v>Semana 3</v>
      </c>
      <c r="H53" s="66" t="s">
        <v>1527</v>
      </c>
      <c r="I53" s="6" t="str">
        <f t="shared" si="1"/>
        <v>mayo</v>
      </c>
      <c r="J53" s="4" t="s">
        <v>1467</v>
      </c>
      <c r="K53" s="4"/>
      <c r="L53" s="4"/>
      <c r="M53" s="4"/>
      <c r="N53" s="4"/>
      <c r="O53" s="1"/>
    </row>
    <row r="54" spans="1:15">
      <c r="A54" s="23">
        <v>46156</v>
      </c>
      <c r="B54" s="6" t="s">
        <v>1477</v>
      </c>
      <c r="C54" s="47" t="s">
        <v>1486</v>
      </c>
      <c r="D54" s="232">
        <v>4950</v>
      </c>
      <c r="E54" s="6" t="s">
        <v>58</v>
      </c>
      <c r="F54" s="6" t="s">
        <v>1465</v>
      </c>
      <c r="G54" s="6" t="str">
        <f t="shared" si="0"/>
        <v>Semana 3</v>
      </c>
      <c r="H54" s="66" t="s">
        <v>1529</v>
      </c>
      <c r="I54" s="6" t="str">
        <f t="shared" si="1"/>
        <v>mayo</v>
      </c>
      <c r="J54" s="4" t="s">
        <v>1467</v>
      </c>
      <c r="K54" s="4"/>
      <c r="L54" s="4"/>
      <c r="M54" s="4"/>
      <c r="N54" s="4"/>
      <c r="O54" s="1"/>
    </row>
    <row r="55" spans="1:15">
      <c r="A55" s="23">
        <v>46156</v>
      </c>
      <c r="B55" s="6" t="s">
        <v>1463</v>
      </c>
      <c r="C55" s="47" t="s">
        <v>1486</v>
      </c>
      <c r="D55" s="232">
        <v>5549</v>
      </c>
      <c r="E55" s="6" t="s">
        <v>87</v>
      </c>
      <c r="F55" s="6" t="s">
        <v>1465</v>
      </c>
      <c r="G55" s="6" t="str">
        <f t="shared" si="0"/>
        <v>Semana 3</v>
      </c>
      <c r="H55" s="66" t="s">
        <v>1530</v>
      </c>
      <c r="I55" s="6" t="str">
        <f t="shared" si="1"/>
        <v>mayo</v>
      </c>
      <c r="J55" s="4" t="s">
        <v>1467</v>
      </c>
      <c r="K55" s="4"/>
      <c r="L55" s="4"/>
      <c r="M55" s="4"/>
      <c r="N55" s="4"/>
      <c r="O55" s="1"/>
    </row>
    <row r="56" spans="1:15">
      <c r="A56" s="23">
        <v>46156</v>
      </c>
      <c r="B56" s="6" t="s">
        <v>1463</v>
      </c>
      <c r="C56" s="47" t="s">
        <v>1486</v>
      </c>
      <c r="D56" s="232">
        <v>3020</v>
      </c>
      <c r="E56" s="6" t="s">
        <v>87</v>
      </c>
      <c r="F56" s="66" t="s">
        <v>1465</v>
      </c>
      <c r="G56" s="6" t="str">
        <f t="shared" si="0"/>
        <v>Semana 3</v>
      </c>
      <c r="H56" s="66" t="s">
        <v>1531</v>
      </c>
      <c r="I56" s="6" t="str">
        <f t="shared" si="1"/>
        <v>mayo</v>
      </c>
      <c r="J56" s="4" t="s">
        <v>1467</v>
      </c>
      <c r="K56" s="4"/>
      <c r="L56" s="4"/>
      <c r="M56" s="4"/>
      <c r="N56" s="4"/>
      <c r="O56" s="1"/>
    </row>
    <row r="57" spans="1:15">
      <c r="A57" s="23">
        <v>46156</v>
      </c>
      <c r="B57" s="6" t="s">
        <v>1488</v>
      </c>
      <c r="C57" s="47" t="s">
        <v>1486</v>
      </c>
      <c r="D57" s="232">
        <v>1200</v>
      </c>
      <c r="E57" s="6" t="s">
        <v>58</v>
      </c>
      <c r="F57" s="6" t="s">
        <v>1465</v>
      </c>
      <c r="G57" s="6" t="str">
        <f t="shared" si="0"/>
        <v>Semana 3</v>
      </c>
      <c r="H57" s="66" t="s">
        <v>1480</v>
      </c>
      <c r="I57" s="6" t="str">
        <f t="shared" si="1"/>
        <v>mayo</v>
      </c>
      <c r="J57" s="4" t="s">
        <v>1467</v>
      </c>
      <c r="K57" s="4"/>
      <c r="L57" s="4"/>
      <c r="M57" s="4"/>
      <c r="N57" s="4"/>
      <c r="O57" s="1"/>
    </row>
    <row r="58" spans="1:15">
      <c r="A58" s="23">
        <v>46156</v>
      </c>
      <c r="B58" s="6" t="s">
        <v>1110</v>
      </c>
      <c r="C58" s="47" t="s">
        <v>1486</v>
      </c>
      <c r="D58" s="232">
        <v>900</v>
      </c>
      <c r="E58" s="6" t="s">
        <v>58</v>
      </c>
      <c r="F58" s="6" t="s">
        <v>1110</v>
      </c>
      <c r="G58" s="6" t="str">
        <f t="shared" si="0"/>
        <v>Semana 3</v>
      </c>
      <c r="H58" s="66" t="s">
        <v>1532</v>
      </c>
      <c r="I58" s="6" t="str">
        <f t="shared" si="1"/>
        <v>mayo</v>
      </c>
      <c r="J58" s="4" t="s">
        <v>1467</v>
      </c>
      <c r="K58" s="4"/>
      <c r="L58" s="4"/>
      <c r="M58" s="4"/>
      <c r="N58" s="4"/>
      <c r="O58" s="1"/>
    </row>
    <row r="59" spans="1:15">
      <c r="A59" s="23">
        <v>46157</v>
      </c>
      <c r="B59" s="6" t="s">
        <v>1490</v>
      </c>
      <c r="C59" s="47" t="s">
        <v>1486</v>
      </c>
      <c r="D59" s="232">
        <v>4215</v>
      </c>
      <c r="E59" s="66" t="s">
        <v>1149</v>
      </c>
      <c r="F59" s="6" t="s">
        <v>1110</v>
      </c>
      <c r="G59" s="6" t="str">
        <f t="shared" si="0"/>
        <v>Semana 3</v>
      </c>
      <c r="H59" s="66" t="s">
        <v>1533</v>
      </c>
      <c r="I59" s="6" t="str">
        <f t="shared" si="1"/>
        <v>mayo</v>
      </c>
      <c r="J59" s="4" t="s">
        <v>1467</v>
      </c>
      <c r="K59" s="4"/>
      <c r="L59" s="4"/>
      <c r="M59" s="4"/>
      <c r="N59" s="4"/>
      <c r="O59" s="1"/>
    </row>
    <row r="60" spans="1:15">
      <c r="A60" s="23">
        <v>46157</v>
      </c>
      <c r="B60" s="6" t="s">
        <v>1282</v>
      </c>
      <c r="C60" s="47" t="s">
        <v>1486</v>
      </c>
      <c r="D60" s="232">
        <v>38000</v>
      </c>
      <c r="E60" s="66" t="s">
        <v>1149</v>
      </c>
      <c r="F60" s="6" t="s">
        <v>1282</v>
      </c>
      <c r="G60" s="6" t="str">
        <f t="shared" si="0"/>
        <v>Semana 3</v>
      </c>
      <c r="H60" s="66" t="s">
        <v>1534</v>
      </c>
      <c r="I60" s="6" t="str">
        <f t="shared" si="1"/>
        <v>mayo</v>
      </c>
      <c r="J60" s="4" t="s">
        <v>1467</v>
      </c>
      <c r="K60" s="4"/>
      <c r="L60" s="4"/>
      <c r="M60" s="4"/>
      <c r="N60" s="4"/>
      <c r="O60" s="1"/>
    </row>
    <row r="61" spans="1:15">
      <c r="A61" s="23">
        <v>46157</v>
      </c>
      <c r="B61" s="6" t="s">
        <v>1463</v>
      </c>
      <c r="C61" s="47" t="s">
        <v>1486</v>
      </c>
      <c r="D61" s="232">
        <v>5000</v>
      </c>
      <c r="E61" s="6" t="s">
        <v>87</v>
      </c>
      <c r="F61" s="6" t="s">
        <v>1465</v>
      </c>
      <c r="G61" s="6" t="str">
        <f t="shared" si="0"/>
        <v>Semana 3</v>
      </c>
      <c r="H61" s="66" t="s">
        <v>1535</v>
      </c>
      <c r="I61" s="6" t="str">
        <f t="shared" si="1"/>
        <v>mayo</v>
      </c>
      <c r="J61" s="4" t="s">
        <v>1467</v>
      </c>
      <c r="K61" s="4"/>
      <c r="L61" s="4"/>
      <c r="M61" s="4"/>
      <c r="N61" s="4"/>
      <c r="O61" s="1"/>
    </row>
    <row r="62" spans="1:15">
      <c r="A62" s="23">
        <v>46157</v>
      </c>
      <c r="B62" s="6" t="s">
        <v>1110</v>
      </c>
      <c r="C62" s="47" t="s">
        <v>1486</v>
      </c>
      <c r="D62" s="232">
        <v>6850</v>
      </c>
      <c r="E62" s="6" t="s">
        <v>58</v>
      </c>
      <c r="F62" s="6" t="s">
        <v>1110</v>
      </c>
      <c r="G62" s="6" t="str">
        <f t="shared" si="0"/>
        <v>Semana 3</v>
      </c>
      <c r="H62" s="66" t="s">
        <v>1536</v>
      </c>
      <c r="I62" s="6" t="str">
        <f t="shared" si="1"/>
        <v>mayo</v>
      </c>
      <c r="J62" s="4" t="s">
        <v>1467</v>
      </c>
      <c r="K62" s="4"/>
      <c r="L62" s="4"/>
      <c r="M62" s="4"/>
      <c r="N62" s="4"/>
      <c r="O62" s="1"/>
    </row>
    <row r="63" spans="1:15">
      <c r="A63" s="23">
        <v>46158</v>
      </c>
      <c r="B63" s="6" t="s">
        <v>1500</v>
      </c>
      <c r="C63" s="47" t="s">
        <v>1486</v>
      </c>
      <c r="D63" s="232">
        <v>22230</v>
      </c>
      <c r="E63" s="6" t="s">
        <v>87</v>
      </c>
      <c r="F63" s="6" t="s">
        <v>1291</v>
      </c>
      <c r="G63" s="6" t="str">
        <f t="shared" si="0"/>
        <v>Semana 3</v>
      </c>
      <c r="H63" s="66" t="s">
        <v>1537</v>
      </c>
      <c r="I63" s="6" t="str">
        <f t="shared" si="1"/>
        <v>mayo</v>
      </c>
      <c r="J63" s="4" t="s">
        <v>1467</v>
      </c>
      <c r="K63" s="4"/>
      <c r="L63" s="4"/>
      <c r="M63" s="4"/>
      <c r="N63" s="4"/>
      <c r="O63" s="1"/>
    </row>
    <row r="64" spans="1:15">
      <c r="A64" s="23">
        <v>46158</v>
      </c>
      <c r="B64" s="6" t="s">
        <v>1490</v>
      </c>
      <c r="C64" s="47" t="s">
        <v>1486</v>
      </c>
      <c r="D64" s="232">
        <v>10000</v>
      </c>
      <c r="E64" s="6" t="s">
        <v>87</v>
      </c>
      <c r="F64" s="6" t="s">
        <v>1110</v>
      </c>
      <c r="G64" s="6" t="str">
        <f t="shared" si="0"/>
        <v>Semana 3</v>
      </c>
      <c r="H64" s="66" t="s">
        <v>1538</v>
      </c>
      <c r="I64" s="6" t="str">
        <f t="shared" si="1"/>
        <v>mayo</v>
      </c>
      <c r="J64" s="4" t="s">
        <v>1467</v>
      </c>
      <c r="K64" s="4"/>
      <c r="L64" s="4"/>
      <c r="M64" s="4"/>
      <c r="N64" s="4"/>
      <c r="O64" s="1"/>
    </row>
    <row r="65" spans="1:15">
      <c r="A65" s="23">
        <v>46158</v>
      </c>
      <c r="B65" s="6" t="s">
        <v>1463</v>
      </c>
      <c r="C65" s="47" t="s">
        <v>1486</v>
      </c>
      <c r="D65" s="232">
        <v>50000</v>
      </c>
      <c r="E65" s="6" t="s">
        <v>87</v>
      </c>
      <c r="F65" s="6" t="s">
        <v>1465</v>
      </c>
      <c r="G65" s="6" t="str">
        <f t="shared" si="0"/>
        <v>Semana 3</v>
      </c>
      <c r="H65" s="66" t="s">
        <v>1539</v>
      </c>
      <c r="I65" s="6" t="str">
        <f t="shared" si="1"/>
        <v>mayo</v>
      </c>
      <c r="J65" s="4" t="s">
        <v>1467</v>
      </c>
      <c r="K65" s="4"/>
      <c r="L65" s="4"/>
      <c r="M65" s="4"/>
      <c r="N65" s="4"/>
      <c r="O65" s="1"/>
    </row>
    <row r="66" spans="1:15">
      <c r="A66" s="23">
        <v>46158</v>
      </c>
      <c r="B66" s="6" t="s">
        <v>322</v>
      </c>
      <c r="C66" s="47" t="s">
        <v>1486</v>
      </c>
      <c r="D66" s="232">
        <v>7880</v>
      </c>
      <c r="E66" s="6" t="s">
        <v>87</v>
      </c>
      <c r="F66" s="6" t="s">
        <v>322</v>
      </c>
      <c r="G66" s="6" t="str">
        <f t="shared" si="0"/>
        <v>Semana 3</v>
      </c>
      <c r="H66" s="66" t="s">
        <v>1540</v>
      </c>
      <c r="I66" s="6" t="str">
        <f t="shared" si="1"/>
        <v>mayo</v>
      </c>
      <c r="J66" s="4" t="s">
        <v>1467</v>
      </c>
      <c r="K66" s="4"/>
      <c r="L66" s="4"/>
      <c r="M66" s="4"/>
      <c r="N66" s="4"/>
      <c r="O66" s="1"/>
    </row>
    <row r="67" spans="1:15">
      <c r="A67" s="23">
        <v>46158</v>
      </c>
      <c r="B67" s="6" t="s">
        <v>1488</v>
      </c>
      <c r="C67" s="47" t="s">
        <v>1486</v>
      </c>
      <c r="D67" s="232">
        <v>2800</v>
      </c>
      <c r="E67" s="6" t="s">
        <v>58</v>
      </c>
      <c r="F67" s="6" t="s">
        <v>1465</v>
      </c>
      <c r="G67" s="6" t="str">
        <f t="shared" si="0"/>
        <v>Semana 3</v>
      </c>
      <c r="H67" s="66" t="s">
        <v>1541</v>
      </c>
      <c r="I67" s="6" t="str">
        <f t="shared" si="1"/>
        <v>mayo</v>
      </c>
      <c r="J67" s="4" t="s">
        <v>1467</v>
      </c>
      <c r="K67" s="4"/>
      <c r="L67" s="4"/>
      <c r="M67" s="4"/>
      <c r="N67" s="4"/>
      <c r="O67" s="1"/>
    </row>
    <row r="68" spans="1:15">
      <c r="A68" s="23">
        <v>46159</v>
      </c>
      <c r="B68" s="6" t="s">
        <v>1488</v>
      </c>
      <c r="C68" s="47" t="s">
        <v>1486</v>
      </c>
      <c r="D68" s="232">
        <v>850</v>
      </c>
      <c r="E68" s="6" t="s">
        <v>58</v>
      </c>
      <c r="F68" s="6" t="s">
        <v>1465</v>
      </c>
      <c r="G68" s="6" t="str">
        <f t="shared" si="0"/>
        <v>Semana 3</v>
      </c>
      <c r="H68" s="66" t="s">
        <v>1542</v>
      </c>
      <c r="I68" s="6" t="str">
        <f t="shared" si="1"/>
        <v>mayo</v>
      </c>
      <c r="J68" s="4" t="s">
        <v>1467</v>
      </c>
      <c r="K68" s="4"/>
      <c r="L68" s="4"/>
      <c r="M68" s="4"/>
      <c r="N68" s="4"/>
      <c r="O68" s="1"/>
    </row>
    <row r="69" spans="1:15">
      <c r="A69" s="23">
        <v>46160</v>
      </c>
      <c r="B69" s="6" t="s">
        <v>1490</v>
      </c>
      <c r="C69" s="47" t="s">
        <v>1486</v>
      </c>
      <c r="D69" s="232">
        <v>1187</v>
      </c>
      <c r="E69" s="6" t="s">
        <v>87</v>
      </c>
      <c r="F69" s="6" t="s">
        <v>1110</v>
      </c>
      <c r="G69" s="6" t="str">
        <f t="shared" ref="G69:G132" si="3">IF(A69="","", "Semana "&amp;(WEEKNUM(A69,2)-WEEKNUM(DATE(YEAR(A69),MONTH(A69),1),2)+1))</f>
        <v>Semana 4</v>
      </c>
      <c r="H69" s="66" t="s">
        <v>1514</v>
      </c>
      <c r="I69" s="6" t="str">
        <f t="shared" ref="I69:I132" si="4">IF(A69="","",IF(MONTH(A69)=5,"mayo",IF(MONTH(A69)=4,"abril",TEXT(A69,"mmmm"))))</f>
        <v>mayo</v>
      </c>
      <c r="J69" s="4" t="s">
        <v>1467</v>
      </c>
      <c r="K69" s="4"/>
      <c r="L69" s="4"/>
      <c r="M69" s="4"/>
      <c r="N69" s="4"/>
      <c r="O69" s="1"/>
    </row>
    <row r="70" spans="1:15">
      <c r="A70" s="23">
        <v>46160</v>
      </c>
      <c r="B70" s="6" t="s">
        <v>1463</v>
      </c>
      <c r="C70" s="47" t="s">
        <v>1486</v>
      </c>
      <c r="D70" s="232">
        <v>4090</v>
      </c>
      <c r="E70" s="6" t="s">
        <v>87</v>
      </c>
      <c r="F70" s="6" t="s">
        <v>1465</v>
      </c>
      <c r="G70" s="6" t="str">
        <f t="shared" si="3"/>
        <v>Semana 4</v>
      </c>
      <c r="H70" s="66" t="s">
        <v>1510</v>
      </c>
      <c r="I70" s="6" t="str">
        <f t="shared" si="4"/>
        <v>mayo</v>
      </c>
      <c r="J70" s="4" t="s">
        <v>1467</v>
      </c>
      <c r="K70" s="4"/>
      <c r="L70" s="4"/>
      <c r="M70" s="4"/>
      <c r="N70" s="4"/>
      <c r="O70" s="1"/>
    </row>
    <row r="71" spans="1:15">
      <c r="A71" s="23">
        <v>46160</v>
      </c>
      <c r="B71" s="6" t="s">
        <v>1488</v>
      </c>
      <c r="C71" s="47" t="s">
        <v>1486</v>
      </c>
      <c r="D71" s="232">
        <v>1000</v>
      </c>
      <c r="E71" s="6" t="s">
        <v>58</v>
      </c>
      <c r="F71" s="6" t="s">
        <v>1465</v>
      </c>
      <c r="G71" s="6" t="str">
        <f t="shared" si="3"/>
        <v>Semana 4</v>
      </c>
      <c r="H71" s="66" t="s">
        <v>1542</v>
      </c>
      <c r="I71" s="6" t="str">
        <f t="shared" si="4"/>
        <v>mayo</v>
      </c>
      <c r="J71" s="4" t="s">
        <v>1467</v>
      </c>
      <c r="K71" s="4"/>
      <c r="L71" s="4"/>
      <c r="M71" s="4"/>
      <c r="N71" s="4"/>
      <c r="O71" s="1"/>
    </row>
    <row r="72" spans="1:15">
      <c r="A72" s="23">
        <v>46162</v>
      </c>
      <c r="B72" s="6" t="s">
        <v>1463</v>
      </c>
      <c r="C72" s="47" t="s">
        <v>1486</v>
      </c>
      <c r="D72" s="232">
        <v>19491</v>
      </c>
      <c r="E72" s="6" t="s">
        <v>87</v>
      </c>
      <c r="F72" s="6" t="s">
        <v>1465</v>
      </c>
      <c r="G72" s="6" t="str">
        <f t="shared" si="3"/>
        <v>Semana 4</v>
      </c>
      <c r="H72" s="66" t="s">
        <v>1543</v>
      </c>
      <c r="I72" s="6" t="str">
        <f t="shared" si="4"/>
        <v>mayo</v>
      </c>
      <c r="J72" s="4" t="s">
        <v>1467</v>
      </c>
      <c r="K72" s="4"/>
      <c r="L72" s="4"/>
      <c r="M72" s="4"/>
      <c r="N72" s="4"/>
      <c r="O72" s="1"/>
    </row>
    <row r="73" spans="1:15">
      <c r="A73" s="23">
        <v>46162</v>
      </c>
      <c r="B73" s="6" t="s">
        <v>1477</v>
      </c>
      <c r="C73" s="47" t="s">
        <v>1486</v>
      </c>
      <c r="D73" s="232">
        <v>23118</v>
      </c>
      <c r="E73" s="6" t="s">
        <v>58</v>
      </c>
      <c r="F73" s="6" t="s">
        <v>1291</v>
      </c>
      <c r="G73" s="6" t="str">
        <f t="shared" si="3"/>
        <v>Semana 4</v>
      </c>
      <c r="H73" s="66" t="s">
        <v>1544</v>
      </c>
      <c r="I73" s="6" t="str">
        <f t="shared" si="4"/>
        <v>mayo</v>
      </c>
      <c r="J73" s="4" t="s">
        <v>1467</v>
      </c>
      <c r="K73" s="4"/>
      <c r="L73" s="4"/>
      <c r="M73" s="4"/>
      <c r="N73" s="4"/>
      <c r="O73" s="1"/>
    </row>
    <row r="74" spans="1:15">
      <c r="A74" s="23">
        <v>46163</v>
      </c>
      <c r="B74" s="6" t="s">
        <v>1463</v>
      </c>
      <c r="C74" s="47" t="s">
        <v>1486</v>
      </c>
      <c r="D74" s="232">
        <v>4890</v>
      </c>
      <c r="E74" s="6" t="s">
        <v>87</v>
      </c>
      <c r="F74" s="6" t="s">
        <v>1465</v>
      </c>
      <c r="G74" s="6" t="str">
        <f t="shared" si="3"/>
        <v>Semana 4</v>
      </c>
      <c r="H74" s="66" t="s">
        <v>1510</v>
      </c>
      <c r="I74" s="6" t="str">
        <f t="shared" si="4"/>
        <v>mayo</v>
      </c>
      <c r="J74" s="4" t="s">
        <v>1467</v>
      </c>
      <c r="K74" s="4"/>
      <c r="L74" s="4"/>
      <c r="M74" s="4"/>
      <c r="N74" s="4"/>
      <c r="O74" s="1"/>
    </row>
    <row r="75" spans="1:15">
      <c r="A75" s="23">
        <v>46163</v>
      </c>
      <c r="B75" s="6" t="s">
        <v>1488</v>
      </c>
      <c r="C75" s="47" t="s">
        <v>1486</v>
      </c>
      <c r="D75" s="232">
        <v>1490</v>
      </c>
      <c r="E75" s="6" t="s">
        <v>58</v>
      </c>
      <c r="F75" s="6" t="s">
        <v>1465</v>
      </c>
      <c r="G75" s="6" t="str">
        <f t="shared" si="3"/>
        <v>Semana 4</v>
      </c>
      <c r="H75" s="66" t="s">
        <v>1545</v>
      </c>
      <c r="I75" s="6" t="str">
        <f t="shared" si="4"/>
        <v>mayo</v>
      </c>
      <c r="J75" s="4" t="s">
        <v>1467</v>
      </c>
      <c r="K75" s="4"/>
      <c r="L75" s="4"/>
      <c r="M75" s="4"/>
      <c r="N75" s="4"/>
      <c r="O75" s="1"/>
    </row>
    <row r="76" spans="1:15">
      <c r="A76" s="23">
        <v>46163</v>
      </c>
      <c r="B76" s="6" t="s">
        <v>1488</v>
      </c>
      <c r="C76" s="47" t="s">
        <v>1486</v>
      </c>
      <c r="D76" s="232">
        <v>10000</v>
      </c>
      <c r="E76" s="6" t="s">
        <v>58</v>
      </c>
      <c r="F76" s="6" t="s">
        <v>1465</v>
      </c>
      <c r="G76" s="6" t="str">
        <f t="shared" si="3"/>
        <v>Semana 4</v>
      </c>
      <c r="H76" s="66" t="s">
        <v>1546</v>
      </c>
      <c r="I76" s="6" t="str">
        <f t="shared" si="4"/>
        <v>mayo</v>
      </c>
      <c r="J76" s="4" t="s">
        <v>1467</v>
      </c>
      <c r="K76" s="4"/>
      <c r="L76" s="4"/>
      <c r="M76" s="4"/>
      <c r="N76" s="4"/>
      <c r="O76" s="1"/>
    </row>
    <row r="77" spans="1:15">
      <c r="A77" s="23">
        <v>46167</v>
      </c>
      <c r="B77" s="6" t="s">
        <v>1488</v>
      </c>
      <c r="C77" s="47" t="s">
        <v>1486</v>
      </c>
      <c r="D77" s="232">
        <v>64421</v>
      </c>
      <c r="E77" s="6" t="s">
        <v>87</v>
      </c>
      <c r="F77" s="6" t="s">
        <v>1465</v>
      </c>
      <c r="G77" s="6" t="str">
        <f t="shared" si="3"/>
        <v>Semana 5</v>
      </c>
      <c r="H77" s="66" t="s">
        <v>1547</v>
      </c>
      <c r="I77" s="6" t="str">
        <f t="shared" si="4"/>
        <v>mayo</v>
      </c>
      <c r="J77" s="4" t="s">
        <v>1467</v>
      </c>
      <c r="K77" s="4"/>
      <c r="L77" s="4"/>
      <c r="M77" s="4"/>
      <c r="N77" s="4"/>
      <c r="O77" s="1"/>
    </row>
    <row r="78" spans="1:15">
      <c r="A78" s="23">
        <v>46169</v>
      </c>
      <c r="B78" s="6" t="s">
        <v>1488</v>
      </c>
      <c r="C78" s="47" t="s">
        <v>1486</v>
      </c>
      <c r="D78" s="232">
        <v>1700</v>
      </c>
      <c r="E78" s="66" t="s">
        <v>1149</v>
      </c>
      <c r="F78" s="6" t="s">
        <v>1465</v>
      </c>
      <c r="G78" s="6" t="str">
        <f t="shared" si="3"/>
        <v>Semana 5</v>
      </c>
      <c r="H78" s="66" t="s">
        <v>1548</v>
      </c>
      <c r="I78" s="6" t="str">
        <f t="shared" si="4"/>
        <v>mayo</v>
      </c>
      <c r="J78" s="4" t="s">
        <v>1467</v>
      </c>
      <c r="K78" s="4"/>
      <c r="L78" s="4"/>
      <c r="M78" s="4"/>
      <c r="N78" s="4"/>
      <c r="O78" s="1"/>
    </row>
    <row r="79" spans="1:15">
      <c r="A79" s="23">
        <v>46174</v>
      </c>
      <c r="B79" s="6" t="s">
        <v>1488</v>
      </c>
      <c r="C79" s="47" t="s">
        <v>1486</v>
      </c>
      <c r="D79" s="232">
        <v>78490</v>
      </c>
      <c r="E79" s="6" t="s">
        <v>87</v>
      </c>
      <c r="F79" s="6" t="s">
        <v>1465</v>
      </c>
      <c r="G79" s="6" t="str">
        <f t="shared" si="3"/>
        <v>Semana 1</v>
      </c>
      <c r="H79" s="66" t="s">
        <v>1549</v>
      </c>
      <c r="I79" s="6" t="str">
        <f t="shared" si="4"/>
        <v>junio</v>
      </c>
      <c r="J79" s="4" t="s">
        <v>1467</v>
      </c>
      <c r="K79" s="4"/>
      <c r="L79" s="4"/>
      <c r="M79" s="4"/>
      <c r="N79" s="4"/>
      <c r="O79" s="1"/>
    </row>
    <row r="80" spans="1:15">
      <c r="A80" s="23">
        <v>46174</v>
      </c>
      <c r="B80" s="6" t="s">
        <v>1488</v>
      </c>
      <c r="C80" s="47" t="s">
        <v>1486</v>
      </c>
      <c r="D80" s="232">
        <v>900</v>
      </c>
      <c r="E80" s="6" t="s">
        <v>58</v>
      </c>
      <c r="F80" s="6" t="s">
        <v>1465</v>
      </c>
      <c r="G80" s="6" t="str">
        <f t="shared" si="3"/>
        <v>Semana 1</v>
      </c>
      <c r="H80" s="66" t="s">
        <v>1550</v>
      </c>
      <c r="I80" s="6" t="str">
        <f t="shared" si="4"/>
        <v>junio</v>
      </c>
      <c r="J80" s="4" t="s">
        <v>1467</v>
      </c>
      <c r="K80" s="4"/>
      <c r="L80" s="4"/>
      <c r="M80" s="4"/>
      <c r="N80" s="4"/>
      <c r="O80" s="1"/>
    </row>
    <row r="81" spans="1:15">
      <c r="A81" s="23">
        <v>46174</v>
      </c>
      <c r="B81" s="6" t="s">
        <v>1463</v>
      </c>
      <c r="C81" s="47" t="s">
        <v>1486</v>
      </c>
      <c r="D81" s="232">
        <v>20800</v>
      </c>
      <c r="E81" s="6" t="s">
        <v>87</v>
      </c>
      <c r="F81" s="6" t="s">
        <v>1465</v>
      </c>
      <c r="G81" s="6" t="str">
        <f t="shared" si="3"/>
        <v>Semana 1</v>
      </c>
      <c r="H81" s="66" t="s">
        <v>1530</v>
      </c>
      <c r="I81" s="6" t="str">
        <f t="shared" si="4"/>
        <v>junio</v>
      </c>
      <c r="J81" s="4" t="s">
        <v>1467</v>
      </c>
      <c r="K81" s="4"/>
      <c r="L81" s="4"/>
      <c r="M81" s="4"/>
      <c r="N81" s="4"/>
      <c r="O81" s="1"/>
    </row>
    <row r="82" spans="1:15">
      <c r="A82" s="23">
        <v>46174</v>
      </c>
      <c r="B82" s="6" t="s">
        <v>1488</v>
      </c>
      <c r="C82" s="47" t="s">
        <v>1486</v>
      </c>
      <c r="D82" s="232">
        <v>26799</v>
      </c>
      <c r="E82" s="6" t="s">
        <v>87</v>
      </c>
      <c r="F82" s="6" t="s">
        <v>1465</v>
      </c>
      <c r="G82" s="6" t="str">
        <f t="shared" si="3"/>
        <v>Semana 1</v>
      </c>
      <c r="H82" s="66" t="s">
        <v>1551</v>
      </c>
      <c r="I82" s="6" t="str">
        <f t="shared" si="4"/>
        <v>junio</v>
      </c>
      <c r="J82" s="4" t="s">
        <v>1467</v>
      </c>
      <c r="K82" s="4"/>
      <c r="L82" s="4"/>
      <c r="M82" s="4"/>
      <c r="N82" s="4"/>
      <c r="O82" s="1"/>
    </row>
    <row r="83" spans="1:15">
      <c r="A83" s="23">
        <v>46174</v>
      </c>
      <c r="B83" s="6" t="s">
        <v>1463</v>
      </c>
      <c r="C83" s="47" t="s">
        <v>1486</v>
      </c>
      <c r="D83" s="232">
        <v>26083</v>
      </c>
      <c r="E83" s="6" t="s">
        <v>87</v>
      </c>
      <c r="F83" s="6" t="s">
        <v>1465</v>
      </c>
      <c r="G83" s="6" t="str">
        <f t="shared" si="3"/>
        <v>Semana 1</v>
      </c>
      <c r="H83" s="66" t="s">
        <v>1498</v>
      </c>
      <c r="I83" s="6" t="str">
        <f t="shared" si="4"/>
        <v>junio</v>
      </c>
      <c r="J83" s="4" t="s">
        <v>1467</v>
      </c>
      <c r="K83" s="4"/>
      <c r="L83" s="4"/>
      <c r="M83" s="4"/>
      <c r="N83" s="4"/>
      <c r="O83" s="1"/>
    </row>
    <row r="84" spans="1:15">
      <c r="A84" s="23">
        <v>46174</v>
      </c>
      <c r="B84" s="6" t="s">
        <v>1463</v>
      </c>
      <c r="C84" s="47" t="s">
        <v>1486</v>
      </c>
      <c r="D84" s="232">
        <v>5480</v>
      </c>
      <c r="E84" s="6" t="s">
        <v>58</v>
      </c>
      <c r="F84" s="6" t="s">
        <v>1465</v>
      </c>
      <c r="G84" s="6" t="str">
        <f t="shared" si="3"/>
        <v>Semana 1</v>
      </c>
      <c r="H84" s="66" t="s">
        <v>1552</v>
      </c>
      <c r="I84" s="6" t="str">
        <f t="shared" si="4"/>
        <v>junio</v>
      </c>
      <c r="J84" s="4" t="s">
        <v>1467</v>
      </c>
      <c r="K84" s="4"/>
      <c r="L84" s="4"/>
      <c r="M84" s="4"/>
      <c r="N84" s="4"/>
      <c r="O84" s="1"/>
    </row>
    <row r="85" spans="1:15">
      <c r="A85" s="23">
        <v>46174</v>
      </c>
      <c r="B85" s="6" t="s">
        <v>1488</v>
      </c>
      <c r="C85" s="47" t="s">
        <v>1486</v>
      </c>
      <c r="D85" s="232">
        <v>7000</v>
      </c>
      <c r="E85" s="6" t="s">
        <v>87</v>
      </c>
      <c r="F85" s="6" t="s">
        <v>1465</v>
      </c>
      <c r="G85" s="6" t="str">
        <f t="shared" si="3"/>
        <v>Semana 1</v>
      </c>
      <c r="H85" s="66" t="s">
        <v>1499</v>
      </c>
      <c r="I85" s="6" t="str">
        <f t="shared" si="4"/>
        <v>junio</v>
      </c>
      <c r="J85" s="4" t="s">
        <v>1467</v>
      </c>
      <c r="K85" s="4"/>
      <c r="L85" s="4"/>
      <c r="M85" s="4"/>
      <c r="N85" s="4"/>
      <c r="O85" s="1"/>
    </row>
    <row r="86" spans="1:15">
      <c r="A86" s="23">
        <v>46174</v>
      </c>
      <c r="B86" s="6" t="s">
        <v>1488</v>
      </c>
      <c r="C86" s="47" t="s">
        <v>1486</v>
      </c>
      <c r="D86" s="232">
        <v>77942</v>
      </c>
      <c r="E86" s="6" t="s">
        <v>87</v>
      </c>
      <c r="F86" s="6" t="s">
        <v>1465</v>
      </c>
      <c r="G86" s="6" t="str">
        <f t="shared" si="3"/>
        <v>Semana 1</v>
      </c>
      <c r="H86" s="66" t="s">
        <v>1553</v>
      </c>
      <c r="I86" s="6" t="str">
        <f t="shared" si="4"/>
        <v>junio</v>
      </c>
      <c r="J86" s="4" t="s">
        <v>1467</v>
      </c>
      <c r="K86" s="4"/>
      <c r="L86" s="4"/>
      <c r="M86" s="4"/>
      <c r="N86" s="4"/>
      <c r="O86" s="1"/>
    </row>
    <row r="87" spans="1:15">
      <c r="A87" s="23">
        <v>46174</v>
      </c>
      <c r="B87" s="6" t="s">
        <v>1488</v>
      </c>
      <c r="C87" s="47" t="s">
        <v>1486</v>
      </c>
      <c r="D87" s="232">
        <v>1800</v>
      </c>
      <c r="E87" s="6" t="s">
        <v>58</v>
      </c>
      <c r="F87" s="6" t="s">
        <v>1465</v>
      </c>
      <c r="G87" s="6" t="str">
        <f t="shared" si="3"/>
        <v>Semana 1</v>
      </c>
      <c r="H87" s="66" t="s">
        <v>1480</v>
      </c>
      <c r="I87" s="6" t="str">
        <f t="shared" si="4"/>
        <v>junio</v>
      </c>
      <c r="J87" s="4" t="s">
        <v>1467</v>
      </c>
      <c r="K87" s="4"/>
      <c r="L87" s="4"/>
      <c r="M87" s="4"/>
      <c r="N87" s="4"/>
      <c r="O87" s="1"/>
    </row>
    <row r="88" spans="1:15">
      <c r="A88" s="23">
        <v>46174</v>
      </c>
      <c r="B88" s="6" t="s">
        <v>1477</v>
      </c>
      <c r="C88" s="47" t="s">
        <v>1486</v>
      </c>
      <c r="D88" s="232">
        <v>3900</v>
      </c>
      <c r="E88" s="6" t="s">
        <v>87</v>
      </c>
      <c r="F88" s="6" t="s">
        <v>1493</v>
      </c>
      <c r="G88" s="6" t="str">
        <f t="shared" si="3"/>
        <v>Semana 1</v>
      </c>
      <c r="H88" s="66" t="s">
        <v>1554</v>
      </c>
      <c r="I88" s="6" t="str">
        <f t="shared" si="4"/>
        <v>junio</v>
      </c>
      <c r="J88" s="4" t="s">
        <v>1555</v>
      </c>
      <c r="K88" s="4"/>
      <c r="L88" s="4"/>
      <c r="M88" s="4"/>
      <c r="N88" s="4"/>
      <c r="O88" s="1"/>
    </row>
    <row r="89" spans="1:15">
      <c r="A89" s="23">
        <v>46174</v>
      </c>
      <c r="B89" s="6" t="s">
        <v>1488</v>
      </c>
      <c r="C89" s="47" t="s">
        <v>1486</v>
      </c>
      <c r="D89" s="232">
        <v>24199</v>
      </c>
      <c r="E89" s="6" t="s">
        <v>87</v>
      </c>
      <c r="F89" s="6" t="s">
        <v>1465</v>
      </c>
      <c r="G89" s="6" t="str">
        <f t="shared" si="3"/>
        <v>Semana 1</v>
      </c>
      <c r="H89" s="66" t="s">
        <v>1556</v>
      </c>
      <c r="I89" s="6" t="str">
        <f t="shared" si="4"/>
        <v>junio</v>
      </c>
      <c r="J89" s="4" t="s">
        <v>1555</v>
      </c>
      <c r="K89" s="4"/>
      <c r="L89" s="4"/>
      <c r="M89" s="4"/>
      <c r="N89" s="4"/>
      <c r="O89" s="1"/>
    </row>
    <row r="90" spans="1:15">
      <c r="A90" s="23">
        <v>46174</v>
      </c>
      <c r="B90" s="6" t="s">
        <v>1463</v>
      </c>
      <c r="C90" s="47" t="s">
        <v>1486</v>
      </c>
      <c r="D90" s="232">
        <v>2470</v>
      </c>
      <c r="E90" s="6" t="s">
        <v>87</v>
      </c>
      <c r="F90" s="6" t="s">
        <v>1465</v>
      </c>
      <c r="G90" s="6" t="str">
        <f t="shared" si="3"/>
        <v>Semana 1</v>
      </c>
      <c r="H90" s="66" t="s">
        <v>1517</v>
      </c>
      <c r="I90" s="6" t="str">
        <f t="shared" si="4"/>
        <v>junio</v>
      </c>
      <c r="J90" s="4" t="s">
        <v>1555</v>
      </c>
      <c r="K90" s="4"/>
      <c r="L90" s="4"/>
      <c r="M90" s="4"/>
      <c r="N90" s="4"/>
      <c r="O90" s="1"/>
    </row>
    <row r="91" spans="1:15">
      <c r="A91" s="23">
        <v>46175</v>
      </c>
      <c r="B91" s="6" t="s">
        <v>1488</v>
      </c>
      <c r="C91" s="47" t="s">
        <v>1486</v>
      </c>
      <c r="D91" s="232">
        <v>800</v>
      </c>
      <c r="E91" s="6" t="s">
        <v>58</v>
      </c>
      <c r="F91" s="6" t="s">
        <v>1465</v>
      </c>
      <c r="G91" s="6" t="str">
        <f t="shared" si="3"/>
        <v>Semana 1</v>
      </c>
      <c r="H91" s="66" t="s">
        <v>1542</v>
      </c>
      <c r="I91" s="6" t="str">
        <f t="shared" si="4"/>
        <v>junio</v>
      </c>
      <c r="J91" s="4" t="s">
        <v>1555</v>
      </c>
      <c r="K91" s="4"/>
      <c r="L91" s="4"/>
      <c r="M91" s="4"/>
      <c r="N91" s="4"/>
      <c r="O91" s="1"/>
    </row>
    <row r="92" spans="1:15">
      <c r="A92" s="23">
        <v>46175</v>
      </c>
      <c r="B92" s="6" t="s">
        <v>1488</v>
      </c>
      <c r="C92" s="47" t="s">
        <v>1486</v>
      </c>
      <c r="D92" s="232">
        <v>2490</v>
      </c>
      <c r="E92" s="6" t="s">
        <v>58</v>
      </c>
      <c r="F92" s="6" t="s">
        <v>1465</v>
      </c>
      <c r="G92" s="6" t="str">
        <f t="shared" si="3"/>
        <v>Semana 1</v>
      </c>
      <c r="H92" s="66" t="s">
        <v>1557</v>
      </c>
      <c r="I92" s="6" t="str">
        <f t="shared" si="4"/>
        <v>junio</v>
      </c>
      <c r="J92" s="4" t="s">
        <v>1555</v>
      </c>
      <c r="K92" s="4"/>
      <c r="L92" s="4"/>
      <c r="M92" s="4"/>
      <c r="N92" s="4"/>
      <c r="O92" s="1"/>
    </row>
    <row r="93" spans="1:15">
      <c r="A93" s="23">
        <v>46175</v>
      </c>
      <c r="B93" s="6" t="s">
        <v>1490</v>
      </c>
      <c r="C93" s="47" t="s">
        <v>1486</v>
      </c>
      <c r="D93" s="232">
        <v>10000</v>
      </c>
      <c r="E93" s="6" t="s">
        <v>87</v>
      </c>
      <c r="F93" s="6" t="s">
        <v>1465</v>
      </c>
      <c r="G93" s="6" t="str">
        <f t="shared" si="3"/>
        <v>Semana 1</v>
      </c>
      <c r="H93" s="66" t="s">
        <v>1558</v>
      </c>
      <c r="I93" s="6" t="str">
        <f t="shared" si="4"/>
        <v>junio</v>
      </c>
      <c r="J93" s="4" t="s">
        <v>1555</v>
      </c>
      <c r="K93" s="4"/>
      <c r="L93" s="4"/>
      <c r="M93" s="4"/>
      <c r="N93" s="4"/>
      <c r="O93" s="1"/>
    </row>
    <row r="94" spans="1:15">
      <c r="A94" s="23">
        <v>46175</v>
      </c>
      <c r="B94" s="6" t="s">
        <v>1488</v>
      </c>
      <c r="C94" s="47" t="s">
        <v>1486</v>
      </c>
      <c r="D94" s="232">
        <v>20000</v>
      </c>
      <c r="E94" s="66" t="s">
        <v>1149</v>
      </c>
      <c r="F94" s="6" t="s">
        <v>1465</v>
      </c>
      <c r="G94" s="6" t="str">
        <f t="shared" si="3"/>
        <v>Semana 1</v>
      </c>
      <c r="H94" s="66" t="s">
        <v>1559</v>
      </c>
      <c r="I94" s="6" t="str">
        <f t="shared" si="4"/>
        <v>junio</v>
      </c>
      <c r="J94" s="4" t="s">
        <v>1555</v>
      </c>
      <c r="K94" s="4"/>
      <c r="L94" s="4"/>
      <c r="M94" s="4"/>
      <c r="N94" s="4"/>
      <c r="O94" s="1"/>
    </row>
    <row r="95" spans="1:15">
      <c r="A95" s="23">
        <v>46175</v>
      </c>
      <c r="B95" s="6" t="s">
        <v>1477</v>
      </c>
      <c r="C95" s="47" t="s">
        <v>1486</v>
      </c>
      <c r="D95" s="232">
        <v>4950</v>
      </c>
      <c r="E95" s="6" t="s">
        <v>58</v>
      </c>
      <c r="F95" s="6" t="s">
        <v>1465</v>
      </c>
      <c r="G95" s="6" t="str">
        <f t="shared" si="3"/>
        <v>Semana 1</v>
      </c>
      <c r="H95" s="66" t="s">
        <v>1560</v>
      </c>
      <c r="I95" s="6" t="str">
        <f t="shared" si="4"/>
        <v>junio</v>
      </c>
      <c r="J95" s="4" t="s">
        <v>1555</v>
      </c>
      <c r="K95" s="4"/>
      <c r="L95" s="4"/>
      <c r="M95" s="4"/>
      <c r="N95" s="4"/>
      <c r="O95" s="1"/>
    </row>
    <row r="96" spans="1:15">
      <c r="A96" s="23">
        <v>46176</v>
      </c>
      <c r="B96" s="6" t="s">
        <v>1477</v>
      </c>
      <c r="C96" s="47" t="s">
        <v>1486</v>
      </c>
      <c r="D96" s="232">
        <v>8490</v>
      </c>
      <c r="E96" s="6" t="s">
        <v>87</v>
      </c>
      <c r="F96" s="6" t="s">
        <v>1291</v>
      </c>
      <c r="G96" s="6" t="str">
        <f t="shared" si="3"/>
        <v>Semana 1</v>
      </c>
      <c r="H96" s="66" t="s">
        <v>1561</v>
      </c>
      <c r="I96" s="6" t="str">
        <f t="shared" si="4"/>
        <v>junio</v>
      </c>
      <c r="J96" s="4" t="s">
        <v>1555</v>
      </c>
      <c r="K96" s="4"/>
      <c r="L96" s="4"/>
      <c r="M96" s="4"/>
      <c r="N96" s="4"/>
      <c r="O96" s="1"/>
    </row>
    <row r="97" spans="1:15">
      <c r="A97" s="23">
        <v>46177</v>
      </c>
      <c r="B97" s="6" t="s">
        <v>1488</v>
      </c>
      <c r="C97" s="47" t="s">
        <v>1486</v>
      </c>
      <c r="D97" s="232">
        <v>4900</v>
      </c>
      <c r="E97" s="6" t="s">
        <v>58</v>
      </c>
      <c r="F97" s="6" t="s">
        <v>1465</v>
      </c>
      <c r="G97" s="6" t="str">
        <f t="shared" si="3"/>
        <v>Semana 1</v>
      </c>
      <c r="H97" s="66" t="s">
        <v>1562</v>
      </c>
      <c r="I97" s="6" t="str">
        <f t="shared" si="4"/>
        <v>junio</v>
      </c>
      <c r="J97" s="4" t="s">
        <v>1555</v>
      </c>
      <c r="K97" s="4"/>
      <c r="L97" s="4"/>
      <c r="M97" s="4"/>
      <c r="N97" s="4"/>
      <c r="O97" s="1"/>
    </row>
    <row r="98" spans="1:15">
      <c r="A98" s="23">
        <v>46177</v>
      </c>
      <c r="B98" s="6" t="s">
        <v>1488</v>
      </c>
      <c r="C98" s="47" t="s">
        <v>1486</v>
      </c>
      <c r="D98" s="232">
        <v>1500</v>
      </c>
      <c r="E98" s="6" t="s">
        <v>58</v>
      </c>
      <c r="F98" s="6" t="s">
        <v>1465</v>
      </c>
      <c r="G98" s="6" t="str">
        <f t="shared" si="3"/>
        <v>Semana 1</v>
      </c>
      <c r="H98" s="66" t="s">
        <v>1563</v>
      </c>
      <c r="I98" s="6" t="str">
        <f t="shared" si="4"/>
        <v>junio</v>
      </c>
      <c r="J98" s="4" t="s">
        <v>1555</v>
      </c>
      <c r="K98" s="4"/>
      <c r="L98" s="4"/>
      <c r="M98" s="4"/>
      <c r="N98" s="4"/>
      <c r="O98" s="1"/>
    </row>
    <row r="99" spans="1:15">
      <c r="A99" s="23">
        <v>46178</v>
      </c>
      <c r="B99" s="6" t="s">
        <v>1490</v>
      </c>
      <c r="C99" s="66" t="s">
        <v>1486</v>
      </c>
      <c r="D99" s="232">
        <v>4000</v>
      </c>
      <c r="E99" s="6" t="s">
        <v>87</v>
      </c>
      <c r="F99" s="6" t="s">
        <v>1465</v>
      </c>
      <c r="G99" s="6" t="str">
        <f t="shared" si="3"/>
        <v>Semana 1</v>
      </c>
      <c r="H99" s="66" t="s">
        <v>1564</v>
      </c>
      <c r="I99" s="6" t="str">
        <f t="shared" si="4"/>
        <v>junio</v>
      </c>
      <c r="J99" s="4" t="str">
        <f>IF(A99="","",IF(I99='18_Conciliacion_Bancaria_V2'!$B$3,IF(OR(B99="Inversión",F99="Inversión",F99="Caja",ISNUMBER(SEARCH("Transferencia a Racional",H99)),ISNUMBER(SEARCH("Fondo a caja",H99)),ISNUMBER(SEARCH("APV",H99)),ISNUMBER(SEARCH("Racional",H99))),"Movimiento patrimonial","Gasto real"),"Histórico/Apertura"))</f>
        <v>Gasto real</v>
      </c>
      <c r="K99" s="4"/>
      <c r="L99" s="4"/>
      <c r="M99" s="4"/>
      <c r="N99" s="4"/>
      <c r="O99" s="1"/>
    </row>
    <row r="100" spans="1:15">
      <c r="A100" s="23">
        <v>46178</v>
      </c>
      <c r="B100" s="6" t="s">
        <v>1110</v>
      </c>
      <c r="C100" s="66" t="s">
        <v>1486</v>
      </c>
      <c r="D100" s="232">
        <v>36240</v>
      </c>
      <c r="E100" s="66" t="s">
        <v>1149</v>
      </c>
      <c r="F100" s="6" t="s">
        <v>1110</v>
      </c>
      <c r="G100" s="6" t="str">
        <f t="shared" si="3"/>
        <v>Semana 1</v>
      </c>
      <c r="H100" s="66" t="s">
        <v>1565</v>
      </c>
      <c r="I100" s="6" t="str">
        <f t="shared" si="4"/>
        <v>junio</v>
      </c>
      <c r="J100" s="4" t="s">
        <v>1555</v>
      </c>
      <c r="K100" s="4"/>
      <c r="L100" s="4"/>
      <c r="M100" s="4"/>
      <c r="N100" s="4"/>
      <c r="O100" s="1"/>
    </row>
    <row r="101" spans="1:15">
      <c r="A101" s="23">
        <v>46178</v>
      </c>
      <c r="B101" s="6" t="s">
        <v>1110</v>
      </c>
      <c r="C101" s="66" t="s">
        <v>1486</v>
      </c>
      <c r="D101" s="232">
        <v>16990</v>
      </c>
      <c r="E101" s="6" t="s">
        <v>87</v>
      </c>
      <c r="F101" s="6" t="s">
        <v>1110</v>
      </c>
      <c r="G101" s="6" t="str">
        <f t="shared" si="3"/>
        <v>Semana 1</v>
      </c>
      <c r="H101" s="66" t="s">
        <v>1566</v>
      </c>
      <c r="I101" s="6" t="str">
        <f t="shared" si="4"/>
        <v>junio</v>
      </c>
      <c r="J101" s="4" t="s">
        <v>1555</v>
      </c>
      <c r="K101" s="4"/>
      <c r="L101" s="4"/>
      <c r="M101" s="4"/>
      <c r="N101" s="4"/>
      <c r="O101" s="1"/>
    </row>
    <row r="102" spans="1:15">
      <c r="A102" s="23">
        <v>46178</v>
      </c>
      <c r="B102" s="6" t="s">
        <v>1488</v>
      </c>
      <c r="C102" s="66" t="s">
        <v>1486</v>
      </c>
      <c r="D102" s="232">
        <v>21500</v>
      </c>
      <c r="E102" s="6" t="s">
        <v>58</v>
      </c>
      <c r="F102" s="6" t="s">
        <v>1465</v>
      </c>
      <c r="G102" s="6" t="str">
        <f t="shared" si="3"/>
        <v>Semana 1</v>
      </c>
      <c r="H102" s="66" t="s">
        <v>1567</v>
      </c>
      <c r="I102" s="6" t="str">
        <f t="shared" si="4"/>
        <v>junio</v>
      </c>
      <c r="J102" s="4" t="s">
        <v>1555</v>
      </c>
      <c r="K102" s="4"/>
      <c r="L102" s="4"/>
      <c r="M102" s="4"/>
      <c r="N102" s="4"/>
      <c r="O102" s="1"/>
    </row>
    <row r="103" spans="1:15">
      <c r="A103" s="23">
        <v>46178</v>
      </c>
      <c r="B103" s="6" t="s">
        <v>1463</v>
      </c>
      <c r="C103" s="66" t="s">
        <v>1486</v>
      </c>
      <c r="D103" s="232">
        <v>2520</v>
      </c>
      <c r="E103" s="66" t="s">
        <v>87</v>
      </c>
      <c r="F103" s="6" t="s">
        <v>1465</v>
      </c>
      <c r="G103" s="6" t="str">
        <f t="shared" si="3"/>
        <v>Semana 1</v>
      </c>
      <c r="H103" s="66" t="s">
        <v>1568</v>
      </c>
      <c r="I103" s="6" t="str">
        <f t="shared" si="4"/>
        <v>junio</v>
      </c>
      <c r="J103" s="4" t="s">
        <v>1555</v>
      </c>
      <c r="K103" s="4"/>
      <c r="L103" s="4"/>
      <c r="M103" s="4"/>
      <c r="N103" s="4"/>
      <c r="O103" s="1"/>
    </row>
    <row r="104" spans="1:15">
      <c r="A104" s="23">
        <v>46178</v>
      </c>
      <c r="B104" s="6" t="s">
        <v>1110</v>
      </c>
      <c r="C104" s="66" t="s">
        <v>1486</v>
      </c>
      <c r="D104" s="232">
        <v>19980</v>
      </c>
      <c r="E104" s="6" t="s">
        <v>87</v>
      </c>
      <c r="F104" s="6" t="s">
        <v>1110</v>
      </c>
      <c r="G104" s="6" t="str">
        <f t="shared" si="3"/>
        <v>Semana 1</v>
      </c>
      <c r="H104" s="66" t="s">
        <v>1569</v>
      </c>
      <c r="I104" s="6" t="str">
        <f t="shared" si="4"/>
        <v>junio</v>
      </c>
      <c r="J104" s="4" t="s">
        <v>1555</v>
      </c>
      <c r="K104" s="4"/>
      <c r="L104" s="4"/>
      <c r="M104" s="4"/>
      <c r="N104" s="4"/>
      <c r="O104" s="1"/>
    </row>
    <row r="105" spans="1:15">
      <c r="A105" s="23">
        <v>46178</v>
      </c>
      <c r="B105" s="6" t="s">
        <v>1282</v>
      </c>
      <c r="C105" s="66" t="s">
        <v>1486</v>
      </c>
      <c r="D105" s="232">
        <v>10000</v>
      </c>
      <c r="E105" s="6" t="s">
        <v>87</v>
      </c>
      <c r="F105" s="6" t="s">
        <v>1282</v>
      </c>
      <c r="G105" s="6" t="str">
        <f t="shared" si="3"/>
        <v>Semana 1</v>
      </c>
      <c r="H105" s="66" t="s">
        <v>1570</v>
      </c>
      <c r="I105" s="6" t="str">
        <f t="shared" si="4"/>
        <v>junio</v>
      </c>
      <c r="J105" s="4" t="s">
        <v>1513</v>
      </c>
      <c r="K105" s="4"/>
      <c r="L105" s="4"/>
      <c r="M105" s="4"/>
      <c r="N105" s="4"/>
      <c r="O105" s="1"/>
    </row>
    <row r="106" spans="1:15">
      <c r="A106" s="23">
        <v>46181</v>
      </c>
      <c r="B106" s="6" t="s">
        <v>1463</v>
      </c>
      <c r="C106" s="66" t="s">
        <v>1486</v>
      </c>
      <c r="D106" s="232">
        <v>7010</v>
      </c>
      <c r="E106" s="6" t="s">
        <v>87</v>
      </c>
      <c r="F106" s="6" t="s">
        <v>1465</v>
      </c>
      <c r="G106" s="6" t="str">
        <f t="shared" si="3"/>
        <v>Semana 2</v>
      </c>
      <c r="H106" s="66" t="s">
        <v>1571</v>
      </c>
      <c r="I106" s="6" t="str">
        <f t="shared" si="4"/>
        <v>junio</v>
      </c>
      <c r="J106" s="4" t="s">
        <v>1555</v>
      </c>
      <c r="K106" s="4"/>
      <c r="L106" s="4"/>
      <c r="M106" s="4"/>
      <c r="N106" s="4"/>
      <c r="O106" s="1"/>
    </row>
    <row r="107" spans="1:15">
      <c r="A107" s="23">
        <v>46181</v>
      </c>
      <c r="B107" s="6" t="s">
        <v>1463</v>
      </c>
      <c r="C107" s="66" t="s">
        <v>1486</v>
      </c>
      <c r="D107" s="232">
        <v>7550</v>
      </c>
      <c r="E107" s="6" t="s">
        <v>87</v>
      </c>
      <c r="F107" s="6" t="s">
        <v>1465</v>
      </c>
      <c r="G107" s="6" t="str">
        <f t="shared" si="3"/>
        <v>Semana 2</v>
      </c>
      <c r="H107" s="66" t="s">
        <v>1568</v>
      </c>
      <c r="I107" s="6" t="str">
        <f t="shared" si="4"/>
        <v>junio</v>
      </c>
      <c r="J107" s="4" t="s">
        <v>1555</v>
      </c>
      <c r="K107" s="4"/>
      <c r="L107" s="4"/>
      <c r="M107" s="4"/>
      <c r="N107" s="4"/>
      <c r="O107" s="1"/>
    </row>
    <row r="108" spans="1:15">
      <c r="A108" s="23">
        <v>46181</v>
      </c>
      <c r="B108" s="6" t="s">
        <v>1463</v>
      </c>
      <c r="C108" s="66" t="s">
        <v>1486</v>
      </c>
      <c r="D108" s="232">
        <v>3500</v>
      </c>
      <c r="E108" s="6" t="s">
        <v>87</v>
      </c>
      <c r="F108" s="6" t="s">
        <v>1465</v>
      </c>
      <c r="G108" s="6" t="str">
        <f t="shared" si="3"/>
        <v>Semana 2</v>
      </c>
      <c r="H108" s="66" t="s">
        <v>1571</v>
      </c>
      <c r="I108" s="6" t="str">
        <f t="shared" si="4"/>
        <v>junio</v>
      </c>
      <c r="J108" s="4" t="s">
        <v>1555</v>
      </c>
      <c r="K108" s="4"/>
      <c r="L108" s="4"/>
      <c r="M108" s="4"/>
      <c r="N108" s="4"/>
      <c r="O108" s="1"/>
    </row>
    <row r="109" spans="1:15">
      <c r="A109" s="23">
        <v>46181</v>
      </c>
      <c r="B109" s="6" t="s">
        <v>1477</v>
      </c>
      <c r="C109" s="66" t="s">
        <v>1486</v>
      </c>
      <c r="D109" s="232">
        <v>33500</v>
      </c>
      <c r="E109" s="6" t="s">
        <v>58</v>
      </c>
      <c r="F109" s="6" t="s">
        <v>1465</v>
      </c>
      <c r="G109" s="6" t="str">
        <f t="shared" si="3"/>
        <v>Semana 2</v>
      </c>
      <c r="H109" s="66" t="s">
        <v>1572</v>
      </c>
      <c r="I109" s="6" t="str">
        <f t="shared" si="4"/>
        <v>junio</v>
      </c>
      <c r="J109" s="4" t="s">
        <v>1555</v>
      </c>
      <c r="K109" s="4"/>
      <c r="L109" s="4"/>
      <c r="M109" s="4"/>
      <c r="N109" s="4"/>
      <c r="O109" s="1"/>
    </row>
    <row r="110" spans="1:15">
      <c r="A110" s="23">
        <v>46181</v>
      </c>
      <c r="B110" s="6" t="s">
        <v>1463</v>
      </c>
      <c r="C110" s="66" t="s">
        <v>1486</v>
      </c>
      <c r="D110" s="232">
        <v>5000</v>
      </c>
      <c r="E110" s="6" t="s">
        <v>87</v>
      </c>
      <c r="F110" s="6" t="s">
        <v>1465</v>
      </c>
      <c r="G110" s="6" t="str">
        <f t="shared" si="3"/>
        <v>Semana 2</v>
      </c>
      <c r="H110" s="66" t="s">
        <v>1568</v>
      </c>
      <c r="I110" s="6" t="str">
        <f t="shared" si="4"/>
        <v>junio</v>
      </c>
      <c r="J110" s="4" t="s">
        <v>1555</v>
      </c>
      <c r="K110" s="4"/>
      <c r="L110" s="4"/>
      <c r="M110" s="4"/>
      <c r="N110" s="4"/>
      <c r="O110" s="1"/>
    </row>
    <row r="111" spans="1:15">
      <c r="A111" s="23">
        <v>46187</v>
      </c>
      <c r="B111" s="6" t="s">
        <v>1477</v>
      </c>
      <c r="C111" s="66" t="s">
        <v>1486</v>
      </c>
      <c r="D111" s="232">
        <v>4950</v>
      </c>
      <c r="E111" s="6" t="s">
        <v>87</v>
      </c>
      <c r="F111" s="6" t="s">
        <v>1465</v>
      </c>
      <c r="G111" s="6" t="str">
        <f t="shared" si="3"/>
        <v>Semana 2</v>
      </c>
      <c r="H111" s="66" t="s">
        <v>1529</v>
      </c>
      <c r="I111" s="6" t="str">
        <f t="shared" si="4"/>
        <v>junio</v>
      </c>
      <c r="J111" s="4" t="s">
        <v>1555</v>
      </c>
      <c r="K111" s="4"/>
      <c r="L111" s="4"/>
      <c r="M111" s="4"/>
      <c r="N111" s="4"/>
      <c r="O111" s="1"/>
    </row>
    <row r="112" spans="1:15">
      <c r="A112" s="23">
        <v>46187</v>
      </c>
      <c r="B112" s="6" t="s">
        <v>1490</v>
      </c>
      <c r="C112" s="66" t="s">
        <v>1451</v>
      </c>
      <c r="D112" s="232">
        <v>10000</v>
      </c>
      <c r="E112" s="6" t="s">
        <v>87</v>
      </c>
      <c r="F112" s="6" t="s">
        <v>1110</v>
      </c>
      <c r="G112" s="6" t="str">
        <f t="shared" si="3"/>
        <v>Semana 2</v>
      </c>
      <c r="H112" s="66" t="s">
        <v>1573</v>
      </c>
      <c r="I112" s="6" t="str">
        <f t="shared" si="4"/>
        <v>junio</v>
      </c>
      <c r="J112" s="4" t="s">
        <v>1555</v>
      </c>
      <c r="K112" s="4"/>
      <c r="L112" s="4"/>
      <c r="M112" s="4"/>
      <c r="N112" s="4"/>
      <c r="O112" s="1"/>
    </row>
    <row r="113" spans="1:15">
      <c r="A113" s="23">
        <v>46188</v>
      </c>
      <c r="B113" s="6" t="s">
        <v>1110</v>
      </c>
      <c r="C113" s="66" t="s">
        <v>1574</v>
      </c>
      <c r="D113" s="232">
        <v>10000</v>
      </c>
      <c r="E113" s="6" t="s">
        <v>87</v>
      </c>
      <c r="F113" s="6" t="s">
        <v>1110</v>
      </c>
      <c r="G113" s="6" t="str">
        <f t="shared" si="3"/>
        <v>Semana 3</v>
      </c>
      <c r="H113" s="66" t="s">
        <v>1575</v>
      </c>
      <c r="I113" s="6" t="str">
        <f t="shared" si="4"/>
        <v>junio</v>
      </c>
      <c r="J113" s="4" t="s">
        <v>1555</v>
      </c>
      <c r="K113" s="4"/>
      <c r="L113" s="4"/>
      <c r="M113" s="4"/>
      <c r="N113" s="4"/>
      <c r="O113" s="1"/>
    </row>
    <row r="114" spans="1:15">
      <c r="A114" s="23">
        <v>46188</v>
      </c>
      <c r="B114" s="6" t="s">
        <v>1463</v>
      </c>
      <c r="C114" s="66" t="s">
        <v>1486</v>
      </c>
      <c r="D114" s="232">
        <v>2430</v>
      </c>
      <c r="E114" s="6" t="s">
        <v>87</v>
      </c>
      <c r="F114" s="6" t="s">
        <v>1465</v>
      </c>
      <c r="G114" s="6" t="str">
        <f t="shared" si="3"/>
        <v>Semana 3</v>
      </c>
      <c r="H114" s="66" t="s">
        <v>1568</v>
      </c>
      <c r="I114" s="6" t="str">
        <f t="shared" si="4"/>
        <v>junio</v>
      </c>
      <c r="J114" s="4" t="s">
        <v>1555</v>
      </c>
      <c r="K114" s="4"/>
      <c r="L114" s="4"/>
      <c r="M114" s="4"/>
      <c r="N114" s="4"/>
      <c r="O114" s="1"/>
    </row>
    <row r="115" spans="1:15">
      <c r="A115" s="23">
        <v>46188</v>
      </c>
      <c r="B115" s="6" t="s">
        <v>1490</v>
      </c>
      <c r="C115" s="66" t="s">
        <v>1486</v>
      </c>
      <c r="D115" s="232">
        <v>2060</v>
      </c>
      <c r="E115" s="6" t="s">
        <v>87</v>
      </c>
      <c r="F115" s="6" t="s">
        <v>1110</v>
      </c>
      <c r="G115" s="6" t="str">
        <f t="shared" si="3"/>
        <v>Semana 3</v>
      </c>
      <c r="H115" s="66" t="s">
        <v>1576</v>
      </c>
      <c r="I115" s="6" t="str">
        <f t="shared" si="4"/>
        <v>junio</v>
      </c>
      <c r="J115" s="4" t="s">
        <v>1555</v>
      </c>
      <c r="K115" s="4"/>
      <c r="L115" s="4"/>
      <c r="M115" s="4"/>
      <c r="N115" s="4"/>
      <c r="O115" s="1"/>
    </row>
    <row r="116" spans="1:15">
      <c r="A116" s="23">
        <v>46188</v>
      </c>
      <c r="B116" s="6" t="s">
        <v>1488</v>
      </c>
      <c r="C116" s="66" t="s">
        <v>1486</v>
      </c>
      <c r="D116" s="232">
        <v>1000</v>
      </c>
      <c r="E116" s="6" t="s">
        <v>58</v>
      </c>
      <c r="F116" s="6" t="s">
        <v>1465</v>
      </c>
      <c r="G116" s="6" t="str">
        <f t="shared" si="3"/>
        <v>Semana 3</v>
      </c>
      <c r="H116" s="66" t="s">
        <v>1480</v>
      </c>
      <c r="I116" s="6" t="str">
        <f t="shared" si="4"/>
        <v>junio</v>
      </c>
      <c r="J116" s="4" t="s">
        <v>1555</v>
      </c>
      <c r="K116" s="4"/>
      <c r="L116" s="4"/>
      <c r="M116" s="4"/>
      <c r="N116" s="4"/>
      <c r="O116" s="1"/>
    </row>
    <row r="117" spans="1:15">
      <c r="A117" s="23">
        <v>46189</v>
      </c>
      <c r="B117" s="6" t="s">
        <v>1490</v>
      </c>
      <c r="C117" s="66" t="s">
        <v>1486</v>
      </c>
      <c r="D117" s="232">
        <v>2800</v>
      </c>
      <c r="E117" s="6" t="s">
        <v>87</v>
      </c>
      <c r="F117" s="6" t="s">
        <v>1110</v>
      </c>
      <c r="G117" s="6" t="str">
        <f t="shared" si="3"/>
        <v>Semana 3</v>
      </c>
      <c r="H117" s="66" t="s">
        <v>1573</v>
      </c>
      <c r="I117" s="6" t="str">
        <f t="shared" si="4"/>
        <v>junio</v>
      </c>
      <c r="J117" s="132" t="s">
        <v>1555</v>
      </c>
      <c r="K117" s="4"/>
      <c r="L117" s="4"/>
      <c r="M117" s="4"/>
      <c r="N117" s="4"/>
      <c r="O117" s="1"/>
    </row>
    <row r="118" spans="1:15">
      <c r="A118" s="23">
        <v>46189</v>
      </c>
      <c r="B118" s="6" t="s">
        <v>1490</v>
      </c>
      <c r="C118" s="66" t="s">
        <v>1486</v>
      </c>
      <c r="D118" s="232">
        <v>1800</v>
      </c>
      <c r="E118" s="6" t="s">
        <v>87</v>
      </c>
      <c r="F118" s="6" t="s">
        <v>1110</v>
      </c>
      <c r="G118" s="6" t="str">
        <f t="shared" si="3"/>
        <v>Semana 3</v>
      </c>
      <c r="H118" s="66" t="s">
        <v>1573</v>
      </c>
      <c r="I118" s="6" t="str">
        <f t="shared" si="4"/>
        <v>junio</v>
      </c>
      <c r="J118" s="132" t="s">
        <v>1555</v>
      </c>
      <c r="K118" s="4"/>
      <c r="L118" s="4"/>
      <c r="M118" s="4"/>
      <c r="N118" s="4"/>
      <c r="O118" s="1"/>
    </row>
    <row r="119" spans="1:15">
      <c r="A119" s="23">
        <v>46190</v>
      </c>
      <c r="B119" s="6" t="s">
        <v>1490</v>
      </c>
      <c r="C119" s="66" t="s">
        <v>1486</v>
      </c>
      <c r="D119" s="232">
        <v>2800</v>
      </c>
      <c r="E119" s="66" t="s">
        <v>87</v>
      </c>
      <c r="F119" s="6" t="s">
        <v>1110</v>
      </c>
      <c r="G119" s="6" t="str">
        <f t="shared" si="3"/>
        <v>Semana 3</v>
      </c>
      <c r="H119" s="66" t="s">
        <v>1577</v>
      </c>
      <c r="I119" s="6" t="str">
        <f t="shared" si="4"/>
        <v>junio</v>
      </c>
      <c r="J119" s="132" t="s">
        <v>1555</v>
      </c>
      <c r="K119" s="4"/>
      <c r="L119" s="4"/>
      <c r="M119" s="4"/>
      <c r="N119" s="4"/>
      <c r="O119" s="1"/>
    </row>
    <row r="120" spans="1:15">
      <c r="A120" s="23">
        <v>46190</v>
      </c>
      <c r="B120" s="6" t="s">
        <v>1463</v>
      </c>
      <c r="C120" s="66" t="s">
        <v>1486</v>
      </c>
      <c r="D120" s="232">
        <v>11630</v>
      </c>
      <c r="E120" s="6" t="s">
        <v>87</v>
      </c>
      <c r="F120" s="6" t="s">
        <v>1465</v>
      </c>
      <c r="G120" s="6" t="str">
        <f t="shared" si="3"/>
        <v>Semana 3</v>
      </c>
      <c r="H120" s="66" t="s">
        <v>1568</v>
      </c>
      <c r="I120" s="6" t="str">
        <f t="shared" si="4"/>
        <v>junio</v>
      </c>
      <c r="J120" s="132" t="s">
        <v>1555</v>
      </c>
      <c r="K120" s="4"/>
      <c r="L120" s="4"/>
      <c r="M120" s="4"/>
      <c r="N120" s="4"/>
      <c r="O120" s="1"/>
    </row>
    <row r="121" spans="1:15">
      <c r="A121" s="23">
        <v>46190</v>
      </c>
      <c r="B121" s="6" t="s">
        <v>1488</v>
      </c>
      <c r="C121" s="66" t="s">
        <v>1486</v>
      </c>
      <c r="D121" s="232">
        <v>2280</v>
      </c>
      <c r="E121" s="6" t="s">
        <v>58</v>
      </c>
      <c r="F121" s="6" t="s">
        <v>1465</v>
      </c>
      <c r="G121" s="6" t="str">
        <f t="shared" si="3"/>
        <v>Semana 3</v>
      </c>
      <c r="H121" s="66" t="s">
        <v>1578</v>
      </c>
      <c r="I121" s="6" t="str">
        <f t="shared" si="4"/>
        <v>junio</v>
      </c>
      <c r="J121" s="132" t="s">
        <v>1555</v>
      </c>
      <c r="K121" s="4"/>
      <c r="L121" s="4"/>
      <c r="M121" s="4"/>
      <c r="N121" s="4"/>
      <c r="O121" s="1"/>
    </row>
    <row r="122" spans="1:15">
      <c r="A122" s="23">
        <v>46190</v>
      </c>
      <c r="B122" s="6" t="s">
        <v>1490</v>
      </c>
      <c r="C122" s="66" t="s">
        <v>1486</v>
      </c>
      <c r="D122" s="232">
        <v>2200</v>
      </c>
      <c r="E122" s="6" t="s">
        <v>87</v>
      </c>
      <c r="F122" s="6" t="s">
        <v>1110</v>
      </c>
      <c r="G122" s="6" t="str">
        <f t="shared" si="3"/>
        <v>Semana 3</v>
      </c>
      <c r="H122" s="66" t="s">
        <v>1573</v>
      </c>
      <c r="I122" s="6" t="str">
        <f t="shared" si="4"/>
        <v>junio</v>
      </c>
      <c r="J122" s="132" t="s">
        <v>1555</v>
      </c>
      <c r="K122" s="4"/>
      <c r="L122" s="4"/>
      <c r="M122" s="4"/>
      <c r="N122" s="4"/>
      <c r="O122" s="1"/>
    </row>
    <row r="123" spans="1:15">
      <c r="A123" s="339">
        <v>46191</v>
      </c>
      <c r="B123" s="6" t="s">
        <v>1490</v>
      </c>
      <c r="C123" s="66" t="s">
        <v>1486</v>
      </c>
      <c r="D123" s="343">
        <v>2820</v>
      </c>
      <c r="E123" s="6" t="s">
        <v>87</v>
      </c>
      <c r="F123" s="6" t="s">
        <v>1110</v>
      </c>
      <c r="G123" s="6" t="str">
        <f t="shared" si="3"/>
        <v>Semana 3</v>
      </c>
      <c r="H123" s="340" t="s">
        <v>1577</v>
      </c>
      <c r="I123" s="6" t="str">
        <f t="shared" si="4"/>
        <v>junio</v>
      </c>
      <c r="J123" s="132" t="s">
        <v>1555</v>
      </c>
      <c r="K123" s="4"/>
      <c r="L123" s="4"/>
      <c r="M123" s="4"/>
      <c r="N123" s="4"/>
      <c r="O123" s="1"/>
    </row>
    <row r="124" spans="1:15">
      <c r="A124" s="339">
        <v>46191</v>
      </c>
      <c r="B124" s="6" t="s">
        <v>1488</v>
      </c>
      <c r="C124" s="66" t="s">
        <v>1486</v>
      </c>
      <c r="D124" s="343">
        <v>2600</v>
      </c>
      <c r="E124" s="6" t="s">
        <v>58</v>
      </c>
      <c r="F124" s="6" t="s">
        <v>1465</v>
      </c>
      <c r="G124" s="6" t="str">
        <f t="shared" si="3"/>
        <v>Semana 3</v>
      </c>
      <c r="H124" s="340" t="s">
        <v>1480</v>
      </c>
      <c r="I124" s="6" t="str">
        <f t="shared" si="4"/>
        <v>junio</v>
      </c>
      <c r="J124" s="132" t="s">
        <v>1555</v>
      </c>
      <c r="K124" s="4"/>
      <c r="L124" s="4"/>
      <c r="M124" s="4"/>
      <c r="N124" s="4"/>
      <c r="O124" s="1"/>
    </row>
    <row r="125" spans="1:15">
      <c r="A125" s="339">
        <v>46191</v>
      </c>
      <c r="B125" s="6" t="s">
        <v>1488</v>
      </c>
      <c r="C125" s="66" t="s">
        <v>1486</v>
      </c>
      <c r="D125" s="343">
        <v>860</v>
      </c>
      <c r="E125" s="6" t="s">
        <v>58</v>
      </c>
      <c r="F125" s="6" t="s">
        <v>1465</v>
      </c>
      <c r="G125" s="6" t="str">
        <f t="shared" si="3"/>
        <v>Semana 3</v>
      </c>
      <c r="H125" s="340" t="s">
        <v>1480</v>
      </c>
      <c r="I125" s="6" t="str">
        <f t="shared" si="4"/>
        <v>junio</v>
      </c>
      <c r="J125" s="132" t="s">
        <v>1555</v>
      </c>
      <c r="K125" s="4"/>
      <c r="L125" s="4"/>
      <c r="M125" s="4"/>
      <c r="N125" s="4"/>
      <c r="O125" s="1"/>
    </row>
    <row r="126" spans="1:15">
      <c r="A126" s="339">
        <v>46191</v>
      </c>
      <c r="B126" s="6" t="s">
        <v>1463</v>
      </c>
      <c r="C126" s="66" t="s">
        <v>1486</v>
      </c>
      <c r="D126" s="343">
        <v>4000</v>
      </c>
      <c r="E126" s="6" t="s">
        <v>87</v>
      </c>
      <c r="F126" s="6" t="s">
        <v>1465</v>
      </c>
      <c r="G126" s="6" t="str">
        <f t="shared" si="3"/>
        <v>Semana 3</v>
      </c>
      <c r="H126" s="340" t="s">
        <v>1579</v>
      </c>
      <c r="I126" s="6" t="str">
        <f t="shared" si="4"/>
        <v>junio</v>
      </c>
      <c r="J126" s="132" t="s">
        <v>1555</v>
      </c>
      <c r="K126" s="4"/>
      <c r="L126" s="4"/>
      <c r="M126" s="4"/>
      <c r="N126" s="4"/>
      <c r="O126" s="1"/>
    </row>
    <row r="127" spans="1:15">
      <c r="A127" s="339">
        <v>46191</v>
      </c>
      <c r="B127" s="6" t="s">
        <v>1488</v>
      </c>
      <c r="C127" s="66" t="s">
        <v>1486</v>
      </c>
      <c r="D127" s="343">
        <v>2800</v>
      </c>
      <c r="E127" s="6" t="s">
        <v>87</v>
      </c>
      <c r="F127" s="6" t="s">
        <v>1291</v>
      </c>
      <c r="G127" s="6" t="str">
        <f t="shared" si="3"/>
        <v>Semana 3</v>
      </c>
      <c r="H127" s="340" t="s">
        <v>1580</v>
      </c>
      <c r="I127" s="6" t="str">
        <f t="shared" si="4"/>
        <v>junio</v>
      </c>
      <c r="J127" s="132" t="s">
        <v>1555</v>
      </c>
      <c r="K127" s="4"/>
      <c r="L127" s="4"/>
      <c r="M127" s="4"/>
      <c r="N127" s="4"/>
      <c r="O127" s="1"/>
    </row>
    <row r="128" spans="1:15">
      <c r="A128" s="339">
        <v>46194</v>
      </c>
      <c r="B128" s="6" t="s">
        <v>1490</v>
      </c>
      <c r="C128" s="66" t="s">
        <v>1451</v>
      </c>
      <c r="D128" s="343">
        <v>3100</v>
      </c>
      <c r="E128" s="6" t="s">
        <v>87</v>
      </c>
      <c r="F128" s="6" t="s">
        <v>1110</v>
      </c>
      <c r="G128" s="6" t="str">
        <f t="shared" si="3"/>
        <v>Semana 3</v>
      </c>
      <c r="H128" s="340" t="s">
        <v>1573</v>
      </c>
      <c r="I128" s="6" t="str">
        <f t="shared" si="4"/>
        <v>junio</v>
      </c>
      <c r="J128" s="132" t="s">
        <v>1555</v>
      </c>
      <c r="K128" s="4"/>
      <c r="L128" s="4"/>
      <c r="M128" s="4"/>
      <c r="N128" s="4"/>
      <c r="O128" s="1"/>
    </row>
    <row r="129" spans="1:15">
      <c r="A129" s="339">
        <v>46194</v>
      </c>
      <c r="B129" s="6" t="s">
        <v>1463</v>
      </c>
      <c r="C129" s="66" t="s">
        <v>1451</v>
      </c>
      <c r="D129" s="343">
        <v>199050</v>
      </c>
      <c r="E129" s="6" t="s">
        <v>87</v>
      </c>
      <c r="F129" s="6" t="s">
        <v>1465</v>
      </c>
      <c r="G129" s="6" t="str">
        <f t="shared" si="3"/>
        <v>Semana 3</v>
      </c>
      <c r="H129" s="340" t="s">
        <v>1581</v>
      </c>
      <c r="I129" s="6" t="str">
        <f t="shared" si="4"/>
        <v>junio</v>
      </c>
      <c r="J129" s="132" t="s">
        <v>1555</v>
      </c>
      <c r="K129" s="4"/>
      <c r="L129" s="4"/>
      <c r="M129" s="4"/>
      <c r="N129" s="4"/>
      <c r="O129" s="1"/>
    </row>
    <row r="130" spans="1:15">
      <c r="A130" s="91">
        <v>46195</v>
      </c>
      <c r="B130" s="6" t="s">
        <v>1490</v>
      </c>
      <c r="C130" s="66" t="s">
        <v>1451</v>
      </c>
      <c r="D130" s="232">
        <v>2300</v>
      </c>
      <c r="E130" s="6" t="s">
        <v>87</v>
      </c>
      <c r="F130" s="6" t="s">
        <v>1110</v>
      </c>
      <c r="G130" s="6" t="str">
        <f t="shared" si="3"/>
        <v>Semana 4</v>
      </c>
      <c r="H130" s="66" t="s">
        <v>1577</v>
      </c>
      <c r="I130" s="6" t="str">
        <f t="shared" si="4"/>
        <v>junio</v>
      </c>
      <c r="J130" s="132" t="s">
        <v>1555</v>
      </c>
      <c r="K130" s="4"/>
      <c r="L130" s="4"/>
      <c r="M130" s="4"/>
      <c r="N130" s="4"/>
      <c r="O130" s="1"/>
    </row>
    <row r="131" spans="1:15">
      <c r="A131" s="23">
        <v>46196</v>
      </c>
      <c r="B131" s="6" t="s">
        <v>1490</v>
      </c>
      <c r="C131" s="66" t="s">
        <v>1451</v>
      </c>
      <c r="D131" s="232">
        <v>2200</v>
      </c>
      <c r="E131" s="6" t="s">
        <v>87</v>
      </c>
      <c r="F131" s="6" t="s">
        <v>1110</v>
      </c>
      <c r="G131" s="6" t="str">
        <f t="shared" si="3"/>
        <v>Semana 4</v>
      </c>
      <c r="H131" s="66" t="s">
        <v>1573</v>
      </c>
      <c r="I131" s="6" t="str">
        <f t="shared" si="4"/>
        <v>junio</v>
      </c>
      <c r="J131" s="132" t="s">
        <v>1555</v>
      </c>
      <c r="K131" s="4"/>
      <c r="L131" s="4"/>
      <c r="M131" s="4"/>
      <c r="N131" s="4"/>
      <c r="O131" s="1"/>
    </row>
    <row r="132" spans="1:15">
      <c r="A132" s="23">
        <v>46197</v>
      </c>
      <c r="B132" s="6" t="s">
        <v>1490</v>
      </c>
      <c r="C132" s="66" t="s">
        <v>1451</v>
      </c>
      <c r="D132" s="232">
        <v>5000</v>
      </c>
      <c r="E132" s="6" t="s">
        <v>87</v>
      </c>
      <c r="F132" s="6" t="s">
        <v>1110</v>
      </c>
      <c r="G132" s="6" t="str">
        <f t="shared" si="3"/>
        <v>Semana 4</v>
      </c>
      <c r="H132" s="66" t="s">
        <v>1573</v>
      </c>
      <c r="I132" s="6" t="str">
        <f t="shared" si="4"/>
        <v>junio</v>
      </c>
      <c r="J132" s="132" t="s">
        <v>1555</v>
      </c>
      <c r="K132" s="4"/>
      <c r="L132" s="4"/>
      <c r="M132" s="4"/>
      <c r="N132" s="4"/>
      <c r="O132" s="1"/>
    </row>
    <row r="133" spans="1:15">
      <c r="A133" s="23">
        <v>46198</v>
      </c>
      <c r="B133" s="6" t="s">
        <v>1490</v>
      </c>
      <c r="C133" s="66" t="s">
        <v>1451</v>
      </c>
      <c r="D133" s="232">
        <v>2400</v>
      </c>
      <c r="E133" s="6" t="s">
        <v>87</v>
      </c>
      <c r="F133" s="6" t="s">
        <v>1110</v>
      </c>
      <c r="G133" s="6" t="str">
        <f t="shared" ref="G133:G196" si="5">IF(A133="","", "Semana "&amp;(WEEKNUM(A133,2)-WEEKNUM(DATE(YEAR(A133),MONTH(A133),1),2)+1))</f>
        <v>Semana 4</v>
      </c>
      <c r="H133" s="66" t="s">
        <v>1573</v>
      </c>
      <c r="I133" s="6" t="str">
        <f t="shared" ref="I133:I196" si="6">IF(A133="","",IF(MONTH(A133)=5,"mayo",IF(MONTH(A133)=4,"abril",TEXT(A133,"mmmm"))))</f>
        <v>junio</v>
      </c>
      <c r="J133" s="132" t="s">
        <v>1555</v>
      </c>
      <c r="K133" s="4"/>
      <c r="L133" s="4"/>
      <c r="M133" s="4"/>
      <c r="N133" s="4"/>
      <c r="O133" s="1"/>
    </row>
    <row r="134" spans="1:15">
      <c r="A134" s="23">
        <v>46199</v>
      </c>
      <c r="B134" s="6" t="s">
        <v>1490</v>
      </c>
      <c r="C134" s="66" t="s">
        <v>1451</v>
      </c>
      <c r="D134" s="232">
        <v>2500</v>
      </c>
      <c r="E134" s="6" t="s">
        <v>87</v>
      </c>
      <c r="F134" s="6" t="s">
        <v>1110</v>
      </c>
      <c r="G134" s="6" t="str">
        <f t="shared" si="5"/>
        <v>Semana 4</v>
      </c>
      <c r="H134" s="66" t="s">
        <v>1577</v>
      </c>
      <c r="I134" s="6" t="str">
        <f t="shared" si="6"/>
        <v>junio</v>
      </c>
      <c r="J134" s="132" t="s">
        <v>1555</v>
      </c>
      <c r="K134" s="4"/>
      <c r="L134" s="4"/>
      <c r="M134" s="4"/>
      <c r="N134" s="4"/>
      <c r="O134" s="1"/>
    </row>
    <row r="135" spans="1:15">
      <c r="A135" s="23">
        <v>46199</v>
      </c>
      <c r="B135" s="6" t="s">
        <v>1490</v>
      </c>
      <c r="C135" s="66" t="s">
        <v>1451</v>
      </c>
      <c r="D135" s="232">
        <v>2300</v>
      </c>
      <c r="E135" s="6" t="s">
        <v>87</v>
      </c>
      <c r="F135" s="6" t="s">
        <v>1110</v>
      </c>
      <c r="G135" s="6" t="str">
        <f t="shared" si="5"/>
        <v>Semana 4</v>
      </c>
      <c r="H135" s="66" t="s">
        <v>1573</v>
      </c>
      <c r="I135" s="6" t="str">
        <f t="shared" si="6"/>
        <v>junio</v>
      </c>
      <c r="J135" s="4"/>
      <c r="K135" s="4"/>
      <c r="L135" s="4"/>
      <c r="M135" s="4"/>
      <c r="N135" s="4"/>
      <c r="O135" s="1"/>
    </row>
    <row r="136" spans="1:15">
      <c r="A136" s="23">
        <v>46200</v>
      </c>
      <c r="B136" s="6" t="s">
        <v>1490</v>
      </c>
      <c r="C136" s="66" t="s">
        <v>1451</v>
      </c>
      <c r="D136" s="232">
        <v>2200</v>
      </c>
      <c r="E136" s="6" t="s">
        <v>87</v>
      </c>
      <c r="F136" s="6" t="s">
        <v>1110</v>
      </c>
      <c r="G136" s="6" t="str">
        <f t="shared" si="5"/>
        <v>Semana 4</v>
      </c>
      <c r="H136" s="66" t="s">
        <v>1577</v>
      </c>
      <c r="I136" s="6" t="str">
        <f t="shared" si="6"/>
        <v>junio</v>
      </c>
      <c r="J136" s="4"/>
      <c r="K136" s="4"/>
      <c r="L136" s="4"/>
      <c r="M136" s="4"/>
      <c r="N136" s="4"/>
      <c r="O136" s="1"/>
    </row>
    <row r="137" spans="1:15">
      <c r="A137" s="23">
        <v>46200</v>
      </c>
      <c r="B137" s="6" t="s">
        <v>1463</v>
      </c>
      <c r="C137" s="66" t="s">
        <v>1486</v>
      </c>
      <c r="D137" s="232">
        <v>5000</v>
      </c>
      <c r="E137" s="6" t="s">
        <v>58</v>
      </c>
      <c r="F137" s="6" t="s">
        <v>1465</v>
      </c>
      <c r="G137" s="6" t="str">
        <f t="shared" si="5"/>
        <v>Semana 4</v>
      </c>
      <c r="H137" s="66" t="s">
        <v>1582</v>
      </c>
      <c r="I137" s="6" t="str">
        <f t="shared" si="6"/>
        <v>junio</v>
      </c>
      <c r="J137" s="4"/>
      <c r="K137" s="4"/>
      <c r="L137" s="4"/>
      <c r="M137" s="4"/>
      <c r="N137" s="4"/>
      <c r="O137" s="1"/>
    </row>
    <row r="138" spans="1:15">
      <c r="A138" s="23">
        <v>46200</v>
      </c>
      <c r="B138" s="6" t="s">
        <v>1490</v>
      </c>
      <c r="C138" s="66" t="s">
        <v>1486</v>
      </c>
      <c r="D138" s="232">
        <v>3000</v>
      </c>
      <c r="E138" s="6" t="s">
        <v>87</v>
      </c>
      <c r="F138" s="6" t="s">
        <v>1110</v>
      </c>
      <c r="G138" s="6" t="str">
        <f t="shared" si="5"/>
        <v>Semana 4</v>
      </c>
      <c r="H138" s="66" t="s">
        <v>1521</v>
      </c>
      <c r="I138" s="6" t="str">
        <f t="shared" si="6"/>
        <v>junio</v>
      </c>
      <c r="J138" s="4"/>
      <c r="K138" s="4"/>
      <c r="L138" s="4"/>
      <c r="M138" s="4"/>
      <c r="N138" s="4"/>
      <c r="O138" s="1"/>
    </row>
    <row r="139" spans="1:15">
      <c r="A139" s="23">
        <v>46200</v>
      </c>
      <c r="B139" s="6" t="s">
        <v>1490</v>
      </c>
      <c r="C139" s="66" t="s">
        <v>1451</v>
      </c>
      <c r="D139" s="232">
        <v>3200</v>
      </c>
      <c r="E139" s="6" t="s">
        <v>87</v>
      </c>
      <c r="F139" s="6" t="s">
        <v>1110</v>
      </c>
      <c r="G139" s="6" t="str">
        <f t="shared" si="5"/>
        <v>Semana 4</v>
      </c>
      <c r="H139" s="66" t="s">
        <v>1573</v>
      </c>
      <c r="I139" s="6" t="str">
        <f t="shared" si="6"/>
        <v>junio</v>
      </c>
      <c r="J139" s="4"/>
      <c r="K139" s="4"/>
      <c r="L139" s="4"/>
      <c r="M139" s="4"/>
      <c r="N139" s="4"/>
      <c r="O139" s="1"/>
    </row>
    <row r="140" spans="1:15">
      <c r="A140" s="23">
        <v>46201</v>
      </c>
      <c r="B140" s="6" t="s">
        <v>1488</v>
      </c>
      <c r="C140" s="66" t="s">
        <v>1486</v>
      </c>
      <c r="D140" s="232">
        <v>800</v>
      </c>
      <c r="E140" s="6" t="s">
        <v>58</v>
      </c>
      <c r="F140" s="6" t="s">
        <v>1465</v>
      </c>
      <c r="G140" s="6" t="str">
        <f t="shared" si="5"/>
        <v>Semana 4</v>
      </c>
      <c r="H140" s="66" t="s">
        <v>1480</v>
      </c>
      <c r="I140" s="6" t="str">
        <f t="shared" si="6"/>
        <v>junio</v>
      </c>
      <c r="J140" s="4"/>
      <c r="K140" s="4"/>
      <c r="L140" s="4"/>
      <c r="M140" s="4"/>
      <c r="N140" s="4"/>
      <c r="O140" s="1"/>
    </row>
    <row r="141" spans="1:15">
      <c r="A141" s="23">
        <v>46202</v>
      </c>
      <c r="B141" s="6" t="s">
        <v>1488</v>
      </c>
      <c r="C141" s="66" t="s">
        <v>1486</v>
      </c>
      <c r="D141" s="232">
        <v>3100</v>
      </c>
      <c r="E141" s="6" t="s">
        <v>58</v>
      </c>
      <c r="F141" s="6" t="s">
        <v>1465</v>
      </c>
      <c r="G141" s="6" t="str">
        <f t="shared" si="5"/>
        <v>Semana 5</v>
      </c>
      <c r="H141" s="66" t="s">
        <v>1480</v>
      </c>
      <c r="I141" s="6" t="str">
        <f t="shared" si="6"/>
        <v>junio</v>
      </c>
      <c r="J141" s="4"/>
      <c r="K141" s="4"/>
      <c r="L141" s="4"/>
      <c r="M141" s="4"/>
      <c r="N141" s="4"/>
      <c r="O141" s="1"/>
    </row>
    <row r="142" spans="1:15">
      <c r="A142" s="23"/>
      <c r="B142" s="6" t="s">
        <v>1463</v>
      </c>
      <c r="C142" s="66" t="s">
        <v>1486</v>
      </c>
      <c r="D142" s="232">
        <v>22155</v>
      </c>
      <c r="E142" s="6" t="s">
        <v>87</v>
      </c>
      <c r="F142" s="6" t="s">
        <v>1465</v>
      </c>
      <c r="G142" s="6" t="str">
        <f t="shared" si="5"/>
        <v/>
      </c>
      <c r="H142" s="66" t="s">
        <v>1583</v>
      </c>
      <c r="I142" s="6" t="str">
        <f t="shared" si="6"/>
        <v/>
      </c>
      <c r="J142" s="4"/>
      <c r="K142" s="4"/>
      <c r="L142" s="4"/>
      <c r="M142" s="4"/>
      <c r="N142" s="4"/>
      <c r="O142" s="1"/>
    </row>
    <row r="143" spans="1:15">
      <c r="A143" s="23"/>
      <c r="B143" s="6" t="s">
        <v>1463</v>
      </c>
      <c r="C143" s="66" t="s">
        <v>1486</v>
      </c>
      <c r="D143" s="232">
        <v>40240</v>
      </c>
      <c r="E143" s="6" t="s">
        <v>87</v>
      </c>
      <c r="F143" s="6" t="s">
        <v>1465</v>
      </c>
      <c r="G143" s="6" t="str">
        <f t="shared" si="5"/>
        <v/>
      </c>
      <c r="H143" s="66" t="s">
        <v>1584</v>
      </c>
      <c r="I143" s="6" t="str">
        <f t="shared" si="6"/>
        <v/>
      </c>
      <c r="J143" s="4"/>
      <c r="K143" s="4"/>
      <c r="L143" s="4"/>
      <c r="M143" s="4"/>
      <c r="N143" s="4"/>
      <c r="O143" s="1"/>
    </row>
    <row r="144" spans="1:15">
      <c r="A144" s="23"/>
      <c r="B144" s="6" t="s">
        <v>1463</v>
      </c>
      <c r="C144" s="66" t="s">
        <v>1486</v>
      </c>
      <c r="D144" s="232">
        <v>13580</v>
      </c>
      <c r="E144" s="6" t="s">
        <v>87</v>
      </c>
      <c r="F144" s="6" t="s">
        <v>1465</v>
      </c>
      <c r="G144" s="6" t="str">
        <f t="shared" si="5"/>
        <v/>
      </c>
      <c r="H144" s="66" t="s">
        <v>1585</v>
      </c>
      <c r="I144" s="6" t="str">
        <f t="shared" si="6"/>
        <v/>
      </c>
      <c r="J144" s="4"/>
      <c r="K144" s="4"/>
      <c r="L144" s="4"/>
      <c r="M144" s="4"/>
      <c r="N144" s="4"/>
      <c r="O144" s="1"/>
    </row>
    <row r="145" spans="1:15">
      <c r="A145" s="23"/>
      <c r="B145" s="6" t="s">
        <v>1488</v>
      </c>
      <c r="C145" s="66" t="s">
        <v>1486</v>
      </c>
      <c r="D145" s="232">
        <v>16981</v>
      </c>
      <c r="E145" s="6" t="s">
        <v>58</v>
      </c>
      <c r="F145" s="6" t="s">
        <v>1465</v>
      </c>
      <c r="G145" s="6" t="str">
        <f t="shared" si="5"/>
        <v/>
      </c>
      <c r="H145" s="66" t="s">
        <v>1586</v>
      </c>
      <c r="I145" s="6" t="str">
        <f t="shared" si="6"/>
        <v/>
      </c>
      <c r="J145" s="4"/>
      <c r="K145" s="4"/>
      <c r="L145" s="4"/>
      <c r="M145" s="4"/>
      <c r="N145" s="4"/>
      <c r="O145" s="1"/>
    </row>
    <row r="146" spans="1:15">
      <c r="A146" s="23"/>
      <c r="B146" s="6"/>
      <c r="C146" s="6"/>
      <c r="D146" s="232"/>
      <c r="E146" s="6"/>
      <c r="F146" s="6"/>
      <c r="G146" s="6" t="str">
        <f t="shared" si="5"/>
        <v/>
      </c>
      <c r="H146" s="6"/>
      <c r="I146" s="6" t="str">
        <f t="shared" si="6"/>
        <v/>
      </c>
      <c r="J146" s="4"/>
      <c r="K146" s="4"/>
      <c r="L146" s="4"/>
      <c r="M146" s="4"/>
      <c r="N146" s="4"/>
      <c r="O146" s="1"/>
    </row>
    <row r="147" spans="1:15">
      <c r="A147" s="23"/>
      <c r="B147" s="6"/>
      <c r="C147" s="6"/>
      <c r="D147" s="232"/>
      <c r="E147" s="6"/>
      <c r="F147" s="6"/>
      <c r="G147" s="6" t="str">
        <f t="shared" si="5"/>
        <v/>
      </c>
      <c r="H147" s="6"/>
      <c r="I147" s="6" t="str">
        <f t="shared" si="6"/>
        <v/>
      </c>
      <c r="J147" s="4"/>
      <c r="K147" s="4"/>
      <c r="L147" s="4"/>
      <c r="M147" s="4"/>
      <c r="N147" s="4"/>
      <c r="O147" s="1"/>
    </row>
    <row r="148" spans="1:15">
      <c r="A148" s="23"/>
      <c r="B148" s="6"/>
      <c r="C148" s="6"/>
      <c r="D148" s="232"/>
      <c r="E148" s="6"/>
      <c r="F148" s="6"/>
      <c r="G148" s="6" t="str">
        <f t="shared" si="5"/>
        <v/>
      </c>
      <c r="H148" s="6"/>
      <c r="I148" s="6" t="str">
        <f t="shared" si="6"/>
        <v/>
      </c>
      <c r="J148" s="4"/>
      <c r="K148" s="4"/>
      <c r="L148" s="4"/>
      <c r="M148" s="4"/>
      <c r="N148" s="4"/>
      <c r="O148" s="1"/>
    </row>
    <row r="149" spans="1:15">
      <c r="A149" s="23"/>
      <c r="B149" s="6"/>
      <c r="C149" s="6"/>
      <c r="D149" s="232"/>
      <c r="E149" s="6"/>
      <c r="F149" s="6"/>
      <c r="G149" s="6" t="str">
        <f t="shared" si="5"/>
        <v/>
      </c>
      <c r="H149" s="6"/>
      <c r="I149" s="6" t="str">
        <f t="shared" si="6"/>
        <v/>
      </c>
      <c r="J149" s="4"/>
      <c r="K149" s="4"/>
      <c r="L149" s="4"/>
      <c r="M149" s="4"/>
      <c r="N149" s="4"/>
      <c r="O149" s="1"/>
    </row>
    <row r="150" spans="1:15">
      <c r="A150" s="23"/>
      <c r="B150" s="6"/>
      <c r="C150" s="6"/>
      <c r="D150" s="232"/>
      <c r="E150" s="6"/>
      <c r="F150" s="6"/>
      <c r="G150" s="6" t="str">
        <f t="shared" si="5"/>
        <v/>
      </c>
      <c r="H150" s="6"/>
      <c r="I150" s="6" t="str">
        <f t="shared" si="6"/>
        <v/>
      </c>
      <c r="J150" s="4"/>
      <c r="K150" s="4"/>
      <c r="L150" s="4"/>
      <c r="M150" s="4"/>
      <c r="N150" s="4"/>
      <c r="O150" s="1"/>
    </row>
    <row r="151" spans="1:15">
      <c r="A151" s="23"/>
      <c r="B151" s="6"/>
      <c r="C151" s="6"/>
      <c r="D151" s="232"/>
      <c r="E151" s="6"/>
      <c r="F151" s="6"/>
      <c r="G151" s="6" t="str">
        <f t="shared" si="5"/>
        <v/>
      </c>
      <c r="H151" s="6"/>
      <c r="I151" s="6" t="str">
        <f t="shared" si="6"/>
        <v/>
      </c>
      <c r="J151" s="4"/>
      <c r="K151" s="4"/>
      <c r="L151" s="4"/>
      <c r="M151" s="4"/>
      <c r="N151" s="4"/>
      <c r="O151" s="1"/>
    </row>
    <row r="152" spans="1:15">
      <c r="A152" s="23"/>
      <c r="B152" s="6"/>
      <c r="C152" s="6"/>
      <c r="D152" s="232"/>
      <c r="E152" s="6"/>
      <c r="F152" s="6"/>
      <c r="G152" s="6" t="str">
        <f t="shared" si="5"/>
        <v/>
      </c>
      <c r="H152" s="6"/>
      <c r="I152" s="6" t="str">
        <f t="shared" si="6"/>
        <v/>
      </c>
      <c r="J152" s="4"/>
      <c r="K152" s="4"/>
      <c r="L152" s="4"/>
      <c r="M152" s="4"/>
      <c r="N152" s="4"/>
      <c r="O152" s="1"/>
    </row>
    <row r="153" spans="1:15">
      <c r="A153" s="23"/>
      <c r="B153" s="6"/>
      <c r="C153" s="6"/>
      <c r="D153" s="232"/>
      <c r="E153" s="6"/>
      <c r="F153" s="6"/>
      <c r="G153" s="6" t="str">
        <f t="shared" si="5"/>
        <v/>
      </c>
      <c r="H153" s="6"/>
      <c r="I153" s="6" t="str">
        <f t="shared" si="6"/>
        <v/>
      </c>
      <c r="J153" s="4"/>
      <c r="K153" s="4"/>
      <c r="L153" s="4"/>
      <c r="M153" s="4"/>
      <c r="N153" s="4"/>
      <c r="O153" s="1"/>
    </row>
    <row r="154" spans="1:15">
      <c r="A154" s="23"/>
      <c r="B154" s="6"/>
      <c r="C154" s="6"/>
      <c r="D154" s="232"/>
      <c r="E154" s="6"/>
      <c r="F154" s="6"/>
      <c r="G154" s="6" t="str">
        <f t="shared" si="5"/>
        <v/>
      </c>
      <c r="H154" s="6"/>
      <c r="I154" s="6" t="str">
        <f t="shared" si="6"/>
        <v/>
      </c>
      <c r="J154" s="4"/>
      <c r="K154" s="4"/>
      <c r="L154" s="4"/>
      <c r="M154" s="4"/>
      <c r="N154" s="4"/>
      <c r="O154" s="1"/>
    </row>
    <row r="155" spans="1:15">
      <c r="A155" s="23"/>
      <c r="B155" s="6"/>
      <c r="C155" s="6"/>
      <c r="D155" s="232"/>
      <c r="E155" s="6"/>
      <c r="F155" s="6"/>
      <c r="G155" s="6" t="str">
        <f t="shared" si="5"/>
        <v/>
      </c>
      <c r="H155" s="6"/>
      <c r="I155" s="6" t="str">
        <f t="shared" si="6"/>
        <v/>
      </c>
      <c r="J155" s="4"/>
      <c r="K155" s="4"/>
      <c r="L155" s="4"/>
      <c r="M155" s="4"/>
      <c r="N155" s="4"/>
      <c r="O155" s="1"/>
    </row>
    <row r="156" spans="1:15">
      <c r="A156" s="23"/>
      <c r="B156" s="6"/>
      <c r="C156" s="6"/>
      <c r="D156" s="232"/>
      <c r="E156" s="6"/>
      <c r="F156" s="6"/>
      <c r="G156" s="6" t="str">
        <f t="shared" si="5"/>
        <v/>
      </c>
      <c r="H156" s="6"/>
      <c r="I156" s="6" t="str">
        <f t="shared" si="6"/>
        <v/>
      </c>
      <c r="J156" s="4"/>
      <c r="K156" s="4"/>
      <c r="L156" s="4"/>
      <c r="M156" s="4"/>
      <c r="N156" s="4"/>
      <c r="O156" s="1"/>
    </row>
    <row r="157" spans="1:15">
      <c r="A157" s="23"/>
      <c r="B157" s="6"/>
      <c r="C157" s="6"/>
      <c r="D157" s="232"/>
      <c r="E157" s="6"/>
      <c r="F157" s="6"/>
      <c r="G157" s="6" t="str">
        <f t="shared" si="5"/>
        <v/>
      </c>
      <c r="H157" s="6"/>
      <c r="I157" s="6" t="str">
        <f t="shared" si="6"/>
        <v/>
      </c>
      <c r="J157" s="4"/>
      <c r="K157" s="4"/>
      <c r="L157" s="4"/>
      <c r="M157" s="4"/>
      <c r="N157" s="4"/>
      <c r="O157" s="1"/>
    </row>
    <row r="158" spans="1:15">
      <c r="A158" s="23"/>
      <c r="B158" s="6"/>
      <c r="C158" s="6"/>
      <c r="D158" s="232"/>
      <c r="E158" s="6"/>
      <c r="F158" s="6"/>
      <c r="G158" s="6" t="str">
        <f t="shared" si="5"/>
        <v/>
      </c>
      <c r="H158" s="6"/>
      <c r="I158" s="6" t="str">
        <f t="shared" si="6"/>
        <v/>
      </c>
      <c r="J158" s="4"/>
      <c r="K158" s="4"/>
      <c r="L158" s="4"/>
      <c r="M158" s="4"/>
      <c r="N158" s="4"/>
      <c r="O158" s="1"/>
    </row>
    <row r="159" spans="1:15">
      <c r="A159" s="23"/>
      <c r="B159" s="6"/>
      <c r="C159" s="6"/>
      <c r="D159" s="232"/>
      <c r="E159" s="6"/>
      <c r="F159" s="6"/>
      <c r="G159" s="6" t="str">
        <f t="shared" si="5"/>
        <v/>
      </c>
      <c r="H159" s="6"/>
      <c r="I159" s="6" t="str">
        <f t="shared" si="6"/>
        <v/>
      </c>
      <c r="J159" s="4"/>
      <c r="K159" s="4"/>
      <c r="L159" s="4"/>
      <c r="M159" s="4"/>
      <c r="N159" s="4"/>
      <c r="O159" s="1"/>
    </row>
    <row r="160" spans="1:15">
      <c r="A160" s="23"/>
      <c r="B160" s="6"/>
      <c r="C160" s="6"/>
      <c r="D160" s="232"/>
      <c r="E160" s="6"/>
      <c r="F160" s="6"/>
      <c r="G160" s="6" t="str">
        <f t="shared" si="5"/>
        <v/>
      </c>
      <c r="H160" s="6"/>
      <c r="I160" s="6" t="str">
        <f t="shared" si="6"/>
        <v/>
      </c>
      <c r="J160" s="4"/>
      <c r="K160" s="4"/>
      <c r="L160" s="4"/>
      <c r="M160" s="4"/>
      <c r="N160" s="4"/>
      <c r="O160" s="1"/>
    </row>
    <row r="161" spans="1:15">
      <c r="A161" s="23"/>
      <c r="B161" s="6"/>
      <c r="C161" s="6"/>
      <c r="D161" s="232"/>
      <c r="E161" s="6"/>
      <c r="F161" s="6"/>
      <c r="G161" s="6" t="str">
        <f t="shared" si="5"/>
        <v/>
      </c>
      <c r="H161" s="6"/>
      <c r="I161" s="6" t="str">
        <f t="shared" si="6"/>
        <v/>
      </c>
      <c r="J161" s="4"/>
      <c r="K161" s="4"/>
      <c r="L161" s="4"/>
      <c r="M161" s="4"/>
      <c r="N161" s="4"/>
      <c r="O161" s="1"/>
    </row>
    <row r="162" spans="1:15">
      <c r="A162" s="23"/>
      <c r="B162" s="6"/>
      <c r="C162" s="6"/>
      <c r="D162" s="232"/>
      <c r="E162" s="6"/>
      <c r="F162" s="6"/>
      <c r="G162" s="6" t="str">
        <f t="shared" si="5"/>
        <v/>
      </c>
      <c r="H162" s="6"/>
      <c r="I162" s="6" t="str">
        <f t="shared" si="6"/>
        <v/>
      </c>
      <c r="J162" s="4"/>
      <c r="K162" s="4"/>
      <c r="L162" s="4"/>
      <c r="M162" s="4"/>
      <c r="N162" s="4"/>
      <c r="O162" s="1"/>
    </row>
    <row r="163" spans="1:15">
      <c r="A163" s="23"/>
      <c r="B163" s="6"/>
      <c r="C163" s="6"/>
      <c r="D163" s="232"/>
      <c r="E163" s="6"/>
      <c r="F163" s="6"/>
      <c r="G163" s="6" t="str">
        <f t="shared" si="5"/>
        <v/>
      </c>
      <c r="H163" s="6"/>
      <c r="I163" s="6" t="str">
        <f t="shared" si="6"/>
        <v/>
      </c>
      <c r="J163" s="4"/>
      <c r="K163" s="4"/>
      <c r="L163" s="4"/>
      <c r="M163" s="4"/>
      <c r="N163" s="4"/>
      <c r="O163" s="1"/>
    </row>
    <row r="164" spans="1:15">
      <c r="A164" s="23"/>
      <c r="B164" s="6"/>
      <c r="C164" s="6"/>
      <c r="D164" s="232"/>
      <c r="E164" s="6"/>
      <c r="F164" s="6"/>
      <c r="G164" s="6" t="str">
        <f t="shared" si="5"/>
        <v/>
      </c>
      <c r="H164" s="6"/>
      <c r="I164" s="6" t="str">
        <f t="shared" si="6"/>
        <v/>
      </c>
      <c r="J164" s="4"/>
      <c r="K164" s="4"/>
      <c r="L164" s="4"/>
      <c r="M164" s="4"/>
      <c r="N164" s="4"/>
      <c r="O164" s="1"/>
    </row>
    <row r="165" spans="1:15">
      <c r="A165" s="23"/>
      <c r="B165" s="6"/>
      <c r="C165" s="6"/>
      <c r="D165" s="232"/>
      <c r="E165" s="6"/>
      <c r="F165" s="6"/>
      <c r="G165" s="6" t="str">
        <f t="shared" si="5"/>
        <v/>
      </c>
      <c r="H165" s="6"/>
      <c r="I165" s="6" t="str">
        <f t="shared" si="6"/>
        <v/>
      </c>
      <c r="J165" s="4"/>
      <c r="K165" s="4"/>
      <c r="L165" s="4"/>
      <c r="M165" s="4"/>
      <c r="N165" s="4"/>
      <c r="O165" s="1"/>
    </row>
    <row r="166" spans="1:15">
      <c r="A166" s="23"/>
      <c r="B166" s="6"/>
      <c r="C166" s="6"/>
      <c r="D166" s="232"/>
      <c r="E166" s="6"/>
      <c r="F166" s="6"/>
      <c r="G166" s="6" t="str">
        <f t="shared" si="5"/>
        <v/>
      </c>
      <c r="H166" s="6"/>
      <c r="I166" s="6" t="str">
        <f t="shared" si="6"/>
        <v/>
      </c>
      <c r="J166" s="4"/>
      <c r="K166" s="4"/>
      <c r="L166" s="4"/>
      <c r="M166" s="4"/>
      <c r="N166" s="4"/>
      <c r="O166" s="1"/>
    </row>
    <row r="167" spans="1:15">
      <c r="A167" s="23"/>
      <c r="B167" s="6"/>
      <c r="C167" s="6"/>
      <c r="D167" s="232"/>
      <c r="E167" s="6"/>
      <c r="F167" s="6"/>
      <c r="G167" s="6" t="str">
        <f t="shared" si="5"/>
        <v/>
      </c>
      <c r="H167" s="6"/>
      <c r="I167" s="6" t="str">
        <f t="shared" si="6"/>
        <v/>
      </c>
      <c r="J167" s="4"/>
      <c r="K167" s="4"/>
      <c r="L167" s="4"/>
      <c r="M167" s="4"/>
      <c r="N167" s="4"/>
      <c r="O167" s="1"/>
    </row>
    <row r="168" spans="1:15">
      <c r="A168" s="23"/>
      <c r="B168" s="6"/>
      <c r="C168" s="6"/>
      <c r="D168" s="232"/>
      <c r="E168" s="6"/>
      <c r="F168" s="6"/>
      <c r="G168" s="6" t="str">
        <f t="shared" si="5"/>
        <v/>
      </c>
      <c r="H168" s="6"/>
      <c r="I168" s="6" t="str">
        <f t="shared" si="6"/>
        <v/>
      </c>
      <c r="J168" s="4"/>
      <c r="K168" s="4"/>
      <c r="L168" s="4"/>
      <c r="M168" s="4"/>
      <c r="N168" s="4"/>
      <c r="O168" s="1"/>
    </row>
    <row r="169" spans="1:15">
      <c r="A169" s="23"/>
      <c r="B169" s="6"/>
      <c r="C169" s="6"/>
      <c r="D169" s="232"/>
      <c r="E169" s="6"/>
      <c r="F169" s="6"/>
      <c r="G169" s="6" t="str">
        <f t="shared" si="5"/>
        <v/>
      </c>
      <c r="H169" s="6"/>
      <c r="I169" s="6" t="str">
        <f t="shared" si="6"/>
        <v/>
      </c>
      <c r="J169" s="4"/>
      <c r="K169" s="4"/>
      <c r="L169" s="4"/>
      <c r="M169" s="4"/>
      <c r="N169" s="4"/>
      <c r="O169" s="1"/>
    </row>
    <row r="170" spans="1:15">
      <c r="A170" s="23"/>
      <c r="B170" s="6"/>
      <c r="C170" s="6"/>
      <c r="D170" s="232"/>
      <c r="E170" s="6"/>
      <c r="F170" s="6"/>
      <c r="G170" s="6" t="str">
        <f t="shared" si="5"/>
        <v/>
      </c>
      <c r="H170" s="6"/>
      <c r="I170" s="6" t="str">
        <f t="shared" si="6"/>
        <v/>
      </c>
      <c r="J170" s="4"/>
      <c r="K170" s="4"/>
      <c r="L170" s="4"/>
      <c r="M170" s="4"/>
      <c r="N170" s="4"/>
      <c r="O170" s="1"/>
    </row>
    <row r="171" spans="1:15">
      <c r="A171" s="23"/>
      <c r="B171" s="6"/>
      <c r="C171" s="6"/>
      <c r="D171" s="232"/>
      <c r="E171" s="6"/>
      <c r="F171" s="6"/>
      <c r="G171" s="6" t="str">
        <f t="shared" si="5"/>
        <v/>
      </c>
      <c r="H171" s="6"/>
      <c r="I171" s="6" t="str">
        <f t="shared" si="6"/>
        <v/>
      </c>
      <c r="J171" s="4"/>
      <c r="K171" s="4"/>
      <c r="L171" s="4"/>
      <c r="M171" s="4"/>
      <c r="N171" s="4"/>
      <c r="O171" s="1"/>
    </row>
    <row r="172" spans="1:15">
      <c r="A172" s="23"/>
      <c r="B172" s="6"/>
      <c r="C172" s="6"/>
      <c r="D172" s="232"/>
      <c r="E172" s="6"/>
      <c r="F172" s="6"/>
      <c r="G172" s="6" t="str">
        <f t="shared" si="5"/>
        <v/>
      </c>
      <c r="H172" s="6"/>
      <c r="I172" s="6" t="str">
        <f t="shared" si="6"/>
        <v/>
      </c>
      <c r="J172" s="4"/>
      <c r="K172" s="4"/>
      <c r="L172" s="4"/>
      <c r="M172" s="4"/>
      <c r="N172" s="4"/>
      <c r="O172" s="1"/>
    </row>
    <row r="173" spans="1:15">
      <c r="A173" s="23"/>
      <c r="B173" s="6"/>
      <c r="C173" s="6"/>
      <c r="D173" s="232"/>
      <c r="E173" s="6"/>
      <c r="F173" s="6"/>
      <c r="G173" s="6" t="str">
        <f t="shared" si="5"/>
        <v/>
      </c>
      <c r="H173" s="6"/>
      <c r="I173" s="6" t="str">
        <f t="shared" si="6"/>
        <v/>
      </c>
      <c r="J173" s="4"/>
      <c r="K173" s="4"/>
      <c r="L173" s="4"/>
      <c r="M173" s="4"/>
      <c r="N173" s="4"/>
      <c r="O173" s="1"/>
    </row>
    <row r="174" spans="1:15">
      <c r="A174" s="23"/>
      <c r="B174" s="6"/>
      <c r="C174" s="6"/>
      <c r="D174" s="232"/>
      <c r="E174" s="6"/>
      <c r="F174" s="6"/>
      <c r="G174" s="6" t="str">
        <f t="shared" si="5"/>
        <v/>
      </c>
      <c r="H174" s="6"/>
      <c r="I174" s="6" t="str">
        <f t="shared" si="6"/>
        <v/>
      </c>
      <c r="J174" s="4"/>
      <c r="K174" s="4"/>
      <c r="L174" s="4"/>
      <c r="M174" s="4"/>
      <c r="N174" s="4"/>
      <c r="O174" s="1"/>
    </row>
    <row r="175" spans="1:15">
      <c r="A175" s="23"/>
      <c r="B175" s="6"/>
      <c r="C175" s="6"/>
      <c r="D175" s="232"/>
      <c r="E175" s="6"/>
      <c r="F175" s="6"/>
      <c r="G175" s="6" t="str">
        <f t="shared" si="5"/>
        <v/>
      </c>
      <c r="H175" s="6"/>
      <c r="I175" s="6" t="str">
        <f t="shared" si="6"/>
        <v/>
      </c>
      <c r="J175" s="4"/>
      <c r="K175" s="4"/>
      <c r="L175" s="4"/>
      <c r="M175" s="4"/>
      <c r="N175" s="4"/>
      <c r="O175" s="1"/>
    </row>
    <row r="176" spans="1:15" ht="1.9" customHeight="1">
      <c r="A176" s="23"/>
      <c r="B176" s="6"/>
      <c r="C176" s="6"/>
      <c r="D176" s="232"/>
      <c r="E176" s="6"/>
      <c r="F176" s="6"/>
      <c r="G176" s="6" t="str">
        <f t="shared" si="5"/>
        <v/>
      </c>
      <c r="H176" s="6"/>
      <c r="I176" s="6" t="str">
        <f t="shared" si="6"/>
        <v/>
      </c>
      <c r="J176" s="4"/>
      <c r="K176" s="4"/>
      <c r="L176" s="4"/>
      <c r="M176" s="4"/>
      <c r="N176" s="4"/>
      <c r="O176" s="1"/>
    </row>
    <row r="177" spans="1:15" ht="1.9" customHeight="1">
      <c r="A177" s="23"/>
      <c r="B177" s="6"/>
      <c r="C177" s="6"/>
      <c r="D177" s="232"/>
      <c r="E177" s="6"/>
      <c r="F177" s="6"/>
      <c r="G177" s="6" t="str">
        <f t="shared" si="5"/>
        <v/>
      </c>
      <c r="H177" s="6"/>
      <c r="I177" s="6" t="str">
        <f t="shared" si="6"/>
        <v/>
      </c>
      <c r="J177" s="4"/>
      <c r="K177" s="4"/>
      <c r="L177" s="4"/>
      <c r="M177" s="4"/>
      <c r="N177" s="4"/>
      <c r="O177" s="1"/>
    </row>
    <row r="178" spans="1:15" ht="1.9" customHeight="1">
      <c r="A178" s="23"/>
      <c r="B178" s="6"/>
      <c r="C178" s="6"/>
      <c r="D178" s="232"/>
      <c r="E178" s="6"/>
      <c r="F178" s="6"/>
      <c r="G178" s="6" t="str">
        <f t="shared" si="5"/>
        <v/>
      </c>
      <c r="H178" s="6"/>
      <c r="I178" s="6" t="str">
        <f t="shared" si="6"/>
        <v/>
      </c>
      <c r="J178" s="4"/>
      <c r="K178" s="4"/>
      <c r="L178" s="4"/>
      <c r="M178" s="4"/>
      <c r="N178" s="4"/>
      <c r="O178" s="1"/>
    </row>
    <row r="179" spans="1:15" ht="1.9" customHeight="1">
      <c r="A179" s="23"/>
      <c r="B179" s="6"/>
      <c r="C179" s="6"/>
      <c r="D179" s="232"/>
      <c r="E179" s="6"/>
      <c r="F179" s="6"/>
      <c r="G179" s="6" t="str">
        <f t="shared" si="5"/>
        <v/>
      </c>
      <c r="H179" s="6"/>
      <c r="I179" s="6" t="str">
        <f t="shared" si="6"/>
        <v/>
      </c>
      <c r="J179" s="4"/>
      <c r="K179" s="4"/>
      <c r="L179" s="4"/>
      <c r="M179" s="4"/>
      <c r="N179" s="4"/>
      <c r="O179" s="1"/>
    </row>
    <row r="180" spans="1:15" ht="1.9" customHeight="1">
      <c r="A180" s="23"/>
      <c r="B180" s="6"/>
      <c r="C180" s="6"/>
      <c r="D180" s="232"/>
      <c r="E180" s="6"/>
      <c r="F180" s="6"/>
      <c r="G180" s="6" t="str">
        <f t="shared" si="5"/>
        <v/>
      </c>
      <c r="H180" s="6"/>
      <c r="I180" s="6" t="str">
        <f t="shared" si="6"/>
        <v/>
      </c>
      <c r="J180" s="4"/>
      <c r="K180" s="4"/>
      <c r="L180" s="4"/>
      <c r="M180" s="4"/>
      <c r="N180" s="4"/>
      <c r="O180" s="1"/>
    </row>
    <row r="181" spans="1:15" ht="1.9" customHeight="1">
      <c r="A181" s="23"/>
      <c r="B181" s="6"/>
      <c r="C181" s="6"/>
      <c r="D181" s="232"/>
      <c r="E181" s="6"/>
      <c r="F181" s="6"/>
      <c r="G181" s="6" t="str">
        <f t="shared" si="5"/>
        <v/>
      </c>
      <c r="H181" s="6"/>
      <c r="I181" s="6" t="str">
        <f t="shared" si="6"/>
        <v/>
      </c>
      <c r="J181" s="4"/>
      <c r="K181" s="4"/>
      <c r="L181" s="4"/>
      <c r="M181" s="4"/>
      <c r="N181" s="4"/>
      <c r="O181" s="1"/>
    </row>
    <row r="182" spans="1:15" ht="1.9" customHeight="1">
      <c r="A182" s="23"/>
      <c r="B182" s="6"/>
      <c r="C182" s="6"/>
      <c r="D182" s="232"/>
      <c r="E182" s="6"/>
      <c r="F182" s="6"/>
      <c r="G182" s="6" t="str">
        <f t="shared" si="5"/>
        <v/>
      </c>
      <c r="H182" s="6"/>
      <c r="I182" s="6" t="str">
        <f t="shared" si="6"/>
        <v/>
      </c>
      <c r="J182" s="4"/>
      <c r="K182" s="4"/>
      <c r="L182" s="4"/>
      <c r="M182" s="4"/>
      <c r="N182" s="4"/>
      <c r="O182" s="1"/>
    </row>
    <row r="183" spans="1:15" ht="1.9" customHeight="1">
      <c r="A183" s="23"/>
      <c r="B183" s="6"/>
      <c r="C183" s="6"/>
      <c r="D183" s="232"/>
      <c r="E183" s="6"/>
      <c r="F183" s="6"/>
      <c r="G183" s="6" t="str">
        <f t="shared" si="5"/>
        <v/>
      </c>
      <c r="H183" s="6"/>
      <c r="I183" s="6" t="str">
        <f t="shared" si="6"/>
        <v/>
      </c>
      <c r="J183" s="4"/>
      <c r="K183" s="4"/>
      <c r="L183" s="4"/>
      <c r="M183" s="4"/>
      <c r="N183" s="4"/>
      <c r="O183" s="1"/>
    </row>
    <row r="184" spans="1:15" ht="1.9" customHeight="1">
      <c r="A184" s="23"/>
      <c r="B184" s="6"/>
      <c r="C184" s="6"/>
      <c r="D184" s="232"/>
      <c r="E184" s="6"/>
      <c r="F184" s="6"/>
      <c r="G184" s="6" t="str">
        <f t="shared" si="5"/>
        <v/>
      </c>
      <c r="H184" s="6"/>
      <c r="I184" s="6" t="str">
        <f t="shared" si="6"/>
        <v/>
      </c>
      <c r="J184" s="4"/>
      <c r="K184" s="4"/>
      <c r="L184" s="4"/>
      <c r="M184" s="4"/>
      <c r="N184" s="4"/>
      <c r="O184" s="1"/>
    </row>
    <row r="185" spans="1:15" ht="1.9" customHeight="1">
      <c r="A185" s="23"/>
      <c r="B185" s="6"/>
      <c r="C185" s="6"/>
      <c r="D185" s="232"/>
      <c r="E185" s="6"/>
      <c r="F185" s="6"/>
      <c r="G185" s="6" t="str">
        <f t="shared" si="5"/>
        <v/>
      </c>
      <c r="H185" s="6"/>
      <c r="I185" s="6" t="str">
        <f t="shared" si="6"/>
        <v/>
      </c>
      <c r="J185" s="4"/>
      <c r="K185" s="4"/>
      <c r="L185" s="4"/>
      <c r="M185" s="4"/>
      <c r="N185" s="4"/>
      <c r="O185" s="1"/>
    </row>
    <row r="186" spans="1:15" ht="1.9" customHeight="1">
      <c r="A186" s="23"/>
      <c r="B186" s="6"/>
      <c r="C186" s="6"/>
      <c r="D186" s="232"/>
      <c r="E186" s="6"/>
      <c r="F186" s="6"/>
      <c r="G186" s="6" t="str">
        <f t="shared" si="5"/>
        <v/>
      </c>
      <c r="H186" s="6"/>
      <c r="I186" s="6" t="str">
        <f t="shared" si="6"/>
        <v/>
      </c>
      <c r="J186" s="4"/>
      <c r="K186" s="4"/>
      <c r="L186" s="4"/>
      <c r="M186" s="4"/>
      <c r="N186" s="4"/>
      <c r="O186" s="1"/>
    </row>
    <row r="187" spans="1:15" ht="1.9" customHeight="1">
      <c r="A187" s="23"/>
      <c r="B187" s="6"/>
      <c r="C187" s="6"/>
      <c r="D187" s="232"/>
      <c r="E187" s="6"/>
      <c r="F187" s="6"/>
      <c r="G187" s="6" t="str">
        <f t="shared" si="5"/>
        <v/>
      </c>
      <c r="H187" s="6"/>
      <c r="I187" s="6" t="str">
        <f t="shared" si="6"/>
        <v/>
      </c>
      <c r="J187" s="4"/>
      <c r="K187" s="4"/>
      <c r="L187" s="4"/>
      <c r="M187" s="4"/>
      <c r="N187" s="4"/>
      <c r="O187" s="1"/>
    </row>
    <row r="188" spans="1:15" ht="1.9" customHeight="1">
      <c r="A188" s="23"/>
      <c r="B188" s="6"/>
      <c r="C188" s="6"/>
      <c r="D188" s="232"/>
      <c r="E188" s="6"/>
      <c r="F188" s="6"/>
      <c r="G188" s="6" t="str">
        <f t="shared" si="5"/>
        <v/>
      </c>
      <c r="H188" s="6"/>
      <c r="I188" s="6" t="str">
        <f t="shared" si="6"/>
        <v/>
      </c>
      <c r="J188" s="4"/>
      <c r="K188" s="4"/>
      <c r="L188" s="4"/>
      <c r="M188" s="4"/>
      <c r="N188" s="4"/>
      <c r="O188" s="1"/>
    </row>
    <row r="189" spans="1:15" ht="1.9" customHeight="1">
      <c r="A189" s="23"/>
      <c r="B189" s="6"/>
      <c r="C189" s="6"/>
      <c r="D189" s="232"/>
      <c r="E189" s="6"/>
      <c r="F189" s="6"/>
      <c r="G189" s="6" t="str">
        <f t="shared" si="5"/>
        <v/>
      </c>
      <c r="H189" s="6"/>
      <c r="I189" s="6" t="str">
        <f t="shared" si="6"/>
        <v/>
      </c>
      <c r="J189" s="4"/>
      <c r="K189" s="4"/>
      <c r="L189" s="4"/>
      <c r="M189" s="4"/>
      <c r="N189" s="4"/>
      <c r="O189" s="1"/>
    </row>
    <row r="190" spans="1:15" ht="1.9" customHeight="1">
      <c r="A190" s="23"/>
      <c r="B190" s="6"/>
      <c r="C190" s="6"/>
      <c r="D190" s="232"/>
      <c r="E190" s="6"/>
      <c r="F190" s="6"/>
      <c r="G190" s="6" t="str">
        <f t="shared" si="5"/>
        <v/>
      </c>
      <c r="H190" s="6"/>
      <c r="I190" s="6" t="str">
        <f t="shared" si="6"/>
        <v/>
      </c>
      <c r="J190" s="4"/>
      <c r="K190" s="4"/>
      <c r="L190" s="4"/>
      <c r="M190" s="4"/>
      <c r="N190" s="4"/>
      <c r="O190" s="1"/>
    </row>
    <row r="191" spans="1:15" ht="1.9" customHeight="1">
      <c r="A191" s="23"/>
      <c r="B191" s="6"/>
      <c r="C191" s="6"/>
      <c r="D191" s="232"/>
      <c r="E191" s="6"/>
      <c r="F191" s="6"/>
      <c r="G191" s="6" t="str">
        <f t="shared" si="5"/>
        <v/>
      </c>
      <c r="H191" s="6"/>
      <c r="I191" s="6" t="str">
        <f t="shared" si="6"/>
        <v/>
      </c>
      <c r="J191" s="4"/>
      <c r="K191" s="4"/>
      <c r="L191" s="4"/>
      <c r="M191" s="4"/>
      <c r="N191" s="4"/>
      <c r="O191" s="1"/>
    </row>
    <row r="192" spans="1:15" ht="1.9" customHeight="1">
      <c r="A192" s="23"/>
      <c r="B192" s="6"/>
      <c r="C192" s="6"/>
      <c r="D192" s="232"/>
      <c r="E192" s="6"/>
      <c r="F192" s="6"/>
      <c r="G192" s="6" t="str">
        <f t="shared" si="5"/>
        <v/>
      </c>
      <c r="H192" s="6"/>
      <c r="I192" s="6" t="str">
        <f t="shared" si="6"/>
        <v/>
      </c>
      <c r="J192" s="4"/>
      <c r="K192" s="4"/>
      <c r="L192" s="4"/>
      <c r="M192" s="4"/>
      <c r="N192" s="4"/>
      <c r="O192" s="1"/>
    </row>
    <row r="193" spans="1:15" ht="1.9" customHeight="1">
      <c r="A193" s="23"/>
      <c r="B193" s="6"/>
      <c r="C193" s="6"/>
      <c r="D193" s="232"/>
      <c r="E193" s="6"/>
      <c r="F193" s="6"/>
      <c r="G193" s="6" t="str">
        <f t="shared" si="5"/>
        <v/>
      </c>
      <c r="H193" s="6"/>
      <c r="I193" s="6" t="str">
        <f t="shared" si="6"/>
        <v/>
      </c>
      <c r="J193" s="4"/>
      <c r="K193" s="4"/>
      <c r="L193" s="4"/>
      <c r="M193" s="4"/>
      <c r="N193" s="4"/>
      <c r="O193" s="1"/>
    </row>
    <row r="194" spans="1:15" ht="1.9" customHeight="1">
      <c r="A194" s="23"/>
      <c r="B194" s="6"/>
      <c r="C194" s="6"/>
      <c r="D194" s="232"/>
      <c r="E194" s="6"/>
      <c r="F194" s="6"/>
      <c r="G194" s="6" t="str">
        <f t="shared" si="5"/>
        <v/>
      </c>
      <c r="H194" s="6"/>
      <c r="I194" s="6" t="str">
        <f t="shared" si="6"/>
        <v/>
      </c>
      <c r="J194" s="4"/>
      <c r="K194" s="4"/>
      <c r="L194" s="4"/>
      <c r="M194" s="4"/>
      <c r="N194" s="4"/>
      <c r="O194" s="1"/>
    </row>
    <row r="195" spans="1:15" ht="1.9" customHeight="1">
      <c r="A195" s="23"/>
      <c r="B195" s="6"/>
      <c r="C195" s="6"/>
      <c r="D195" s="232"/>
      <c r="E195" s="6"/>
      <c r="F195" s="6"/>
      <c r="G195" s="6" t="str">
        <f t="shared" si="5"/>
        <v/>
      </c>
      <c r="H195" s="6"/>
      <c r="I195" s="6" t="str">
        <f t="shared" si="6"/>
        <v/>
      </c>
      <c r="J195" s="4"/>
      <c r="K195" s="4"/>
      <c r="L195" s="4"/>
      <c r="M195" s="4"/>
      <c r="N195" s="4"/>
      <c r="O195" s="1"/>
    </row>
    <row r="196" spans="1:15" ht="1.9" customHeight="1">
      <c r="A196" s="23"/>
      <c r="B196" s="6"/>
      <c r="C196" s="6"/>
      <c r="D196" s="232"/>
      <c r="E196" s="6"/>
      <c r="F196" s="6"/>
      <c r="G196" s="6" t="str">
        <f t="shared" si="5"/>
        <v/>
      </c>
      <c r="H196" s="6"/>
      <c r="I196" s="6" t="str">
        <f t="shared" si="6"/>
        <v/>
      </c>
      <c r="J196" s="4"/>
      <c r="K196" s="4"/>
      <c r="L196" s="4"/>
      <c r="M196" s="4"/>
      <c r="N196" s="4"/>
      <c r="O196" s="1"/>
    </row>
    <row r="197" spans="1:15" ht="1.9" customHeight="1">
      <c r="A197" s="23"/>
      <c r="B197" s="6"/>
      <c r="C197" s="6"/>
      <c r="D197" s="232"/>
      <c r="E197" s="6"/>
      <c r="F197" s="6"/>
      <c r="G197" s="6" t="str">
        <f t="shared" ref="G197:G260" si="7">IF(A197="","", "Semana "&amp;(WEEKNUM(A197,2)-WEEKNUM(DATE(YEAR(A197),MONTH(A197),1),2)+1))</f>
        <v/>
      </c>
      <c r="H197" s="6"/>
      <c r="I197" s="6" t="str">
        <f t="shared" ref="I197:I260" si="8">IF(A197="","",IF(MONTH(A197)=5,"mayo",IF(MONTH(A197)=4,"abril",TEXT(A197,"mmmm"))))</f>
        <v/>
      </c>
      <c r="J197" s="4"/>
      <c r="K197" s="4"/>
      <c r="L197" s="4"/>
      <c r="M197" s="4"/>
      <c r="N197" s="4"/>
      <c r="O197" s="1"/>
    </row>
    <row r="198" spans="1:15" ht="1.9" customHeight="1">
      <c r="A198" s="23"/>
      <c r="B198" s="6"/>
      <c r="C198" s="6"/>
      <c r="D198" s="232"/>
      <c r="E198" s="6"/>
      <c r="F198" s="6"/>
      <c r="G198" s="6" t="str">
        <f t="shared" si="7"/>
        <v/>
      </c>
      <c r="H198" s="6"/>
      <c r="I198" s="6" t="str">
        <f t="shared" si="8"/>
        <v/>
      </c>
      <c r="J198" s="4"/>
      <c r="K198" s="4"/>
      <c r="L198" s="4"/>
      <c r="M198" s="4"/>
      <c r="N198" s="4"/>
      <c r="O198" s="1"/>
    </row>
    <row r="199" spans="1:15" ht="1.9" customHeight="1">
      <c r="A199" s="23"/>
      <c r="B199" s="6"/>
      <c r="C199" s="6"/>
      <c r="D199" s="232"/>
      <c r="E199" s="6"/>
      <c r="F199" s="6"/>
      <c r="G199" s="6" t="str">
        <f t="shared" si="7"/>
        <v/>
      </c>
      <c r="H199" s="6"/>
      <c r="I199" s="6" t="str">
        <f t="shared" si="8"/>
        <v/>
      </c>
      <c r="J199" s="4"/>
      <c r="K199" s="4"/>
      <c r="L199" s="4"/>
      <c r="M199" s="4"/>
      <c r="N199" s="4"/>
      <c r="O199" s="1"/>
    </row>
    <row r="200" spans="1:15" ht="1.9" customHeight="1">
      <c r="A200" s="23"/>
      <c r="B200" s="6"/>
      <c r="C200" s="6"/>
      <c r="D200" s="232"/>
      <c r="E200" s="6"/>
      <c r="F200" s="6"/>
      <c r="G200" s="6" t="str">
        <f t="shared" si="7"/>
        <v/>
      </c>
      <c r="H200" s="6"/>
      <c r="I200" s="6" t="str">
        <f t="shared" si="8"/>
        <v/>
      </c>
      <c r="J200" s="4"/>
      <c r="K200" s="4"/>
      <c r="L200" s="4"/>
      <c r="M200" s="4"/>
      <c r="N200" s="4"/>
      <c r="O200" s="1"/>
    </row>
    <row r="201" spans="1:15" ht="1.9" customHeight="1">
      <c r="A201" s="23"/>
      <c r="B201" s="6"/>
      <c r="C201" s="6"/>
      <c r="D201" s="232"/>
      <c r="E201" s="6"/>
      <c r="F201" s="6"/>
      <c r="G201" s="6" t="str">
        <f t="shared" si="7"/>
        <v/>
      </c>
      <c r="H201" s="6"/>
      <c r="I201" s="6" t="str">
        <f t="shared" si="8"/>
        <v/>
      </c>
      <c r="J201" s="4"/>
      <c r="K201" s="4"/>
      <c r="L201" s="4"/>
      <c r="M201" s="4"/>
      <c r="N201" s="4"/>
      <c r="O201" s="1"/>
    </row>
    <row r="202" spans="1:15" ht="1.9" customHeight="1">
      <c r="A202" s="23"/>
      <c r="B202" s="6"/>
      <c r="C202" s="6"/>
      <c r="D202" s="232"/>
      <c r="E202" s="6"/>
      <c r="F202" s="6"/>
      <c r="G202" s="6" t="str">
        <f t="shared" si="7"/>
        <v/>
      </c>
      <c r="H202" s="6"/>
      <c r="I202" s="6" t="str">
        <f t="shared" si="8"/>
        <v/>
      </c>
      <c r="J202" s="4"/>
      <c r="K202" s="4"/>
      <c r="L202" s="4"/>
      <c r="M202" s="4"/>
      <c r="N202" s="4"/>
      <c r="O202" s="1"/>
    </row>
    <row r="203" spans="1:15" ht="1.9" customHeight="1">
      <c r="A203" s="23"/>
      <c r="B203" s="6"/>
      <c r="C203" s="6"/>
      <c r="D203" s="232"/>
      <c r="E203" s="6"/>
      <c r="F203" s="6"/>
      <c r="G203" s="6" t="str">
        <f t="shared" si="7"/>
        <v/>
      </c>
      <c r="H203" s="6"/>
      <c r="I203" s="6" t="str">
        <f t="shared" si="8"/>
        <v/>
      </c>
      <c r="J203" s="4"/>
      <c r="K203" s="4"/>
      <c r="L203" s="4"/>
      <c r="M203" s="4"/>
      <c r="N203" s="4"/>
      <c r="O203" s="1"/>
    </row>
    <row r="204" spans="1:15" ht="1.9" customHeight="1">
      <c r="A204" s="23"/>
      <c r="B204" s="6"/>
      <c r="C204" s="6"/>
      <c r="D204" s="232"/>
      <c r="E204" s="6"/>
      <c r="F204" s="6"/>
      <c r="G204" s="6" t="str">
        <f t="shared" si="7"/>
        <v/>
      </c>
      <c r="H204" s="6"/>
      <c r="I204" s="6" t="str">
        <f t="shared" si="8"/>
        <v/>
      </c>
      <c r="J204" s="4"/>
      <c r="K204" s="4"/>
      <c r="L204" s="4"/>
      <c r="M204" s="4"/>
      <c r="N204" s="4"/>
    </row>
    <row r="205" spans="1:15" ht="1.9" customHeight="1">
      <c r="A205" s="23"/>
      <c r="B205" s="6"/>
      <c r="C205" s="6"/>
      <c r="D205" s="232"/>
      <c r="E205" s="6"/>
      <c r="F205" s="6"/>
      <c r="G205" s="6" t="str">
        <f t="shared" si="7"/>
        <v/>
      </c>
      <c r="H205" s="6"/>
      <c r="I205" s="6" t="str">
        <f t="shared" si="8"/>
        <v/>
      </c>
      <c r="J205" s="4"/>
      <c r="K205" s="4"/>
      <c r="L205" s="4"/>
      <c r="M205" s="4"/>
      <c r="N205" s="4"/>
    </row>
    <row r="206" spans="1:15" ht="1.9" customHeight="1">
      <c r="A206" s="23"/>
      <c r="B206" s="6"/>
      <c r="C206" s="6"/>
      <c r="D206" s="232"/>
      <c r="E206" s="6"/>
      <c r="F206" s="6"/>
      <c r="G206" s="6" t="str">
        <f t="shared" si="7"/>
        <v/>
      </c>
      <c r="H206" s="6"/>
      <c r="I206" s="6" t="str">
        <f t="shared" si="8"/>
        <v/>
      </c>
      <c r="J206" s="4"/>
      <c r="K206" s="4"/>
      <c r="L206" s="4"/>
      <c r="M206" s="4"/>
      <c r="N206" s="4"/>
    </row>
    <row r="207" spans="1:15" ht="1.9" customHeight="1">
      <c r="A207" s="23"/>
      <c r="B207" s="6"/>
      <c r="C207" s="6"/>
      <c r="D207" s="232"/>
      <c r="E207" s="6"/>
      <c r="F207" s="6"/>
      <c r="G207" s="6" t="str">
        <f t="shared" si="7"/>
        <v/>
      </c>
      <c r="H207" s="6"/>
      <c r="I207" s="6" t="str">
        <f t="shared" si="8"/>
        <v/>
      </c>
      <c r="J207" s="4"/>
      <c r="K207" s="4"/>
      <c r="L207" s="4"/>
      <c r="M207" s="4"/>
      <c r="N207" s="4"/>
    </row>
    <row r="208" spans="1:15" ht="1.9" customHeight="1">
      <c r="A208" s="23"/>
      <c r="B208" s="6"/>
      <c r="C208" s="6"/>
      <c r="D208" s="232"/>
      <c r="E208" s="6"/>
      <c r="F208" s="6"/>
      <c r="G208" s="6" t="str">
        <f t="shared" si="7"/>
        <v/>
      </c>
      <c r="H208" s="6"/>
      <c r="I208" s="6" t="str">
        <f t="shared" si="8"/>
        <v/>
      </c>
      <c r="J208" s="4"/>
      <c r="K208" s="4"/>
      <c r="L208" s="4"/>
      <c r="M208" s="4"/>
      <c r="N208" s="4"/>
    </row>
    <row r="209" spans="1:14" ht="1.9" customHeight="1">
      <c r="A209" s="23"/>
      <c r="B209" s="6"/>
      <c r="C209" s="6"/>
      <c r="D209" s="232"/>
      <c r="E209" s="6"/>
      <c r="F209" s="6"/>
      <c r="G209" s="6" t="str">
        <f t="shared" si="7"/>
        <v/>
      </c>
      <c r="H209" s="6"/>
      <c r="I209" s="6" t="str">
        <f t="shared" si="8"/>
        <v/>
      </c>
      <c r="J209" s="4"/>
      <c r="K209" s="4"/>
      <c r="L209" s="4"/>
      <c r="M209" s="4"/>
      <c r="N209" s="4"/>
    </row>
    <row r="210" spans="1:14" ht="1.9" customHeight="1">
      <c r="A210" s="23"/>
      <c r="B210" s="6"/>
      <c r="C210" s="6"/>
      <c r="D210" s="232"/>
      <c r="E210" s="6"/>
      <c r="F210" s="6"/>
      <c r="G210" s="6" t="str">
        <f t="shared" si="7"/>
        <v/>
      </c>
      <c r="H210" s="6"/>
      <c r="I210" s="6" t="str">
        <f t="shared" si="8"/>
        <v/>
      </c>
      <c r="J210" s="4"/>
      <c r="K210" s="4"/>
      <c r="L210" s="4"/>
      <c r="M210" s="4"/>
      <c r="N210" s="4"/>
    </row>
    <row r="211" spans="1:14" ht="1.9" customHeight="1">
      <c r="A211" s="23"/>
      <c r="B211" s="6"/>
      <c r="C211" s="6"/>
      <c r="D211" s="232"/>
      <c r="E211" s="6"/>
      <c r="F211" s="6"/>
      <c r="G211" s="6" t="str">
        <f t="shared" si="7"/>
        <v/>
      </c>
      <c r="H211" s="6"/>
      <c r="I211" s="6" t="str">
        <f t="shared" si="8"/>
        <v/>
      </c>
      <c r="J211" s="4"/>
      <c r="K211" s="4"/>
      <c r="L211" s="4"/>
      <c r="M211" s="4"/>
      <c r="N211" s="4"/>
    </row>
    <row r="212" spans="1:14" ht="1.9" customHeight="1">
      <c r="A212" s="23"/>
      <c r="B212" s="6"/>
      <c r="C212" s="6"/>
      <c r="D212" s="232"/>
      <c r="E212" s="6"/>
      <c r="F212" s="6"/>
      <c r="G212" s="6" t="str">
        <f t="shared" si="7"/>
        <v/>
      </c>
      <c r="H212" s="6"/>
      <c r="I212" s="6" t="str">
        <f t="shared" si="8"/>
        <v/>
      </c>
      <c r="J212" s="4"/>
      <c r="K212" s="4"/>
      <c r="L212" s="4"/>
      <c r="M212" s="4"/>
      <c r="N212" s="4"/>
    </row>
    <row r="213" spans="1:14" ht="1.9" customHeight="1">
      <c r="A213" s="23"/>
      <c r="B213" s="6"/>
      <c r="C213" s="6"/>
      <c r="D213" s="232"/>
      <c r="E213" s="6"/>
      <c r="F213" s="6"/>
      <c r="G213" s="6" t="str">
        <f t="shared" si="7"/>
        <v/>
      </c>
      <c r="H213" s="6"/>
      <c r="I213" s="6" t="str">
        <f t="shared" si="8"/>
        <v/>
      </c>
      <c r="J213" s="4"/>
      <c r="K213" s="4"/>
      <c r="L213" s="4"/>
      <c r="M213" s="4"/>
      <c r="N213" s="4"/>
    </row>
    <row r="214" spans="1:14" ht="1.9" customHeight="1">
      <c r="A214" s="23"/>
      <c r="B214" s="6"/>
      <c r="C214" s="6"/>
      <c r="D214" s="232"/>
      <c r="E214" s="6"/>
      <c r="F214" s="6"/>
      <c r="G214" s="6" t="str">
        <f t="shared" si="7"/>
        <v/>
      </c>
      <c r="H214" s="6"/>
      <c r="I214" s="6" t="str">
        <f t="shared" si="8"/>
        <v/>
      </c>
      <c r="J214" s="4"/>
      <c r="K214" s="4"/>
      <c r="L214" s="4"/>
      <c r="M214" s="4"/>
      <c r="N214" s="4"/>
    </row>
    <row r="215" spans="1:14" ht="1.9" customHeight="1">
      <c r="A215" s="23"/>
      <c r="B215" s="6"/>
      <c r="C215" s="6"/>
      <c r="D215" s="232"/>
      <c r="E215" s="6"/>
      <c r="F215" s="6"/>
      <c r="G215" s="6" t="str">
        <f t="shared" si="7"/>
        <v/>
      </c>
      <c r="H215" s="6"/>
      <c r="I215" s="6" t="str">
        <f t="shared" si="8"/>
        <v/>
      </c>
      <c r="J215" s="4"/>
      <c r="K215" s="4"/>
      <c r="L215" s="4"/>
      <c r="M215" s="4"/>
      <c r="N215" s="4"/>
    </row>
    <row r="216" spans="1:14" ht="1.9" customHeight="1">
      <c r="A216" s="23"/>
      <c r="B216" s="6"/>
      <c r="C216" s="6"/>
      <c r="D216" s="232"/>
      <c r="E216" s="6"/>
      <c r="F216" s="6"/>
      <c r="G216" s="6" t="str">
        <f t="shared" si="7"/>
        <v/>
      </c>
      <c r="H216" s="6"/>
      <c r="I216" s="6" t="str">
        <f t="shared" si="8"/>
        <v/>
      </c>
      <c r="J216" s="4"/>
      <c r="K216" s="4"/>
      <c r="L216" s="4"/>
      <c r="M216" s="4"/>
      <c r="N216" s="4"/>
    </row>
    <row r="217" spans="1:14" ht="1.9" customHeight="1">
      <c r="A217" s="23"/>
      <c r="B217" s="6"/>
      <c r="C217" s="6"/>
      <c r="D217" s="232"/>
      <c r="E217" s="6"/>
      <c r="F217" s="6"/>
      <c r="G217" s="6" t="str">
        <f t="shared" si="7"/>
        <v/>
      </c>
      <c r="H217" s="6"/>
      <c r="I217" s="6" t="str">
        <f t="shared" si="8"/>
        <v/>
      </c>
      <c r="J217" s="4"/>
      <c r="K217" s="4"/>
      <c r="L217" s="4"/>
      <c r="M217" s="4"/>
      <c r="N217" s="4"/>
    </row>
    <row r="218" spans="1:14" ht="1.9" customHeight="1">
      <c r="A218" s="23"/>
      <c r="B218" s="6"/>
      <c r="C218" s="6"/>
      <c r="D218" s="232"/>
      <c r="E218" s="6"/>
      <c r="F218" s="6"/>
      <c r="G218" s="6" t="str">
        <f t="shared" si="7"/>
        <v/>
      </c>
      <c r="H218" s="6"/>
      <c r="I218" s="6" t="str">
        <f t="shared" si="8"/>
        <v/>
      </c>
      <c r="J218" s="4"/>
      <c r="K218" s="4"/>
      <c r="L218" s="4"/>
      <c r="M218" s="4"/>
      <c r="N218" s="4"/>
    </row>
    <row r="219" spans="1:14" ht="1.9" customHeight="1">
      <c r="A219" s="23"/>
      <c r="B219" s="6"/>
      <c r="C219" s="6"/>
      <c r="D219" s="232"/>
      <c r="E219" s="6"/>
      <c r="F219" s="6"/>
      <c r="G219" s="6" t="str">
        <f t="shared" si="7"/>
        <v/>
      </c>
      <c r="H219" s="6"/>
      <c r="I219" s="6" t="str">
        <f t="shared" si="8"/>
        <v/>
      </c>
      <c r="J219" s="4"/>
      <c r="K219" s="4"/>
      <c r="L219" s="4"/>
      <c r="M219" s="4"/>
      <c r="N219" s="4"/>
    </row>
    <row r="220" spans="1:14" ht="1.9" customHeight="1">
      <c r="A220" s="23"/>
      <c r="B220" s="6"/>
      <c r="C220" s="6"/>
      <c r="D220" s="232"/>
      <c r="E220" s="6"/>
      <c r="F220" s="6"/>
      <c r="G220" s="6" t="str">
        <f t="shared" si="7"/>
        <v/>
      </c>
      <c r="H220" s="6"/>
      <c r="I220" s="6" t="str">
        <f t="shared" si="8"/>
        <v/>
      </c>
      <c r="J220" s="4"/>
      <c r="K220" s="4"/>
      <c r="L220" s="4"/>
      <c r="M220" s="4"/>
      <c r="N220" s="4"/>
    </row>
    <row r="221" spans="1:14" ht="1.9" customHeight="1">
      <c r="A221" s="23"/>
      <c r="B221" s="6"/>
      <c r="C221" s="6"/>
      <c r="D221" s="232"/>
      <c r="E221" s="6"/>
      <c r="F221" s="6"/>
      <c r="G221" s="6" t="str">
        <f t="shared" si="7"/>
        <v/>
      </c>
      <c r="H221" s="6"/>
      <c r="I221" s="6" t="str">
        <f t="shared" si="8"/>
        <v/>
      </c>
      <c r="J221" s="4"/>
      <c r="K221" s="4"/>
      <c r="L221" s="4"/>
      <c r="M221" s="4"/>
      <c r="N221" s="4"/>
    </row>
    <row r="222" spans="1:14" ht="1.9" customHeight="1">
      <c r="A222" s="23"/>
      <c r="B222" s="6"/>
      <c r="C222" s="6"/>
      <c r="D222" s="232"/>
      <c r="E222" s="6"/>
      <c r="F222" s="6"/>
      <c r="G222" s="6" t="str">
        <f t="shared" si="7"/>
        <v/>
      </c>
      <c r="H222" s="6"/>
      <c r="I222" s="6" t="str">
        <f t="shared" si="8"/>
        <v/>
      </c>
      <c r="J222" s="4"/>
      <c r="K222" s="4"/>
      <c r="L222" s="4"/>
      <c r="M222" s="4"/>
      <c r="N222" s="4"/>
    </row>
    <row r="223" spans="1:14" ht="1.9" customHeight="1">
      <c r="A223" s="23"/>
      <c r="B223" s="6"/>
      <c r="C223" s="6"/>
      <c r="D223" s="232"/>
      <c r="E223" s="6"/>
      <c r="F223" s="6"/>
      <c r="G223" s="6" t="str">
        <f t="shared" si="7"/>
        <v/>
      </c>
      <c r="H223" s="6"/>
      <c r="I223" s="6" t="str">
        <f t="shared" si="8"/>
        <v/>
      </c>
      <c r="J223" s="4"/>
      <c r="K223" s="4"/>
      <c r="L223" s="4"/>
      <c r="M223" s="4"/>
      <c r="N223" s="4"/>
    </row>
    <row r="224" spans="1:14" ht="1.9" customHeight="1">
      <c r="A224" s="23"/>
      <c r="B224" s="6"/>
      <c r="C224" s="6"/>
      <c r="D224" s="232"/>
      <c r="E224" s="6"/>
      <c r="F224" s="6"/>
      <c r="G224" s="6" t="str">
        <f t="shared" si="7"/>
        <v/>
      </c>
      <c r="H224" s="6"/>
      <c r="I224" s="6" t="str">
        <f t="shared" si="8"/>
        <v/>
      </c>
      <c r="J224" s="4"/>
      <c r="K224" s="4"/>
      <c r="L224" s="4"/>
      <c r="M224" s="4"/>
      <c r="N224" s="4"/>
    </row>
    <row r="225" spans="1:14" ht="1.9" customHeight="1">
      <c r="A225" s="23"/>
      <c r="B225" s="6"/>
      <c r="C225" s="6"/>
      <c r="D225" s="232"/>
      <c r="E225" s="6"/>
      <c r="F225" s="6"/>
      <c r="G225" s="6" t="str">
        <f t="shared" si="7"/>
        <v/>
      </c>
      <c r="H225" s="6"/>
      <c r="I225" s="6" t="str">
        <f t="shared" si="8"/>
        <v/>
      </c>
      <c r="J225" s="4"/>
      <c r="K225" s="4"/>
      <c r="L225" s="4"/>
      <c r="M225" s="4"/>
      <c r="N225" s="4"/>
    </row>
    <row r="226" spans="1:14" ht="1.9" customHeight="1">
      <c r="A226" s="23"/>
      <c r="B226" s="6"/>
      <c r="C226" s="6"/>
      <c r="D226" s="232"/>
      <c r="E226" s="6"/>
      <c r="F226" s="6"/>
      <c r="G226" s="6" t="str">
        <f t="shared" si="7"/>
        <v/>
      </c>
      <c r="H226" s="6"/>
      <c r="I226" s="6" t="str">
        <f t="shared" si="8"/>
        <v/>
      </c>
      <c r="J226" s="4"/>
      <c r="K226" s="4"/>
      <c r="L226" s="4"/>
      <c r="M226" s="4"/>
      <c r="N226" s="4"/>
    </row>
    <row r="227" spans="1:14" ht="1.9" customHeight="1">
      <c r="A227" s="23"/>
      <c r="B227" s="6"/>
      <c r="C227" s="6"/>
      <c r="D227" s="232"/>
      <c r="E227" s="6"/>
      <c r="F227" s="6"/>
      <c r="G227" s="6" t="str">
        <f t="shared" si="7"/>
        <v/>
      </c>
      <c r="H227" s="6"/>
      <c r="I227" s="6" t="str">
        <f t="shared" si="8"/>
        <v/>
      </c>
      <c r="J227" s="4"/>
      <c r="K227" s="4"/>
      <c r="L227" s="4"/>
      <c r="M227" s="4"/>
      <c r="N227" s="4"/>
    </row>
    <row r="228" spans="1:14" ht="1.9" customHeight="1">
      <c r="A228" s="23"/>
      <c r="B228" s="6"/>
      <c r="C228" s="6"/>
      <c r="D228" s="232"/>
      <c r="E228" s="6"/>
      <c r="F228" s="6"/>
      <c r="G228" s="6" t="str">
        <f t="shared" si="7"/>
        <v/>
      </c>
      <c r="H228" s="6"/>
      <c r="I228" s="6" t="str">
        <f t="shared" si="8"/>
        <v/>
      </c>
      <c r="J228" s="4"/>
      <c r="K228" s="4"/>
      <c r="L228" s="4"/>
      <c r="M228" s="4"/>
      <c r="N228" s="4"/>
    </row>
    <row r="229" spans="1:14" ht="1.9" customHeight="1">
      <c r="A229" s="23"/>
      <c r="B229" s="6"/>
      <c r="C229" s="6"/>
      <c r="D229" s="232"/>
      <c r="E229" s="6"/>
      <c r="F229" s="6"/>
      <c r="G229" s="6" t="str">
        <f t="shared" si="7"/>
        <v/>
      </c>
      <c r="H229" s="6"/>
      <c r="I229" s="6" t="str">
        <f t="shared" si="8"/>
        <v/>
      </c>
      <c r="J229" s="4"/>
      <c r="K229" s="4"/>
      <c r="L229" s="4"/>
      <c r="M229" s="4"/>
      <c r="N229" s="4"/>
    </row>
    <row r="230" spans="1:14" ht="1.9" customHeight="1">
      <c r="A230" s="23"/>
      <c r="B230" s="6"/>
      <c r="C230" s="6"/>
      <c r="D230" s="232"/>
      <c r="E230" s="6"/>
      <c r="F230" s="6"/>
      <c r="G230" s="6" t="str">
        <f t="shared" si="7"/>
        <v/>
      </c>
      <c r="H230" s="6"/>
      <c r="I230" s="6" t="str">
        <f t="shared" si="8"/>
        <v/>
      </c>
      <c r="J230" s="4"/>
      <c r="K230" s="4"/>
      <c r="L230" s="4"/>
      <c r="M230" s="4"/>
      <c r="N230" s="4"/>
    </row>
    <row r="231" spans="1:14" ht="1.9" customHeight="1">
      <c r="A231" s="23"/>
      <c r="B231" s="6"/>
      <c r="C231" s="6"/>
      <c r="D231" s="232"/>
      <c r="E231" s="6"/>
      <c r="F231" s="6"/>
      <c r="G231" s="6" t="str">
        <f t="shared" si="7"/>
        <v/>
      </c>
      <c r="H231" s="6"/>
      <c r="I231" s="6" t="str">
        <f t="shared" si="8"/>
        <v/>
      </c>
      <c r="J231" s="4"/>
      <c r="K231" s="4"/>
      <c r="L231" s="4"/>
      <c r="M231" s="4"/>
      <c r="N231" s="4"/>
    </row>
    <row r="232" spans="1:14" ht="1.9" customHeight="1">
      <c r="A232" s="23"/>
      <c r="B232" s="6"/>
      <c r="C232" s="6"/>
      <c r="D232" s="232"/>
      <c r="E232" s="6"/>
      <c r="F232" s="6"/>
      <c r="G232" s="6" t="str">
        <f t="shared" si="7"/>
        <v/>
      </c>
      <c r="H232" s="6"/>
      <c r="I232" s="6" t="str">
        <f t="shared" si="8"/>
        <v/>
      </c>
      <c r="J232" s="4"/>
      <c r="K232" s="4"/>
      <c r="L232" s="4"/>
      <c r="M232" s="4"/>
      <c r="N232" s="4"/>
    </row>
    <row r="233" spans="1:14" ht="1.9" customHeight="1">
      <c r="A233" s="23"/>
      <c r="B233" s="6"/>
      <c r="C233" s="6"/>
      <c r="D233" s="232"/>
      <c r="E233" s="6"/>
      <c r="F233" s="6"/>
      <c r="G233" s="6" t="str">
        <f t="shared" si="7"/>
        <v/>
      </c>
      <c r="H233" s="6"/>
      <c r="I233" s="6" t="str">
        <f t="shared" si="8"/>
        <v/>
      </c>
      <c r="J233" s="4"/>
      <c r="K233" s="4"/>
      <c r="L233" s="4"/>
      <c r="M233" s="4"/>
      <c r="N233" s="4"/>
    </row>
    <row r="234" spans="1:14" ht="1.9" customHeight="1">
      <c r="A234" s="23"/>
      <c r="B234" s="6"/>
      <c r="C234" s="6"/>
      <c r="D234" s="232"/>
      <c r="E234" s="6"/>
      <c r="F234" s="6"/>
      <c r="G234" s="6" t="str">
        <f t="shared" si="7"/>
        <v/>
      </c>
      <c r="H234" s="6"/>
      <c r="I234" s="6" t="str">
        <f t="shared" si="8"/>
        <v/>
      </c>
      <c r="J234" s="4"/>
      <c r="K234" s="4"/>
      <c r="L234" s="4"/>
      <c r="M234" s="4"/>
      <c r="N234" s="4"/>
    </row>
    <row r="235" spans="1:14" ht="1.9" customHeight="1">
      <c r="A235" s="23"/>
      <c r="B235" s="6"/>
      <c r="C235" s="6"/>
      <c r="D235" s="232"/>
      <c r="E235" s="6"/>
      <c r="F235" s="6"/>
      <c r="G235" s="6" t="str">
        <f t="shared" si="7"/>
        <v/>
      </c>
      <c r="H235" s="6"/>
      <c r="I235" s="6" t="str">
        <f t="shared" si="8"/>
        <v/>
      </c>
      <c r="J235" s="4"/>
      <c r="K235" s="4"/>
      <c r="L235" s="4"/>
      <c r="M235" s="4"/>
      <c r="N235" s="4"/>
    </row>
    <row r="236" spans="1:14" ht="1.9" customHeight="1">
      <c r="A236" s="23"/>
      <c r="B236" s="6"/>
      <c r="C236" s="6"/>
      <c r="D236" s="232"/>
      <c r="E236" s="6"/>
      <c r="F236" s="6"/>
      <c r="G236" s="6" t="str">
        <f t="shared" si="7"/>
        <v/>
      </c>
      <c r="H236" s="6"/>
      <c r="I236" s="6" t="str">
        <f t="shared" si="8"/>
        <v/>
      </c>
      <c r="J236" s="4"/>
      <c r="K236" s="4"/>
      <c r="L236" s="4"/>
      <c r="M236" s="4"/>
      <c r="N236" s="4"/>
    </row>
    <row r="237" spans="1:14" ht="1.9" customHeight="1">
      <c r="A237" s="23"/>
      <c r="B237" s="6"/>
      <c r="C237" s="6"/>
      <c r="D237" s="232"/>
      <c r="E237" s="6"/>
      <c r="F237" s="6"/>
      <c r="G237" s="6" t="str">
        <f t="shared" si="7"/>
        <v/>
      </c>
      <c r="H237" s="6"/>
      <c r="I237" s="6" t="str">
        <f t="shared" si="8"/>
        <v/>
      </c>
      <c r="J237" s="4"/>
      <c r="K237" s="4"/>
      <c r="L237" s="4"/>
      <c r="M237" s="4"/>
      <c r="N237" s="4"/>
    </row>
    <row r="238" spans="1:14" ht="1.9" customHeight="1">
      <c r="A238" s="23"/>
      <c r="B238" s="6"/>
      <c r="C238" s="6"/>
      <c r="D238" s="232"/>
      <c r="E238" s="6"/>
      <c r="F238" s="6"/>
      <c r="G238" s="6" t="str">
        <f t="shared" si="7"/>
        <v/>
      </c>
      <c r="H238" s="6"/>
      <c r="I238" s="6" t="str">
        <f t="shared" si="8"/>
        <v/>
      </c>
      <c r="J238" s="4"/>
      <c r="K238" s="4"/>
      <c r="L238" s="4"/>
      <c r="M238" s="4"/>
      <c r="N238" s="4"/>
    </row>
    <row r="239" spans="1:14" ht="1.9" customHeight="1">
      <c r="A239" s="23"/>
      <c r="B239" s="6"/>
      <c r="C239" s="6"/>
      <c r="D239" s="232"/>
      <c r="E239" s="6"/>
      <c r="F239" s="6"/>
      <c r="G239" s="6" t="str">
        <f t="shared" si="7"/>
        <v/>
      </c>
      <c r="H239" s="6"/>
      <c r="I239" s="6" t="str">
        <f t="shared" si="8"/>
        <v/>
      </c>
      <c r="J239" s="4"/>
      <c r="K239" s="4"/>
      <c r="L239" s="4"/>
      <c r="M239" s="4"/>
      <c r="N239" s="4"/>
    </row>
    <row r="240" spans="1:14" ht="1.9" customHeight="1">
      <c r="A240" s="23"/>
      <c r="B240" s="6"/>
      <c r="C240" s="6"/>
      <c r="D240" s="232"/>
      <c r="E240" s="6"/>
      <c r="F240" s="6"/>
      <c r="G240" s="6" t="str">
        <f t="shared" si="7"/>
        <v/>
      </c>
      <c r="H240" s="6"/>
      <c r="I240" s="6" t="str">
        <f t="shared" si="8"/>
        <v/>
      </c>
      <c r="J240" s="4"/>
      <c r="K240" s="4"/>
      <c r="L240" s="4"/>
      <c r="M240" s="4"/>
      <c r="N240" s="4"/>
    </row>
    <row r="241" spans="1:14" ht="1.9" customHeight="1">
      <c r="A241" s="23"/>
      <c r="B241" s="6"/>
      <c r="C241" s="6"/>
      <c r="D241" s="232"/>
      <c r="E241" s="6"/>
      <c r="F241" s="6"/>
      <c r="G241" s="6" t="str">
        <f t="shared" si="7"/>
        <v/>
      </c>
      <c r="H241" s="6"/>
      <c r="I241" s="6" t="str">
        <f t="shared" si="8"/>
        <v/>
      </c>
      <c r="J241" s="4"/>
      <c r="K241" s="4"/>
      <c r="L241" s="4"/>
      <c r="M241" s="4"/>
      <c r="N241" s="4"/>
    </row>
    <row r="242" spans="1:14" ht="1.9" customHeight="1">
      <c r="A242" s="23"/>
      <c r="B242" s="6"/>
      <c r="C242" s="6"/>
      <c r="D242" s="232"/>
      <c r="E242" s="6"/>
      <c r="F242" s="6"/>
      <c r="G242" s="6" t="str">
        <f t="shared" si="7"/>
        <v/>
      </c>
      <c r="H242" s="6"/>
      <c r="I242" s="6" t="str">
        <f t="shared" si="8"/>
        <v/>
      </c>
      <c r="J242" s="4"/>
      <c r="K242" s="4"/>
      <c r="L242" s="4"/>
      <c r="M242" s="4"/>
      <c r="N242" s="4"/>
    </row>
    <row r="243" spans="1:14" ht="1.9" customHeight="1">
      <c r="A243" s="23"/>
      <c r="B243" s="6"/>
      <c r="C243" s="6"/>
      <c r="D243" s="232"/>
      <c r="E243" s="6"/>
      <c r="F243" s="6"/>
      <c r="G243" s="6" t="str">
        <f t="shared" si="7"/>
        <v/>
      </c>
      <c r="H243" s="6"/>
      <c r="I243" s="6" t="str">
        <f t="shared" si="8"/>
        <v/>
      </c>
      <c r="J243" s="4"/>
      <c r="K243" s="4"/>
      <c r="L243" s="4"/>
      <c r="M243" s="4"/>
      <c r="N243" s="4"/>
    </row>
    <row r="244" spans="1:14" ht="1.9" customHeight="1">
      <c r="A244" s="23"/>
      <c r="B244" s="6"/>
      <c r="C244" s="6"/>
      <c r="D244" s="232"/>
      <c r="E244" s="6"/>
      <c r="F244" s="6"/>
      <c r="G244" s="6" t="str">
        <f t="shared" si="7"/>
        <v/>
      </c>
      <c r="H244" s="6"/>
      <c r="I244" s="6" t="str">
        <f t="shared" si="8"/>
        <v/>
      </c>
      <c r="J244" s="4"/>
      <c r="K244" s="4"/>
      <c r="L244" s="4"/>
      <c r="M244" s="4"/>
      <c r="N244" s="4"/>
    </row>
    <row r="245" spans="1:14" ht="1.9" customHeight="1">
      <c r="A245" s="23"/>
      <c r="B245" s="6"/>
      <c r="C245" s="6"/>
      <c r="D245" s="232"/>
      <c r="E245" s="6"/>
      <c r="F245" s="6"/>
      <c r="G245" s="6" t="str">
        <f t="shared" si="7"/>
        <v/>
      </c>
      <c r="H245" s="6"/>
      <c r="I245" s="6" t="str">
        <f t="shared" si="8"/>
        <v/>
      </c>
      <c r="J245" s="4"/>
      <c r="K245" s="4"/>
      <c r="L245" s="4"/>
      <c r="M245" s="4"/>
      <c r="N245" s="4"/>
    </row>
    <row r="246" spans="1:14" ht="1.9" customHeight="1">
      <c r="A246" s="23"/>
      <c r="B246" s="6"/>
      <c r="C246" s="6"/>
      <c r="D246" s="232"/>
      <c r="E246" s="6"/>
      <c r="F246" s="6"/>
      <c r="G246" s="6" t="str">
        <f t="shared" si="7"/>
        <v/>
      </c>
      <c r="H246" s="6"/>
      <c r="I246" s="6" t="str">
        <f t="shared" si="8"/>
        <v/>
      </c>
      <c r="J246" s="4"/>
      <c r="K246" s="4"/>
      <c r="L246" s="4"/>
      <c r="M246" s="4"/>
      <c r="N246" s="4"/>
    </row>
    <row r="247" spans="1:14" ht="1.9" customHeight="1">
      <c r="A247" s="23"/>
      <c r="B247" s="6"/>
      <c r="C247" s="6"/>
      <c r="D247" s="232"/>
      <c r="E247" s="6"/>
      <c r="F247" s="6"/>
      <c r="G247" s="6" t="str">
        <f t="shared" si="7"/>
        <v/>
      </c>
      <c r="H247" s="6"/>
      <c r="I247" s="6" t="str">
        <f t="shared" si="8"/>
        <v/>
      </c>
      <c r="J247" s="4"/>
      <c r="K247" s="4"/>
      <c r="L247" s="4"/>
      <c r="M247" s="4"/>
      <c r="N247" s="4"/>
    </row>
    <row r="248" spans="1:14" ht="1.9" customHeight="1">
      <c r="A248" s="23"/>
      <c r="B248" s="6"/>
      <c r="C248" s="6"/>
      <c r="D248" s="232"/>
      <c r="E248" s="6"/>
      <c r="F248" s="6"/>
      <c r="G248" s="6" t="str">
        <f t="shared" si="7"/>
        <v/>
      </c>
      <c r="H248" s="6"/>
      <c r="I248" s="6" t="str">
        <f t="shared" si="8"/>
        <v/>
      </c>
      <c r="J248" s="4"/>
      <c r="K248" s="4"/>
      <c r="L248" s="4"/>
      <c r="M248" s="4"/>
      <c r="N248" s="4"/>
    </row>
    <row r="249" spans="1:14" ht="1.9" customHeight="1">
      <c r="A249" s="23"/>
      <c r="B249" s="6"/>
      <c r="C249" s="6"/>
      <c r="D249" s="232"/>
      <c r="E249" s="6"/>
      <c r="F249" s="6"/>
      <c r="G249" s="6" t="str">
        <f t="shared" si="7"/>
        <v/>
      </c>
      <c r="H249" s="6"/>
      <c r="I249" s="6" t="str">
        <f t="shared" si="8"/>
        <v/>
      </c>
      <c r="J249" s="4"/>
      <c r="K249" s="4"/>
      <c r="L249" s="4"/>
      <c r="M249" s="4"/>
      <c r="N249" s="4"/>
    </row>
    <row r="250" spans="1:14" ht="1.9" customHeight="1">
      <c r="A250" s="23"/>
      <c r="B250" s="6"/>
      <c r="C250" s="6"/>
      <c r="D250" s="232"/>
      <c r="E250" s="6"/>
      <c r="F250" s="6"/>
      <c r="G250" s="6" t="str">
        <f t="shared" si="7"/>
        <v/>
      </c>
      <c r="H250" s="6"/>
      <c r="I250" s="6" t="str">
        <f t="shared" si="8"/>
        <v/>
      </c>
      <c r="J250" s="4"/>
      <c r="K250" s="4"/>
      <c r="L250" s="4"/>
      <c r="M250" s="4"/>
      <c r="N250" s="4"/>
    </row>
    <row r="251" spans="1:14" ht="1.9" customHeight="1">
      <c r="A251" s="23"/>
      <c r="B251" s="6"/>
      <c r="C251" s="6"/>
      <c r="D251" s="232"/>
      <c r="E251" s="6"/>
      <c r="F251" s="6"/>
      <c r="G251" s="6" t="str">
        <f t="shared" si="7"/>
        <v/>
      </c>
      <c r="H251" s="6"/>
      <c r="I251" s="6" t="str">
        <f t="shared" si="8"/>
        <v/>
      </c>
      <c r="J251" s="4"/>
      <c r="K251" s="4"/>
      <c r="L251" s="4"/>
      <c r="M251" s="4"/>
      <c r="N251" s="4"/>
    </row>
    <row r="252" spans="1:14" ht="1.9" customHeight="1">
      <c r="A252" s="23"/>
      <c r="B252" s="6"/>
      <c r="C252" s="6"/>
      <c r="D252" s="232"/>
      <c r="E252" s="6"/>
      <c r="F252" s="6"/>
      <c r="G252" s="6" t="str">
        <f t="shared" si="7"/>
        <v/>
      </c>
      <c r="H252" s="6"/>
      <c r="I252" s="6" t="str">
        <f t="shared" si="8"/>
        <v/>
      </c>
      <c r="J252" s="4"/>
      <c r="K252" s="4"/>
      <c r="L252" s="4"/>
      <c r="M252" s="4"/>
      <c r="N252" s="4"/>
    </row>
    <row r="253" spans="1:14" ht="1.9" customHeight="1">
      <c r="A253" s="23"/>
      <c r="B253" s="6"/>
      <c r="C253" s="6"/>
      <c r="D253" s="232"/>
      <c r="E253" s="6"/>
      <c r="F253" s="6"/>
      <c r="G253" s="6" t="str">
        <f t="shared" si="7"/>
        <v/>
      </c>
      <c r="H253" s="6"/>
      <c r="I253" s="6" t="str">
        <f t="shared" si="8"/>
        <v/>
      </c>
      <c r="J253" s="4"/>
      <c r="K253" s="4"/>
      <c r="L253" s="4"/>
      <c r="M253" s="4"/>
      <c r="N253" s="4"/>
    </row>
    <row r="254" spans="1:14" ht="1.9" customHeight="1">
      <c r="A254" s="23"/>
      <c r="B254" s="6"/>
      <c r="C254" s="6"/>
      <c r="D254" s="232"/>
      <c r="E254" s="6"/>
      <c r="F254" s="6"/>
      <c r="G254" s="6" t="str">
        <f t="shared" si="7"/>
        <v/>
      </c>
      <c r="H254" s="6"/>
      <c r="I254" s="6" t="str">
        <f t="shared" si="8"/>
        <v/>
      </c>
      <c r="J254" s="4"/>
      <c r="K254" s="4"/>
      <c r="L254" s="4"/>
      <c r="M254" s="4"/>
      <c r="N254" s="4"/>
    </row>
    <row r="255" spans="1:14" ht="1.9" customHeight="1">
      <c r="A255" s="23"/>
      <c r="B255" s="6"/>
      <c r="C255" s="6"/>
      <c r="D255" s="232"/>
      <c r="E255" s="6"/>
      <c r="F255" s="6"/>
      <c r="G255" s="6" t="str">
        <f t="shared" si="7"/>
        <v/>
      </c>
      <c r="H255" s="6"/>
      <c r="I255" s="6" t="str">
        <f t="shared" si="8"/>
        <v/>
      </c>
      <c r="J255" s="4"/>
      <c r="K255" s="4"/>
      <c r="L255" s="4"/>
      <c r="M255" s="4"/>
      <c r="N255" s="4"/>
    </row>
    <row r="256" spans="1:14" ht="1.9" customHeight="1">
      <c r="A256" s="23"/>
      <c r="B256" s="6"/>
      <c r="C256" s="6"/>
      <c r="D256" s="232"/>
      <c r="E256" s="6"/>
      <c r="F256" s="6"/>
      <c r="G256" s="6" t="str">
        <f t="shared" si="7"/>
        <v/>
      </c>
      <c r="H256" s="6"/>
      <c r="I256" s="6" t="str">
        <f t="shared" si="8"/>
        <v/>
      </c>
      <c r="J256" s="4"/>
      <c r="K256" s="4"/>
      <c r="L256" s="4"/>
      <c r="M256" s="4"/>
      <c r="N256" s="4"/>
    </row>
    <row r="257" spans="1:14" ht="1.9" customHeight="1">
      <c r="A257" s="23"/>
      <c r="B257" s="6"/>
      <c r="C257" s="6"/>
      <c r="D257" s="232"/>
      <c r="E257" s="6"/>
      <c r="F257" s="6"/>
      <c r="G257" s="6" t="str">
        <f t="shared" si="7"/>
        <v/>
      </c>
      <c r="H257" s="6"/>
      <c r="I257" s="6" t="str">
        <f t="shared" si="8"/>
        <v/>
      </c>
      <c r="J257" s="4"/>
      <c r="K257" s="4"/>
      <c r="L257" s="4"/>
      <c r="M257" s="4"/>
      <c r="N257" s="4"/>
    </row>
    <row r="258" spans="1:14" ht="1.9" customHeight="1">
      <c r="A258" s="23"/>
      <c r="B258" s="6"/>
      <c r="C258" s="6"/>
      <c r="D258" s="232"/>
      <c r="E258" s="6"/>
      <c r="F258" s="6"/>
      <c r="G258" s="6" t="str">
        <f t="shared" si="7"/>
        <v/>
      </c>
      <c r="H258" s="6"/>
      <c r="I258" s="6" t="str">
        <f t="shared" si="8"/>
        <v/>
      </c>
      <c r="J258" s="4"/>
      <c r="K258" s="4"/>
      <c r="L258" s="4"/>
      <c r="M258" s="4"/>
      <c r="N258" s="4"/>
    </row>
    <row r="259" spans="1:14" ht="1.9" customHeight="1">
      <c r="A259" s="23"/>
      <c r="B259" s="6"/>
      <c r="C259" s="6"/>
      <c r="D259" s="232"/>
      <c r="E259" s="6"/>
      <c r="F259" s="6"/>
      <c r="G259" s="6" t="str">
        <f t="shared" si="7"/>
        <v/>
      </c>
      <c r="H259" s="6"/>
      <c r="I259" s="6" t="str">
        <f t="shared" si="8"/>
        <v/>
      </c>
      <c r="J259" s="4"/>
      <c r="K259" s="4"/>
      <c r="L259" s="4"/>
      <c r="M259" s="4"/>
      <c r="N259" s="4"/>
    </row>
    <row r="260" spans="1:14" ht="1.9" customHeight="1">
      <c r="A260" s="23"/>
      <c r="B260" s="6"/>
      <c r="C260" s="6"/>
      <c r="D260" s="232"/>
      <c r="E260" s="6"/>
      <c r="F260" s="6"/>
      <c r="G260" s="6" t="str">
        <f t="shared" si="7"/>
        <v/>
      </c>
      <c r="H260" s="6"/>
      <c r="I260" s="6" t="str">
        <f t="shared" si="8"/>
        <v/>
      </c>
      <c r="J260" s="4"/>
      <c r="K260" s="4"/>
      <c r="L260" s="4"/>
      <c r="M260" s="4"/>
      <c r="N260" s="4"/>
    </row>
    <row r="261" spans="1:14" ht="1.9" customHeight="1">
      <c r="A261" s="23"/>
      <c r="B261" s="6"/>
      <c r="C261" s="6"/>
      <c r="D261" s="232"/>
      <c r="E261" s="6"/>
      <c r="F261" s="6"/>
      <c r="G261" s="6" t="str">
        <f t="shared" ref="G261:G324" si="9">IF(A261="","", "Semana "&amp;(WEEKNUM(A261,2)-WEEKNUM(DATE(YEAR(A261),MONTH(A261),1),2)+1))</f>
        <v/>
      </c>
      <c r="H261" s="6"/>
      <c r="I261" s="6" t="str">
        <f t="shared" ref="I261:I324" si="10">IF(A261="","",IF(MONTH(A261)=5,"mayo",IF(MONTH(A261)=4,"abril",TEXT(A261,"mmmm"))))</f>
        <v/>
      </c>
      <c r="J261" s="4"/>
      <c r="K261" s="4"/>
      <c r="L261" s="4"/>
      <c r="M261" s="4"/>
      <c r="N261" s="4"/>
    </row>
    <row r="262" spans="1:14" ht="1.9" customHeight="1">
      <c r="A262" s="23"/>
      <c r="B262" s="6"/>
      <c r="C262" s="6"/>
      <c r="D262" s="232"/>
      <c r="E262" s="6"/>
      <c r="F262" s="6"/>
      <c r="G262" s="6" t="str">
        <f t="shared" si="9"/>
        <v/>
      </c>
      <c r="H262" s="6"/>
      <c r="I262" s="6" t="str">
        <f t="shared" si="10"/>
        <v/>
      </c>
      <c r="J262" s="4"/>
      <c r="K262" s="4"/>
      <c r="L262" s="4"/>
      <c r="M262" s="4"/>
      <c r="N262" s="4"/>
    </row>
    <row r="263" spans="1:14" ht="1.9" customHeight="1">
      <c r="A263" s="23"/>
      <c r="B263" s="6"/>
      <c r="C263" s="6"/>
      <c r="D263" s="232"/>
      <c r="E263" s="6"/>
      <c r="F263" s="6"/>
      <c r="G263" s="6" t="str">
        <f t="shared" si="9"/>
        <v/>
      </c>
      <c r="H263" s="6"/>
      <c r="I263" s="6" t="str">
        <f t="shared" si="10"/>
        <v/>
      </c>
      <c r="J263" s="4"/>
      <c r="K263" s="4"/>
      <c r="L263" s="4"/>
      <c r="M263" s="4"/>
      <c r="N263" s="4"/>
    </row>
    <row r="264" spans="1:14" ht="1.9" customHeight="1">
      <c r="A264" s="23"/>
      <c r="B264" s="6"/>
      <c r="C264" s="6"/>
      <c r="D264" s="232"/>
      <c r="E264" s="6"/>
      <c r="F264" s="6"/>
      <c r="G264" s="6" t="str">
        <f t="shared" si="9"/>
        <v/>
      </c>
      <c r="H264" s="6"/>
      <c r="I264" s="6" t="str">
        <f t="shared" si="10"/>
        <v/>
      </c>
      <c r="J264" s="4"/>
      <c r="K264" s="4"/>
      <c r="L264" s="4"/>
      <c r="M264" s="4"/>
      <c r="N264" s="4"/>
    </row>
    <row r="265" spans="1:14" ht="1.9" customHeight="1">
      <c r="A265" s="23"/>
      <c r="B265" s="6"/>
      <c r="C265" s="6"/>
      <c r="D265" s="232"/>
      <c r="E265" s="6"/>
      <c r="F265" s="6"/>
      <c r="G265" s="6" t="str">
        <f t="shared" si="9"/>
        <v/>
      </c>
      <c r="H265" s="6"/>
      <c r="I265" s="6" t="str">
        <f t="shared" si="10"/>
        <v/>
      </c>
      <c r="J265" s="4"/>
      <c r="K265" s="4"/>
      <c r="L265" s="4"/>
      <c r="M265" s="4"/>
      <c r="N265" s="4"/>
    </row>
    <row r="266" spans="1:14" ht="1.9" customHeight="1">
      <c r="A266" s="23"/>
      <c r="B266" s="6"/>
      <c r="C266" s="6"/>
      <c r="D266" s="232"/>
      <c r="E266" s="6"/>
      <c r="F266" s="6"/>
      <c r="G266" s="6" t="str">
        <f t="shared" si="9"/>
        <v/>
      </c>
      <c r="H266" s="6"/>
      <c r="I266" s="6" t="str">
        <f t="shared" si="10"/>
        <v/>
      </c>
      <c r="J266" s="4"/>
      <c r="K266" s="4"/>
      <c r="L266" s="4"/>
      <c r="M266" s="4"/>
      <c r="N266" s="4"/>
    </row>
    <row r="267" spans="1:14" ht="1.9" customHeight="1">
      <c r="A267" s="23"/>
      <c r="B267" s="6"/>
      <c r="C267" s="6"/>
      <c r="D267" s="232"/>
      <c r="E267" s="6"/>
      <c r="F267" s="6"/>
      <c r="G267" s="6" t="str">
        <f t="shared" si="9"/>
        <v/>
      </c>
      <c r="H267" s="6"/>
      <c r="I267" s="6" t="str">
        <f t="shared" si="10"/>
        <v/>
      </c>
      <c r="J267" s="4"/>
      <c r="K267" s="4"/>
      <c r="L267" s="4"/>
      <c r="M267" s="4"/>
      <c r="N267" s="4"/>
    </row>
    <row r="268" spans="1:14" ht="1.9" customHeight="1">
      <c r="A268" s="23"/>
      <c r="B268" s="6"/>
      <c r="C268" s="6"/>
      <c r="D268" s="232"/>
      <c r="E268" s="6"/>
      <c r="F268" s="6"/>
      <c r="G268" s="6" t="str">
        <f t="shared" si="9"/>
        <v/>
      </c>
      <c r="H268" s="6"/>
      <c r="I268" s="6" t="str">
        <f t="shared" si="10"/>
        <v/>
      </c>
      <c r="J268" s="4"/>
      <c r="K268" s="4"/>
      <c r="L268" s="4"/>
      <c r="M268" s="4"/>
      <c r="N268" s="4"/>
    </row>
    <row r="269" spans="1:14" ht="1.9" customHeight="1">
      <c r="A269" s="23"/>
      <c r="B269" s="6"/>
      <c r="C269" s="6"/>
      <c r="D269" s="232"/>
      <c r="E269" s="6"/>
      <c r="F269" s="6"/>
      <c r="G269" s="6" t="str">
        <f t="shared" si="9"/>
        <v/>
      </c>
      <c r="H269" s="6"/>
      <c r="I269" s="6" t="str">
        <f t="shared" si="10"/>
        <v/>
      </c>
      <c r="J269" s="4"/>
      <c r="K269" s="4"/>
      <c r="L269" s="4"/>
      <c r="M269" s="4"/>
      <c r="N269" s="4"/>
    </row>
    <row r="270" spans="1:14" ht="1.9" customHeight="1">
      <c r="A270" s="23"/>
      <c r="B270" s="6"/>
      <c r="C270" s="6"/>
      <c r="D270" s="232"/>
      <c r="E270" s="6"/>
      <c r="F270" s="6"/>
      <c r="G270" s="6" t="str">
        <f t="shared" si="9"/>
        <v/>
      </c>
      <c r="H270" s="6"/>
      <c r="I270" s="6" t="str">
        <f t="shared" si="10"/>
        <v/>
      </c>
      <c r="J270" s="4"/>
      <c r="K270" s="4"/>
      <c r="L270" s="4"/>
      <c r="M270" s="4"/>
      <c r="N270" s="4"/>
    </row>
    <row r="271" spans="1:14" ht="1.9" customHeight="1">
      <c r="A271" s="23"/>
      <c r="B271" s="6"/>
      <c r="C271" s="6"/>
      <c r="D271" s="232"/>
      <c r="E271" s="6"/>
      <c r="F271" s="6"/>
      <c r="G271" s="6" t="str">
        <f t="shared" si="9"/>
        <v/>
      </c>
      <c r="H271" s="6"/>
      <c r="I271" s="6" t="str">
        <f t="shared" si="10"/>
        <v/>
      </c>
      <c r="J271" s="4"/>
      <c r="K271" s="4"/>
      <c r="L271" s="4"/>
      <c r="M271" s="4"/>
      <c r="N271" s="4"/>
    </row>
    <row r="272" spans="1:14" ht="1.9" customHeight="1">
      <c r="A272" s="23"/>
      <c r="B272" s="6"/>
      <c r="C272" s="6"/>
      <c r="D272" s="232"/>
      <c r="E272" s="6"/>
      <c r="F272" s="6"/>
      <c r="G272" s="6" t="str">
        <f t="shared" si="9"/>
        <v/>
      </c>
      <c r="H272" s="6"/>
      <c r="I272" s="6" t="str">
        <f t="shared" si="10"/>
        <v/>
      </c>
      <c r="J272" s="4"/>
      <c r="K272" s="4"/>
      <c r="L272" s="4"/>
      <c r="M272" s="4"/>
      <c r="N272" s="4"/>
    </row>
    <row r="273" spans="1:14" ht="1.9" customHeight="1">
      <c r="A273" s="23"/>
      <c r="B273" s="6"/>
      <c r="C273" s="6"/>
      <c r="D273" s="232"/>
      <c r="E273" s="6"/>
      <c r="F273" s="6"/>
      <c r="G273" s="6" t="str">
        <f t="shared" si="9"/>
        <v/>
      </c>
      <c r="H273" s="6"/>
      <c r="I273" s="6" t="str">
        <f t="shared" si="10"/>
        <v/>
      </c>
      <c r="J273" s="4"/>
      <c r="K273" s="4"/>
      <c r="L273" s="4"/>
      <c r="M273" s="4"/>
      <c r="N273" s="4"/>
    </row>
    <row r="274" spans="1:14" ht="1.9" customHeight="1">
      <c r="A274" s="23"/>
      <c r="B274" s="6"/>
      <c r="C274" s="6"/>
      <c r="D274" s="232"/>
      <c r="E274" s="6"/>
      <c r="F274" s="6"/>
      <c r="G274" s="6" t="str">
        <f t="shared" si="9"/>
        <v/>
      </c>
      <c r="H274" s="6"/>
      <c r="I274" s="6" t="str">
        <f t="shared" si="10"/>
        <v/>
      </c>
      <c r="J274" s="4"/>
      <c r="K274" s="4"/>
      <c r="L274" s="4"/>
      <c r="M274" s="4"/>
      <c r="N274" s="4"/>
    </row>
    <row r="275" spans="1:14" ht="1.9" customHeight="1">
      <c r="A275" s="23"/>
      <c r="B275" s="6"/>
      <c r="C275" s="6"/>
      <c r="D275" s="232"/>
      <c r="E275" s="6"/>
      <c r="F275" s="6"/>
      <c r="G275" s="6" t="str">
        <f t="shared" si="9"/>
        <v/>
      </c>
      <c r="H275" s="6"/>
      <c r="I275" s="6" t="str">
        <f t="shared" si="10"/>
        <v/>
      </c>
      <c r="J275" s="4"/>
      <c r="K275" s="4"/>
      <c r="L275" s="4"/>
      <c r="M275" s="4"/>
      <c r="N275" s="4"/>
    </row>
    <row r="276" spans="1:14" ht="1.9" customHeight="1">
      <c r="A276" s="23"/>
      <c r="B276" s="6"/>
      <c r="C276" s="6"/>
      <c r="D276" s="232"/>
      <c r="E276" s="6"/>
      <c r="F276" s="6"/>
      <c r="G276" s="6" t="str">
        <f t="shared" si="9"/>
        <v/>
      </c>
      <c r="H276" s="6"/>
      <c r="I276" s="6" t="str">
        <f t="shared" si="10"/>
        <v/>
      </c>
      <c r="J276" s="4"/>
      <c r="K276" s="4"/>
      <c r="L276" s="4"/>
      <c r="M276" s="4"/>
      <c r="N276" s="4"/>
    </row>
    <row r="277" spans="1:14" ht="1.9" customHeight="1">
      <c r="A277" s="23"/>
      <c r="B277" s="6"/>
      <c r="C277" s="6"/>
      <c r="D277" s="232"/>
      <c r="E277" s="6"/>
      <c r="F277" s="6"/>
      <c r="G277" s="6" t="str">
        <f t="shared" si="9"/>
        <v/>
      </c>
      <c r="H277" s="6"/>
      <c r="I277" s="6" t="str">
        <f t="shared" si="10"/>
        <v/>
      </c>
      <c r="J277" s="4"/>
      <c r="K277" s="4"/>
      <c r="L277" s="4"/>
      <c r="M277" s="4"/>
      <c r="N277" s="4"/>
    </row>
    <row r="278" spans="1:14" ht="1.9" customHeight="1">
      <c r="A278" s="23"/>
      <c r="B278" s="6"/>
      <c r="C278" s="6"/>
      <c r="D278" s="232"/>
      <c r="E278" s="6"/>
      <c r="F278" s="6"/>
      <c r="G278" s="6" t="str">
        <f t="shared" si="9"/>
        <v/>
      </c>
      <c r="H278" s="6"/>
      <c r="I278" s="6" t="str">
        <f t="shared" si="10"/>
        <v/>
      </c>
      <c r="J278" s="4"/>
      <c r="K278" s="4"/>
      <c r="L278" s="4"/>
      <c r="M278" s="4"/>
      <c r="N278" s="4"/>
    </row>
    <row r="279" spans="1:14" ht="1.9" customHeight="1">
      <c r="A279" s="23"/>
      <c r="B279" s="6"/>
      <c r="C279" s="6"/>
      <c r="D279" s="232"/>
      <c r="E279" s="6"/>
      <c r="F279" s="6"/>
      <c r="G279" s="6" t="str">
        <f t="shared" si="9"/>
        <v/>
      </c>
      <c r="H279" s="6"/>
      <c r="I279" s="6" t="str">
        <f t="shared" si="10"/>
        <v/>
      </c>
      <c r="J279" s="4"/>
      <c r="K279" s="4"/>
      <c r="L279" s="4"/>
      <c r="M279" s="4"/>
      <c r="N279" s="4"/>
    </row>
    <row r="280" spans="1:14" ht="1.9" customHeight="1">
      <c r="A280" s="23"/>
      <c r="B280" s="6"/>
      <c r="C280" s="6"/>
      <c r="D280" s="232"/>
      <c r="E280" s="6"/>
      <c r="F280" s="6"/>
      <c r="G280" s="6" t="str">
        <f t="shared" si="9"/>
        <v/>
      </c>
      <c r="H280" s="6"/>
      <c r="I280" s="6" t="str">
        <f t="shared" si="10"/>
        <v/>
      </c>
      <c r="J280" s="4"/>
      <c r="K280" s="4"/>
      <c r="L280" s="4"/>
      <c r="M280" s="4"/>
      <c r="N280" s="4"/>
    </row>
    <row r="281" spans="1:14" ht="1.9" customHeight="1">
      <c r="A281" s="23"/>
      <c r="B281" s="6"/>
      <c r="C281" s="6"/>
      <c r="D281" s="232"/>
      <c r="E281" s="6"/>
      <c r="F281" s="6"/>
      <c r="G281" s="6" t="str">
        <f t="shared" si="9"/>
        <v/>
      </c>
      <c r="H281" s="6"/>
      <c r="I281" s="6" t="str">
        <f t="shared" si="10"/>
        <v/>
      </c>
      <c r="J281" s="4"/>
      <c r="K281" s="4"/>
      <c r="L281" s="4"/>
      <c r="M281" s="4"/>
      <c r="N281" s="4"/>
    </row>
    <row r="282" spans="1:14" ht="1.9" customHeight="1">
      <c r="A282" s="23"/>
      <c r="B282" s="6"/>
      <c r="C282" s="6"/>
      <c r="D282" s="232"/>
      <c r="E282" s="6"/>
      <c r="F282" s="6"/>
      <c r="G282" s="6" t="str">
        <f t="shared" si="9"/>
        <v/>
      </c>
      <c r="H282" s="6"/>
      <c r="I282" s="6" t="str">
        <f t="shared" si="10"/>
        <v/>
      </c>
      <c r="J282" s="4"/>
      <c r="K282" s="4"/>
      <c r="L282" s="4"/>
      <c r="M282" s="4"/>
      <c r="N282" s="4"/>
    </row>
    <row r="283" spans="1:14" ht="1.9" customHeight="1">
      <c r="A283" s="23"/>
      <c r="B283" s="6"/>
      <c r="C283" s="6"/>
      <c r="D283" s="232"/>
      <c r="E283" s="6"/>
      <c r="F283" s="6"/>
      <c r="G283" s="6" t="str">
        <f t="shared" si="9"/>
        <v/>
      </c>
      <c r="H283" s="6"/>
      <c r="I283" s="6" t="str">
        <f t="shared" si="10"/>
        <v/>
      </c>
      <c r="J283" s="4"/>
      <c r="K283" s="4"/>
      <c r="L283" s="4"/>
      <c r="M283" s="4"/>
      <c r="N283" s="4"/>
    </row>
    <row r="284" spans="1:14" ht="1.9" customHeight="1">
      <c r="A284" s="23"/>
      <c r="B284" s="6"/>
      <c r="C284" s="6"/>
      <c r="D284" s="232"/>
      <c r="E284" s="6"/>
      <c r="F284" s="6"/>
      <c r="G284" s="6" t="str">
        <f t="shared" si="9"/>
        <v/>
      </c>
      <c r="H284" s="6"/>
      <c r="I284" s="6" t="str">
        <f t="shared" si="10"/>
        <v/>
      </c>
      <c r="J284" s="4"/>
      <c r="K284" s="4"/>
      <c r="L284" s="4"/>
      <c r="M284" s="4"/>
      <c r="N284" s="4"/>
    </row>
    <row r="285" spans="1:14" ht="1.9" customHeight="1">
      <c r="A285" s="23"/>
      <c r="B285" s="6"/>
      <c r="C285" s="6"/>
      <c r="D285" s="232"/>
      <c r="E285" s="6"/>
      <c r="F285" s="6"/>
      <c r="G285" s="6" t="str">
        <f t="shared" si="9"/>
        <v/>
      </c>
      <c r="H285" s="6"/>
      <c r="I285" s="6" t="str">
        <f t="shared" si="10"/>
        <v/>
      </c>
      <c r="J285" s="4"/>
      <c r="K285" s="4"/>
      <c r="L285" s="4"/>
      <c r="M285" s="4"/>
      <c r="N285" s="4"/>
    </row>
    <row r="286" spans="1:14" ht="1.9" customHeight="1">
      <c r="A286" s="23"/>
      <c r="B286" s="6"/>
      <c r="C286" s="6"/>
      <c r="D286" s="232"/>
      <c r="E286" s="6"/>
      <c r="F286" s="6"/>
      <c r="G286" s="6" t="str">
        <f t="shared" si="9"/>
        <v/>
      </c>
      <c r="H286" s="6"/>
      <c r="I286" s="6" t="str">
        <f t="shared" si="10"/>
        <v/>
      </c>
      <c r="J286" s="4"/>
      <c r="K286" s="4"/>
      <c r="L286" s="4"/>
      <c r="M286" s="4"/>
      <c r="N286" s="4"/>
    </row>
    <row r="287" spans="1:14" ht="1.9" customHeight="1">
      <c r="A287" s="23"/>
      <c r="B287" s="6"/>
      <c r="C287" s="6"/>
      <c r="D287" s="232"/>
      <c r="E287" s="6"/>
      <c r="F287" s="6"/>
      <c r="G287" s="6" t="str">
        <f t="shared" si="9"/>
        <v/>
      </c>
      <c r="H287" s="6"/>
      <c r="I287" s="6" t="str">
        <f t="shared" si="10"/>
        <v/>
      </c>
      <c r="J287" s="4"/>
      <c r="K287" s="4"/>
      <c r="L287" s="4"/>
      <c r="M287" s="4"/>
      <c r="N287" s="4"/>
    </row>
    <row r="288" spans="1:14" ht="1.9" customHeight="1">
      <c r="A288" s="23"/>
      <c r="B288" s="6"/>
      <c r="C288" s="6"/>
      <c r="D288" s="232"/>
      <c r="E288" s="6"/>
      <c r="F288" s="6"/>
      <c r="G288" s="6" t="str">
        <f t="shared" si="9"/>
        <v/>
      </c>
      <c r="H288" s="6"/>
      <c r="I288" s="6" t="str">
        <f t="shared" si="10"/>
        <v/>
      </c>
      <c r="J288" s="4"/>
      <c r="K288" s="4"/>
      <c r="L288" s="4"/>
      <c r="M288" s="4"/>
      <c r="N288" s="4"/>
    </row>
    <row r="289" spans="1:14" ht="1.9" customHeight="1">
      <c r="A289" s="23"/>
      <c r="B289" s="6"/>
      <c r="C289" s="6"/>
      <c r="D289" s="232"/>
      <c r="E289" s="6"/>
      <c r="F289" s="6"/>
      <c r="G289" s="6" t="str">
        <f t="shared" si="9"/>
        <v/>
      </c>
      <c r="H289" s="6"/>
      <c r="I289" s="6" t="str">
        <f t="shared" si="10"/>
        <v/>
      </c>
      <c r="J289" s="4"/>
      <c r="K289" s="4"/>
      <c r="L289" s="4"/>
      <c r="M289" s="4"/>
      <c r="N289" s="4"/>
    </row>
    <row r="290" spans="1:14" ht="1.9" customHeight="1">
      <c r="A290" s="23"/>
      <c r="B290" s="6"/>
      <c r="C290" s="6"/>
      <c r="D290" s="232"/>
      <c r="E290" s="6"/>
      <c r="F290" s="6"/>
      <c r="G290" s="6" t="str">
        <f t="shared" si="9"/>
        <v/>
      </c>
      <c r="H290" s="6"/>
      <c r="I290" s="6" t="str">
        <f t="shared" si="10"/>
        <v/>
      </c>
      <c r="J290" s="4"/>
      <c r="K290" s="4"/>
      <c r="L290" s="4"/>
      <c r="M290" s="4"/>
      <c r="N290" s="4"/>
    </row>
    <row r="291" spans="1:14" ht="1.9" customHeight="1">
      <c r="A291" s="23"/>
      <c r="B291" s="6"/>
      <c r="C291" s="6"/>
      <c r="D291" s="232"/>
      <c r="E291" s="6"/>
      <c r="F291" s="6"/>
      <c r="G291" s="6" t="str">
        <f t="shared" si="9"/>
        <v/>
      </c>
      <c r="H291" s="6"/>
      <c r="I291" s="6" t="str">
        <f t="shared" si="10"/>
        <v/>
      </c>
      <c r="J291" s="4"/>
      <c r="K291" s="4"/>
      <c r="L291" s="4"/>
      <c r="M291" s="4"/>
      <c r="N291" s="4"/>
    </row>
    <row r="292" spans="1:14" ht="1.9" customHeight="1">
      <c r="A292" s="23"/>
      <c r="B292" s="6"/>
      <c r="C292" s="6"/>
      <c r="D292" s="232"/>
      <c r="E292" s="6"/>
      <c r="F292" s="6"/>
      <c r="G292" s="6" t="str">
        <f t="shared" si="9"/>
        <v/>
      </c>
      <c r="H292" s="6"/>
      <c r="I292" s="6" t="str">
        <f t="shared" si="10"/>
        <v/>
      </c>
      <c r="J292" s="4"/>
      <c r="K292" s="4"/>
      <c r="L292" s="4"/>
      <c r="M292" s="4"/>
      <c r="N292" s="4"/>
    </row>
    <row r="293" spans="1:14" ht="1.9" customHeight="1">
      <c r="A293" s="23"/>
      <c r="B293" s="6"/>
      <c r="C293" s="6"/>
      <c r="D293" s="232"/>
      <c r="E293" s="6"/>
      <c r="F293" s="6"/>
      <c r="G293" s="6" t="str">
        <f t="shared" si="9"/>
        <v/>
      </c>
      <c r="H293" s="6"/>
      <c r="I293" s="6" t="str">
        <f t="shared" si="10"/>
        <v/>
      </c>
      <c r="J293" s="4"/>
      <c r="K293" s="4"/>
      <c r="L293" s="4"/>
      <c r="M293" s="4"/>
      <c r="N293" s="4"/>
    </row>
    <row r="294" spans="1:14" ht="1.9" customHeight="1">
      <c r="A294" s="23"/>
      <c r="B294" s="6"/>
      <c r="C294" s="6"/>
      <c r="D294" s="232"/>
      <c r="E294" s="6"/>
      <c r="F294" s="6"/>
      <c r="G294" s="6" t="str">
        <f t="shared" si="9"/>
        <v/>
      </c>
      <c r="H294" s="6"/>
      <c r="I294" s="6" t="str">
        <f t="shared" si="10"/>
        <v/>
      </c>
      <c r="J294" s="4"/>
      <c r="K294" s="4"/>
      <c r="L294" s="4"/>
      <c r="M294" s="4"/>
      <c r="N294" s="4"/>
    </row>
    <row r="295" spans="1:14" ht="1.9" customHeight="1">
      <c r="A295" s="23"/>
      <c r="B295" s="6"/>
      <c r="C295" s="6"/>
      <c r="D295" s="232"/>
      <c r="E295" s="6"/>
      <c r="F295" s="6"/>
      <c r="G295" s="6" t="str">
        <f t="shared" si="9"/>
        <v/>
      </c>
      <c r="H295" s="6"/>
      <c r="I295" s="6" t="str">
        <f t="shared" si="10"/>
        <v/>
      </c>
      <c r="J295" s="4"/>
      <c r="K295" s="4"/>
      <c r="L295" s="4"/>
      <c r="M295" s="4"/>
      <c r="N295" s="4"/>
    </row>
    <row r="296" spans="1:14" ht="1.9" customHeight="1">
      <c r="A296" s="23"/>
      <c r="B296" s="6"/>
      <c r="C296" s="6"/>
      <c r="D296" s="232"/>
      <c r="E296" s="6"/>
      <c r="F296" s="6"/>
      <c r="G296" s="6" t="str">
        <f t="shared" si="9"/>
        <v/>
      </c>
      <c r="H296" s="6"/>
      <c r="I296" s="6" t="str">
        <f t="shared" si="10"/>
        <v/>
      </c>
      <c r="J296" s="4"/>
      <c r="K296" s="4"/>
      <c r="L296" s="4"/>
      <c r="M296" s="4"/>
      <c r="N296" s="4"/>
    </row>
    <row r="297" spans="1:14" ht="1.9" customHeight="1">
      <c r="A297" s="23"/>
      <c r="B297" s="6"/>
      <c r="C297" s="6"/>
      <c r="D297" s="232"/>
      <c r="E297" s="6"/>
      <c r="F297" s="6"/>
      <c r="G297" s="6" t="str">
        <f t="shared" si="9"/>
        <v/>
      </c>
      <c r="H297" s="6"/>
      <c r="I297" s="6" t="str">
        <f t="shared" si="10"/>
        <v/>
      </c>
      <c r="J297" s="4"/>
      <c r="K297" s="4"/>
      <c r="L297" s="4"/>
      <c r="M297" s="4"/>
      <c r="N297" s="4"/>
    </row>
    <row r="298" spans="1:14" ht="1.9" customHeight="1">
      <c r="A298" s="23"/>
      <c r="B298" s="6"/>
      <c r="C298" s="6"/>
      <c r="D298" s="232"/>
      <c r="E298" s="6"/>
      <c r="F298" s="6"/>
      <c r="G298" s="6" t="str">
        <f t="shared" si="9"/>
        <v/>
      </c>
      <c r="H298" s="6"/>
      <c r="I298" s="6" t="str">
        <f t="shared" si="10"/>
        <v/>
      </c>
      <c r="J298" s="4"/>
      <c r="K298" s="4"/>
      <c r="L298" s="4"/>
      <c r="M298" s="4"/>
      <c r="N298" s="4"/>
    </row>
    <row r="299" spans="1:14" ht="1.9" customHeight="1">
      <c r="A299" s="23"/>
      <c r="B299" s="6"/>
      <c r="C299" s="6"/>
      <c r="D299" s="232"/>
      <c r="E299" s="6"/>
      <c r="F299" s="6"/>
      <c r="G299" s="6" t="str">
        <f t="shared" si="9"/>
        <v/>
      </c>
      <c r="H299" s="6"/>
      <c r="I299" s="6" t="str">
        <f t="shared" si="10"/>
        <v/>
      </c>
      <c r="J299" s="4"/>
      <c r="K299" s="4"/>
      <c r="L299" s="4"/>
      <c r="M299" s="4"/>
      <c r="N299" s="4"/>
    </row>
    <row r="300" spans="1:14" ht="1.9" customHeight="1">
      <c r="A300" s="23"/>
      <c r="B300" s="6"/>
      <c r="C300" s="6"/>
      <c r="D300" s="232"/>
      <c r="E300" s="6"/>
      <c r="F300" s="6"/>
      <c r="G300" s="6" t="str">
        <f t="shared" si="9"/>
        <v/>
      </c>
      <c r="H300" s="6"/>
      <c r="I300" s="6" t="str">
        <f t="shared" si="10"/>
        <v/>
      </c>
      <c r="J300" s="4"/>
      <c r="K300" s="4"/>
      <c r="L300" s="4"/>
      <c r="M300" s="4"/>
      <c r="N300" s="4"/>
    </row>
    <row r="301" spans="1:14" ht="1.9" customHeight="1">
      <c r="A301" s="23"/>
      <c r="B301" s="6"/>
      <c r="C301" s="6"/>
      <c r="D301" s="232"/>
      <c r="E301" s="6"/>
      <c r="F301" s="6"/>
      <c r="G301" s="6" t="str">
        <f t="shared" si="9"/>
        <v/>
      </c>
      <c r="H301" s="6"/>
      <c r="I301" s="6" t="str">
        <f t="shared" si="10"/>
        <v/>
      </c>
      <c r="J301" s="4"/>
      <c r="K301" s="4"/>
      <c r="L301" s="4"/>
      <c r="M301" s="4"/>
      <c r="N301" s="4"/>
    </row>
    <row r="302" spans="1:14" ht="1.9" customHeight="1">
      <c r="A302" s="23"/>
      <c r="B302" s="6"/>
      <c r="C302" s="6"/>
      <c r="D302" s="232"/>
      <c r="E302" s="6"/>
      <c r="F302" s="6"/>
      <c r="G302" s="6" t="str">
        <f t="shared" si="9"/>
        <v/>
      </c>
      <c r="H302" s="6"/>
      <c r="I302" s="6" t="str">
        <f t="shared" si="10"/>
        <v/>
      </c>
      <c r="J302" s="4"/>
      <c r="K302" s="4"/>
      <c r="L302" s="4"/>
      <c r="M302" s="4"/>
      <c r="N302" s="4"/>
    </row>
    <row r="303" spans="1:14" ht="1.9" customHeight="1">
      <c r="A303" s="23"/>
      <c r="B303" s="6"/>
      <c r="C303" s="6"/>
      <c r="D303" s="232"/>
      <c r="E303" s="6"/>
      <c r="F303" s="6"/>
      <c r="G303" s="6" t="str">
        <f t="shared" si="9"/>
        <v/>
      </c>
      <c r="H303" s="6"/>
      <c r="I303" s="6" t="str">
        <f t="shared" si="10"/>
        <v/>
      </c>
      <c r="J303" s="4"/>
      <c r="K303" s="4"/>
      <c r="L303" s="4"/>
      <c r="M303" s="4"/>
      <c r="N303" s="4"/>
    </row>
    <row r="304" spans="1:14" ht="1.9" customHeight="1">
      <c r="A304" s="23"/>
      <c r="B304" s="6"/>
      <c r="C304" s="6"/>
      <c r="D304" s="232"/>
      <c r="E304" s="6"/>
      <c r="F304" s="6"/>
      <c r="G304" s="6" t="str">
        <f t="shared" si="9"/>
        <v/>
      </c>
      <c r="H304" s="6"/>
      <c r="I304" s="6" t="str">
        <f t="shared" si="10"/>
        <v/>
      </c>
      <c r="J304" s="4"/>
      <c r="K304" s="4"/>
      <c r="L304" s="4"/>
      <c r="M304" s="4"/>
      <c r="N304" s="4"/>
    </row>
    <row r="305" spans="1:14" ht="1.9" customHeight="1">
      <c r="A305" s="23"/>
      <c r="B305" s="6"/>
      <c r="C305" s="6"/>
      <c r="D305" s="232"/>
      <c r="E305" s="6"/>
      <c r="F305" s="6"/>
      <c r="G305" s="6" t="str">
        <f t="shared" si="9"/>
        <v/>
      </c>
      <c r="H305" s="6"/>
      <c r="I305" s="6" t="str">
        <f t="shared" si="10"/>
        <v/>
      </c>
      <c r="J305" s="4"/>
      <c r="K305" s="4"/>
      <c r="L305" s="4"/>
      <c r="M305" s="4"/>
      <c r="N305" s="4"/>
    </row>
    <row r="306" spans="1:14" ht="1.9" customHeight="1">
      <c r="A306" s="23"/>
      <c r="B306" s="6"/>
      <c r="C306" s="6"/>
      <c r="D306" s="232"/>
      <c r="E306" s="6"/>
      <c r="F306" s="6"/>
      <c r="G306" s="6" t="str">
        <f t="shared" si="9"/>
        <v/>
      </c>
      <c r="H306" s="6"/>
      <c r="I306" s="6" t="str">
        <f t="shared" si="10"/>
        <v/>
      </c>
      <c r="J306" s="4"/>
      <c r="K306" s="4"/>
      <c r="L306" s="4"/>
      <c r="M306" s="4"/>
      <c r="N306" s="4"/>
    </row>
    <row r="307" spans="1:14" ht="1.9" customHeight="1">
      <c r="A307" s="23"/>
      <c r="B307" s="6"/>
      <c r="C307" s="6"/>
      <c r="D307" s="232"/>
      <c r="E307" s="6"/>
      <c r="F307" s="6"/>
      <c r="G307" s="6" t="str">
        <f t="shared" si="9"/>
        <v/>
      </c>
      <c r="H307" s="6"/>
      <c r="I307" s="6" t="str">
        <f t="shared" si="10"/>
        <v/>
      </c>
      <c r="J307" s="4"/>
      <c r="K307" s="4"/>
      <c r="L307" s="4"/>
      <c r="M307" s="4"/>
      <c r="N307" s="4"/>
    </row>
    <row r="308" spans="1:14" ht="1.9" customHeight="1">
      <c r="A308" s="23"/>
      <c r="B308" s="6"/>
      <c r="C308" s="6"/>
      <c r="D308" s="232"/>
      <c r="E308" s="6"/>
      <c r="F308" s="6"/>
      <c r="G308" s="6" t="str">
        <f t="shared" si="9"/>
        <v/>
      </c>
      <c r="H308" s="6"/>
      <c r="I308" s="6" t="str">
        <f t="shared" si="10"/>
        <v/>
      </c>
      <c r="J308" s="4"/>
      <c r="K308" s="4"/>
      <c r="L308" s="4"/>
      <c r="M308" s="4"/>
      <c r="N308" s="4"/>
    </row>
    <row r="309" spans="1:14" ht="1.9" customHeight="1">
      <c r="A309" s="23"/>
      <c r="B309" s="6"/>
      <c r="C309" s="6"/>
      <c r="D309" s="232"/>
      <c r="E309" s="6"/>
      <c r="F309" s="6"/>
      <c r="G309" s="6" t="str">
        <f t="shared" si="9"/>
        <v/>
      </c>
      <c r="H309" s="6"/>
      <c r="I309" s="6" t="str">
        <f t="shared" si="10"/>
        <v/>
      </c>
      <c r="J309" s="4"/>
      <c r="K309" s="4"/>
      <c r="L309" s="4"/>
      <c r="M309" s="4"/>
      <c r="N309" s="4"/>
    </row>
    <row r="310" spans="1:14" ht="1.9" customHeight="1">
      <c r="A310" s="23"/>
      <c r="B310" s="6"/>
      <c r="C310" s="6"/>
      <c r="D310" s="232"/>
      <c r="E310" s="6"/>
      <c r="F310" s="6"/>
      <c r="G310" s="6" t="str">
        <f t="shared" si="9"/>
        <v/>
      </c>
      <c r="H310" s="6"/>
      <c r="I310" s="6" t="str">
        <f t="shared" si="10"/>
        <v/>
      </c>
      <c r="J310" s="4"/>
      <c r="K310" s="4"/>
      <c r="L310" s="4"/>
      <c r="M310" s="4"/>
      <c r="N310" s="4"/>
    </row>
    <row r="311" spans="1:14" ht="1.9" customHeight="1">
      <c r="A311" s="23"/>
      <c r="B311" s="6"/>
      <c r="C311" s="6"/>
      <c r="D311" s="232"/>
      <c r="E311" s="6"/>
      <c r="F311" s="6"/>
      <c r="G311" s="6" t="str">
        <f t="shared" si="9"/>
        <v/>
      </c>
      <c r="H311" s="6"/>
      <c r="I311" s="6" t="str">
        <f t="shared" si="10"/>
        <v/>
      </c>
      <c r="J311" s="4"/>
      <c r="K311" s="4"/>
      <c r="L311" s="4"/>
      <c r="M311" s="4"/>
      <c r="N311" s="4"/>
    </row>
    <row r="312" spans="1:14" ht="1.9" customHeight="1">
      <c r="A312" s="23"/>
      <c r="B312" s="6"/>
      <c r="C312" s="6"/>
      <c r="D312" s="232"/>
      <c r="E312" s="6"/>
      <c r="F312" s="6"/>
      <c r="G312" s="6" t="str">
        <f t="shared" si="9"/>
        <v/>
      </c>
      <c r="H312" s="6"/>
      <c r="I312" s="6" t="str">
        <f t="shared" si="10"/>
        <v/>
      </c>
      <c r="J312" s="4"/>
      <c r="K312" s="4"/>
      <c r="L312" s="4"/>
      <c r="M312" s="4"/>
      <c r="N312" s="4"/>
    </row>
    <row r="313" spans="1:14" ht="1.9" customHeight="1">
      <c r="A313" s="23"/>
      <c r="B313" s="6"/>
      <c r="C313" s="6"/>
      <c r="D313" s="232"/>
      <c r="E313" s="6"/>
      <c r="F313" s="6"/>
      <c r="G313" s="6" t="str">
        <f t="shared" si="9"/>
        <v/>
      </c>
      <c r="H313" s="6"/>
      <c r="I313" s="6" t="str">
        <f t="shared" si="10"/>
        <v/>
      </c>
      <c r="J313" s="4"/>
      <c r="K313" s="4"/>
      <c r="L313" s="4"/>
      <c r="M313" s="4"/>
      <c r="N313" s="4"/>
    </row>
    <row r="314" spans="1:14" ht="1.9" customHeight="1">
      <c r="A314" s="23"/>
      <c r="B314" s="6"/>
      <c r="C314" s="6"/>
      <c r="D314" s="232"/>
      <c r="E314" s="6"/>
      <c r="F314" s="6"/>
      <c r="G314" s="6" t="str">
        <f t="shared" si="9"/>
        <v/>
      </c>
      <c r="H314" s="6"/>
      <c r="I314" s="6" t="str">
        <f t="shared" si="10"/>
        <v/>
      </c>
      <c r="J314" s="4"/>
      <c r="K314" s="4"/>
      <c r="L314" s="4"/>
      <c r="M314" s="4"/>
      <c r="N314" s="4"/>
    </row>
    <row r="315" spans="1:14" ht="1.9" customHeight="1">
      <c r="A315" s="23"/>
      <c r="B315" s="6"/>
      <c r="C315" s="6"/>
      <c r="D315" s="232"/>
      <c r="E315" s="6"/>
      <c r="F315" s="6"/>
      <c r="G315" s="6" t="str">
        <f t="shared" si="9"/>
        <v/>
      </c>
      <c r="H315" s="6"/>
      <c r="I315" s="6" t="str">
        <f t="shared" si="10"/>
        <v/>
      </c>
      <c r="J315" s="4"/>
      <c r="K315" s="4"/>
      <c r="L315" s="4"/>
      <c r="M315" s="4"/>
      <c r="N315" s="4"/>
    </row>
    <row r="316" spans="1:14" ht="1.9" customHeight="1">
      <c r="A316" s="23"/>
      <c r="B316" s="6"/>
      <c r="C316" s="6"/>
      <c r="D316" s="232"/>
      <c r="E316" s="6"/>
      <c r="F316" s="6"/>
      <c r="G316" s="6" t="str">
        <f t="shared" si="9"/>
        <v/>
      </c>
      <c r="H316" s="6"/>
      <c r="I316" s="6" t="str">
        <f t="shared" si="10"/>
        <v/>
      </c>
      <c r="J316" s="4"/>
      <c r="K316" s="4"/>
      <c r="L316" s="4"/>
      <c r="M316" s="4"/>
      <c r="N316" s="4"/>
    </row>
    <row r="317" spans="1:14" ht="1.9" customHeight="1">
      <c r="A317" s="23"/>
      <c r="B317" s="6"/>
      <c r="C317" s="6"/>
      <c r="D317" s="232"/>
      <c r="E317" s="6"/>
      <c r="F317" s="6"/>
      <c r="G317" s="6" t="str">
        <f t="shared" si="9"/>
        <v/>
      </c>
      <c r="H317" s="6"/>
      <c r="I317" s="6" t="str">
        <f t="shared" si="10"/>
        <v/>
      </c>
      <c r="J317" s="4"/>
      <c r="K317" s="4"/>
      <c r="L317" s="4"/>
      <c r="M317" s="4"/>
      <c r="N317" s="4"/>
    </row>
    <row r="318" spans="1:14" ht="1.9" customHeight="1">
      <c r="A318" s="23"/>
      <c r="B318" s="6"/>
      <c r="C318" s="6"/>
      <c r="D318" s="232"/>
      <c r="E318" s="6"/>
      <c r="F318" s="6"/>
      <c r="G318" s="6" t="str">
        <f t="shared" si="9"/>
        <v/>
      </c>
      <c r="H318" s="6"/>
      <c r="I318" s="6" t="str">
        <f t="shared" si="10"/>
        <v/>
      </c>
      <c r="J318" s="4"/>
      <c r="K318" s="4"/>
      <c r="L318" s="4"/>
      <c r="M318" s="4"/>
      <c r="N318" s="4"/>
    </row>
    <row r="319" spans="1:14" ht="1.9" customHeight="1">
      <c r="A319" s="23"/>
      <c r="B319" s="6"/>
      <c r="C319" s="6"/>
      <c r="D319" s="232"/>
      <c r="E319" s="6"/>
      <c r="F319" s="6"/>
      <c r="G319" s="6" t="str">
        <f t="shared" si="9"/>
        <v/>
      </c>
      <c r="H319" s="6"/>
      <c r="I319" s="6" t="str">
        <f t="shared" si="10"/>
        <v/>
      </c>
      <c r="J319" s="4"/>
      <c r="K319" s="4"/>
      <c r="L319" s="4"/>
      <c r="M319" s="4"/>
      <c r="N319" s="4"/>
    </row>
    <row r="320" spans="1:14" ht="1.9" customHeight="1">
      <c r="A320" s="23"/>
      <c r="B320" s="6"/>
      <c r="C320" s="6"/>
      <c r="D320" s="232"/>
      <c r="E320" s="6"/>
      <c r="F320" s="6"/>
      <c r="G320" s="6" t="str">
        <f t="shared" si="9"/>
        <v/>
      </c>
      <c r="H320" s="6"/>
      <c r="I320" s="6" t="str">
        <f t="shared" si="10"/>
        <v/>
      </c>
      <c r="J320" s="4"/>
      <c r="K320" s="4"/>
      <c r="L320" s="4"/>
      <c r="M320" s="4"/>
      <c r="N320" s="4"/>
    </row>
    <row r="321" spans="1:14" ht="1.9" customHeight="1">
      <c r="A321" s="23"/>
      <c r="B321" s="6"/>
      <c r="C321" s="6"/>
      <c r="D321" s="232"/>
      <c r="E321" s="6"/>
      <c r="F321" s="6"/>
      <c r="G321" s="6" t="str">
        <f t="shared" si="9"/>
        <v/>
      </c>
      <c r="H321" s="6"/>
      <c r="I321" s="6" t="str">
        <f t="shared" si="10"/>
        <v/>
      </c>
      <c r="J321" s="4"/>
      <c r="K321" s="4"/>
      <c r="L321" s="4"/>
      <c r="M321" s="4"/>
      <c r="N321" s="4"/>
    </row>
    <row r="322" spans="1:14" ht="1.9" customHeight="1">
      <c r="A322" s="23"/>
      <c r="B322" s="6"/>
      <c r="C322" s="6"/>
      <c r="D322" s="232"/>
      <c r="E322" s="6"/>
      <c r="F322" s="6"/>
      <c r="G322" s="6" t="str">
        <f t="shared" si="9"/>
        <v/>
      </c>
      <c r="H322" s="6"/>
      <c r="I322" s="6" t="str">
        <f t="shared" si="10"/>
        <v/>
      </c>
      <c r="J322" s="4"/>
      <c r="K322" s="4"/>
      <c r="L322" s="4"/>
      <c r="M322" s="4"/>
      <c r="N322" s="4"/>
    </row>
    <row r="323" spans="1:14" ht="1.9" customHeight="1">
      <c r="A323" s="23"/>
      <c r="B323" s="6"/>
      <c r="C323" s="6"/>
      <c r="D323" s="232"/>
      <c r="E323" s="6"/>
      <c r="F323" s="6"/>
      <c r="G323" s="6" t="str">
        <f t="shared" si="9"/>
        <v/>
      </c>
      <c r="H323" s="6"/>
      <c r="I323" s="6" t="str">
        <f t="shared" si="10"/>
        <v/>
      </c>
      <c r="J323" s="4"/>
      <c r="K323" s="4"/>
      <c r="L323" s="4"/>
      <c r="M323" s="4"/>
      <c r="N323" s="4"/>
    </row>
    <row r="324" spans="1:14" ht="1.9" customHeight="1">
      <c r="A324" s="23"/>
      <c r="B324" s="6"/>
      <c r="C324" s="6"/>
      <c r="D324" s="232"/>
      <c r="E324" s="6"/>
      <c r="F324" s="6"/>
      <c r="G324" s="6" t="str">
        <f t="shared" si="9"/>
        <v/>
      </c>
      <c r="H324" s="6"/>
      <c r="I324" s="6" t="str">
        <f t="shared" si="10"/>
        <v/>
      </c>
      <c r="J324" s="4"/>
      <c r="K324" s="4"/>
      <c r="L324" s="4"/>
      <c r="M324" s="4"/>
      <c r="N324" s="4"/>
    </row>
    <row r="325" spans="1:14" ht="1.9" customHeight="1">
      <c r="A325" s="23"/>
      <c r="B325" s="6"/>
      <c r="C325" s="6"/>
      <c r="D325" s="232"/>
      <c r="E325" s="6"/>
      <c r="F325" s="6"/>
      <c r="G325" s="6" t="str">
        <f t="shared" ref="G325:G388" si="11">IF(A325="","", "Semana "&amp;(WEEKNUM(A325,2)-WEEKNUM(DATE(YEAR(A325),MONTH(A325),1),2)+1))</f>
        <v/>
      </c>
      <c r="H325" s="6"/>
      <c r="I325" s="6" t="str">
        <f t="shared" ref="I325:I388" si="12">IF(A325="","",IF(MONTH(A325)=5,"mayo",IF(MONTH(A325)=4,"abril",TEXT(A325,"mmmm"))))</f>
        <v/>
      </c>
      <c r="J325" s="4"/>
      <c r="K325" s="4"/>
      <c r="L325" s="4"/>
      <c r="M325" s="4"/>
      <c r="N325" s="4"/>
    </row>
    <row r="326" spans="1:14" ht="1.9" customHeight="1">
      <c r="A326" s="23"/>
      <c r="B326" s="6"/>
      <c r="C326" s="6"/>
      <c r="D326" s="232"/>
      <c r="E326" s="6"/>
      <c r="F326" s="6"/>
      <c r="G326" s="6" t="str">
        <f t="shared" si="11"/>
        <v/>
      </c>
      <c r="H326" s="6"/>
      <c r="I326" s="6" t="str">
        <f t="shared" si="12"/>
        <v/>
      </c>
      <c r="J326" s="4"/>
      <c r="K326" s="4"/>
      <c r="L326" s="4"/>
      <c r="M326" s="4"/>
      <c r="N326" s="4"/>
    </row>
    <row r="327" spans="1:14" ht="1.9" customHeight="1">
      <c r="A327" s="23"/>
      <c r="B327" s="6"/>
      <c r="C327" s="6"/>
      <c r="D327" s="232"/>
      <c r="E327" s="6"/>
      <c r="F327" s="6"/>
      <c r="G327" s="6" t="str">
        <f t="shared" si="11"/>
        <v/>
      </c>
      <c r="H327" s="6"/>
      <c r="I327" s="6" t="str">
        <f t="shared" si="12"/>
        <v/>
      </c>
      <c r="J327" s="4"/>
      <c r="K327" s="4"/>
      <c r="L327" s="4"/>
      <c r="M327" s="4"/>
      <c r="N327" s="4"/>
    </row>
    <row r="328" spans="1:14" ht="1.9" customHeight="1">
      <c r="A328" s="23"/>
      <c r="B328" s="6"/>
      <c r="C328" s="6"/>
      <c r="D328" s="232"/>
      <c r="E328" s="6"/>
      <c r="F328" s="6"/>
      <c r="G328" s="6" t="str">
        <f t="shared" si="11"/>
        <v/>
      </c>
      <c r="H328" s="6"/>
      <c r="I328" s="6" t="str">
        <f t="shared" si="12"/>
        <v/>
      </c>
      <c r="J328" s="4"/>
      <c r="K328" s="4"/>
      <c r="L328" s="4"/>
      <c r="M328" s="4"/>
      <c r="N328" s="4"/>
    </row>
    <row r="329" spans="1:14" ht="1.9" customHeight="1">
      <c r="A329" s="23"/>
      <c r="B329" s="6"/>
      <c r="C329" s="6"/>
      <c r="D329" s="232"/>
      <c r="E329" s="6"/>
      <c r="F329" s="6"/>
      <c r="G329" s="6" t="str">
        <f t="shared" si="11"/>
        <v/>
      </c>
      <c r="H329" s="6"/>
      <c r="I329" s="6" t="str">
        <f t="shared" si="12"/>
        <v/>
      </c>
      <c r="J329" s="4"/>
      <c r="K329" s="4"/>
      <c r="L329" s="4"/>
      <c r="M329" s="4"/>
      <c r="N329" s="4"/>
    </row>
    <row r="330" spans="1:14" ht="1.9" customHeight="1">
      <c r="A330" s="23"/>
      <c r="B330" s="6"/>
      <c r="C330" s="6"/>
      <c r="D330" s="232"/>
      <c r="E330" s="6"/>
      <c r="F330" s="6"/>
      <c r="G330" s="6" t="str">
        <f t="shared" si="11"/>
        <v/>
      </c>
      <c r="H330" s="6"/>
      <c r="I330" s="6" t="str">
        <f t="shared" si="12"/>
        <v/>
      </c>
      <c r="J330" s="4"/>
      <c r="K330" s="4"/>
      <c r="L330" s="4"/>
      <c r="M330" s="4"/>
      <c r="N330" s="4"/>
    </row>
    <row r="331" spans="1:14" ht="1.9" customHeight="1">
      <c r="A331" s="23"/>
      <c r="B331" s="6"/>
      <c r="C331" s="6"/>
      <c r="D331" s="232"/>
      <c r="E331" s="6"/>
      <c r="F331" s="6"/>
      <c r="G331" s="6" t="str">
        <f t="shared" si="11"/>
        <v/>
      </c>
      <c r="H331" s="6"/>
      <c r="I331" s="6" t="str">
        <f t="shared" si="12"/>
        <v/>
      </c>
      <c r="J331" s="4"/>
      <c r="K331" s="4"/>
      <c r="L331" s="4"/>
      <c r="M331" s="4"/>
      <c r="N331" s="4"/>
    </row>
    <row r="332" spans="1:14" ht="1.9" customHeight="1">
      <c r="A332" s="23"/>
      <c r="B332" s="6"/>
      <c r="C332" s="6"/>
      <c r="D332" s="232"/>
      <c r="E332" s="6"/>
      <c r="F332" s="6"/>
      <c r="G332" s="6" t="str">
        <f t="shared" si="11"/>
        <v/>
      </c>
      <c r="H332" s="6"/>
      <c r="I332" s="6" t="str">
        <f t="shared" si="12"/>
        <v/>
      </c>
      <c r="J332" s="4"/>
      <c r="K332" s="4"/>
      <c r="L332" s="4"/>
      <c r="M332" s="4"/>
      <c r="N332" s="4"/>
    </row>
    <row r="333" spans="1:14" ht="1.9" customHeight="1">
      <c r="A333" s="23"/>
      <c r="B333" s="6"/>
      <c r="C333" s="6"/>
      <c r="D333" s="232"/>
      <c r="E333" s="6"/>
      <c r="F333" s="6"/>
      <c r="G333" s="6" t="str">
        <f t="shared" si="11"/>
        <v/>
      </c>
      <c r="H333" s="6"/>
      <c r="I333" s="6" t="str">
        <f t="shared" si="12"/>
        <v/>
      </c>
      <c r="J333" s="4"/>
      <c r="K333" s="4"/>
      <c r="L333" s="4"/>
      <c r="M333" s="4"/>
      <c r="N333" s="4"/>
    </row>
    <row r="334" spans="1:14" ht="1.9" customHeight="1">
      <c r="A334" s="23"/>
      <c r="B334" s="6"/>
      <c r="C334" s="6"/>
      <c r="D334" s="232"/>
      <c r="E334" s="6"/>
      <c r="F334" s="6"/>
      <c r="G334" s="6" t="str">
        <f t="shared" si="11"/>
        <v/>
      </c>
      <c r="H334" s="6"/>
      <c r="I334" s="6" t="str">
        <f t="shared" si="12"/>
        <v/>
      </c>
      <c r="J334" s="4"/>
      <c r="K334" s="4"/>
      <c r="L334" s="4"/>
      <c r="M334" s="4"/>
      <c r="N334" s="4"/>
    </row>
    <row r="335" spans="1:14" ht="1.9" customHeight="1">
      <c r="A335" s="23"/>
      <c r="B335" s="6"/>
      <c r="C335" s="6"/>
      <c r="D335" s="232"/>
      <c r="E335" s="6"/>
      <c r="F335" s="6"/>
      <c r="G335" s="6" t="str">
        <f t="shared" si="11"/>
        <v/>
      </c>
      <c r="H335" s="6"/>
      <c r="I335" s="6" t="str">
        <f t="shared" si="12"/>
        <v/>
      </c>
      <c r="J335" s="4"/>
      <c r="K335" s="4"/>
      <c r="L335" s="4"/>
      <c r="M335" s="4"/>
      <c r="N335" s="4"/>
    </row>
    <row r="336" spans="1:14" ht="1.9" customHeight="1">
      <c r="A336" s="23"/>
      <c r="B336" s="6"/>
      <c r="C336" s="6"/>
      <c r="D336" s="232"/>
      <c r="E336" s="6"/>
      <c r="F336" s="6"/>
      <c r="G336" s="6" t="str">
        <f t="shared" si="11"/>
        <v/>
      </c>
      <c r="H336" s="6"/>
      <c r="I336" s="6" t="str">
        <f t="shared" si="12"/>
        <v/>
      </c>
      <c r="J336" s="4"/>
      <c r="K336" s="4"/>
      <c r="L336" s="4"/>
      <c r="M336" s="4"/>
      <c r="N336" s="4"/>
    </row>
    <row r="337" spans="1:14" ht="1.9" customHeight="1">
      <c r="A337" s="23"/>
      <c r="B337" s="6"/>
      <c r="C337" s="6"/>
      <c r="D337" s="232"/>
      <c r="E337" s="6"/>
      <c r="F337" s="6"/>
      <c r="G337" s="6" t="str">
        <f t="shared" si="11"/>
        <v/>
      </c>
      <c r="H337" s="6"/>
      <c r="I337" s="6" t="str">
        <f t="shared" si="12"/>
        <v/>
      </c>
      <c r="J337" s="4"/>
      <c r="K337" s="4"/>
      <c r="L337" s="4"/>
      <c r="M337" s="4"/>
      <c r="N337" s="4"/>
    </row>
    <row r="338" spans="1:14" ht="1.9" customHeight="1">
      <c r="A338" s="23"/>
      <c r="B338" s="6"/>
      <c r="C338" s="6"/>
      <c r="D338" s="232"/>
      <c r="E338" s="6"/>
      <c r="F338" s="6"/>
      <c r="G338" s="6" t="str">
        <f t="shared" si="11"/>
        <v/>
      </c>
      <c r="H338" s="6"/>
      <c r="I338" s="6" t="str">
        <f t="shared" si="12"/>
        <v/>
      </c>
      <c r="J338" s="4"/>
      <c r="K338" s="4"/>
      <c r="L338" s="4"/>
      <c r="M338" s="4"/>
      <c r="N338" s="4"/>
    </row>
    <row r="339" spans="1:14" ht="1.9" customHeight="1">
      <c r="A339" s="23"/>
      <c r="B339" s="6"/>
      <c r="C339" s="6"/>
      <c r="D339" s="232"/>
      <c r="E339" s="6"/>
      <c r="F339" s="6"/>
      <c r="G339" s="6" t="str">
        <f t="shared" si="11"/>
        <v/>
      </c>
      <c r="H339" s="6"/>
      <c r="I339" s="6" t="str">
        <f t="shared" si="12"/>
        <v/>
      </c>
      <c r="J339" s="4"/>
      <c r="K339" s="4"/>
      <c r="L339" s="4"/>
      <c r="M339" s="4"/>
      <c r="N339" s="4"/>
    </row>
    <row r="340" spans="1:14" ht="1.9" customHeight="1">
      <c r="A340" s="23"/>
      <c r="B340" s="6"/>
      <c r="C340" s="6"/>
      <c r="D340" s="232"/>
      <c r="E340" s="6"/>
      <c r="F340" s="6"/>
      <c r="G340" s="6" t="str">
        <f t="shared" si="11"/>
        <v/>
      </c>
      <c r="H340" s="6"/>
      <c r="I340" s="6" t="str">
        <f t="shared" si="12"/>
        <v/>
      </c>
      <c r="J340" s="4"/>
      <c r="K340" s="4"/>
      <c r="L340" s="4"/>
      <c r="M340" s="4"/>
      <c r="N340" s="4"/>
    </row>
    <row r="341" spans="1:14" ht="1.9" customHeight="1">
      <c r="A341" s="23"/>
      <c r="B341" s="6"/>
      <c r="C341" s="6"/>
      <c r="D341" s="232"/>
      <c r="E341" s="6"/>
      <c r="F341" s="6"/>
      <c r="G341" s="6" t="str">
        <f t="shared" si="11"/>
        <v/>
      </c>
      <c r="H341" s="6"/>
      <c r="I341" s="6" t="str">
        <f t="shared" si="12"/>
        <v/>
      </c>
      <c r="J341" s="4"/>
      <c r="K341" s="4"/>
      <c r="L341" s="4"/>
      <c r="M341" s="4"/>
      <c r="N341" s="4"/>
    </row>
    <row r="342" spans="1:14" ht="1.9" customHeight="1">
      <c r="A342" s="23"/>
      <c r="B342" s="6"/>
      <c r="C342" s="6"/>
      <c r="D342" s="232"/>
      <c r="E342" s="6"/>
      <c r="F342" s="6"/>
      <c r="G342" s="6" t="str">
        <f t="shared" si="11"/>
        <v/>
      </c>
      <c r="H342" s="6"/>
      <c r="I342" s="6" t="str">
        <f t="shared" si="12"/>
        <v/>
      </c>
      <c r="J342" s="4"/>
      <c r="K342" s="4"/>
      <c r="L342" s="4"/>
      <c r="M342" s="4"/>
      <c r="N342" s="4"/>
    </row>
    <row r="343" spans="1:14" ht="1.9" customHeight="1">
      <c r="A343" s="23"/>
      <c r="B343" s="6"/>
      <c r="C343" s="6"/>
      <c r="D343" s="232"/>
      <c r="E343" s="6"/>
      <c r="F343" s="6"/>
      <c r="G343" s="6" t="str">
        <f t="shared" si="11"/>
        <v/>
      </c>
      <c r="H343" s="6"/>
      <c r="I343" s="6" t="str">
        <f t="shared" si="12"/>
        <v/>
      </c>
      <c r="J343" s="4"/>
      <c r="K343" s="4"/>
      <c r="L343" s="4"/>
      <c r="M343" s="4"/>
      <c r="N343" s="4"/>
    </row>
    <row r="344" spans="1:14" ht="1.9" customHeight="1">
      <c r="A344" s="23"/>
      <c r="B344" s="6"/>
      <c r="C344" s="6"/>
      <c r="D344" s="232"/>
      <c r="E344" s="6"/>
      <c r="F344" s="6"/>
      <c r="G344" s="6" t="str">
        <f t="shared" si="11"/>
        <v/>
      </c>
      <c r="H344" s="6"/>
      <c r="I344" s="6" t="str">
        <f t="shared" si="12"/>
        <v/>
      </c>
      <c r="J344" s="4"/>
      <c r="K344" s="4"/>
      <c r="L344" s="4"/>
      <c r="M344" s="4"/>
      <c r="N344" s="4"/>
    </row>
    <row r="345" spans="1:14" ht="1.9" customHeight="1">
      <c r="A345" s="23"/>
      <c r="B345" s="6"/>
      <c r="C345" s="6"/>
      <c r="D345" s="232"/>
      <c r="E345" s="6"/>
      <c r="F345" s="6"/>
      <c r="G345" s="6" t="str">
        <f t="shared" si="11"/>
        <v/>
      </c>
      <c r="H345" s="6"/>
      <c r="I345" s="6" t="str">
        <f t="shared" si="12"/>
        <v/>
      </c>
      <c r="J345" s="4"/>
      <c r="K345" s="4"/>
      <c r="L345" s="4"/>
      <c r="M345" s="4"/>
      <c r="N345" s="4"/>
    </row>
    <row r="346" spans="1:14" ht="1.9" customHeight="1">
      <c r="A346" s="23"/>
      <c r="B346" s="6"/>
      <c r="C346" s="6"/>
      <c r="D346" s="232"/>
      <c r="E346" s="6"/>
      <c r="F346" s="6"/>
      <c r="G346" s="6" t="str">
        <f t="shared" si="11"/>
        <v/>
      </c>
      <c r="H346" s="6"/>
      <c r="I346" s="6" t="str">
        <f t="shared" si="12"/>
        <v/>
      </c>
      <c r="J346" s="4"/>
      <c r="K346" s="4"/>
      <c r="L346" s="4"/>
      <c r="M346" s="4"/>
      <c r="N346" s="4"/>
    </row>
    <row r="347" spans="1:14" ht="1.9" customHeight="1">
      <c r="A347" s="23"/>
      <c r="B347" s="6"/>
      <c r="C347" s="6"/>
      <c r="D347" s="232"/>
      <c r="E347" s="6"/>
      <c r="F347" s="6"/>
      <c r="G347" s="6" t="str">
        <f t="shared" si="11"/>
        <v/>
      </c>
      <c r="H347" s="6"/>
      <c r="I347" s="6" t="str">
        <f t="shared" si="12"/>
        <v/>
      </c>
      <c r="J347" s="4"/>
      <c r="K347" s="4"/>
      <c r="L347" s="4"/>
      <c r="M347" s="4"/>
      <c r="N347" s="4"/>
    </row>
    <row r="348" spans="1:14" ht="1.9" customHeight="1">
      <c r="A348" s="23"/>
      <c r="B348" s="6"/>
      <c r="C348" s="6"/>
      <c r="D348" s="232"/>
      <c r="E348" s="6"/>
      <c r="F348" s="6"/>
      <c r="G348" s="6" t="str">
        <f t="shared" si="11"/>
        <v/>
      </c>
      <c r="H348" s="6"/>
      <c r="I348" s="6" t="str">
        <f t="shared" si="12"/>
        <v/>
      </c>
      <c r="J348" s="4"/>
      <c r="K348" s="4"/>
      <c r="L348" s="4"/>
      <c r="M348" s="4"/>
      <c r="N348" s="4"/>
    </row>
    <row r="349" spans="1:14" ht="1.9" customHeight="1">
      <c r="A349" s="23"/>
      <c r="B349" s="6"/>
      <c r="C349" s="6"/>
      <c r="D349" s="232"/>
      <c r="E349" s="6"/>
      <c r="F349" s="6"/>
      <c r="G349" s="6" t="str">
        <f t="shared" si="11"/>
        <v/>
      </c>
      <c r="H349" s="6"/>
      <c r="I349" s="6" t="str">
        <f t="shared" si="12"/>
        <v/>
      </c>
      <c r="J349" s="4"/>
      <c r="K349" s="4"/>
      <c r="L349" s="4"/>
      <c r="M349" s="4"/>
      <c r="N349" s="4"/>
    </row>
    <row r="350" spans="1:14" ht="1.9" customHeight="1">
      <c r="A350" s="23"/>
      <c r="B350" s="6"/>
      <c r="C350" s="6"/>
      <c r="D350" s="232"/>
      <c r="E350" s="6"/>
      <c r="F350" s="6"/>
      <c r="G350" s="6" t="str">
        <f t="shared" si="11"/>
        <v/>
      </c>
      <c r="H350" s="6"/>
      <c r="I350" s="6" t="str">
        <f t="shared" si="12"/>
        <v/>
      </c>
      <c r="J350" s="4"/>
      <c r="K350" s="4"/>
      <c r="L350" s="4"/>
      <c r="M350" s="4"/>
      <c r="N350" s="4"/>
    </row>
    <row r="351" spans="1:14" ht="1.9" customHeight="1">
      <c r="A351" s="23"/>
      <c r="B351" s="6"/>
      <c r="C351" s="6"/>
      <c r="D351" s="232"/>
      <c r="E351" s="6"/>
      <c r="F351" s="6"/>
      <c r="G351" s="6" t="str">
        <f t="shared" si="11"/>
        <v/>
      </c>
      <c r="H351" s="6"/>
      <c r="I351" s="6" t="str">
        <f t="shared" si="12"/>
        <v/>
      </c>
      <c r="J351" s="4"/>
      <c r="K351" s="4"/>
      <c r="L351" s="4"/>
      <c r="M351" s="4"/>
      <c r="N351" s="4"/>
    </row>
    <row r="352" spans="1:14" ht="1.9" customHeight="1">
      <c r="A352" s="23"/>
      <c r="B352" s="6"/>
      <c r="C352" s="6"/>
      <c r="D352" s="232"/>
      <c r="E352" s="6"/>
      <c r="F352" s="6"/>
      <c r="G352" s="6" t="str">
        <f t="shared" si="11"/>
        <v/>
      </c>
      <c r="H352" s="6"/>
      <c r="I352" s="6" t="str">
        <f t="shared" si="12"/>
        <v/>
      </c>
      <c r="J352" s="4"/>
      <c r="K352" s="4"/>
      <c r="L352" s="4"/>
      <c r="M352" s="4"/>
      <c r="N352" s="4"/>
    </row>
    <row r="353" spans="1:14" ht="1.9" customHeight="1">
      <c r="A353" s="23"/>
      <c r="B353" s="6"/>
      <c r="C353" s="6"/>
      <c r="D353" s="232"/>
      <c r="E353" s="6"/>
      <c r="F353" s="6"/>
      <c r="G353" s="6" t="str">
        <f t="shared" si="11"/>
        <v/>
      </c>
      <c r="H353" s="6"/>
      <c r="I353" s="6" t="str">
        <f t="shared" si="12"/>
        <v/>
      </c>
      <c r="J353" s="4"/>
      <c r="K353" s="4"/>
      <c r="L353" s="4"/>
      <c r="M353" s="4"/>
      <c r="N353" s="4"/>
    </row>
    <row r="354" spans="1:14" ht="1.9" customHeight="1">
      <c r="A354" s="23"/>
      <c r="B354" s="6"/>
      <c r="C354" s="6"/>
      <c r="D354" s="232"/>
      <c r="E354" s="6"/>
      <c r="F354" s="6"/>
      <c r="G354" s="6" t="str">
        <f t="shared" si="11"/>
        <v/>
      </c>
      <c r="H354" s="6"/>
      <c r="I354" s="6" t="str">
        <f t="shared" si="12"/>
        <v/>
      </c>
      <c r="J354" s="4"/>
      <c r="K354" s="4"/>
      <c r="L354" s="4"/>
      <c r="M354" s="4"/>
      <c r="N354" s="4"/>
    </row>
    <row r="355" spans="1:14" ht="1.9" customHeight="1">
      <c r="A355" s="23"/>
      <c r="B355" s="6"/>
      <c r="C355" s="6"/>
      <c r="D355" s="232"/>
      <c r="E355" s="6"/>
      <c r="F355" s="6"/>
      <c r="G355" s="6" t="str">
        <f t="shared" si="11"/>
        <v/>
      </c>
      <c r="H355" s="6"/>
      <c r="I355" s="6" t="str">
        <f t="shared" si="12"/>
        <v/>
      </c>
      <c r="J355" s="4"/>
      <c r="K355" s="4"/>
      <c r="L355" s="4"/>
      <c r="M355" s="4"/>
      <c r="N355" s="4"/>
    </row>
    <row r="356" spans="1:14" ht="1.9" customHeight="1">
      <c r="A356" s="23"/>
      <c r="B356" s="6"/>
      <c r="C356" s="6"/>
      <c r="D356" s="232"/>
      <c r="E356" s="6"/>
      <c r="F356" s="6"/>
      <c r="G356" s="6" t="str">
        <f t="shared" si="11"/>
        <v/>
      </c>
      <c r="H356" s="6"/>
      <c r="I356" s="6" t="str">
        <f t="shared" si="12"/>
        <v/>
      </c>
      <c r="J356" s="4"/>
      <c r="K356" s="4"/>
      <c r="L356" s="4"/>
      <c r="M356" s="4"/>
      <c r="N356" s="4"/>
    </row>
    <row r="357" spans="1:14" ht="1.9" customHeight="1">
      <c r="A357" s="23"/>
      <c r="B357" s="6"/>
      <c r="C357" s="6"/>
      <c r="D357" s="232"/>
      <c r="E357" s="6"/>
      <c r="F357" s="6"/>
      <c r="G357" s="6" t="str">
        <f t="shared" si="11"/>
        <v/>
      </c>
      <c r="H357" s="6"/>
      <c r="I357" s="6" t="str">
        <f t="shared" si="12"/>
        <v/>
      </c>
      <c r="J357" s="4"/>
      <c r="K357" s="4"/>
      <c r="L357" s="4"/>
      <c r="M357" s="4"/>
      <c r="N357" s="4"/>
    </row>
    <row r="358" spans="1:14" ht="1.9" customHeight="1">
      <c r="A358" s="23"/>
      <c r="B358" s="6"/>
      <c r="C358" s="6"/>
      <c r="D358" s="232"/>
      <c r="E358" s="6"/>
      <c r="F358" s="6"/>
      <c r="G358" s="6" t="str">
        <f t="shared" si="11"/>
        <v/>
      </c>
      <c r="H358" s="6"/>
      <c r="I358" s="6" t="str">
        <f t="shared" si="12"/>
        <v/>
      </c>
      <c r="J358" s="4"/>
      <c r="K358" s="4"/>
      <c r="L358" s="4"/>
      <c r="M358" s="4"/>
      <c r="N358" s="4"/>
    </row>
    <row r="359" spans="1:14" ht="1.9" customHeight="1">
      <c r="A359" s="23"/>
      <c r="B359" s="6"/>
      <c r="C359" s="6"/>
      <c r="D359" s="232"/>
      <c r="E359" s="6"/>
      <c r="F359" s="6"/>
      <c r="G359" s="6" t="str">
        <f t="shared" si="11"/>
        <v/>
      </c>
      <c r="H359" s="6"/>
      <c r="I359" s="6" t="str">
        <f t="shared" si="12"/>
        <v/>
      </c>
      <c r="J359" s="4"/>
      <c r="K359" s="4"/>
      <c r="L359" s="4"/>
      <c r="M359" s="4"/>
      <c r="N359" s="4"/>
    </row>
    <row r="360" spans="1:14" ht="1.9" customHeight="1">
      <c r="A360" s="23"/>
      <c r="B360" s="6"/>
      <c r="C360" s="6"/>
      <c r="D360" s="232"/>
      <c r="E360" s="6"/>
      <c r="F360" s="6"/>
      <c r="G360" s="6" t="str">
        <f t="shared" si="11"/>
        <v/>
      </c>
      <c r="H360" s="6"/>
      <c r="I360" s="6" t="str">
        <f t="shared" si="12"/>
        <v/>
      </c>
      <c r="J360" s="4"/>
      <c r="K360" s="4"/>
      <c r="L360" s="4"/>
      <c r="M360" s="4"/>
      <c r="N360" s="4"/>
    </row>
    <row r="361" spans="1:14" ht="1.9" customHeight="1">
      <c r="A361" s="23"/>
      <c r="B361" s="6"/>
      <c r="C361" s="6"/>
      <c r="D361" s="232"/>
      <c r="E361" s="6"/>
      <c r="F361" s="6"/>
      <c r="G361" s="6" t="str">
        <f t="shared" si="11"/>
        <v/>
      </c>
      <c r="H361" s="6"/>
      <c r="I361" s="6" t="str">
        <f t="shared" si="12"/>
        <v/>
      </c>
      <c r="J361" s="4"/>
      <c r="K361" s="4"/>
      <c r="L361" s="4"/>
      <c r="M361" s="4"/>
      <c r="N361" s="4"/>
    </row>
    <row r="362" spans="1:14" ht="1.9" customHeight="1">
      <c r="A362" s="23"/>
      <c r="B362" s="6"/>
      <c r="C362" s="6"/>
      <c r="D362" s="232"/>
      <c r="E362" s="6"/>
      <c r="F362" s="6"/>
      <c r="G362" s="6" t="str">
        <f t="shared" si="11"/>
        <v/>
      </c>
      <c r="H362" s="6"/>
      <c r="I362" s="6" t="str">
        <f t="shared" si="12"/>
        <v/>
      </c>
      <c r="J362" s="4"/>
      <c r="K362" s="4"/>
      <c r="L362" s="4"/>
      <c r="M362" s="4"/>
      <c r="N362" s="4"/>
    </row>
    <row r="363" spans="1:14" ht="1.9" customHeight="1">
      <c r="A363" s="23"/>
      <c r="B363" s="6"/>
      <c r="C363" s="6"/>
      <c r="D363" s="232"/>
      <c r="E363" s="6"/>
      <c r="F363" s="6"/>
      <c r="G363" s="6" t="str">
        <f t="shared" si="11"/>
        <v/>
      </c>
      <c r="H363" s="6"/>
      <c r="I363" s="6" t="str">
        <f t="shared" si="12"/>
        <v/>
      </c>
      <c r="J363" s="4"/>
      <c r="K363" s="4"/>
      <c r="L363" s="4"/>
      <c r="M363" s="4"/>
      <c r="N363" s="4"/>
    </row>
    <row r="364" spans="1:14" ht="1.9" customHeight="1">
      <c r="A364" s="23"/>
      <c r="B364" s="6"/>
      <c r="C364" s="6"/>
      <c r="D364" s="232"/>
      <c r="E364" s="6"/>
      <c r="F364" s="6"/>
      <c r="G364" s="6" t="str">
        <f t="shared" si="11"/>
        <v/>
      </c>
      <c r="H364" s="6"/>
      <c r="I364" s="6" t="str">
        <f t="shared" si="12"/>
        <v/>
      </c>
      <c r="J364" s="4"/>
      <c r="K364" s="4"/>
      <c r="L364" s="4"/>
      <c r="M364" s="4"/>
      <c r="N364" s="4"/>
    </row>
    <row r="365" spans="1:14" ht="1.9" customHeight="1">
      <c r="A365" s="23"/>
      <c r="B365" s="6"/>
      <c r="C365" s="6"/>
      <c r="D365" s="232"/>
      <c r="E365" s="6"/>
      <c r="F365" s="6"/>
      <c r="G365" s="6" t="str">
        <f t="shared" si="11"/>
        <v/>
      </c>
      <c r="H365" s="6"/>
      <c r="I365" s="6" t="str">
        <f t="shared" si="12"/>
        <v/>
      </c>
      <c r="J365" s="4"/>
      <c r="K365" s="4"/>
      <c r="L365" s="4"/>
      <c r="M365" s="4"/>
      <c r="N365" s="4"/>
    </row>
    <row r="366" spans="1:14" ht="1.9" customHeight="1">
      <c r="A366" s="23"/>
      <c r="B366" s="6"/>
      <c r="C366" s="6"/>
      <c r="D366" s="232"/>
      <c r="E366" s="6"/>
      <c r="F366" s="6"/>
      <c r="G366" s="6" t="str">
        <f t="shared" si="11"/>
        <v/>
      </c>
      <c r="H366" s="6"/>
      <c r="I366" s="6" t="str">
        <f t="shared" si="12"/>
        <v/>
      </c>
      <c r="J366" s="4"/>
      <c r="K366" s="4"/>
      <c r="L366" s="4"/>
      <c r="M366" s="4"/>
      <c r="N366" s="4"/>
    </row>
    <row r="367" spans="1:14" ht="1.9" customHeight="1">
      <c r="A367" s="23"/>
      <c r="B367" s="6"/>
      <c r="C367" s="6"/>
      <c r="D367" s="232"/>
      <c r="E367" s="6"/>
      <c r="F367" s="6"/>
      <c r="G367" s="6" t="str">
        <f t="shared" si="11"/>
        <v/>
      </c>
      <c r="H367" s="6"/>
      <c r="I367" s="6" t="str">
        <f t="shared" si="12"/>
        <v/>
      </c>
      <c r="J367" s="4"/>
      <c r="K367" s="4"/>
      <c r="L367" s="4"/>
      <c r="M367" s="4"/>
      <c r="N367" s="4"/>
    </row>
    <row r="368" spans="1:14" ht="1.9" customHeight="1">
      <c r="A368" s="23"/>
      <c r="B368" s="6"/>
      <c r="C368" s="6"/>
      <c r="D368" s="232"/>
      <c r="E368" s="6"/>
      <c r="F368" s="6"/>
      <c r="G368" s="6" t="str">
        <f t="shared" si="11"/>
        <v/>
      </c>
      <c r="H368" s="6"/>
      <c r="I368" s="6" t="str">
        <f t="shared" si="12"/>
        <v/>
      </c>
      <c r="J368" s="4"/>
      <c r="K368" s="4"/>
      <c r="L368" s="4"/>
      <c r="M368" s="4"/>
      <c r="N368" s="4"/>
    </row>
    <row r="369" spans="1:14" ht="1.9" customHeight="1">
      <c r="A369" s="23"/>
      <c r="B369" s="6"/>
      <c r="C369" s="6"/>
      <c r="D369" s="232"/>
      <c r="E369" s="6"/>
      <c r="F369" s="6"/>
      <c r="G369" s="6" t="str">
        <f t="shared" si="11"/>
        <v/>
      </c>
      <c r="H369" s="6"/>
      <c r="I369" s="6" t="str">
        <f t="shared" si="12"/>
        <v/>
      </c>
      <c r="J369" s="4"/>
      <c r="K369" s="4"/>
      <c r="L369" s="4"/>
      <c r="M369" s="4"/>
      <c r="N369" s="4"/>
    </row>
    <row r="370" spans="1:14" ht="1.9" customHeight="1">
      <c r="A370" s="23"/>
      <c r="B370" s="6"/>
      <c r="C370" s="6"/>
      <c r="D370" s="232"/>
      <c r="E370" s="6"/>
      <c r="F370" s="6"/>
      <c r="G370" s="6" t="str">
        <f t="shared" si="11"/>
        <v/>
      </c>
      <c r="H370" s="6"/>
      <c r="I370" s="6" t="str">
        <f t="shared" si="12"/>
        <v/>
      </c>
      <c r="J370" s="4"/>
      <c r="K370" s="4"/>
      <c r="L370" s="4"/>
      <c r="M370" s="4"/>
      <c r="N370" s="4"/>
    </row>
    <row r="371" spans="1:14" ht="1.9" customHeight="1">
      <c r="A371" s="23"/>
      <c r="B371" s="6"/>
      <c r="C371" s="6"/>
      <c r="D371" s="232"/>
      <c r="E371" s="6"/>
      <c r="F371" s="6"/>
      <c r="G371" s="6" t="str">
        <f t="shared" si="11"/>
        <v/>
      </c>
      <c r="H371" s="6"/>
      <c r="I371" s="6" t="str">
        <f t="shared" si="12"/>
        <v/>
      </c>
      <c r="J371" s="4"/>
      <c r="K371" s="4"/>
      <c r="L371" s="4"/>
      <c r="M371" s="4"/>
      <c r="N371" s="4"/>
    </row>
    <row r="372" spans="1:14" ht="1.9" customHeight="1">
      <c r="A372" s="23"/>
      <c r="B372" s="6"/>
      <c r="C372" s="6"/>
      <c r="D372" s="232"/>
      <c r="E372" s="6"/>
      <c r="F372" s="6"/>
      <c r="G372" s="6" t="str">
        <f t="shared" si="11"/>
        <v/>
      </c>
      <c r="H372" s="6"/>
      <c r="I372" s="6" t="str">
        <f t="shared" si="12"/>
        <v/>
      </c>
      <c r="J372" s="4"/>
      <c r="K372" s="4"/>
      <c r="L372" s="4"/>
      <c r="M372" s="4"/>
      <c r="N372" s="4"/>
    </row>
    <row r="373" spans="1:14" ht="1.9" customHeight="1">
      <c r="A373" s="23"/>
      <c r="B373" s="6"/>
      <c r="C373" s="6"/>
      <c r="D373" s="232"/>
      <c r="E373" s="6"/>
      <c r="F373" s="6"/>
      <c r="G373" s="6" t="str">
        <f t="shared" si="11"/>
        <v/>
      </c>
      <c r="H373" s="6"/>
      <c r="I373" s="6" t="str">
        <f t="shared" si="12"/>
        <v/>
      </c>
      <c r="J373" s="4"/>
      <c r="K373" s="4"/>
      <c r="L373" s="4"/>
      <c r="M373" s="4"/>
      <c r="N373" s="4"/>
    </row>
    <row r="374" spans="1:14" ht="1.9" customHeight="1">
      <c r="A374" s="23"/>
      <c r="B374" s="6"/>
      <c r="C374" s="6"/>
      <c r="D374" s="232"/>
      <c r="E374" s="6"/>
      <c r="F374" s="6"/>
      <c r="G374" s="6" t="str">
        <f t="shared" si="11"/>
        <v/>
      </c>
      <c r="H374" s="6"/>
      <c r="I374" s="6" t="str">
        <f t="shared" si="12"/>
        <v/>
      </c>
      <c r="J374" s="4"/>
      <c r="K374" s="4"/>
      <c r="L374" s="4"/>
      <c r="M374" s="4"/>
      <c r="N374" s="4"/>
    </row>
    <row r="375" spans="1:14" ht="1.9" customHeight="1">
      <c r="A375" s="23"/>
      <c r="B375" s="6"/>
      <c r="C375" s="6"/>
      <c r="D375" s="232"/>
      <c r="E375" s="6"/>
      <c r="F375" s="6"/>
      <c r="G375" s="6" t="str">
        <f t="shared" si="11"/>
        <v/>
      </c>
      <c r="H375" s="6"/>
      <c r="I375" s="6" t="str">
        <f t="shared" si="12"/>
        <v/>
      </c>
      <c r="J375" s="4"/>
      <c r="K375" s="4"/>
      <c r="L375" s="4"/>
      <c r="M375" s="4"/>
      <c r="N375" s="4"/>
    </row>
    <row r="376" spans="1:14" ht="1.9" customHeight="1">
      <c r="A376" s="23"/>
      <c r="B376" s="6"/>
      <c r="C376" s="6"/>
      <c r="D376" s="232"/>
      <c r="E376" s="6"/>
      <c r="F376" s="6"/>
      <c r="G376" s="6" t="str">
        <f t="shared" si="11"/>
        <v/>
      </c>
      <c r="H376" s="6"/>
      <c r="I376" s="6" t="str">
        <f t="shared" si="12"/>
        <v/>
      </c>
      <c r="J376" s="4"/>
      <c r="K376" s="4"/>
      <c r="L376" s="4"/>
      <c r="M376" s="4"/>
      <c r="N376" s="4"/>
    </row>
    <row r="377" spans="1:14" ht="1.9" customHeight="1">
      <c r="A377" s="23"/>
      <c r="B377" s="6"/>
      <c r="C377" s="6"/>
      <c r="D377" s="232"/>
      <c r="E377" s="6"/>
      <c r="F377" s="6"/>
      <c r="G377" s="6" t="str">
        <f t="shared" si="11"/>
        <v/>
      </c>
      <c r="H377" s="6"/>
      <c r="I377" s="6" t="str">
        <f t="shared" si="12"/>
        <v/>
      </c>
      <c r="J377" s="4"/>
      <c r="K377" s="4"/>
      <c r="L377" s="4"/>
      <c r="M377" s="4"/>
      <c r="N377" s="4"/>
    </row>
    <row r="378" spans="1:14" ht="1.9" customHeight="1">
      <c r="A378" s="23"/>
      <c r="B378" s="6"/>
      <c r="C378" s="6"/>
      <c r="D378" s="232"/>
      <c r="E378" s="6"/>
      <c r="F378" s="6"/>
      <c r="G378" s="6" t="str">
        <f t="shared" si="11"/>
        <v/>
      </c>
      <c r="H378" s="6"/>
      <c r="I378" s="6" t="str">
        <f t="shared" si="12"/>
        <v/>
      </c>
      <c r="J378" s="4"/>
      <c r="K378" s="4"/>
      <c r="L378" s="4"/>
      <c r="M378" s="4"/>
      <c r="N378" s="4"/>
    </row>
    <row r="379" spans="1:14" ht="1.9" customHeight="1">
      <c r="A379" s="23"/>
      <c r="B379" s="6"/>
      <c r="C379" s="6"/>
      <c r="D379" s="232"/>
      <c r="E379" s="6"/>
      <c r="F379" s="6"/>
      <c r="G379" s="6" t="str">
        <f t="shared" si="11"/>
        <v/>
      </c>
      <c r="H379" s="6"/>
      <c r="I379" s="6" t="str">
        <f t="shared" si="12"/>
        <v/>
      </c>
      <c r="J379" s="4"/>
      <c r="K379" s="4"/>
      <c r="L379" s="4"/>
      <c r="M379" s="4"/>
      <c r="N379" s="4"/>
    </row>
    <row r="380" spans="1:14" ht="1.9" customHeight="1">
      <c r="A380" s="23"/>
      <c r="B380" s="6"/>
      <c r="C380" s="6"/>
      <c r="D380" s="232"/>
      <c r="E380" s="6"/>
      <c r="F380" s="6"/>
      <c r="G380" s="6" t="str">
        <f t="shared" si="11"/>
        <v/>
      </c>
      <c r="H380" s="6"/>
      <c r="I380" s="6" t="str">
        <f t="shared" si="12"/>
        <v/>
      </c>
      <c r="J380" s="4"/>
      <c r="K380" s="4"/>
      <c r="L380" s="4"/>
      <c r="M380" s="4"/>
      <c r="N380" s="4"/>
    </row>
    <row r="381" spans="1:14" ht="1.9" customHeight="1">
      <c r="A381" s="23"/>
      <c r="B381" s="6"/>
      <c r="C381" s="6"/>
      <c r="D381" s="232"/>
      <c r="E381" s="6"/>
      <c r="F381" s="6"/>
      <c r="G381" s="6" t="str">
        <f t="shared" si="11"/>
        <v/>
      </c>
      <c r="H381" s="6"/>
      <c r="I381" s="6" t="str">
        <f t="shared" si="12"/>
        <v/>
      </c>
      <c r="J381" s="4"/>
      <c r="K381" s="4"/>
      <c r="L381" s="4"/>
      <c r="M381" s="4"/>
      <c r="N381" s="4"/>
    </row>
    <row r="382" spans="1:14" ht="1.9" customHeight="1">
      <c r="A382" s="23"/>
      <c r="B382" s="6"/>
      <c r="C382" s="6"/>
      <c r="D382" s="232"/>
      <c r="E382" s="6"/>
      <c r="F382" s="6"/>
      <c r="G382" s="6" t="str">
        <f t="shared" si="11"/>
        <v/>
      </c>
      <c r="H382" s="6"/>
      <c r="I382" s="6" t="str">
        <f t="shared" si="12"/>
        <v/>
      </c>
      <c r="J382" s="4"/>
      <c r="K382" s="4"/>
      <c r="L382" s="4"/>
      <c r="M382" s="4"/>
      <c r="N382" s="4"/>
    </row>
    <row r="383" spans="1:14" ht="1.9" customHeight="1">
      <c r="A383" s="23"/>
      <c r="B383" s="6"/>
      <c r="C383" s="6"/>
      <c r="D383" s="232"/>
      <c r="E383" s="6"/>
      <c r="F383" s="6"/>
      <c r="G383" s="6" t="str">
        <f t="shared" si="11"/>
        <v/>
      </c>
      <c r="H383" s="6"/>
      <c r="I383" s="6" t="str">
        <f t="shared" si="12"/>
        <v/>
      </c>
      <c r="J383" s="4"/>
      <c r="K383" s="4"/>
      <c r="L383" s="4"/>
      <c r="M383" s="4"/>
      <c r="N383" s="4"/>
    </row>
    <row r="384" spans="1:14" ht="1.9" customHeight="1">
      <c r="A384" s="23"/>
      <c r="B384" s="6"/>
      <c r="C384" s="6"/>
      <c r="D384" s="232"/>
      <c r="E384" s="6"/>
      <c r="F384" s="6"/>
      <c r="G384" s="6" t="str">
        <f t="shared" si="11"/>
        <v/>
      </c>
      <c r="H384" s="6"/>
      <c r="I384" s="6" t="str">
        <f t="shared" si="12"/>
        <v/>
      </c>
      <c r="J384" s="4"/>
      <c r="K384" s="4"/>
      <c r="L384" s="4"/>
      <c r="M384" s="4"/>
      <c r="N384" s="4"/>
    </row>
    <row r="385" spans="1:14" ht="1.9" customHeight="1">
      <c r="A385" s="23"/>
      <c r="B385" s="6"/>
      <c r="C385" s="6"/>
      <c r="D385" s="232"/>
      <c r="E385" s="6"/>
      <c r="F385" s="6"/>
      <c r="G385" s="6" t="str">
        <f t="shared" si="11"/>
        <v/>
      </c>
      <c r="H385" s="6"/>
      <c r="I385" s="6" t="str">
        <f t="shared" si="12"/>
        <v/>
      </c>
      <c r="J385" s="4"/>
      <c r="K385" s="4"/>
      <c r="L385" s="4"/>
      <c r="M385" s="4"/>
      <c r="N385" s="4"/>
    </row>
    <row r="386" spans="1:14" ht="1.9" customHeight="1">
      <c r="A386" s="23"/>
      <c r="B386" s="6"/>
      <c r="C386" s="6"/>
      <c r="D386" s="232"/>
      <c r="E386" s="6"/>
      <c r="F386" s="6"/>
      <c r="G386" s="6" t="str">
        <f t="shared" si="11"/>
        <v/>
      </c>
      <c r="H386" s="6"/>
      <c r="I386" s="6" t="str">
        <f t="shared" si="12"/>
        <v/>
      </c>
      <c r="J386" s="4"/>
      <c r="K386" s="4"/>
      <c r="L386" s="4"/>
      <c r="M386" s="4"/>
      <c r="N386" s="4"/>
    </row>
    <row r="387" spans="1:14" ht="1.9" customHeight="1">
      <c r="A387" s="23"/>
      <c r="B387" s="6"/>
      <c r="C387" s="6"/>
      <c r="D387" s="232"/>
      <c r="E387" s="6"/>
      <c r="F387" s="6"/>
      <c r="G387" s="6" t="str">
        <f t="shared" si="11"/>
        <v/>
      </c>
      <c r="H387" s="6"/>
      <c r="I387" s="6" t="str">
        <f t="shared" si="12"/>
        <v/>
      </c>
      <c r="J387" s="4"/>
      <c r="K387" s="4"/>
      <c r="L387" s="4"/>
      <c r="M387" s="4"/>
      <c r="N387" s="4"/>
    </row>
    <row r="388" spans="1:14" ht="1.9" customHeight="1">
      <c r="A388" s="23"/>
      <c r="B388" s="6"/>
      <c r="C388" s="6"/>
      <c r="D388" s="232"/>
      <c r="E388" s="6"/>
      <c r="F388" s="6"/>
      <c r="G388" s="6" t="str">
        <f t="shared" si="11"/>
        <v/>
      </c>
      <c r="H388" s="6"/>
      <c r="I388" s="6" t="str">
        <f t="shared" si="12"/>
        <v/>
      </c>
      <c r="J388" s="4"/>
      <c r="K388" s="4"/>
      <c r="L388" s="4"/>
      <c r="M388" s="4"/>
      <c r="N388" s="4"/>
    </row>
    <row r="389" spans="1:14" ht="1.9" customHeight="1">
      <c r="A389" s="23"/>
      <c r="B389" s="6"/>
      <c r="C389" s="6"/>
      <c r="D389" s="232"/>
      <c r="E389" s="6"/>
      <c r="F389" s="6"/>
      <c r="G389" s="6" t="str">
        <f t="shared" ref="G389:G403" si="13">IF(A389="","", "Semana "&amp;(WEEKNUM(A389,2)-WEEKNUM(DATE(YEAR(A389),MONTH(A389),1),2)+1))</f>
        <v/>
      </c>
      <c r="H389" s="6"/>
      <c r="I389" s="6" t="str">
        <f t="shared" ref="I389:I403" si="14">IF(A389="","",IF(MONTH(A389)=5,"mayo",IF(MONTH(A389)=4,"abril",TEXT(A389,"mmmm"))))</f>
        <v/>
      </c>
      <c r="J389" s="4"/>
      <c r="K389" s="4"/>
      <c r="L389" s="4"/>
      <c r="M389" s="4"/>
      <c r="N389" s="4"/>
    </row>
    <row r="390" spans="1:14" ht="1.9" customHeight="1">
      <c r="A390" s="23"/>
      <c r="B390" s="6"/>
      <c r="C390" s="6"/>
      <c r="D390" s="232"/>
      <c r="E390" s="6"/>
      <c r="F390" s="6"/>
      <c r="G390" s="6" t="str">
        <f t="shared" si="13"/>
        <v/>
      </c>
      <c r="H390" s="6"/>
      <c r="I390" s="6" t="str">
        <f t="shared" si="14"/>
        <v/>
      </c>
      <c r="J390" s="4"/>
      <c r="K390" s="4"/>
      <c r="L390" s="4"/>
      <c r="M390" s="4"/>
      <c r="N390" s="4"/>
    </row>
    <row r="391" spans="1:14" ht="1.9" customHeight="1">
      <c r="A391" s="23"/>
      <c r="B391" s="6"/>
      <c r="C391" s="6"/>
      <c r="D391" s="232"/>
      <c r="E391" s="6"/>
      <c r="F391" s="6"/>
      <c r="G391" s="6" t="str">
        <f t="shared" si="13"/>
        <v/>
      </c>
      <c r="H391" s="6"/>
      <c r="I391" s="6" t="str">
        <f t="shared" si="14"/>
        <v/>
      </c>
      <c r="J391" s="4"/>
      <c r="K391" s="4"/>
      <c r="L391" s="4"/>
      <c r="M391" s="4"/>
      <c r="N391" s="4"/>
    </row>
    <row r="392" spans="1:14" ht="1.9" customHeight="1">
      <c r="A392" s="23"/>
      <c r="B392" s="6"/>
      <c r="C392" s="6"/>
      <c r="D392" s="232"/>
      <c r="E392" s="6"/>
      <c r="F392" s="6"/>
      <c r="G392" s="6" t="str">
        <f t="shared" si="13"/>
        <v/>
      </c>
      <c r="H392" s="6"/>
      <c r="I392" s="6" t="str">
        <f t="shared" si="14"/>
        <v/>
      </c>
      <c r="J392" s="4"/>
      <c r="K392" s="4"/>
      <c r="L392" s="4"/>
      <c r="M392" s="4"/>
      <c r="N392" s="4"/>
    </row>
    <row r="393" spans="1:14" ht="1.9" customHeight="1">
      <c r="A393" s="23"/>
      <c r="B393" s="6"/>
      <c r="C393" s="6"/>
      <c r="D393" s="232"/>
      <c r="E393" s="6"/>
      <c r="F393" s="6"/>
      <c r="G393" s="6" t="str">
        <f t="shared" si="13"/>
        <v/>
      </c>
      <c r="H393" s="6"/>
      <c r="I393" s="6" t="str">
        <f t="shared" si="14"/>
        <v/>
      </c>
      <c r="J393" s="4"/>
      <c r="K393" s="4"/>
      <c r="L393" s="4"/>
      <c r="M393" s="4"/>
      <c r="N393" s="4"/>
    </row>
    <row r="394" spans="1:14" ht="1.9" customHeight="1">
      <c r="A394" s="23"/>
      <c r="B394" s="6"/>
      <c r="C394" s="6"/>
      <c r="D394" s="232"/>
      <c r="E394" s="6"/>
      <c r="F394" s="6"/>
      <c r="G394" s="6" t="str">
        <f t="shared" si="13"/>
        <v/>
      </c>
      <c r="H394" s="6"/>
      <c r="I394" s="6" t="str">
        <f t="shared" si="14"/>
        <v/>
      </c>
      <c r="J394" s="4"/>
      <c r="K394" s="4"/>
      <c r="L394" s="4"/>
      <c r="M394" s="4"/>
      <c r="N394" s="4"/>
    </row>
    <row r="395" spans="1:14" ht="1.9" customHeight="1">
      <c r="A395" s="23"/>
      <c r="B395" s="6"/>
      <c r="C395" s="6"/>
      <c r="D395" s="232"/>
      <c r="E395" s="6"/>
      <c r="F395" s="6"/>
      <c r="G395" s="6" t="str">
        <f t="shared" si="13"/>
        <v/>
      </c>
      <c r="H395" s="6"/>
      <c r="I395" s="6" t="str">
        <f t="shared" si="14"/>
        <v/>
      </c>
      <c r="J395" s="4"/>
      <c r="K395" s="4"/>
      <c r="L395" s="4"/>
      <c r="M395" s="4"/>
      <c r="N395" s="4"/>
    </row>
    <row r="396" spans="1:14" ht="1.9" customHeight="1">
      <c r="A396" s="23"/>
      <c r="B396" s="6"/>
      <c r="C396" s="6"/>
      <c r="D396" s="232"/>
      <c r="E396" s="6"/>
      <c r="F396" s="6"/>
      <c r="G396" s="6" t="str">
        <f t="shared" si="13"/>
        <v/>
      </c>
      <c r="H396" s="6"/>
      <c r="I396" s="6" t="str">
        <f t="shared" si="14"/>
        <v/>
      </c>
      <c r="J396" s="4"/>
      <c r="K396" s="4"/>
      <c r="L396" s="4"/>
      <c r="M396" s="4"/>
      <c r="N396" s="4"/>
    </row>
    <row r="397" spans="1:14" ht="1.9" customHeight="1">
      <c r="A397" s="23"/>
      <c r="B397" s="6"/>
      <c r="C397" s="6"/>
      <c r="D397" s="232"/>
      <c r="E397" s="6"/>
      <c r="F397" s="6"/>
      <c r="G397" s="6" t="str">
        <f t="shared" si="13"/>
        <v/>
      </c>
      <c r="H397" s="6"/>
      <c r="I397" s="6" t="str">
        <f t="shared" si="14"/>
        <v/>
      </c>
      <c r="J397" s="4"/>
      <c r="K397" s="4"/>
      <c r="L397" s="4"/>
      <c r="M397" s="4"/>
      <c r="N397" s="4"/>
    </row>
    <row r="398" spans="1:14" ht="1.9" customHeight="1">
      <c r="A398" s="23"/>
      <c r="B398" s="6"/>
      <c r="C398" s="6"/>
      <c r="D398" s="232"/>
      <c r="E398" s="6"/>
      <c r="F398" s="6"/>
      <c r="G398" s="6" t="str">
        <f t="shared" si="13"/>
        <v/>
      </c>
      <c r="H398" s="6"/>
      <c r="I398" s="6" t="str">
        <f t="shared" si="14"/>
        <v/>
      </c>
      <c r="J398" s="4"/>
      <c r="K398" s="4"/>
      <c r="L398" s="4"/>
      <c r="M398" s="4"/>
      <c r="N398" s="4"/>
    </row>
    <row r="399" spans="1:14" ht="1.9" customHeight="1">
      <c r="A399" s="23"/>
      <c r="B399" s="6"/>
      <c r="C399" s="6"/>
      <c r="D399" s="232"/>
      <c r="E399" s="6"/>
      <c r="F399" s="6"/>
      <c r="G399" s="6" t="str">
        <f t="shared" si="13"/>
        <v/>
      </c>
      <c r="H399" s="6"/>
      <c r="I399" s="6" t="str">
        <f t="shared" si="14"/>
        <v/>
      </c>
      <c r="J399" s="4"/>
      <c r="K399" s="4"/>
      <c r="L399" s="4"/>
      <c r="M399" s="4"/>
      <c r="N399" s="4"/>
    </row>
    <row r="400" spans="1:14" ht="1.9" customHeight="1">
      <c r="A400" s="23"/>
      <c r="B400" s="6"/>
      <c r="C400" s="6"/>
      <c r="D400" s="232"/>
      <c r="E400" s="6"/>
      <c r="F400" s="6"/>
      <c r="G400" s="6" t="str">
        <f t="shared" si="13"/>
        <v/>
      </c>
      <c r="H400" s="6"/>
      <c r="I400" s="6" t="str">
        <f t="shared" si="14"/>
        <v/>
      </c>
      <c r="J400" s="4"/>
      <c r="K400" s="4"/>
      <c r="L400" s="4"/>
      <c r="M400" s="4"/>
      <c r="N400" s="4"/>
    </row>
    <row r="401" spans="1:14" ht="1.9" customHeight="1">
      <c r="A401" s="23"/>
      <c r="B401" s="6"/>
      <c r="C401" s="6"/>
      <c r="D401" s="232"/>
      <c r="E401" s="6"/>
      <c r="F401" s="6"/>
      <c r="G401" s="6" t="str">
        <f t="shared" si="13"/>
        <v/>
      </c>
      <c r="H401" s="6"/>
      <c r="I401" s="6" t="str">
        <f t="shared" si="14"/>
        <v/>
      </c>
      <c r="J401" s="4"/>
      <c r="K401" s="4"/>
      <c r="L401" s="4"/>
      <c r="M401" s="4"/>
      <c r="N401" s="4"/>
    </row>
    <row r="402" spans="1:14" ht="1.9" customHeight="1">
      <c r="A402" s="23"/>
      <c r="B402" s="6"/>
      <c r="C402" s="6"/>
      <c r="D402" s="232"/>
      <c r="E402" s="6"/>
      <c r="F402" s="6"/>
      <c r="G402" s="6" t="str">
        <f t="shared" si="13"/>
        <v/>
      </c>
      <c r="H402" s="6"/>
      <c r="I402" s="6" t="str">
        <f t="shared" si="14"/>
        <v/>
      </c>
      <c r="J402" s="4"/>
      <c r="K402" s="4"/>
      <c r="L402" s="4"/>
      <c r="M402" s="4"/>
      <c r="N402" s="4"/>
    </row>
    <row r="403" spans="1:14" ht="1.9" customHeight="1">
      <c r="A403" s="23"/>
      <c r="B403" s="6"/>
      <c r="C403" s="6"/>
      <c r="D403" s="232"/>
      <c r="E403" s="6"/>
      <c r="F403" s="6"/>
      <c r="G403" s="6" t="str">
        <f t="shared" si="13"/>
        <v/>
      </c>
      <c r="H403" s="6"/>
      <c r="I403" s="6" t="str">
        <f t="shared" si="14"/>
        <v/>
      </c>
      <c r="J403" s="4"/>
      <c r="K403" s="4"/>
      <c r="L403" s="4"/>
      <c r="M403" s="4"/>
      <c r="N403" s="4"/>
    </row>
  </sheetData>
  <mergeCells count="2">
    <mergeCell ref="A2:N2"/>
    <mergeCell ref="A1:N1"/>
  </mergeCells>
  <dataValidations count="3">
    <dataValidation type="list" allowBlank="1" sqref="F5:F403" xr:uid="{00000000-0002-0000-1600-000000000000}">
      <formula1>"Operación,Caja,Inversión,Deuda,Expansión,Universidad,Salud,Trabajo,Red / Empresas / Holding"</formula1>
    </dataValidation>
    <dataValidation type="list" allowBlank="1" sqref="E5:E403" xr:uid="{00000000-0002-0000-1600-000001000000}">
      <formula1>"Sí,No"</formula1>
    </dataValidation>
    <dataValidation type="list" allowBlank="1" sqref="B5:B403" xr:uid="{00000000-0002-0000-1600-000002000000}">
      <formula1>"Alimentación,Transporte,Universidad,Telefonía,Internet/TV,Salud,Trabajo,MGC,Imagen,Suscripción,Deuda,Inversión,Otros"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A651"/>
  </sheetPr>
  <dimension ref="A1:O220"/>
  <sheetViews>
    <sheetView showGridLines="0" workbookViewId="0"/>
  </sheetViews>
  <sheetFormatPr baseColWidth="10" defaultColWidth="14.453125" defaultRowHeight="14.5"/>
  <cols>
    <col min="1" max="1" width="10.08984375" customWidth="1"/>
    <col min="2" max="2" width="10.7265625" customWidth="1"/>
    <col min="3" max="3" width="11.453125" customWidth="1"/>
    <col min="4" max="4" width="12.7265625" customWidth="1"/>
    <col min="5" max="5" width="13.1796875" customWidth="1"/>
    <col min="6" max="6" width="13.26953125" customWidth="1"/>
    <col min="7" max="7" width="12.08984375" customWidth="1"/>
    <col min="8" max="8" width="14.36328125" customWidth="1"/>
    <col min="9" max="9" width="6.6328125" customWidth="1"/>
    <col min="10" max="10" width="13.26953125" customWidth="1"/>
    <col min="11" max="11" width="22.7265625" customWidth="1"/>
    <col min="12" max="12" width="28" customWidth="1"/>
    <col min="13" max="13" width="10" customWidth="1"/>
    <col min="14" max="14" width="22" customWidth="1"/>
    <col min="15" max="15" width="42" customWidth="1"/>
  </cols>
  <sheetData>
    <row r="1" spans="1:15">
      <c r="A1" s="432" t="s">
        <v>1587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</row>
    <row r="2" spans="1:15">
      <c r="A2" s="451" t="s">
        <v>1588</v>
      </c>
      <c r="B2" s="426"/>
      <c r="C2" s="426"/>
      <c r="D2" s="426"/>
      <c r="E2" s="426"/>
      <c r="F2" s="426"/>
      <c r="G2" s="426"/>
      <c r="H2" s="71"/>
      <c r="I2" s="71"/>
      <c r="J2" s="71"/>
      <c r="K2" s="71"/>
      <c r="L2" s="71"/>
      <c r="M2" s="71"/>
      <c r="N2" s="71"/>
      <c r="O2" s="71"/>
    </row>
    <row r="3" spans="1:1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>
      <c r="A4" s="72" t="s">
        <v>13</v>
      </c>
      <c r="B4" s="72" t="s">
        <v>1589</v>
      </c>
      <c r="C4" s="72" t="s">
        <v>1590</v>
      </c>
      <c r="D4" s="72" t="s">
        <v>1423</v>
      </c>
      <c r="E4" s="72" t="s">
        <v>1591</v>
      </c>
      <c r="F4" s="72" t="s">
        <v>1592</v>
      </c>
      <c r="G4" s="72" t="s">
        <v>1593</v>
      </c>
      <c r="H4" s="72" t="s">
        <v>1594</v>
      </c>
      <c r="I4" s="72" t="s">
        <v>1595</v>
      </c>
      <c r="J4" s="72" t="s">
        <v>655</v>
      </c>
      <c r="K4" s="72" t="s">
        <v>1065</v>
      </c>
      <c r="L4" s="72" t="s">
        <v>656</v>
      </c>
      <c r="M4" s="73"/>
      <c r="N4" s="72" t="s">
        <v>1596</v>
      </c>
      <c r="O4" s="72" t="s">
        <v>7</v>
      </c>
    </row>
    <row r="5" spans="1:15">
      <c r="A5" s="227">
        <v>46146</v>
      </c>
      <c r="B5" s="73" t="s">
        <v>1597</v>
      </c>
      <c r="C5" s="74">
        <v>202695</v>
      </c>
      <c r="D5" s="73" t="s">
        <v>1598</v>
      </c>
      <c r="E5" s="74">
        <v>202695</v>
      </c>
      <c r="F5" s="74"/>
      <c r="G5" s="74">
        <f t="shared" ref="G5:G50" si="0">IF(B5="","",C5-SUMIFS(E:E,B:B,B5)+SUMIFS(F:F,B:B,B5))</f>
        <v>-157323</v>
      </c>
      <c r="H5" s="74">
        <f t="shared" ref="H5:H36" si="1">IF(B5="","",IF(G5&lt;&gt;"",G5,MAX(C5+F5-E5,0)))</f>
        <v>-157323</v>
      </c>
      <c r="I5" s="73">
        <v>0</v>
      </c>
      <c r="J5" s="81" t="str">
        <f>IF(B5="","",IF(H5&lt;=0,"Cumplido",IF(H5&lt;=50000,"Atención","Pendiente")))</f>
        <v>Cumplido</v>
      </c>
      <c r="K5" s="73" t="s">
        <v>1599</v>
      </c>
      <c r="L5" s="73" t="s">
        <v>1600</v>
      </c>
      <c r="M5" s="73"/>
      <c r="N5" s="73" t="s">
        <v>1601</v>
      </c>
      <c r="O5" s="74">
        <f>SUM(C5:C204)</f>
        <v>1511482</v>
      </c>
    </row>
    <row r="6" spans="1:15">
      <c r="A6" s="227">
        <v>46146</v>
      </c>
      <c r="B6" s="73" t="s">
        <v>1602</v>
      </c>
      <c r="C6" s="74">
        <v>6210</v>
      </c>
      <c r="D6" s="73" t="s">
        <v>1598</v>
      </c>
      <c r="E6" s="74">
        <v>6210</v>
      </c>
      <c r="F6" s="74">
        <v>0</v>
      </c>
      <c r="G6" s="74">
        <f t="shared" si="0"/>
        <v>0</v>
      </c>
      <c r="H6" s="74">
        <f t="shared" si="1"/>
        <v>0</v>
      </c>
      <c r="I6" s="73">
        <v>0</v>
      </c>
      <c r="J6" s="81" t="str">
        <f>IF(B6="","",IF(H6&lt;=0,"Cumplido",IF(H6&lt;=50000,"Atención","Pendiente")))</f>
        <v>Cumplido</v>
      </c>
      <c r="K6" s="73" t="s">
        <v>1603</v>
      </c>
      <c r="L6" s="73" t="s">
        <v>1604</v>
      </c>
      <c r="M6" s="73"/>
      <c r="N6" s="73" t="s">
        <v>1605</v>
      </c>
      <c r="O6" s="74">
        <f>SUMIFS(E:E,A:A,"&gt;="&amp;DATE(2026,5,1),A:A,"&lt;"&amp;DATE(2026,6,1))</f>
        <v>208905</v>
      </c>
    </row>
    <row r="7" spans="1:15">
      <c r="A7" s="227">
        <v>46174</v>
      </c>
      <c r="B7" s="127" t="s">
        <v>286</v>
      </c>
      <c r="C7" s="74">
        <v>213692</v>
      </c>
      <c r="D7" s="73" t="s">
        <v>1598</v>
      </c>
      <c r="E7" s="74">
        <v>213692</v>
      </c>
      <c r="F7" s="74"/>
      <c r="G7" s="74">
        <f t="shared" si="0"/>
        <v>-213692</v>
      </c>
      <c r="H7" s="74">
        <f t="shared" si="1"/>
        <v>-213692</v>
      </c>
      <c r="I7" s="73">
        <v>12</v>
      </c>
      <c r="J7" s="81" t="str">
        <f>IF(B7="","",IF(H7&lt;=0,"Cumplido",IF(H7&lt;=50000,"Atención","Pendiente")))</f>
        <v>Cumplido</v>
      </c>
      <c r="K7" s="73" t="s">
        <v>1603</v>
      </c>
      <c r="L7" s="127" t="s">
        <v>1606</v>
      </c>
      <c r="M7" s="73"/>
      <c r="N7" s="73" t="s">
        <v>1607</v>
      </c>
      <c r="O7" s="74">
        <f>SUM(F5:F204)</f>
        <v>103211</v>
      </c>
    </row>
    <row r="8" spans="1:15">
      <c r="A8" s="227">
        <v>46174</v>
      </c>
      <c r="B8" s="73" t="s">
        <v>1597</v>
      </c>
      <c r="C8" s="74">
        <v>116193</v>
      </c>
      <c r="D8" s="73" t="s">
        <v>1598</v>
      </c>
      <c r="E8" s="74">
        <v>116193</v>
      </c>
      <c r="F8" s="74"/>
      <c r="G8" s="74">
        <f t="shared" si="0"/>
        <v>-243825</v>
      </c>
      <c r="H8" s="74">
        <f t="shared" si="1"/>
        <v>-243825</v>
      </c>
      <c r="I8" s="73"/>
      <c r="J8" s="81" t="str">
        <f>IF(B8="","",IF(H8&lt;=0,"Cumplido",IF(H8&lt;=50000,"Atención","Pendiente")))</f>
        <v>Cumplido</v>
      </c>
      <c r="K8" s="73" t="s">
        <v>1599</v>
      </c>
      <c r="L8" s="127" t="s">
        <v>1608</v>
      </c>
      <c r="M8" s="73"/>
      <c r="N8" s="73" t="s">
        <v>1609</v>
      </c>
      <c r="O8" s="74">
        <f>SUM(H5:H204)</f>
        <v>-653763</v>
      </c>
    </row>
    <row r="9" spans="1:15">
      <c r="A9" s="227">
        <v>46188</v>
      </c>
      <c r="B9" s="127" t="s">
        <v>1610</v>
      </c>
      <c r="C9" s="74">
        <v>71589</v>
      </c>
      <c r="D9" s="73" t="s">
        <v>1598</v>
      </c>
      <c r="E9" s="74">
        <v>71589</v>
      </c>
      <c r="F9" s="74"/>
      <c r="G9" s="74">
        <f t="shared" si="0"/>
        <v>-45300</v>
      </c>
      <c r="H9" s="74">
        <f t="shared" si="1"/>
        <v>-45300</v>
      </c>
      <c r="I9" s="73"/>
      <c r="J9" s="81" t="str">
        <f>IF(B9="","",IF(H9&lt;=0,"Cumplido",IF(H9&lt;=50000,"Atención","Pendiente")))</f>
        <v>Cumplido</v>
      </c>
      <c r="K9" s="73" t="s">
        <v>1599</v>
      </c>
      <c r="L9" s="127" t="s">
        <v>1611</v>
      </c>
      <c r="M9" s="73"/>
      <c r="N9" s="73" t="s">
        <v>1612</v>
      </c>
      <c r="O9" s="74">
        <f>O5-O8</f>
        <v>2165245</v>
      </c>
    </row>
    <row r="10" spans="1:15">
      <c r="A10" s="73"/>
      <c r="B10" s="73" t="s">
        <v>1602</v>
      </c>
      <c r="C10" s="74">
        <v>6210</v>
      </c>
      <c r="D10" s="73" t="s">
        <v>1613</v>
      </c>
      <c r="E10" s="74"/>
      <c r="F10" s="74"/>
      <c r="G10" s="74">
        <f t="shared" si="0"/>
        <v>0</v>
      </c>
      <c r="H10" s="74">
        <f t="shared" si="1"/>
        <v>0</v>
      </c>
      <c r="I10" s="73"/>
      <c r="J10" s="81" t="s">
        <v>1614</v>
      </c>
      <c r="K10" s="73"/>
      <c r="L10" s="127" t="s">
        <v>1615</v>
      </c>
      <c r="M10" s="73"/>
      <c r="N10" s="73"/>
      <c r="O10" s="73"/>
    </row>
    <row r="11" spans="1:15">
      <c r="A11" s="73"/>
      <c r="B11" s="127" t="s">
        <v>1616</v>
      </c>
      <c r="C11" s="74">
        <v>551053</v>
      </c>
      <c r="D11" s="73" t="s">
        <v>1617</v>
      </c>
      <c r="E11" s="74"/>
      <c r="F11" s="74">
        <v>103211</v>
      </c>
      <c r="G11" s="74">
        <f t="shared" si="0"/>
        <v>654264</v>
      </c>
      <c r="H11" s="74">
        <f t="shared" si="1"/>
        <v>654264</v>
      </c>
      <c r="I11" s="73">
        <v>24</v>
      </c>
      <c r="J11" s="81" t="str">
        <f>IF(B11="","",IF(H11&lt;=0,"Cumplido",IF(H11&lt;=50000,"Atención","Pendiente")))</f>
        <v>Pendiente</v>
      </c>
      <c r="K11" s="73"/>
      <c r="L11" s="127" t="s">
        <v>1618</v>
      </c>
      <c r="M11" s="73"/>
      <c r="N11" s="73"/>
      <c r="O11" s="73"/>
    </row>
    <row r="12" spans="1:15">
      <c r="A12" s="227">
        <v>46189</v>
      </c>
      <c r="B12" s="127" t="s">
        <v>1619</v>
      </c>
      <c r="C12" s="74">
        <v>21859</v>
      </c>
      <c r="D12" s="73" t="s">
        <v>1613</v>
      </c>
      <c r="E12" s="74">
        <v>21859</v>
      </c>
      <c r="F12" s="74"/>
      <c r="G12" s="74">
        <f t="shared" si="0"/>
        <v>-21859</v>
      </c>
      <c r="H12" s="74">
        <f t="shared" si="1"/>
        <v>-21859</v>
      </c>
      <c r="I12" s="73">
        <v>0</v>
      </c>
      <c r="J12" s="81" t="str">
        <f>IF(B12="","",IF(H12&lt;=0,"Cumplido",IF(H12&lt;=50000,"Atención","Pendiente")))</f>
        <v>Cumplido</v>
      </c>
      <c r="K12" s="73" t="s">
        <v>1599</v>
      </c>
      <c r="L12" s="127" t="s">
        <v>1619</v>
      </c>
      <c r="M12" s="73"/>
      <c r="N12" s="73"/>
      <c r="O12" s="73"/>
    </row>
    <row r="13" spans="1:15">
      <c r="A13" s="227">
        <v>46208</v>
      </c>
      <c r="B13" s="127" t="s">
        <v>286</v>
      </c>
      <c r="C13" s="74">
        <v>213692</v>
      </c>
      <c r="D13" s="73" t="s">
        <v>1598</v>
      </c>
      <c r="E13" s="74">
        <v>213692</v>
      </c>
      <c r="F13" s="74"/>
      <c r="G13" s="74">
        <f t="shared" si="0"/>
        <v>-213692</v>
      </c>
      <c r="H13" s="74">
        <f t="shared" si="1"/>
        <v>-213692</v>
      </c>
      <c r="I13" s="73">
        <v>12</v>
      </c>
      <c r="J13" s="81" t="s">
        <v>1279</v>
      </c>
      <c r="K13" s="127" t="s">
        <v>1620</v>
      </c>
      <c r="L13" s="127" t="s">
        <v>1606</v>
      </c>
      <c r="M13" s="73"/>
      <c r="N13" s="73"/>
      <c r="O13" s="73"/>
    </row>
    <row r="14" spans="1:15">
      <c r="A14" s="227">
        <v>46208</v>
      </c>
      <c r="B14" s="73" t="s">
        <v>1597</v>
      </c>
      <c r="C14" s="74">
        <v>41130</v>
      </c>
      <c r="D14" s="73" t="s">
        <v>1598</v>
      </c>
      <c r="E14" s="74">
        <v>41130</v>
      </c>
      <c r="F14" s="74"/>
      <c r="G14" s="74">
        <f t="shared" si="0"/>
        <v>-318888</v>
      </c>
      <c r="H14" s="74">
        <f t="shared" si="1"/>
        <v>-318888</v>
      </c>
      <c r="I14" s="73">
        <v>0</v>
      </c>
      <c r="J14" s="81" t="s">
        <v>1621</v>
      </c>
      <c r="K14" s="127" t="s">
        <v>1622</v>
      </c>
      <c r="L14" s="127" t="s">
        <v>1608</v>
      </c>
      <c r="M14" s="73"/>
      <c r="N14" s="73"/>
      <c r="O14" s="73"/>
    </row>
    <row r="15" spans="1:15">
      <c r="A15" s="227">
        <v>46213</v>
      </c>
      <c r="B15" s="127" t="s">
        <v>1610</v>
      </c>
      <c r="C15" s="74">
        <v>45300</v>
      </c>
      <c r="D15" s="73" t="s">
        <v>1598</v>
      </c>
      <c r="E15" s="74">
        <v>45300</v>
      </c>
      <c r="F15" s="74"/>
      <c r="G15" s="74">
        <f t="shared" si="0"/>
        <v>-71589</v>
      </c>
      <c r="H15" s="74">
        <f t="shared" si="1"/>
        <v>-71589</v>
      </c>
      <c r="I15" s="73">
        <v>0</v>
      </c>
      <c r="J15" s="81" t="s">
        <v>1621</v>
      </c>
      <c r="K15" s="127" t="s">
        <v>1622</v>
      </c>
      <c r="L15" s="127" t="s">
        <v>1611</v>
      </c>
      <c r="M15" s="73"/>
      <c r="N15" s="73"/>
      <c r="O15" s="73"/>
    </row>
    <row r="16" spans="1:15">
      <c r="A16" s="227">
        <v>46213</v>
      </c>
      <c r="B16" s="127" t="s">
        <v>1619</v>
      </c>
      <c r="C16" s="74">
        <v>21859</v>
      </c>
      <c r="D16" s="73" t="s">
        <v>1613</v>
      </c>
      <c r="E16" s="74">
        <v>21859</v>
      </c>
      <c r="F16" s="74"/>
      <c r="G16" s="74">
        <f t="shared" si="0"/>
        <v>-21859</v>
      </c>
      <c r="H16" s="74">
        <f t="shared" si="1"/>
        <v>-21859</v>
      </c>
      <c r="I16" s="73">
        <v>0</v>
      </c>
      <c r="J16" s="81" t="s">
        <v>1279</v>
      </c>
      <c r="K16" s="73" t="s">
        <v>1599</v>
      </c>
      <c r="L16" s="127" t="s">
        <v>1619</v>
      </c>
      <c r="M16" s="73"/>
      <c r="N16" s="73"/>
      <c r="O16" s="73"/>
    </row>
    <row r="17" spans="1:15">
      <c r="A17" s="73"/>
      <c r="B17" s="73"/>
      <c r="C17" s="74"/>
      <c r="D17" s="73"/>
      <c r="E17" s="74"/>
      <c r="F17" s="74"/>
      <c r="G17" s="74" t="str">
        <f t="shared" si="0"/>
        <v/>
      </c>
      <c r="H17" s="74" t="str">
        <f t="shared" si="1"/>
        <v/>
      </c>
      <c r="I17" s="73"/>
      <c r="J17" s="81" t="str">
        <f t="shared" ref="J17:J48" si="2">IF(B17="","",IF(H17&lt;=0,"Cumplido",IF(H17&lt;=50000,"Atención","Pendiente")))</f>
        <v/>
      </c>
      <c r="K17" s="73"/>
      <c r="L17" s="73"/>
      <c r="M17" s="73"/>
      <c r="N17" s="73"/>
      <c r="O17" s="73"/>
    </row>
    <row r="18" spans="1:15">
      <c r="A18" s="73"/>
      <c r="B18" s="73"/>
      <c r="C18" s="74"/>
      <c r="D18" s="73"/>
      <c r="E18" s="74"/>
      <c r="F18" s="74"/>
      <c r="G18" s="74" t="str">
        <f t="shared" si="0"/>
        <v/>
      </c>
      <c r="H18" s="74" t="str">
        <f t="shared" si="1"/>
        <v/>
      </c>
      <c r="I18" s="73"/>
      <c r="J18" s="81" t="str">
        <f t="shared" si="2"/>
        <v/>
      </c>
      <c r="K18" s="73"/>
      <c r="L18" s="73"/>
      <c r="M18" s="73"/>
      <c r="N18" s="73"/>
      <c r="O18" s="73"/>
    </row>
    <row r="19" spans="1:15">
      <c r="A19" s="73"/>
      <c r="B19" s="73"/>
      <c r="C19" s="74"/>
      <c r="D19" s="73"/>
      <c r="E19" s="74"/>
      <c r="F19" s="74"/>
      <c r="G19" s="74" t="str">
        <f t="shared" si="0"/>
        <v/>
      </c>
      <c r="H19" s="74" t="str">
        <f t="shared" si="1"/>
        <v/>
      </c>
      <c r="I19" s="73"/>
      <c r="J19" s="81" t="str">
        <f t="shared" si="2"/>
        <v/>
      </c>
      <c r="K19" s="73"/>
      <c r="L19" s="73"/>
      <c r="M19" s="73"/>
      <c r="N19" s="73"/>
      <c r="O19" s="73"/>
    </row>
    <row r="20" spans="1:15">
      <c r="A20" s="73"/>
      <c r="B20" s="73"/>
      <c r="C20" s="74"/>
      <c r="D20" s="73"/>
      <c r="E20" s="74"/>
      <c r="F20" s="74"/>
      <c r="G20" s="74" t="str">
        <f t="shared" si="0"/>
        <v/>
      </c>
      <c r="H20" s="74" t="str">
        <f t="shared" si="1"/>
        <v/>
      </c>
      <c r="I20" s="73"/>
      <c r="J20" s="81" t="str">
        <f t="shared" si="2"/>
        <v/>
      </c>
      <c r="K20" s="73"/>
      <c r="L20" s="73"/>
      <c r="M20" s="73"/>
      <c r="N20" s="73"/>
      <c r="O20" s="73"/>
    </row>
    <row r="21" spans="1:15" ht="1.9" customHeight="1">
      <c r="A21" s="71"/>
      <c r="B21" s="71"/>
      <c r="C21" s="78"/>
      <c r="D21" s="71"/>
      <c r="E21" s="78"/>
      <c r="F21" s="78"/>
      <c r="G21" s="78" t="str">
        <f t="shared" si="0"/>
        <v/>
      </c>
      <c r="H21" s="78" t="str">
        <f t="shared" si="1"/>
        <v/>
      </c>
      <c r="I21" s="71"/>
      <c r="J21" s="71" t="str">
        <f t="shared" si="2"/>
        <v/>
      </c>
      <c r="K21" s="71"/>
      <c r="L21" s="71"/>
      <c r="M21" s="71"/>
      <c r="N21" s="71"/>
      <c r="O21" s="71"/>
    </row>
    <row r="22" spans="1:15" ht="1.9" customHeight="1">
      <c r="A22" s="71"/>
      <c r="B22" s="71"/>
      <c r="C22" s="78"/>
      <c r="D22" s="71"/>
      <c r="E22" s="78"/>
      <c r="F22" s="78"/>
      <c r="G22" s="78" t="str">
        <f t="shared" si="0"/>
        <v/>
      </c>
      <c r="H22" s="78" t="str">
        <f t="shared" si="1"/>
        <v/>
      </c>
      <c r="I22" s="71"/>
      <c r="J22" s="71" t="str">
        <f t="shared" si="2"/>
        <v/>
      </c>
      <c r="K22" s="71"/>
      <c r="L22" s="71"/>
      <c r="M22" s="71"/>
      <c r="N22" s="71"/>
      <c r="O22" s="71"/>
    </row>
    <row r="23" spans="1:15" ht="1.9" customHeight="1">
      <c r="A23" s="71"/>
      <c r="B23" s="71"/>
      <c r="C23" s="78"/>
      <c r="D23" s="71"/>
      <c r="E23" s="78"/>
      <c r="F23" s="78"/>
      <c r="G23" s="78" t="str">
        <f t="shared" si="0"/>
        <v/>
      </c>
      <c r="H23" s="78" t="str">
        <f t="shared" si="1"/>
        <v/>
      </c>
      <c r="I23" s="71"/>
      <c r="J23" s="71" t="str">
        <f t="shared" si="2"/>
        <v/>
      </c>
      <c r="K23" s="71"/>
      <c r="L23" s="71"/>
      <c r="M23" s="71"/>
      <c r="N23" s="71"/>
      <c r="O23" s="71"/>
    </row>
    <row r="24" spans="1:15" ht="1.9" customHeight="1">
      <c r="A24" s="71"/>
      <c r="B24" s="71"/>
      <c r="C24" s="78"/>
      <c r="D24" s="71"/>
      <c r="E24" s="78"/>
      <c r="F24" s="78"/>
      <c r="G24" s="78" t="str">
        <f t="shared" si="0"/>
        <v/>
      </c>
      <c r="H24" s="78" t="str">
        <f t="shared" si="1"/>
        <v/>
      </c>
      <c r="I24" s="71"/>
      <c r="J24" s="71" t="str">
        <f t="shared" si="2"/>
        <v/>
      </c>
      <c r="K24" s="71"/>
      <c r="L24" s="71"/>
      <c r="M24" s="71"/>
      <c r="N24" s="71"/>
      <c r="O24" s="71"/>
    </row>
    <row r="25" spans="1:15" ht="1.9" customHeight="1">
      <c r="A25" s="71"/>
      <c r="B25" s="71"/>
      <c r="C25" s="78"/>
      <c r="D25" s="71"/>
      <c r="E25" s="78"/>
      <c r="F25" s="78"/>
      <c r="G25" s="78" t="str">
        <f t="shared" si="0"/>
        <v/>
      </c>
      <c r="H25" s="78" t="str">
        <f t="shared" si="1"/>
        <v/>
      </c>
      <c r="I25" s="71"/>
      <c r="J25" s="71" t="str">
        <f t="shared" si="2"/>
        <v/>
      </c>
      <c r="K25" s="71"/>
      <c r="L25" s="71"/>
      <c r="M25" s="71"/>
      <c r="N25" s="71"/>
      <c r="O25" s="71"/>
    </row>
    <row r="26" spans="1:15" ht="1.9" customHeight="1">
      <c r="A26" s="71"/>
      <c r="B26" s="71"/>
      <c r="C26" s="78"/>
      <c r="D26" s="71"/>
      <c r="E26" s="78"/>
      <c r="F26" s="78"/>
      <c r="G26" s="78" t="str">
        <f t="shared" si="0"/>
        <v/>
      </c>
      <c r="H26" s="78" t="str">
        <f t="shared" si="1"/>
        <v/>
      </c>
      <c r="I26" s="71"/>
      <c r="J26" s="71" t="str">
        <f t="shared" si="2"/>
        <v/>
      </c>
      <c r="K26" s="71"/>
      <c r="L26" s="71"/>
      <c r="M26" s="71"/>
      <c r="N26" s="71"/>
      <c r="O26" s="71"/>
    </row>
    <row r="27" spans="1:15" ht="1.9" customHeight="1">
      <c r="A27" s="71"/>
      <c r="B27" s="71"/>
      <c r="C27" s="78"/>
      <c r="D27" s="71"/>
      <c r="E27" s="78"/>
      <c r="F27" s="78"/>
      <c r="G27" s="78" t="str">
        <f t="shared" si="0"/>
        <v/>
      </c>
      <c r="H27" s="78" t="str">
        <f t="shared" si="1"/>
        <v/>
      </c>
      <c r="I27" s="71"/>
      <c r="J27" s="71" t="str">
        <f t="shared" si="2"/>
        <v/>
      </c>
      <c r="K27" s="71"/>
      <c r="L27" s="71"/>
      <c r="M27" s="71"/>
      <c r="N27" s="71"/>
      <c r="O27" s="71"/>
    </row>
    <row r="28" spans="1:15" ht="1.9" customHeight="1">
      <c r="A28" s="71"/>
      <c r="B28" s="71"/>
      <c r="C28" s="78"/>
      <c r="D28" s="71"/>
      <c r="E28" s="78"/>
      <c r="F28" s="78"/>
      <c r="G28" s="78" t="str">
        <f t="shared" si="0"/>
        <v/>
      </c>
      <c r="H28" s="78" t="str">
        <f t="shared" si="1"/>
        <v/>
      </c>
      <c r="I28" s="71"/>
      <c r="J28" s="71" t="str">
        <f t="shared" si="2"/>
        <v/>
      </c>
      <c r="K28" s="71"/>
      <c r="L28" s="71"/>
      <c r="M28" s="71"/>
      <c r="N28" s="71"/>
      <c r="O28" s="71"/>
    </row>
    <row r="29" spans="1:15" ht="1.9" customHeight="1">
      <c r="A29" s="71"/>
      <c r="B29" s="71"/>
      <c r="C29" s="78"/>
      <c r="D29" s="71"/>
      <c r="E29" s="78"/>
      <c r="F29" s="78"/>
      <c r="G29" s="78" t="str">
        <f t="shared" si="0"/>
        <v/>
      </c>
      <c r="H29" s="78" t="str">
        <f t="shared" si="1"/>
        <v/>
      </c>
      <c r="I29" s="71"/>
      <c r="J29" s="71" t="str">
        <f t="shared" si="2"/>
        <v/>
      </c>
      <c r="K29" s="71"/>
      <c r="L29" s="71"/>
      <c r="M29" s="71"/>
      <c r="N29" s="71"/>
      <c r="O29" s="71"/>
    </row>
    <row r="30" spans="1:15" ht="1.9" customHeight="1">
      <c r="A30" s="71"/>
      <c r="B30" s="71"/>
      <c r="C30" s="78"/>
      <c r="D30" s="71"/>
      <c r="E30" s="78"/>
      <c r="F30" s="78"/>
      <c r="G30" s="78" t="str">
        <f t="shared" si="0"/>
        <v/>
      </c>
      <c r="H30" s="78" t="str">
        <f t="shared" si="1"/>
        <v/>
      </c>
      <c r="I30" s="71"/>
      <c r="J30" s="71" t="str">
        <f t="shared" si="2"/>
        <v/>
      </c>
      <c r="K30" s="71"/>
      <c r="L30" s="71"/>
      <c r="M30" s="71"/>
      <c r="N30" s="71"/>
      <c r="O30" s="71"/>
    </row>
    <row r="31" spans="1:15" ht="1.9" customHeight="1">
      <c r="A31" s="71"/>
      <c r="B31" s="71"/>
      <c r="C31" s="78"/>
      <c r="D31" s="71"/>
      <c r="E31" s="78"/>
      <c r="F31" s="78"/>
      <c r="G31" s="78" t="str">
        <f t="shared" si="0"/>
        <v/>
      </c>
      <c r="H31" s="78" t="str">
        <f t="shared" si="1"/>
        <v/>
      </c>
      <c r="I31" s="71"/>
      <c r="J31" s="71" t="str">
        <f t="shared" si="2"/>
        <v/>
      </c>
      <c r="K31" s="71"/>
      <c r="L31" s="71"/>
      <c r="M31" s="71"/>
      <c r="N31" s="71"/>
      <c r="O31" s="71"/>
    </row>
    <row r="32" spans="1:15" ht="1.9" customHeight="1">
      <c r="A32" s="71"/>
      <c r="B32" s="71"/>
      <c r="C32" s="78"/>
      <c r="D32" s="71"/>
      <c r="E32" s="78"/>
      <c r="F32" s="78"/>
      <c r="G32" s="78" t="str">
        <f t="shared" si="0"/>
        <v/>
      </c>
      <c r="H32" s="78" t="str">
        <f t="shared" si="1"/>
        <v/>
      </c>
      <c r="I32" s="71"/>
      <c r="J32" s="71" t="str">
        <f t="shared" si="2"/>
        <v/>
      </c>
      <c r="K32" s="71"/>
      <c r="L32" s="71"/>
      <c r="M32" s="71"/>
      <c r="N32" s="71"/>
      <c r="O32" s="71"/>
    </row>
    <row r="33" spans="1:15" ht="1.9" customHeight="1">
      <c r="A33" s="71"/>
      <c r="B33" s="71"/>
      <c r="C33" s="78"/>
      <c r="D33" s="71"/>
      <c r="E33" s="78"/>
      <c r="F33" s="78"/>
      <c r="G33" s="78" t="str">
        <f t="shared" si="0"/>
        <v/>
      </c>
      <c r="H33" s="78" t="str">
        <f t="shared" si="1"/>
        <v/>
      </c>
      <c r="I33" s="71"/>
      <c r="J33" s="71" t="str">
        <f t="shared" si="2"/>
        <v/>
      </c>
      <c r="K33" s="71"/>
      <c r="L33" s="71"/>
      <c r="M33" s="71"/>
      <c r="N33" s="71"/>
      <c r="O33" s="71"/>
    </row>
    <row r="34" spans="1:15" ht="1.9" customHeight="1">
      <c r="A34" s="71"/>
      <c r="B34" s="71"/>
      <c r="C34" s="78"/>
      <c r="D34" s="71"/>
      <c r="E34" s="78"/>
      <c r="F34" s="78"/>
      <c r="G34" s="78" t="str">
        <f t="shared" si="0"/>
        <v/>
      </c>
      <c r="H34" s="78" t="str">
        <f t="shared" si="1"/>
        <v/>
      </c>
      <c r="I34" s="71"/>
      <c r="J34" s="71" t="str">
        <f t="shared" si="2"/>
        <v/>
      </c>
      <c r="K34" s="71"/>
      <c r="L34" s="71"/>
      <c r="M34" s="71"/>
      <c r="N34" s="71"/>
      <c r="O34" s="71"/>
    </row>
    <row r="35" spans="1:15" ht="1.9" customHeight="1">
      <c r="A35" s="71"/>
      <c r="B35" s="71"/>
      <c r="C35" s="78"/>
      <c r="D35" s="71"/>
      <c r="E35" s="78"/>
      <c r="F35" s="78"/>
      <c r="G35" s="78" t="str">
        <f t="shared" si="0"/>
        <v/>
      </c>
      <c r="H35" s="78" t="str">
        <f t="shared" si="1"/>
        <v/>
      </c>
      <c r="I35" s="71"/>
      <c r="J35" s="71" t="str">
        <f t="shared" si="2"/>
        <v/>
      </c>
      <c r="K35" s="71"/>
      <c r="L35" s="71"/>
      <c r="M35" s="71"/>
      <c r="N35" s="71"/>
      <c r="O35" s="71"/>
    </row>
    <row r="36" spans="1:15" ht="1.9" customHeight="1">
      <c r="A36" s="71"/>
      <c r="B36" s="71"/>
      <c r="C36" s="78"/>
      <c r="D36" s="71"/>
      <c r="E36" s="78"/>
      <c r="F36" s="78"/>
      <c r="G36" s="78" t="str">
        <f t="shared" si="0"/>
        <v/>
      </c>
      <c r="H36" s="78" t="str">
        <f t="shared" si="1"/>
        <v/>
      </c>
      <c r="I36" s="71"/>
      <c r="J36" s="71" t="str">
        <f t="shared" si="2"/>
        <v/>
      </c>
      <c r="K36" s="71"/>
      <c r="L36" s="71"/>
      <c r="M36" s="71"/>
      <c r="N36" s="71"/>
      <c r="O36" s="71"/>
    </row>
    <row r="37" spans="1:15" ht="1.9" customHeight="1">
      <c r="A37" s="71"/>
      <c r="B37" s="71"/>
      <c r="C37" s="78"/>
      <c r="D37" s="71"/>
      <c r="E37" s="78"/>
      <c r="F37" s="78"/>
      <c r="G37" s="78" t="str">
        <f t="shared" si="0"/>
        <v/>
      </c>
      <c r="H37" s="78" t="str">
        <f t="shared" ref="H37:H68" si="3">IF(B37="","",IF(G37&lt;&gt;"",G37,MAX(C37+F37-E37,0)))</f>
        <v/>
      </c>
      <c r="I37" s="71"/>
      <c r="J37" s="71" t="str">
        <f t="shared" si="2"/>
        <v/>
      </c>
      <c r="K37" s="71"/>
      <c r="L37" s="71"/>
      <c r="M37" s="71"/>
      <c r="N37" s="71"/>
      <c r="O37" s="71"/>
    </row>
    <row r="38" spans="1:15" ht="1.9" customHeight="1">
      <c r="A38" s="71"/>
      <c r="B38" s="71"/>
      <c r="C38" s="78"/>
      <c r="D38" s="71"/>
      <c r="E38" s="78"/>
      <c r="F38" s="78"/>
      <c r="G38" s="78" t="str">
        <f t="shared" si="0"/>
        <v/>
      </c>
      <c r="H38" s="78" t="str">
        <f t="shared" si="3"/>
        <v/>
      </c>
      <c r="I38" s="71"/>
      <c r="J38" s="71" t="str">
        <f t="shared" si="2"/>
        <v/>
      </c>
      <c r="K38" s="71"/>
      <c r="L38" s="71"/>
      <c r="M38" s="71"/>
      <c r="N38" s="71"/>
      <c r="O38" s="71"/>
    </row>
    <row r="39" spans="1:15" ht="1.9" customHeight="1">
      <c r="A39" s="71"/>
      <c r="B39" s="71"/>
      <c r="C39" s="78"/>
      <c r="D39" s="71"/>
      <c r="E39" s="78"/>
      <c r="F39" s="78"/>
      <c r="G39" s="78" t="str">
        <f t="shared" si="0"/>
        <v/>
      </c>
      <c r="H39" s="78" t="str">
        <f t="shared" si="3"/>
        <v/>
      </c>
      <c r="I39" s="71"/>
      <c r="J39" s="71" t="str">
        <f t="shared" si="2"/>
        <v/>
      </c>
      <c r="K39" s="71"/>
      <c r="L39" s="71"/>
      <c r="M39" s="71"/>
      <c r="N39" s="71"/>
      <c r="O39" s="71"/>
    </row>
    <row r="40" spans="1:15" ht="1.9" customHeight="1">
      <c r="A40" s="71"/>
      <c r="B40" s="71"/>
      <c r="C40" s="78"/>
      <c r="D40" s="71"/>
      <c r="E40" s="78"/>
      <c r="F40" s="78"/>
      <c r="G40" s="78" t="str">
        <f t="shared" si="0"/>
        <v/>
      </c>
      <c r="H40" s="78" t="str">
        <f t="shared" si="3"/>
        <v/>
      </c>
      <c r="I40" s="71"/>
      <c r="J40" s="71" t="str">
        <f t="shared" si="2"/>
        <v/>
      </c>
      <c r="K40" s="71"/>
      <c r="L40" s="71"/>
      <c r="M40" s="71"/>
      <c r="N40" s="71"/>
      <c r="O40" s="71"/>
    </row>
    <row r="41" spans="1:15" ht="1.9" customHeight="1">
      <c r="A41" s="71"/>
      <c r="B41" s="71"/>
      <c r="C41" s="78"/>
      <c r="D41" s="71"/>
      <c r="E41" s="78"/>
      <c r="F41" s="78"/>
      <c r="G41" s="78" t="str">
        <f t="shared" si="0"/>
        <v/>
      </c>
      <c r="H41" s="78" t="str">
        <f t="shared" si="3"/>
        <v/>
      </c>
      <c r="I41" s="71"/>
      <c r="J41" s="71" t="str">
        <f t="shared" si="2"/>
        <v/>
      </c>
      <c r="K41" s="71"/>
      <c r="L41" s="71"/>
      <c r="M41" s="71"/>
      <c r="N41" s="71"/>
      <c r="O41" s="71"/>
    </row>
    <row r="42" spans="1:15" ht="1.9" customHeight="1">
      <c r="A42" s="71"/>
      <c r="B42" s="71"/>
      <c r="C42" s="78"/>
      <c r="D42" s="71"/>
      <c r="E42" s="78"/>
      <c r="F42" s="78"/>
      <c r="G42" s="78" t="str">
        <f t="shared" si="0"/>
        <v/>
      </c>
      <c r="H42" s="78" t="str">
        <f t="shared" si="3"/>
        <v/>
      </c>
      <c r="I42" s="71"/>
      <c r="J42" s="71" t="str">
        <f t="shared" si="2"/>
        <v/>
      </c>
      <c r="K42" s="71"/>
      <c r="L42" s="71"/>
      <c r="M42" s="71"/>
      <c r="N42" s="71"/>
      <c r="O42" s="71"/>
    </row>
    <row r="43" spans="1:15" ht="1.9" customHeight="1">
      <c r="A43" s="71"/>
      <c r="B43" s="71"/>
      <c r="C43" s="78"/>
      <c r="D43" s="71"/>
      <c r="E43" s="78"/>
      <c r="F43" s="78"/>
      <c r="G43" s="78" t="str">
        <f t="shared" si="0"/>
        <v/>
      </c>
      <c r="H43" s="78" t="str">
        <f t="shared" si="3"/>
        <v/>
      </c>
      <c r="I43" s="71"/>
      <c r="J43" s="71" t="str">
        <f t="shared" si="2"/>
        <v/>
      </c>
      <c r="K43" s="71"/>
      <c r="L43" s="71"/>
      <c r="M43" s="71"/>
      <c r="N43" s="71"/>
      <c r="O43" s="71"/>
    </row>
    <row r="44" spans="1:15" ht="1.9" customHeight="1">
      <c r="A44" s="71"/>
      <c r="B44" s="71"/>
      <c r="C44" s="78"/>
      <c r="D44" s="71"/>
      <c r="E44" s="78"/>
      <c r="F44" s="78"/>
      <c r="G44" s="78" t="str">
        <f t="shared" si="0"/>
        <v/>
      </c>
      <c r="H44" s="78" t="str">
        <f t="shared" si="3"/>
        <v/>
      </c>
      <c r="I44" s="71"/>
      <c r="J44" s="71" t="str">
        <f t="shared" si="2"/>
        <v/>
      </c>
      <c r="K44" s="71"/>
      <c r="L44" s="71"/>
      <c r="M44" s="71"/>
      <c r="N44" s="71"/>
      <c r="O44" s="71"/>
    </row>
    <row r="45" spans="1:15" ht="1.9" customHeight="1">
      <c r="A45" s="71"/>
      <c r="B45" s="71"/>
      <c r="C45" s="78"/>
      <c r="D45" s="71"/>
      <c r="E45" s="78"/>
      <c r="F45" s="78"/>
      <c r="G45" s="78" t="str">
        <f t="shared" si="0"/>
        <v/>
      </c>
      <c r="H45" s="78" t="str">
        <f t="shared" si="3"/>
        <v/>
      </c>
      <c r="I45" s="71"/>
      <c r="J45" s="71" t="str">
        <f t="shared" si="2"/>
        <v/>
      </c>
      <c r="K45" s="71"/>
      <c r="L45" s="71"/>
      <c r="M45" s="71"/>
      <c r="N45" s="71"/>
      <c r="O45" s="71"/>
    </row>
    <row r="46" spans="1:15" ht="1.9" customHeight="1">
      <c r="A46" s="71"/>
      <c r="B46" s="71"/>
      <c r="C46" s="78"/>
      <c r="D46" s="71"/>
      <c r="E46" s="78"/>
      <c r="F46" s="78"/>
      <c r="G46" s="78" t="str">
        <f t="shared" si="0"/>
        <v/>
      </c>
      <c r="H46" s="78" t="str">
        <f t="shared" si="3"/>
        <v/>
      </c>
      <c r="I46" s="71"/>
      <c r="J46" s="71" t="str">
        <f t="shared" si="2"/>
        <v/>
      </c>
      <c r="K46" s="71"/>
      <c r="L46" s="71"/>
      <c r="M46" s="71"/>
      <c r="N46" s="71"/>
      <c r="O46" s="71"/>
    </row>
    <row r="47" spans="1:15" ht="1.9" customHeight="1">
      <c r="A47" s="71"/>
      <c r="B47" s="71"/>
      <c r="C47" s="78"/>
      <c r="D47" s="71"/>
      <c r="E47" s="78"/>
      <c r="F47" s="78"/>
      <c r="G47" s="78" t="str">
        <f t="shared" si="0"/>
        <v/>
      </c>
      <c r="H47" s="78" t="str">
        <f t="shared" si="3"/>
        <v/>
      </c>
      <c r="I47" s="71"/>
      <c r="J47" s="71" t="str">
        <f t="shared" si="2"/>
        <v/>
      </c>
      <c r="K47" s="71"/>
      <c r="L47" s="71"/>
      <c r="M47" s="71"/>
      <c r="N47" s="71"/>
      <c r="O47" s="71"/>
    </row>
    <row r="48" spans="1:15" ht="1.9" customHeight="1">
      <c r="A48" s="71"/>
      <c r="B48" s="71"/>
      <c r="C48" s="78"/>
      <c r="D48" s="71"/>
      <c r="E48" s="78"/>
      <c r="F48" s="78"/>
      <c r="G48" s="78" t="str">
        <f t="shared" si="0"/>
        <v/>
      </c>
      <c r="H48" s="78" t="str">
        <f t="shared" si="3"/>
        <v/>
      </c>
      <c r="I48" s="71"/>
      <c r="J48" s="71" t="str">
        <f t="shared" si="2"/>
        <v/>
      </c>
      <c r="K48" s="71"/>
      <c r="L48" s="71"/>
      <c r="M48" s="71"/>
      <c r="N48" s="71"/>
      <c r="O48" s="71"/>
    </row>
    <row r="49" spans="1:15" ht="1.9" customHeight="1">
      <c r="A49" s="71"/>
      <c r="B49" s="71"/>
      <c r="C49" s="78"/>
      <c r="D49" s="71"/>
      <c r="E49" s="78"/>
      <c r="F49" s="78"/>
      <c r="G49" s="78" t="str">
        <f t="shared" si="0"/>
        <v/>
      </c>
      <c r="H49" s="78" t="str">
        <f t="shared" si="3"/>
        <v/>
      </c>
      <c r="I49" s="71"/>
      <c r="J49" s="71" t="str">
        <f t="shared" ref="J49:J80" si="4">IF(B49="","",IF(H49&lt;=0,"Cumplido",IF(H49&lt;=50000,"Atención","Pendiente")))</f>
        <v/>
      </c>
      <c r="K49" s="71"/>
      <c r="L49" s="71"/>
      <c r="M49" s="71"/>
      <c r="N49" s="71"/>
      <c r="O49" s="71"/>
    </row>
    <row r="50" spans="1:15" ht="1.9" customHeight="1">
      <c r="A50" s="71"/>
      <c r="B50" s="71"/>
      <c r="C50" s="78"/>
      <c r="D50" s="71"/>
      <c r="E50" s="78"/>
      <c r="F50" s="78"/>
      <c r="G50" s="78" t="str">
        <f t="shared" si="0"/>
        <v/>
      </c>
      <c r="H50" s="78" t="str">
        <f t="shared" si="3"/>
        <v/>
      </c>
      <c r="I50" s="71"/>
      <c r="J50" s="71" t="str">
        <f t="shared" si="4"/>
        <v/>
      </c>
      <c r="K50" s="71"/>
      <c r="L50" s="71"/>
      <c r="M50" s="71"/>
      <c r="N50" s="71"/>
      <c r="O50" s="71"/>
    </row>
    <row r="51" spans="1:15" ht="1.9" customHeight="1">
      <c r="A51" s="71"/>
      <c r="B51" s="71"/>
      <c r="C51" s="78"/>
      <c r="D51" s="71"/>
      <c r="E51" s="78"/>
      <c r="F51" s="78"/>
      <c r="G51" s="78"/>
      <c r="H51" s="78" t="str">
        <f t="shared" si="3"/>
        <v/>
      </c>
      <c r="I51" s="71"/>
      <c r="J51" s="71" t="str">
        <f t="shared" si="4"/>
        <v/>
      </c>
      <c r="K51" s="71"/>
      <c r="L51" s="71"/>
      <c r="M51" s="71"/>
      <c r="N51" s="71"/>
      <c r="O51" s="71"/>
    </row>
    <row r="52" spans="1:15" ht="1.9" customHeight="1">
      <c r="A52" s="71"/>
      <c r="B52" s="71"/>
      <c r="C52" s="78"/>
      <c r="D52" s="71"/>
      <c r="E52" s="78"/>
      <c r="F52" s="78"/>
      <c r="G52" s="78"/>
      <c r="H52" s="78" t="str">
        <f t="shared" si="3"/>
        <v/>
      </c>
      <c r="I52" s="71"/>
      <c r="J52" s="71" t="str">
        <f t="shared" si="4"/>
        <v/>
      </c>
      <c r="K52" s="71"/>
      <c r="L52" s="71"/>
      <c r="M52" s="71"/>
      <c r="N52" s="71"/>
      <c r="O52" s="71"/>
    </row>
    <row r="53" spans="1:15" ht="1.9" customHeight="1">
      <c r="A53" s="71"/>
      <c r="B53" s="71"/>
      <c r="C53" s="78"/>
      <c r="D53" s="71"/>
      <c r="E53" s="78"/>
      <c r="F53" s="78"/>
      <c r="G53" s="78"/>
      <c r="H53" s="78" t="str">
        <f t="shared" si="3"/>
        <v/>
      </c>
      <c r="I53" s="71"/>
      <c r="J53" s="71" t="str">
        <f t="shared" si="4"/>
        <v/>
      </c>
      <c r="K53" s="71"/>
      <c r="L53" s="71"/>
      <c r="M53" s="71"/>
      <c r="N53" s="71"/>
      <c r="O53" s="71"/>
    </row>
    <row r="54" spans="1:15" ht="1.9" customHeight="1">
      <c r="A54" s="71"/>
      <c r="B54" s="71"/>
      <c r="C54" s="78"/>
      <c r="D54" s="71"/>
      <c r="E54" s="78"/>
      <c r="F54" s="78"/>
      <c r="G54" s="78"/>
      <c r="H54" s="78" t="str">
        <f t="shared" si="3"/>
        <v/>
      </c>
      <c r="I54" s="71"/>
      <c r="J54" s="71" t="str">
        <f t="shared" si="4"/>
        <v/>
      </c>
      <c r="K54" s="71"/>
      <c r="L54" s="71"/>
      <c r="M54" s="71"/>
      <c r="N54" s="71"/>
      <c r="O54" s="71"/>
    </row>
    <row r="55" spans="1:15" ht="1.9" customHeight="1">
      <c r="A55" s="71"/>
      <c r="B55" s="71"/>
      <c r="C55" s="78"/>
      <c r="D55" s="71"/>
      <c r="E55" s="78"/>
      <c r="F55" s="78"/>
      <c r="G55" s="78"/>
      <c r="H55" s="78" t="str">
        <f t="shared" si="3"/>
        <v/>
      </c>
      <c r="I55" s="71"/>
      <c r="J55" s="71" t="str">
        <f t="shared" si="4"/>
        <v/>
      </c>
      <c r="K55" s="71"/>
      <c r="L55" s="71"/>
      <c r="M55" s="71"/>
      <c r="N55" s="71"/>
      <c r="O55" s="71"/>
    </row>
    <row r="56" spans="1:15" ht="1.9" customHeight="1">
      <c r="A56" s="71"/>
      <c r="B56" s="71"/>
      <c r="C56" s="78"/>
      <c r="D56" s="71"/>
      <c r="E56" s="78"/>
      <c r="F56" s="78"/>
      <c r="G56" s="78"/>
      <c r="H56" s="78" t="str">
        <f t="shared" si="3"/>
        <v/>
      </c>
      <c r="I56" s="71"/>
      <c r="J56" s="71" t="str">
        <f t="shared" si="4"/>
        <v/>
      </c>
      <c r="K56" s="71"/>
      <c r="L56" s="71"/>
      <c r="M56" s="71"/>
      <c r="N56" s="71"/>
      <c r="O56" s="71"/>
    </row>
    <row r="57" spans="1:15" ht="1.9" customHeight="1">
      <c r="A57" s="71"/>
      <c r="B57" s="71"/>
      <c r="C57" s="78"/>
      <c r="D57" s="71"/>
      <c r="E57" s="78"/>
      <c r="F57" s="78"/>
      <c r="G57" s="78"/>
      <c r="H57" s="78" t="str">
        <f t="shared" si="3"/>
        <v/>
      </c>
      <c r="I57" s="71"/>
      <c r="J57" s="71" t="str">
        <f t="shared" si="4"/>
        <v/>
      </c>
      <c r="K57" s="71"/>
      <c r="L57" s="71"/>
      <c r="M57" s="71"/>
      <c r="N57" s="71"/>
      <c r="O57" s="71"/>
    </row>
    <row r="58" spans="1:15" ht="1.9" customHeight="1">
      <c r="A58" s="71"/>
      <c r="B58" s="71"/>
      <c r="C58" s="78"/>
      <c r="D58" s="71"/>
      <c r="E58" s="78"/>
      <c r="F58" s="78"/>
      <c r="G58" s="78"/>
      <c r="H58" s="78" t="str">
        <f t="shared" si="3"/>
        <v/>
      </c>
      <c r="I58" s="71"/>
      <c r="J58" s="71" t="str">
        <f t="shared" si="4"/>
        <v/>
      </c>
      <c r="K58" s="71"/>
      <c r="L58" s="71"/>
      <c r="M58" s="71"/>
      <c r="N58" s="71"/>
      <c r="O58" s="71"/>
    </row>
    <row r="59" spans="1:15" ht="1.9" customHeight="1">
      <c r="A59" s="71"/>
      <c r="B59" s="71"/>
      <c r="C59" s="78"/>
      <c r="D59" s="71"/>
      <c r="E59" s="78"/>
      <c r="F59" s="78"/>
      <c r="G59" s="78"/>
      <c r="H59" s="78" t="str">
        <f t="shared" si="3"/>
        <v/>
      </c>
      <c r="I59" s="71"/>
      <c r="J59" s="71" t="str">
        <f t="shared" si="4"/>
        <v/>
      </c>
      <c r="K59" s="71"/>
      <c r="L59" s="71"/>
      <c r="M59" s="71"/>
      <c r="N59" s="71"/>
      <c r="O59" s="71"/>
    </row>
    <row r="60" spans="1:15" ht="1.9" customHeight="1">
      <c r="A60" s="71"/>
      <c r="B60" s="71"/>
      <c r="C60" s="78"/>
      <c r="D60" s="71"/>
      <c r="E60" s="78"/>
      <c r="F60" s="78"/>
      <c r="G60" s="78"/>
      <c r="H60" s="78" t="str">
        <f t="shared" si="3"/>
        <v/>
      </c>
      <c r="I60" s="71"/>
      <c r="J60" s="71" t="str">
        <f t="shared" si="4"/>
        <v/>
      </c>
      <c r="K60" s="71"/>
      <c r="L60" s="71"/>
      <c r="M60" s="71"/>
      <c r="N60" s="71"/>
      <c r="O60" s="71"/>
    </row>
    <row r="61" spans="1:15" ht="1.9" customHeight="1">
      <c r="A61" s="71"/>
      <c r="B61" s="71"/>
      <c r="C61" s="78"/>
      <c r="D61" s="71"/>
      <c r="E61" s="78"/>
      <c r="F61" s="78"/>
      <c r="G61" s="78"/>
      <c r="H61" s="78" t="str">
        <f t="shared" si="3"/>
        <v/>
      </c>
      <c r="I61" s="71"/>
      <c r="J61" s="71" t="str">
        <f t="shared" si="4"/>
        <v/>
      </c>
      <c r="K61" s="71"/>
      <c r="L61" s="71"/>
      <c r="M61" s="71"/>
      <c r="N61" s="71"/>
      <c r="O61" s="71"/>
    </row>
    <row r="62" spans="1:15" ht="1.9" customHeight="1">
      <c r="A62" s="71"/>
      <c r="B62" s="71"/>
      <c r="C62" s="78"/>
      <c r="D62" s="71"/>
      <c r="E62" s="78"/>
      <c r="F62" s="78"/>
      <c r="G62" s="78"/>
      <c r="H62" s="78" t="str">
        <f t="shared" si="3"/>
        <v/>
      </c>
      <c r="I62" s="71"/>
      <c r="J62" s="71" t="str">
        <f t="shared" si="4"/>
        <v/>
      </c>
      <c r="K62" s="71"/>
      <c r="L62" s="71"/>
      <c r="M62" s="71"/>
      <c r="N62" s="71"/>
      <c r="O62" s="71"/>
    </row>
    <row r="63" spans="1:15" ht="1.9" customHeight="1">
      <c r="A63" s="71"/>
      <c r="B63" s="71"/>
      <c r="C63" s="78"/>
      <c r="D63" s="71"/>
      <c r="E63" s="78"/>
      <c r="F63" s="78"/>
      <c r="G63" s="78"/>
      <c r="H63" s="78" t="str">
        <f t="shared" si="3"/>
        <v/>
      </c>
      <c r="I63" s="71"/>
      <c r="J63" s="71" t="str">
        <f t="shared" si="4"/>
        <v/>
      </c>
      <c r="K63" s="71"/>
      <c r="L63" s="71"/>
      <c r="M63" s="71"/>
      <c r="N63" s="71"/>
      <c r="O63" s="71"/>
    </row>
    <row r="64" spans="1:15" ht="1.9" customHeight="1">
      <c r="A64" s="71"/>
      <c r="B64" s="71"/>
      <c r="C64" s="78"/>
      <c r="D64" s="71"/>
      <c r="E64" s="78"/>
      <c r="F64" s="78"/>
      <c r="G64" s="78"/>
      <c r="H64" s="78" t="str">
        <f t="shared" si="3"/>
        <v/>
      </c>
      <c r="I64" s="71"/>
      <c r="J64" s="71" t="str">
        <f t="shared" si="4"/>
        <v/>
      </c>
      <c r="K64" s="71"/>
      <c r="L64" s="71"/>
      <c r="M64" s="71"/>
      <c r="N64" s="71"/>
      <c r="O64" s="71"/>
    </row>
    <row r="65" spans="1:15" ht="1.9" customHeight="1">
      <c r="A65" s="71"/>
      <c r="B65" s="71"/>
      <c r="C65" s="78"/>
      <c r="D65" s="71"/>
      <c r="E65" s="78"/>
      <c r="F65" s="78"/>
      <c r="G65" s="78"/>
      <c r="H65" s="78" t="str">
        <f t="shared" si="3"/>
        <v/>
      </c>
      <c r="I65" s="71"/>
      <c r="J65" s="71" t="str">
        <f t="shared" si="4"/>
        <v/>
      </c>
      <c r="K65" s="71"/>
      <c r="L65" s="71"/>
      <c r="M65" s="71"/>
      <c r="N65" s="71"/>
      <c r="O65" s="71"/>
    </row>
    <row r="66" spans="1:15" ht="1.9" customHeight="1">
      <c r="A66" s="71"/>
      <c r="B66" s="71"/>
      <c r="C66" s="78"/>
      <c r="D66" s="71"/>
      <c r="E66" s="78"/>
      <c r="F66" s="78"/>
      <c r="G66" s="78"/>
      <c r="H66" s="78" t="str">
        <f t="shared" si="3"/>
        <v/>
      </c>
      <c r="I66" s="71"/>
      <c r="J66" s="71" t="str">
        <f t="shared" si="4"/>
        <v/>
      </c>
      <c r="K66" s="71"/>
      <c r="L66" s="71"/>
      <c r="M66" s="71"/>
      <c r="N66" s="71"/>
      <c r="O66" s="71"/>
    </row>
    <row r="67" spans="1:15" ht="1.9" customHeight="1">
      <c r="A67" s="71"/>
      <c r="B67" s="71"/>
      <c r="C67" s="78"/>
      <c r="D67" s="71"/>
      <c r="E67" s="78"/>
      <c r="F67" s="78"/>
      <c r="G67" s="78"/>
      <c r="H67" s="78" t="str">
        <f t="shared" si="3"/>
        <v/>
      </c>
      <c r="I67" s="71"/>
      <c r="J67" s="71" t="str">
        <f t="shared" si="4"/>
        <v/>
      </c>
      <c r="K67" s="71"/>
      <c r="L67" s="71"/>
      <c r="M67" s="71"/>
      <c r="N67" s="71"/>
      <c r="O67" s="71"/>
    </row>
    <row r="68" spans="1:15" ht="1.9" customHeight="1">
      <c r="A68" s="71"/>
      <c r="B68" s="71"/>
      <c r="C68" s="78"/>
      <c r="D68" s="71"/>
      <c r="E68" s="78"/>
      <c r="F68" s="78"/>
      <c r="G68" s="78"/>
      <c r="H68" s="78" t="str">
        <f t="shared" si="3"/>
        <v/>
      </c>
      <c r="I68" s="71"/>
      <c r="J68" s="71" t="str">
        <f t="shared" si="4"/>
        <v/>
      </c>
      <c r="K68" s="71"/>
      <c r="L68" s="71"/>
      <c r="M68" s="71"/>
      <c r="N68" s="71"/>
      <c r="O68" s="71"/>
    </row>
    <row r="69" spans="1:15" ht="1.9" customHeight="1">
      <c r="A69" s="71"/>
      <c r="B69" s="71"/>
      <c r="C69" s="78"/>
      <c r="D69" s="71"/>
      <c r="E69" s="78"/>
      <c r="F69" s="78"/>
      <c r="G69" s="78"/>
      <c r="H69" s="78" t="str">
        <f t="shared" ref="H69:H100" si="5">IF(B69="","",IF(G69&lt;&gt;"",G69,MAX(C69+F69-E69,0)))</f>
        <v/>
      </c>
      <c r="I69" s="71"/>
      <c r="J69" s="71" t="str">
        <f t="shared" si="4"/>
        <v/>
      </c>
      <c r="K69" s="71"/>
      <c r="L69" s="71"/>
      <c r="M69" s="71"/>
      <c r="N69" s="71"/>
      <c r="O69" s="71"/>
    </row>
    <row r="70" spans="1:15" ht="1.9" customHeight="1">
      <c r="A70" s="71"/>
      <c r="B70" s="71"/>
      <c r="C70" s="78"/>
      <c r="D70" s="71"/>
      <c r="E70" s="78"/>
      <c r="F70" s="78"/>
      <c r="G70" s="78"/>
      <c r="H70" s="78" t="str">
        <f t="shared" si="5"/>
        <v/>
      </c>
      <c r="I70" s="71"/>
      <c r="J70" s="71" t="str">
        <f t="shared" si="4"/>
        <v/>
      </c>
      <c r="K70" s="71"/>
      <c r="L70" s="71"/>
      <c r="M70" s="71"/>
      <c r="N70" s="71"/>
      <c r="O70" s="71"/>
    </row>
    <row r="71" spans="1:15" ht="1.9" customHeight="1">
      <c r="A71" s="71"/>
      <c r="B71" s="71"/>
      <c r="C71" s="78"/>
      <c r="D71" s="71"/>
      <c r="E71" s="78"/>
      <c r="F71" s="78"/>
      <c r="G71" s="78"/>
      <c r="H71" s="78" t="str">
        <f t="shared" si="5"/>
        <v/>
      </c>
      <c r="I71" s="71"/>
      <c r="J71" s="71" t="str">
        <f t="shared" si="4"/>
        <v/>
      </c>
      <c r="K71" s="71"/>
      <c r="L71" s="71"/>
      <c r="M71" s="71"/>
      <c r="N71" s="71"/>
      <c r="O71" s="71"/>
    </row>
    <row r="72" spans="1:15" ht="1.9" customHeight="1">
      <c r="A72" s="71"/>
      <c r="B72" s="71"/>
      <c r="C72" s="78"/>
      <c r="D72" s="71"/>
      <c r="E72" s="78"/>
      <c r="F72" s="78"/>
      <c r="G72" s="78"/>
      <c r="H72" s="78" t="str">
        <f t="shared" si="5"/>
        <v/>
      </c>
      <c r="I72" s="71"/>
      <c r="J72" s="71" t="str">
        <f t="shared" si="4"/>
        <v/>
      </c>
      <c r="K72" s="71"/>
      <c r="L72" s="71"/>
      <c r="M72" s="71"/>
      <c r="N72" s="71"/>
      <c r="O72" s="71"/>
    </row>
    <row r="73" spans="1:15" ht="1.9" customHeight="1">
      <c r="A73" s="71"/>
      <c r="B73" s="71"/>
      <c r="C73" s="78"/>
      <c r="D73" s="71"/>
      <c r="E73" s="78"/>
      <c r="F73" s="78"/>
      <c r="G73" s="78"/>
      <c r="H73" s="78" t="str">
        <f t="shared" si="5"/>
        <v/>
      </c>
      <c r="I73" s="71"/>
      <c r="J73" s="71" t="str">
        <f t="shared" si="4"/>
        <v/>
      </c>
      <c r="K73" s="71"/>
      <c r="L73" s="71"/>
      <c r="M73" s="71"/>
      <c r="N73" s="71"/>
      <c r="O73" s="71"/>
    </row>
    <row r="74" spans="1:15" ht="1.9" customHeight="1">
      <c r="A74" s="71"/>
      <c r="B74" s="71"/>
      <c r="C74" s="78"/>
      <c r="D74" s="71"/>
      <c r="E74" s="78"/>
      <c r="F74" s="78"/>
      <c r="G74" s="78"/>
      <c r="H74" s="78" t="str">
        <f t="shared" si="5"/>
        <v/>
      </c>
      <c r="I74" s="71"/>
      <c r="J74" s="71" t="str">
        <f t="shared" si="4"/>
        <v/>
      </c>
      <c r="K74" s="71"/>
      <c r="L74" s="71"/>
      <c r="M74" s="71"/>
      <c r="N74" s="71"/>
      <c r="O74" s="71"/>
    </row>
    <row r="75" spans="1:15" ht="1.9" customHeight="1">
      <c r="A75" s="71"/>
      <c r="B75" s="71"/>
      <c r="C75" s="78"/>
      <c r="D75" s="71"/>
      <c r="E75" s="78"/>
      <c r="F75" s="78"/>
      <c r="G75" s="78"/>
      <c r="H75" s="78" t="str">
        <f t="shared" si="5"/>
        <v/>
      </c>
      <c r="I75" s="71"/>
      <c r="J75" s="71" t="str">
        <f t="shared" si="4"/>
        <v/>
      </c>
      <c r="K75" s="71"/>
      <c r="L75" s="71"/>
      <c r="M75" s="71"/>
      <c r="N75" s="71"/>
      <c r="O75" s="71"/>
    </row>
    <row r="76" spans="1:15" ht="1.9" customHeight="1">
      <c r="A76" s="71"/>
      <c r="B76" s="71"/>
      <c r="C76" s="78"/>
      <c r="D76" s="71"/>
      <c r="E76" s="78"/>
      <c r="F76" s="78"/>
      <c r="G76" s="78"/>
      <c r="H76" s="78" t="str">
        <f t="shared" si="5"/>
        <v/>
      </c>
      <c r="I76" s="71"/>
      <c r="J76" s="71" t="str">
        <f t="shared" si="4"/>
        <v/>
      </c>
      <c r="K76" s="71"/>
      <c r="L76" s="71"/>
      <c r="M76" s="71"/>
      <c r="N76" s="71"/>
      <c r="O76" s="71"/>
    </row>
    <row r="77" spans="1:15" ht="1.9" customHeight="1">
      <c r="A77" s="71"/>
      <c r="B77" s="71"/>
      <c r="C77" s="78"/>
      <c r="D77" s="71"/>
      <c r="E77" s="78"/>
      <c r="F77" s="78"/>
      <c r="G77" s="78"/>
      <c r="H77" s="78" t="str">
        <f t="shared" si="5"/>
        <v/>
      </c>
      <c r="I77" s="71"/>
      <c r="J77" s="71" t="str">
        <f t="shared" si="4"/>
        <v/>
      </c>
      <c r="K77" s="71"/>
      <c r="L77" s="71"/>
      <c r="M77" s="71"/>
      <c r="N77" s="71"/>
      <c r="O77" s="71"/>
    </row>
    <row r="78" spans="1:15" ht="1.9" customHeight="1">
      <c r="A78" s="71"/>
      <c r="B78" s="71"/>
      <c r="C78" s="78"/>
      <c r="D78" s="71"/>
      <c r="E78" s="78"/>
      <c r="F78" s="78"/>
      <c r="G78" s="78"/>
      <c r="H78" s="78" t="str">
        <f t="shared" si="5"/>
        <v/>
      </c>
      <c r="I78" s="71"/>
      <c r="J78" s="71" t="str">
        <f t="shared" si="4"/>
        <v/>
      </c>
      <c r="K78" s="71"/>
      <c r="L78" s="71"/>
      <c r="M78" s="71"/>
      <c r="N78" s="71"/>
      <c r="O78" s="71"/>
    </row>
    <row r="79" spans="1:15" ht="1.9" customHeight="1">
      <c r="A79" s="71"/>
      <c r="B79" s="71"/>
      <c r="C79" s="78"/>
      <c r="D79" s="71"/>
      <c r="E79" s="78"/>
      <c r="F79" s="78"/>
      <c r="G79" s="78"/>
      <c r="H79" s="78" t="str">
        <f t="shared" si="5"/>
        <v/>
      </c>
      <c r="I79" s="71"/>
      <c r="J79" s="71" t="str">
        <f t="shared" si="4"/>
        <v/>
      </c>
      <c r="K79" s="71"/>
      <c r="L79" s="71"/>
      <c r="M79" s="71"/>
      <c r="N79" s="71"/>
      <c r="O79" s="71"/>
    </row>
    <row r="80" spans="1:15" ht="1.9" customHeight="1">
      <c r="A80" s="71"/>
      <c r="B80" s="71"/>
      <c r="C80" s="78"/>
      <c r="D80" s="71"/>
      <c r="E80" s="78"/>
      <c r="F80" s="78"/>
      <c r="G80" s="78"/>
      <c r="H80" s="78" t="str">
        <f t="shared" si="5"/>
        <v/>
      </c>
      <c r="I80" s="71"/>
      <c r="J80" s="71" t="str">
        <f t="shared" si="4"/>
        <v/>
      </c>
      <c r="K80" s="71"/>
      <c r="L80" s="71"/>
      <c r="M80" s="71"/>
      <c r="N80" s="71"/>
      <c r="O80" s="71"/>
    </row>
    <row r="81" spans="1:15" ht="1.9" customHeight="1">
      <c r="A81" s="71"/>
      <c r="B81" s="71"/>
      <c r="C81" s="78"/>
      <c r="D81" s="71"/>
      <c r="E81" s="78"/>
      <c r="F81" s="78"/>
      <c r="G81" s="78"/>
      <c r="H81" s="78" t="str">
        <f t="shared" si="5"/>
        <v/>
      </c>
      <c r="I81" s="71"/>
      <c r="J81" s="71" t="str">
        <f t="shared" ref="J81:J112" si="6">IF(B81="","",IF(H81&lt;=0,"Cumplido",IF(H81&lt;=50000,"Atención","Pendiente")))</f>
        <v/>
      </c>
      <c r="K81" s="71"/>
      <c r="L81" s="71"/>
      <c r="M81" s="71"/>
      <c r="N81" s="71"/>
      <c r="O81" s="71"/>
    </row>
    <row r="82" spans="1:15" ht="1.9" customHeight="1">
      <c r="A82" s="71"/>
      <c r="B82" s="71"/>
      <c r="C82" s="78"/>
      <c r="D82" s="71"/>
      <c r="E82" s="78"/>
      <c r="F82" s="78"/>
      <c r="G82" s="78"/>
      <c r="H82" s="78" t="str">
        <f t="shared" si="5"/>
        <v/>
      </c>
      <c r="I82" s="71"/>
      <c r="J82" s="71" t="str">
        <f t="shared" si="6"/>
        <v/>
      </c>
      <c r="K82" s="71"/>
      <c r="L82" s="71"/>
      <c r="M82" s="71"/>
      <c r="N82" s="71"/>
      <c r="O82" s="71"/>
    </row>
    <row r="83" spans="1:15" ht="1.9" customHeight="1">
      <c r="A83" s="71"/>
      <c r="B83" s="71"/>
      <c r="C83" s="78"/>
      <c r="D83" s="71"/>
      <c r="E83" s="78"/>
      <c r="F83" s="78"/>
      <c r="G83" s="78"/>
      <c r="H83" s="78" t="str">
        <f t="shared" si="5"/>
        <v/>
      </c>
      <c r="I83" s="71"/>
      <c r="J83" s="71" t="str">
        <f t="shared" si="6"/>
        <v/>
      </c>
      <c r="K83" s="71"/>
      <c r="L83" s="71"/>
      <c r="M83" s="71"/>
      <c r="N83" s="71"/>
      <c r="O83" s="71"/>
    </row>
    <row r="84" spans="1:15" ht="1.9" customHeight="1">
      <c r="A84" s="71"/>
      <c r="B84" s="71"/>
      <c r="C84" s="78"/>
      <c r="D84" s="71"/>
      <c r="E84" s="78"/>
      <c r="F84" s="78"/>
      <c r="G84" s="78"/>
      <c r="H84" s="78" t="str">
        <f t="shared" si="5"/>
        <v/>
      </c>
      <c r="I84" s="71"/>
      <c r="J84" s="71" t="str">
        <f t="shared" si="6"/>
        <v/>
      </c>
      <c r="K84" s="71"/>
      <c r="L84" s="71"/>
      <c r="M84" s="71"/>
      <c r="N84" s="71"/>
      <c r="O84" s="71"/>
    </row>
    <row r="85" spans="1:15" ht="1.9" customHeight="1">
      <c r="A85" s="71"/>
      <c r="B85" s="71"/>
      <c r="C85" s="78"/>
      <c r="D85" s="71"/>
      <c r="E85" s="78"/>
      <c r="F85" s="78"/>
      <c r="G85" s="78"/>
      <c r="H85" s="78" t="str">
        <f t="shared" si="5"/>
        <v/>
      </c>
      <c r="I85" s="71"/>
      <c r="J85" s="71" t="str">
        <f t="shared" si="6"/>
        <v/>
      </c>
      <c r="K85" s="71"/>
      <c r="L85" s="71"/>
      <c r="M85" s="71"/>
      <c r="N85" s="71"/>
      <c r="O85" s="71"/>
    </row>
    <row r="86" spans="1:15" ht="1.9" customHeight="1">
      <c r="A86" s="71"/>
      <c r="B86" s="71"/>
      <c r="C86" s="78"/>
      <c r="D86" s="71"/>
      <c r="E86" s="78"/>
      <c r="F86" s="78"/>
      <c r="G86" s="78"/>
      <c r="H86" s="78" t="str">
        <f t="shared" si="5"/>
        <v/>
      </c>
      <c r="I86" s="71"/>
      <c r="J86" s="71" t="str">
        <f t="shared" si="6"/>
        <v/>
      </c>
      <c r="K86" s="71"/>
      <c r="L86" s="71"/>
      <c r="M86" s="71"/>
      <c r="N86" s="71"/>
      <c r="O86" s="71"/>
    </row>
    <row r="87" spans="1:15" ht="1.9" customHeight="1">
      <c r="A87" s="71"/>
      <c r="B87" s="71"/>
      <c r="C87" s="78"/>
      <c r="D87" s="71"/>
      <c r="E87" s="78"/>
      <c r="F87" s="78"/>
      <c r="G87" s="78"/>
      <c r="H87" s="78" t="str">
        <f t="shared" si="5"/>
        <v/>
      </c>
      <c r="I87" s="71"/>
      <c r="J87" s="71" t="str">
        <f t="shared" si="6"/>
        <v/>
      </c>
      <c r="K87" s="71"/>
      <c r="L87" s="71"/>
      <c r="M87" s="71"/>
      <c r="N87" s="71"/>
      <c r="O87" s="71"/>
    </row>
    <row r="88" spans="1:15" ht="1.9" customHeight="1">
      <c r="A88" s="71"/>
      <c r="B88" s="71"/>
      <c r="C88" s="78"/>
      <c r="D88" s="71"/>
      <c r="E88" s="78"/>
      <c r="F88" s="78"/>
      <c r="G88" s="78"/>
      <c r="H88" s="78" t="str">
        <f t="shared" si="5"/>
        <v/>
      </c>
      <c r="I88" s="71"/>
      <c r="J88" s="71" t="str">
        <f t="shared" si="6"/>
        <v/>
      </c>
      <c r="K88" s="71"/>
      <c r="L88" s="71"/>
      <c r="M88" s="71"/>
      <c r="N88" s="71"/>
      <c r="O88" s="71"/>
    </row>
    <row r="89" spans="1:15" ht="1.9" customHeight="1">
      <c r="A89" s="71"/>
      <c r="B89" s="71"/>
      <c r="C89" s="78"/>
      <c r="D89" s="71"/>
      <c r="E89" s="78"/>
      <c r="F89" s="78"/>
      <c r="G89" s="78"/>
      <c r="H89" s="78" t="str">
        <f t="shared" si="5"/>
        <v/>
      </c>
      <c r="I89" s="71"/>
      <c r="J89" s="71" t="str">
        <f t="shared" si="6"/>
        <v/>
      </c>
      <c r="K89" s="71"/>
      <c r="L89" s="71"/>
      <c r="M89" s="71"/>
      <c r="N89" s="71"/>
      <c r="O89" s="71"/>
    </row>
    <row r="90" spans="1:15" ht="1.9" customHeight="1">
      <c r="A90" s="71"/>
      <c r="B90" s="71"/>
      <c r="C90" s="78"/>
      <c r="D90" s="71"/>
      <c r="E90" s="78"/>
      <c r="F90" s="78"/>
      <c r="G90" s="78"/>
      <c r="H90" s="78" t="str">
        <f t="shared" si="5"/>
        <v/>
      </c>
      <c r="I90" s="71"/>
      <c r="J90" s="71" t="str">
        <f t="shared" si="6"/>
        <v/>
      </c>
      <c r="K90" s="71"/>
      <c r="L90" s="71"/>
      <c r="M90" s="71"/>
      <c r="N90" s="71"/>
      <c r="O90" s="71"/>
    </row>
    <row r="91" spans="1:15" ht="1.9" customHeight="1">
      <c r="A91" s="71"/>
      <c r="B91" s="71"/>
      <c r="C91" s="78"/>
      <c r="D91" s="71"/>
      <c r="E91" s="78"/>
      <c r="F91" s="78"/>
      <c r="G91" s="78"/>
      <c r="H91" s="78" t="str">
        <f t="shared" si="5"/>
        <v/>
      </c>
      <c r="I91" s="71"/>
      <c r="J91" s="71" t="str">
        <f t="shared" si="6"/>
        <v/>
      </c>
      <c r="K91" s="71"/>
      <c r="L91" s="71"/>
      <c r="M91" s="71"/>
      <c r="N91" s="71"/>
      <c r="O91" s="71"/>
    </row>
    <row r="92" spans="1:15" ht="1.9" customHeight="1">
      <c r="A92" s="71"/>
      <c r="B92" s="71"/>
      <c r="C92" s="78"/>
      <c r="D92" s="71"/>
      <c r="E92" s="78"/>
      <c r="F92" s="78"/>
      <c r="G92" s="78"/>
      <c r="H92" s="78" t="str">
        <f t="shared" si="5"/>
        <v/>
      </c>
      <c r="I92" s="71"/>
      <c r="J92" s="71" t="str">
        <f t="shared" si="6"/>
        <v/>
      </c>
      <c r="K92" s="71"/>
      <c r="L92" s="71"/>
      <c r="M92" s="71"/>
      <c r="N92" s="71"/>
      <c r="O92" s="71"/>
    </row>
    <row r="93" spans="1:15" ht="1.9" customHeight="1">
      <c r="A93" s="71"/>
      <c r="B93" s="71"/>
      <c r="C93" s="78"/>
      <c r="D93" s="71"/>
      <c r="E93" s="78"/>
      <c r="F93" s="78"/>
      <c r="G93" s="78"/>
      <c r="H93" s="78" t="str">
        <f t="shared" si="5"/>
        <v/>
      </c>
      <c r="I93" s="71"/>
      <c r="J93" s="71" t="str">
        <f t="shared" si="6"/>
        <v/>
      </c>
      <c r="K93" s="71"/>
      <c r="L93" s="71"/>
      <c r="M93" s="71"/>
      <c r="N93" s="71"/>
      <c r="O93" s="71"/>
    </row>
    <row r="94" spans="1:15" ht="1.9" customHeight="1">
      <c r="A94" s="71"/>
      <c r="B94" s="71"/>
      <c r="C94" s="78"/>
      <c r="D94" s="71"/>
      <c r="E94" s="78"/>
      <c r="F94" s="78"/>
      <c r="G94" s="78"/>
      <c r="H94" s="78" t="str">
        <f t="shared" si="5"/>
        <v/>
      </c>
      <c r="I94" s="71"/>
      <c r="J94" s="71" t="str">
        <f t="shared" si="6"/>
        <v/>
      </c>
      <c r="K94" s="71"/>
      <c r="L94" s="71"/>
      <c r="M94" s="71"/>
      <c r="N94" s="71"/>
      <c r="O94" s="71"/>
    </row>
    <row r="95" spans="1:15" ht="1.9" customHeight="1">
      <c r="A95" s="71"/>
      <c r="B95" s="71"/>
      <c r="C95" s="78"/>
      <c r="D95" s="71"/>
      <c r="E95" s="78"/>
      <c r="F95" s="78"/>
      <c r="G95" s="78"/>
      <c r="H95" s="78" t="str">
        <f t="shared" si="5"/>
        <v/>
      </c>
      <c r="I95" s="71"/>
      <c r="J95" s="71" t="str">
        <f t="shared" si="6"/>
        <v/>
      </c>
      <c r="K95" s="71"/>
      <c r="L95" s="71"/>
      <c r="M95" s="71"/>
      <c r="N95" s="71"/>
      <c r="O95" s="71"/>
    </row>
    <row r="96" spans="1:15" ht="1.9" customHeight="1">
      <c r="A96" s="71"/>
      <c r="B96" s="71"/>
      <c r="C96" s="78"/>
      <c r="D96" s="71"/>
      <c r="E96" s="78"/>
      <c r="F96" s="78"/>
      <c r="G96" s="78"/>
      <c r="H96" s="78" t="str">
        <f t="shared" si="5"/>
        <v/>
      </c>
      <c r="I96" s="71"/>
      <c r="J96" s="71" t="str">
        <f t="shared" si="6"/>
        <v/>
      </c>
      <c r="K96" s="71"/>
      <c r="L96" s="71"/>
      <c r="M96" s="71"/>
      <c r="N96" s="71"/>
      <c r="O96" s="71"/>
    </row>
    <row r="97" spans="1:15" ht="1.9" customHeight="1">
      <c r="A97" s="71"/>
      <c r="B97" s="71"/>
      <c r="C97" s="78"/>
      <c r="D97" s="71"/>
      <c r="E97" s="78"/>
      <c r="F97" s="78"/>
      <c r="G97" s="78"/>
      <c r="H97" s="78" t="str">
        <f t="shared" si="5"/>
        <v/>
      </c>
      <c r="I97" s="71"/>
      <c r="J97" s="71" t="str">
        <f t="shared" si="6"/>
        <v/>
      </c>
      <c r="K97" s="71"/>
      <c r="L97" s="71"/>
      <c r="M97" s="71"/>
      <c r="N97" s="71"/>
      <c r="O97" s="71"/>
    </row>
    <row r="98" spans="1:15" ht="1.9" customHeight="1">
      <c r="A98" s="71"/>
      <c r="B98" s="71"/>
      <c r="C98" s="78"/>
      <c r="D98" s="71"/>
      <c r="E98" s="78"/>
      <c r="F98" s="78"/>
      <c r="G98" s="78"/>
      <c r="H98" s="78" t="str">
        <f t="shared" si="5"/>
        <v/>
      </c>
      <c r="I98" s="71"/>
      <c r="J98" s="71" t="str">
        <f t="shared" si="6"/>
        <v/>
      </c>
      <c r="K98" s="71"/>
      <c r="L98" s="71"/>
      <c r="M98" s="71"/>
      <c r="N98" s="71"/>
      <c r="O98" s="71"/>
    </row>
    <row r="99" spans="1:15" ht="1.9" customHeight="1">
      <c r="A99" s="71"/>
      <c r="B99" s="71"/>
      <c r="C99" s="78"/>
      <c r="D99" s="71"/>
      <c r="E99" s="78"/>
      <c r="F99" s="78"/>
      <c r="G99" s="78"/>
      <c r="H99" s="78" t="str">
        <f t="shared" si="5"/>
        <v/>
      </c>
      <c r="I99" s="71"/>
      <c r="J99" s="71" t="str">
        <f t="shared" si="6"/>
        <v/>
      </c>
      <c r="K99" s="71"/>
      <c r="L99" s="71"/>
      <c r="M99" s="71"/>
      <c r="N99" s="71"/>
      <c r="O99" s="71"/>
    </row>
    <row r="100" spans="1:15" ht="1.9" customHeight="1">
      <c r="A100" s="71"/>
      <c r="B100" s="71"/>
      <c r="C100" s="78"/>
      <c r="D100" s="71"/>
      <c r="E100" s="78"/>
      <c r="F100" s="78"/>
      <c r="G100" s="78"/>
      <c r="H100" s="78" t="str">
        <f t="shared" si="5"/>
        <v/>
      </c>
      <c r="I100" s="71"/>
      <c r="J100" s="71" t="str">
        <f t="shared" si="6"/>
        <v/>
      </c>
      <c r="K100" s="71"/>
      <c r="L100" s="71"/>
      <c r="M100" s="71"/>
      <c r="N100" s="71"/>
      <c r="O100" s="71"/>
    </row>
    <row r="101" spans="1:15" ht="1.9" customHeight="1">
      <c r="A101" s="71"/>
      <c r="B101" s="71"/>
      <c r="C101" s="78"/>
      <c r="D101" s="71"/>
      <c r="E101" s="78"/>
      <c r="F101" s="78"/>
      <c r="G101" s="78"/>
      <c r="H101" s="78" t="str">
        <f t="shared" ref="H101:H132" si="7">IF(B101="","",IF(G101&lt;&gt;"",G101,MAX(C101+F101-E101,0)))</f>
        <v/>
      </c>
      <c r="I101" s="71"/>
      <c r="J101" s="71" t="str">
        <f t="shared" si="6"/>
        <v/>
      </c>
      <c r="K101" s="71"/>
      <c r="L101" s="71"/>
      <c r="M101" s="71"/>
      <c r="N101" s="71"/>
      <c r="O101" s="71"/>
    </row>
    <row r="102" spans="1:15" ht="1.9" customHeight="1">
      <c r="A102" s="71"/>
      <c r="B102" s="71"/>
      <c r="C102" s="78"/>
      <c r="D102" s="71"/>
      <c r="E102" s="78"/>
      <c r="F102" s="78"/>
      <c r="G102" s="78"/>
      <c r="H102" s="78" t="str">
        <f t="shared" si="7"/>
        <v/>
      </c>
      <c r="I102" s="71"/>
      <c r="J102" s="71" t="str">
        <f t="shared" si="6"/>
        <v/>
      </c>
      <c r="K102" s="71"/>
      <c r="L102" s="71"/>
      <c r="M102" s="71"/>
      <c r="N102" s="71"/>
      <c r="O102" s="71"/>
    </row>
    <row r="103" spans="1:15" ht="1.9" customHeight="1">
      <c r="A103" s="71"/>
      <c r="B103" s="71"/>
      <c r="C103" s="78"/>
      <c r="D103" s="71"/>
      <c r="E103" s="78"/>
      <c r="F103" s="78"/>
      <c r="G103" s="78"/>
      <c r="H103" s="78" t="str">
        <f t="shared" si="7"/>
        <v/>
      </c>
      <c r="I103" s="71"/>
      <c r="J103" s="71" t="str">
        <f t="shared" si="6"/>
        <v/>
      </c>
      <c r="K103" s="71"/>
      <c r="L103" s="71"/>
      <c r="M103" s="71"/>
      <c r="N103" s="71"/>
      <c r="O103" s="71"/>
    </row>
    <row r="104" spans="1:15" ht="1.9" customHeight="1">
      <c r="A104" s="71"/>
      <c r="B104" s="71"/>
      <c r="C104" s="78"/>
      <c r="D104" s="71"/>
      <c r="E104" s="78"/>
      <c r="F104" s="78"/>
      <c r="G104" s="78"/>
      <c r="H104" s="78" t="str">
        <f t="shared" si="7"/>
        <v/>
      </c>
      <c r="I104" s="71"/>
      <c r="J104" s="71" t="str">
        <f t="shared" si="6"/>
        <v/>
      </c>
      <c r="K104" s="71"/>
      <c r="L104" s="71"/>
      <c r="M104" s="71"/>
      <c r="N104" s="71"/>
      <c r="O104" s="71"/>
    </row>
    <row r="105" spans="1:15" ht="1.9" customHeight="1">
      <c r="A105" s="71"/>
      <c r="B105" s="71"/>
      <c r="C105" s="78"/>
      <c r="D105" s="71"/>
      <c r="E105" s="78"/>
      <c r="F105" s="78"/>
      <c r="G105" s="78"/>
      <c r="H105" s="78" t="str">
        <f t="shared" si="7"/>
        <v/>
      </c>
      <c r="I105" s="71"/>
      <c r="J105" s="71" t="str">
        <f t="shared" si="6"/>
        <v/>
      </c>
      <c r="K105" s="71"/>
      <c r="L105" s="71"/>
      <c r="M105" s="71"/>
      <c r="N105" s="71"/>
      <c r="O105" s="71"/>
    </row>
    <row r="106" spans="1:15" ht="1.9" customHeight="1">
      <c r="A106" s="71"/>
      <c r="B106" s="71"/>
      <c r="C106" s="78"/>
      <c r="D106" s="71"/>
      <c r="E106" s="78"/>
      <c r="F106" s="78"/>
      <c r="G106" s="78"/>
      <c r="H106" s="78" t="str">
        <f t="shared" si="7"/>
        <v/>
      </c>
      <c r="I106" s="71"/>
      <c r="J106" s="71" t="str">
        <f t="shared" si="6"/>
        <v/>
      </c>
      <c r="K106" s="71"/>
      <c r="L106" s="71"/>
      <c r="M106" s="71"/>
      <c r="N106" s="71"/>
      <c r="O106" s="71"/>
    </row>
    <row r="107" spans="1:15" ht="1.9" customHeight="1">
      <c r="A107" s="71"/>
      <c r="B107" s="71"/>
      <c r="C107" s="78"/>
      <c r="D107" s="71"/>
      <c r="E107" s="78"/>
      <c r="F107" s="78"/>
      <c r="G107" s="78"/>
      <c r="H107" s="78" t="str">
        <f t="shared" si="7"/>
        <v/>
      </c>
      <c r="I107" s="71"/>
      <c r="J107" s="71" t="str">
        <f t="shared" si="6"/>
        <v/>
      </c>
      <c r="K107" s="71"/>
      <c r="L107" s="71"/>
      <c r="M107" s="71"/>
      <c r="N107" s="71"/>
      <c r="O107" s="71"/>
    </row>
    <row r="108" spans="1:15" ht="1.9" customHeight="1">
      <c r="A108" s="71"/>
      <c r="B108" s="71"/>
      <c r="C108" s="78"/>
      <c r="D108" s="71"/>
      <c r="E108" s="78"/>
      <c r="F108" s="78"/>
      <c r="G108" s="78"/>
      <c r="H108" s="78" t="str">
        <f t="shared" si="7"/>
        <v/>
      </c>
      <c r="I108" s="71"/>
      <c r="J108" s="71" t="str">
        <f t="shared" si="6"/>
        <v/>
      </c>
      <c r="K108" s="71"/>
      <c r="L108" s="71"/>
      <c r="M108" s="71"/>
      <c r="N108" s="71"/>
      <c r="O108" s="71"/>
    </row>
    <row r="109" spans="1:15" ht="1.9" customHeight="1">
      <c r="A109" s="71"/>
      <c r="B109" s="71"/>
      <c r="C109" s="78"/>
      <c r="D109" s="71"/>
      <c r="E109" s="78"/>
      <c r="F109" s="78"/>
      <c r="G109" s="78"/>
      <c r="H109" s="78" t="str">
        <f t="shared" si="7"/>
        <v/>
      </c>
      <c r="I109" s="71"/>
      <c r="J109" s="71" t="str">
        <f t="shared" si="6"/>
        <v/>
      </c>
      <c r="K109" s="71"/>
      <c r="L109" s="71"/>
      <c r="M109" s="71"/>
      <c r="N109" s="71"/>
      <c r="O109" s="71"/>
    </row>
    <row r="110" spans="1:15" ht="1.9" customHeight="1">
      <c r="A110" s="71"/>
      <c r="B110" s="71"/>
      <c r="C110" s="78"/>
      <c r="D110" s="71"/>
      <c r="E110" s="78"/>
      <c r="F110" s="78"/>
      <c r="G110" s="78"/>
      <c r="H110" s="78" t="str">
        <f t="shared" si="7"/>
        <v/>
      </c>
      <c r="I110" s="71"/>
      <c r="J110" s="71" t="str">
        <f t="shared" si="6"/>
        <v/>
      </c>
      <c r="K110" s="71"/>
      <c r="L110" s="71"/>
      <c r="M110" s="71"/>
      <c r="N110" s="71"/>
      <c r="O110" s="71"/>
    </row>
    <row r="111" spans="1:15" ht="1.9" customHeight="1">
      <c r="A111" s="71"/>
      <c r="B111" s="71"/>
      <c r="C111" s="78"/>
      <c r="D111" s="71"/>
      <c r="E111" s="78"/>
      <c r="F111" s="78"/>
      <c r="G111" s="78"/>
      <c r="H111" s="78" t="str">
        <f t="shared" si="7"/>
        <v/>
      </c>
      <c r="I111" s="71"/>
      <c r="J111" s="71" t="str">
        <f t="shared" si="6"/>
        <v/>
      </c>
      <c r="K111" s="71"/>
      <c r="L111" s="71"/>
      <c r="M111" s="71"/>
      <c r="N111" s="71"/>
      <c r="O111" s="71"/>
    </row>
    <row r="112" spans="1:15" ht="1.9" customHeight="1">
      <c r="A112" s="71"/>
      <c r="B112" s="71"/>
      <c r="C112" s="78"/>
      <c r="D112" s="71"/>
      <c r="E112" s="78"/>
      <c r="F112" s="78"/>
      <c r="G112" s="78"/>
      <c r="H112" s="78" t="str">
        <f t="shared" si="7"/>
        <v/>
      </c>
      <c r="I112" s="71"/>
      <c r="J112" s="71" t="str">
        <f t="shared" si="6"/>
        <v/>
      </c>
      <c r="K112" s="71"/>
      <c r="L112" s="71"/>
      <c r="M112" s="71"/>
      <c r="N112" s="71"/>
      <c r="O112" s="71"/>
    </row>
    <row r="113" spans="1:15" ht="1.9" customHeight="1">
      <c r="A113" s="71"/>
      <c r="B113" s="71"/>
      <c r="C113" s="78"/>
      <c r="D113" s="71"/>
      <c r="E113" s="78"/>
      <c r="F113" s="78"/>
      <c r="G113" s="78"/>
      <c r="H113" s="78" t="str">
        <f t="shared" si="7"/>
        <v/>
      </c>
      <c r="I113" s="71"/>
      <c r="J113" s="71" t="str">
        <f t="shared" ref="J113:J144" si="8">IF(B113="","",IF(H113&lt;=0,"Cumplido",IF(H113&lt;=50000,"Atención","Pendiente")))</f>
        <v/>
      </c>
      <c r="K113" s="71"/>
      <c r="L113" s="71"/>
      <c r="M113" s="71"/>
      <c r="N113" s="71"/>
      <c r="O113" s="71"/>
    </row>
    <row r="114" spans="1:15" ht="1.9" customHeight="1">
      <c r="A114" s="71"/>
      <c r="B114" s="71"/>
      <c r="C114" s="78"/>
      <c r="D114" s="71"/>
      <c r="E114" s="78"/>
      <c r="F114" s="78"/>
      <c r="G114" s="78"/>
      <c r="H114" s="78" t="str">
        <f t="shared" si="7"/>
        <v/>
      </c>
      <c r="I114" s="71"/>
      <c r="J114" s="71" t="str">
        <f t="shared" si="8"/>
        <v/>
      </c>
      <c r="K114" s="71"/>
      <c r="L114" s="71"/>
      <c r="M114" s="71"/>
      <c r="N114" s="71"/>
      <c r="O114" s="71"/>
    </row>
    <row r="115" spans="1:15" ht="1.9" customHeight="1">
      <c r="A115" s="71"/>
      <c r="B115" s="71"/>
      <c r="C115" s="78"/>
      <c r="D115" s="71"/>
      <c r="E115" s="78"/>
      <c r="F115" s="78"/>
      <c r="G115" s="78"/>
      <c r="H115" s="78" t="str">
        <f t="shared" si="7"/>
        <v/>
      </c>
      <c r="I115" s="71"/>
      <c r="J115" s="71" t="str">
        <f t="shared" si="8"/>
        <v/>
      </c>
      <c r="K115" s="71"/>
      <c r="L115" s="71"/>
      <c r="M115" s="71"/>
      <c r="N115" s="71"/>
      <c r="O115" s="71"/>
    </row>
    <row r="116" spans="1:15" ht="1.9" customHeight="1">
      <c r="A116" s="71"/>
      <c r="B116" s="71"/>
      <c r="C116" s="78"/>
      <c r="D116" s="71"/>
      <c r="E116" s="78"/>
      <c r="F116" s="78"/>
      <c r="G116" s="78"/>
      <c r="H116" s="78" t="str">
        <f t="shared" si="7"/>
        <v/>
      </c>
      <c r="I116" s="71"/>
      <c r="J116" s="71" t="str">
        <f t="shared" si="8"/>
        <v/>
      </c>
      <c r="K116" s="71"/>
      <c r="L116" s="71"/>
      <c r="M116" s="71"/>
      <c r="N116" s="71"/>
      <c r="O116" s="71"/>
    </row>
    <row r="117" spans="1:15" ht="1.9" customHeight="1">
      <c r="A117" s="71"/>
      <c r="B117" s="71"/>
      <c r="C117" s="78"/>
      <c r="D117" s="71"/>
      <c r="E117" s="78"/>
      <c r="F117" s="78"/>
      <c r="G117" s="78"/>
      <c r="H117" s="78" t="str">
        <f t="shared" si="7"/>
        <v/>
      </c>
      <c r="I117" s="71"/>
      <c r="J117" s="71" t="str">
        <f t="shared" si="8"/>
        <v/>
      </c>
      <c r="K117" s="71"/>
      <c r="L117" s="71"/>
      <c r="M117" s="71"/>
      <c r="N117" s="71"/>
      <c r="O117" s="71"/>
    </row>
    <row r="118" spans="1:15" ht="1.9" customHeight="1">
      <c r="A118" s="71"/>
      <c r="B118" s="71"/>
      <c r="C118" s="78"/>
      <c r="D118" s="71"/>
      <c r="E118" s="78"/>
      <c r="F118" s="78"/>
      <c r="G118" s="78"/>
      <c r="H118" s="78" t="str">
        <f t="shared" si="7"/>
        <v/>
      </c>
      <c r="I118" s="71"/>
      <c r="J118" s="71" t="str">
        <f t="shared" si="8"/>
        <v/>
      </c>
      <c r="K118" s="71"/>
      <c r="L118" s="71"/>
      <c r="M118" s="71"/>
      <c r="N118" s="71"/>
      <c r="O118" s="71"/>
    </row>
    <row r="119" spans="1:15" ht="1.9" customHeight="1">
      <c r="A119" s="71"/>
      <c r="B119" s="71"/>
      <c r="C119" s="78"/>
      <c r="D119" s="71"/>
      <c r="E119" s="78"/>
      <c r="F119" s="78"/>
      <c r="G119" s="78"/>
      <c r="H119" s="78" t="str">
        <f t="shared" si="7"/>
        <v/>
      </c>
      <c r="I119" s="71"/>
      <c r="J119" s="71" t="str">
        <f t="shared" si="8"/>
        <v/>
      </c>
      <c r="K119" s="71"/>
      <c r="L119" s="71"/>
      <c r="M119" s="71"/>
      <c r="N119" s="71"/>
      <c r="O119" s="71"/>
    </row>
    <row r="120" spans="1:15" ht="1.9" customHeight="1">
      <c r="A120" s="71"/>
      <c r="B120" s="71"/>
      <c r="C120" s="78"/>
      <c r="D120" s="71"/>
      <c r="E120" s="78"/>
      <c r="F120" s="78"/>
      <c r="G120" s="78"/>
      <c r="H120" s="78" t="str">
        <f t="shared" si="7"/>
        <v/>
      </c>
      <c r="I120" s="71"/>
      <c r="J120" s="71" t="str">
        <f t="shared" si="8"/>
        <v/>
      </c>
      <c r="K120" s="71"/>
      <c r="L120" s="71"/>
      <c r="M120" s="71"/>
      <c r="N120" s="71"/>
      <c r="O120" s="71"/>
    </row>
    <row r="121" spans="1:15" ht="1.9" customHeight="1">
      <c r="A121" s="71"/>
      <c r="B121" s="71"/>
      <c r="C121" s="78"/>
      <c r="D121" s="71"/>
      <c r="E121" s="78"/>
      <c r="F121" s="78"/>
      <c r="G121" s="78"/>
      <c r="H121" s="78" t="str">
        <f t="shared" si="7"/>
        <v/>
      </c>
      <c r="I121" s="71"/>
      <c r="J121" s="71" t="str">
        <f t="shared" si="8"/>
        <v/>
      </c>
      <c r="K121" s="71"/>
      <c r="L121" s="71"/>
      <c r="M121" s="71"/>
      <c r="N121" s="71"/>
      <c r="O121" s="71"/>
    </row>
    <row r="122" spans="1:15" ht="1.9" customHeight="1">
      <c r="A122" s="71"/>
      <c r="B122" s="71"/>
      <c r="C122" s="78"/>
      <c r="D122" s="71"/>
      <c r="E122" s="78"/>
      <c r="F122" s="78"/>
      <c r="G122" s="78"/>
      <c r="H122" s="78" t="str">
        <f t="shared" si="7"/>
        <v/>
      </c>
      <c r="I122" s="71"/>
      <c r="J122" s="71" t="str">
        <f t="shared" si="8"/>
        <v/>
      </c>
      <c r="K122" s="71"/>
      <c r="L122" s="71"/>
      <c r="M122" s="71"/>
      <c r="N122" s="71"/>
      <c r="O122" s="71"/>
    </row>
    <row r="123" spans="1:15" ht="1.9" customHeight="1">
      <c r="A123" s="71"/>
      <c r="B123" s="71"/>
      <c r="C123" s="78"/>
      <c r="D123" s="71"/>
      <c r="E123" s="78"/>
      <c r="F123" s="78"/>
      <c r="G123" s="78"/>
      <c r="H123" s="78" t="str">
        <f t="shared" si="7"/>
        <v/>
      </c>
      <c r="I123" s="71"/>
      <c r="J123" s="71" t="str">
        <f t="shared" si="8"/>
        <v/>
      </c>
      <c r="K123" s="71"/>
      <c r="L123" s="71"/>
      <c r="M123" s="71"/>
      <c r="N123" s="71"/>
      <c r="O123" s="71"/>
    </row>
    <row r="124" spans="1:15" ht="1.9" customHeight="1">
      <c r="A124" s="71"/>
      <c r="B124" s="71"/>
      <c r="C124" s="78"/>
      <c r="D124" s="71"/>
      <c r="E124" s="78"/>
      <c r="F124" s="78"/>
      <c r="G124" s="78"/>
      <c r="H124" s="78" t="str">
        <f t="shared" si="7"/>
        <v/>
      </c>
      <c r="I124" s="71"/>
      <c r="J124" s="71" t="str">
        <f t="shared" si="8"/>
        <v/>
      </c>
      <c r="K124" s="71"/>
      <c r="L124" s="71"/>
      <c r="M124" s="71"/>
      <c r="N124" s="71"/>
      <c r="O124" s="71"/>
    </row>
    <row r="125" spans="1:15" ht="1.9" customHeight="1">
      <c r="A125" s="71"/>
      <c r="B125" s="71"/>
      <c r="C125" s="78"/>
      <c r="D125" s="71"/>
      <c r="E125" s="78"/>
      <c r="F125" s="78"/>
      <c r="G125" s="78"/>
      <c r="H125" s="78" t="str">
        <f t="shared" si="7"/>
        <v/>
      </c>
      <c r="I125" s="71"/>
      <c r="J125" s="71" t="str">
        <f t="shared" si="8"/>
        <v/>
      </c>
      <c r="K125" s="71"/>
      <c r="L125" s="71"/>
      <c r="M125" s="71"/>
      <c r="N125" s="71"/>
      <c r="O125" s="71"/>
    </row>
    <row r="126" spans="1:15" ht="1.9" customHeight="1">
      <c r="A126" s="71"/>
      <c r="B126" s="71"/>
      <c r="C126" s="78"/>
      <c r="D126" s="71"/>
      <c r="E126" s="78"/>
      <c r="F126" s="78"/>
      <c r="G126" s="78"/>
      <c r="H126" s="78" t="str">
        <f t="shared" si="7"/>
        <v/>
      </c>
      <c r="I126" s="71"/>
      <c r="J126" s="71" t="str">
        <f t="shared" si="8"/>
        <v/>
      </c>
      <c r="K126" s="71"/>
      <c r="L126" s="71"/>
      <c r="M126" s="71"/>
      <c r="N126" s="71"/>
      <c r="O126" s="71"/>
    </row>
    <row r="127" spans="1:15" ht="1.9" customHeight="1">
      <c r="A127" s="71"/>
      <c r="B127" s="71"/>
      <c r="C127" s="78"/>
      <c r="D127" s="71"/>
      <c r="E127" s="78"/>
      <c r="F127" s="78"/>
      <c r="G127" s="78"/>
      <c r="H127" s="78" t="str">
        <f t="shared" si="7"/>
        <v/>
      </c>
      <c r="I127" s="71"/>
      <c r="J127" s="71" t="str">
        <f t="shared" si="8"/>
        <v/>
      </c>
      <c r="K127" s="71"/>
      <c r="L127" s="71"/>
      <c r="M127" s="71"/>
      <c r="N127" s="71"/>
      <c r="O127" s="71"/>
    </row>
    <row r="128" spans="1:15" ht="1.9" customHeight="1">
      <c r="A128" s="71"/>
      <c r="B128" s="71"/>
      <c r="C128" s="78"/>
      <c r="D128" s="71"/>
      <c r="E128" s="78"/>
      <c r="F128" s="78"/>
      <c r="G128" s="78"/>
      <c r="H128" s="78" t="str">
        <f t="shared" si="7"/>
        <v/>
      </c>
      <c r="I128" s="71"/>
      <c r="J128" s="71" t="str">
        <f t="shared" si="8"/>
        <v/>
      </c>
      <c r="K128" s="71"/>
      <c r="L128" s="71"/>
      <c r="M128" s="71"/>
      <c r="N128" s="71"/>
      <c r="O128" s="71"/>
    </row>
    <row r="129" spans="1:15" ht="1.9" customHeight="1">
      <c r="A129" s="71"/>
      <c r="B129" s="71"/>
      <c r="C129" s="78"/>
      <c r="D129" s="71"/>
      <c r="E129" s="78"/>
      <c r="F129" s="78"/>
      <c r="G129" s="78"/>
      <c r="H129" s="78" t="str">
        <f t="shared" si="7"/>
        <v/>
      </c>
      <c r="I129" s="71"/>
      <c r="J129" s="71" t="str">
        <f t="shared" si="8"/>
        <v/>
      </c>
      <c r="K129" s="71"/>
      <c r="L129" s="71"/>
      <c r="M129" s="71"/>
      <c r="N129" s="71"/>
      <c r="O129" s="71"/>
    </row>
    <row r="130" spans="1:15" ht="1.9" customHeight="1">
      <c r="A130" s="71"/>
      <c r="B130" s="71"/>
      <c r="C130" s="78"/>
      <c r="D130" s="71"/>
      <c r="E130" s="78"/>
      <c r="F130" s="78"/>
      <c r="G130" s="78"/>
      <c r="H130" s="78" t="str">
        <f t="shared" si="7"/>
        <v/>
      </c>
      <c r="I130" s="71"/>
      <c r="J130" s="71" t="str">
        <f t="shared" si="8"/>
        <v/>
      </c>
      <c r="K130" s="71"/>
      <c r="L130" s="71"/>
      <c r="M130" s="71"/>
      <c r="N130" s="71"/>
      <c r="O130" s="71"/>
    </row>
    <row r="131" spans="1:15" ht="1.9" customHeight="1">
      <c r="A131" s="71"/>
      <c r="B131" s="71"/>
      <c r="C131" s="78"/>
      <c r="D131" s="71"/>
      <c r="E131" s="78"/>
      <c r="F131" s="78"/>
      <c r="G131" s="78"/>
      <c r="H131" s="78" t="str">
        <f t="shared" si="7"/>
        <v/>
      </c>
      <c r="I131" s="71"/>
      <c r="J131" s="71" t="str">
        <f t="shared" si="8"/>
        <v/>
      </c>
      <c r="K131" s="71"/>
      <c r="L131" s="71"/>
      <c r="M131" s="71"/>
      <c r="N131" s="71"/>
      <c r="O131" s="71"/>
    </row>
    <row r="132" spans="1:15" ht="1.9" customHeight="1">
      <c r="A132" s="71"/>
      <c r="B132" s="71"/>
      <c r="C132" s="78"/>
      <c r="D132" s="71"/>
      <c r="E132" s="78"/>
      <c r="F132" s="78"/>
      <c r="G132" s="78"/>
      <c r="H132" s="78" t="str">
        <f t="shared" si="7"/>
        <v/>
      </c>
      <c r="I132" s="71"/>
      <c r="J132" s="71" t="str">
        <f t="shared" si="8"/>
        <v/>
      </c>
      <c r="K132" s="71"/>
      <c r="L132" s="71"/>
      <c r="M132" s="71"/>
      <c r="N132" s="71"/>
      <c r="O132" s="71"/>
    </row>
    <row r="133" spans="1:15" ht="1.9" customHeight="1">
      <c r="A133" s="71"/>
      <c r="B133" s="71"/>
      <c r="C133" s="78"/>
      <c r="D133" s="71"/>
      <c r="E133" s="78"/>
      <c r="F133" s="78"/>
      <c r="G133" s="78"/>
      <c r="H133" s="78" t="str">
        <f t="shared" ref="H133:H164" si="9">IF(B133="","",IF(G133&lt;&gt;"",G133,MAX(C133+F133-E133,0)))</f>
        <v/>
      </c>
      <c r="I133" s="71"/>
      <c r="J133" s="71" t="str">
        <f t="shared" si="8"/>
        <v/>
      </c>
      <c r="K133" s="71"/>
      <c r="L133" s="71"/>
      <c r="M133" s="71"/>
      <c r="N133" s="71"/>
      <c r="O133" s="71"/>
    </row>
    <row r="134" spans="1:15" ht="1.9" customHeight="1">
      <c r="A134" s="71"/>
      <c r="B134" s="71"/>
      <c r="C134" s="78"/>
      <c r="D134" s="71"/>
      <c r="E134" s="78"/>
      <c r="F134" s="78"/>
      <c r="G134" s="78"/>
      <c r="H134" s="78" t="str">
        <f t="shared" si="9"/>
        <v/>
      </c>
      <c r="I134" s="71"/>
      <c r="J134" s="71" t="str">
        <f t="shared" si="8"/>
        <v/>
      </c>
      <c r="K134" s="71"/>
      <c r="L134" s="71"/>
      <c r="M134" s="71"/>
      <c r="N134" s="71"/>
      <c r="O134" s="71"/>
    </row>
    <row r="135" spans="1:15" ht="1.9" customHeight="1">
      <c r="A135" s="71"/>
      <c r="B135" s="71"/>
      <c r="C135" s="78"/>
      <c r="D135" s="71"/>
      <c r="E135" s="78"/>
      <c r="F135" s="78"/>
      <c r="G135" s="78"/>
      <c r="H135" s="78" t="str">
        <f t="shared" si="9"/>
        <v/>
      </c>
      <c r="I135" s="71"/>
      <c r="J135" s="71" t="str">
        <f t="shared" si="8"/>
        <v/>
      </c>
      <c r="K135" s="71"/>
      <c r="L135" s="71"/>
      <c r="M135" s="71"/>
      <c r="N135" s="71"/>
      <c r="O135" s="71"/>
    </row>
    <row r="136" spans="1:15" ht="1.9" customHeight="1">
      <c r="A136" s="71"/>
      <c r="B136" s="71"/>
      <c r="C136" s="78"/>
      <c r="D136" s="71"/>
      <c r="E136" s="78"/>
      <c r="F136" s="78"/>
      <c r="G136" s="78"/>
      <c r="H136" s="78" t="str">
        <f t="shared" si="9"/>
        <v/>
      </c>
      <c r="I136" s="71"/>
      <c r="J136" s="71" t="str">
        <f t="shared" si="8"/>
        <v/>
      </c>
      <c r="K136" s="71"/>
      <c r="L136" s="71"/>
      <c r="M136" s="71"/>
      <c r="N136" s="71"/>
      <c r="O136" s="71"/>
    </row>
    <row r="137" spans="1:15" ht="1.9" customHeight="1">
      <c r="A137" s="71"/>
      <c r="B137" s="71"/>
      <c r="C137" s="78"/>
      <c r="D137" s="71"/>
      <c r="E137" s="78"/>
      <c r="F137" s="78"/>
      <c r="G137" s="78"/>
      <c r="H137" s="78" t="str">
        <f t="shared" si="9"/>
        <v/>
      </c>
      <c r="I137" s="71"/>
      <c r="J137" s="71" t="str">
        <f t="shared" si="8"/>
        <v/>
      </c>
      <c r="K137" s="71"/>
      <c r="L137" s="71"/>
      <c r="M137" s="71"/>
      <c r="N137" s="71"/>
      <c r="O137" s="71"/>
    </row>
    <row r="138" spans="1:15" ht="1.9" customHeight="1">
      <c r="A138" s="71"/>
      <c r="B138" s="71"/>
      <c r="C138" s="78"/>
      <c r="D138" s="71"/>
      <c r="E138" s="78"/>
      <c r="F138" s="78"/>
      <c r="G138" s="78"/>
      <c r="H138" s="78" t="str">
        <f t="shared" si="9"/>
        <v/>
      </c>
      <c r="I138" s="71"/>
      <c r="J138" s="71" t="str">
        <f t="shared" si="8"/>
        <v/>
      </c>
      <c r="K138" s="71"/>
      <c r="L138" s="71"/>
      <c r="M138" s="71"/>
      <c r="N138" s="71"/>
      <c r="O138" s="71"/>
    </row>
    <row r="139" spans="1:15" ht="1.9" customHeight="1">
      <c r="A139" s="71"/>
      <c r="B139" s="71"/>
      <c r="C139" s="78"/>
      <c r="D139" s="71"/>
      <c r="E139" s="78"/>
      <c r="F139" s="78"/>
      <c r="G139" s="78"/>
      <c r="H139" s="78" t="str">
        <f t="shared" si="9"/>
        <v/>
      </c>
      <c r="I139" s="71"/>
      <c r="J139" s="71" t="str">
        <f t="shared" si="8"/>
        <v/>
      </c>
      <c r="K139" s="71"/>
      <c r="L139" s="71"/>
      <c r="M139" s="71"/>
      <c r="N139" s="71"/>
      <c r="O139" s="71"/>
    </row>
    <row r="140" spans="1:15" ht="1.9" customHeight="1">
      <c r="A140" s="71"/>
      <c r="B140" s="71"/>
      <c r="C140" s="78"/>
      <c r="D140" s="71"/>
      <c r="E140" s="78"/>
      <c r="F140" s="78"/>
      <c r="G140" s="78"/>
      <c r="H140" s="78" t="str">
        <f t="shared" si="9"/>
        <v/>
      </c>
      <c r="I140" s="71"/>
      <c r="J140" s="71" t="str">
        <f t="shared" si="8"/>
        <v/>
      </c>
      <c r="K140" s="71"/>
      <c r="L140" s="71"/>
      <c r="M140" s="71"/>
      <c r="N140" s="71"/>
      <c r="O140" s="71"/>
    </row>
    <row r="141" spans="1:15" ht="1.9" customHeight="1">
      <c r="A141" s="71"/>
      <c r="B141" s="71"/>
      <c r="C141" s="78"/>
      <c r="D141" s="71"/>
      <c r="E141" s="78"/>
      <c r="F141" s="78"/>
      <c r="G141" s="78"/>
      <c r="H141" s="78" t="str">
        <f t="shared" si="9"/>
        <v/>
      </c>
      <c r="I141" s="71"/>
      <c r="J141" s="71" t="str">
        <f t="shared" si="8"/>
        <v/>
      </c>
      <c r="K141" s="71"/>
      <c r="L141" s="71"/>
      <c r="M141" s="71"/>
      <c r="N141" s="71"/>
      <c r="O141" s="71"/>
    </row>
    <row r="142" spans="1:15" ht="1.9" customHeight="1">
      <c r="A142" s="71"/>
      <c r="B142" s="71"/>
      <c r="C142" s="78"/>
      <c r="D142" s="71"/>
      <c r="E142" s="78"/>
      <c r="F142" s="78"/>
      <c r="G142" s="78"/>
      <c r="H142" s="78" t="str">
        <f t="shared" si="9"/>
        <v/>
      </c>
      <c r="I142" s="71"/>
      <c r="J142" s="71" t="str">
        <f t="shared" si="8"/>
        <v/>
      </c>
      <c r="K142" s="71"/>
      <c r="L142" s="71"/>
      <c r="M142" s="71"/>
      <c r="N142" s="71"/>
      <c r="O142" s="71"/>
    </row>
    <row r="143" spans="1:15" ht="1.9" customHeight="1">
      <c r="A143" s="71"/>
      <c r="B143" s="71"/>
      <c r="C143" s="78"/>
      <c r="D143" s="71"/>
      <c r="E143" s="78"/>
      <c r="F143" s="78"/>
      <c r="G143" s="78"/>
      <c r="H143" s="78" t="str">
        <f t="shared" si="9"/>
        <v/>
      </c>
      <c r="I143" s="71"/>
      <c r="J143" s="71" t="str">
        <f t="shared" si="8"/>
        <v/>
      </c>
      <c r="K143" s="71"/>
      <c r="L143" s="71"/>
      <c r="M143" s="71"/>
      <c r="N143" s="71"/>
      <c r="O143" s="71"/>
    </row>
    <row r="144" spans="1:15" ht="1.9" customHeight="1">
      <c r="A144" s="71"/>
      <c r="B144" s="71"/>
      <c r="C144" s="78"/>
      <c r="D144" s="71"/>
      <c r="E144" s="78"/>
      <c r="F144" s="78"/>
      <c r="G144" s="78"/>
      <c r="H144" s="78" t="str">
        <f t="shared" si="9"/>
        <v/>
      </c>
      <c r="I144" s="71"/>
      <c r="J144" s="71" t="str">
        <f t="shared" si="8"/>
        <v/>
      </c>
      <c r="K144" s="71"/>
      <c r="L144" s="71"/>
      <c r="M144" s="71"/>
      <c r="N144" s="71"/>
      <c r="O144" s="71"/>
    </row>
    <row r="145" spans="1:15" ht="1.9" customHeight="1">
      <c r="A145" s="71"/>
      <c r="B145" s="71"/>
      <c r="C145" s="78"/>
      <c r="D145" s="71"/>
      <c r="E145" s="78"/>
      <c r="F145" s="78"/>
      <c r="G145" s="78"/>
      <c r="H145" s="78" t="str">
        <f t="shared" si="9"/>
        <v/>
      </c>
      <c r="I145" s="71"/>
      <c r="J145" s="71" t="str">
        <f t="shared" ref="J145:J176" si="10">IF(B145="","",IF(H145&lt;=0,"Cumplido",IF(H145&lt;=50000,"Atención","Pendiente")))</f>
        <v/>
      </c>
      <c r="K145" s="71"/>
      <c r="L145" s="71"/>
      <c r="M145" s="71"/>
      <c r="N145" s="71"/>
      <c r="O145" s="71"/>
    </row>
    <row r="146" spans="1:15" ht="1.9" customHeight="1">
      <c r="A146" s="71"/>
      <c r="B146" s="71"/>
      <c r="C146" s="78"/>
      <c r="D146" s="71"/>
      <c r="E146" s="78"/>
      <c r="F146" s="78"/>
      <c r="G146" s="78"/>
      <c r="H146" s="78" t="str">
        <f t="shared" si="9"/>
        <v/>
      </c>
      <c r="I146" s="71"/>
      <c r="J146" s="71" t="str">
        <f t="shared" si="10"/>
        <v/>
      </c>
      <c r="K146" s="71"/>
      <c r="L146" s="71"/>
      <c r="M146" s="71"/>
      <c r="N146" s="71"/>
      <c r="O146" s="71"/>
    </row>
    <row r="147" spans="1:15" ht="1.9" customHeight="1">
      <c r="A147" s="71"/>
      <c r="B147" s="71"/>
      <c r="C147" s="78"/>
      <c r="D147" s="71"/>
      <c r="E147" s="78"/>
      <c r="F147" s="78"/>
      <c r="G147" s="78"/>
      <c r="H147" s="78" t="str">
        <f t="shared" si="9"/>
        <v/>
      </c>
      <c r="I147" s="71"/>
      <c r="J147" s="71" t="str">
        <f t="shared" si="10"/>
        <v/>
      </c>
      <c r="K147" s="71"/>
      <c r="L147" s="71"/>
      <c r="M147" s="71"/>
      <c r="N147" s="71"/>
      <c r="O147" s="71"/>
    </row>
    <row r="148" spans="1:15" ht="1.9" customHeight="1">
      <c r="A148" s="71"/>
      <c r="B148" s="71"/>
      <c r="C148" s="78"/>
      <c r="D148" s="71"/>
      <c r="E148" s="78"/>
      <c r="F148" s="78"/>
      <c r="G148" s="78"/>
      <c r="H148" s="78" t="str">
        <f t="shared" si="9"/>
        <v/>
      </c>
      <c r="I148" s="71"/>
      <c r="J148" s="71" t="str">
        <f t="shared" si="10"/>
        <v/>
      </c>
      <c r="K148" s="71"/>
      <c r="L148" s="71"/>
      <c r="M148" s="71"/>
      <c r="N148" s="71"/>
      <c r="O148" s="71"/>
    </row>
    <row r="149" spans="1:15" ht="1.9" customHeight="1">
      <c r="A149" s="71"/>
      <c r="B149" s="71"/>
      <c r="C149" s="78"/>
      <c r="D149" s="71"/>
      <c r="E149" s="78"/>
      <c r="F149" s="78"/>
      <c r="G149" s="78"/>
      <c r="H149" s="78" t="str">
        <f t="shared" si="9"/>
        <v/>
      </c>
      <c r="I149" s="71"/>
      <c r="J149" s="71" t="str">
        <f t="shared" si="10"/>
        <v/>
      </c>
      <c r="K149" s="71"/>
      <c r="L149" s="71"/>
      <c r="M149" s="71"/>
      <c r="N149" s="71"/>
      <c r="O149" s="71"/>
    </row>
    <row r="150" spans="1:15" ht="1.9" customHeight="1">
      <c r="A150" s="71"/>
      <c r="B150" s="71"/>
      <c r="C150" s="78"/>
      <c r="D150" s="71"/>
      <c r="E150" s="78"/>
      <c r="F150" s="78"/>
      <c r="G150" s="78"/>
      <c r="H150" s="78" t="str">
        <f t="shared" si="9"/>
        <v/>
      </c>
      <c r="I150" s="71"/>
      <c r="J150" s="71" t="str">
        <f t="shared" si="10"/>
        <v/>
      </c>
      <c r="K150" s="71"/>
      <c r="L150" s="71"/>
      <c r="M150" s="71"/>
      <c r="N150" s="71"/>
      <c r="O150" s="71"/>
    </row>
    <row r="151" spans="1:15" ht="1.9" customHeight="1">
      <c r="A151" s="71"/>
      <c r="B151" s="71"/>
      <c r="C151" s="78"/>
      <c r="D151" s="71"/>
      <c r="E151" s="78"/>
      <c r="F151" s="78"/>
      <c r="G151" s="78"/>
      <c r="H151" s="78" t="str">
        <f t="shared" si="9"/>
        <v/>
      </c>
      <c r="I151" s="71"/>
      <c r="J151" s="71" t="str">
        <f t="shared" si="10"/>
        <v/>
      </c>
      <c r="K151" s="71"/>
      <c r="L151" s="71"/>
      <c r="M151" s="71"/>
      <c r="N151" s="71"/>
      <c r="O151" s="71"/>
    </row>
    <row r="152" spans="1:15" ht="1.9" customHeight="1">
      <c r="A152" s="71"/>
      <c r="B152" s="71"/>
      <c r="C152" s="78"/>
      <c r="D152" s="71"/>
      <c r="E152" s="78"/>
      <c r="F152" s="78"/>
      <c r="G152" s="78"/>
      <c r="H152" s="78" t="str">
        <f t="shared" si="9"/>
        <v/>
      </c>
      <c r="I152" s="71"/>
      <c r="J152" s="71" t="str">
        <f t="shared" si="10"/>
        <v/>
      </c>
      <c r="K152" s="71"/>
      <c r="L152" s="71"/>
      <c r="M152" s="71"/>
      <c r="N152" s="71"/>
      <c r="O152" s="71"/>
    </row>
    <row r="153" spans="1:15" ht="1.9" customHeight="1">
      <c r="A153" s="71"/>
      <c r="B153" s="71"/>
      <c r="C153" s="78"/>
      <c r="D153" s="71"/>
      <c r="E153" s="78"/>
      <c r="F153" s="78"/>
      <c r="G153" s="78"/>
      <c r="H153" s="78" t="str">
        <f t="shared" si="9"/>
        <v/>
      </c>
      <c r="I153" s="71"/>
      <c r="J153" s="71" t="str">
        <f t="shared" si="10"/>
        <v/>
      </c>
      <c r="K153" s="71"/>
      <c r="L153" s="71"/>
      <c r="M153" s="71"/>
      <c r="N153" s="71"/>
      <c r="O153" s="71"/>
    </row>
    <row r="154" spans="1:15" ht="1.9" customHeight="1">
      <c r="A154" s="71"/>
      <c r="B154" s="71"/>
      <c r="C154" s="78"/>
      <c r="D154" s="71"/>
      <c r="E154" s="78"/>
      <c r="F154" s="78"/>
      <c r="G154" s="78"/>
      <c r="H154" s="78" t="str">
        <f t="shared" si="9"/>
        <v/>
      </c>
      <c r="I154" s="71"/>
      <c r="J154" s="71" t="str">
        <f t="shared" si="10"/>
        <v/>
      </c>
      <c r="K154" s="71"/>
      <c r="L154" s="71"/>
      <c r="M154" s="71"/>
      <c r="N154" s="71"/>
      <c r="O154" s="71"/>
    </row>
    <row r="155" spans="1:15" ht="1.9" customHeight="1">
      <c r="A155" s="71"/>
      <c r="B155" s="71"/>
      <c r="C155" s="78"/>
      <c r="D155" s="71"/>
      <c r="E155" s="78"/>
      <c r="F155" s="78"/>
      <c r="G155" s="78"/>
      <c r="H155" s="78" t="str">
        <f t="shared" si="9"/>
        <v/>
      </c>
      <c r="I155" s="71"/>
      <c r="J155" s="71" t="str">
        <f t="shared" si="10"/>
        <v/>
      </c>
      <c r="K155" s="71"/>
      <c r="L155" s="71"/>
      <c r="M155" s="71"/>
      <c r="N155" s="71"/>
      <c r="O155" s="71"/>
    </row>
    <row r="156" spans="1:15" ht="1.9" customHeight="1">
      <c r="A156" s="71"/>
      <c r="B156" s="71"/>
      <c r="C156" s="78"/>
      <c r="D156" s="71"/>
      <c r="E156" s="78"/>
      <c r="F156" s="78"/>
      <c r="G156" s="78"/>
      <c r="H156" s="78" t="str">
        <f t="shared" si="9"/>
        <v/>
      </c>
      <c r="I156" s="71"/>
      <c r="J156" s="71" t="str">
        <f t="shared" si="10"/>
        <v/>
      </c>
      <c r="K156" s="71"/>
      <c r="L156" s="71"/>
      <c r="M156" s="71"/>
      <c r="N156" s="71"/>
      <c r="O156" s="71"/>
    </row>
    <row r="157" spans="1:15" ht="1.9" customHeight="1">
      <c r="A157" s="71"/>
      <c r="B157" s="71"/>
      <c r="C157" s="78"/>
      <c r="D157" s="71"/>
      <c r="E157" s="78"/>
      <c r="F157" s="78"/>
      <c r="G157" s="78"/>
      <c r="H157" s="78" t="str">
        <f t="shared" si="9"/>
        <v/>
      </c>
      <c r="I157" s="71"/>
      <c r="J157" s="71" t="str">
        <f t="shared" si="10"/>
        <v/>
      </c>
      <c r="K157" s="71"/>
      <c r="L157" s="71"/>
      <c r="M157" s="71"/>
      <c r="N157" s="71"/>
      <c r="O157" s="71"/>
    </row>
    <row r="158" spans="1:15" ht="1.9" customHeight="1">
      <c r="A158" s="71"/>
      <c r="B158" s="71"/>
      <c r="C158" s="78"/>
      <c r="D158" s="71"/>
      <c r="E158" s="78"/>
      <c r="F158" s="78"/>
      <c r="G158" s="78"/>
      <c r="H158" s="78" t="str">
        <f t="shared" si="9"/>
        <v/>
      </c>
      <c r="I158" s="71"/>
      <c r="J158" s="71" t="str">
        <f t="shared" si="10"/>
        <v/>
      </c>
      <c r="K158" s="71"/>
      <c r="L158" s="71"/>
      <c r="M158" s="71"/>
      <c r="N158" s="71"/>
      <c r="O158" s="71"/>
    </row>
    <row r="159" spans="1:15" ht="1.9" customHeight="1">
      <c r="A159" s="71"/>
      <c r="B159" s="71"/>
      <c r="C159" s="78"/>
      <c r="D159" s="71"/>
      <c r="E159" s="78"/>
      <c r="F159" s="78"/>
      <c r="G159" s="78"/>
      <c r="H159" s="78" t="str">
        <f t="shared" si="9"/>
        <v/>
      </c>
      <c r="I159" s="71"/>
      <c r="J159" s="71" t="str">
        <f t="shared" si="10"/>
        <v/>
      </c>
      <c r="K159" s="71"/>
      <c r="L159" s="71"/>
      <c r="M159" s="71"/>
      <c r="N159" s="71"/>
      <c r="O159" s="71"/>
    </row>
    <row r="160" spans="1:15" ht="1.9" customHeight="1">
      <c r="A160" s="71"/>
      <c r="B160" s="71"/>
      <c r="C160" s="78"/>
      <c r="D160" s="71"/>
      <c r="E160" s="78"/>
      <c r="F160" s="78"/>
      <c r="G160" s="78"/>
      <c r="H160" s="78" t="str">
        <f t="shared" si="9"/>
        <v/>
      </c>
      <c r="I160" s="71"/>
      <c r="J160" s="71" t="str">
        <f t="shared" si="10"/>
        <v/>
      </c>
      <c r="K160" s="71"/>
      <c r="L160" s="71"/>
      <c r="M160" s="71"/>
      <c r="N160" s="71"/>
      <c r="O160" s="71"/>
    </row>
    <row r="161" spans="1:15" ht="1.9" customHeight="1">
      <c r="A161" s="71"/>
      <c r="B161" s="71"/>
      <c r="C161" s="78"/>
      <c r="D161" s="71"/>
      <c r="E161" s="78"/>
      <c r="F161" s="78"/>
      <c r="G161" s="78"/>
      <c r="H161" s="78" t="str">
        <f t="shared" si="9"/>
        <v/>
      </c>
      <c r="I161" s="71"/>
      <c r="J161" s="71" t="str">
        <f t="shared" si="10"/>
        <v/>
      </c>
      <c r="K161" s="71"/>
      <c r="L161" s="71"/>
      <c r="M161" s="71"/>
      <c r="N161" s="71"/>
      <c r="O161" s="71"/>
    </row>
    <row r="162" spans="1:15" ht="1.9" customHeight="1">
      <c r="A162" s="71"/>
      <c r="B162" s="71"/>
      <c r="C162" s="78"/>
      <c r="D162" s="71"/>
      <c r="E162" s="78"/>
      <c r="F162" s="78"/>
      <c r="G162" s="78"/>
      <c r="H162" s="78" t="str">
        <f t="shared" si="9"/>
        <v/>
      </c>
      <c r="I162" s="71"/>
      <c r="J162" s="71" t="str">
        <f t="shared" si="10"/>
        <v/>
      </c>
      <c r="K162" s="71"/>
      <c r="L162" s="71"/>
      <c r="M162" s="71"/>
      <c r="N162" s="71"/>
      <c r="O162" s="71"/>
    </row>
    <row r="163" spans="1:15" ht="1.9" customHeight="1">
      <c r="A163" s="71"/>
      <c r="B163" s="71"/>
      <c r="C163" s="78"/>
      <c r="D163" s="71"/>
      <c r="E163" s="78"/>
      <c r="F163" s="78"/>
      <c r="G163" s="78"/>
      <c r="H163" s="78" t="str">
        <f t="shared" si="9"/>
        <v/>
      </c>
      <c r="I163" s="71"/>
      <c r="J163" s="71" t="str">
        <f t="shared" si="10"/>
        <v/>
      </c>
      <c r="K163" s="71"/>
      <c r="L163" s="71"/>
      <c r="M163" s="71"/>
      <c r="N163" s="71"/>
      <c r="O163" s="71"/>
    </row>
    <row r="164" spans="1:15" ht="1.9" customHeight="1">
      <c r="A164" s="71"/>
      <c r="B164" s="71"/>
      <c r="C164" s="78"/>
      <c r="D164" s="71"/>
      <c r="E164" s="78"/>
      <c r="F164" s="78"/>
      <c r="G164" s="78"/>
      <c r="H164" s="78" t="str">
        <f t="shared" si="9"/>
        <v/>
      </c>
      <c r="I164" s="71"/>
      <c r="J164" s="71" t="str">
        <f t="shared" si="10"/>
        <v/>
      </c>
      <c r="K164" s="71"/>
      <c r="L164" s="71"/>
      <c r="M164" s="71"/>
      <c r="N164" s="71"/>
      <c r="O164" s="71"/>
    </row>
    <row r="165" spans="1:15" ht="1.9" customHeight="1">
      <c r="A165" s="71"/>
      <c r="B165" s="71"/>
      <c r="C165" s="78"/>
      <c r="D165" s="71"/>
      <c r="E165" s="78"/>
      <c r="F165" s="78"/>
      <c r="G165" s="78"/>
      <c r="H165" s="78" t="str">
        <f t="shared" ref="H165:H196" si="11">IF(B165="","",IF(G165&lt;&gt;"",G165,MAX(C165+F165-E165,0)))</f>
        <v/>
      </c>
      <c r="I165" s="71"/>
      <c r="J165" s="71" t="str">
        <f t="shared" si="10"/>
        <v/>
      </c>
      <c r="K165" s="71"/>
      <c r="L165" s="71"/>
      <c r="M165" s="71"/>
      <c r="N165" s="71"/>
      <c r="O165" s="71"/>
    </row>
    <row r="166" spans="1:15" ht="1.9" customHeight="1">
      <c r="A166" s="71"/>
      <c r="B166" s="71"/>
      <c r="C166" s="78"/>
      <c r="D166" s="71"/>
      <c r="E166" s="78"/>
      <c r="F166" s="78"/>
      <c r="G166" s="78"/>
      <c r="H166" s="78" t="str">
        <f t="shared" si="11"/>
        <v/>
      </c>
      <c r="I166" s="71"/>
      <c r="J166" s="71" t="str">
        <f t="shared" si="10"/>
        <v/>
      </c>
      <c r="K166" s="71"/>
      <c r="L166" s="71"/>
      <c r="M166" s="71"/>
      <c r="N166" s="71"/>
      <c r="O166" s="71"/>
    </row>
    <row r="167" spans="1:15" ht="1.9" customHeight="1">
      <c r="A167" s="71"/>
      <c r="B167" s="71"/>
      <c r="C167" s="78"/>
      <c r="D167" s="71"/>
      <c r="E167" s="78"/>
      <c r="F167" s="78"/>
      <c r="G167" s="78"/>
      <c r="H167" s="78" t="str">
        <f t="shared" si="11"/>
        <v/>
      </c>
      <c r="I167" s="71"/>
      <c r="J167" s="71" t="str">
        <f t="shared" si="10"/>
        <v/>
      </c>
      <c r="K167" s="71"/>
      <c r="L167" s="71"/>
      <c r="M167" s="71"/>
      <c r="N167" s="71"/>
      <c r="O167" s="71"/>
    </row>
    <row r="168" spans="1:15" ht="1.9" customHeight="1">
      <c r="A168" s="71"/>
      <c r="B168" s="71"/>
      <c r="C168" s="78"/>
      <c r="D168" s="71"/>
      <c r="E168" s="78"/>
      <c r="F168" s="78"/>
      <c r="G168" s="78"/>
      <c r="H168" s="78" t="str">
        <f t="shared" si="11"/>
        <v/>
      </c>
      <c r="I168" s="71"/>
      <c r="J168" s="71" t="str">
        <f t="shared" si="10"/>
        <v/>
      </c>
      <c r="K168" s="71"/>
      <c r="L168" s="71"/>
      <c r="M168" s="71"/>
      <c r="N168" s="71"/>
      <c r="O168" s="71"/>
    </row>
    <row r="169" spans="1:15" ht="1.9" customHeight="1">
      <c r="A169" s="71"/>
      <c r="B169" s="71"/>
      <c r="C169" s="78"/>
      <c r="D169" s="71"/>
      <c r="E169" s="78"/>
      <c r="F169" s="78"/>
      <c r="G169" s="78"/>
      <c r="H169" s="78" t="str">
        <f t="shared" si="11"/>
        <v/>
      </c>
      <c r="I169" s="71"/>
      <c r="J169" s="71" t="str">
        <f t="shared" si="10"/>
        <v/>
      </c>
      <c r="K169" s="71"/>
      <c r="L169" s="71"/>
      <c r="M169" s="71"/>
      <c r="N169" s="71"/>
      <c r="O169" s="71"/>
    </row>
    <row r="170" spans="1:15" ht="1.9" customHeight="1">
      <c r="A170" s="71"/>
      <c r="B170" s="71"/>
      <c r="C170" s="78"/>
      <c r="D170" s="71"/>
      <c r="E170" s="78"/>
      <c r="F170" s="78"/>
      <c r="G170" s="78"/>
      <c r="H170" s="78" t="str">
        <f t="shared" si="11"/>
        <v/>
      </c>
      <c r="I170" s="71"/>
      <c r="J170" s="71" t="str">
        <f t="shared" si="10"/>
        <v/>
      </c>
      <c r="K170" s="71"/>
      <c r="L170" s="71"/>
      <c r="M170" s="71"/>
      <c r="N170" s="71"/>
      <c r="O170" s="71"/>
    </row>
    <row r="171" spans="1:15" ht="1.9" customHeight="1">
      <c r="A171" s="71"/>
      <c r="B171" s="71"/>
      <c r="C171" s="78"/>
      <c r="D171" s="71"/>
      <c r="E171" s="78"/>
      <c r="F171" s="78"/>
      <c r="G171" s="78"/>
      <c r="H171" s="78" t="str">
        <f t="shared" si="11"/>
        <v/>
      </c>
      <c r="I171" s="71"/>
      <c r="J171" s="71" t="str">
        <f t="shared" si="10"/>
        <v/>
      </c>
      <c r="K171" s="71"/>
      <c r="L171" s="71"/>
      <c r="M171" s="71"/>
      <c r="N171" s="71"/>
      <c r="O171" s="71"/>
    </row>
    <row r="172" spans="1:15" ht="1.9" customHeight="1">
      <c r="A172" s="71"/>
      <c r="B172" s="71"/>
      <c r="C172" s="78"/>
      <c r="D172" s="71"/>
      <c r="E172" s="78"/>
      <c r="F172" s="78"/>
      <c r="G172" s="78"/>
      <c r="H172" s="78" t="str">
        <f t="shared" si="11"/>
        <v/>
      </c>
      <c r="I172" s="71"/>
      <c r="J172" s="71" t="str">
        <f t="shared" si="10"/>
        <v/>
      </c>
      <c r="K172" s="71"/>
      <c r="L172" s="71"/>
      <c r="M172" s="71"/>
      <c r="N172" s="71"/>
      <c r="O172" s="71"/>
    </row>
    <row r="173" spans="1:15" ht="1.9" customHeight="1">
      <c r="A173" s="71"/>
      <c r="B173" s="71"/>
      <c r="C173" s="78"/>
      <c r="D173" s="71"/>
      <c r="E173" s="78"/>
      <c r="F173" s="78"/>
      <c r="G173" s="78"/>
      <c r="H173" s="78" t="str">
        <f t="shared" si="11"/>
        <v/>
      </c>
      <c r="I173" s="71"/>
      <c r="J173" s="71" t="str">
        <f t="shared" si="10"/>
        <v/>
      </c>
      <c r="K173" s="71"/>
      <c r="L173" s="71"/>
      <c r="M173" s="71"/>
      <c r="N173" s="71"/>
      <c r="O173" s="71"/>
    </row>
    <row r="174" spans="1:15" ht="1.9" customHeight="1">
      <c r="A174" s="71"/>
      <c r="B174" s="71"/>
      <c r="C174" s="78"/>
      <c r="D174" s="71"/>
      <c r="E174" s="78"/>
      <c r="F174" s="78"/>
      <c r="G174" s="78"/>
      <c r="H174" s="78" t="str">
        <f t="shared" si="11"/>
        <v/>
      </c>
      <c r="I174" s="71"/>
      <c r="J174" s="71" t="str">
        <f t="shared" si="10"/>
        <v/>
      </c>
      <c r="K174" s="71"/>
      <c r="L174" s="71"/>
      <c r="M174" s="71"/>
      <c r="N174" s="71"/>
      <c r="O174" s="71"/>
    </row>
    <row r="175" spans="1:15" ht="1.9" customHeight="1">
      <c r="A175" s="71"/>
      <c r="B175" s="71"/>
      <c r="C175" s="78"/>
      <c r="D175" s="71"/>
      <c r="E175" s="78"/>
      <c r="F175" s="78"/>
      <c r="G175" s="78"/>
      <c r="H175" s="78" t="str">
        <f t="shared" si="11"/>
        <v/>
      </c>
      <c r="I175" s="71"/>
      <c r="J175" s="71" t="str">
        <f t="shared" si="10"/>
        <v/>
      </c>
      <c r="K175" s="71"/>
      <c r="L175" s="71"/>
      <c r="M175" s="71"/>
      <c r="N175" s="71"/>
      <c r="O175" s="71"/>
    </row>
    <row r="176" spans="1:15" ht="1.9" customHeight="1">
      <c r="A176" s="71"/>
      <c r="B176" s="71"/>
      <c r="C176" s="78"/>
      <c r="D176" s="71"/>
      <c r="E176" s="78"/>
      <c r="F176" s="78"/>
      <c r="G176" s="78"/>
      <c r="H176" s="78" t="str">
        <f t="shared" si="11"/>
        <v/>
      </c>
      <c r="I176" s="71"/>
      <c r="J176" s="71" t="str">
        <f t="shared" si="10"/>
        <v/>
      </c>
      <c r="K176" s="71"/>
      <c r="L176" s="71"/>
      <c r="M176" s="71"/>
      <c r="N176" s="71"/>
      <c r="O176" s="71"/>
    </row>
    <row r="177" spans="1:15" ht="1.9" customHeight="1">
      <c r="A177" s="71"/>
      <c r="B177" s="71"/>
      <c r="C177" s="78"/>
      <c r="D177" s="71"/>
      <c r="E177" s="78"/>
      <c r="F177" s="78"/>
      <c r="G177" s="78"/>
      <c r="H177" s="78" t="str">
        <f t="shared" si="11"/>
        <v/>
      </c>
      <c r="I177" s="71"/>
      <c r="J177" s="71" t="str">
        <f t="shared" ref="J177:J204" si="12">IF(B177="","",IF(H177&lt;=0,"Cumplido",IF(H177&lt;=50000,"Atención","Pendiente")))</f>
        <v/>
      </c>
      <c r="K177" s="71"/>
      <c r="L177" s="71"/>
      <c r="M177" s="71"/>
      <c r="N177" s="71"/>
      <c r="O177" s="71"/>
    </row>
    <row r="178" spans="1:15" ht="1.9" customHeight="1">
      <c r="A178" s="71"/>
      <c r="B178" s="71"/>
      <c r="C178" s="78"/>
      <c r="D178" s="71"/>
      <c r="E178" s="78"/>
      <c r="F178" s="78"/>
      <c r="G178" s="78"/>
      <c r="H178" s="78" t="str">
        <f t="shared" si="11"/>
        <v/>
      </c>
      <c r="I178" s="71"/>
      <c r="J178" s="71" t="str">
        <f t="shared" si="12"/>
        <v/>
      </c>
      <c r="K178" s="71"/>
      <c r="L178" s="71"/>
      <c r="M178" s="71"/>
      <c r="N178" s="71"/>
      <c r="O178" s="71"/>
    </row>
    <row r="179" spans="1:15" ht="1.9" customHeight="1">
      <c r="A179" s="71"/>
      <c r="B179" s="71"/>
      <c r="C179" s="78"/>
      <c r="D179" s="71"/>
      <c r="E179" s="78"/>
      <c r="F179" s="78"/>
      <c r="G179" s="78"/>
      <c r="H179" s="78" t="str">
        <f t="shared" si="11"/>
        <v/>
      </c>
      <c r="I179" s="71"/>
      <c r="J179" s="71" t="str">
        <f t="shared" si="12"/>
        <v/>
      </c>
      <c r="K179" s="71"/>
      <c r="L179" s="71"/>
      <c r="M179" s="71"/>
      <c r="N179" s="71"/>
      <c r="O179" s="71"/>
    </row>
    <row r="180" spans="1:15" ht="1.9" customHeight="1">
      <c r="A180" s="71"/>
      <c r="B180" s="71"/>
      <c r="C180" s="78"/>
      <c r="D180" s="71"/>
      <c r="E180" s="78"/>
      <c r="F180" s="78"/>
      <c r="G180" s="78"/>
      <c r="H180" s="78" t="str">
        <f t="shared" si="11"/>
        <v/>
      </c>
      <c r="I180" s="71"/>
      <c r="J180" s="71" t="str">
        <f t="shared" si="12"/>
        <v/>
      </c>
      <c r="K180" s="71"/>
      <c r="L180" s="71"/>
      <c r="M180" s="71"/>
      <c r="N180" s="71"/>
      <c r="O180" s="71"/>
    </row>
    <row r="181" spans="1:15" ht="1.9" customHeight="1">
      <c r="A181" s="71"/>
      <c r="B181" s="71"/>
      <c r="C181" s="78"/>
      <c r="D181" s="71"/>
      <c r="E181" s="78"/>
      <c r="F181" s="78"/>
      <c r="G181" s="78"/>
      <c r="H181" s="78" t="str">
        <f t="shared" si="11"/>
        <v/>
      </c>
      <c r="I181" s="71"/>
      <c r="J181" s="71" t="str">
        <f t="shared" si="12"/>
        <v/>
      </c>
      <c r="K181" s="71"/>
      <c r="L181" s="71"/>
      <c r="M181" s="71"/>
      <c r="N181" s="71"/>
      <c r="O181" s="71"/>
    </row>
    <row r="182" spans="1:15" ht="1.9" customHeight="1">
      <c r="A182" s="71"/>
      <c r="B182" s="71"/>
      <c r="C182" s="78"/>
      <c r="D182" s="71"/>
      <c r="E182" s="78"/>
      <c r="F182" s="78"/>
      <c r="G182" s="78"/>
      <c r="H182" s="78" t="str">
        <f t="shared" si="11"/>
        <v/>
      </c>
      <c r="I182" s="71"/>
      <c r="J182" s="71" t="str">
        <f t="shared" si="12"/>
        <v/>
      </c>
      <c r="K182" s="71"/>
      <c r="L182" s="71"/>
      <c r="M182" s="71"/>
      <c r="N182" s="71"/>
      <c r="O182" s="71"/>
    </row>
    <row r="183" spans="1:15" ht="1.9" customHeight="1">
      <c r="A183" s="71"/>
      <c r="B183" s="71"/>
      <c r="C183" s="78"/>
      <c r="D183" s="71"/>
      <c r="E183" s="78"/>
      <c r="F183" s="78"/>
      <c r="G183" s="78"/>
      <c r="H183" s="78" t="str">
        <f t="shared" si="11"/>
        <v/>
      </c>
      <c r="I183" s="71"/>
      <c r="J183" s="71" t="str">
        <f t="shared" si="12"/>
        <v/>
      </c>
      <c r="K183" s="71"/>
      <c r="L183" s="71"/>
      <c r="M183" s="71"/>
      <c r="N183" s="71"/>
      <c r="O183" s="71"/>
    </row>
    <row r="184" spans="1:15" ht="1.9" customHeight="1">
      <c r="A184" s="71"/>
      <c r="B184" s="71"/>
      <c r="C184" s="78"/>
      <c r="D184" s="71"/>
      <c r="E184" s="78"/>
      <c r="F184" s="78"/>
      <c r="G184" s="78"/>
      <c r="H184" s="78" t="str">
        <f t="shared" si="11"/>
        <v/>
      </c>
      <c r="I184" s="71"/>
      <c r="J184" s="71" t="str">
        <f t="shared" si="12"/>
        <v/>
      </c>
      <c r="K184" s="71"/>
      <c r="L184" s="71"/>
      <c r="M184" s="71"/>
      <c r="N184" s="71"/>
      <c r="O184" s="71"/>
    </row>
    <row r="185" spans="1:15" ht="1.9" customHeight="1">
      <c r="A185" s="71"/>
      <c r="B185" s="71"/>
      <c r="C185" s="78"/>
      <c r="D185" s="71"/>
      <c r="E185" s="78"/>
      <c r="F185" s="78"/>
      <c r="G185" s="78"/>
      <c r="H185" s="78" t="str">
        <f t="shared" si="11"/>
        <v/>
      </c>
      <c r="I185" s="71"/>
      <c r="J185" s="71" t="str">
        <f t="shared" si="12"/>
        <v/>
      </c>
      <c r="K185" s="71"/>
      <c r="L185" s="71"/>
      <c r="M185" s="71"/>
      <c r="N185" s="71"/>
      <c r="O185" s="71"/>
    </row>
    <row r="186" spans="1:15" ht="1.9" customHeight="1">
      <c r="A186" s="71"/>
      <c r="B186" s="71"/>
      <c r="C186" s="78"/>
      <c r="D186" s="71"/>
      <c r="E186" s="78"/>
      <c r="F186" s="78"/>
      <c r="G186" s="78"/>
      <c r="H186" s="78" t="str">
        <f t="shared" si="11"/>
        <v/>
      </c>
      <c r="I186" s="71"/>
      <c r="J186" s="71" t="str">
        <f t="shared" si="12"/>
        <v/>
      </c>
      <c r="K186" s="71"/>
      <c r="L186" s="71"/>
      <c r="M186" s="71"/>
      <c r="N186" s="71"/>
      <c r="O186" s="71"/>
    </row>
    <row r="187" spans="1:15" ht="1.9" customHeight="1">
      <c r="A187" s="71"/>
      <c r="B187" s="71"/>
      <c r="C187" s="78"/>
      <c r="D187" s="71"/>
      <c r="E187" s="78"/>
      <c r="F187" s="78"/>
      <c r="G187" s="78"/>
      <c r="H187" s="78" t="str">
        <f t="shared" si="11"/>
        <v/>
      </c>
      <c r="I187" s="71"/>
      <c r="J187" s="71" t="str">
        <f t="shared" si="12"/>
        <v/>
      </c>
      <c r="K187" s="71"/>
      <c r="L187" s="71"/>
      <c r="M187" s="71"/>
      <c r="N187" s="71"/>
      <c r="O187" s="71"/>
    </row>
    <row r="188" spans="1:15" ht="1.9" customHeight="1">
      <c r="A188" s="71"/>
      <c r="B188" s="71"/>
      <c r="C188" s="78"/>
      <c r="D188" s="71"/>
      <c r="E188" s="78"/>
      <c r="F188" s="78"/>
      <c r="G188" s="78"/>
      <c r="H188" s="78" t="str">
        <f t="shared" si="11"/>
        <v/>
      </c>
      <c r="I188" s="71"/>
      <c r="J188" s="71" t="str">
        <f t="shared" si="12"/>
        <v/>
      </c>
      <c r="K188" s="71"/>
      <c r="L188" s="71"/>
      <c r="M188" s="71"/>
      <c r="N188" s="71"/>
      <c r="O188" s="71"/>
    </row>
    <row r="189" spans="1:15" ht="1.9" customHeight="1">
      <c r="A189" s="71"/>
      <c r="B189" s="71"/>
      <c r="C189" s="78"/>
      <c r="D189" s="71"/>
      <c r="E189" s="78"/>
      <c r="F189" s="78"/>
      <c r="G189" s="78"/>
      <c r="H189" s="78" t="str">
        <f t="shared" si="11"/>
        <v/>
      </c>
      <c r="I189" s="71"/>
      <c r="J189" s="71" t="str">
        <f t="shared" si="12"/>
        <v/>
      </c>
      <c r="K189" s="71"/>
      <c r="L189" s="71"/>
      <c r="M189" s="71"/>
      <c r="N189" s="71"/>
      <c r="O189" s="71"/>
    </row>
    <row r="190" spans="1:15" ht="1.9" customHeight="1">
      <c r="A190" s="71"/>
      <c r="B190" s="71"/>
      <c r="C190" s="78"/>
      <c r="D190" s="71"/>
      <c r="E190" s="78"/>
      <c r="F190" s="78"/>
      <c r="G190" s="78"/>
      <c r="H190" s="78" t="str">
        <f t="shared" si="11"/>
        <v/>
      </c>
      <c r="I190" s="71"/>
      <c r="J190" s="71" t="str">
        <f t="shared" si="12"/>
        <v/>
      </c>
      <c r="K190" s="71"/>
      <c r="L190" s="71"/>
      <c r="M190" s="71"/>
      <c r="N190" s="71"/>
      <c r="O190" s="71"/>
    </row>
    <row r="191" spans="1:15" ht="1.9" customHeight="1">
      <c r="A191" s="71"/>
      <c r="B191" s="71"/>
      <c r="C191" s="78"/>
      <c r="D191" s="71"/>
      <c r="E191" s="78"/>
      <c r="F191" s="78"/>
      <c r="G191" s="78"/>
      <c r="H191" s="78" t="str">
        <f t="shared" si="11"/>
        <v/>
      </c>
      <c r="I191" s="71"/>
      <c r="J191" s="71" t="str">
        <f t="shared" si="12"/>
        <v/>
      </c>
      <c r="K191" s="71"/>
      <c r="L191" s="71"/>
      <c r="M191" s="71"/>
      <c r="N191" s="71"/>
      <c r="O191" s="71"/>
    </row>
    <row r="192" spans="1:15" ht="1.9" customHeight="1">
      <c r="A192" s="71"/>
      <c r="B192" s="71"/>
      <c r="C192" s="78"/>
      <c r="D192" s="71"/>
      <c r="E192" s="78"/>
      <c r="F192" s="78"/>
      <c r="G192" s="78"/>
      <c r="H192" s="78" t="str">
        <f t="shared" si="11"/>
        <v/>
      </c>
      <c r="I192" s="71"/>
      <c r="J192" s="71" t="str">
        <f t="shared" si="12"/>
        <v/>
      </c>
      <c r="K192" s="71"/>
      <c r="L192" s="71"/>
      <c r="M192" s="71"/>
      <c r="N192" s="71"/>
      <c r="O192" s="71"/>
    </row>
    <row r="193" spans="1:15" ht="1.9" customHeight="1">
      <c r="A193" s="71"/>
      <c r="B193" s="71"/>
      <c r="C193" s="78"/>
      <c r="D193" s="71"/>
      <c r="E193" s="78"/>
      <c r="F193" s="78"/>
      <c r="G193" s="78"/>
      <c r="H193" s="78" t="str">
        <f t="shared" si="11"/>
        <v/>
      </c>
      <c r="I193" s="71"/>
      <c r="J193" s="71" t="str">
        <f t="shared" si="12"/>
        <v/>
      </c>
      <c r="K193" s="71"/>
      <c r="L193" s="71"/>
      <c r="M193" s="71"/>
      <c r="N193" s="71"/>
      <c r="O193" s="71"/>
    </row>
    <row r="194" spans="1:15" ht="1.9" customHeight="1">
      <c r="A194" s="71"/>
      <c r="B194" s="71"/>
      <c r="C194" s="78"/>
      <c r="D194" s="71"/>
      <c r="E194" s="78"/>
      <c r="F194" s="78"/>
      <c r="G194" s="78"/>
      <c r="H194" s="78" t="str">
        <f t="shared" si="11"/>
        <v/>
      </c>
      <c r="I194" s="71"/>
      <c r="J194" s="71" t="str">
        <f t="shared" si="12"/>
        <v/>
      </c>
      <c r="K194" s="71"/>
      <c r="L194" s="71"/>
      <c r="M194" s="71"/>
      <c r="N194" s="71"/>
      <c r="O194" s="71"/>
    </row>
    <row r="195" spans="1:15" ht="1.9" customHeight="1">
      <c r="A195" s="71"/>
      <c r="B195" s="71"/>
      <c r="C195" s="78"/>
      <c r="D195" s="71"/>
      <c r="E195" s="78"/>
      <c r="F195" s="78"/>
      <c r="G195" s="78"/>
      <c r="H195" s="78" t="str">
        <f t="shared" si="11"/>
        <v/>
      </c>
      <c r="I195" s="71"/>
      <c r="J195" s="71" t="str">
        <f t="shared" si="12"/>
        <v/>
      </c>
      <c r="K195" s="71"/>
      <c r="L195" s="71"/>
      <c r="M195" s="71"/>
      <c r="N195" s="71"/>
      <c r="O195" s="71"/>
    </row>
    <row r="196" spans="1:15" ht="1.9" customHeight="1">
      <c r="A196" s="71"/>
      <c r="B196" s="71"/>
      <c r="C196" s="78"/>
      <c r="D196" s="71"/>
      <c r="E196" s="78"/>
      <c r="F196" s="78"/>
      <c r="G196" s="78"/>
      <c r="H196" s="78" t="str">
        <f t="shared" si="11"/>
        <v/>
      </c>
      <c r="I196" s="71"/>
      <c r="J196" s="71" t="str">
        <f t="shared" si="12"/>
        <v/>
      </c>
      <c r="K196" s="71"/>
      <c r="L196" s="71"/>
      <c r="M196" s="71"/>
      <c r="N196" s="71"/>
      <c r="O196" s="71"/>
    </row>
    <row r="197" spans="1:15" ht="1.9" customHeight="1">
      <c r="A197" s="71"/>
      <c r="B197" s="71"/>
      <c r="C197" s="78"/>
      <c r="D197" s="71"/>
      <c r="E197" s="78"/>
      <c r="F197" s="78"/>
      <c r="G197" s="78"/>
      <c r="H197" s="78" t="str">
        <f t="shared" ref="H197:H204" si="13">IF(B197="","",IF(G197&lt;&gt;"",G197,MAX(C197+F197-E197,0)))</f>
        <v/>
      </c>
      <c r="I197" s="71"/>
      <c r="J197" s="71" t="str">
        <f t="shared" si="12"/>
        <v/>
      </c>
      <c r="K197" s="71"/>
      <c r="L197" s="71"/>
      <c r="M197" s="71"/>
      <c r="N197" s="71"/>
      <c r="O197" s="71"/>
    </row>
    <row r="198" spans="1:15" ht="1.9" customHeight="1">
      <c r="A198" s="71"/>
      <c r="B198" s="71"/>
      <c r="C198" s="78"/>
      <c r="D198" s="71"/>
      <c r="E198" s="78"/>
      <c r="F198" s="78"/>
      <c r="G198" s="78"/>
      <c r="H198" s="78" t="str">
        <f t="shared" si="13"/>
        <v/>
      </c>
      <c r="I198" s="71"/>
      <c r="J198" s="71" t="str">
        <f t="shared" si="12"/>
        <v/>
      </c>
      <c r="K198" s="71"/>
      <c r="L198" s="71"/>
      <c r="M198" s="71"/>
      <c r="N198" s="71"/>
      <c r="O198" s="71"/>
    </row>
    <row r="199" spans="1:15" ht="1.9" customHeight="1">
      <c r="A199" s="71"/>
      <c r="B199" s="71"/>
      <c r="C199" s="78"/>
      <c r="D199" s="71"/>
      <c r="E199" s="78"/>
      <c r="F199" s="78"/>
      <c r="G199" s="78"/>
      <c r="H199" s="78" t="str">
        <f t="shared" si="13"/>
        <v/>
      </c>
      <c r="I199" s="71"/>
      <c r="J199" s="71" t="str">
        <f t="shared" si="12"/>
        <v/>
      </c>
      <c r="K199" s="71"/>
      <c r="L199" s="71"/>
      <c r="M199" s="71"/>
      <c r="N199" s="71"/>
      <c r="O199" s="71"/>
    </row>
    <row r="200" spans="1:15" ht="1.9" customHeight="1">
      <c r="A200" s="71"/>
      <c r="B200" s="71"/>
      <c r="C200" s="78"/>
      <c r="D200" s="71"/>
      <c r="E200" s="78"/>
      <c r="F200" s="78"/>
      <c r="G200" s="78"/>
      <c r="H200" s="78" t="str">
        <f t="shared" si="13"/>
        <v/>
      </c>
      <c r="I200" s="71"/>
      <c r="J200" s="71" t="str">
        <f t="shared" si="12"/>
        <v/>
      </c>
      <c r="K200" s="71"/>
      <c r="L200" s="71"/>
      <c r="M200" s="71"/>
      <c r="N200" s="71"/>
      <c r="O200" s="71"/>
    </row>
    <row r="201" spans="1:15" ht="1.9" customHeight="1">
      <c r="A201" s="71"/>
      <c r="B201" s="71"/>
      <c r="C201" s="78"/>
      <c r="D201" s="71"/>
      <c r="E201" s="78"/>
      <c r="F201" s="78"/>
      <c r="G201" s="78"/>
      <c r="H201" s="78" t="str">
        <f t="shared" si="13"/>
        <v/>
      </c>
      <c r="I201" s="71"/>
      <c r="J201" s="71" t="str">
        <f t="shared" si="12"/>
        <v/>
      </c>
      <c r="K201" s="71"/>
      <c r="L201" s="71"/>
      <c r="M201" s="71"/>
      <c r="N201" s="71"/>
      <c r="O201" s="71"/>
    </row>
    <row r="202" spans="1:15" ht="1.9" customHeight="1">
      <c r="A202" s="71"/>
      <c r="B202" s="71"/>
      <c r="C202" s="78"/>
      <c r="D202" s="71"/>
      <c r="E202" s="78"/>
      <c r="F202" s="78"/>
      <c r="G202" s="78"/>
      <c r="H202" s="78" t="str">
        <f t="shared" si="13"/>
        <v/>
      </c>
      <c r="I202" s="71"/>
      <c r="J202" s="71" t="str">
        <f t="shared" si="12"/>
        <v/>
      </c>
      <c r="K202" s="71"/>
      <c r="L202" s="71"/>
      <c r="M202" s="71"/>
      <c r="N202" s="71"/>
      <c r="O202" s="71"/>
    </row>
    <row r="203" spans="1:15" ht="1.9" customHeight="1">
      <c r="A203" s="71"/>
      <c r="B203" s="71"/>
      <c r="C203" s="78"/>
      <c r="D203" s="71"/>
      <c r="E203" s="78"/>
      <c r="F203" s="78"/>
      <c r="G203" s="78"/>
      <c r="H203" s="78" t="str">
        <f t="shared" si="13"/>
        <v/>
      </c>
      <c r="I203" s="71"/>
      <c r="J203" s="71" t="str">
        <f t="shared" si="12"/>
        <v/>
      </c>
      <c r="K203" s="71"/>
      <c r="L203" s="71"/>
      <c r="M203" s="71"/>
      <c r="N203" s="71"/>
      <c r="O203" s="71"/>
    </row>
    <row r="204" spans="1:15" ht="1.9" customHeight="1">
      <c r="A204" s="71"/>
      <c r="B204" s="71"/>
      <c r="C204" s="78"/>
      <c r="D204" s="71"/>
      <c r="E204" s="78"/>
      <c r="F204" s="78"/>
      <c r="G204" s="78"/>
      <c r="H204" s="78" t="str">
        <f t="shared" si="13"/>
        <v/>
      </c>
      <c r="I204" s="71"/>
      <c r="J204" s="71" t="str">
        <f t="shared" si="12"/>
        <v/>
      </c>
      <c r="K204" s="71"/>
      <c r="L204" s="71"/>
      <c r="M204" s="71"/>
      <c r="N204" s="71"/>
      <c r="O204" s="71"/>
    </row>
    <row r="205" spans="1:1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</row>
    <row r="206" spans="1:1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</row>
    <row r="207" spans="1:1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</row>
    <row r="208" spans="1:1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</row>
    <row r="209" spans="1:1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</row>
    <row r="210" spans="1:1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</row>
    <row r="211" spans="1:1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</row>
    <row r="212" spans="1:1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</row>
    <row r="213" spans="1:1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</row>
    <row r="214" spans="1:1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</row>
    <row r="215" spans="1: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</row>
    <row r="216" spans="1:1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</row>
    <row r="217" spans="1:1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</row>
    <row r="218" spans="1:1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</row>
    <row r="219" spans="1:1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</row>
    <row r="220" spans="1:1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</row>
  </sheetData>
  <mergeCells count="2">
    <mergeCell ref="A1:O1"/>
    <mergeCell ref="A2:G2"/>
  </mergeCells>
  <conditionalFormatting sqref="J5:J20">
    <cfRule type="expression" dxfId="826" priority="5">
      <formula>ISNUMBER(SEARCH("Riesgo",J5))</formula>
    </cfRule>
    <cfRule type="expression" dxfId="825" priority="6">
      <formula>ISNUMBER(SEARCH("Crítico",J5))</formula>
    </cfRule>
    <cfRule type="expression" dxfId="824" priority="7">
      <formula>ISNUMBER(SEARCH("Pendiente",J5))</formula>
    </cfRule>
    <cfRule type="expression" dxfId="823" priority="8">
      <formula>ISNUMBER(SEARCH("En riesgo",J5))</formula>
    </cfRule>
    <cfRule type="expression" dxfId="822" priority="9">
      <formula>ISNUMBER(SEARCH("Atención",J5))</formula>
    </cfRule>
    <cfRule type="expression" dxfId="821" priority="10">
      <formula>ISNUMBER(SEARCH("En proceso",J5))</formula>
    </cfRule>
    <cfRule type="expression" dxfId="820" priority="11">
      <formula>ISNUMBER(SEARCH("Meta",J5))</formula>
    </cfRule>
    <cfRule type="expression" dxfId="819" priority="12">
      <formula>ISNUMBER(SEARCH("Cumple",J5))</formula>
    </cfRule>
    <cfRule type="expression" dxfId="818" priority="13">
      <formula>ISNUMBER(SEARCH("Cumplido",J5))</formula>
    </cfRule>
    <cfRule type="expression" dxfId="817" priority="14">
      <formula>ISNUMBER(SEARCH("Positivo",J5))</formula>
    </cfRule>
    <cfRule type="expression" dxfId="816" priority="15">
      <formula>ISNUMBER(SEARCH("Dominio",J5))</formula>
    </cfRule>
    <cfRule type="expression" dxfId="815" priority="16">
      <formula>ISNUMBER(SEARCH("Alto",J5))</formula>
    </cfRule>
    <cfRule type="expression" dxfId="814" priority="17">
      <formula>ISNUMBER(SEARCH("Superado",J5))</formula>
    </cfRule>
    <cfRule type="expression" dxfId="813" priority="18">
      <formula>ISNUMBER(SEARCH("Cuadrado",J5))</formula>
    </cfRule>
    <cfRule type="expression" dxfId="812" priority="19">
      <formula>ISNUMBER(SEARCH("Revisar",J5))</formula>
    </cfRule>
    <cfRule type="expression" dxfId="811" priority="20">
      <formula>ISNUMBER(SEARCH("Vacío",J5))</formula>
    </cfRule>
  </conditionalFormatting>
  <conditionalFormatting sqref="J5:J204">
    <cfRule type="expression" dxfId="810" priority="1">
      <formula>OR(ISNUMBER(SEARCH("Crítico",J5)),ISNUMBER(SEARCH("Controlar",J5)),ISNUMBER(SEARCH("Pendiente",J5)))</formula>
    </cfRule>
    <cfRule type="expression" dxfId="809" priority="2">
      <formula>OR(ISNUMBER(SEARCH("Atención",J5)),ISNUMBER(SEARCH("En construcción",J5)),ISNUMBER(SEARCH("Revisar",J5)),ISNUMBER(SEARCH("Manual",J5)),ISNUMBER(SEARCH("Vacío",J5)))</formula>
    </cfRule>
    <cfRule type="expression" dxfId="808" priority="3">
      <formula>OR(ISNUMBER(SEARCH("Cumple",J5)),ISNUMBER(SEARCH("Meta",J5)),ISNUMBER(SEARCH("Positivo",J5)),ISNUMBER(SEARCH("Activo",J5)),ISNUMBER(SEARCH("Fuerte",J5)),ISNUMBER(SEARCH("Cuadrado",J5)),ISNUMBER(SEARCH("OK",J5)))</formula>
    </cfRule>
    <cfRule type="expression" dxfId="807" priority="4">
      <formula>ISNUMBER(SEARCH("Dominio",J5))</formula>
    </cfRule>
  </conditionalFormatting>
  <dataValidations count="2">
    <dataValidation type="list" allowBlank="1" sqref="J5:J104" xr:uid="{00000000-0002-0000-1700-000000000000}">
      <formula1>"🔴 Riesgo,🟡 En proceso,🟢 Cumplido,🔵 Superado"</formula1>
    </dataValidation>
    <dataValidation type="list" allowBlank="1" sqref="D5:D104" xr:uid="{00000000-0002-0000-1700-000001000000}">
      <formula1>"Pago,Abono,Renegociación,Ajuste,Interés,Cargo"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A651"/>
  </sheetPr>
  <dimension ref="A1:R219"/>
  <sheetViews>
    <sheetView showGridLines="0" workbookViewId="0"/>
  </sheetViews>
  <sheetFormatPr baseColWidth="10" defaultColWidth="8.7265625" defaultRowHeight="14.5"/>
  <cols>
    <col min="1" max="1" width="13" customWidth="1"/>
    <col min="2" max="2" width="20.36328125" customWidth="1"/>
    <col min="3" max="3" width="15" customWidth="1"/>
    <col min="4" max="4" width="7.81640625" customWidth="1"/>
    <col min="5" max="5" width="10.90625" customWidth="1"/>
    <col min="6" max="6" width="16.54296875" customWidth="1"/>
    <col min="7" max="7" width="17.08984375" customWidth="1"/>
    <col min="8" max="8" width="11" customWidth="1"/>
    <col min="9" max="9" width="19.36328125" customWidth="1"/>
    <col min="10" max="10" width="16" customWidth="1"/>
    <col min="11" max="11" width="18" customWidth="1"/>
    <col min="12" max="12" width="12" customWidth="1"/>
    <col min="13" max="14" width="10" customWidth="1"/>
    <col min="15" max="15" width="12" customWidth="1"/>
    <col min="16" max="16" width="28" customWidth="1"/>
    <col min="17" max="17" width="18" customWidth="1"/>
    <col min="18" max="18" width="28" customWidth="1"/>
  </cols>
  <sheetData>
    <row r="1" spans="1:18" ht="28" customHeight="1">
      <c r="A1" s="446" t="s">
        <v>1623</v>
      </c>
      <c r="B1" s="426"/>
      <c r="C1" s="426"/>
      <c r="D1" s="426"/>
      <c r="E1" s="426"/>
      <c r="F1" s="426"/>
      <c r="G1" s="426"/>
      <c r="H1" s="426"/>
      <c r="I1" s="173"/>
      <c r="J1" s="173"/>
      <c r="K1" s="173"/>
      <c r="L1" s="173"/>
      <c r="M1" s="173"/>
      <c r="N1" s="173"/>
      <c r="O1" s="173"/>
      <c r="P1" s="173"/>
      <c r="Q1" s="173"/>
      <c r="R1" s="173"/>
    </row>
    <row r="2" spans="1:18">
      <c r="A2" s="447" t="s">
        <v>1624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174"/>
      <c r="Q2" s="174"/>
      <c r="R2" s="174"/>
    </row>
    <row r="3" spans="1:18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</row>
    <row r="4" spans="1:18" ht="29" customHeight="1">
      <c r="A4" s="175" t="s">
        <v>13</v>
      </c>
      <c r="B4" s="175" t="s">
        <v>79</v>
      </c>
      <c r="C4" s="175" t="s">
        <v>1461</v>
      </c>
      <c r="D4" s="175" t="s">
        <v>1395</v>
      </c>
      <c r="E4" s="175" t="s">
        <v>1625</v>
      </c>
      <c r="F4" s="175" t="s">
        <v>1626</v>
      </c>
      <c r="G4" s="175" t="s">
        <v>1627</v>
      </c>
      <c r="H4" s="175" t="s">
        <v>1397</v>
      </c>
      <c r="I4" s="175" t="s">
        <v>1628</v>
      </c>
      <c r="J4" s="175" t="s">
        <v>1629</v>
      </c>
      <c r="K4" s="175" t="s">
        <v>1630</v>
      </c>
      <c r="L4" s="175" t="s">
        <v>1061</v>
      </c>
      <c r="M4" s="175" t="s">
        <v>1631</v>
      </c>
      <c r="N4" s="175" t="s">
        <v>1632</v>
      </c>
      <c r="O4" s="175" t="s">
        <v>655</v>
      </c>
      <c r="P4" s="175" t="s">
        <v>656</v>
      </c>
      <c r="Q4" s="175" t="s">
        <v>252</v>
      </c>
      <c r="R4" s="175" t="s">
        <v>73</v>
      </c>
    </row>
    <row r="5" spans="1:18">
      <c r="A5" s="131">
        <v>46122</v>
      </c>
      <c r="B5" s="132" t="s">
        <v>1633</v>
      </c>
      <c r="C5" s="132" t="s">
        <v>1634</v>
      </c>
      <c r="D5" s="132" t="s">
        <v>1635</v>
      </c>
      <c r="E5" s="176">
        <v>30</v>
      </c>
      <c r="F5" s="177">
        <f t="shared" ref="F5:F10" si="0">E5/G5</f>
        <v>0.61012812690665041</v>
      </c>
      <c r="G5" s="176">
        <v>49.17</v>
      </c>
      <c r="H5" s="171">
        <v>950</v>
      </c>
      <c r="I5" s="171">
        <f t="shared" ref="I5:I36" si="1">IF(E5="","",IF(D5="USD",E5*H5,E5))</f>
        <v>28500</v>
      </c>
      <c r="J5" s="132" t="s">
        <v>1636</v>
      </c>
      <c r="K5" s="132" t="s">
        <v>1636</v>
      </c>
      <c r="L5" s="132" t="str">
        <f t="shared" ref="L5:L36" si="2">IF(A5="","",LOWER(TEXT(A5,"mmmm")))</f>
        <v>abril</v>
      </c>
      <c r="M5" s="132" t="str">
        <f t="shared" ref="M5:M36" si="3">IF(A5="","",IF(MONTH(A5)&lt;=3,"T1",IF(MONTH(A5)&lt;=6,"T2",IF(MONTH(A5)&lt;=9,"T3","T4"))))</f>
        <v>T2</v>
      </c>
      <c r="N5" s="132" t="str">
        <f t="shared" ref="N5:N36" si="4">IF(A5="","","Año "&amp;YEAR(A5)-2025)</f>
        <v>Año 1</v>
      </c>
      <c r="O5" s="132" t="s">
        <v>1637</v>
      </c>
      <c r="P5" s="132" t="s">
        <v>1638</v>
      </c>
      <c r="Q5" s="132" t="s">
        <v>1639</v>
      </c>
      <c r="R5" s="132" t="str">
        <f t="shared" ref="R5:R36" si="5">IF(B5="","",TEXT(A5,"yyyymmdd")&amp;"-"&amp;B5&amp;"-"&amp;ROW())</f>
        <v>20260410-TQQQ-5</v>
      </c>
    </row>
    <row r="6" spans="1:18">
      <c r="A6" s="131">
        <v>46148</v>
      </c>
      <c r="B6" s="132" t="s">
        <v>1633</v>
      </c>
      <c r="C6" s="132" t="s">
        <v>1634</v>
      </c>
      <c r="D6" s="132" t="s">
        <v>1635</v>
      </c>
      <c r="E6" s="176">
        <v>20</v>
      </c>
      <c r="F6" s="177">
        <f t="shared" si="0"/>
        <v>0.27944669554282525</v>
      </c>
      <c r="G6" s="176">
        <v>71.569999999999993</v>
      </c>
      <c r="H6" s="171">
        <v>950</v>
      </c>
      <c r="I6" s="171">
        <f t="shared" si="1"/>
        <v>19000</v>
      </c>
      <c r="J6" s="132" t="s">
        <v>1636</v>
      </c>
      <c r="K6" s="132" t="s">
        <v>1636</v>
      </c>
      <c r="L6" s="132" t="str">
        <f t="shared" si="2"/>
        <v>mayo</v>
      </c>
      <c r="M6" s="132" t="str">
        <f t="shared" si="3"/>
        <v>T2</v>
      </c>
      <c r="N6" s="132" t="str">
        <f t="shared" si="4"/>
        <v>Año 1</v>
      </c>
      <c r="O6" s="132" t="s">
        <v>1637</v>
      </c>
      <c r="P6" s="132" t="s">
        <v>1640</v>
      </c>
      <c r="Q6" s="132" t="s">
        <v>1639</v>
      </c>
      <c r="R6" s="132" t="str">
        <f t="shared" si="5"/>
        <v>20260506-TQQQ-6</v>
      </c>
    </row>
    <row r="7" spans="1:18">
      <c r="A7" s="131">
        <v>46164</v>
      </c>
      <c r="B7" s="132" t="s">
        <v>1633</v>
      </c>
      <c r="C7" s="132" t="s">
        <v>1634</v>
      </c>
      <c r="D7" s="132" t="s">
        <v>1635</v>
      </c>
      <c r="E7" s="176">
        <v>10</v>
      </c>
      <c r="F7" s="177">
        <f t="shared" si="0"/>
        <v>0.12846865364850976</v>
      </c>
      <c r="G7" s="176">
        <v>77.84</v>
      </c>
      <c r="H7" s="171">
        <v>950</v>
      </c>
      <c r="I7" s="171">
        <f t="shared" si="1"/>
        <v>9500</v>
      </c>
      <c r="J7" s="132" t="s">
        <v>1636</v>
      </c>
      <c r="K7" s="132" t="s">
        <v>1636</v>
      </c>
      <c r="L7" s="132" t="str">
        <f t="shared" si="2"/>
        <v>mayo</v>
      </c>
      <c r="M7" s="132" t="str">
        <f t="shared" si="3"/>
        <v>T2</v>
      </c>
      <c r="N7" s="132" t="str">
        <f t="shared" si="4"/>
        <v>Año 1</v>
      </c>
      <c r="O7" s="132" t="s">
        <v>1637</v>
      </c>
      <c r="P7" s="132" t="s">
        <v>1641</v>
      </c>
      <c r="Q7" s="132" t="s">
        <v>1639</v>
      </c>
      <c r="R7" s="132" t="str">
        <f t="shared" si="5"/>
        <v>20260522-TQQQ-7</v>
      </c>
    </row>
    <row r="8" spans="1:18">
      <c r="A8" s="131">
        <v>46148</v>
      </c>
      <c r="B8" s="132" t="s">
        <v>1642</v>
      </c>
      <c r="C8" s="132" t="s">
        <v>1634</v>
      </c>
      <c r="D8" s="132" t="s">
        <v>1635</v>
      </c>
      <c r="E8" s="176">
        <v>30.6</v>
      </c>
      <c r="F8" s="177">
        <f t="shared" si="0"/>
        <v>6.0370509203543317E-2</v>
      </c>
      <c r="G8" s="176">
        <v>506.87</v>
      </c>
      <c r="H8" s="171">
        <v>950</v>
      </c>
      <c r="I8" s="171">
        <f t="shared" si="1"/>
        <v>29070</v>
      </c>
      <c r="J8" s="132" t="s">
        <v>1636</v>
      </c>
      <c r="K8" s="132" t="s">
        <v>1636</v>
      </c>
      <c r="L8" s="132" t="str">
        <f t="shared" si="2"/>
        <v>mayo</v>
      </c>
      <c r="M8" s="132" t="str">
        <f t="shared" si="3"/>
        <v>T2</v>
      </c>
      <c r="N8" s="132" t="str">
        <f t="shared" si="4"/>
        <v>Año 1</v>
      </c>
      <c r="O8" s="132" t="s">
        <v>1637</v>
      </c>
      <c r="P8" s="132" t="s">
        <v>1643</v>
      </c>
      <c r="Q8" s="132" t="s">
        <v>1639</v>
      </c>
      <c r="R8" s="132" t="str">
        <f t="shared" si="5"/>
        <v>20260506-SOXX-8</v>
      </c>
    </row>
    <row r="9" spans="1:18">
      <c r="A9" s="131">
        <v>46148</v>
      </c>
      <c r="B9" s="132" t="s">
        <v>1642</v>
      </c>
      <c r="C9" s="132" t="s">
        <v>1634</v>
      </c>
      <c r="D9" s="132" t="s">
        <v>1635</v>
      </c>
      <c r="E9" s="176">
        <v>10</v>
      </c>
      <c r="F9" s="177">
        <f t="shared" si="0"/>
        <v>1.9728924576321343E-2</v>
      </c>
      <c r="G9" s="176">
        <v>506.87</v>
      </c>
      <c r="H9" s="171">
        <v>950</v>
      </c>
      <c r="I9" s="171">
        <f t="shared" si="1"/>
        <v>9500</v>
      </c>
      <c r="J9" s="132" t="s">
        <v>1636</v>
      </c>
      <c r="K9" s="132" t="s">
        <v>1636</v>
      </c>
      <c r="L9" s="132" t="str">
        <f t="shared" si="2"/>
        <v>mayo</v>
      </c>
      <c r="M9" s="132" t="str">
        <f t="shared" si="3"/>
        <v>T2</v>
      </c>
      <c r="N9" s="132" t="str">
        <f t="shared" si="4"/>
        <v>Año 1</v>
      </c>
      <c r="O9" s="132" t="s">
        <v>1637</v>
      </c>
      <c r="P9" s="132" t="s">
        <v>1644</v>
      </c>
      <c r="Q9" s="132" t="s">
        <v>1639</v>
      </c>
      <c r="R9" s="132" t="str">
        <f t="shared" si="5"/>
        <v>20260506-SOXX-9</v>
      </c>
    </row>
    <row r="10" spans="1:18">
      <c r="A10" s="131">
        <v>46164</v>
      </c>
      <c r="B10" s="132" t="s">
        <v>1642</v>
      </c>
      <c r="C10" s="132" t="s">
        <v>1634</v>
      </c>
      <c r="D10" s="132" t="s">
        <v>1635</v>
      </c>
      <c r="E10" s="176">
        <v>14</v>
      </c>
      <c r="F10" s="177">
        <f t="shared" si="0"/>
        <v>2.6054752200696033E-2</v>
      </c>
      <c r="G10" s="176">
        <v>537.33000000000004</v>
      </c>
      <c r="H10" s="171">
        <v>950</v>
      </c>
      <c r="I10" s="171">
        <f t="shared" si="1"/>
        <v>13300</v>
      </c>
      <c r="J10" s="132" t="s">
        <v>1636</v>
      </c>
      <c r="K10" s="132" t="s">
        <v>1636</v>
      </c>
      <c r="L10" s="132" t="str">
        <f t="shared" si="2"/>
        <v>mayo</v>
      </c>
      <c r="M10" s="132" t="str">
        <f t="shared" si="3"/>
        <v>T2</v>
      </c>
      <c r="N10" s="132" t="str">
        <f t="shared" si="4"/>
        <v>Año 1</v>
      </c>
      <c r="O10" s="132" t="s">
        <v>1637</v>
      </c>
      <c r="P10" s="132" t="s">
        <v>1645</v>
      </c>
      <c r="Q10" s="132" t="s">
        <v>1639</v>
      </c>
      <c r="R10" s="132" t="str">
        <f t="shared" si="5"/>
        <v>20260522-SOXX-10</v>
      </c>
    </row>
    <row r="11" spans="1:18" ht="29" customHeight="1">
      <c r="A11" s="131">
        <v>46148</v>
      </c>
      <c r="B11" s="132" t="s">
        <v>1646</v>
      </c>
      <c r="C11" s="132" t="s">
        <v>1647</v>
      </c>
      <c r="D11" s="132" t="s">
        <v>1402</v>
      </c>
      <c r="E11" s="176">
        <v>8000</v>
      </c>
      <c r="F11" s="177"/>
      <c r="G11" s="176"/>
      <c r="H11" s="171">
        <v>950</v>
      </c>
      <c r="I11" s="171">
        <f t="shared" si="1"/>
        <v>8000</v>
      </c>
      <c r="J11" s="132" t="s">
        <v>1636</v>
      </c>
      <c r="K11" s="132" t="s">
        <v>1636</v>
      </c>
      <c r="L11" s="132" t="str">
        <f t="shared" si="2"/>
        <v>mayo</v>
      </c>
      <c r="M11" s="132" t="str">
        <f t="shared" si="3"/>
        <v>T2</v>
      </c>
      <c r="N11" s="132" t="str">
        <f t="shared" si="4"/>
        <v>Año 1</v>
      </c>
      <c r="O11" s="132" t="s">
        <v>1637</v>
      </c>
      <c r="P11" s="132" t="s">
        <v>1648</v>
      </c>
      <c r="Q11" s="132" t="s">
        <v>1029</v>
      </c>
      <c r="R11" s="132" t="str">
        <f t="shared" si="5"/>
        <v>20260506-Inversiones generales 2-11</v>
      </c>
    </row>
    <row r="12" spans="1:18" ht="29" customHeight="1">
      <c r="A12" s="131">
        <v>46154</v>
      </c>
      <c r="B12" s="132" t="s">
        <v>1646</v>
      </c>
      <c r="C12" s="132" t="s">
        <v>1649</v>
      </c>
      <c r="D12" s="132" t="s">
        <v>1402</v>
      </c>
      <c r="E12" s="176">
        <v>30000</v>
      </c>
      <c r="F12" s="177"/>
      <c r="G12" s="176"/>
      <c r="H12" s="171">
        <v>950</v>
      </c>
      <c r="I12" s="171">
        <f t="shared" si="1"/>
        <v>30000</v>
      </c>
      <c r="J12" s="132" t="s">
        <v>1636</v>
      </c>
      <c r="K12" s="132" t="s">
        <v>1636</v>
      </c>
      <c r="L12" s="132" t="str">
        <f t="shared" si="2"/>
        <v>mayo</v>
      </c>
      <c r="M12" s="132" t="str">
        <f t="shared" si="3"/>
        <v>T2</v>
      </c>
      <c r="N12" s="132" t="str">
        <f t="shared" si="4"/>
        <v>Año 1</v>
      </c>
      <c r="O12" s="132" t="s">
        <v>1637</v>
      </c>
      <c r="P12" s="132" t="s">
        <v>1650</v>
      </c>
      <c r="Q12" s="132" t="s">
        <v>1029</v>
      </c>
      <c r="R12" s="132" t="str">
        <f t="shared" si="5"/>
        <v>20260512-Inversiones generales 2-12</v>
      </c>
    </row>
    <row r="13" spans="1:18" ht="29" customHeight="1">
      <c r="A13" s="131">
        <v>46154</v>
      </c>
      <c r="B13" s="132" t="s">
        <v>1646</v>
      </c>
      <c r="C13" s="132" t="s">
        <v>1651</v>
      </c>
      <c r="D13" s="132" t="s">
        <v>1402</v>
      </c>
      <c r="E13" s="176">
        <v>20000</v>
      </c>
      <c r="F13" s="177"/>
      <c r="G13" s="176"/>
      <c r="H13" s="171">
        <v>950</v>
      </c>
      <c r="I13" s="171">
        <f t="shared" si="1"/>
        <v>20000</v>
      </c>
      <c r="J13" s="132" t="s">
        <v>1636</v>
      </c>
      <c r="K13" s="132" t="s">
        <v>1636</v>
      </c>
      <c r="L13" s="132" t="str">
        <f t="shared" si="2"/>
        <v>mayo</v>
      </c>
      <c r="M13" s="132" t="str">
        <f t="shared" si="3"/>
        <v>T2</v>
      </c>
      <c r="N13" s="132" t="str">
        <f t="shared" si="4"/>
        <v>Año 1</v>
      </c>
      <c r="O13" s="132" t="s">
        <v>1637</v>
      </c>
      <c r="P13" s="132" t="s">
        <v>1652</v>
      </c>
      <c r="Q13" s="132" t="s">
        <v>1029</v>
      </c>
      <c r="R13" s="132" t="str">
        <f t="shared" si="5"/>
        <v>20260512-Inversiones generales 2-13</v>
      </c>
    </row>
    <row r="14" spans="1:18" ht="29" customHeight="1">
      <c r="A14" s="131">
        <v>46157</v>
      </c>
      <c r="B14" s="132" t="s">
        <v>1646</v>
      </c>
      <c r="C14" s="132" t="s">
        <v>1651</v>
      </c>
      <c r="D14" s="132" t="s">
        <v>1402</v>
      </c>
      <c r="E14" s="176">
        <v>20000</v>
      </c>
      <c r="F14" s="177"/>
      <c r="G14" s="176"/>
      <c r="H14" s="171">
        <v>950</v>
      </c>
      <c r="I14" s="171">
        <f t="shared" si="1"/>
        <v>20000</v>
      </c>
      <c r="J14" s="132" t="s">
        <v>1636</v>
      </c>
      <c r="K14" s="132" t="s">
        <v>1636</v>
      </c>
      <c r="L14" s="132" t="str">
        <f t="shared" si="2"/>
        <v>mayo</v>
      </c>
      <c r="M14" s="132" t="str">
        <f t="shared" si="3"/>
        <v>T2</v>
      </c>
      <c r="N14" s="132" t="str">
        <f t="shared" si="4"/>
        <v>Año 1</v>
      </c>
      <c r="O14" s="132" t="s">
        <v>1637</v>
      </c>
      <c r="P14" s="132" t="s">
        <v>1653</v>
      </c>
      <c r="Q14" s="132" t="s">
        <v>1029</v>
      </c>
      <c r="R14" s="132" t="str">
        <f t="shared" si="5"/>
        <v>20260515-Inversiones generales 2-14</v>
      </c>
    </row>
    <row r="15" spans="1:18" ht="29" customHeight="1">
      <c r="A15" s="131">
        <v>46157</v>
      </c>
      <c r="B15" s="132" t="s">
        <v>1646</v>
      </c>
      <c r="C15" s="132" t="s">
        <v>1647</v>
      </c>
      <c r="D15" s="132" t="s">
        <v>1402</v>
      </c>
      <c r="E15" s="176">
        <v>18000</v>
      </c>
      <c r="F15" s="177"/>
      <c r="G15" s="176"/>
      <c r="H15" s="171">
        <v>950</v>
      </c>
      <c r="I15" s="171">
        <f t="shared" si="1"/>
        <v>18000</v>
      </c>
      <c r="J15" s="132" t="s">
        <v>1636</v>
      </c>
      <c r="K15" s="132" t="s">
        <v>1636</v>
      </c>
      <c r="L15" s="132" t="str">
        <f t="shared" si="2"/>
        <v>mayo</v>
      </c>
      <c r="M15" s="132" t="str">
        <f t="shared" si="3"/>
        <v>T2</v>
      </c>
      <c r="N15" s="132" t="str">
        <f t="shared" si="4"/>
        <v>Año 1</v>
      </c>
      <c r="O15" s="132" t="s">
        <v>1637</v>
      </c>
      <c r="P15" s="132" t="s">
        <v>1648</v>
      </c>
      <c r="Q15" s="132" t="s">
        <v>1029</v>
      </c>
      <c r="R15" s="132" t="str">
        <f t="shared" si="5"/>
        <v>20260515-Inversiones generales 2-15</v>
      </c>
    </row>
    <row r="16" spans="1:18" ht="29" customHeight="1">
      <c r="A16" s="131">
        <v>46157</v>
      </c>
      <c r="B16" s="132" t="s">
        <v>1654</v>
      </c>
      <c r="C16" s="132" t="s">
        <v>1647</v>
      </c>
      <c r="D16" s="132" t="s">
        <v>1402</v>
      </c>
      <c r="E16" s="176">
        <v>20000</v>
      </c>
      <c r="F16" s="177"/>
      <c r="G16" s="176"/>
      <c r="H16" s="171">
        <v>950</v>
      </c>
      <c r="I16" s="171">
        <f t="shared" si="1"/>
        <v>20000</v>
      </c>
      <c r="J16" s="132" t="s">
        <v>1636</v>
      </c>
      <c r="K16" s="132" t="s">
        <v>1636</v>
      </c>
      <c r="L16" s="132" t="str">
        <f t="shared" si="2"/>
        <v>mayo</v>
      </c>
      <c r="M16" s="132" t="str">
        <f t="shared" si="3"/>
        <v>T2</v>
      </c>
      <c r="N16" s="132" t="str">
        <f t="shared" si="4"/>
        <v>Año 1</v>
      </c>
      <c r="O16" s="132" t="s">
        <v>1637</v>
      </c>
      <c r="P16" s="132" t="s">
        <v>1655</v>
      </c>
      <c r="Q16" s="132" t="s">
        <v>1029</v>
      </c>
      <c r="R16" s="132" t="str">
        <f t="shared" si="5"/>
        <v>20260515-Inversiones generales 3-16</v>
      </c>
    </row>
    <row r="17" spans="1:18">
      <c r="A17" s="131">
        <v>46148</v>
      </c>
      <c r="B17" s="132" t="s">
        <v>1656</v>
      </c>
      <c r="C17" s="132" t="s">
        <v>1651</v>
      </c>
      <c r="D17" s="132" t="s">
        <v>1402</v>
      </c>
      <c r="E17" s="176">
        <v>20000</v>
      </c>
      <c r="F17" s="177"/>
      <c r="G17" s="176"/>
      <c r="H17" s="171">
        <v>950</v>
      </c>
      <c r="I17" s="171">
        <f t="shared" si="1"/>
        <v>20000</v>
      </c>
      <c r="J17" s="132" t="s">
        <v>1657</v>
      </c>
      <c r="K17" s="132" t="s">
        <v>1657</v>
      </c>
      <c r="L17" s="132" t="str">
        <f t="shared" si="2"/>
        <v>mayo</v>
      </c>
      <c r="M17" s="132" t="str">
        <f t="shared" si="3"/>
        <v>T2</v>
      </c>
      <c r="N17" s="132" t="str">
        <f t="shared" si="4"/>
        <v>Año 1</v>
      </c>
      <c r="O17" s="132" t="s">
        <v>1637</v>
      </c>
      <c r="P17" s="132" t="s">
        <v>1658</v>
      </c>
      <c r="Q17" s="132" t="s">
        <v>1029</v>
      </c>
      <c r="R17" s="132" t="str">
        <f t="shared" si="5"/>
        <v>20260506-APV banco estado-17</v>
      </c>
    </row>
    <row r="18" spans="1:18">
      <c r="A18" s="131">
        <v>46148</v>
      </c>
      <c r="B18" s="132" t="s">
        <v>1656</v>
      </c>
      <c r="C18" s="132" t="s">
        <v>1647</v>
      </c>
      <c r="D18" s="132" t="s">
        <v>1402</v>
      </c>
      <c r="E18" s="176">
        <v>10000</v>
      </c>
      <c r="F18" s="177"/>
      <c r="G18" s="176"/>
      <c r="H18" s="171">
        <v>950</v>
      </c>
      <c r="I18" s="171">
        <f t="shared" si="1"/>
        <v>10000</v>
      </c>
      <c r="J18" s="132" t="s">
        <v>1657</v>
      </c>
      <c r="K18" s="132" t="s">
        <v>1657</v>
      </c>
      <c r="L18" s="132" t="str">
        <f t="shared" si="2"/>
        <v>mayo</v>
      </c>
      <c r="M18" s="132" t="str">
        <f t="shared" si="3"/>
        <v>T2</v>
      </c>
      <c r="N18" s="132" t="str">
        <f t="shared" si="4"/>
        <v>Año 1</v>
      </c>
      <c r="O18" s="132" t="s">
        <v>1637</v>
      </c>
      <c r="P18" s="132" t="s">
        <v>1659</v>
      </c>
      <c r="Q18" s="132" t="s">
        <v>1029</v>
      </c>
      <c r="R18" s="132" t="str">
        <f t="shared" si="5"/>
        <v>20260506-APV banco estado-18</v>
      </c>
    </row>
    <row r="19" spans="1:18" ht="29" customHeight="1">
      <c r="A19" s="131">
        <v>46175</v>
      </c>
      <c r="B19" s="132" t="s">
        <v>1654</v>
      </c>
      <c r="C19" s="132" t="s">
        <v>1651</v>
      </c>
      <c r="D19" s="132" t="s">
        <v>1635</v>
      </c>
      <c r="E19" s="176">
        <v>33.42</v>
      </c>
      <c r="F19" s="177"/>
      <c r="G19" s="176"/>
      <c r="H19" s="171">
        <v>950</v>
      </c>
      <c r="I19" s="171">
        <f t="shared" si="1"/>
        <v>31749</v>
      </c>
      <c r="J19" s="132" t="s">
        <v>1636</v>
      </c>
      <c r="K19" s="132" t="s">
        <v>1636</v>
      </c>
      <c r="L19" s="132" t="str">
        <f t="shared" si="2"/>
        <v>junio</v>
      </c>
      <c r="M19" s="132" t="str">
        <f t="shared" si="3"/>
        <v>T2</v>
      </c>
      <c r="N19" s="132" t="str">
        <f t="shared" si="4"/>
        <v>Año 1</v>
      </c>
      <c r="O19" s="132" t="s">
        <v>1637</v>
      </c>
      <c r="P19" s="132" t="s">
        <v>1660</v>
      </c>
      <c r="Q19" s="132"/>
      <c r="R19" s="132" t="str">
        <f t="shared" si="5"/>
        <v>20260602-Inversiones generales 3-19</v>
      </c>
    </row>
    <row r="20" spans="1:18">
      <c r="A20" s="131">
        <v>46175</v>
      </c>
      <c r="B20" s="132" t="s">
        <v>1633</v>
      </c>
      <c r="C20" s="132" t="s">
        <v>1634</v>
      </c>
      <c r="D20" s="132" t="s">
        <v>1635</v>
      </c>
      <c r="E20" s="176">
        <v>58.4</v>
      </c>
      <c r="F20" s="177">
        <f>E20/G20</f>
        <v>0.66957119926622333</v>
      </c>
      <c r="G20" s="176">
        <v>87.22</v>
      </c>
      <c r="H20" s="171">
        <v>950</v>
      </c>
      <c r="I20" s="171">
        <f t="shared" si="1"/>
        <v>55480</v>
      </c>
      <c r="J20" s="132" t="s">
        <v>1636</v>
      </c>
      <c r="K20" s="132" t="s">
        <v>1636</v>
      </c>
      <c r="L20" s="132" t="str">
        <f t="shared" si="2"/>
        <v>junio</v>
      </c>
      <c r="M20" s="132" t="str">
        <f t="shared" si="3"/>
        <v>T2</v>
      </c>
      <c r="N20" s="132" t="str">
        <f t="shared" si="4"/>
        <v>Año 1</v>
      </c>
      <c r="O20" s="132" t="s">
        <v>1637</v>
      </c>
      <c r="P20" s="132" t="s">
        <v>1661</v>
      </c>
      <c r="Q20" s="132"/>
      <c r="R20" s="132" t="str">
        <f t="shared" si="5"/>
        <v>20260602-TQQQ-20</v>
      </c>
    </row>
    <row r="21" spans="1:18">
      <c r="A21" s="131">
        <v>46175</v>
      </c>
      <c r="B21" s="132" t="s">
        <v>1633</v>
      </c>
      <c r="C21" s="132" t="s">
        <v>1634</v>
      </c>
      <c r="D21" s="132" t="s">
        <v>1635</v>
      </c>
      <c r="E21" s="176">
        <v>57.97</v>
      </c>
      <c r="F21" s="177">
        <f>E21/G21</f>
        <v>0.66464113735381791</v>
      </c>
      <c r="G21" s="176">
        <v>87.22</v>
      </c>
      <c r="H21" s="171">
        <v>950</v>
      </c>
      <c r="I21" s="171">
        <f t="shared" si="1"/>
        <v>55071.5</v>
      </c>
      <c r="J21" s="132" t="s">
        <v>1636</v>
      </c>
      <c r="K21" s="132" t="s">
        <v>1636</v>
      </c>
      <c r="L21" s="132" t="str">
        <f t="shared" si="2"/>
        <v>junio</v>
      </c>
      <c r="M21" s="132" t="str">
        <f t="shared" si="3"/>
        <v>T2</v>
      </c>
      <c r="N21" s="132" t="str">
        <f t="shared" si="4"/>
        <v>Año 1</v>
      </c>
      <c r="O21" s="132" t="s">
        <v>1637</v>
      </c>
      <c r="P21" s="132" t="s">
        <v>1661</v>
      </c>
      <c r="Q21" s="132"/>
      <c r="R21" s="132" t="str">
        <f t="shared" si="5"/>
        <v>20260602-TQQQ-21</v>
      </c>
    </row>
    <row r="22" spans="1:18">
      <c r="A22" s="131">
        <v>46175</v>
      </c>
      <c r="B22" s="132" t="s">
        <v>1633</v>
      </c>
      <c r="C22" s="132" t="s">
        <v>1647</v>
      </c>
      <c r="D22" s="132" t="s">
        <v>1402</v>
      </c>
      <c r="E22" s="176">
        <v>50000</v>
      </c>
      <c r="F22" s="177"/>
      <c r="G22" s="176"/>
      <c r="H22" s="171"/>
      <c r="I22" s="171">
        <f t="shared" si="1"/>
        <v>50000</v>
      </c>
      <c r="J22" s="132" t="s">
        <v>1636</v>
      </c>
      <c r="K22" s="132" t="s">
        <v>1636</v>
      </c>
      <c r="L22" s="132" t="str">
        <f t="shared" si="2"/>
        <v>junio</v>
      </c>
      <c r="M22" s="132" t="str">
        <f t="shared" si="3"/>
        <v>T2</v>
      </c>
      <c r="N22" s="132" t="str">
        <f t="shared" si="4"/>
        <v>Año 1</v>
      </c>
      <c r="O22" s="132" t="s">
        <v>1637</v>
      </c>
      <c r="P22" s="132" t="s">
        <v>1662</v>
      </c>
      <c r="Q22" s="132"/>
      <c r="R22" s="132" t="str">
        <f t="shared" si="5"/>
        <v>20260602-TQQQ-22</v>
      </c>
    </row>
    <row r="23" spans="1:18" ht="29" customHeight="1">
      <c r="A23" s="131">
        <v>46178</v>
      </c>
      <c r="B23" s="132" t="s">
        <v>1656</v>
      </c>
      <c r="C23" s="132" t="s">
        <v>1647</v>
      </c>
      <c r="D23" s="132" t="s">
        <v>1402</v>
      </c>
      <c r="E23" s="176">
        <v>10000</v>
      </c>
      <c r="F23" s="177"/>
      <c r="G23" s="176"/>
      <c r="H23" s="171"/>
      <c r="I23" s="171">
        <f t="shared" si="1"/>
        <v>10000</v>
      </c>
      <c r="J23" s="132" t="s">
        <v>1657</v>
      </c>
      <c r="K23" s="132" t="s">
        <v>1657</v>
      </c>
      <c r="L23" s="132" t="str">
        <f t="shared" si="2"/>
        <v>junio</v>
      </c>
      <c r="M23" s="132" t="str">
        <f t="shared" si="3"/>
        <v>T2</v>
      </c>
      <c r="N23" s="132" t="str">
        <f t="shared" si="4"/>
        <v>Año 1</v>
      </c>
      <c r="O23" s="132" t="s">
        <v>1637</v>
      </c>
      <c r="P23" s="132" t="s">
        <v>1663</v>
      </c>
      <c r="Q23" s="132"/>
      <c r="R23" s="132" t="str">
        <f t="shared" si="5"/>
        <v>20260605-APV banco estado-23</v>
      </c>
    </row>
    <row r="24" spans="1:18">
      <c r="A24" s="131">
        <v>46189</v>
      </c>
      <c r="B24" s="132" t="s">
        <v>1656</v>
      </c>
      <c r="C24" s="132" t="s">
        <v>1651</v>
      </c>
      <c r="D24" s="132" t="s">
        <v>1402</v>
      </c>
      <c r="E24" s="176">
        <v>15000</v>
      </c>
      <c r="F24" s="177"/>
      <c r="G24" s="176"/>
      <c r="H24" s="171"/>
      <c r="I24" s="171">
        <f t="shared" si="1"/>
        <v>15000</v>
      </c>
      <c r="J24" s="132"/>
      <c r="K24" s="132" t="s">
        <v>1657</v>
      </c>
      <c r="L24" s="132" t="str">
        <f t="shared" si="2"/>
        <v>junio</v>
      </c>
      <c r="M24" s="132" t="str">
        <f t="shared" si="3"/>
        <v>T2</v>
      </c>
      <c r="N24" s="132" t="str">
        <f t="shared" si="4"/>
        <v>Año 1</v>
      </c>
      <c r="O24" s="132" t="s">
        <v>1664</v>
      </c>
      <c r="P24" s="132" t="s">
        <v>1665</v>
      </c>
      <c r="Q24" s="132" t="s">
        <v>1657</v>
      </c>
      <c r="R24" s="132" t="str">
        <f t="shared" si="5"/>
        <v>20260616-APV banco estado-24</v>
      </c>
    </row>
    <row r="25" spans="1:18">
      <c r="A25" s="131"/>
      <c r="B25" s="132"/>
      <c r="C25" s="132"/>
      <c r="D25" s="132"/>
      <c r="E25" s="176"/>
      <c r="F25" s="177"/>
      <c r="G25" s="176"/>
      <c r="H25" s="171"/>
      <c r="I25" s="171" t="str">
        <f t="shared" si="1"/>
        <v/>
      </c>
      <c r="J25" s="132"/>
      <c r="K25" s="132"/>
      <c r="L25" s="132" t="str">
        <f t="shared" si="2"/>
        <v/>
      </c>
      <c r="M25" s="132" t="str">
        <f t="shared" si="3"/>
        <v/>
      </c>
      <c r="N25" s="132" t="str">
        <f t="shared" si="4"/>
        <v/>
      </c>
      <c r="O25" s="132"/>
      <c r="P25" s="132"/>
      <c r="Q25" s="132"/>
      <c r="R25" s="132" t="str">
        <f t="shared" si="5"/>
        <v/>
      </c>
    </row>
    <row r="26" spans="1:18">
      <c r="A26" s="131"/>
      <c r="B26" s="132"/>
      <c r="C26" s="132"/>
      <c r="D26" s="132"/>
      <c r="E26" s="176"/>
      <c r="F26" s="177"/>
      <c r="G26" s="176"/>
      <c r="H26" s="171"/>
      <c r="I26" s="171" t="str">
        <f t="shared" si="1"/>
        <v/>
      </c>
      <c r="J26" s="132"/>
      <c r="K26" s="132"/>
      <c r="L26" s="132" t="str">
        <f t="shared" si="2"/>
        <v/>
      </c>
      <c r="M26" s="132" t="str">
        <f t="shared" si="3"/>
        <v/>
      </c>
      <c r="N26" s="132" t="str">
        <f t="shared" si="4"/>
        <v/>
      </c>
      <c r="O26" s="132"/>
      <c r="P26" s="132"/>
      <c r="Q26" s="132"/>
      <c r="R26" s="132" t="str">
        <f t="shared" si="5"/>
        <v/>
      </c>
    </row>
    <row r="27" spans="1:18">
      <c r="A27" s="131"/>
      <c r="B27" s="132"/>
      <c r="C27" s="132"/>
      <c r="D27" s="132"/>
      <c r="E27" s="176"/>
      <c r="F27" s="177"/>
      <c r="G27" s="176"/>
      <c r="H27" s="171"/>
      <c r="I27" s="171" t="str">
        <f t="shared" si="1"/>
        <v/>
      </c>
      <c r="J27" s="132"/>
      <c r="K27" s="132"/>
      <c r="L27" s="132" t="str">
        <f t="shared" si="2"/>
        <v/>
      </c>
      <c r="M27" s="132" t="str">
        <f t="shared" si="3"/>
        <v/>
      </c>
      <c r="N27" s="132" t="str">
        <f t="shared" si="4"/>
        <v/>
      </c>
      <c r="O27" s="132"/>
      <c r="P27" s="132"/>
      <c r="Q27" s="132"/>
      <c r="R27" s="132" t="str">
        <f t="shared" si="5"/>
        <v/>
      </c>
    </row>
    <row r="28" spans="1:18">
      <c r="A28" s="131"/>
      <c r="B28" s="132"/>
      <c r="C28" s="132"/>
      <c r="D28" s="132"/>
      <c r="E28" s="176"/>
      <c r="F28" s="177"/>
      <c r="G28" s="176"/>
      <c r="H28" s="171"/>
      <c r="I28" s="171" t="str">
        <f t="shared" si="1"/>
        <v/>
      </c>
      <c r="J28" s="132"/>
      <c r="K28" s="132"/>
      <c r="L28" s="132" t="str">
        <f t="shared" si="2"/>
        <v/>
      </c>
      <c r="M28" s="132" t="str">
        <f t="shared" si="3"/>
        <v/>
      </c>
      <c r="N28" s="132" t="str">
        <f t="shared" si="4"/>
        <v/>
      </c>
      <c r="O28" s="132"/>
      <c r="P28" s="132"/>
      <c r="Q28" s="132"/>
      <c r="R28" s="132" t="str">
        <f t="shared" si="5"/>
        <v/>
      </c>
    </row>
    <row r="29" spans="1:18">
      <c r="A29" s="131"/>
      <c r="B29" s="132"/>
      <c r="C29" s="132"/>
      <c r="D29" s="132"/>
      <c r="E29" s="176"/>
      <c r="F29" s="177"/>
      <c r="G29" s="176"/>
      <c r="H29" s="171"/>
      <c r="I29" s="171" t="str">
        <f t="shared" si="1"/>
        <v/>
      </c>
      <c r="J29" s="132"/>
      <c r="K29" s="132"/>
      <c r="L29" s="132" t="str">
        <f t="shared" si="2"/>
        <v/>
      </c>
      <c r="M29" s="132" t="str">
        <f t="shared" si="3"/>
        <v/>
      </c>
      <c r="N29" s="132" t="str">
        <f t="shared" si="4"/>
        <v/>
      </c>
      <c r="O29" s="132"/>
      <c r="P29" s="132"/>
      <c r="Q29" s="132"/>
      <c r="R29" s="132" t="str">
        <f t="shared" si="5"/>
        <v/>
      </c>
    </row>
    <row r="30" spans="1:18">
      <c r="A30" s="131"/>
      <c r="B30" s="132"/>
      <c r="C30" s="132"/>
      <c r="D30" s="132"/>
      <c r="E30" s="176"/>
      <c r="F30" s="177"/>
      <c r="G30" s="176"/>
      <c r="H30" s="171"/>
      <c r="I30" s="171" t="str">
        <f t="shared" si="1"/>
        <v/>
      </c>
      <c r="J30" s="132"/>
      <c r="K30" s="132"/>
      <c r="L30" s="132" t="str">
        <f t="shared" si="2"/>
        <v/>
      </c>
      <c r="M30" s="132" t="str">
        <f t="shared" si="3"/>
        <v/>
      </c>
      <c r="N30" s="132" t="str">
        <f t="shared" si="4"/>
        <v/>
      </c>
      <c r="O30" s="132"/>
      <c r="P30" s="132"/>
      <c r="Q30" s="132"/>
      <c r="R30" s="132" t="str">
        <f t="shared" si="5"/>
        <v/>
      </c>
    </row>
    <row r="31" spans="1:18">
      <c r="A31" s="131"/>
      <c r="B31" s="132"/>
      <c r="C31" s="132"/>
      <c r="D31" s="132"/>
      <c r="E31" s="176"/>
      <c r="F31" s="177"/>
      <c r="G31" s="176"/>
      <c r="H31" s="171"/>
      <c r="I31" s="171" t="str">
        <f t="shared" si="1"/>
        <v/>
      </c>
      <c r="J31" s="132"/>
      <c r="K31" s="132"/>
      <c r="L31" s="132" t="str">
        <f t="shared" si="2"/>
        <v/>
      </c>
      <c r="M31" s="132" t="str">
        <f t="shared" si="3"/>
        <v/>
      </c>
      <c r="N31" s="132" t="str">
        <f t="shared" si="4"/>
        <v/>
      </c>
      <c r="O31" s="132"/>
      <c r="P31" s="132"/>
      <c r="Q31" s="132"/>
      <c r="R31" s="132" t="str">
        <f t="shared" si="5"/>
        <v/>
      </c>
    </row>
    <row r="32" spans="1:18">
      <c r="A32" s="131"/>
      <c r="B32" s="132"/>
      <c r="C32" s="132"/>
      <c r="D32" s="132"/>
      <c r="E32" s="176"/>
      <c r="F32" s="177"/>
      <c r="G32" s="176"/>
      <c r="H32" s="171"/>
      <c r="I32" s="171" t="str">
        <f t="shared" si="1"/>
        <v/>
      </c>
      <c r="J32" s="132"/>
      <c r="K32" s="132"/>
      <c r="L32" s="132" t="str">
        <f t="shared" si="2"/>
        <v/>
      </c>
      <c r="M32" s="132" t="str">
        <f t="shared" si="3"/>
        <v/>
      </c>
      <c r="N32" s="132" t="str">
        <f t="shared" si="4"/>
        <v/>
      </c>
      <c r="O32" s="132"/>
      <c r="P32" s="132"/>
      <c r="Q32" s="132"/>
      <c r="R32" s="132" t="str">
        <f t="shared" si="5"/>
        <v/>
      </c>
    </row>
    <row r="33" spans="1:18">
      <c r="A33" s="131"/>
      <c r="B33" s="132"/>
      <c r="C33" s="132"/>
      <c r="D33" s="132"/>
      <c r="E33" s="176"/>
      <c r="F33" s="177"/>
      <c r="G33" s="176"/>
      <c r="H33" s="171"/>
      <c r="I33" s="171" t="str">
        <f t="shared" si="1"/>
        <v/>
      </c>
      <c r="J33" s="132"/>
      <c r="K33" s="132"/>
      <c r="L33" s="132" t="str">
        <f t="shared" si="2"/>
        <v/>
      </c>
      <c r="M33" s="132" t="str">
        <f t="shared" si="3"/>
        <v/>
      </c>
      <c r="N33" s="132" t="str">
        <f t="shared" si="4"/>
        <v/>
      </c>
      <c r="O33" s="132"/>
      <c r="P33" s="132"/>
      <c r="Q33" s="132"/>
      <c r="R33" s="132" t="str">
        <f t="shared" si="5"/>
        <v/>
      </c>
    </row>
    <row r="34" spans="1:18">
      <c r="A34" s="131"/>
      <c r="B34" s="132"/>
      <c r="C34" s="132"/>
      <c r="D34" s="132"/>
      <c r="E34" s="176"/>
      <c r="F34" s="177"/>
      <c r="G34" s="176"/>
      <c r="H34" s="171"/>
      <c r="I34" s="171" t="str">
        <f t="shared" si="1"/>
        <v/>
      </c>
      <c r="J34" s="132"/>
      <c r="K34" s="132"/>
      <c r="L34" s="132" t="str">
        <f t="shared" si="2"/>
        <v/>
      </c>
      <c r="M34" s="132" t="str">
        <f t="shared" si="3"/>
        <v/>
      </c>
      <c r="N34" s="132" t="str">
        <f t="shared" si="4"/>
        <v/>
      </c>
      <c r="O34" s="132"/>
      <c r="P34" s="132"/>
      <c r="Q34" s="132"/>
      <c r="R34" s="132" t="str">
        <f t="shared" si="5"/>
        <v/>
      </c>
    </row>
    <row r="35" spans="1:18">
      <c r="A35" s="131"/>
      <c r="B35" s="132"/>
      <c r="C35" s="132"/>
      <c r="D35" s="132"/>
      <c r="E35" s="176"/>
      <c r="F35" s="177"/>
      <c r="G35" s="176"/>
      <c r="H35" s="171"/>
      <c r="I35" s="171" t="str">
        <f t="shared" si="1"/>
        <v/>
      </c>
      <c r="J35" s="132"/>
      <c r="K35" s="132"/>
      <c r="L35" s="132" t="str">
        <f t="shared" si="2"/>
        <v/>
      </c>
      <c r="M35" s="132" t="str">
        <f t="shared" si="3"/>
        <v/>
      </c>
      <c r="N35" s="132" t="str">
        <f t="shared" si="4"/>
        <v/>
      </c>
      <c r="O35" s="132"/>
      <c r="P35" s="132"/>
      <c r="Q35" s="132"/>
      <c r="R35" s="132" t="str">
        <f t="shared" si="5"/>
        <v/>
      </c>
    </row>
    <row r="36" spans="1:18">
      <c r="A36" s="131"/>
      <c r="B36" s="132"/>
      <c r="C36" s="132"/>
      <c r="D36" s="132"/>
      <c r="E36" s="176"/>
      <c r="F36" s="177"/>
      <c r="G36" s="176"/>
      <c r="H36" s="171"/>
      <c r="I36" s="171" t="str">
        <f t="shared" si="1"/>
        <v/>
      </c>
      <c r="J36" s="132"/>
      <c r="K36" s="132"/>
      <c r="L36" s="132" t="str">
        <f t="shared" si="2"/>
        <v/>
      </c>
      <c r="M36" s="132" t="str">
        <f t="shared" si="3"/>
        <v/>
      </c>
      <c r="N36" s="132" t="str">
        <f t="shared" si="4"/>
        <v/>
      </c>
      <c r="O36" s="132"/>
      <c r="P36" s="132"/>
      <c r="Q36" s="132"/>
      <c r="R36" s="132" t="str">
        <f t="shared" si="5"/>
        <v/>
      </c>
    </row>
    <row r="37" spans="1:18">
      <c r="A37" s="131"/>
      <c r="B37" s="132"/>
      <c r="C37" s="132"/>
      <c r="D37" s="132"/>
      <c r="E37" s="176"/>
      <c r="F37" s="177"/>
      <c r="G37" s="176"/>
      <c r="H37" s="171"/>
      <c r="I37" s="171" t="str">
        <f t="shared" ref="I37:I68" si="6">IF(E37="","",IF(D37="USD",E37*H37,E37))</f>
        <v/>
      </c>
      <c r="J37" s="132"/>
      <c r="K37" s="132"/>
      <c r="L37" s="132" t="str">
        <f t="shared" ref="L37:L68" si="7">IF(A37="","",LOWER(TEXT(A37,"mmmm")))</f>
        <v/>
      </c>
      <c r="M37" s="132" t="str">
        <f t="shared" ref="M37:M68" si="8">IF(A37="","",IF(MONTH(A37)&lt;=3,"T1",IF(MONTH(A37)&lt;=6,"T2",IF(MONTH(A37)&lt;=9,"T3","T4"))))</f>
        <v/>
      </c>
      <c r="N37" s="132" t="str">
        <f t="shared" ref="N37:N68" si="9">IF(A37="","","Año "&amp;YEAR(A37)-2025)</f>
        <v/>
      </c>
      <c r="O37" s="132"/>
      <c r="P37" s="132"/>
      <c r="Q37" s="132"/>
      <c r="R37" s="132" t="str">
        <f t="shared" ref="R37:R68" si="10">IF(B37="","",TEXT(A37,"yyyymmdd")&amp;"-"&amp;B37&amp;"-"&amp;ROW())</f>
        <v/>
      </c>
    </row>
    <row r="38" spans="1:18">
      <c r="A38" s="131"/>
      <c r="B38" s="132"/>
      <c r="C38" s="132"/>
      <c r="D38" s="132"/>
      <c r="E38" s="176"/>
      <c r="F38" s="177"/>
      <c r="G38" s="176"/>
      <c r="H38" s="171"/>
      <c r="I38" s="171" t="str">
        <f t="shared" si="6"/>
        <v/>
      </c>
      <c r="J38" s="132"/>
      <c r="K38" s="132"/>
      <c r="L38" s="132" t="str">
        <f t="shared" si="7"/>
        <v/>
      </c>
      <c r="M38" s="132" t="str">
        <f t="shared" si="8"/>
        <v/>
      </c>
      <c r="N38" s="132" t="str">
        <f t="shared" si="9"/>
        <v/>
      </c>
      <c r="O38" s="132"/>
      <c r="P38" s="132"/>
      <c r="Q38" s="132"/>
      <c r="R38" s="132" t="str">
        <f t="shared" si="10"/>
        <v/>
      </c>
    </row>
    <row r="39" spans="1:18">
      <c r="A39" s="131"/>
      <c r="B39" s="132"/>
      <c r="C39" s="132"/>
      <c r="D39" s="132"/>
      <c r="E39" s="176"/>
      <c r="F39" s="177"/>
      <c r="G39" s="176"/>
      <c r="H39" s="171"/>
      <c r="I39" s="171" t="str">
        <f t="shared" si="6"/>
        <v/>
      </c>
      <c r="J39" s="132"/>
      <c r="K39" s="132"/>
      <c r="L39" s="132" t="str">
        <f t="shared" si="7"/>
        <v/>
      </c>
      <c r="M39" s="132" t="str">
        <f t="shared" si="8"/>
        <v/>
      </c>
      <c r="N39" s="132" t="str">
        <f t="shared" si="9"/>
        <v/>
      </c>
      <c r="O39" s="132"/>
      <c r="P39" s="132"/>
      <c r="Q39" s="132"/>
      <c r="R39" s="132" t="str">
        <f t="shared" si="10"/>
        <v/>
      </c>
    </row>
    <row r="40" spans="1:18">
      <c r="A40" s="131"/>
      <c r="B40" s="132"/>
      <c r="C40" s="132"/>
      <c r="D40" s="132"/>
      <c r="E40" s="176"/>
      <c r="F40" s="177"/>
      <c r="G40" s="176"/>
      <c r="H40" s="171"/>
      <c r="I40" s="171" t="str">
        <f t="shared" si="6"/>
        <v/>
      </c>
      <c r="J40" s="132"/>
      <c r="K40" s="132"/>
      <c r="L40" s="132" t="str">
        <f t="shared" si="7"/>
        <v/>
      </c>
      <c r="M40" s="132" t="str">
        <f t="shared" si="8"/>
        <v/>
      </c>
      <c r="N40" s="132" t="str">
        <f t="shared" si="9"/>
        <v/>
      </c>
      <c r="O40" s="132"/>
      <c r="P40" s="132"/>
      <c r="Q40" s="132"/>
      <c r="R40" s="132" t="str">
        <f t="shared" si="10"/>
        <v/>
      </c>
    </row>
    <row r="41" spans="1:18">
      <c r="A41" s="131"/>
      <c r="B41" s="132"/>
      <c r="C41" s="132"/>
      <c r="D41" s="132"/>
      <c r="E41" s="176"/>
      <c r="F41" s="177"/>
      <c r="G41" s="176"/>
      <c r="H41" s="171"/>
      <c r="I41" s="171" t="str">
        <f t="shared" si="6"/>
        <v/>
      </c>
      <c r="J41" s="132"/>
      <c r="K41" s="132"/>
      <c r="L41" s="132" t="str">
        <f t="shared" si="7"/>
        <v/>
      </c>
      <c r="M41" s="132" t="str">
        <f t="shared" si="8"/>
        <v/>
      </c>
      <c r="N41" s="132" t="str">
        <f t="shared" si="9"/>
        <v/>
      </c>
      <c r="O41" s="132"/>
      <c r="P41" s="132"/>
      <c r="Q41" s="132"/>
      <c r="R41" s="132" t="str">
        <f t="shared" si="10"/>
        <v/>
      </c>
    </row>
    <row r="42" spans="1:18">
      <c r="A42" s="131"/>
      <c r="B42" s="132"/>
      <c r="C42" s="132"/>
      <c r="D42" s="132"/>
      <c r="E42" s="176"/>
      <c r="F42" s="177"/>
      <c r="G42" s="176"/>
      <c r="H42" s="171"/>
      <c r="I42" s="171" t="str">
        <f t="shared" si="6"/>
        <v/>
      </c>
      <c r="J42" s="132"/>
      <c r="K42" s="132"/>
      <c r="L42" s="132" t="str">
        <f t="shared" si="7"/>
        <v/>
      </c>
      <c r="M42" s="132" t="str">
        <f t="shared" si="8"/>
        <v/>
      </c>
      <c r="N42" s="132" t="str">
        <f t="shared" si="9"/>
        <v/>
      </c>
      <c r="O42" s="132"/>
      <c r="P42" s="132"/>
      <c r="Q42" s="132"/>
      <c r="R42" s="132" t="str">
        <f t="shared" si="10"/>
        <v/>
      </c>
    </row>
    <row r="43" spans="1:18">
      <c r="A43" s="131"/>
      <c r="B43" s="132"/>
      <c r="C43" s="132"/>
      <c r="D43" s="132"/>
      <c r="E43" s="176"/>
      <c r="F43" s="177"/>
      <c r="G43" s="176"/>
      <c r="H43" s="171"/>
      <c r="I43" s="171" t="str">
        <f t="shared" si="6"/>
        <v/>
      </c>
      <c r="J43" s="132"/>
      <c r="K43" s="132"/>
      <c r="L43" s="132" t="str">
        <f t="shared" si="7"/>
        <v/>
      </c>
      <c r="M43" s="132" t="str">
        <f t="shared" si="8"/>
        <v/>
      </c>
      <c r="N43" s="132" t="str">
        <f t="shared" si="9"/>
        <v/>
      </c>
      <c r="O43" s="132"/>
      <c r="P43" s="132"/>
      <c r="Q43" s="132"/>
      <c r="R43" s="132" t="str">
        <f t="shared" si="10"/>
        <v/>
      </c>
    </row>
    <row r="44" spans="1:18">
      <c r="A44" s="131"/>
      <c r="B44" s="132"/>
      <c r="C44" s="132"/>
      <c r="D44" s="132"/>
      <c r="E44" s="176"/>
      <c r="F44" s="177"/>
      <c r="G44" s="176"/>
      <c r="H44" s="171"/>
      <c r="I44" s="171" t="str">
        <f t="shared" si="6"/>
        <v/>
      </c>
      <c r="J44" s="132"/>
      <c r="K44" s="132"/>
      <c r="L44" s="132" t="str">
        <f t="shared" si="7"/>
        <v/>
      </c>
      <c r="M44" s="132" t="str">
        <f t="shared" si="8"/>
        <v/>
      </c>
      <c r="N44" s="132" t="str">
        <f t="shared" si="9"/>
        <v/>
      </c>
      <c r="O44" s="132"/>
      <c r="P44" s="132"/>
      <c r="Q44" s="132"/>
      <c r="R44" s="132" t="str">
        <f t="shared" si="10"/>
        <v/>
      </c>
    </row>
    <row r="45" spans="1:18">
      <c r="A45" s="131"/>
      <c r="B45" s="132"/>
      <c r="C45" s="132"/>
      <c r="D45" s="132"/>
      <c r="E45" s="176"/>
      <c r="F45" s="177"/>
      <c r="G45" s="176"/>
      <c r="H45" s="171"/>
      <c r="I45" s="171" t="str">
        <f t="shared" si="6"/>
        <v/>
      </c>
      <c r="J45" s="132"/>
      <c r="K45" s="132"/>
      <c r="L45" s="132" t="str">
        <f t="shared" si="7"/>
        <v/>
      </c>
      <c r="M45" s="132" t="str">
        <f t="shared" si="8"/>
        <v/>
      </c>
      <c r="N45" s="132" t="str">
        <f t="shared" si="9"/>
        <v/>
      </c>
      <c r="O45" s="132"/>
      <c r="P45" s="132"/>
      <c r="Q45" s="132"/>
      <c r="R45" s="132" t="str">
        <f t="shared" si="10"/>
        <v/>
      </c>
    </row>
    <row r="46" spans="1:18">
      <c r="A46" s="131"/>
      <c r="B46" s="132"/>
      <c r="C46" s="132"/>
      <c r="D46" s="132"/>
      <c r="E46" s="176"/>
      <c r="F46" s="177"/>
      <c r="G46" s="176"/>
      <c r="H46" s="171"/>
      <c r="I46" s="171" t="str">
        <f t="shared" si="6"/>
        <v/>
      </c>
      <c r="J46" s="132"/>
      <c r="K46" s="132"/>
      <c r="L46" s="132" t="str">
        <f t="shared" si="7"/>
        <v/>
      </c>
      <c r="M46" s="132" t="str">
        <f t="shared" si="8"/>
        <v/>
      </c>
      <c r="N46" s="132" t="str">
        <f t="shared" si="9"/>
        <v/>
      </c>
      <c r="O46" s="132"/>
      <c r="P46" s="132"/>
      <c r="Q46" s="132"/>
      <c r="R46" s="132" t="str">
        <f t="shared" si="10"/>
        <v/>
      </c>
    </row>
    <row r="47" spans="1:18">
      <c r="A47" s="131"/>
      <c r="B47" s="132"/>
      <c r="C47" s="132"/>
      <c r="D47" s="132"/>
      <c r="E47" s="176"/>
      <c r="F47" s="177"/>
      <c r="G47" s="176"/>
      <c r="H47" s="171"/>
      <c r="I47" s="171" t="str">
        <f t="shared" si="6"/>
        <v/>
      </c>
      <c r="J47" s="132"/>
      <c r="K47" s="132"/>
      <c r="L47" s="132" t="str">
        <f t="shared" si="7"/>
        <v/>
      </c>
      <c r="M47" s="132" t="str">
        <f t="shared" si="8"/>
        <v/>
      </c>
      <c r="N47" s="132" t="str">
        <f t="shared" si="9"/>
        <v/>
      </c>
      <c r="O47" s="132"/>
      <c r="P47" s="132"/>
      <c r="Q47" s="132"/>
      <c r="R47" s="132" t="str">
        <f t="shared" si="10"/>
        <v/>
      </c>
    </row>
    <row r="48" spans="1:18">
      <c r="A48" s="131"/>
      <c r="B48" s="132"/>
      <c r="C48" s="132"/>
      <c r="D48" s="132"/>
      <c r="E48" s="176"/>
      <c r="F48" s="177"/>
      <c r="G48" s="176"/>
      <c r="H48" s="171"/>
      <c r="I48" s="171" t="str">
        <f t="shared" si="6"/>
        <v/>
      </c>
      <c r="J48" s="132"/>
      <c r="K48" s="132"/>
      <c r="L48" s="132" t="str">
        <f t="shared" si="7"/>
        <v/>
      </c>
      <c r="M48" s="132" t="str">
        <f t="shared" si="8"/>
        <v/>
      </c>
      <c r="N48" s="132" t="str">
        <f t="shared" si="9"/>
        <v/>
      </c>
      <c r="O48" s="132"/>
      <c r="P48" s="132"/>
      <c r="Q48" s="132"/>
      <c r="R48" s="132" t="str">
        <f t="shared" si="10"/>
        <v/>
      </c>
    </row>
    <row r="49" spans="1:18">
      <c r="A49" s="131"/>
      <c r="B49" s="132"/>
      <c r="C49" s="132"/>
      <c r="D49" s="132"/>
      <c r="E49" s="176"/>
      <c r="F49" s="177"/>
      <c r="G49" s="176"/>
      <c r="H49" s="171"/>
      <c r="I49" s="171" t="str">
        <f t="shared" si="6"/>
        <v/>
      </c>
      <c r="J49" s="132"/>
      <c r="K49" s="132"/>
      <c r="L49" s="132" t="str">
        <f t="shared" si="7"/>
        <v/>
      </c>
      <c r="M49" s="132" t="str">
        <f t="shared" si="8"/>
        <v/>
      </c>
      <c r="N49" s="132" t="str">
        <f t="shared" si="9"/>
        <v/>
      </c>
      <c r="O49" s="132"/>
      <c r="P49" s="132"/>
      <c r="Q49" s="132"/>
      <c r="R49" s="132" t="str">
        <f t="shared" si="10"/>
        <v/>
      </c>
    </row>
    <row r="50" spans="1:18">
      <c r="A50" s="131"/>
      <c r="B50" s="132"/>
      <c r="C50" s="132"/>
      <c r="D50" s="132"/>
      <c r="E50" s="176"/>
      <c r="F50" s="177"/>
      <c r="G50" s="176"/>
      <c r="H50" s="171"/>
      <c r="I50" s="171" t="str">
        <f t="shared" si="6"/>
        <v/>
      </c>
      <c r="J50" s="132"/>
      <c r="K50" s="132"/>
      <c r="L50" s="132" t="str">
        <f t="shared" si="7"/>
        <v/>
      </c>
      <c r="M50" s="132" t="str">
        <f t="shared" si="8"/>
        <v/>
      </c>
      <c r="N50" s="132" t="str">
        <f t="shared" si="9"/>
        <v/>
      </c>
      <c r="O50" s="132"/>
      <c r="P50" s="132"/>
      <c r="Q50" s="132"/>
      <c r="R50" s="132" t="str">
        <f t="shared" si="10"/>
        <v/>
      </c>
    </row>
    <row r="51" spans="1:18">
      <c r="A51" s="131"/>
      <c r="B51" s="132"/>
      <c r="C51" s="132"/>
      <c r="D51" s="132"/>
      <c r="E51" s="176"/>
      <c r="F51" s="177"/>
      <c r="G51" s="176"/>
      <c r="H51" s="171"/>
      <c r="I51" s="171" t="str">
        <f t="shared" si="6"/>
        <v/>
      </c>
      <c r="J51" s="132"/>
      <c r="K51" s="132"/>
      <c r="L51" s="132" t="str">
        <f t="shared" si="7"/>
        <v/>
      </c>
      <c r="M51" s="132" t="str">
        <f t="shared" si="8"/>
        <v/>
      </c>
      <c r="N51" s="132" t="str">
        <f t="shared" si="9"/>
        <v/>
      </c>
      <c r="O51" s="132"/>
      <c r="P51" s="132"/>
      <c r="Q51" s="132"/>
      <c r="R51" s="132" t="str">
        <f t="shared" si="10"/>
        <v/>
      </c>
    </row>
    <row r="52" spans="1:18">
      <c r="A52" s="131"/>
      <c r="B52" s="132"/>
      <c r="C52" s="132"/>
      <c r="D52" s="132"/>
      <c r="E52" s="176"/>
      <c r="F52" s="177"/>
      <c r="G52" s="176"/>
      <c r="H52" s="171"/>
      <c r="I52" s="171" t="str">
        <f t="shared" si="6"/>
        <v/>
      </c>
      <c r="J52" s="132"/>
      <c r="K52" s="132"/>
      <c r="L52" s="132" t="str">
        <f t="shared" si="7"/>
        <v/>
      </c>
      <c r="M52" s="132" t="str">
        <f t="shared" si="8"/>
        <v/>
      </c>
      <c r="N52" s="132" t="str">
        <f t="shared" si="9"/>
        <v/>
      </c>
      <c r="O52" s="132"/>
      <c r="P52" s="132"/>
      <c r="Q52" s="132"/>
      <c r="R52" s="132" t="str">
        <f t="shared" si="10"/>
        <v/>
      </c>
    </row>
    <row r="53" spans="1:18">
      <c r="A53" s="131"/>
      <c r="B53" s="132"/>
      <c r="C53" s="132"/>
      <c r="D53" s="132"/>
      <c r="E53" s="176"/>
      <c r="F53" s="177"/>
      <c r="G53" s="176"/>
      <c r="H53" s="171"/>
      <c r="I53" s="171" t="str">
        <f t="shared" si="6"/>
        <v/>
      </c>
      <c r="J53" s="132"/>
      <c r="K53" s="132"/>
      <c r="L53" s="132" t="str">
        <f t="shared" si="7"/>
        <v/>
      </c>
      <c r="M53" s="132" t="str">
        <f t="shared" si="8"/>
        <v/>
      </c>
      <c r="N53" s="132" t="str">
        <f t="shared" si="9"/>
        <v/>
      </c>
      <c r="O53" s="132"/>
      <c r="P53" s="132"/>
      <c r="Q53" s="132"/>
      <c r="R53" s="132" t="str">
        <f t="shared" si="10"/>
        <v/>
      </c>
    </row>
    <row r="54" spans="1:18">
      <c r="A54" s="131"/>
      <c r="B54" s="132"/>
      <c r="C54" s="132"/>
      <c r="D54" s="132"/>
      <c r="E54" s="176"/>
      <c r="F54" s="177"/>
      <c r="G54" s="176"/>
      <c r="H54" s="171"/>
      <c r="I54" s="171" t="str">
        <f t="shared" si="6"/>
        <v/>
      </c>
      <c r="J54" s="132"/>
      <c r="K54" s="132"/>
      <c r="L54" s="132" t="str">
        <f t="shared" si="7"/>
        <v/>
      </c>
      <c r="M54" s="132" t="str">
        <f t="shared" si="8"/>
        <v/>
      </c>
      <c r="N54" s="132" t="str">
        <f t="shared" si="9"/>
        <v/>
      </c>
      <c r="O54" s="132"/>
      <c r="P54" s="132"/>
      <c r="Q54" s="132"/>
      <c r="R54" s="132" t="str">
        <f t="shared" si="10"/>
        <v/>
      </c>
    </row>
    <row r="55" spans="1:18">
      <c r="A55" s="131"/>
      <c r="B55" s="132"/>
      <c r="C55" s="132"/>
      <c r="D55" s="132"/>
      <c r="E55" s="176"/>
      <c r="F55" s="177"/>
      <c r="G55" s="176"/>
      <c r="H55" s="171"/>
      <c r="I55" s="171" t="str">
        <f t="shared" si="6"/>
        <v/>
      </c>
      <c r="J55" s="132"/>
      <c r="K55" s="132"/>
      <c r="L55" s="132" t="str">
        <f t="shared" si="7"/>
        <v/>
      </c>
      <c r="M55" s="132" t="str">
        <f t="shared" si="8"/>
        <v/>
      </c>
      <c r="N55" s="132" t="str">
        <f t="shared" si="9"/>
        <v/>
      </c>
      <c r="O55" s="132"/>
      <c r="P55" s="132"/>
      <c r="Q55" s="132"/>
      <c r="R55" s="132" t="str">
        <f t="shared" si="10"/>
        <v/>
      </c>
    </row>
    <row r="56" spans="1:18">
      <c r="A56" s="131"/>
      <c r="B56" s="132"/>
      <c r="C56" s="132"/>
      <c r="D56" s="132"/>
      <c r="E56" s="176"/>
      <c r="F56" s="177"/>
      <c r="G56" s="176"/>
      <c r="H56" s="171"/>
      <c r="I56" s="171" t="str">
        <f t="shared" si="6"/>
        <v/>
      </c>
      <c r="J56" s="132"/>
      <c r="K56" s="132"/>
      <c r="L56" s="132" t="str">
        <f t="shared" si="7"/>
        <v/>
      </c>
      <c r="M56" s="132" t="str">
        <f t="shared" si="8"/>
        <v/>
      </c>
      <c r="N56" s="132" t="str">
        <f t="shared" si="9"/>
        <v/>
      </c>
      <c r="O56" s="132"/>
      <c r="P56" s="132"/>
      <c r="Q56" s="132"/>
      <c r="R56" s="132" t="str">
        <f t="shared" si="10"/>
        <v/>
      </c>
    </row>
    <row r="57" spans="1:18">
      <c r="A57" s="131"/>
      <c r="B57" s="132"/>
      <c r="C57" s="132"/>
      <c r="D57" s="132"/>
      <c r="E57" s="176"/>
      <c r="F57" s="177"/>
      <c r="G57" s="176"/>
      <c r="H57" s="171"/>
      <c r="I57" s="171" t="str">
        <f t="shared" si="6"/>
        <v/>
      </c>
      <c r="J57" s="132"/>
      <c r="K57" s="132"/>
      <c r="L57" s="132" t="str">
        <f t="shared" si="7"/>
        <v/>
      </c>
      <c r="M57" s="132" t="str">
        <f t="shared" si="8"/>
        <v/>
      </c>
      <c r="N57" s="132" t="str">
        <f t="shared" si="9"/>
        <v/>
      </c>
      <c r="O57" s="132"/>
      <c r="P57" s="132"/>
      <c r="Q57" s="132"/>
      <c r="R57" s="132" t="str">
        <f t="shared" si="10"/>
        <v/>
      </c>
    </row>
    <row r="58" spans="1:18">
      <c r="A58" s="131"/>
      <c r="B58" s="132"/>
      <c r="C58" s="132"/>
      <c r="D58" s="132"/>
      <c r="E58" s="176"/>
      <c r="F58" s="177"/>
      <c r="G58" s="176"/>
      <c r="H58" s="171"/>
      <c r="I58" s="171" t="str">
        <f t="shared" si="6"/>
        <v/>
      </c>
      <c r="J58" s="132"/>
      <c r="K58" s="132"/>
      <c r="L58" s="132" t="str">
        <f t="shared" si="7"/>
        <v/>
      </c>
      <c r="M58" s="132" t="str">
        <f t="shared" si="8"/>
        <v/>
      </c>
      <c r="N58" s="132" t="str">
        <f t="shared" si="9"/>
        <v/>
      </c>
      <c r="O58" s="132"/>
      <c r="P58" s="132"/>
      <c r="Q58" s="132"/>
      <c r="R58" s="132" t="str">
        <f t="shared" si="10"/>
        <v/>
      </c>
    </row>
    <row r="59" spans="1:18">
      <c r="A59" s="131"/>
      <c r="B59" s="132"/>
      <c r="C59" s="132"/>
      <c r="D59" s="132"/>
      <c r="E59" s="176"/>
      <c r="F59" s="177"/>
      <c r="G59" s="176"/>
      <c r="H59" s="171"/>
      <c r="I59" s="171" t="str">
        <f t="shared" si="6"/>
        <v/>
      </c>
      <c r="J59" s="132"/>
      <c r="K59" s="132"/>
      <c r="L59" s="132" t="str">
        <f t="shared" si="7"/>
        <v/>
      </c>
      <c r="M59" s="132" t="str">
        <f t="shared" si="8"/>
        <v/>
      </c>
      <c r="N59" s="132" t="str">
        <f t="shared" si="9"/>
        <v/>
      </c>
      <c r="O59" s="132"/>
      <c r="P59" s="132"/>
      <c r="Q59" s="132"/>
      <c r="R59" s="132" t="str">
        <f t="shared" si="10"/>
        <v/>
      </c>
    </row>
    <row r="60" spans="1:18">
      <c r="A60" s="131"/>
      <c r="B60" s="132"/>
      <c r="C60" s="132"/>
      <c r="D60" s="132"/>
      <c r="E60" s="176"/>
      <c r="F60" s="177"/>
      <c r="G60" s="176"/>
      <c r="H60" s="171"/>
      <c r="I60" s="171" t="str">
        <f t="shared" si="6"/>
        <v/>
      </c>
      <c r="J60" s="132"/>
      <c r="K60" s="132"/>
      <c r="L60" s="132" t="str">
        <f t="shared" si="7"/>
        <v/>
      </c>
      <c r="M60" s="132" t="str">
        <f t="shared" si="8"/>
        <v/>
      </c>
      <c r="N60" s="132" t="str">
        <f t="shared" si="9"/>
        <v/>
      </c>
      <c r="O60" s="132"/>
      <c r="P60" s="132"/>
      <c r="Q60" s="132"/>
      <c r="R60" s="132" t="str">
        <f t="shared" si="10"/>
        <v/>
      </c>
    </row>
    <row r="61" spans="1:18">
      <c r="A61" s="131"/>
      <c r="B61" s="132"/>
      <c r="C61" s="132"/>
      <c r="D61" s="132"/>
      <c r="E61" s="176"/>
      <c r="F61" s="177"/>
      <c r="G61" s="176"/>
      <c r="H61" s="171"/>
      <c r="I61" s="171" t="str">
        <f t="shared" si="6"/>
        <v/>
      </c>
      <c r="J61" s="132"/>
      <c r="K61" s="132"/>
      <c r="L61" s="132" t="str">
        <f t="shared" si="7"/>
        <v/>
      </c>
      <c r="M61" s="132" t="str">
        <f t="shared" si="8"/>
        <v/>
      </c>
      <c r="N61" s="132" t="str">
        <f t="shared" si="9"/>
        <v/>
      </c>
      <c r="O61" s="132"/>
      <c r="P61" s="132"/>
      <c r="Q61" s="132"/>
      <c r="R61" s="132" t="str">
        <f t="shared" si="10"/>
        <v/>
      </c>
    </row>
    <row r="62" spans="1:18">
      <c r="A62" s="131"/>
      <c r="B62" s="132"/>
      <c r="C62" s="132"/>
      <c r="D62" s="132"/>
      <c r="E62" s="176"/>
      <c r="F62" s="177"/>
      <c r="G62" s="176"/>
      <c r="H62" s="171"/>
      <c r="I62" s="171" t="str">
        <f t="shared" si="6"/>
        <v/>
      </c>
      <c r="J62" s="132"/>
      <c r="K62" s="132"/>
      <c r="L62" s="132" t="str">
        <f t="shared" si="7"/>
        <v/>
      </c>
      <c r="M62" s="132" t="str">
        <f t="shared" si="8"/>
        <v/>
      </c>
      <c r="N62" s="132" t="str">
        <f t="shared" si="9"/>
        <v/>
      </c>
      <c r="O62" s="132"/>
      <c r="P62" s="132"/>
      <c r="Q62" s="132"/>
      <c r="R62" s="132" t="str">
        <f t="shared" si="10"/>
        <v/>
      </c>
    </row>
    <row r="63" spans="1:18">
      <c r="A63" s="131"/>
      <c r="B63" s="132"/>
      <c r="C63" s="132"/>
      <c r="D63" s="132"/>
      <c r="E63" s="176"/>
      <c r="F63" s="177"/>
      <c r="G63" s="176"/>
      <c r="H63" s="171"/>
      <c r="I63" s="171" t="str">
        <f t="shared" si="6"/>
        <v/>
      </c>
      <c r="J63" s="132"/>
      <c r="K63" s="132"/>
      <c r="L63" s="132" t="str">
        <f t="shared" si="7"/>
        <v/>
      </c>
      <c r="M63" s="132" t="str">
        <f t="shared" si="8"/>
        <v/>
      </c>
      <c r="N63" s="132" t="str">
        <f t="shared" si="9"/>
        <v/>
      </c>
      <c r="O63" s="132"/>
      <c r="P63" s="132"/>
      <c r="Q63" s="132"/>
      <c r="R63" s="132" t="str">
        <f t="shared" si="10"/>
        <v/>
      </c>
    </row>
    <row r="64" spans="1:18">
      <c r="A64" s="131"/>
      <c r="B64" s="132"/>
      <c r="C64" s="132"/>
      <c r="D64" s="132"/>
      <c r="E64" s="176"/>
      <c r="F64" s="177"/>
      <c r="G64" s="176"/>
      <c r="H64" s="171"/>
      <c r="I64" s="171" t="str">
        <f t="shared" si="6"/>
        <v/>
      </c>
      <c r="J64" s="132"/>
      <c r="K64" s="132"/>
      <c r="L64" s="132" t="str">
        <f t="shared" si="7"/>
        <v/>
      </c>
      <c r="M64" s="132" t="str">
        <f t="shared" si="8"/>
        <v/>
      </c>
      <c r="N64" s="132" t="str">
        <f t="shared" si="9"/>
        <v/>
      </c>
      <c r="O64" s="132"/>
      <c r="P64" s="132"/>
      <c r="Q64" s="132"/>
      <c r="R64" s="132" t="str">
        <f t="shared" si="10"/>
        <v/>
      </c>
    </row>
    <row r="65" spans="1:18">
      <c r="A65" s="131"/>
      <c r="B65" s="132"/>
      <c r="C65" s="132"/>
      <c r="D65" s="132"/>
      <c r="E65" s="176"/>
      <c r="F65" s="177"/>
      <c r="G65" s="176"/>
      <c r="H65" s="171"/>
      <c r="I65" s="171" t="str">
        <f t="shared" si="6"/>
        <v/>
      </c>
      <c r="J65" s="132"/>
      <c r="K65" s="132"/>
      <c r="L65" s="132" t="str">
        <f t="shared" si="7"/>
        <v/>
      </c>
      <c r="M65" s="132" t="str">
        <f t="shared" si="8"/>
        <v/>
      </c>
      <c r="N65" s="132" t="str">
        <f t="shared" si="9"/>
        <v/>
      </c>
      <c r="O65" s="132"/>
      <c r="P65" s="132"/>
      <c r="Q65" s="132"/>
      <c r="R65" s="132" t="str">
        <f t="shared" si="10"/>
        <v/>
      </c>
    </row>
    <row r="66" spans="1:18">
      <c r="A66" s="131"/>
      <c r="B66" s="132"/>
      <c r="C66" s="132"/>
      <c r="D66" s="132"/>
      <c r="E66" s="176"/>
      <c r="F66" s="177"/>
      <c r="G66" s="176"/>
      <c r="H66" s="171"/>
      <c r="I66" s="171" t="str">
        <f t="shared" si="6"/>
        <v/>
      </c>
      <c r="J66" s="132"/>
      <c r="K66" s="132"/>
      <c r="L66" s="132" t="str">
        <f t="shared" si="7"/>
        <v/>
      </c>
      <c r="M66" s="132" t="str">
        <f t="shared" si="8"/>
        <v/>
      </c>
      <c r="N66" s="132" t="str">
        <f t="shared" si="9"/>
        <v/>
      </c>
      <c r="O66" s="132"/>
      <c r="P66" s="132"/>
      <c r="Q66" s="132"/>
      <c r="R66" s="132" t="str">
        <f t="shared" si="10"/>
        <v/>
      </c>
    </row>
    <row r="67" spans="1:18">
      <c r="A67" s="131"/>
      <c r="B67" s="132"/>
      <c r="C67" s="132"/>
      <c r="D67" s="132"/>
      <c r="E67" s="176"/>
      <c r="F67" s="177"/>
      <c r="G67" s="176"/>
      <c r="H67" s="171"/>
      <c r="I67" s="171" t="str">
        <f t="shared" si="6"/>
        <v/>
      </c>
      <c r="J67" s="132"/>
      <c r="K67" s="132"/>
      <c r="L67" s="132" t="str">
        <f t="shared" si="7"/>
        <v/>
      </c>
      <c r="M67" s="132" t="str">
        <f t="shared" si="8"/>
        <v/>
      </c>
      <c r="N67" s="132" t="str">
        <f t="shared" si="9"/>
        <v/>
      </c>
      <c r="O67" s="132"/>
      <c r="P67" s="132"/>
      <c r="Q67" s="132"/>
      <c r="R67" s="132" t="str">
        <f t="shared" si="10"/>
        <v/>
      </c>
    </row>
    <row r="68" spans="1:18">
      <c r="A68" s="131"/>
      <c r="B68" s="132"/>
      <c r="C68" s="132"/>
      <c r="D68" s="132"/>
      <c r="E68" s="176"/>
      <c r="F68" s="177"/>
      <c r="G68" s="176"/>
      <c r="H68" s="171"/>
      <c r="I68" s="171" t="str">
        <f t="shared" si="6"/>
        <v/>
      </c>
      <c r="J68" s="132"/>
      <c r="K68" s="132"/>
      <c r="L68" s="132" t="str">
        <f t="shared" si="7"/>
        <v/>
      </c>
      <c r="M68" s="132" t="str">
        <f t="shared" si="8"/>
        <v/>
      </c>
      <c r="N68" s="132" t="str">
        <f t="shared" si="9"/>
        <v/>
      </c>
      <c r="O68" s="132"/>
      <c r="P68" s="132"/>
      <c r="Q68" s="132"/>
      <c r="R68" s="132" t="str">
        <f t="shared" si="10"/>
        <v/>
      </c>
    </row>
    <row r="69" spans="1:18">
      <c r="A69" s="131"/>
      <c r="B69" s="132"/>
      <c r="C69" s="132"/>
      <c r="D69" s="132"/>
      <c r="E69" s="176"/>
      <c r="F69" s="177"/>
      <c r="G69" s="176"/>
      <c r="H69" s="171"/>
      <c r="I69" s="171" t="str">
        <f t="shared" ref="I69:I100" si="11">IF(E69="","",IF(D69="USD",E69*H69,E69))</f>
        <v/>
      </c>
      <c r="J69" s="132"/>
      <c r="K69" s="132"/>
      <c r="L69" s="132" t="str">
        <f t="shared" ref="L69:L100" si="12">IF(A69="","",LOWER(TEXT(A69,"mmmm")))</f>
        <v/>
      </c>
      <c r="M69" s="132" t="str">
        <f t="shared" ref="M69:M100" si="13">IF(A69="","",IF(MONTH(A69)&lt;=3,"T1",IF(MONTH(A69)&lt;=6,"T2",IF(MONTH(A69)&lt;=9,"T3","T4"))))</f>
        <v/>
      </c>
      <c r="N69" s="132" t="str">
        <f t="shared" ref="N69:N100" si="14">IF(A69="","","Año "&amp;YEAR(A69)-2025)</f>
        <v/>
      </c>
      <c r="O69" s="132"/>
      <c r="P69" s="132"/>
      <c r="Q69" s="132"/>
      <c r="R69" s="132" t="str">
        <f t="shared" ref="R69:R100" si="15">IF(B69="","",TEXT(A69,"yyyymmdd")&amp;"-"&amp;B69&amp;"-"&amp;ROW())</f>
        <v/>
      </c>
    </row>
    <row r="70" spans="1:18">
      <c r="A70" s="131"/>
      <c r="B70" s="132"/>
      <c r="C70" s="132"/>
      <c r="D70" s="132"/>
      <c r="E70" s="176"/>
      <c r="F70" s="177"/>
      <c r="G70" s="176"/>
      <c r="H70" s="171"/>
      <c r="I70" s="171" t="str">
        <f t="shared" si="11"/>
        <v/>
      </c>
      <c r="J70" s="132"/>
      <c r="K70" s="132"/>
      <c r="L70" s="132" t="str">
        <f t="shared" si="12"/>
        <v/>
      </c>
      <c r="M70" s="132" t="str">
        <f t="shared" si="13"/>
        <v/>
      </c>
      <c r="N70" s="132" t="str">
        <f t="shared" si="14"/>
        <v/>
      </c>
      <c r="O70" s="132"/>
      <c r="P70" s="132"/>
      <c r="Q70" s="132"/>
      <c r="R70" s="132" t="str">
        <f t="shared" si="15"/>
        <v/>
      </c>
    </row>
    <row r="71" spans="1:18">
      <c r="A71" s="131"/>
      <c r="B71" s="132"/>
      <c r="C71" s="132"/>
      <c r="D71" s="132"/>
      <c r="E71" s="176"/>
      <c r="F71" s="177"/>
      <c r="G71" s="176"/>
      <c r="H71" s="171"/>
      <c r="I71" s="171" t="str">
        <f t="shared" si="11"/>
        <v/>
      </c>
      <c r="J71" s="132"/>
      <c r="K71" s="132"/>
      <c r="L71" s="132" t="str">
        <f t="shared" si="12"/>
        <v/>
      </c>
      <c r="M71" s="132" t="str">
        <f t="shared" si="13"/>
        <v/>
      </c>
      <c r="N71" s="132" t="str">
        <f t="shared" si="14"/>
        <v/>
      </c>
      <c r="O71" s="132"/>
      <c r="P71" s="132"/>
      <c r="Q71" s="132"/>
      <c r="R71" s="132" t="str">
        <f t="shared" si="15"/>
        <v/>
      </c>
    </row>
    <row r="72" spans="1:18">
      <c r="A72" s="131"/>
      <c r="B72" s="132"/>
      <c r="C72" s="132"/>
      <c r="D72" s="132"/>
      <c r="E72" s="176"/>
      <c r="F72" s="177"/>
      <c r="G72" s="176"/>
      <c r="H72" s="171"/>
      <c r="I72" s="171" t="str">
        <f t="shared" si="11"/>
        <v/>
      </c>
      <c r="J72" s="132"/>
      <c r="K72" s="132"/>
      <c r="L72" s="132" t="str">
        <f t="shared" si="12"/>
        <v/>
      </c>
      <c r="M72" s="132" t="str">
        <f t="shared" si="13"/>
        <v/>
      </c>
      <c r="N72" s="132" t="str">
        <f t="shared" si="14"/>
        <v/>
      </c>
      <c r="O72" s="132"/>
      <c r="P72" s="132"/>
      <c r="Q72" s="132"/>
      <c r="R72" s="132" t="str">
        <f t="shared" si="15"/>
        <v/>
      </c>
    </row>
    <row r="73" spans="1:18">
      <c r="A73" s="131"/>
      <c r="B73" s="132"/>
      <c r="C73" s="132"/>
      <c r="D73" s="132"/>
      <c r="E73" s="176"/>
      <c r="F73" s="177"/>
      <c r="G73" s="176"/>
      <c r="H73" s="171"/>
      <c r="I73" s="171" t="str">
        <f t="shared" si="11"/>
        <v/>
      </c>
      <c r="J73" s="132"/>
      <c r="K73" s="132"/>
      <c r="L73" s="132" t="str">
        <f t="shared" si="12"/>
        <v/>
      </c>
      <c r="M73" s="132" t="str">
        <f t="shared" si="13"/>
        <v/>
      </c>
      <c r="N73" s="132" t="str">
        <f t="shared" si="14"/>
        <v/>
      </c>
      <c r="O73" s="132"/>
      <c r="P73" s="132"/>
      <c r="Q73" s="132"/>
      <c r="R73" s="132" t="str">
        <f t="shared" si="15"/>
        <v/>
      </c>
    </row>
    <row r="74" spans="1:18">
      <c r="A74" s="131"/>
      <c r="B74" s="132"/>
      <c r="C74" s="132"/>
      <c r="D74" s="132"/>
      <c r="E74" s="176"/>
      <c r="F74" s="177"/>
      <c r="G74" s="176"/>
      <c r="H74" s="171"/>
      <c r="I74" s="171" t="str">
        <f t="shared" si="11"/>
        <v/>
      </c>
      <c r="J74" s="132"/>
      <c r="K74" s="132"/>
      <c r="L74" s="132" t="str">
        <f t="shared" si="12"/>
        <v/>
      </c>
      <c r="M74" s="132" t="str">
        <f t="shared" si="13"/>
        <v/>
      </c>
      <c r="N74" s="132" t="str">
        <f t="shared" si="14"/>
        <v/>
      </c>
      <c r="O74" s="132"/>
      <c r="P74" s="132"/>
      <c r="Q74" s="132"/>
      <c r="R74" s="132" t="str">
        <f t="shared" si="15"/>
        <v/>
      </c>
    </row>
    <row r="75" spans="1:18">
      <c r="A75" s="131"/>
      <c r="B75" s="132"/>
      <c r="C75" s="132"/>
      <c r="D75" s="132"/>
      <c r="E75" s="176"/>
      <c r="F75" s="177"/>
      <c r="G75" s="176"/>
      <c r="H75" s="171"/>
      <c r="I75" s="171" t="str">
        <f t="shared" si="11"/>
        <v/>
      </c>
      <c r="J75" s="132"/>
      <c r="K75" s="132"/>
      <c r="L75" s="132" t="str">
        <f t="shared" si="12"/>
        <v/>
      </c>
      <c r="M75" s="132" t="str">
        <f t="shared" si="13"/>
        <v/>
      </c>
      <c r="N75" s="132" t="str">
        <f t="shared" si="14"/>
        <v/>
      </c>
      <c r="O75" s="132"/>
      <c r="P75" s="132"/>
      <c r="Q75" s="132"/>
      <c r="R75" s="132" t="str">
        <f t="shared" si="15"/>
        <v/>
      </c>
    </row>
    <row r="76" spans="1:18">
      <c r="A76" s="131"/>
      <c r="B76" s="132"/>
      <c r="C76" s="132"/>
      <c r="D76" s="132"/>
      <c r="E76" s="176"/>
      <c r="F76" s="177"/>
      <c r="G76" s="176"/>
      <c r="H76" s="171"/>
      <c r="I76" s="171" t="str">
        <f t="shared" si="11"/>
        <v/>
      </c>
      <c r="J76" s="132"/>
      <c r="K76" s="132"/>
      <c r="L76" s="132" t="str">
        <f t="shared" si="12"/>
        <v/>
      </c>
      <c r="M76" s="132" t="str">
        <f t="shared" si="13"/>
        <v/>
      </c>
      <c r="N76" s="132" t="str">
        <f t="shared" si="14"/>
        <v/>
      </c>
      <c r="O76" s="132"/>
      <c r="P76" s="132"/>
      <c r="Q76" s="132"/>
      <c r="R76" s="132" t="str">
        <f t="shared" si="15"/>
        <v/>
      </c>
    </row>
    <row r="77" spans="1:18">
      <c r="A77" s="131"/>
      <c r="B77" s="132"/>
      <c r="C77" s="132"/>
      <c r="D77" s="132"/>
      <c r="E77" s="176"/>
      <c r="F77" s="177"/>
      <c r="G77" s="176"/>
      <c r="H77" s="171"/>
      <c r="I77" s="171" t="str">
        <f t="shared" si="11"/>
        <v/>
      </c>
      <c r="J77" s="132"/>
      <c r="K77" s="132"/>
      <c r="L77" s="132" t="str">
        <f t="shared" si="12"/>
        <v/>
      </c>
      <c r="M77" s="132" t="str">
        <f t="shared" si="13"/>
        <v/>
      </c>
      <c r="N77" s="132" t="str">
        <f t="shared" si="14"/>
        <v/>
      </c>
      <c r="O77" s="132"/>
      <c r="P77" s="132"/>
      <c r="Q77" s="132"/>
      <c r="R77" s="132" t="str">
        <f t="shared" si="15"/>
        <v/>
      </c>
    </row>
    <row r="78" spans="1:18">
      <c r="A78" s="131"/>
      <c r="B78" s="132"/>
      <c r="C78" s="132"/>
      <c r="D78" s="132"/>
      <c r="E78" s="176"/>
      <c r="F78" s="177"/>
      <c r="G78" s="176"/>
      <c r="H78" s="171"/>
      <c r="I78" s="171" t="str">
        <f t="shared" si="11"/>
        <v/>
      </c>
      <c r="J78" s="132"/>
      <c r="K78" s="132"/>
      <c r="L78" s="132" t="str">
        <f t="shared" si="12"/>
        <v/>
      </c>
      <c r="M78" s="132" t="str">
        <f t="shared" si="13"/>
        <v/>
      </c>
      <c r="N78" s="132" t="str">
        <f t="shared" si="14"/>
        <v/>
      </c>
      <c r="O78" s="132"/>
      <c r="P78" s="132"/>
      <c r="Q78" s="132"/>
      <c r="R78" s="132" t="str">
        <f t="shared" si="15"/>
        <v/>
      </c>
    </row>
    <row r="79" spans="1:18">
      <c r="A79" s="131"/>
      <c r="B79" s="132"/>
      <c r="C79" s="132"/>
      <c r="D79" s="132"/>
      <c r="E79" s="176"/>
      <c r="F79" s="177"/>
      <c r="G79" s="176"/>
      <c r="H79" s="171"/>
      <c r="I79" s="171" t="str">
        <f t="shared" si="11"/>
        <v/>
      </c>
      <c r="J79" s="132"/>
      <c r="K79" s="132"/>
      <c r="L79" s="132" t="str">
        <f t="shared" si="12"/>
        <v/>
      </c>
      <c r="M79" s="132" t="str">
        <f t="shared" si="13"/>
        <v/>
      </c>
      <c r="N79" s="132" t="str">
        <f t="shared" si="14"/>
        <v/>
      </c>
      <c r="O79" s="132"/>
      <c r="P79" s="132"/>
      <c r="Q79" s="132"/>
      <c r="R79" s="132" t="str">
        <f t="shared" si="15"/>
        <v/>
      </c>
    </row>
    <row r="80" spans="1:18">
      <c r="A80" s="131"/>
      <c r="B80" s="132"/>
      <c r="C80" s="132"/>
      <c r="D80" s="132"/>
      <c r="E80" s="176"/>
      <c r="F80" s="177"/>
      <c r="G80" s="176"/>
      <c r="H80" s="171"/>
      <c r="I80" s="171" t="str">
        <f t="shared" si="11"/>
        <v/>
      </c>
      <c r="J80" s="132"/>
      <c r="K80" s="132"/>
      <c r="L80" s="132" t="str">
        <f t="shared" si="12"/>
        <v/>
      </c>
      <c r="M80" s="132" t="str">
        <f t="shared" si="13"/>
        <v/>
      </c>
      <c r="N80" s="132" t="str">
        <f t="shared" si="14"/>
        <v/>
      </c>
      <c r="O80" s="132"/>
      <c r="P80" s="132"/>
      <c r="Q80" s="132"/>
      <c r="R80" s="132" t="str">
        <f t="shared" si="15"/>
        <v/>
      </c>
    </row>
    <row r="81" spans="1:18">
      <c r="A81" s="131"/>
      <c r="B81" s="132"/>
      <c r="C81" s="132"/>
      <c r="D81" s="132"/>
      <c r="E81" s="176"/>
      <c r="F81" s="177"/>
      <c r="G81" s="176"/>
      <c r="H81" s="171"/>
      <c r="I81" s="171" t="str">
        <f t="shared" si="11"/>
        <v/>
      </c>
      <c r="J81" s="132"/>
      <c r="K81" s="132"/>
      <c r="L81" s="132" t="str">
        <f t="shared" si="12"/>
        <v/>
      </c>
      <c r="M81" s="132" t="str">
        <f t="shared" si="13"/>
        <v/>
      </c>
      <c r="N81" s="132" t="str">
        <f t="shared" si="14"/>
        <v/>
      </c>
      <c r="O81" s="132"/>
      <c r="P81" s="132"/>
      <c r="Q81" s="132"/>
      <c r="R81" s="132" t="str">
        <f t="shared" si="15"/>
        <v/>
      </c>
    </row>
    <row r="82" spans="1:18">
      <c r="A82" s="131"/>
      <c r="B82" s="132"/>
      <c r="C82" s="132"/>
      <c r="D82" s="132"/>
      <c r="E82" s="176"/>
      <c r="F82" s="177"/>
      <c r="G82" s="176"/>
      <c r="H82" s="171"/>
      <c r="I82" s="171" t="str">
        <f t="shared" si="11"/>
        <v/>
      </c>
      <c r="J82" s="132"/>
      <c r="K82" s="132"/>
      <c r="L82" s="132" t="str">
        <f t="shared" si="12"/>
        <v/>
      </c>
      <c r="M82" s="132" t="str">
        <f t="shared" si="13"/>
        <v/>
      </c>
      <c r="N82" s="132" t="str">
        <f t="shared" si="14"/>
        <v/>
      </c>
      <c r="O82" s="132"/>
      <c r="P82" s="132"/>
      <c r="Q82" s="132"/>
      <c r="R82" s="132" t="str">
        <f t="shared" si="15"/>
        <v/>
      </c>
    </row>
    <row r="83" spans="1:18">
      <c r="A83" s="131"/>
      <c r="B83" s="132"/>
      <c r="C83" s="132"/>
      <c r="D83" s="132"/>
      <c r="E83" s="176"/>
      <c r="F83" s="177"/>
      <c r="G83" s="176"/>
      <c r="H83" s="171"/>
      <c r="I83" s="171" t="str">
        <f t="shared" si="11"/>
        <v/>
      </c>
      <c r="J83" s="132"/>
      <c r="K83" s="132"/>
      <c r="L83" s="132" t="str">
        <f t="shared" si="12"/>
        <v/>
      </c>
      <c r="M83" s="132" t="str">
        <f t="shared" si="13"/>
        <v/>
      </c>
      <c r="N83" s="132" t="str">
        <f t="shared" si="14"/>
        <v/>
      </c>
      <c r="O83" s="132"/>
      <c r="P83" s="132"/>
      <c r="Q83" s="132"/>
      <c r="R83" s="132" t="str">
        <f t="shared" si="15"/>
        <v/>
      </c>
    </row>
    <row r="84" spans="1:18">
      <c r="A84" s="131"/>
      <c r="B84" s="132"/>
      <c r="C84" s="132"/>
      <c r="D84" s="132"/>
      <c r="E84" s="176"/>
      <c r="F84" s="177"/>
      <c r="G84" s="176"/>
      <c r="H84" s="171"/>
      <c r="I84" s="171" t="str">
        <f t="shared" si="11"/>
        <v/>
      </c>
      <c r="J84" s="132"/>
      <c r="K84" s="132"/>
      <c r="L84" s="132" t="str">
        <f t="shared" si="12"/>
        <v/>
      </c>
      <c r="M84" s="132" t="str">
        <f t="shared" si="13"/>
        <v/>
      </c>
      <c r="N84" s="132" t="str">
        <f t="shared" si="14"/>
        <v/>
      </c>
      <c r="O84" s="132"/>
      <c r="P84" s="132"/>
      <c r="Q84" s="132"/>
      <c r="R84" s="132" t="str">
        <f t="shared" si="15"/>
        <v/>
      </c>
    </row>
    <row r="85" spans="1:18">
      <c r="A85" s="131"/>
      <c r="B85" s="132"/>
      <c r="C85" s="132"/>
      <c r="D85" s="132"/>
      <c r="E85" s="176"/>
      <c r="F85" s="177"/>
      <c r="G85" s="176"/>
      <c r="H85" s="171"/>
      <c r="I85" s="171" t="str">
        <f t="shared" si="11"/>
        <v/>
      </c>
      <c r="J85" s="132"/>
      <c r="K85" s="132"/>
      <c r="L85" s="132" t="str">
        <f t="shared" si="12"/>
        <v/>
      </c>
      <c r="M85" s="132" t="str">
        <f t="shared" si="13"/>
        <v/>
      </c>
      <c r="N85" s="132" t="str">
        <f t="shared" si="14"/>
        <v/>
      </c>
      <c r="O85" s="132"/>
      <c r="P85" s="132"/>
      <c r="Q85" s="132"/>
      <c r="R85" s="132" t="str">
        <f t="shared" si="15"/>
        <v/>
      </c>
    </row>
    <row r="86" spans="1:18">
      <c r="A86" s="131"/>
      <c r="B86" s="132"/>
      <c r="C86" s="132"/>
      <c r="D86" s="132"/>
      <c r="E86" s="176"/>
      <c r="F86" s="177"/>
      <c r="G86" s="176"/>
      <c r="H86" s="171"/>
      <c r="I86" s="171" t="str">
        <f t="shared" si="11"/>
        <v/>
      </c>
      <c r="J86" s="132"/>
      <c r="K86" s="132"/>
      <c r="L86" s="132" t="str">
        <f t="shared" si="12"/>
        <v/>
      </c>
      <c r="M86" s="132" t="str">
        <f t="shared" si="13"/>
        <v/>
      </c>
      <c r="N86" s="132" t="str">
        <f t="shared" si="14"/>
        <v/>
      </c>
      <c r="O86" s="132"/>
      <c r="P86" s="132"/>
      <c r="Q86" s="132"/>
      <c r="R86" s="132" t="str">
        <f t="shared" si="15"/>
        <v/>
      </c>
    </row>
    <row r="87" spans="1:18">
      <c r="A87" s="131"/>
      <c r="B87" s="132"/>
      <c r="C87" s="132"/>
      <c r="D87" s="132"/>
      <c r="E87" s="176"/>
      <c r="F87" s="177"/>
      <c r="G87" s="176"/>
      <c r="H87" s="171"/>
      <c r="I87" s="171" t="str">
        <f t="shared" si="11"/>
        <v/>
      </c>
      <c r="J87" s="132"/>
      <c r="K87" s="132"/>
      <c r="L87" s="132" t="str">
        <f t="shared" si="12"/>
        <v/>
      </c>
      <c r="M87" s="132" t="str">
        <f t="shared" si="13"/>
        <v/>
      </c>
      <c r="N87" s="132" t="str">
        <f t="shared" si="14"/>
        <v/>
      </c>
      <c r="O87" s="132"/>
      <c r="P87" s="132"/>
      <c r="Q87" s="132"/>
      <c r="R87" s="132" t="str">
        <f t="shared" si="15"/>
        <v/>
      </c>
    </row>
    <row r="88" spans="1:18">
      <c r="A88" s="131"/>
      <c r="B88" s="132"/>
      <c r="C88" s="132"/>
      <c r="D88" s="132"/>
      <c r="E88" s="176"/>
      <c r="F88" s="177"/>
      <c r="G88" s="176"/>
      <c r="H88" s="171"/>
      <c r="I88" s="171" t="str">
        <f t="shared" si="11"/>
        <v/>
      </c>
      <c r="J88" s="132"/>
      <c r="K88" s="132"/>
      <c r="L88" s="132" t="str">
        <f t="shared" si="12"/>
        <v/>
      </c>
      <c r="M88" s="132" t="str">
        <f t="shared" si="13"/>
        <v/>
      </c>
      <c r="N88" s="132" t="str">
        <f t="shared" si="14"/>
        <v/>
      </c>
      <c r="O88" s="132"/>
      <c r="P88" s="132"/>
      <c r="Q88" s="132"/>
      <c r="R88" s="132" t="str">
        <f t="shared" si="15"/>
        <v/>
      </c>
    </row>
    <row r="89" spans="1:18">
      <c r="A89" s="131"/>
      <c r="B89" s="132"/>
      <c r="C89" s="132"/>
      <c r="D89" s="132"/>
      <c r="E89" s="176"/>
      <c r="F89" s="177"/>
      <c r="G89" s="176"/>
      <c r="H89" s="171"/>
      <c r="I89" s="171" t="str">
        <f t="shared" si="11"/>
        <v/>
      </c>
      <c r="J89" s="132"/>
      <c r="K89" s="132"/>
      <c r="L89" s="132" t="str">
        <f t="shared" si="12"/>
        <v/>
      </c>
      <c r="M89" s="132" t="str">
        <f t="shared" si="13"/>
        <v/>
      </c>
      <c r="N89" s="132" t="str">
        <f t="shared" si="14"/>
        <v/>
      </c>
      <c r="O89" s="132"/>
      <c r="P89" s="132"/>
      <c r="Q89" s="132"/>
      <c r="R89" s="132" t="str">
        <f t="shared" si="15"/>
        <v/>
      </c>
    </row>
    <row r="90" spans="1:18">
      <c r="A90" s="131"/>
      <c r="B90" s="132"/>
      <c r="C90" s="132"/>
      <c r="D90" s="132"/>
      <c r="E90" s="176"/>
      <c r="F90" s="177"/>
      <c r="G90" s="176"/>
      <c r="H90" s="171"/>
      <c r="I90" s="171" t="str">
        <f t="shared" si="11"/>
        <v/>
      </c>
      <c r="J90" s="132"/>
      <c r="K90" s="132"/>
      <c r="L90" s="132" t="str">
        <f t="shared" si="12"/>
        <v/>
      </c>
      <c r="M90" s="132" t="str">
        <f t="shared" si="13"/>
        <v/>
      </c>
      <c r="N90" s="132" t="str">
        <f t="shared" si="14"/>
        <v/>
      </c>
      <c r="O90" s="132"/>
      <c r="P90" s="132"/>
      <c r="Q90" s="132"/>
      <c r="R90" s="132" t="str">
        <f t="shared" si="15"/>
        <v/>
      </c>
    </row>
    <row r="91" spans="1:18">
      <c r="A91" s="131"/>
      <c r="B91" s="132"/>
      <c r="C91" s="132"/>
      <c r="D91" s="132"/>
      <c r="E91" s="176"/>
      <c r="F91" s="177"/>
      <c r="G91" s="176"/>
      <c r="H91" s="171"/>
      <c r="I91" s="171" t="str">
        <f t="shared" si="11"/>
        <v/>
      </c>
      <c r="J91" s="132"/>
      <c r="K91" s="132"/>
      <c r="L91" s="132" t="str">
        <f t="shared" si="12"/>
        <v/>
      </c>
      <c r="M91" s="132" t="str">
        <f t="shared" si="13"/>
        <v/>
      </c>
      <c r="N91" s="132" t="str">
        <f t="shared" si="14"/>
        <v/>
      </c>
      <c r="O91" s="132"/>
      <c r="P91" s="132"/>
      <c r="Q91" s="132"/>
      <c r="R91" s="132" t="str">
        <f t="shared" si="15"/>
        <v/>
      </c>
    </row>
    <row r="92" spans="1:18">
      <c r="A92" s="131"/>
      <c r="B92" s="132"/>
      <c r="C92" s="132"/>
      <c r="D92" s="132"/>
      <c r="E92" s="176"/>
      <c r="F92" s="177"/>
      <c r="G92" s="176"/>
      <c r="H92" s="171"/>
      <c r="I92" s="171" t="str">
        <f t="shared" si="11"/>
        <v/>
      </c>
      <c r="J92" s="132"/>
      <c r="K92" s="132"/>
      <c r="L92" s="132" t="str">
        <f t="shared" si="12"/>
        <v/>
      </c>
      <c r="M92" s="132" t="str">
        <f t="shared" si="13"/>
        <v/>
      </c>
      <c r="N92" s="132" t="str">
        <f t="shared" si="14"/>
        <v/>
      </c>
      <c r="O92" s="132"/>
      <c r="P92" s="132"/>
      <c r="Q92" s="132"/>
      <c r="R92" s="132" t="str">
        <f t="shared" si="15"/>
        <v/>
      </c>
    </row>
    <row r="93" spans="1:18">
      <c r="A93" s="131"/>
      <c r="B93" s="132"/>
      <c r="C93" s="132"/>
      <c r="D93" s="132"/>
      <c r="E93" s="176"/>
      <c r="F93" s="177"/>
      <c r="G93" s="176"/>
      <c r="H93" s="171"/>
      <c r="I93" s="171" t="str">
        <f t="shared" si="11"/>
        <v/>
      </c>
      <c r="J93" s="132"/>
      <c r="K93" s="132"/>
      <c r="L93" s="132" t="str">
        <f t="shared" si="12"/>
        <v/>
      </c>
      <c r="M93" s="132" t="str">
        <f t="shared" si="13"/>
        <v/>
      </c>
      <c r="N93" s="132" t="str">
        <f t="shared" si="14"/>
        <v/>
      </c>
      <c r="O93" s="132"/>
      <c r="P93" s="132"/>
      <c r="Q93" s="132"/>
      <c r="R93" s="132" t="str">
        <f t="shared" si="15"/>
        <v/>
      </c>
    </row>
    <row r="94" spans="1:18">
      <c r="A94" s="131"/>
      <c r="B94" s="132"/>
      <c r="C94" s="132"/>
      <c r="D94" s="132"/>
      <c r="E94" s="176"/>
      <c r="F94" s="177"/>
      <c r="G94" s="176"/>
      <c r="H94" s="171"/>
      <c r="I94" s="171" t="str">
        <f t="shared" si="11"/>
        <v/>
      </c>
      <c r="J94" s="132"/>
      <c r="K94" s="132"/>
      <c r="L94" s="132" t="str">
        <f t="shared" si="12"/>
        <v/>
      </c>
      <c r="M94" s="132" t="str">
        <f t="shared" si="13"/>
        <v/>
      </c>
      <c r="N94" s="132" t="str">
        <f t="shared" si="14"/>
        <v/>
      </c>
      <c r="O94" s="132"/>
      <c r="P94" s="132"/>
      <c r="Q94" s="132"/>
      <c r="R94" s="132" t="str">
        <f t="shared" si="15"/>
        <v/>
      </c>
    </row>
    <row r="95" spans="1:18">
      <c r="A95" s="131"/>
      <c r="B95" s="132"/>
      <c r="C95" s="132"/>
      <c r="D95" s="132"/>
      <c r="E95" s="176"/>
      <c r="F95" s="177"/>
      <c r="G95" s="176"/>
      <c r="H95" s="171"/>
      <c r="I95" s="171" t="str">
        <f t="shared" si="11"/>
        <v/>
      </c>
      <c r="J95" s="132"/>
      <c r="K95" s="132"/>
      <c r="L95" s="132" t="str">
        <f t="shared" si="12"/>
        <v/>
      </c>
      <c r="M95" s="132" t="str">
        <f t="shared" si="13"/>
        <v/>
      </c>
      <c r="N95" s="132" t="str">
        <f t="shared" si="14"/>
        <v/>
      </c>
      <c r="O95" s="132"/>
      <c r="P95" s="132"/>
      <c r="Q95" s="132"/>
      <c r="R95" s="132" t="str">
        <f t="shared" si="15"/>
        <v/>
      </c>
    </row>
    <row r="96" spans="1:18">
      <c r="A96" s="131"/>
      <c r="B96" s="132"/>
      <c r="C96" s="132"/>
      <c r="D96" s="132"/>
      <c r="E96" s="176"/>
      <c r="F96" s="177"/>
      <c r="G96" s="176"/>
      <c r="H96" s="171"/>
      <c r="I96" s="171" t="str">
        <f t="shared" si="11"/>
        <v/>
      </c>
      <c r="J96" s="132"/>
      <c r="K96" s="132"/>
      <c r="L96" s="132" t="str">
        <f t="shared" si="12"/>
        <v/>
      </c>
      <c r="M96" s="132" t="str">
        <f t="shared" si="13"/>
        <v/>
      </c>
      <c r="N96" s="132" t="str">
        <f t="shared" si="14"/>
        <v/>
      </c>
      <c r="O96" s="132"/>
      <c r="P96" s="132"/>
      <c r="Q96" s="132"/>
      <c r="R96" s="132" t="str">
        <f t="shared" si="15"/>
        <v/>
      </c>
    </row>
    <row r="97" spans="1:18">
      <c r="A97" s="131"/>
      <c r="B97" s="132"/>
      <c r="C97" s="132"/>
      <c r="D97" s="132"/>
      <c r="E97" s="176"/>
      <c r="F97" s="177"/>
      <c r="G97" s="176"/>
      <c r="H97" s="171"/>
      <c r="I97" s="171" t="str">
        <f t="shared" si="11"/>
        <v/>
      </c>
      <c r="J97" s="132"/>
      <c r="K97" s="132"/>
      <c r="L97" s="132" t="str">
        <f t="shared" si="12"/>
        <v/>
      </c>
      <c r="M97" s="132" t="str">
        <f t="shared" si="13"/>
        <v/>
      </c>
      <c r="N97" s="132" t="str">
        <f t="shared" si="14"/>
        <v/>
      </c>
      <c r="O97" s="132"/>
      <c r="P97" s="132"/>
      <c r="Q97" s="132"/>
      <c r="R97" s="132" t="str">
        <f t="shared" si="15"/>
        <v/>
      </c>
    </row>
    <row r="98" spans="1:18">
      <c r="A98" s="131"/>
      <c r="B98" s="132"/>
      <c r="C98" s="132"/>
      <c r="D98" s="132"/>
      <c r="E98" s="176"/>
      <c r="F98" s="177"/>
      <c r="G98" s="176"/>
      <c r="H98" s="171"/>
      <c r="I98" s="171" t="str">
        <f t="shared" si="11"/>
        <v/>
      </c>
      <c r="J98" s="132"/>
      <c r="K98" s="132"/>
      <c r="L98" s="132" t="str">
        <f t="shared" si="12"/>
        <v/>
      </c>
      <c r="M98" s="132" t="str">
        <f t="shared" si="13"/>
        <v/>
      </c>
      <c r="N98" s="132" t="str">
        <f t="shared" si="14"/>
        <v/>
      </c>
      <c r="O98" s="132"/>
      <c r="P98" s="132"/>
      <c r="Q98" s="132"/>
      <c r="R98" s="132" t="str">
        <f t="shared" si="15"/>
        <v/>
      </c>
    </row>
    <row r="99" spans="1:18">
      <c r="A99" s="131"/>
      <c r="B99" s="132"/>
      <c r="C99" s="132"/>
      <c r="D99" s="132"/>
      <c r="E99" s="176"/>
      <c r="F99" s="177"/>
      <c r="G99" s="176"/>
      <c r="H99" s="171"/>
      <c r="I99" s="171" t="str">
        <f t="shared" si="11"/>
        <v/>
      </c>
      <c r="J99" s="132"/>
      <c r="K99" s="132"/>
      <c r="L99" s="132" t="str">
        <f t="shared" si="12"/>
        <v/>
      </c>
      <c r="M99" s="132" t="str">
        <f t="shared" si="13"/>
        <v/>
      </c>
      <c r="N99" s="132" t="str">
        <f t="shared" si="14"/>
        <v/>
      </c>
      <c r="O99" s="132"/>
      <c r="P99" s="132"/>
      <c r="Q99" s="132"/>
      <c r="R99" s="132" t="str">
        <f t="shared" si="15"/>
        <v/>
      </c>
    </row>
    <row r="100" spans="1:18">
      <c r="A100" s="131"/>
      <c r="B100" s="132"/>
      <c r="C100" s="132"/>
      <c r="D100" s="132"/>
      <c r="E100" s="176"/>
      <c r="F100" s="177"/>
      <c r="G100" s="176"/>
      <c r="H100" s="171"/>
      <c r="I100" s="171" t="str">
        <f t="shared" si="11"/>
        <v/>
      </c>
      <c r="J100" s="132"/>
      <c r="K100" s="132"/>
      <c r="L100" s="132" t="str">
        <f t="shared" si="12"/>
        <v/>
      </c>
      <c r="M100" s="132" t="str">
        <f t="shared" si="13"/>
        <v/>
      </c>
      <c r="N100" s="132" t="str">
        <f t="shared" si="14"/>
        <v/>
      </c>
      <c r="O100" s="132"/>
      <c r="P100" s="132"/>
      <c r="Q100" s="132"/>
      <c r="R100" s="132" t="str">
        <f t="shared" si="15"/>
        <v/>
      </c>
    </row>
    <row r="101" spans="1:18">
      <c r="A101" s="131"/>
      <c r="B101" s="132"/>
      <c r="C101" s="132"/>
      <c r="D101" s="132"/>
      <c r="E101" s="176"/>
      <c r="F101" s="177"/>
      <c r="G101" s="176"/>
      <c r="H101" s="171"/>
      <c r="I101" s="171" t="str">
        <f t="shared" ref="I101:I132" si="16">IF(E101="","",IF(D101="USD",E101*H101,E101))</f>
        <v/>
      </c>
      <c r="J101" s="132"/>
      <c r="K101" s="132"/>
      <c r="L101" s="132" t="str">
        <f t="shared" ref="L101:L132" si="17">IF(A101="","",LOWER(TEXT(A101,"mmmm")))</f>
        <v/>
      </c>
      <c r="M101" s="132" t="str">
        <f t="shared" ref="M101:M132" si="18">IF(A101="","",IF(MONTH(A101)&lt;=3,"T1",IF(MONTH(A101)&lt;=6,"T2",IF(MONTH(A101)&lt;=9,"T3","T4"))))</f>
        <v/>
      </c>
      <c r="N101" s="132" t="str">
        <f t="shared" ref="N101:N132" si="19">IF(A101="","","Año "&amp;YEAR(A101)-2025)</f>
        <v/>
      </c>
      <c r="O101" s="132"/>
      <c r="P101" s="132"/>
      <c r="Q101" s="132"/>
      <c r="R101" s="132" t="str">
        <f t="shared" ref="R101:R132" si="20">IF(B101="","",TEXT(A101,"yyyymmdd")&amp;"-"&amp;B101&amp;"-"&amp;ROW())</f>
        <v/>
      </c>
    </row>
    <row r="102" spans="1:18">
      <c r="A102" s="131"/>
      <c r="B102" s="132"/>
      <c r="C102" s="132"/>
      <c r="D102" s="132"/>
      <c r="E102" s="176"/>
      <c r="F102" s="177"/>
      <c r="G102" s="176"/>
      <c r="H102" s="171"/>
      <c r="I102" s="171" t="str">
        <f t="shared" si="16"/>
        <v/>
      </c>
      <c r="J102" s="132"/>
      <c r="K102" s="132"/>
      <c r="L102" s="132" t="str">
        <f t="shared" si="17"/>
        <v/>
      </c>
      <c r="M102" s="132" t="str">
        <f t="shared" si="18"/>
        <v/>
      </c>
      <c r="N102" s="132" t="str">
        <f t="shared" si="19"/>
        <v/>
      </c>
      <c r="O102" s="132"/>
      <c r="P102" s="132"/>
      <c r="Q102" s="132"/>
      <c r="R102" s="132" t="str">
        <f t="shared" si="20"/>
        <v/>
      </c>
    </row>
    <row r="103" spans="1:18">
      <c r="A103" s="131"/>
      <c r="B103" s="132"/>
      <c r="C103" s="132"/>
      <c r="D103" s="132"/>
      <c r="E103" s="176"/>
      <c r="F103" s="177"/>
      <c r="G103" s="176"/>
      <c r="H103" s="171"/>
      <c r="I103" s="171" t="str">
        <f t="shared" si="16"/>
        <v/>
      </c>
      <c r="J103" s="132"/>
      <c r="K103" s="132"/>
      <c r="L103" s="132" t="str">
        <f t="shared" si="17"/>
        <v/>
      </c>
      <c r="M103" s="132" t="str">
        <f t="shared" si="18"/>
        <v/>
      </c>
      <c r="N103" s="132" t="str">
        <f t="shared" si="19"/>
        <v/>
      </c>
      <c r="O103" s="132"/>
      <c r="P103" s="132"/>
      <c r="Q103" s="132"/>
      <c r="R103" s="132" t="str">
        <f t="shared" si="20"/>
        <v/>
      </c>
    </row>
    <row r="104" spans="1:18">
      <c r="A104" s="131"/>
      <c r="B104" s="132"/>
      <c r="C104" s="132"/>
      <c r="D104" s="132"/>
      <c r="E104" s="176"/>
      <c r="F104" s="177"/>
      <c r="G104" s="176"/>
      <c r="H104" s="171"/>
      <c r="I104" s="171" t="str">
        <f t="shared" si="16"/>
        <v/>
      </c>
      <c r="J104" s="132"/>
      <c r="K104" s="132"/>
      <c r="L104" s="132" t="str">
        <f t="shared" si="17"/>
        <v/>
      </c>
      <c r="M104" s="132" t="str">
        <f t="shared" si="18"/>
        <v/>
      </c>
      <c r="N104" s="132" t="str">
        <f t="shared" si="19"/>
        <v/>
      </c>
      <c r="O104" s="132"/>
      <c r="P104" s="132"/>
      <c r="Q104" s="132"/>
      <c r="R104" s="132" t="str">
        <f t="shared" si="20"/>
        <v/>
      </c>
    </row>
    <row r="105" spans="1:18">
      <c r="A105" s="131"/>
      <c r="B105" s="132"/>
      <c r="C105" s="132"/>
      <c r="D105" s="132"/>
      <c r="E105" s="176"/>
      <c r="F105" s="177"/>
      <c r="G105" s="176"/>
      <c r="H105" s="171"/>
      <c r="I105" s="171" t="str">
        <f t="shared" si="16"/>
        <v/>
      </c>
      <c r="J105" s="132"/>
      <c r="K105" s="132"/>
      <c r="L105" s="132" t="str">
        <f t="shared" si="17"/>
        <v/>
      </c>
      <c r="M105" s="132" t="str">
        <f t="shared" si="18"/>
        <v/>
      </c>
      <c r="N105" s="132" t="str">
        <f t="shared" si="19"/>
        <v/>
      </c>
      <c r="O105" s="132"/>
      <c r="P105" s="132"/>
      <c r="Q105" s="132"/>
      <c r="R105" s="132" t="str">
        <f t="shared" si="20"/>
        <v/>
      </c>
    </row>
    <row r="106" spans="1:18">
      <c r="A106" s="131"/>
      <c r="B106" s="132"/>
      <c r="C106" s="132"/>
      <c r="D106" s="132"/>
      <c r="E106" s="176"/>
      <c r="F106" s="177"/>
      <c r="G106" s="176"/>
      <c r="H106" s="171"/>
      <c r="I106" s="171" t="str">
        <f t="shared" si="16"/>
        <v/>
      </c>
      <c r="J106" s="132"/>
      <c r="K106" s="132"/>
      <c r="L106" s="132" t="str">
        <f t="shared" si="17"/>
        <v/>
      </c>
      <c r="M106" s="132" t="str">
        <f t="shared" si="18"/>
        <v/>
      </c>
      <c r="N106" s="132" t="str">
        <f t="shared" si="19"/>
        <v/>
      </c>
      <c r="O106" s="132"/>
      <c r="P106" s="132"/>
      <c r="Q106" s="132"/>
      <c r="R106" s="132" t="str">
        <f t="shared" si="20"/>
        <v/>
      </c>
    </row>
    <row r="107" spans="1:18">
      <c r="A107" s="131"/>
      <c r="B107" s="132"/>
      <c r="C107" s="132"/>
      <c r="D107" s="132"/>
      <c r="E107" s="176"/>
      <c r="F107" s="177"/>
      <c r="G107" s="176"/>
      <c r="H107" s="171"/>
      <c r="I107" s="171" t="str">
        <f t="shared" si="16"/>
        <v/>
      </c>
      <c r="J107" s="132"/>
      <c r="K107" s="132"/>
      <c r="L107" s="132" t="str">
        <f t="shared" si="17"/>
        <v/>
      </c>
      <c r="M107" s="132" t="str">
        <f t="shared" si="18"/>
        <v/>
      </c>
      <c r="N107" s="132" t="str">
        <f t="shared" si="19"/>
        <v/>
      </c>
      <c r="O107" s="132"/>
      <c r="P107" s="132"/>
      <c r="Q107" s="132"/>
      <c r="R107" s="132" t="str">
        <f t="shared" si="20"/>
        <v/>
      </c>
    </row>
    <row r="108" spans="1:18">
      <c r="A108" s="131"/>
      <c r="B108" s="132"/>
      <c r="C108" s="132"/>
      <c r="D108" s="132"/>
      <c r="E108" s="176"/>
      <c r="F108" s="177"/>
      <c r="G108" s="176"/>
      <c r="H108" s="171"/>
      <c r="I108" s="171" t="str">
        <f t="shared" si="16"/>
        <v/>
      </c>
      <c r="J108" s="132"/>
      <c r="K108" s="132"/>
      <c r="L108" s="132" t="str">
        <f t="shared" si="17"/>
        <v/>
      </c>
      <c r="M108" s="132" t="str">
        <f t="shared" si="18"/>
        <v/>
      </c>
      <c r="N108" s="132" t="str">
        <f t="shared" si="19"/>
        <v/>
      </c>
      <c r="O108" s="132"/>
      <c r="P108" s="132"/>
      <c r="Q108" s="132"/>
      <c r="R108" s="132" t="str">
        <f t="shared" si="20"/>
        <v/>
      </c>
    </row>
    <row r="109" spans="1:18">
      <c r="A109" s="131"/>
      <c r="B109" s="132"/>
      <c r="C109" s="132"/>
      <c r="D109" s="132"/>
      <c r="E109" s="176"/>
      <c r="F109" s="177"/>
      <c r="G109" s="176"/>
      <c r="H109" s="171"/>
      <c r="I109" s="171" t="str">
        <f t="shared" si="16"/>
        <v/>
      </c>
      <c r="J109" s="132"/>
      <c r="K109" s="132"/>
      <c r="L109" s="132" t="str">
        <f t="shared" si="17"/>
        <v/>
      </c>
      <c r="M109" s="132" t="str">
        <f t="shared" si="18"/>
        <v/>
      </c>
      <c r="N109" s="132" t="str">
        <f t="shared" si="19"/>
        <v/>
      </c>
      <c r="O109" s="132"/>
      <c r="P109" s="132"/>
      <c r="Q109" s="132"/>
      <c r="R109" s="132" t="str">
        <f t="shared" si="20"/>
        <v/>
      </c>
    </row>
    <row r="110" spans="1:18">
      <c r="A110" s="131"/>
      <c r="B110" s="132"/>
      <c r="C110" s="132"/>
      <c r="D110" s="132"/>
      <c r="E110" s="176"/>
      <c r="F110" s="177"/>
      <c r="G110" s="176"/>
      <c r="H110" s="171"/>
      <c r="I110" s="171" t="str">
        <f t="shared" si="16"/>
        <v/>
      </c>
      <c r="J110" s="132"/>
      <c r="K110" s="132"/>
      <c r="L110" s="132" t="str">
        <f t="shared" si="17"/>
        <v/>
      </c>
      <c r="M110" s="132" t="str">
        <f t="shared" si="18"/>
        <v/>
      </c>
      <c r="N110" s="132" t="str">
        <f t="shared" si="19"/>
        <v/>
      </c>
      <c r="O110" s="132"/>
      <c r="P110" s="132"/>
      <c r="Q110" s="132"/>
      <c r="R110" s="132" t="str">
        <f t="shared" si="20"/>
        <v/>
      </c>
    </row>
    <row r="111" spans="1:18">
      <c r="A111" s="131"/>
      <c r="B111" s="132"/>
      <c r="C111" s="132"/>
      <c r="D111" s="132"/>
      <c r="E111" s="176"/>
      <c r="F111" s="177"/>
      <c r="G111" s="176"/>
      <c r="H111" s="171"/>
      <c r="I111" s="171" t="str">
        <f t="shared" si="16"/>
        <v/>
      </c>
      <c r="J111" s="132"/>
      <c r="K111" s="132"/>
      <c r="L111" s="132" t="str">
        <f t="shared" si="17"/>
        <v/>
      </c>
      <c r="M111" s="132" t="str">
        <f t="shared" si="18"/>
        <v/>
      </c>
      <c r="N111" s="132" t="str">
        <f t="shared" si="19"/>
        <v/>
      </c>
      <c r="O111" s="132"/>
      <c r="P111" s="132"/>
      <c r="Q111" s="132"/>
      <c r="R111" s="132" t="str">
        <f t="shared" si="20"/>
        <v/>
      </c>
    </row>
    <row r="112" spans="1:18">
      <c r="A112" s="131"/>
      <c r="B112" s="132"/>
      <c r="C112" s="132"/>
      <c r="D112" s="132"/>
      <c r="E112" s="176"/>
      <c r="F112" s="177"/>
      <c r="G112" s="176"/>
      <c r="H112" s="171"/>
      <c r="I112" s="171" t="str">
        <f t="shared" si="16"/>
        <v/>
      </c>
      <c r="J112" s="132"/>
      <c r="K112" s="132"/>
      <c r="L112" s="132" t="str">
        <f t="shared" si="17"/>
        <v/>
      </c>
      <c r="M112" s="132" t="str">
        <f t="shared" si="18"/>
        <v/>
      </c>
      <c r="N112" s="132" t="str">
        <f t="shared" si="19"/>
        <v/>
      </c>
      <c r="O112" s="132"/>
      <c r="P112" s="132"/>
      <c r="Q112" s="132"/>
      <c r="R112" s="132" t="str">
        <f t="shared" si="20"/>
        <v/>
      </c>
    </row>
    <row r="113" spans="1:18">
      <c r="A113" s="131"/>
      <c r="B113" s="132"/>
      <c r="C113" s="132"/>
      <c r="D113" s="132"/>
      <c r="E113" s="176"/>
      <c r="F113" s="177"/>
      <c r="G113" s="176"/>
      <c r="H113" s="171"/>
      <c r="I113" s="171" t="str">
        <f t="shared" si="16"/>
        <v/>
      </c>
      <c r="J113" s="132"/>
      <c r="K113" s="132"/>
      <c r="L113" s="132" t="str">
        <f t="shared" si="17"/>
        <v/>
      </c>
      <c r="M113" s="132" t="str">
        <f t="shared" si="18"/>
        <v/>
      </c>
      <c r="N113" s="132" t="str">
        <f t="shared" si="19"/>
        <v/>
      </c>
      <c r="O113" s="132"/>
      <c r="P113" s="132"/>
      <c r="Q113" s="132"/>
      <c r="R113" s="132" t="str">
        <f t="shared" si="20"/>
        <v/>
      </c>
    </row>
    <row r="114" spans="1:18">
      <c r="A114" s="131"/>
      <c r="B114" s="132"/>
      <c r="C114" s="132"/>
      <c r="D114" s="132"/>
      <c r="E114" s="176"/>
      <c r="F114" s="177"/>
      <c r="G114" s="176"/>
      <c r="H114" s="171"/>
      <c r="I114" s="171" t="str">
        <f t="shared" si="16"/>
        <v/>
      </c>
      <c r="J114" s="132"/>
      <c r="K114" s="132"/>
      <c r="L114" s="132" t="str">
        <f t="shared" si="17"/>
        <v/>
      </c>
      <c r="M114" s="132" t="str">
        <f t="shared" si="18"/>
        <v/>
      </c>
      <c r="N114" s="132" t="str">
        <f t="shared" si="19"/>
        <v/>
      </c>
      <c r="O114" s="132"/>
      <c r="P114" s="132"/>
      <c r="Q114" s="132"/>
      <c r="R114" s="132" t="str">
        <f t="shared" si="20"/>
        <v/>
      </c>
    </row>
    <row r="115" spans="1:18">
      <c r="A115" s="131"/>
      <c r="B115" s="132"/>
      <c r="C115" s="132"/>
      <c r="D115" s="132"/>
      <c r="E115" s="176"/>
      <c r="F115" s="177"/>
      <c r="G115" s="176"/>
      <c r="H115" s="171"/>
      <c r="I115" s="171" t="str">
        <f t="shared" si="16"/>
        <v/>
      </c>
      <c r="J115" s="132"/>
      <c r="K115" s="132"/>
      <c r="L115" s="132" t="str">
        <f t="shared" si="17"/>
        <v/>
      </c>
      <c r="M115" s="132" t="str">
        <f t="shared" si="18"/>
        <v/>
      </c>
      <c r="N115" s="132" t="str">
        <f t="shared" si="19"/>
        <v/>
      </c>
      <c r="O115" s="132"/>
      <c r="P115" s="132"/>
      <c r="Q115" s="132"/>
      <c r="R115" s="132" t="str">
        <f t="shared" si="20"/>
        <v/>
      </c>
    </row>
    <row r="116" spans="1:18">
      <c r="A116" s="131"/>
      <c r="B116" s="132"/>
      <c r="C116" s="132"/>
      <c r="D116" s="132"/>
      <c r="E116" s="176"/>
      <c r="F116" s="177"/>
      <c r="G116" s="176"/>
      <c r="H116" s="171"/>
      <c r="I116" s="171" t="str">
        <f t="shared" si="16"/>
        <v/>
      </c>
      <c r="J116" s="132"/>
      <c r="K116" s="132"/>
      <c r="L116" s="132" t="str">
        <f t="shared" si="17"/>
        <v/>
      </c>
      <c r="M116" s="132" t="str">
        <f t="shared" si="18"/>
        <v/>
      </c>
      <c r="N116" s="132" t="str">
        <f t="shared" si="19"/>
        <v/>
      </c>
      <c r="O116" s="132"/>
      <c r="P116" s="132"/>
      <c r="Q116" s="132"/>
      <c r="R116" s="132" t="str">
        <f t="shared" si="20"/>
        <v/>
      </c>
    </row>
    <row r="117" spans="1:18">
      <c r="A117" s="131"/>
      <c r="B117" s="132"/>
      <c r="C117" s="132"/>
      <c r="D117" s="132"/>
      <c r="E117" s="176"/>
      <c r="F117" s="177"/>
      <c r="G117" s="176"/>
      <c r="H117" s="171"/>
      <c r="I117" s="171" t="str">
        <f t="shared" si="16"/>
        <v/>
      </c>
      <c r="J117" s="132"/>
      <c r="K117" s="132"/>
      <c r="L117" s="132" t="str">
        <f t="shared" si="17"/>
        <v/>
      </c>
      <c r="M117" s="132" t="str">
        <f t="shared" si="18"/>
        <v/>
      </c>
      <c r="N117" s="132" t="str">
        <f t="shared" si="19"/>
        <v/>
      </c>
      <c r="O117" s="132"/>
      <c r="P117" s="132"/>
      <c r="Q117" s="132"/>
      <c r="R117" s="132" t="str">
        <f t="shared" si="20"/>
        <v/>
      </c>
    </row>
    <row r="118" spans="1:18">
      <c r="A118" s="131"/>
      <c r="B118" s="132"/>
      <c r="C118" s="132"/>
      <c r="D118" s="132"/>
      <c r="E118" s="176"/>
      <c r="F118" s="177"/>
      <c r="G118" s="176"/>
      <c r="H118" s="171"/>
      <c r="I118" s="171" t="str">
        <f t="shared" si="16"/>
        <v/>
      </c>
      <c r="J118" s="132"/>
      <c r="K118" s="132"/>
      <c r="L118" s="132" t="str">
        <f t="shared" si="17"/>
        <v/>
      </c>
      <c r="M118" s="132" t="str">
        <f t="shared" si="18"/>
        <v/>
      </c>
      <c r="N118" s="132" t="str">
        <f t="shared" si="19"/>
        <v/>
      </c>
      <c r="O118" s="132"/>
      <c r="P118" s="132"/>
      <c r="Q118" s="132"/>
      <c r="R118" s="132" t="str">
        <f t="shared" si="20"/>
        <v/>
      </c>
    </row>
    <row r="119" spans="1:18">
      <c r="A119" s="131"/>
      <c r="B119" s="132"/>
      <c r="C119" s="132"/>
      <c r="D119" s="132"/>
      <c r="E119" s="176"/>
      <c r="F119" s="177"/>
      <c r="G119" s="176"/>
      <c r="H119" s="171"/>
      <c r="I119" s="171" t="str">
        <f t="shared" si="16"/>
        <v/>
      </c>
      <c r="J119" s="132"/>
      <c r="K119" s="132"/>
      <c r="L119" s="132" t="str">
        <f t="shared" si="17"/>
        <v/>
      </c>
      <c r="M119" s="132" t="str">
        <f t="shared" si="18"/>
        <v/>
      </c>
      <c r="N119" s="132" t="str">
        <f t="shared" si="19"/>
        <v/>
      </c>
      <c r="O119" s="132"/>
      <c r="P119" s="132"/>
      <c r="Q119" s="132"/>
      <c r="R119" s="132" t="str">
        <f t="shared" si="20"/>
        <v/>
      </c>
    </row>
    <row r="120" spans="1:18">
      <c r="A120" s="131"/>
      <c r="B120" s="132"/>
      <c r="C120" s="132"/>
      <c r="D120" s="132"/>
      <c r="E120" s="176"/>
      <c r="F120" s="177"/>
      <c r="G120" s="176"/>
      <c r="H120" s="171"/>
      <c r="I120" s="171" t="str">
        <f t="shared" si="16"/>
        <v/>
      </c>
      <c r="J120" s="132"/>
      <c r="K120" s="132"/>
      <c r="L120" s="132" t="str">
        <f t="shared" si="17"/>
        <v/>
      </c>
      <c r="M120" s="132" t="str">
        <f t="shared" si="18"/>
        <v/>
      </c>
      <c r="N120" s="132" t="str">
        <f t="shared" si="19"/>
        <v/>
      </c>
      <c r="O120" s="132"/>
      <c r="P120" s="132"/>
      <c r="Q120" s="132"/>
      <c r="R120" s="132" t="str">
        <f t="shared" si="20"/>
        <v/>
      </c>
    </row>
    <row r="121" spans="1:18">
      <c r="A121" s="131"/>
      <c r="B121" s="132"/>
      <c r="C121" s="132"/>
      <c r="D121" s="132"/>
      <c r="E121" s="176"/>
      <c r="F121" s="177"/>
      <c r="G121" s="176"/>
      <c r="H121" s="171"/>
      <c r="I121" s="171" t="str">
        <f t="shared" si="16"/>
        <v/>
      </c>
      <c r="J121" s="132"/>
      <c r="K121" s="132"/>
      <c r="L121" s="132" t="str">
        <f t="shared" si="17"/>
        <v/>
      </c>
      <c r="M121" s="132" t="str">
        <f t="shared" si="18"/>
        <v/>
      </c>
      <c r="N121" s="132" t="str">
        <f t="shared" si="19"/>
        <v/>
      </c>
      <c r="O121" s="132"/>
      <c r="P121" s="132"/>
      <c r="Q121" s="132"/>
      <c r="R121" s="132" t="str">
        <f t="shared" si="20"/>
        <v/>
      </c>
    </row>
    <row r="122" spans="1:18">
      <c r="A122" s="131"/>
      <c r="B122" s="132"/>
      <c r="C122" s="132"/>
      <c r="D122" s="132"/>
      <c r="E122" s="176"/>
      <c r="F122" s="177"/>
      <c r="G122" s="176"/>
      <c r="H122" s="171"/>
      <c r="I122" s="171" t="str">
        <f t="shared" si="16"/>
        <v/>
      </c>
      <c r="J122" s="132"/>
      <c r="K122" s="132"/>
      <c r="L122" s="132" t="str">
        <f t="shared" si="17"/>
        <v/>
      </c>
      <c r="M122" s="132" t="str">
        <f t="shared" si="18"/>
        <v/>
      </c>
      <c r="N122" s="132" t="str">
        <f t="shared" si="19"/>
        <v/>
      </c>
      <c r="O122" s="132"/>
      <c r="P122" s="132"/>
      <c r="Q122" s="132"/>
      <c r="R122" s="132" t="str">
        <f t="shared" si="20"/>
        <v/>
      </c>
    </row>
    <row r="123" spans="1:18">
      <c r="A123" s="131"/>
      <c r="B123" s="132"/>
      <c r="C123" s="132"/>
      <c r="D123" s="132"/>
      <c r="E123" s="176"/>
      <c r="F123" s="177"/>
      <c r="G123" s="176"/>
      <c r="H123" s="171"/>
      <c r="I123" s="171" t="str">
        <f t="shared" si="16"/>
        <v/>
      </c>
      <c r="J123" s="132"/>
      <c r="K123" s="132"/>
      <c r="L123" s="132" t="str">
        <f t="shared" si="17"/>
        <v/>
      </c>
      <c r="M123" s="132" t="str">
        <f t="shared" si="18"/>
        <v/>
      </c>
      <c r="N123" s="132" t="str">
        <f t="shared" si="19"/>
        <v/>
      </c>
      <c r="O123" s="132"/>
      <c r="P123" s="132"/>
      <c r="Q123" s="132"/>
      <c r="R123" s="132" t="str">
        <f t="shared" si="20"/>
        <v/>
      </c>
    </row>
    <row r="124" spans="1:18">
      <c r="A124" s="131"/>
      <c r="B124" s="132"/>
      <c r="C124" s="132"/>
      <c r="D124" s="132"/>
      <c r="E124" s="176"/>
      <c r="F124" s="177"/>
      <c r="G124" s="176"/>
      <c r="H124" s="171"/>
      <c r="I124" s="171" t="str">
        <f t="shared" si="16"/>
        <v/>
      </c>
      <c r="J124" s="132"/>
      <c r="K124" s="132"/>
      <c r="L124" s="132" t="str">
        <f t="shared" si="17"/>
        <v/>
      </c>
      <c r="M124" s="132" t="str">
        <f t="shared" si="18"/>
        <v/>
      </c>
      <c r="N124" s="132" t="str">
        <f t="shared" si="19"/>
        <v/>
      </c>
      <c r="O124" s="132"/>
      <c r="P124" s="132"/>
      <c r="Q124" s="132"/>
      <c r="R124" s="132" t="str">
        <f t="shared" si="20"/>
        <v/>
      </c>
    </row>
    <row r="125" spans="1:18">
      <c r="A125" s="131"/>
      <c r="B125" s="132"/>
      <c r="C125" s="132"/>
      <c r="D125" s="132"/>
      <c r="E125" s="176"/>
      <c r="F125" s="177"/>
      <c r="G125" s="176"/>
      <c r="H125" s="171"/>
      <c r="I125" s="171" t="str">
        <f t="shared" si="16"/>
        <v/>
      </c>
      <c r="J125" s="132"/>
      <c r="K125" s="132"/>
      <c r="L125" s="132" t="str">
        <f t="shared" si="17"/>
        <v/>
      </c>
      <c r="M125" s="132" t="str">
        <f t="shared" si="18"/>
        <v/>
      </c>
      <c r="N125" s="132" t="str">
        <f t="shared" si="19"/>
        <v/>
      </c>
      <c r="O125" s="132"/>
      <c r="P125" s="132"/>
      <c r="Q125" s="132"/>
      <c r="R125" s="132" t="str">
        <f t="shared" si="20"/>
        <v/>
      </c>
    </row>
    <row r="126" spans="1:18">
      <c r="A126" s="131"/>
      <c r="B126" s="132"/>
      <c r="C126" s="132"/>
      <c r="D126" s="132"/>
      <c r="E126" s="176"/>
      <c r="F126" s="177"/>
      <c r="G126" s="176"/>
      <c r="H126" s="171"/>
      <c r="I126" s="171" t="str">
        <f t="shared" si="16"/>
        <v/>
      </c>
      <c r="J126" s="132"/>
      <c r="K126" s="132"/>
      <c r="L126" s="132" t="str">
        <f t="shared" si="17"/>
        <v/>
      </c>
      <c r="M126" s="132" t="str">
        <f t="shared" si="18"/>
        <v/>
      </c>
      <c r="N126" s="132" t="str">
        <f t="shared" si="19"/>
        <v/>
      </c>
      <c r="O126" s="132"/>
      <c r="P126" s="132"/>
      <c r="Q126" s="132"/>
      <c r="R126" s="132" t="str">
        <f t="shared" si="20"/>
        <v/>
      </c>
    </row>
    <row r="127" spans="1:18">
      <c r="A127" s="131"/>
      <c r="B127" s="132"/>
      <c r="C127" s="132"/>
      <c r="D127" s="132"/>
      <c r="E127" s="176"/>
      <c r="F127" s="177"/>
      <c r="G127" s="176"/>
      <c r="H127" s="171"/>
      <c r="I127" s="171" t="str">
        <f t="shared" si="16"/>
        <v/>
      </c>
      <c r="J127" s="132"/>
      <c r="K127" s="132"/>
      <c r="L127" s="132" t="str">
        <f t="shared" si="17"/>
        <v/>
      </c>
      <c r="M127" s="132" t="str">
        <f t="shared" si="18"/>
        <v/>
      </c>
      <c r="N127" s="132" t="str">
        <f t="shared" si="19"/>
        <v/>
      </c>
      <c r="O127" s="132"/>
      <c r="P127" s="132"/>
      <c r="Q127" s="132"/>
      <c r="R127" s="132" t="str">
        <f t="shared" si="20"/>
        <v/>
      </c>
    </row>
    <row r="128" spans="1:18">
      <c r="A128" s="131"/>
      <c r="B128" s="132"/>
      <c r="C128" s="132"/>
      <c r="D128" s="132"/>
      <c r="E128" s="176"/>
      <c r="F128" s="177"/>
      <c r="G128" s="176"/>
      <c r="H128" s="171"/>
      <c r="I128" s="171" t="str">
        <f t="shared" si="16"/>
        <v/>
      </c>
      <c r="J128" s="132"/>
      <c r="K128" s="132"/>
      <c r="L128" s="132" t="str">
        <f t="shared" si="17"/>
        <v/>
      </c>
      <c r="M128" s="132" t="str">
        <f t="shared" si="18"/>
        <v/>
      </c>
      <c r="N128" s="132" t="str">
        <f t="shared" si="19"/>
        <v/>
      </c>
      <c r="O128" s="132"/>
      <c r="P128" s="132"/>
      <c r="Q128" s="132"/>
      <c r="R128" s="132" t="str">
        <f t="shared" si="20"/>
        <v/>
      </c>
    </row>
    <row r="129" spans="1:18">
      <c r="A129" s="131"/>
      <c r="B129" s="132"/>
      <c r="C129" s="132"/>
      <c r="D129" s="132"/>
      <c r="E129" s="176"/>
      <c r="F129" s="177"/>
      <c r="G129" s="176"/>
      <c r="H129" s="171"/>
      <c r="I129" s="171" t="str">
        <f t="shared" si="16"/>
        <v/>
      </c>
      <c r="J129" s="132"/>
      <c r="K129" s="132"/>
      <c r="L129" s="132" t="str">
        <f t="shared" si="17"/>
        <v/>
      </c>
      <c r="M129" s="132" t="str">
        <f t="shared" si="18"/>
        <v/>
      </c>
      <c r="N129" s="132" t="str">
        <f t="shared" si="19"/>
        <v/>
      </c>
      <c r="O129" s="132"/>
      <c r="P129" s="132"/>
      <c r="Q129" s="132"/>
      <c r="R129" s="132" t="str">
        <f t="shared" si="20"/>
        <v/>
      </c>
    </row>
    <row r="130" spans="1:18">
      <c r="A130" s="131"/>
      <c r="B130" s="132"/>
      <c r="C130" s="132"/>
      <c r="D130" s="132"/>
      <c r="E130" s="176"/>
      <c r="F130" s="177"/>
      <c r="G130" s="176"/>
      <c r="H130" s="171"/>
      <c r="I130" s="171" t="str">
        <f t="shared" si="16"/>
        <v/>
      </c>
      <c r="J130" s="132"/>
      <c r="K130" s="132"/>
      <c r="L130" s="132" t="str">
        <f t="shared" si="17"/>
        <v/>
      </c>
      <c r="M130" s="132" t="str">
        <f t="shared" si="18"/>
        <v/>
      </c>
      <c r="N130" s="132" t="str">
        <f t="shared" si="19"/>
        <v/>
      </c>
      <c r="O130" s="132"/>
      <c r="P130" s="132"/>
      <c r="Q130" s="132"/>
      <c r="R130" s="132" t="str">
        <f t="shared" si="20"/>
        <v/>
      </c>
    </row>
    <row r="131" spans="1:18">
      <c r="A131" s="131"/>
      <c r="B131" s="132"/>
      <c r="C131" s="132"/>
      <c r="D131" s="132"/>
      <c r="E131" s="176"/>
      <c r="F131" s="177"/>
      <c r="G131" s="176"/>
      <c r="H131" s="171"/>
      <c r="I131" s="171" t="str">
        <f t="shared" si="16"/>
        <v/>
      </c>
      <c r="J131" s="132"/>
      <c r="K131" s="132"/>
      <c r="L131" s="132" t="str">
        <f t="shared" si="17"/>
        <v/>
      </c>
      <c r="M131" s="132" t="str">
        <f t="shared" si="18"/>
        <v/>
      </c>
      <c r="N131" s="132" t="str">
        <f t="shared" si="19"/>
        <v/>
      </c>
      <c r="O131" s="132"/>
      <c r="P131" s="132"/>
      <c r="Q131" s="132"/>
      <c r="R131" s="132" t="str">
        <f t="shared" si="20"/>
        <v/>
      </c>
    </row>
    <row r="132" spans="1:18">
      <c r="A132" s="131"/>
      <c r="B132" s="132"/>
      <c r="C132" s="132"/>
      <c r="D132" s="132"/>
      <c r="E132" s="176"/>
      <c r="F132" s="177"/>
      <c r="G132" s="176"/>
      <c r="H132" s="171"/>
      <c r="I132" s="171" t="str">
        <f t="shared" si="16"/>
        <v/>
      </c>
      <c r="J132" s="132"/>
      <c r="K132" s="132"/>
      <c r="L132" s="132" t="str">
        <f t="shared" si="17"/>
        <v/>
      </c>
      <c r="M132" s="132" t="str">
        <f t="shared" si="18"/>
        <v/>
      </c>
      <c r="N132" s="132" t="str">
        <f t="shared" si="19"/>
        <v/>
      </c>
      <c r="O132" s="132"/>
      <c r="P132" s="132"/>
      <c r="Q132" s="132"/>
      <c r="R132" s="132" t="str">
        <f t="shared" si="20"/>
        <v/>
      </c>
    </row>
    <row r="133" spans="1:18">
      <c r="A133" s="131"/>
      <c r="B133" s="132"/>
      <c r="C133" s="132"/>
      <c r="D133" s="132"/>
      <c r="E133" s="176"/>
      <c r="F133" s="177"/>
      <c r="G133" s="176"/>
      <c r="H133" s="171"/>
      <c r="I133" s="171" t="str">
        <f t="shared" ref="I133:I164" si="21">IF(E133="","",IF(D133="USD",E133*H133,E133))</f>
        <v/>
      </c>
      <c r="J133" s="132"/>
      <c r="K133" s="132"/>
      <c r="L133" s="132" t="str">
        <f t="shared" ref="L133:L164" si="22">IF(A133="","",LOWER(TEXT(A133,"mmmm")))</f>
        <v/>
      </c>
      <c r="M133" s="132" t="str">
        <f t="shared" ref="M133:M164" si="23">IF(A133="","",IF(MONTH(A133)&lt;=3,"T1",IF(MONTH(A133)&lt;=6,"T2",IF(MONTH(A133)&lt;=9,"T3","T4"))))</f>
        <v/>
      </c>
      <c r="N133" s="132" t="str">
        <f t="shared" ref="N133:N164" si="24">IF(A133="","","Año "&amp;YEAR(A133)-2025)</f>
        <v/>
      </c>
      <c r="O133" s="132"/>
      <c r="P133" s="132"/>
      <c r="Q133" s="132"/>
      <c r="R133" s="132" t="str">
        <f t="shared" ref="R133:R164" si="25">IF(B133="","",TEXT(A133,"yyyymmdd")&amp;"-"&amp;B133&amp;"-"&amp;ROW())</f>
        <v/>
      </c>
    </row>
    <row r="134" spans="1:18">
      <c r="A134" s="131"/>
      <c r="B134" s="132"/>
      <c r="C134" s="132"/>
      <c r="D134" s="132"/>
      <c r="E134" s="176"/>
      <c r="F134" s="177"/>
      <c r="G134" s="176"/>
      <c r="H134" s="171"/>
      <c r="I134" s="171" t="str">
        <f t="shared" si="21"/>
        <v/>
      </c>
      <c r="J134" s="132"/>
      <c r="K134" s="132"/>
      <c r="L134" s="132" t="str">
        <f t="shared" si="22"/>
        <v/>
      </c>
      <c r="M134" s="132" t="str">
        <f t="shared" si="23"/>
        <v/>
      </c>
      <c r="N134" s="132" t="str">
        <f t="shared" si="24"/>
        <v/>
      </c>
      <c r="O134" s="132"/>
      <c r="P134" s="132"/>
      <c r="Q134" s="132"/>
      <c r="R134" s="132" t="str">
        <f t="shared" si="25"/>
        <v/>
      </c>
    </row>
    <row r="135" spans="1:18">
      <c r="A135" s="131"/>
      <c r="B135" s="132"/>
      <c r="C135" s="132"/>
      <c r="D135" s="132"/>
      <c r="E135" s="176"/>
      <c r="F135" s="177"/>
      <c r="G135" s="176"/>
      <c r="H135" s="171"/>
      <c r="I135" s="171" t="str">
        <f t="shared" si="21"/>
        <v/>
      </c>
      <c r="J135" s="132"/>
      <c r="K135" s="132"/>
      <c r="L135" s="132" t="str">
        <f t="shared" si="22"/>
        <v/>
      </c>
      <c r="M135" s="132" t="str">
        <f t="shared" si="23"/>
        <v/>
      </c>
      <c r="N135" s="132" t="str">
        <f t="shared" si="24"/>
        <v/>
      </c>
      <c r="O135" s="132"/>
      <c r="P135" s="132"/>
      <c r="Q135" s="132"/>
      <c r="R135" s="132" t="str">
        <f t="shared" si="25"/>
        <v/>
      </c>
    </row>
    <row r="136" spans="1:18">
      <c r="A136" s="131"/>
      <c r="B136" s="132"/>
      <c r="C136" s="132"/>
      <c r="D136" s="132"/>
      <c r="E136" s="176"/>
      <c r="F136" s="177"/>
      <c r="G136" s="176"/>
      <c r="H136" s="171"/>
      <c r="I136" s="171" t="str">
        <f t="shared" si="21"/>
        <v/>
      </c>
      <c r="J136" s="132"/>
      <c r="K136" s="132"/>
      <c r="L136" s="132" t="str">
        <f t="shared" si="22"/>
        <v/>
      </c>
      <c r="M136" s="132" t="str">
        <f t="shared" si="23"/>
        <v/>
      </c>
      <c r="N136" s="132" t="str">
        <f t="shared" si="24"/>
        <v/>
      </c>
      <c r="O136" s="132"/>
      <c r="P136" s="132"/>
      <c r="Q136" s="132"/>
      <c r="R136" s="132" t="str">
        <f t="shared" si="25"/>
        <v/>
      </c>
    </row>
    <row r="137" spans="1:18">
      <c r="A137" s="131"/>
      <c r="B137" s="132"/>
      <c r="C137" s="132"/>
      <c r="D137" s="132"/>
      <c r="E137" s="176"/>
      <c r="F137" s="177"/>
      <c r="G137" s="176"/>
      <c r="H137" s="171"/>
      <c r="I137" s="171" t="str">
        <f t="shared" si="21"/>
        <v/>
      </c>
      <c r="J137" s="132"/>
      <c r="K137" s="132"/>
      <c r="L137" s="132" t="str">
        <f t="shared" si="22"/>
        <v/>
      </c>
      <c r="M137" s="132" t="str">
        <f t="shared" si="23"/>
        <v/>
      </c>
      <c r="N137" s="132" t="str">
        <f t="shared" si="24"/>
        <v/>
      </c>
      <c r="O137" s="132"/>
      <c r="P137" s="132"/>
      <c r="Q137" s="132"/>
      <c r="R137" s="132" t="str">
        <f t="shared" si="25"/>
        <v/>
      </c>
    </row>
    <row r="138" spans="1:18">
      <c r="A138" s="131"/>
      <c r="B138" s="132"/>
      <c r="C138" s="132"/>
      <c r="D138" s="132"/>
      <c r="E138" s="176"/>
      <c r="F138" s="177"/>
      <c r="G138" s="176"/>
      <c r="H138" s="171"/>
      <c r="I138" s="171" t="str">
        <f t="shared" si="21"/>
        <v/>
      </c>
      <c r="J138" s="132"/>
      <c r="K138" s="132"/>
      <c r="L138" s="132" t="str">
        <f t="shared" si="22"/>
        <v/>
      </c>
      <c r="M138" s="132" t="str">
        <f t="shared" si="23"/>
        <v/>
      </c>
      <c r="N138" s="132" t="str">
        <f t="shared" si="24"/>
        <v/>
      </c>
      <c r="O138" s="132"/>
      <c r="P138" s="132"/>
      <c r="Q138" s="132"/>
      <c r="R138" s="132" t="str">
        <f t="shared" si="25"/>
        <v/>
      </c>
    </row>
    <row r="139" spans="1:18">
      <c r="A139" s="131"/>
      <c r="B139" s="132"/>
      <c r="C139" s="132"/>
      <c r="D139" s="132"/>
      <c r="E139" s="176"/>
      <c r="F139" s="177"/>
      <c r="G139" s="176"/>
      <c r="H139" s="171"/>
      <c r="I139" s="171" t="str">
        <f t="shared" si="21"/>
        <v/>
      </c>
      <c r="J139" s="132"/>
      <c r="K139" s="132"/>
      <c r="L139" s="132" t="str">
        <f t="shared" si="22"/>
        <v/>
      </c>
      <c r="M139" s="132" t="str">
        <f t="shared" si="23"/>
        <v/>
      </c>
      <c r="N139" s="132" t="str">
        <f t="shared" si="24"/>
        <v/>
      </c>
      <c r="O139" s="132"/>
      <c r="P139" s="132"/>
      <c r="Q139" s="132"/>
      <c r="R139" s="132" t="str">
        <f t="shared" si="25"/>
        <v/>
      </c>
    </row>
    <row r="140" spans="1:18">
      <c r="A140" s="131"/>
      <c r="B140" s="132"/>
      <c r="C140" s="132"/>
      <c r="D140" s="132"/>
      <c r="E140" s="176"/>
      <c r="F140" s="177"/>
      <c r="G140" s="176"/>
      <c r="H140" s="171"/>
      <c r="I140" s="171" t="str">
        <f t="shared" si="21"/>
        <v/>
      </c>
      <c r="J140" s="132"/>
      <c r="K140" s="132"/>
      <c r="L140" s="132" t="str">
        <f t="shared" si="22"/>
        <v/>
      </c>
      <c r="M140" s="132" t="str">
        <f t="shared" si="23"/>
        <v/>
      </c>
      <c r="N140" s="132" t="str">
        <f t="shared" si="24"/>
        <v/>
      </c>
      <c r="O140" s="132"/>
      <c r="P140" s="132"/>
      <c r="Q140" s="132"/>
      <c r="R140" s="132" t="str">
        <f t="shared" si="25"/>
        <v/>
      </c>
    </row>
    <row r="141" spans="1:18">
      <c r="A141" s="131"/>
      <c r="B141" s="132"/>
      <c r="C141" s="132"/>
      <c r="D141" s="132"/>
      <c r="E141" s="176"/>
      <c r="F141" s="177"/>
      <c r="G141" s="176"/>
      <c r="H141" s="171"/>
      <c r="I141" s="171" t="str">
        <f t="shared" si="21"/>
        <v/>
      </c>
      <c r="J141" s="132"/>
      <c r="K141" s="132"/>
      <c r="L141" s="132" t="str">
        <f t="shared" si="22"/>
        <v/>
      </c>
      <c r="M141" s="132" t="str">
        <f t="shared" si="23"/>
        <v/>
      </c>
      <c r="N141" s="132" t="str">
        <f t="shared" si="24"/>
        <v/>
      </c>
      <c r="O141" s="132"/>
      <c r="P141" s="132"/>
      <c r="Q141" s="132"/>
      <c r="R141" s="132" t="str">
        <f t="shared" si="25"/>
        <v/>
      </c>
    </row>
    <row r="142" spans="1:18">
      <c r="A142" s="131"/>
      <c r="B142" s="132"/>
      <c r="C142" s="132"/>
      <c r="D142" s="132"/>
      <c r="E142" s="176"/>
      <c r="F142" s="177"/>
      <c r="G142" s="176"/>
      <c r="H142" s="171"/>
      <c r="I142" s="171" t="str">
        <f t="shared" si="21"/>
        <v/>
      </c>
      <c r="J142" s="132"/>
      <c r="K142" s="132"/>
      <c r="L142" s="132" t="str">
        <f t="shared" si="22"/>
        <v/>
      </c>
      <c r="M142" s="132" t="str">
        <f t="shared" si="23"/>
        <v/>
      </c>
      <c r="N142" s="132" t="str">
        <f t="shared" si="24"/>
        <v/>
      </c>
      <c r="O142" s="132"/>
      <c r="P142" s="132"/>
      <c r="Q142" s="132"/>
      <c r="R142" s="132" t="str">
        <f t="shared" si="25"/>
        <v/>
      </c>
    </row>
    <row r="143" spans="1:18">
      <c r="A143" s="131"/>
      <c r="B143" s="132"/>
      <c r="C143" s="132"/>
      <c r="D143" s="132"/>
      <c r="E143" s="176"/>
      <c r="F143" s="177"/>
      <c r="G143" s="176"/>
      <c r="H143" s="171"/>
      <c r="I143" s="171" t="str">
        <f t="shared" si="21"/>
        <v/>
      </c>
      <c r="J143" s="132"/>
      <c r="K143" s="132"/>
      <c r="L143" s="132" t="str">
        <f t="shared" si="22"/>
        <v/>
      </c>
      <c r="M143" s="132" t="str">
        <f t="shared" si="23"/>
        <v/>
      </c>
      <c r="N143" s="132" t="str">
        <f t="shared" si="24"/>
        <v/>
      </c>
      <c r="O143" s="132"/>
      <c r="P143" s="132"/>
      <c r="Q143" s="132"/>
      <c r="R143" s="132" t="str">
        <f t="shared" si="25"/>
        <v/>
      </c>
    </row>
    <row r="144" spans="1:18">
      <c r="A144" s="131"/>
      <c r="B144" s="132"/>
      <c r="C144" s="132"/>
      <c r="D144" s="132"/>
      <c r="E144" s="176"/>
      <c r="F144" s="177"/>
      <c r="G144" s="176"/>
      <c r="H144" s="171"/>
      <c r="I144" s="171" t="str">
        <f t="shared" si="21"/>
        <v/>
      </c>
      <c r="J144" s="132"/>
      <c r="K144" s="132"/>
      <c r="L144" s="132" t="str">
        <f t="shared" si="22"/>
        <v/>
      </c>
      <c r="M144" s="132" t="str">
        <f t="shared" si="23"/>
        <v/>
      </c>
      <c r="N144" s="132" t="str">
        <f t="shared" si="24"/>
        <v/>
      </c>
      <c r="O144" s="132"/>
      <c r="P144" s="132"/>
      <c r="Q144" s="132"/>
      <c r="R144" s="132" t="str">
        <f t="shared" si="25"/>
        <v/>
      </c>
    </row>
    <row r="145" spans="1:18">
      <c r="A145" s="131"/>
      <c r="B145" s="132"/>
      <c r="C145" s="132"/>
      <c r="D145" s="132"/>
      <c r="E145" s="176"/>
      <c r="F145" s="177"/>
      <c r="G145" s="176"/>
      <c r="H145" s="171"/>
      <c r="I145" s="171" t="str">
        <f t="shared" si="21"/>
        <v/>
      </c>
      <c r="J145" s="132"/>
      <c r="K145" s="132"/>
      <c r="L145" s="132" t="str">
        <f t="shared" si="22"/>
        <v/>
      </c>
      <c r="M145" s="132" t="str">
        <f t="shared" si="23"/>
        <v/>
      </c>
      <c r="N145" s="132" t="str">
        <f t="shared" si="24"/>
        <v/>
      </c>
      <c r="O145" s="132"/>
      <c r="P145" s="132"/>
      <c r="Q145" s="132"/>
      <c r="R145" s="132" t="str">
        <f t="shared" si="25"/>
        <v/>
      </c>
    </row>
    <row r="146" spans="1:18">
      <c r="A146" s="131"/>
      <c r="B146" s="132"/>
      <c r="C146" s="132"/>
      <c r="D146" s="132"/>
      <c r="E146" s="176"/>
      <c r="F146" s="177"/>
      <c r="G146" s="176"/>
      <c r="H146" s="171"/>
      <c r="I146" s="171" t="str">
        <f t="shared" si="21"/>
        <v/>
      </c>
      <c r="J146" s="132"/>
      <c r="K146" s="132"/>
      <c r="L146" s="132" t="str">
        <f t="shared" si="22"/>
        <v/>
      </c>
      <c r="M146" s="132" t="str">
        <f t="shared" si="23"/>
        <v/>
      </c>
      <c r="N146" s="132" t="str">
        <f t="shared" si="24"/>
        <v/>
      </c>
      <c r="O146" s="132"/>
      <c r="P146" s="132"/>
      <c r="Q146" s="132"/>
      <c r="R146" s="132" t="str">
        <f t="shared" si="25"/>
        <v/>
      </c>
    </row>
    <row r="147" spans="1:18">
      <c r="A147" s="131"/>
      <c r="B147" s="132"/>
      <c r="C147" s="132"/>
      <c r="D147" s="132"/>
      <c r="E147" s="176"/>
      <c r="F147" s="177"/>
      <c r="G147" s="176"/>
      <c r="H147" s="171"/>
      <c r="I147" s="171" t="str">
        <f t="shared" si="21"/>
        <v/>
      </c>
      <c r="J147" s="132"/>
      <c r="K147" s="132"/>
      <c r="L147" s="132" t="str">
        <f t="shared" si="22"/>
        <v/>
      </c>
      <c r="M147" s="132" t="str">
        <f t="shared" si="23"/>
        <v/>
      </c>
      <c r="N147" s="132" t="str">
        <f t="shared" si="24"/>
        <v/>
      </c>
      <c r="O147" s="132"/>
      <c r="P147" s="132"/>
      <c r="Q147" s="132"/>
      <c r="R147" s="132" t="str">
        <f t="shared" si="25"/>
        <v/>
      </c>
    </row>
    <row r="148" spans="1:18">
      <c r="A148" s="131"/>
      <c r="B148" s="132"/>
      <c r="C148" s="132"/>
      <c r="D148" s="132"/>
      <c r="E148" s="176"/>
      <c r="F148" s="177"/>
      <c r="G148" s="176"/>
      <c r="H148" s="171"/>
      <c r="I148" s="171" t="str">
        <f t="shared" si="21"/>
        <v/>
      </c>
      <c r="J148" s="132"/>
      <c r="K148" s="132"/>
      <c r="L148" s="132" t="str">
        <f t="shared" si="22"/>
        <v/>
      </c>
      <c r="M148" s="132" t="str">
        <f t="shared" si="23"/>
        <v/>
      </c>
      <c r="N148" s="132" t="str">
        <f t="shared" si="24"/>
        <v/>
      </c>
      <c r="O148" s="132"/>
      <c r="P148" s="132"/>
      <c r="Q148" s="132"/>
      <c r="R148" s="132" t="str">
        <f t="shared" si="25"/>
        <v/>
      </c>
    </row>
    <row r="149" spans="1:18">
      <c r="A149" s="131"/>
      <c r="B149" s="132"/>
      <c r="C149" s="132"/>
      <c r="D149" s="132"/>
      <c r="E149" s="176"/>
      <c r="F149" s="177"/>
      <c r="G149" s="176"/>
      <c r="H149" s="171"/>
      <c r="I149" s="171" t="str">
        <f t="shared" si="21"/>
        <v/>
      </c>
      <c r="J149" s="132"/>
      <c r="K149" s="132"/>
      <c r="L149" s="132" t="str">
        <f t="shared" si="22"/>
        <v/>
      </c>
      <c r="M149" s="132" t="str">
        <f t="shared" si="23"/>
        <v/>
      </c>
      <c r="N149" s="132" t="str">
        <f t="shared" si="24"/>
        <v/>
      </c>
      <c r="O149" s="132"/>
      <c r="P149" s="132"/>
      <c r="Q149" s="132"/>
      <c r="R149" s="132" t="str">
        <f t="shared" si="25"/>
        <v/>
      </c>
    </row>
    <row r="150" spans="1:18">
      <c r="A150" s="131"/>
      <c r="B150" s="132"/>
      <c r="C150" s="132"/>
      <c r="D150" s="132"/>
      <c r="E150" s="176"/>
      <c r="F150" s="177"/>
      <c r="G150" s="176"/>
      <c r="H150" s="171"/>
      <c r="I150" s="171" t="str">
        <f t="shared" si="21"/>
        <v/>
      </c>
      <c r="J150" s="132"/>
      <c r="K150" s="132"/>
      <c r="L150" s="132" t="str">
        <f t="shared" si="22"/>
        <v/>
      </c>
      <c r="M150" s="132" t="str">
        <f t="shared" si="23"/>
        <v/>
      </c>
      <c r="N150" s="132" t="str">
        <f t="shared" si="24"/>
        <v/>
      </c>
      <c r="O150" s="132"/>
      <c r="P150" s="132"/>
      <c r="Q150" s="132"/>
      <c r="R150" s="132" t="str">
        <f t="shared" si="25"/>
        <v/>
      </c>
    </row>
    <row r="151" spans="1:18">
      <c r="A151" s="131"/>
      <c r="B151" s="132"/>
      <c r="C151" s="132"/>
      <c r="D151" s="132"/>
      <c r="E151" s="176"/>
      <c r="F151" s="177"/>
      <c r="G151" s="176"/>
      <c r="H151" s="171"/>
      <c r="I151" s="171" t="str">
        <f t="shared" si="21"/>
        <v/>
      </c>
      <c r="J151" s="132"/>
      <c r="K151" s="132"/>
      <c r="L151" s="132" t="str">
        <f t="shared" si="22"/>
        <v/>
      </c>
      <c r="M151" s="132" t="str">
        <f t="shared" si="23"/>
        <v/>
      </c>
      <c r="N151" s="132" t="str">
        <f t="shared" si="24"/>
        <v/>
      </c>
      <c r="O151" s="132"/>
      <c r="P151" s="132"/>
      <c r="Q151" s="132"/>
      <c r="R151" s="132" t="str">
        <f t="shared" si="25"/>
        <v/>
      </c>
    </row>
    <row r="152" spans="1:18">
      <c r="A152" s="131"/>
      <c r="B152" s="132"/>
      <c r="C152" s="132"/>
      <c r="D152" s="132"/>
      <c r="E152" s="176"/>
      <c r="F152" s="177"/>
      <c r="G152" s="176"/>
      <c r="H152" s="171"/>
      <c r="I152" s="171" t="str">
        <f t="shared" si="21"/>
        <v/>
      </c>
      <c r="J152" s="132"/>
      <c r="K152" s="132"/>
      <c r="L152" s="132" t="str">
        <f t="shared" si="22"/>
        <v/>
      </c>
      <c r="M152" s="132" t="str">
        <f t="shared" si="23"/>
        <v/>
      </c>
      <c r="N152" s="132" t="str">
        <f t="shared" si="24"/>
        <v/>
      </c>
      <c r="O152" s="132"/>
      <c r="P152" s="132"/>
      <c r="Q152" s="132"/>
      <c r="R152" s="132" t="str">
        <f t="shared" si="25"/>
        <v/>
      </c>
    </row>
    <row r="153" spans="1:18">
      <c r="A153" s="131"/>
      <c r="B153" s="132"/>
      <c r="C153" s="132"/>
      <c r="D153" s="132"/>
      <c r="E153" s="176"/>
      <c r="F153" s="177"/>
      <c r="G153" s="176"/>
      <c r="H153" s="171"/>
      <c r="I153" s="171" t="str">
        <f t="shared" si="21"/>
        <v/>
      </c>
      <c r="J153" s="132"/>
      <c r="K153" s="132"/>
      <c r="L153" s="132" t="str">
        <f t="shared" si="22"/>
        <v/>
      </c>
      <c r="M153" s="132" t="str">
        <f t="shared" si="23"/>
        <v/>
      </c>
      <c r="N153" s="132" t="str">
        <f t="shared" si="24"/>
        <v/>
      </c>
      <c r="O153" s="132"/>
      <c r="P153" s="132"/>
      <c r="Q153" s="132"/>
      <c r="R153" s="132" t="str">
        <f t="shared" si="25"/>
        <v/>
      </c>
    </row>
    <row r="154" spans="1:18">
      <c r="A154" s="131"/>
      <c r="B154" s="132"/>
      <c r="C154" s="132"/>
      <c r="D154" s="132"/>
      <c r="E154" s="176"/>
      <c r="F154" s="177"/>
      <c r="G154" s="176"/>
      <c r="H154" s="171"/>
      <c r="I154" s="171" t="str">
        <f t="shared" si="21"/>
        <v/>
      </c>
      <c r="J154" s="132"/>
      <c r="K154" s="132"/>
      <c r="L154" s="132" t="str">
        <f t="shared" si="22"/>
        <v/>
      </c>
      <c r="M154" s="132" t="str">
        <f t="shared" si="23"/>
        <v/>
      </c>
      <c r="N154" s="132" t="str">
        <f t="shared" si="24"/>
        <v/>
      </c>
      <c r="O154" s="132"/>
      <c r="P154" s="132"/>
      <c r="Q154" s="132"/>
      <c r="R154" s="132" t="str">
        <f t="shared" si="25"/>
        <v/>
      </c>
    </row>
    <row r="155" spans="1:18">
      <c r="A155" s="131"/>
      <c r="B155" s="132"/>
      <c r="C155" s="132"/>
      <c r="D155" s="132"/>
      <c r="E155" s="176"/>
      <c r="F155" s="177"/>
      <c r="G155" s="176"/>
      <c r="H155" s="171"/>
      <c r="I155" s="171" t="str">
        <f t="shared" si="21"/>
        <v/>
      </c>
      <c r="J155" s="132"/>
      <c r="K155" s="132"/>
      <c r="L155" s="132" t="str">
        <f t="shared" si="22"/>
        <v/>
      </c>
      <c r="M155" s="132" t="str">
        <f t="shared" si="23"/>
        <v/>
      </c>
      <c r="N155" s="132" t="str">
        <f t="shared" si="24"/>
        <v/>
      </c>
      <c r="O155" s="132"/>
      <c r="P155" s="132"/>
      <c r="Q155" s="132"/>
      <c r="R155" s="132" t="str">
        <f t="shared" si="25"/>
        <v/>
      </c>
    </row>
    <row r="156" spans="1:18">
      <c r="A156" s="131"/>
      <c r="B156" s="132"/>
      <c r="C156" s="132"/>
      <c r="D156" s="132"/>
      <c r="E156" s="176"/>
      <c r="F156" s="177"/>
      <c r="G156" s="176"/>
      <c r="H156" s="171"/>
      <c r="I156" s="171" t="str">
        <f t="shared" si="21"/>
        <v/>
      </c>
      <c r="J156" s="132"/>
      <c r="K156" s="132"/>
      <c r="L156" s="132" t="str">
        <f t="shared" si="22"/>
        <v/>
      </c>
      <c r="M156" s="132" t="str">
        <f t="shared" si="23"/>
        <v/>
      </c>
      <c r="N156" s="132" t="str">
        <f t="shared" si="24"/>
        <v/>
      </c>
      <c r="O156" s="132"/>
      <c r="P156" s="132"/>
      <c r="Q156" s="132"/>
      <c r="R156" s="132" t="str">
        <f t="shared" si="25"/>
        <v/>
      </c>
    </row>
    <row r="157" spans="1:18">
      <c r="A157" s="131"/>
      <c r="B157" s="132"/>
      <c r="C157" s="132"/>
      <c r="D157" s="132"/>
      <c r="E157" s="176"/>
      <c r="F157" s="177"/>
      <c r="G157" s="176"/>
      <c r="H157" s="171"/>
      <c r="I157" s="171" t="str">
        <f t="shared" si="21"/>
        <v/>
      </c>
      <c r="J157" s="132"/>
      <c r="K157" s="132"/>
      <c r="L157" s="132" t="str">
        <f t="shared" si="22"/>
        <v/>
      </c>
      <c r="M157" s="132" t="str">
        <f t="shared" si="23"/>
        <v/>
      </c>
      <c r="N157" s="132" t="str">
        <f t="shared" si="24"/>
        <v/>
      </c>
      <c r="O157" s="132"/>
      <c r="P157" s="132"/>
      <c r="Q157" s="132"/>
      <c r="R157" s="132" t="str">
        <f t="shared" si="25"/>
        <v/>
      </c>
    </row>
    <row r="158" spans="1:18">
      <c r="A158" s="131"/>
      <c r="B158" s="132"/>
      <c r="C158" s="132"/>
      <c r="D158" s="132"/>
      <c r="E158" s="176"/>
      <c r="F158" s="177"/>
      <c r="G158" s="176"/>
      <c r="H158" s="171"/>
      <c r="I158" s="171" t="str">
        <f t="shared" si="21"/>
        <v/>
      </c>
      <c r="J158" s="132"/>
      <c r="K158" s="132"/>
      <c r="L158" s="132" t="str">
        <f t="shared" si="22"/>
        <v/>
      </c>
      <c r="M158" s="132" t="str">
        <f t="shared" si="23"/>
        <v/>
      </c>
      <c r="N158" s="132" t="str">
        <f t="shared" si="24"/>
        <v/>
      </c>
      <c r="O158" s="132"/>
      <c r="P158" s="132"/>
      <c r="Q158" s="132"/>
      <c r="R158" s="132" t="str">
        <f t="shared" si="25"/>
        <v/>
      </c>
    </row>
    <row r="159" spans="1:18">
      <c r="A159" s="131"/>
      <c r="B159" s="132"/>
      <c r="C159" s="132"/>
      <c r="D159" s="132"/>
      <c r="E159" s="176"/>
      <c r="F159" s="177"/>
      <c r="G159" s="176"/>
      <c r="H159" s="171"/>
      <c r="I159" s="171" t="str">
        <f t="shared" si="21"/>
        <v/>
      </c>
      <c r="J159" s="132"/>
      <c r="K159" s="132"/>
      <c r="L159" s="132" t="str">
        <f t="shared" si="22"/>
        <v/>
      </c>
      <c r="M159" s="132" t="str">
        <f t="shared" si="23"/>
        <v/>
      </c>
      <c r="N159" s="132" t="str">
        <f t="shared" si="24"/>
        <v/>
      </c>
      <c r="O159" s="132"/>
      <c r="P159" s="132"/>
      <c r="Q159" s="132"/>
      <c r="R159" s="132" t="str">
        <f t="shared" si="25"/>
        <v/>
      </c>
    </row>
    <row r="160" spans="1:18">
      <c r="A160" s="131"/>
      <c r="B160" s="132"/>
      <c r="C160" s="132"/>
      <c r="D160" s="132"/>
      <c r="E160" s="176"/>
      <c r="F160" s="177"/>
      <c r="G160" s="176"/>
      <c r="H160" s="171"/>
      <c r="I160" s="171" t="str">
        <f t="shared" si="21"/>
        <v/>
      </c>
      <c r="J160" s="132"/>
      <c r="K160" s="132"/>
      <c r="L160" s="132" t="str">
        <f t="shared" si="22"/>
        <v/>
      </c>
      <c r="M160" s="132" t="str">
        <f t="shared" si="23"/>
        <v/>
      </c>
      <c r="N160" s="132" t="str">
        <f t="shared" si="24"/>
        <v/>
      </c>
      <c r="O160" s="132"/>
      <c r="P160" s="132"/>
      <c r="Q160" s="132"/>
      <c r="R160" s="132" t="str">
        <f t="shared" si="25"/>
        <v/>
      </c>
    </row>
    <row r="161" spans="1:18">
      <c r="A161" s="131"/>
      <c r="B161" s="132"/>
      <c r="C161" s="132"/>
      <c r="D161" s="132"/>
      <c r="E161" s="176"/>
      <c r="F161" s="177"/>
      <c r="G161" s="176"/>
      <c r="H161" s="171"/>
      <c r="I161" s="171" t="str">
        <f t="shared" si="21"/>
        <v/>
      </c>
      <c r="J161" s="132"/>
      <c r="K161" s="132"/>
      <c r="L161" s="132" t="str">
        <f t="shared" si="22"/>
        <v/>
      </c>
      <c r="M161" s="132" t="str">
        <f t="shared" si="23"/>
        <v/>
      </c>
      <c r="N161" s="132" t="str">
        <f t="shared" si="24"/>
        <v/>
      </c>
      <c r="O161" s="132"/>
      <c r="P161" s="132"/>
      <c r="Q161" s="132"/>
      <c r="R161" s="132" t="str">
        <f t="shared" si="25"/>
        <v/>
      </c>
    </row>
    <row r="162" spans="1:18">
      <c r="A162" s="131"/>
      <c r="B162" s="132"/>
      <c r="C162" s="132"/>
      <c r="D162" s="132"/>
      <c r="E162" s="176"/>
      <c r="F162" s="177"/>
      <c r="G162" s="176"/>
      <c r="H162" s="171"/>
      <c r="I162" s="171" t="str">
        <f t="shared" si="21"/>
        <v/>
      </c>
      <c r="J162" s="132"/>
      <c r="K162" s="132"/>
      <c r="L162" s="132" t="str">
        <f t="shared" si="22"/>
        <v/>
      </c>
      <c r="M162" s="132" t="str">
        <f t="shared" si="23"/>
        <v/>
      </c>
      <c r="N162" s="132" t="str">
        <f t="shared" si="24"/>
        <v/>
      </c>
      <c r="O162" s="132"/>
      <c r="P162" s="132"/>
      <c r="Q162" s="132"/>
      <c r="R162" s="132" t="str">
        <f t="shared" si="25"/>
        <v/>
      </c>
    </row>
    <row r="163" spans="1:18">
      <c r="A163" s="131"/>
      <c r="B163" s="132"/>
      <c r="C163" s="132"/>
      <c r="D163" s="132"/>
      <c r="E163" s="176"/>
      <c r="F163" s="177"/>
      <c r="G163" s="176"/>
      <c r="H163" s="171"/>
      <c r="I163" s="171" t="str">
        <f t="shared" si="21"/>
        <v/>
      </c>
      <c r="J163" s="132"/>
      <c r="K163" s="132"/>
      <c r="L163" s="132" t="str">
        <f t="shared" si="22"/>
        <v/>
      </c>
      <c r="M163" s="132" t="str">
        <f t="shared" si="23"/>
        <v/>
      </c>
      <c r="N163" s="132" t="str">
        <f t="shared" si="24"/>
        <v/>
      </c>
      <c r="O163" s="132"/>
      <c r="P163" s="132"/>
      <c r="Q163" s="132"/>
      <c r="R163" s="132" t="str">
        <f t="shared" si="25"/>
        <v/>
      </c>
    </row>
    <row r="164" spans="1:18">
      <c r="A164" s="131"/>
      <c r="B164" s="132"/>
      <c r="C164" s="132"/>
      <c r="D164" s="132"/>
      <c r="E164" s="176"/>
      <c r="F164" s="177"/>
      <c r="G164" s="176"/>
      <c r="H164" s="171"/>
      <c r="I164" s="171" t="str">
        <f t="shared" si="21"/>
        <v/>
      </c>
      <c r="J164" s="132"/>
      <c r="K164" s="132"/>
      <c r="L164" s="132" t="str">
        <f t="shared" si="22"/>
        <v/>
      </c>
      <c r="M164" s="132" t="str">
        <f t="shared" si="23"/>
        <v/>
      </c>
      <c r="N164" s="132" t="str">
        <f t="shared" si="24"/>
        <v/>
      </c>
      <c r="O164" s="132"/>
      <c r="P164" s="132"/>
      <c r="Q164" s="132"/>
      <c r="R164" s="132" t="str">
        <f t="shared" si="25"/>
        <v/>
      </c>
    </row>
    <row r="165" spans="1:18">
      <c r="A165" s="131"/>
      <c r="B165" s="132"/>
      <c r="C165" s="132"/>
      <c r="D165" s="132"/>
      <c r="E165" s="176"/>
      <c r="F165" s="177"/>
      <c r="G165" s="176"/>
      <c r="H165" s="171"/>
      <c r="I165" s="171" t="str">
        <f t="shared" ref="I165:I196" si="26">IF(E165="","",IF(D165="USD",E165*H165,E165))</f>
        <v/>
      </c>
      <c r="J165" s="132"/>
      <c r="K165" s="132"/>
      <c r="L165" s="132" t="str">
        <f t="shared" ref="L165:L196" si="27">IF(A165="","",LOWER(TEXT(A165,"mmmm")))</f>
        <v/>
      </c>
      <c r="M165" s="132" t="str">
        <f t="shared" ref="M165:M196" si="28">IF(A165="","",IF(MONTH(A165)&lt;=3,"T1",IF(MONTH(A165)&lt;=6,"T2",IF(MONTH(A165)&lt;=9,"T3","T4"))))</f>
        <v/>
      </c>
      <c r="N165" s="132" t="str">
        <f t="shared" ref="N165:N196" si="29">IF(A165="","","Año "&amp;YEAR(A165)-2025)</f>
        <v/>
      </c>
      <c r="O165" s="132"/>
      <c r="P165" s="132"/>
      <c r="Q165" s="132"/>
      <c r="R165" s="132" t="str">
        <f t="shared" ref="R165:R196" si="30">IF(B165="","",TEXT(A165,"yyyymmdd")&amp;"-"&amp;B165&amp;"-"&amp;ROW())</f>
        <v/>
      </c>
    </row>
    <row r="166" spans="1:18">
      <c r="A166" s="131"/>
      <c r="B166" s="132"/>
      <c r="C166" s="132"/>
      <c r="D166" s="132"/>
      <c r="E166" s="176"/>
      <c r="F166" s="177"/>
      <c r="G166" s="176"/>
      <c r="H166" s="171"/>
      <c r="I166" s="171" t="str">
        <f t="shared" si="26"/>
        <v/>
      </c>
      <c r="J166" s="132"/>
      <c r="K166" s="132"/>
      <c r="L166" s="132" t="str">
        <f t="shared" si="27"/>
        <v/>
      </c>
      <c r="M166" s="132" t="str">
        <f t="shared" si="28"/>
        <v/>
      </c>
      <c r="N166" s="132" t="str">
        <f t="shared" si="29"/>
        <v/>
      </c>
      <c r="O166" s="132"/>
      <c r="P166" s="132"/>
      <c r="Q166" s="132"/>
      <c r="R166" s="132" t="str">
        <f t="shared" si="30"/>
        <v/>
      </c>
    </row>
    <row r="167" spans="1:18">
      <c r="A167" s="131"/>
      <c r="B167" s="132"/>
      <c r="C167" s="132"/>
      <c r="D167" s="132"/>
      <c r="E167" s="176"/>
      <c r="F167" s="177"/>
      <c r="G167" s="176"/>
      <c r="H167" s="171"/>
      <c r="I167" s="171" t="str">
        <f t="shared" si="26"/>
        <v/>
      </c>
      <c r="J167" s="132"/>
      <c r="K167" s="132"/>
      <c r="L167" s="132" t="str">
        <f t="shared" si="27"/>
        <v/>
      </c>
      <c r="M167" s="132" t="str">
        <f t="shared" si="28"/>
        <v/>
      </c>
      <c r="N167" s="132" t="str">
        <f t="shared" si="29"/>
        <v/>
      </c>
      <c r="O167" s="132"/>
      <c r="P167" s="132"/>
      <c r="Q167" s="132"/>
      <c r="R167" s="132" t="str">
        <f t="shared" si="30"/>
        <v/>
      </c>
    </row>
    <row r="168" spans="1:18">
      <c r="A168" s="131"/>
      <c r="B168" s="132"/>
      <c r="C168" s="132"/>
      <c r="D168" s="132"/>
      <c r="E168" s="176"/>
      <c r="F168" s="177"/>
      <c r="G168" s="176"/>
      <c r="H168" s="171"/>
      <c r="I168" s="171" t="str">
        <f t="shared" si="26"/>
        <v/>
      </c>
      <c r="J168" s="132"/>
      <c r="K168" s="132"/>
      <c r="L168" s="132" t="str">
        <f t="shared" si="27"/>
        <v/>
      </c>
      <c r="M168" s="132" t="str">
        <f t="shared" si="28"/>
        <v/>
      </c>
      <c r="N168" s="132" t="str">
        <f t="shared" si="29"/>
        <v/>
      </c>
      <c r="O168" s="132"/>
      <c r="P168" s="132"/>
      <c r="Q168" s="132"/>
      <c r="R168" s="132" t="str">
        <f t="shared" si="30"/>
        <v/>
      </c>
    </row>
    <row r="169" spans="1:18">
      <c r="A169" s="131"/>
      <c r="B169" s="132"/>
      <c r="C169" s="132"/>
      <c r="D169" s="132"/>
      <c r="E169" s="176"/>
      <c r="F169" s="177"/>
      <c r="G169" s="176"/>
      <c r="H169" s="171"/>
      <c r="I169" s="171" t="str">
        <f t="shared" si="26"/>
        <v/>
      </c>
      <c r="J169" s="132"/>
      <c r="K169" s="132"/>
      <c r="L169" s="132" t="str">
        <f t="shared" si="27"/>
        <v/>
      </c>
      <c r="M169" s="132" t="str">
        <f t="shared" si="28"/>
        <v/>
      </c>
      <c r="N169" s="132" t="str">
        <f t="shared" si="29"/>
        <v/>
      </c>
      <c r="O169" s="132"/>
      <c r="P169" s="132"/>
      <c r="Q169" s="132"/>
      <c r="R169" s="132" t="str">
        <f t="shared" si="30"/>
        <v/>
      </c>
    </row>
    <row r="170" spans="1:18">
      <c r="A170" s="131"/>
      <c r="B170" s="132"/>
      <c r="C170" s="132"/>
      <c r="D170" s="132"/>
      <c r="E170" s="176"/>
      <c r="F170" s="177"/>
      <c r="G170" s="176"/>
      <c r="H170" s="171"/>
      <c r="I170" s="171" t="str">
        <f t="shared" si="26"/>
        <v/>
      </c>
      <c r="J170" s="132"/>
      <c r="K170" s="132"/>
      <c r="L170" s="132" t="str">
        <f t="shared" si="27"/>
        <v/>
      </c>
      <c r="M170" s="132" t="str">
        <f t="shared" si="28"/>
        <v/>
      </c>
      <c r="N170" s="132" t="str">
        <f t="shared" si="29"/>
        <v/>
      </c>
      <c r="O170" s="132"/>
      <c r="P170" s="132"/>
      <c r="Q170" s="132"/>
      <c r="R170" s="132" t="str">
        <f t="shared" si="30"/>
        <v/>
      </c>
    </row>
    <row r="171" spans="1:18">
      <c r="A171" s="131"/>
      <c r="B171" s="132"/>
      <c r="C171" s="132"/>
      <c r="D171" s="132"/>
      <c r="E171" s="176"/>
      <c r="F171" s="177"/>
      <c r="G171" s="176"/>
      <c r="H171" s="171"/>
      <c r="I171" s="171" t="str">
        <f t="shared" si="26"/>
        <v/>
      </c>
      <c r="J171" s="132"/>
      <c r="K171" s="132"/>
      <c r="L171" s="132" t="str">
        <f t="shared" si="27"/>
        <v/>
      </c>
      <c r="M171" s="132" t="str">
        <f t="shared" si="28"/>
        <v/>
      </c>
      <c r="N171" s="132" t="str">
        <f t="shared" si="29"/>
        <v/>
      </c>
      <c r="O171" s="132"/>
      <c r="P171" s="132"/>
      <c r="Q171" s="132"/>
      <c r="R171" s="132" t="str">
        <f t="shared" si="30"/>
        <v/>
      </c>
    </row>
    <row r="172" spans="1:18">
      <c r="A172" s="131"/>
      <c r="B172" s="132"/>
      <c r="C172" s="132"/>
      <c r="D172" s="132"/>
      <c r="E172" s="176"/>
      <c r="F172" s="177"/>
      <c r="G172" s="176"/>
      <c r="H172" s="171"/>
      <c r="I172" s="171" t="str">
        <f t="shared" si="26"/>
        <v/>
      </c>
      <c r="J172" s="132"/>
      <c r="K172" s="132"/>
      <c r="L172" s="132" t="str">
        <f t="shared" si="27"/>
        <v/>
      </c>
      <c r="M172" s="132" t="str">
        <f t="shared" si="28"/>
        <v/>
      </c>
      <c r="N172" s="132" t="str">
        <f t="shared" si="29"/>
        <v/>
      </c>
      <c r="O172" s="132"/>
      <c r="P172" s="132"/>
      <c r="Q172" s="132"/>
      <c r="R172" s="132" t="str">
        <f t="shared" si="30"/>
        <v/>
      </c>
    </row>
    <row r="173" spans="1:18">
      <c r="A173" s="131"/>
      <c r="B173" s="132"/>
      <c r="C173" s="132"/>
      <c r="D173" s="132"/>
      <c r="E173" s="176"/>
      <c r="F173" s="177"/>
      <c r="G173" s="176"/>
      <c r="H173" s="171"/>
      <c r="I173" s="171" t="str">
        <f t="shared" si="26"/>
        <v/>
      </c>
      <c r="J173" s="132"/>
      <c r="K173" s="132"/>
      <c r="L173" s="132" t="str">
        <f t="shared" si="27"/>
        <v/>
      </c>
      <c r="M173" s="132" t="str">
        <f t="shared" si="28"/>
        <v/>
      </c>
      <c r="N173" s="132" t="str">
        <f t="shared" si="29"/>
        <v/>
      </c>
      <c r="O173" s="132"/>
      <c r="P173" s="132"/>
      <c r="Q173" s="132"/>
      <c r="R173" s="132" t="str">
        <f t="shared" si="30"/>
        <v/>
      </c>
    </row>
    <row r="174" spans="1:18">
      <c r="A174" s="131"/>
      <c r="B174" s="132"/>
      <c r="C174" s="132"/>
      <c r="D174" s="132"/>
      <c r="E174" s="176"/>
      <c r="F174" s="177"/>
      <c r="G174" s="176"/>
      <c r="H174" s="171"/>
      <c r="I174" s="171" t="str">
        <f t="shared" si="26"/>
        <v/>
      </c>
      <c r="J174" s="132"/>
      <c r="K174" s="132"/>
      <c r="L174" s="132" t="str">
        <f t="shared" si="27"/>
        <v/>
      </c>
      <c r="M174" s="132" t="str">
        <f t="shared" si="28"/>
        <v/>
      </c>
      <c r="N174" s="132" t="str">
        <f t="shared" si="29"/>
        <v/>
      </c>
      <c r="O174" s="132"/>
      <c r="P174" s="132"/>
      <c r="Q174" s="132"/>
      <c r="R174" s="132" t="str">
        <f t="shared" si="30"/>
        <v/>
      </c>
    </row>
    <row r="175" spans="1:18">
      <c r="A175" s="131"/>
      <c r="B175" s="132"/>
      <c r="C175" s="132"/>
      <c r="D175" s="132"/>
      <c r="E175" s="176"/>
      <c r="F175" s="177"/>
      <c r="G175" s="176"/>
      <c r="H175" s="171"/>
      <c r="I175" s="171" t="str">
        <f t="shared" si="26"/>
        <v/>
      </c>
      <c r="J175" s="132"/>
      <c r="K175" s="132"/>
      <c r="L175" s="132" t="str">
        <f t="shared" si="27"/>
        <v/>
      </c>
      <c r="M175" s="132" t="str">
        <f t="shared" si="28"/>
        <v/>
      </c>
      <c r="N175" s="132" t="str">
        <f t="shared" si="29"/>
        <v/>
      </c>
      <c r="O175" s="132"/>
      <c r="P175" s="132"/>
      <c r="Q175" s="132"/>
      <c r="R175" s="132" t="str">
        <f t="shared" si="30"/>
        <v/>
      </c>
    </row>
    <row r="176" spans="1:18">
      <c r="A176" s="131"/>
      <c r="B176" s="132"/>
      <c r="C176" s="132"/>
      <c r="D176" s="132"/>
      <c r="E176" s="176"/>
      <c r="F176" s="177"/>
      <c r="G176" s="176"/>
      <c r="H176" s="171"/>
      <c r="I176" s="171" t="str">
        <f t="shared" si="26"/>
        <v/>
      </c>
      <c r="J176" s="132"/>
      <c r="K176" s="132"/>
      <c r="L176" s="132" t="str">
        <f t="shared" si="27"/>
        <v/>
      </c>
      <c r="M176" s="132" t="str">
        <f t="shared" si="28"/>
        <v/>
      </c>
      <c r="N176" s="132" t="str">
        <f t="shared" si="29"/>
        <v/>
      </c>
      <c r="O176" s="132"/>
      <c r="P176" s="132"/>
      <c r="Q176" s="132"/>
      <c r="R176" s="132" t="str">
        <f t="shared" si="30"/>
        <v/>
      </c>
    </row>
    <row r="177" spans="1:18">
      <c r="A177" s="131"/>
      <c r="B177" s="132"/>
      <c r="C177" s="132"/>
      <c r="D177" s="132"/>
      <c r="E177" s="176"/>
      <c r="F177" s="177"/>
      <c r="G177" s="176"/>
      <c r="H177" s="171"/>
      <c r="I177" s="171" t="str">
        <f t="shared" si="26"/>
        <v/>
      </c>
      <c r="J177" s="132"/>
      <c r="K177" s="132"/>
      <c r="L177" s="132" t="str">
        <f t="shared" si="27"/>
        <v/>
      </c>
      <c r="M177" s="132" t="str">
        <f t="shared" si="28"/>
        <v/>
      </c>
      <c r="N177" s="132" t="str">
        <f t="shared" si="29"/>
        <v/>
      </c>
      <c r="O177" s="132"/>
      <c r="P177" s="132"/>
      <c r="Q177" s="132"/>
      <c r="R177" s="132" t="str">
        <f t="shared" si="30"/>
        <v/>
      </c>
    </row>
    <row r="178" spans="1:18">
      <c r="A178" s="131"/>
      <c r="B178" s="132"/>
      <c r="C178" s="132"/>
      <c r="D178" s="132"/>
      <c r="E178" s="176"/>
      <c r="F178" s="177"/>
      <c r="G178" s="176"/>
      <c r="H178" s="171"/>
      <c r="I178" s="171" t="str">
        <f t="shared" si="26"/>
        <v/>
      </c>
      <c r="J178" s="132"/>
      <c r="K178" s="132"/>
      <c r="L178" s="132" t="str">
        <f t="shared" si="27"/>
        <v/>
      </c>
      <c r="M178" s="132" t="str">
        <f t="shared" si="28"/>
        <v/>
      </c>
      <c r="N178" s="132" t="str">
        <f t="shared" si="29"/>
        <v/>
      </c>
      <c r="O178" s="132"/>
      <c r="P178" s="132"/>
      <c r="Q178" s="132"/>
      <c r="R178" s="132" t="str">
        <f t="shared" si="30"/>
        <v/>
      </c>
    </row>
    <row r="179" spans="1:18">
      <c r="A179" s="131"/>
      <c r="B179" s="132"/>
      <c r="C179" s="132"/>
      <c r="D179" s="132"/>
      <c r="E179" s="176"/>
      <c r="F179" s="177"/>
      <c r="G179" s="176"/>
      <c r="H179" s="171"/>
      <c r="I179" s="171" t="str">
        <f t="shared" si="26"/>
        <v/>
      </c>
      <c r="J179" s="132"/>
      <c r="K179" s="132"/>
      <c r="L179" s="132" t="str">
        <f t="shared" si="27"/>
        <v/>
      </c>
      <c r="M179" s="132" t="str">
        <f t="shared" si="28"/>
        <v/>
      </c>
      <c r="N179" s="132" t="str">
        <f t="shared" si="29"/>
        <v/>
      </c>
      <c r="O179" s="132"/>
      <c r="P179" s="132"/>
      <c r="Q179" s="132"/>
      <c r="R179" s="132" t="str">
        <f t="shared" si="30"/>
        <v/>
      </c>
    </row>
    <row r="180" spans="1:18">
      <c r="A180" s="131"/>
      <c r="B180" s="132"/>
      <c r="C180" s="132"/>
      <c r="D180" s="132"/>
      <c r="E180" s="176"/>
      <c r="F180" s="177"/>
      <c r="G180" s="176"/>
      <c r="H180" s="171"/>
      <c r="I180" s="171" t="str">
        <f t="shared" si="26"/>
        <v/>
      </c>
      <c r="J180" s="132"/>
      <c r="K180" s="132"/>
      <c r="L180" s="132" t="str">
        <f t="shared" si="27"/>
        <v/>
      </c>
      <c r="M180" s="132" t="str">
        <f t="shared" si="28"/>
        <v/>
      </c>
      <c r="N180" s="132" t="str">
        <f t="shared" si="29"/>
        <v/>
      </c>
      <c r="O180" s="132"/>
      <c r="P180" s="132"/>
      <c r="Q180" s="132"/>
      <c r="R180" s="132" t="str">
        <f t="shared" si="30"/>
        <v/>
      </c>
    </row>
    <row r="181" spans="1:18">
      <c r="A181" s="131"/>
      <c r="B181" s="132"/>
      <c r="C181" s="132"/>
      <c r="D181" s="132"/>
      <c r="E181" s="176"/>
      <c r="F181" s="177"/>
      <c r="G181" s="176"/>
      <c r="H181" s="171"/>
      <c r="I181" s="171" t="str">
        <f t="shared" si="26"/>
        <v/>
      </c>
      <c r="J181" s="132"/>
      <c r="K181" s="132"/>
      <c r="L181" s="132" t="str">
        <f t="shared" si="27"/>
        <v/>
      </c>
      <c r="M181" s="132" t="str">
        <f t="shared" si="28"/>
        <v/>
      </c>
      <c r="N181" s="132" t="str">
        <f t="shared" si="29"/>
        <v/>
      </c>
      <c r="O181" s="132"/>
      <c r="P181" s="132"/>
      <c r="Q181" s="132"/>
      <c r="R181" s="132" t="str">
        <f t="shared" si="30"/>
        <v/>
      </c>
    </row>
    <row r="182" spans="1:18">
      <c r="A182" s="131"/>
      <c r="B182" s="132"/>
      <c r="C182" s="132"/>
      <c r="D182" s="132"/>
      <c r="E182" s="176"/>
      <c r="F182" s="177"/>
      <c r="G182" s="176"/>
      <c r="H182" s="171"/>
      <c r="I182" s="171" t="str">
        <f t="shared" si="26"/>
        <v/>
      </c>
      <c r="J182" s="132"/>
      <c r="K182" s="132"/>
      <c r="L182" s="132" t="str">
        <f t="shared" si="27"/>
        <v/>
      </c>
      <c r="M182" s="132" t="str">
        <f t="shared" si="28"/>
        <v/>
      </c>
      <c r="N182" s="132" t="str">
        <f t="shared" si="29"/>
        <v/>
      </c>
      <c r="O182" s="132"/>
      <c r="P182" s="132"/>
      <c r="Q182" s="132"/>
      <c r="R182" s="132" t="str">
        <f t="shared" si="30"/>
        <v/>
      </c>
    </row>
    <row r="183" spans="1:18">
      <c r="A183" s="131"/>
      <c r="B183" s="132"/>
      <c r="C183" s="132"/>
      <c r="D183" s="132"/>
      <c r="E183" s="176"/>
      <c r="F183" s="177"/>
      <c r="G183" s="176"/>
      <c r="H183" s="171"/>
      <c r="I183" s="171" t="str">
        <f t="shared" si="26"/>
        <v/>
      </c>
      <c r="J183" s="132"/>
      <c r="K183" s="132"/>
      <c r="L183" s="132" t="str">
        <f t="shared" si="27"/>
        <v/>
      </c>
      <c r="M183" s="132" t="str">
        <f t="shared" si="28"/>
        <v/>
      </c>
      <c r="N183" s="132" t="str">
        <f t="shared" si="29"/>
        <v/>
      </c>
      <c r="O183" s="132"/>
      <c r="P183" s="132"/>
      <c r="Q183" s="132"/>
      <c r="R183" s="132" t="str">
        <f t="shared" si="30"/>
        <v/>
      </c>
    </row>
    <row r="184" spans="1:18">
      <c r="A184" s="131"/>
      <c r="B184" s="132"/>
      <c r="C184" s="132"/>
      <c r="D184" s="132"/>
      <c r="E184" s="176"/>
      <c r="F184" s="177"/>
      <c r="G184" s="176"/>
      <c r="H184" s="171"/>
      <c r="I184" s="171" t="str">
        <f t="shared" si="26"/>
        <v/>
      </c>
      <c r="J184" s="132"/>
      <c r="K184" s="132"/>
      <c r="L184" s="132" t="str">
        <f t="shared" si="27"/>
        <v/>
      </c>
      <c r="M184" s="132" t="str">
        <f t="shared" si="28"/>
        <v/>
      </c>
      <c r="N184" s="132" t="str">
        <f t="shared" si="29"/>
        <v/>
      </c>
      <c r="O184" s="132"/>
      <c r="P184" s="132"/>
      <c r="Q184" s="132"/>
      <c r="R184" s="132" t="str">
        <f t="shared" si="30"/>
        <v/>
      </c>
    </row>
    <row r="185" spans="1:18">
      <c r="A185" s="131"/>
      <c r="B185" s="132"/>
      <c r="C185" s="132"/>
      <c r="D185" s="132"/>
      <c r="E185" s="176"/>
      <c r="F185" s="177"/>
      <c r="G185" s="176"/>
      <c r="H185" s="171"/>
      <c r="I185" s="171" t="str">
        <f t="shared" si="26"/>
        <v/>
      </c>
      <c r="J185" s="132"/>
      <c r="K185" s="132"/>
      <c r="L185" s="132" t="str">
        <f t="shared" si="27"/>
        <v/>
      </c>
      <c r="M185" s="132" t="str">
        <f t="shared" si="28"/>
        <v/>
      </c>
      <c r="N185" s="132" t="str">
        <f t="shared" si="29"/>
        <v/>
      </c>
      <c r="O185" s="132"/>
      <c r="P185" s="132"/>
      <c r="Q185" s="132"/>
      <c r="R185" s="132" t="str">
        <f t="shared" si="30"/>
        <v/>
      </c>
    </row>
    <row r="186" spans="1:18">
      <c r="A186" s="131"/>
      <c r="B186" s="132"/>
      <c r="C186" s="132"/>
      <c r="D186" s="132"/>
      <c r="E186" s="176"/>
      <c r="F186" s="177"/>
      <c r="G186" s="176"/>
      <c r="H186" s="171"/>
      <c r="I186" s="171" t="str">
        <f t="shared" si="26"/>
        <v/>
      </c>
      <c r="J186" s="132"/>
      <c r="K186" s="132"/>
      <c r="L186" s="132" t="str">
        <f t="shared" si="27"/>
        <v/>
      </c>
      <c r="M186" s="132" t="str">
        <f t="shared" si="28"/>
        <v/>
      </c>
      <c r="N186" s="132" t="str">
        <f t="shared" si="29"/>
        <v/>
      </c>
      <c r="O186" s="132"/>
      <c r="P186" s="132"/>
      <c r="Q186" s="132"/>
      <c r="R186" s="132" t="str">
        <f t="shared" si="30"/>
        <v/>
      </c>
    </row>
    <row r="187" spans="1:18">
      <c r="A187" s="131"/>
      <c r="B187" s="132"/>
      <c r="C187" s="132"/>
      <c r="D187" s="132"/>
      <c r="E187" s="176"/>
      <c r="F187" s="177"/>
      <c r="G187" s="176"/>
      <c r="H187" s="171"/>
      <c r="I187" s="171" t="str">
        <f t="shared" si="26"/>
        <v/>
      </c>
      <c r="J187" s="132"/>
      <c r="K187" s="132"/>
      <c r="L187" s="132" t="str">
        <f t="shared" si="27"/>
        <v/>
      </c>
      <c r="M187" s="132" t="str">
        <f t="shared" si="28"/>
        <v/>
      </c>
      <c r="N187" s="132" t="str">
        <f t="shared" si="29"/>
        <v/>
      </c>
      <c r="O187" s="132"/>
      <c r="P187" s="132"/>
      <c r="Q187" s="132"/>
      <c r="R187" s="132" t="str">
        <f t="shared" si="30"/>
        <v/>
      </c>
    </row>
    <row r="188" spans="1:18">
      <c r="A188" s="131"/>
      <c r="B188" s="132"/>
      <c r="C188" s="132"/>
      <c r="D188" s="132"/>
      <c r="E188" s="176"/>
      <c r="F188" s="177"/>
      <c r="G188" s="176"/>
      <c r="H188" s="171"/>
      <c r="I188" s="171" t="str">
        <f t="shared" si="26"/>
        <v/>
      </c>
      <c r="J188" s="132"/>
      <c r="K188" s="132"/>
      <c r="L188" s="132" t="str">
        <f t="shared" si="27"/>
        <v/>
      </c>
      <c r="M188" s="132" t="str">
        <f t="shared" si="28"/>
        <v/>
      </c>
      <c r="N188" s="132" t="str">
        <f t="shared" si="29"/>
        <v/>
      </c>
      <c r="O188" s="132"/>
      <c r="P188" s="132"/>
      <c r="Q188" s="132"/>
      <c r="R188" s="132" t="str">
        <f t="shared" si="30"/>
        <v/>
      </c>
    </row>
    <row r="189" spans="1:18">
      <c r="A189" s="131"/>
      <c r="B189" s="132"/>
      <c r="C189" s="132"/>
      <c r="D189" s="132"/>
      <c r="E189" s="176"/>
      <c r="F189" s="177"/>
      <c r="G189" s="176"/>
      <c r="H189" s="171"/>
      <c r="I189" s="171" t="str">
        <f t="shared" si="26"/>
        <v/>
      </c>
      <c r="J189" s="132"/>
      <c r="K189" s="132"/>
      <c r="L189" s="132" t="str">
        <f t="shared" si="27"/>
        <v/>
      </c>
      <c r="M189" s="132" t="str">
        <f t="shared" si="28"/>
        <v/>
      </c>
      <c r="N189" s="132" t="str">
        <f t="shared" si="29"/>
        <v/>
      </c>
      <c r="O189" s="132"/>
      <c r="P189" s="132"/>
      <c r="Q189" s="132"/>
      <c r="R189" s="132" t="str">
        <f t="shared" si="30"/>
        <v/>
      </c>
    </row>
    <row r="190" spans="1:18">
      <c r="A190" s="131"/>
      <c r="B190" s="132"/>
      <c r="C190" s="132"/>
      <c r="D190" s="132"/>
      <c r="E190" s="176"/>
      <c r="F190" s="177"/>
      <c r="G190" s="176"/>
      <c r="H190" s="171"/>
      <c r="I190" s="171" t="str">
        <f t="shared" si="26"/>
        <v/>
      </c>
      <c r="J190" s="132"/>
      <c r="K190" s="132"/>
      <c r="L190" s="132" t="str">
        <f t="shared" si="27"/>
        <v/>
      </c>
      <c r="M190" s="132" t="str">
        <f t="shared" si="28"/>
        <v/>
      </c>
      <c r="N190" s="132" t="str">
        <f t="shared" si="29"/>
        <v/>
      </c>
      <c r="O190" s="132"/>
      <c r="P190" s="132"/>
      <c r="Q190" s="132"/>
      <c r="R190" s="132" t="str">
        <f t="shared" si="30"/>
        <v/>
      </c>
    </row>
    <row r="191" spans="1:18">
      <c r="A191" s="131"/>
      <c r="B191" s="132"/>
      <c r="C191" s="132"/>
      <c r="D191" s="132"/>
      <c r="E191" s="176"/>
      <c r="F191" s="177"/>
      <c r="G191" s="176"/>
      <c r="H191" s="171"/>
      <c r="I191" s="171" t="str">
        <f t="shared" si="26"/>
        <v/>
      </c>
      <c r="J191" s="132"/>
      <c r="K191" s="132"/>
      <c r="L191" s="132" t="str">
        <f t="shared" si="27"/>
        <v/>
      </c>
      <c r="M191" s="132" t="str">
        <f t="shared" si="28"/>
        <v/>
      </c>
      <c r="N191" s="132" t="str">
        <f t="shared" si="29"/>
        <v/>
      </c>
      <c r="O191" s="132"/>
      <c r="P191" s="132"/>
      <c r="Q191" s="132"/>
      <c r="R191" s="132" t="str">
        <f t="shared" si="30"/>
        <v/>
      </c>
    </row>
    <row r="192" spans="1:18">
      <c r="A192" s="131"/>
      <c r="B192" s="132"/>
      <c r="C192" s="132"/>
      <c r="D192" s="132"/>
      <c r="E192" s="176"/>
      <c r="F192" s="177"/>
      <c r="G192" s="176"/>
      <c r="H192" s="171"/>
      <c r="I192" s="171" t="str">
        <f t="shared" si="26"/>
        <v/>
      </c>
      <c r="J192" s="132"/>
      <c r="K192" s="132"/>
      <c r="L192" s="132" t="str">
        <f t="shared" si="27"/>
        <v/>
      </c>
      <c r="M192" s="132" t="str">
        <f t="shared" si="28"/>
        <v/>
      </c>
      <c r="N192" s="132" t="str">
        <f t="shared" si="29"/>
        <v/>
      </c>
      <c r="O192" s="132"/>
      <c r="P192" s="132"/>
      <c r="Q192" s="132"/>
      <c r="R192" s="132" t="str">
        <f t="shared" si="30"/>
        <v/>
      </c>
    </row>
    <row r="193" spans="1:18">
      <c r="A193" s="131"/>
      <c r="B193" s="132"/>
      <c r="C193" s="132"/>
      <c r="D193" s="132"/>
      <c r="E193" s="176"/>
      <c r="F193" s="177"/>
      <c r="G193" s="176"/>
      <c r="H193" s="171"/>
      <c r="I193" s="171" t="str">
        <f t="shared" si="26"/>
        <v/>
      </c>
      <c r="J193" s="132"/>
      <c r="K193" s="132"/>
      <c r="L193" s="132" t="str">
        <f t="shared" si="27"/>
        <v/>
      </c>
      <c r="M193" s="132" t="str">
        <f t="shared" si="28"/>
        <v/>
      </c>
      <c r="N193" s="132" t="str">
        <f t="shared" si="29"/>
        <v/>
      </c>
      <c r="O193" s="132"/>
      <c r="P193" s="132"/>
      <c r="Q193" s="132"/>
      <c r="R193" s="132" t="str">
        <f t="shared" si="30"/>
        <v/>
      </c>
    </row>
    <row r="194" spans="1:18">
      <c r="A194" s="131"/>
      <c r="B194" s="132"/>
      <c r="C194" s="132"/>
      <c r="D194" s="132"/>
      <c r="E194" s="176"/>
      <c r="F194" s="177"/>
      <c r="G194" s="176"/>
      <c r="H194" s="171"/>
      <c r="I194" s="171" t="str">
        <f t="shared" si="26"/>
        <v/>
      </c>
      <c r="J194" s="132"/>
      <c r="K194" s="132"/>
      <c r="L194" s="132" t="str">
        <f t="shared" si="27"/>
        <v/>
      </c>
      <c r="M194" s="132" t="str">
        <f t="shared" si="28"/>
        <v/>
      </c>
      <c r="N194" s="132" t="str">
        <f t="shared" si="29"/>
        <v/>
      </c>
      <c r="O194" s="132"/>
      <c r="P194" s="132"/>
      <c r="Q194" s="132"/>
      <c r="R194" s="132" t="str">
        <f t="shared" si="30"/>
        <v/>
      </c>
    </row>
    <row r="195" spans="1:18">
      <c r="A195" s="131"/>
      <c r="B195" s="132"/>
      <c r="C195" s="132"/>
      <c r="D195" s="132"/>
      <c r="E195" s="176"/>
      <c r="F195" s="177"/>
      <c r="G195" s="176"/>
      <c r="H195" s="171"/>
      <c r="I195" s="171" t="str">
        <f t="shared" si="26"/>
        <v/>
      </c>
      <c r="J195" s="132"/>
      <c r="K195" s="132"/>
      <c r="L195" s="132" t="str">
        <f t="shared" si="27"/>
        <v/>
      </c>
      <c r="M195" s="132" t="str">
        <f t="shared" si="28"/>
        <v/>
      </c>
      <c r="N195" s="132" t="str">
        <f t="shared" si="29"/>
        <v/>
      </c>
      <c r="O195" s="132"/>
      <c r="P195" s="132"/>
      <c r="Q195" s="132"/>
      <c r="R195" s="132" t="str">
        <f t="shared" si="30"/>
        <v/>
      </c>
    </row>
    <row r="196" spans="1:18">
      <c r="A196" s="131"/>
      <c r="B196" s="132"/>
      <c r="C196" s="132"/>
      <c r="D196" s="132"/>
      <c r="E196" s="176"/>
      <c r="F196" s="177"/>
      <c r="G196" s="176"/>
      <c r="H196" s="171"/>
      <c r="I196" s="171" t="str">
        <f t="shared" si="26"/>
        <v/>
      </c>
      <c r="J196" s="132"/>
      <c r="K196" s="132"/>
      <c r="L196" s="132" t="str">
        <f t="shared" si="27"/>
        <v/>
      </c>
      <c r="M196" s="132" t="str">
        <f t="shared" si="28"/>
        <v/>
      </c>
      <c r="N196" s="132" t="str">
        <f t="shared" si="29"/>
        <v/>
      </c>
      <c r="O196" s="132"/>
      <c r="P196" s="132"/>
      <c r="Q196" s="132"/>
      <c r="R196" s="132" t="str">
        <f t="shared" si="30"/>
        <v/>
      </c>
    </row>
    <row r="197" spans="1:18">
      <c r="A197" s="131"/>
      <c r="B197" s="132"/>
      <c r="C197" s="132"/>
      <c r="D197" s="132"/>
      <c r="E197" s="176"/>
      <c r="F197" s="177"/>
      <c r="G197" s="176"/>
      <c r="H197" s="171"/>
      <c r="I197" s="171" t="str">
        <f t="shared" ref="I197:I203" si="31">IF(E197="","",IF(D197="USD",E197*H197,E197))</f>
        <v/>
      </c>
      <c r="J197" s="132"/>
      <c r="K197" s="132"/>
      <c r="L197" s="132" t="str">
        <f t="shared" ref="L197:L203" si="32">IF(A197="","",LOWER(TEXT(A197,"mmmm")))</f>
        <v/>
      </c>
      <c r="M197" s="132" t="str">
        <f t="shared" ref="M197:M203" si="33">IF(A197="","",IF(MONTH(A197)&lt;=3,"T1",IF(MONTH(A197)&lt;=6,"T2",IF(MONTH(A197)&lt;=9,"T3","T4"))))</f>
        <v/>
      </c>
      <c r="N197" s="132" t="str">
        <f t="shared" ref="N197:N203" si="34">IF(A197="","","Año "&amp;YEAR(A197)-2025)</f>
        <v/>
      </c>
      <c r="O197" s="132"/>
      <c r="P197" s="132"/>
      <c r="Q197" s="132"/>
      <c r="R197" s="132" t="str">
        <f t="shared" ref="R197:R203" si="35">IF(B197="","",TEXT(A197,"yyyymmdd")&amp;"-"&amp;B197&amp;"-"&amp;ROW())</f>
        <v/>
      </c>
    </row>
    <row r="198" spans="1:18">
      <c r="A198" s="131"/>
      <c r="B198" s="132"/>
      <c r="C198" s="132"/>
      <c r="D198" s="132"/>
      <c r="E198" s="176"/>
      <c r="F198" s="177"/>
      <c r="G198" s="176"/>
      <c r="H198" s="171"/>
      <c r="I198" s="171" t="str">
        <f t="shared" si="31"/>
        <v/>
      </c>
      <c r="J198" s="132"/>
      <c r="K198" s="132"/>
      <c r="L198" s="132" t="str">
        <f t="shared" si="32"/>
        <v/>
      </c>
      <c r="M198" s="132" t="str">
        <f t="shared" si="33"/>
        <v/>
      </c>
      <c r="N198" s="132" t="str">
        <f t="shared" si="34"/>
        <v/>
      </c>
      <c r="O198" s="132"/>
      <c r="P198" s="132"/>
      <c r="Q198" s="132"/>
      <c r="R198" s="132" t="str">
        <f t="shared" si="35"/>
        <v/>
      </c>
    </row>
    <row r="199" spans="1:18">
      <c r="A199" s="131"/>
      <c r="B199" s="132"/>
      <c r="C199" s="132"/>
      <c r="D199" s="132"/>
      <c r="E199" s="176"/>
      <c r="F199" s="177"/>
      <c r="G199" s="176"/>
      <c r="H199" s="171"/>
      <c r="I199" s="171" t="str">
        <f t="shared" si="31"/>
        <v/>
      </c>
      <c r="J199" s="132"/>
      <c r="K199" s="132"/>
      <c r="L199" s="132" t="str">
        <f t="shared" si="32"/>
        <v/>
      </c>
      <c r="M199" s="132" t="str">
        <f t="shared" si="33"/>
        <v/>
      </c>
      <c r="N199" s="132" t="str">
        <f t="shared" si="34"/>
        <v/>
      </c>
      <c r="O199" s="132"/>
      <c r="P199" s="132"/>
      <c r="Q199" s="132"/>
      <c r="R199" s="132" t="str">
        <f t="shared" si="35"/>
        <v/>
      </c>
    </row>
    <row r="200" spans="1:18">
      <c r="A200" s="131"/>
      <c r="B200" s="132"/>
      <c r="C200" s="132"/>
      <c r="D200" s="132"/>
      <c r="E200" s="176"/>
      <c r="F200" s="177"/>
      <c r="G200" s="176"/>
      <c r="H200" s="171"/>
      <c r="I200" s="171" t="str">
        <f t="shared" si="31"/>
        <v/>
      </c>
      <c r="J200" s="132"/>
      <c r="K200" s="132"/>
      <c r="L200" s="132" t="str">
        <f t="shared" si="32"/>
        <v/>
      </c>
      <c r="M200" s="132" t="str">
        <f t="shared" si="33"/>
        <v/>
      </c>
      <c r="N200" s="132" t="str">
        <f t="shared" si="34"/>
        <v/>
      </c>
      <c r="O200" s="132"/>
      <c r="P200" s="132"/>
      <c r="Q200" s="132"/>
      <c r="R200" s="132" t="str">
        <f t="shared" si="35"/>
        <v/>
      </c>
    </row>
    <row r="201" spans="1:18">
      <c r="A201" s="131"/>
      <c r="B201" s="132"/>
      <c r="C201" s="132"/>
      <c r="D201" s="132"/>
      <c r="E201" s="176"/>
      <c r="F201" s="177"/>
      <c r="G201" s="176"/>
      <c r="H201" s="171"/>
      <c r="I201" s="171" t="str">
        <f t="shared" si="31"/>
        <v/>
      </c>
      <c r="J201" s="132"/>
      <c r="K201" s="132"/>
      <c r="L201" s="132" t="str">
        <f t="shared" si="32"/>
        <v/>
      </c>
      <c r="M201" s="132" t="str">
        <f t="shared" si="33"/>
        <v/>
      </c>
      <c r="N201" s="132" t="str">
        <f t="shared" si="34"/>
        <v/>
      </c>
      <c r="O201" s="132"/>
      <c r="P201" s="132"/>
      <c r="Q201" s="132"/>
      <c r="R201" s="132" t="str">
        <f t="shared" si="35"/>
        <v/>
      </c>
    </row>
    <row r="202" spans="1:18">
      <c r="A202" s="131"/>
      <c r="B202" s="132"/>
      <c r="C202" s="132"/>
      <c r="D202" s="132"/>
      <c r="E202" s="176"/>
      <c r="F202" s="177"/>
      <c r="G202" s="176"/>
      <c r="H202" s="171"/>
      <c r="I202" s="171" t="str">
        <f t="shared" si="31"/>
        <v/>
      </c>
      <c r="J202" s="132"/>
      <c r="K202" s="132"/>
      <c r="L202" s="132" t="str">
        <f t="shared" si="32"/>
        <v/>
      </c>
      <c r="M202" s="132" t="str">
        <f t="shared" si="33"/>
        <v/>
      </c>
      <c r="N202" s="132" t="str">
        <f t="shared" si="34"/>
        <v/>
      </c>
      <c r="O202" s="132"/>
      <c r="P202" s="132"/>
      <c r="Q202" s="132"/>
      <c r="R202" s="132" t="str">
        <f t="shared" si="35"/>
        <v/>
      </c>
    </row>
    <row r="203" spans="1:18">
      <c r="A203" s="131"/>
      <c r="B203" s="132"/>
      <c r="C203" s="132"/>
      <c r="D203" s="132"/>
      <c r="E203" s="176"/>
      <c r="F203" s="177"/>
      <c r="G203" s="176"/>
      <c r="H203" s="171"/>
      <c r="I203" s="171" t="str">
        <f t="shared" si="31"/>
        <v/>
      </c>
      <c r="J203" s="132"/>
      <c r="K203" s="132"/>
      <c r="L203" s="132" t="str">
        <f t="shared" si="32"/>
        <v/>
      </c>
      <c r="M203" s="132" t="str">
        <f t="shared" si="33"/>
        <v/>
      </c>
      <c r="N203" s="132" t="str">
        <f t="shared" si="34"/>
        <v/>
      </c>
      <c r="O203" s="132"/>
      <c r="P203" s="132"/>
      <c r="Q203" s="132"/>
      <c r="R203" s="132" t="str">
        <f t="shared" si="35"/>
        <v/>
      </c>
    </row>
    <row r="204" spans="1:18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</row>
    <row r="205" spans="1:18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</row>
    <row r="206" spans="1:18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</row>
    <row r="207" spans="1:18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</row>
    <row r="208" spans="1:18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</row>
    <row r="209" spans="1:18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</row>
    <row r="210" spans="1:18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</row>
    <row r="211" spans="1:18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</row>
    <row r="212" spans="1:18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</row>
    <row r="213" spans="1:18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</row>
    <row r="214" spans="1:18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</row>
    <row r="215" spans="1:18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</row>
    <row r="216" spans="1:18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</row>
    <row r="217" spans="1:18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</row>
    <row r="218" spans="1:18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</row>
    <row r="219" spans="1:18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</row>
  </sheetData>
  <mergeCells count="2">
    <mergeCell ref="A2:O2"/>
    <mergeCell ref="A1:H1"/>
  </mergeCells>
  <dataValidations count="3">
    <dataValidation type="list" allowBlank="1" sqref="C5:C203" xr:uid="{00000000-0002-0000-1800-000000000000}">
      <formula1>"Compra,Aporte,Retiro,Venta,Ajuste,Dividendo,Comisión"</formula1>
    </dataValidation>
    <dataValidation type="list" allowBlank="1" sqref="D5:D203" xr:uid="{00000000-0002-0000-1800-000001000000}">
      <formula1>"CLP,USD"</formula1>
    </dataValidation>
    <dataValidation type="list" allowBlank="1" sqref="O5:O203" xr:uid="{00000000-0002-0000-1800-000002000000}">
      <formula1>"Migrado,Registrado,Revisar,Validado"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F4E3D"/>
  </sheetPr>
  <dimension ref="A1:Q220"/>
  <sheetViews>
    <sheetView showGridLines="0" workbookViewId="0"/>
  </sheetViews>
  <sheetFormatPr baseColWidth="10" defaultColWidth="8.7265625" defaultRowHeight="14.5"/>
  <cols>
    <col min="1" max="1" width="11.6328125" customWidth="1"/>
    <col min="2" max="2" width="20.36328125" customWidth="1"/>
    <col min="3" max="3" width="12.81640625" customWidth="1"/>
    <col min="4" max="4" width="7.81640625" customWidth="1"/>
    <col min="5" max="5" width="16.54296875" customWidth="1"/>
    <col min="6" max="6" width="17.08984375" customWidth="1"/>
    <col min="7" max="7" width="18.7265625" customWidth="1"/>
    <col min="8" max="8" width="11" customWidth="1"/>
    <col min="9" max="10" width="14.26953125" customWidth="1"/>
    <col min="11" max="11" width="18" customWidth="1"/>
    <col min="12" max="12" width="13.26953125" customWidth="1"/>
    <col min="13" max="13" width="14.90625" customWidth="1"/>
    <col min="14" max="14" width="10.453125" customWidth="1"/>
    <col min="15" max="15" width="32.1796875" customWidth="1"/>
    <col min="16" max="16" width="5" customWidth="1"/>
    <col min="17" max="17" width="28" customWidth="1"/>
  </cols>
  <sheetData>
    <row r="1" spans="1:17" ht="28" customHeight="1">
      <c r="A1" s="446" t="s">
        <v>1666</v>
      </c>
      <c r="B1" s="426"/>
      <c r="C1" s="426"/>
      <c r="D1" s="426"/>
      <c r="E1" s="426"/>
      <c r="F1" s="426"/>
      <c r="G1" s="426"/>
      <c r="H1" s="426"/>
      <c r="I1" s="426"/>
      <c r="J1" s="426"/>
      <c r="K1" s="173"/>
      <c r="L1" s="173"/>
      <c r="M1" s="173"/>
      <c r="N1" s="173"/>
      <c r="O1" s="173"/>
      <c r="P1" s="173"/>
      <c r="Q1" s="173"/>
    </row>
    <row r="2" spans="1:17">
      <c r="A2" s="447" t="s">
        <v>1667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174"/>
      <c r="M2" s="174"/>
      <c r="N2" s="174"/>
      <c r="O2" s="174"/>
      <c r="P2" s="174"/>
      <c r="Q2" s="174"/>
    </row>
    <row r="3" spans="1:17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</row>
    <row r="4" spans="1:17" ht="29" customHeight="1">
      <c r="A4" s="175" t="s">
        <v>1668</v>
      </c>
      <c r="B4" s="175" t="s">
        <v>79</v>
      </c>
      <c r="C4" s="175" t="s">
        <v>1669</v>
      </c>
      <c r="D4" s="175" t="s">
        <v>1395</v>
      </c>
      <c r="E4" s="175" t="s">
        <v>1626</v>
      </c>
      <c r="F4" s="175" t="s">
        <v>1627</v>
      </c>
      <c r="G4" s="175" t="s">
        <v>1670</v>
      </c>
      <c r="H4" s="175" t="s">
        <v>1397</v>
      </c>
      <c r="I4" s="175" t="s">
        <v>1671</v>
      </c>
      <c r="J4" s="175" t="s">
        <v>1672</v>
      </c>
      <c r="K4" s="175" t="s">
        <v>1673</v>
      </c>
      <c r="L4" s="175" t="s">
        <v>1629</v>
      </c>
      <c r="M4" s="175" t="s">
        <v>252</v>
      </c>
      <c r="N4" s="175" t="s">
        <v>655</v>
      </c>
      <c r="O4" s="175" t="s">
        <v>656</v>
      </c>
      <c r="P4" s="175" t="s">
        <v>1061</v>
      </c>
      <c r="Q4" s="175" t="s">
        <v>73</v>
      </c>
    </row>
    <row r="5" spans="1:17" ht="29" customHeight="1">
      <c r="A5" s="131">
        <v>46174</v>
      </c>
      <c r="B5" s="132" t="s">
        <v>1633</v>
      </c>
      <c r="C5" s="132" t="s">
        <v>1674</v>
      </c>
      <c r="D5" s="132" t="s">
        <v>1635</v>
      </c>
      <c r="E5" s="177">
        <v>1.0205121500000001</v>
      </c>
      <c r="F5" s="176">
        <v>84.62</v>
      </c>
      <c r="G5" s="176">
        <v>86.29</v>
      </c>
      <c r="H5" s="171">
        <v>950</v>
      </c>
      <c r="I5" s="171">
        <f t="shared" ref="I5:I36" si="0">IF(G5="","",IF(D5="USD",G5*H5,G5))</f>
        <v>81975.5</v>
      </c>
      <c r="J5" s="176">
        <v>58.79</v>
      </c>
      <c r="K5" s="176">
        <v>60</v>
      </c>
      <c r="L5" s="132" t="s">
        <v>1636</v>
      </c>
      <c r="M5" s="132" t="s">
        <v>1675</v>
      </c>
      <c r="N5" s="132" t="s">
        <v>1676</v>
      </c>
      <c r="O5" s="132" t="s">
        <v>1677</v>
      </c>
      <c r="P5" s="132" t="s">
        <v>1188</v>
      </c>
      <c r="Q5" s="132" t="str">
        <f t="shared" ref="Q5:Q36" si="1">IF(B5="","",TEXT(A5,"yyyymmdd")&amp;"-"&amp;B5)</f>
        <v>20260601-TQQQ</v>
      </c>
    </row>
    <row r="6" spans="1:17">
      <c r="A6" s="131">
        <v>46174</v>
      </c>
      <c r="B6" s="132" t="s">
        <v>1642</v>
      </c>
      <c r="C6" s="132" t="s">
        <v>1674</v>
      </c>
      <c r="D6" s="132" t="s">
        <v>1635</v>
      </c>
      <c r="E6" s="177">
        <v>0.10614771000000001</v>
      </c>
      <c r="F6" s="176">
        <v>573.62</v>
      </c>
      <c r="G6" s="176">
        <v>60.89</v>
      </c>
      <c r="H6" s="171">
        <v>950</v>
      </c>
      <c r="I6" s="171">
        <f t="shared" si="0"/>
        <v>57845.5</v>
      </c>
      <c r="J6" s="176">
        <v>508.73</v>
      </c>
      <c r="K6" s="176">
        <v>54</v>
      </c>
      <c r="L6" s="132" t="s">
        <v>1636</v>
      </c>
      <c r="M6" s="132" t="s">
        <v>1675</v>
      </c>
      <c r="N6" s="132" t="s">
        <v>1676</v>
      </c>
      <c r="O6" s="132" t="s">
        <v>1678</v>
      </c>
      <c r="P6" s="132" t="s">
        <v>1188</v>
      </c>
      <c r="Q6" s="132" t="str">
        <f t="shared" si="1"/>
        <v>20260601-SOXX</v>
      </c>
    </row>
    <row r="7" spans="1:17">
      <c r="A7" s="131">
        <v>46174</v>
      </c>
      <c r="B7" s="132" t="s">
        <v>1656</v>
      </c>
      <c r="C7" s="132" t="s">
        <v>1679</v>
      </c>
      <c r="D7" s="132" t="s">
        <v>1402</v>
      </c>
      <c r="E7" s="177"/>
      <c r="F7" s="176"/>
      <c r="G7" s="176">
        <v>26000</v>
      </c>
      <c r="H7" s="171">
        <v>950</v>
      </c>
      <c r="I7" s="171">
        <f t="shared" si="0"/>
        <v>26000</v>
      </c>
      <c r="J7" s="176"/>
      <c r="K7" s="176"/>
      <c r="L7" s="132" t="s">
        <v>1657</v>
      </c>
      <c r="M7" s="132" t="s">
        <v>671</v>
      </c>
      <c r="N7" s="132" t="s">
        <v>1676</v>
      </c>
      <c r="O7" s="132" t="s">
        <v>1680</v>
      </c>
      <c r="P7" s="132" t="s">
        <v>1188</v>
      </c>
      <c r="Q7" s="132" t="str">
        <f t="shared" si="1"/>
        <v>20260601-APV banco estado</v>
      </c>
    </row>
    <row r="8" spans="1:17" ht="29" customHeight="1">
      <c r="A8" s="131">
        <v>46174</v>
      </c>
      <c r="B8" s="132" t="s">
        <v>1646</v>
      </c>
      <c r="C8" s="132" t="s">
        <v>1681</v>
      </c>
      <c r="D8" s="132" t="s">
        <v>1402</v>
      </c>
      <c r="E8" s="177"/>
      <c r="F8" s="176"/>
      <c r="G8" s="176">
        <v>50403</v>
      </c>
      <c r="H8" s="171">
        <v>950</v>
      </c>
      <c r="I8" s="171">
        <f t="shared" si="0"/>
        <v>50403</v>
      </c>
      <c r="J8" s="176"/>
      <c r="K8" s="176"/>
      <c r="L8" s="132" t="s">
        <v>1636</v>
      </c>
      <c r="M8" s="132" t="s">
        <v>671</v>
      </c>
      <c r="N8" s="132" t="s">
        <v>1676</v>
      </c>
      <c r="O8" s="132" t="s">
        <v>1682</v>
      </c>
      <c r="P8" s="132" t="s">
        <v>1188</v>
      </c>
      <c r="Q8" s="132" t="str">
        <f t="shared" si="1"/>
        <v>20260601-Inversiones generales 2</v>
      </c>
    </row>
    <row r="9" spans="1:17" ht="29" customHeight="1">
      <c r="A9" s="131">
        <v>46174</v>
      </c>
      <c r="B9" s="132" t="s">
        <v>1654</v>
      </c>
      <c r="C9" s="132" t="s">
        <v>1681</v>
      </c>
      <c r="D9" s="132" t="s">
        <v>1402</v>
      </c>
      <c r="E9" s="177"/>
      <c r="F9" s="176"/>
      <c r="G9" s="176">
        <v>20000</v>
      </c>
      <c r="H9" s="171">
        <v>950</v>
      </c>
      <c r="I9" s="171">
        <f t="shared" si="0"/>
        <v>20000</v>
      </c>
      <c r="J9" s="176"/>
      <c r="K9" s="176"/>
      <c r="L9" s="132" t="s">
        <v>1636</v>
      </c>
      <c r="M9" s="132" t="s">
        <v>671</v>
      </c>
      <c r="N9" s="132" t="s">
        <v>1676</v>
      </c>
      <c r="O9" s="132" t="s">
        <v>1682</v>
      </c>
      <c r="P9" s="132" t="s">
        <v>1188</v>
      </c>
      <c r="Q9" s="132" t="str">
        <f t="shared" si="1"/>
        <v>20260601-Inversiones generales 3</v>
      </c>
    </row>
    <row r="10" spans="1:17">
      <c r="A10" s="131">
        <v>46175</v>
      </c>
      <c r="B10" s="132" t="s">
        <v>1633</v>
      </c>
      <c r="C10" s="132" t="s">
        <v>1674</v>
      </c>
      <c r="D10" s="132" t="s">
        <v>1635</v>
      </c>
      <c r="E10" s="177">
        <v>1.30933272</v>
      </c>
      <c r="F10" s="176">
        <v>87.22</v>
      </c>
      <c r="G10" s="176">
        <v>77.53</v>
      </c>
      <c r="H10" s="171">
        <v>950</v>
      </c>
      <c r="I10" s="171">
        <f t="shared" si="0"/>
        <v>73653.5</v>
      </c>
      <c r="J10" s="176">
        <v>87.22</v>
      </c>
      <c r="K10" s="176"/>
      <c r="L10" s="132" t="s">
        <v>1636</v>
      </c>
      <c r="M10" s="132" t="s">
        <v>671</v>
      </c>
      <c r="N10" s="132" t="s">
        <v>1676</v>
      </c>
      <c r="O10" s="132" t="s">
        <v>1683</v>
      </c>
      <c r="P10" s="132" t="s">
        <v>1188</v>
      </c>
      <c r="Q10" s="132" t="str">
        <f t="shared" si="1"/>
        <v>20260602-TQQQ</v>
      </c>
    </row>
    <row r="11" spans="1:17">
      <c r="A11" s="131"/>
      <c r="B11" s="132"/>
      <c r="C11" s="132"/>
      <c r="D11" s="132"/>
      <c r="E11" s="177"/>
      <c r="F11" s="176"/>
      <c r="G11" s="176"/>
      <c r="H11" s="171"/>
      <c r="I11" s="171" t="str">
        <f t="shared" si="0"/>
        <v/>
      </c>
      <c r="J11" s="176"/>
      <c r="K11" s="176"/>
      <c r="L11" s="132"/>
      <c r="M11" s="132"/>
      <c r="N11" s="132"/>
      <c r="O11" s="132"/>
      <c r="P11" s="132"/>
      <c r="Q11" s="132" t="str">
        <f t="shared" si="1"/>
        <v/>
      </c>
    </row>
    <row r="12" spans="1:17">
      <c r="A12" s="131"/>
      <c r="B12" s="132"/>
      <c r="C12" s="132"/>
      <c r="D12" s="132"/>
      <c r="E12" s="177"/>
      <c r="F12" s="176"/>
      <c r="G12" s="176"/>
      <c r="H12" s="171"/>
      <c r="I12" s="171" t="str">
        <f t="shared" si="0"/>
        <v/>
      </c>
      <c r="J12" s="176"/>
      <c r="K12" s="176"/>
      <c r="L12" s="132"/>
      <c r="M12" s="132"/>
      <c r="N12" s="132"/>
      <c r="O12" s="132"/>
      <c r="P12" s="132"/>
      <c r="Q12" s="132" t="str">
        <f t="shared" si="1"/>
        <v/>
      </c>
    </row>
    <row r="13" spans="1:17">
      <c r="A13" s="131"/>
      <c r="B13" s="132"/>
      <c r="C13" s="132"/>
      <c r="D13" s="132"/>
      <c r="E13" s="177"/>
      <c r="F13" s="176"/>
      <c r="G13" s="176"/>
      <c r="H13" s="171"/>
      <c r="I13" s="171" t="str">
        <f t="shared" si="0"/>
        <v/>
      </c>
      <c r="J13" s="176"/>
      <c r="K13" s="176"/>
      <c r="L13" s="132"/>
      <c r="M13" s="132"/>
      <c r="N13" s="132"/>
      <c r="O13" s="132"/>
      <c r="P13" s="132"/>
      <c r="Q13" s="132" t="str">
        <f t="shared" si="1"/>
        <v/>
      </c>
    </row>
    <row r="14" spans="1:17">
      <c r="A14" s="131"/>
      <c r="B14" s="132"/>
      <c r="C14" s="132"/>
      <c r="D14" s="132"/>
      <c r="E14" s="177"/>
      <c r="F14" s="176"/>
      <c r="G14" s="176"/>
      <c r="H14" s="171"/>
      <c r="I14" s="171" t="str">
        <f t="shared" si="0"/>
        <v/>
      </c>
      <c r="J14" s="176"/>
      <c r="K14" s="176"/>
      <c r="L14" s="132"/>
      <c r="M14" s="132"/>
      <c r="N14" s="132"/>
      <c r="O14" s="132"/>
      <c r="P14" s="132"/>
      <c r="Q14" s="132" t="str">
        <f t="shared" si="1"/>
        <v/>
      </c>
    </row>
    <row r="15" spans="1:17">
      <c r="A15" s="131"/>
      <c r="B15" s="132"/>
      <c r="C15" s="132"/>
      <c r="D15" s="132"/>
      <c r="E15" s="177"/>
      <c r="F15" s="176"/>
      <c r="G15" s="176"/>
      <c r="H15" s="171"/>
      <c r="I15" s="171" t="str">
        <f t="shared" si="0"/>
        <v/>
      </c>
      <c r="J15" s="176"/>
      <c r="K15" s="176"/>
      <c r="L15" s="132"/>
      <c r="M15" s="132"/>
      <c r="N15" s="132"/>
      <c r="O15" s="132"/>
      <c r="P15" s="132"/>
      <c r="Q15" s="132" t="str">
        <f t="shared" si="1"/>
        <v/>
      </c>
    </row>
    <row r="16" spans="1:17">
      <c r="A16" s="131"/>
      <c r="B16" s="132"/>
      <c r="C16" s="132"/>
      <c r="D16" s="132"/>
      <c r="E16" s="177"/>
      <c r="F16" s="176"/>
      <c r="G16" s="176"/>
      <c r="H16" s="171"/>
      <c r="I16" s="171" t="str">
        <f t="shared" si="0"/>
        <v/>
      </c>
      <c r="J16" s="176"/>
      <c r="K16" s="176"/>
      <c r="L16" s="132"/>
      <c r="M16" s="132"/>
      <c r="N16" s="132"/>
      <c r="O16" s="132"/>
      <c r="P16" s="132"/>
      <c r="Q16" s="132" t="str">
        <f t="shared" si="1"/>
        <v/>
      </c>
    </row>
    <row r="17" spans="1:17">
      <c r="A17" s="131"/>
      <c r="B17" s="132"/>
      <c r="C17" s="132"/>
      <c r="D17" s="132"/>
      <c r="E17" s="177"/>
      <c r="F17" s="176"/>
      <c r="G17" s="176"/>
      <c r="H17" s="171"/>
      <c r="I17" s="171" t="str">
        <f t="shared" si="0"/>
        <v/>
      </c>
      <c r="J17" s="176"/>
      <c r="K17" s="176"/>
      <c r="L17" s="132"/>
      <c r="M17" s="132"/>
      <c r="N17" s="132"/>
      <c r="O17" s="132"/>
      <c r="P17" s="132"/>
      <c r="Q17" s="132" t="str">
        <f t="shared" si="1"/>
        <v/>
      </c>
    </row>
    <row r="18" spans="1:17">
      <c r="A18" s="131"/>
      <c r="B18" s="132"/>
      <c r="C18" s="132"/>
      <c r="D18" s="132"/>
      <c r="E18" s="177"/>
      <c r="F18" s="176"/>
      <c r="G18" s="176"/>
      <c r="H18" s="171"/>
      <c r="I18" s="171" t="str">
        <f t="shared" si="0"/>
        <v/>
      </c>
      <c r="J18" s="176"/>
      <c r="K18" s="176"/>
      <c r="L18" s="132"/>
      <c r="M18" s="132"/>
      <c r="N18" s="132"/>
      <c r="O18" s="132"/>
      <c r="P18" s="132"/>
      <c r="Q18" s="132" t="str">
        <f t="shared" si="1"/>
        <v/>
      </c>
    </row>
    <row r="19" spans="1:17">
      <c r="A19" s="131"/>
      <c r="B19" s="132"/>
      <c r="C19" s="132"/>
      <c r="D19" s="132"/>
      <c r="E19" s="177"/>
      <c r="F19" s="176"/>
      <c r="G19" s="176"/>
      <c r="H19" s="171"/>
      <c r="I19" s="171" t="str">
        <f t="shared" si="0"/>
        <v/>
      </c>
      <c r="J19" s="176"/>
      <c r="K19" s="176"/>
      <c r="L19" s="132"/>
      <c r="M19" s="132"/>
      <c r="N19" s="132"/>
      <c r="O19" s="132"/>
      <c r="P19" s="132"/>
      <c r="Q19" s="132" t="str">
        <f t="shared" si="1"/>
        <v/>
      </c>
    </row>
    <row r="20" spans="1:17">
      <c r="A20" s="131"/>
      <c r="B20" s="132"/>
      <c r="C20" s="132"/>
      <c r="D20" s="132"/>
      <c r="E20" s="177"/>
      <c r="F20" s="176"/>
      <c r="G20" s="176"/>
      <c r="H20" s="171"/>
      <c r="I20" s="171" t="str">
        <f t="shared" si="0"/>
        <v/>
      </c>
      <c r="J20" s="176"/>
      <c r="K20" s="176"/>
      <c r="L20" s="132"/>
      <c r="M20" s="132"/>
      <c r="N20" s="132"/>
      <c r="O20" s="132"/>
      <c r="P20" s="132"/>
      <c r="Q20" s="132" t="str">
        <f t="shared" si="1"/>
        <v/>
      </c>
    </row>
    <row r="21" spans="1:17">
      <c r="A21" s="131"/>
      <c r="B21" s="132"/>
      <c r="C21" s="132"/>
      <c r="D21" s="132"/>
      <c r="E21" s="177"/>
      <c r="F21" s="176"/>
      <c r="G21" s="176"/>
      <c r="H21" s="171"/>
      <c r="I21" s="171" t="str">
        <f t="shared" si="0"/>
        <v/>
      </c>
      <c r="J21" s="176"/>
      <c r="K21" s="176"/>
      <c r="L21" s="132"/>
      <c r="M21" s="132"/>
      <c r="N21" s="132"/>
      <c r="O21" s="132"/>
      <c r="P21" s="132"/>
      <c r="Q21" s="132" t="str">
        <f t="shared" si="1"/>
        <v/>
      </c>
    </row>
    <row r="22" spans="1:17">
      <c r="A22" s="131"/>
      <c r="B22" s="132"/>
      <c r="C22" s="132"/>
      <c r="D22" s="132"/>
      <c r="E22" s="177"/>
      <c r="F22" s="176"/>
      <c r="G22" s="176"/>
      <c r="H22" s="171"/>
      <c r="I22" s="171" t="str">
        <f t="shared" si="0"/>
        <v/>
      </c>
      <c r="J22" s="176"/>
      <c r="K22" s="176"/>
      <c r="L22" s="132"/>
      <c r="M22" s="132"/>
      <c r="N22" s="132"/>
      <c r="O22" s="132"/>
      <c r="P22" s="132"/>
      <c r="Q22" s="132" t="str">
        <f t="shared" si="1"/>
        <v/>
      </c>
    </row>
    <row r="23" spans="1:17">
      <c r="A23" s="131"/>
      <c r="B23" s="132"/>
      <c r="C23" s="132"/>
      <c r="D23" s="132"/>
      <c r="E23" s="177"/>
      <c r="F23" s="176"/>
      <c r="G23" s="176"/>
      <c r="H23" s="171"/>
      <c r="I23" s="171" t="str">
        <f t="shared" si="0"/>
        <v/>
      </c>
      <c r="J23" s="176"/>
      <c r="K23" s="176"/>
      <c r="L23" s="132"/>
      <c r="M23" s="132"/>
      <c r="N23" s="132"/>
      <c r="O23" s="132"/>
      <c r="P23" s="132"/>
      <c r="Q23" s="132" t="str">
        <f t="shared" si="1"/>
        <v/>
      </c>
    </row>
    <row r="24" spans="1:17">
      <c r="A24" s="131"/>
      <c r="B24" s="132"/>
      <c r="C24" s="132"/>
      <c r="D24" s="132"/>
      <c r="E24" s="177"/>
      <c r="F24" s="176"/>
      <c r="G24" s="176"/>
      <c r="H24" s="171"/>
      <c r="I24" s="171" t="str">
        <f t="shared" si="0"/>
        <v/>
      </c>
      <c r="J24" s="176"/>
      <c r="K24" s="176"/>
      <c r="L24" s="132"/>
      <c r="M24" s="132"/>
      <c r="N24" s="132"/>
      <c r="O24" s="132"/>
      <c r="P24" s="132"/>
      <c r="Q24" s="132" t="str">
        <f t="shared" si="1"/>
        <v/>
      </c>
    </row>
    <row r="25" spans="1:17">
      <c r="A25" s="131"/>
      <c r="B25" s="132"/>
      <c r="C25" s="132"/>
      <c r="D25" s="132"/>
      <c r="E25" s="177"/>
      <c r="F25" s="176"/>
      <c r="G25" s="176"/>
      <c r="H25" s="171"/>
      <c r="I25" s="171" t="str">
        <f t="shared" si="0"/>
        <v/>
      </c>
      <c r="J25" s="176"/>
      <c r="K25" s="176"/>
      <c r="L25" s="132"/>
      <c r="M25" s="132"/>
      <c r="N25" s="132"/>
      <c r="O25" s="132"/>
      <c r="P25" s="132"/>
      <c r="Q25" s="132" t="str">
        <f t="shared" si="1"/>
        <v/>
      </c>
    </row>
    <row r="26" spans="1:17">
      <c r="A26" s="131"/>
      <c r="B26" s="132"/>
      <c r="C26" s="132"/>
      <c r="D26" s="132"/>
      <c r="E26" s="177"/>
      <c r="F26" s="176"/>
      <c r="G26" s="176"/>
      <c r="H26" s="171"/>
      <c r="I26" s="171" t="str">
        <f t="shared" si="0"/>
        <v/>
      </c>
      <c r="J26" s="176"/>
      <c r="K26" s="176"/>
      <c r="L26" s="132"/>
      <c r="M26" s="132"/>
      <c r="N26" s="132"/>
      <c r="O26" s="132"/>
      <c r="P26" s="132"/>
      <c r="Q26" s="132" t="str">
        <f t="shared" si="1"/>
        <v/>
      </c>
    </row>
    <row r="27" spans="1:17">
      <c r="A27" s="131"/>
      <c r="B27" s="132"/>
      <c r="C27" s="132"/>
      <c r="D27" s="132"/>
      <c r="E27" s="177"/>
      <c r="F27" s="176"/>
      <c r="G27" s="176"/>
      <c r="H27" s="171"/>
      <c r="I27" s="171" t="str">
        <f t="shared" si="0"/>
        <v/>
      </c>
      <c r="J27" s="176"/>
      <c r="K27" s="176"/>
      <c r="L27" s="132"/>
      <c r="M27" s="132"/>
      <c r="N27" s="132"/>
      <c r="O27" s="132"/>
      <c r="P27" s="132"/>
      <c r="Q27" s="132" t="str">
        <f t="shared" si="1"/>
        <v/>
      </c>
    </row>
    <row r="28" spans="1:17">
      <c r="A28" s="131"/>
      <c r="B28" s="132"/>
      <c r="C28" s="132"/>
      <c r="D28" s="132"/>
      <c r="E28" s="177"/>
      <c r="F28" s="176"/>
      <c r="G28" s="176"/>
      <c r="H28" s="171"/>
      <c r="I28" s="171" t="str">
        <f t="shared" si="0"/>
        <v/>
      </c>
      <c r="J28" s="176"/>
      <c r="K28" s="176"/>
      <c r="L28" s="132"/>
      <c r="M28" s="132"/>
      <c r="N28" s="132"/>
      <c r="O28" s="132"/>
      <c r="P28" s="132"/>
      <c r="Q28" s="132" t="str">
        <f t="shared" si="1"/>
        <v/>
      </c>
    </row>
    <row r="29" spans="1:17">
      <c r="A29" s="131"/>
      <c r="B29" s="132"/>
      <c r="C29" s="132"/>
      <c r="D29" s="132"/>
      <c r="E29" s="177"/>
      <c r="F29" s="176"/>
      <c r="G29" s="176"/>
      <c r="H29" s="171"/>
      <c r="I29" s="171" t="str">
        <f t="shared" si="0"/>
        <v/>
      </c>
      <c r="J29" s="176"/>
      <c r="K29" s="176"/>
      <c r="L29" s="132"/>
      <c r="M29" s="132"/>
      <c r="N29" s="132"/>
      <c r="O29" s="132"/>
      <c r="P29" s="132"/>
      <c r="Q29" s="132" t="str">
        <f t="shared" si="1"/>
        <v/>
      </c>
    </row>
    <row r="30" spans="1:17">
      <c r="A30" s="131"/>
      <c r="B30" s="132"/>
      <c r="C30" s="132"/>
      <c r="D30" s="132"/>
      <c r="E30" s="177"/>
      <c r="F30" s="176"/>
      <c r="G30" s="176"/>
      <c r="H30" s="171"/>
      <c r="I30" s="171" t="str">
        <f t="shared" si="0"/>
        <v/>
      </c>
      <c r="J30" s="176"/>
      <c r="K30" s="176"/>
      <c r="L30" s="132"/>
      <c r="M30" s="132"/>
      <c r="N30" s="132"/>
      <c r="O30" s="132"/>
      <c r="P30" s="132"/>
      <c r="Q30" s="132" t="str">
        <f t="shared" si="1"/>
        <v/>
      </c>
    </row>
    <row r="31" spans="1:17">
      <c r="A31" s="131"/>
      <c r="B31" s="132"/>
      <c r="C31" s="132"/>
      <c r="D31" s="132"/>
      <c r="E31" s="177"/>
      <c r="F31" s="176"/>
      <c r="G31" s="176"/>
      <c r="H31" s="171"/>
      <c r="I31" s="171" t="str">
        <f t="shared" si="0"/>
        <v/>
      </c>
      <c r="J31" s="176"/>
      <c r="K31" s="176"/>
      <c r="L31" s="132"/>
      <c r="M31" s="132"/>
      <c r="N31" s="132"/>
      <c r="O31" s="132"/>
      <c r="P31" s="132"/>
      <c r="Q31" s="132" t="str">
        <f t="shared" si="1"/>
        <v/>
      </c>
    </row>
    <row r="32" spans="1:17">
      <c r="A32" s="131"/>
      <c r="B32" s="132"/>
      <c r="C32" s="132"/>
      <c r="D32" s="132"/>
      <c r="E32" s="177"/>
      <c r="F32" s="176"/>
      <c r="G32" s="176"/>
      <c r="H32" s="171"/>
      <c r="I32" s="171" t="str">
        <f t="shared" si="0"/>
        <v/>
      </c>
      <c r="J32" s="176"/>
      <c r="K32" s="176"/>
      <c r="L32" s="132"/>
      <c r="M32" s="132"/>
      <c r="N32" s="132"/>
      <c r="O32" s="132"/>
      <c r="P32" s="132"/>
      <c r="Q32" s="132" t="str">
        <f t="shared" si="1"/>
        <v/>
      </c>
    </row>
    <row r="33" spans="1:17">
      <c r="A33" s="131"/>
      <c r="B33" s="132"/>
      <c r="C33" s="132"/>
      <c r="D33" s="132"/>
      <c r="E33" s="177"/>
      <c r="F33" s="176"/>
      <c r="G33" s="176"/>
      <c r="H33" s="171"/>
      <c r="I33" s="171" t="str">
        <f t="shared" si="0"/>
        <v/>
      </c>
      <c r="J33" s="176"/>
      <c r="K33" s="176"/>
      <c r="L33" s="132"/>
      <c r="M33" s="132"/>
      <c r="N33" s="132"/>
      <c r="O33" s="132"/>
      <c r="P33" s="132"/>
      <c r="Q33" s="132" t="str">
        <f t="shared" si="1"/>
        <v/>
      </c>
    </row>
    <row r="34" spans="1:17">
      <c r="A34" s="131"/>
      <c r="B34" s="132"/>
      <c r="C34" s="132"/>
      <c r="D34" s="132"/>
      <c r="E34" s="177"/>
      <c r="F34" s="176"/>
      <c r="G34" s="176"/>
      <c r="H34" s="171"/>
      <c r="I34" s="171" t="str">
        <f t="shared" si="0"/>
        <v/>
      </c>
      <c r="J34" s="176"/>
      <c r="K34" s="176"/>
      <c r="L34" s="132"/>
      <c r="M34" s="132"/>
      <c r="N34" s="132"/>
      <c r="O34" s="132"/>
      <c r="P34" s="132"/>
      <c r="Q34" s="132" t="str">
        <f t="shared" si="1"/>
        <v/>
      </c>
    </row>
    <row r="35" spans="1:17">
      <c r="A35" s="131"/>
      <c r="B35" s="132"/>
      <c r="C35" s="132"/>
      <c r="D35" s="132"/>
      <c r="E35" s="177"/>
      <c r="F35" s="176"/>
      <c r="G35" s="176"/>
      <c r="H35" s="171"/>
      <c r="I35" s="171" t="str">
        <f t="shared" si="0"/>
        <v/>
      </c>
      <c r="J35" s="176"/>
      <c r="K35" s="176"/>
      <c r="L35" s="132"/>
      <c r="M35" s="132"/>
      <c r="N35" s="132"/>
      <c r="O35" s="132"/>
      <c r="P35" s="132"/>
      <c r="Q35" s="132" t="str">
        <f t="shared" si="1"/>
        <v/>
      </c>
    </row>
    <row r="36" spans="1:17">
      <c r="A36" s="131"/>
      <c r="B36" s="132"/>
      <c r="C36" s="132"/>
      <c r="D36" s="132"/>
      <c r="E36" s="177"/>
      <c r="F36" s="176"/>
      <c r="G36" s="176"/>
      <c r="H36" s="171"/>
      <c r="I36" s="171" t="str">
        <f t="shared" si="0"/>
        <v/>
      </c>
      <c r="J36" s="176"/>
      <c r="K36" s="176"/>
      <c r="L36" s="132"/>
      <c r="M36" s="132"/>
      <c r="N36" s="132"/>
      <c r="O36" s="132"/>
      <c r="P36" s="132"/>
      <c r="Q36" s="132" t="str">
        <f t="shared" si="1"/>
        <v/>
      </c>
    </row>
    <row r="37" spans="1:17">
      <c r="A37" s="131"/>
      <c r="B37" s="132"/>
      <c r="C37" s="132"/>
      <c r="D37" s="132"/>
      <c r="E37" s="177"/>
      <c r="F37" s="176"/>
      <c r="G37" s="176"/>
      <c r="H37" s="171"/>
      <c r="I37" s="171" t="str">
        <f t="shared" ref="I37:I68" si="2">IF(G37="","",IF(D37="USD",G37*H37,G37))</f>
        <v/>
      </c>
      <c r="J37" s="176"/>
      <c r="K37" s="176"/>
      <c r="L37" s="132"/>
      <c r="M37" s="132"/>
      <c r="N37" s="132"/>
      <c r="O37" s="132"/>
      <c r="P37" s="132"/>
      <c r="Q37" s="132" t="str">
        <f t="shared" ref="Q37:Q68" si="3">IF(B37="","",TEXT(A37,"yyyymmdd")&amp;"-"&amp;B37)</f>
        <v/>
      </c>
    </row>
    <row r="38" spans="1:17">
      <c r="A38" s="131"/>
      <c r="B38" s="132"/>
      <c r="C38" s="132"/>
      <c r="D38" s="132"/>
      <c r="E38" s="177"/>
      <c r="F38" s="176"/>
      <c r="G38" s="176"/>
      <c r="H38" s="171"/>
      <c r="I38" s="171" t="str">
        <f t="shared" si="2"/>
        <v/>
      </c>
      <c r="J38" s="176"/>
      <c r="K38" s="176"/>
      <c r="L38" s="132"/>
      <c r="M38" s="132"/>
      <c r="N38" s="132"/>
      <c r="O38" s="132"/>
      <c r="P38" s="132"/>
      <c r="Q38" s="132" t="str">
        <f t="shared" si="3"/>
        <v/>
      </c>
    </row>
    <row r="39" spans="1:17">
      <c r="A39" s="131"/>
      <c r="B39" s="132"/>
      <c r="C39" s="132"/>
      <c r="D39" s="132"/>
      <c r="E39" s="177"/>
      <c r="F39" s="176"/>
      <c r="G39" s="176"/>
      <c r="H39" s="171"/>
      <c r="I39" s="171" t="str">
        <f t="shared" si="2"/>
        <v/>
      </c>
      <c r="J39" s="176"/>
      <c r="K39" s="176"/>
      <c r="L39" s="132"/>
      <c r="M39" s="132"/>
      <c r="N39" s="132"/>
      <c r="O39" s="132"/>
      <c r="P39" s="132"/>
      <c r="Q39" s="132" t="str">
        <f t="shared" si="3"/>
        <v/>
      </c>
    </row>
    <row r="40" spans="1:17">
      <c r="A40" s="131"/>
      <c r="B40" s="132"/>
      <c r="C40" s="132"/>
      <c r="D40" s="132"/>
      <c r="E40" s="177"/>
      <c r="F40" s="176"/>
      <c r="G40" s="176"/>
      <c r="H40" s="171"/>
      <c r="I40" s="171" t="str">
        <f t="shared" si="2"/>
        <v/>
      </c>
      <c r="J40" s="176"/>
      <c r="K40" s="176"/>
      <c r="L40" s="132"/>
      <c r="M40" s="132"/>
      <c r="N40" s="132"/>
      <c r="O40" s="132"/>
      <c r="P40" s="132"/>
      <c r="Q40" s="132" t="str">
        <f t="shared" si="3"/>
        <v/>
      </c>
    </row>
    <row r="41" spans="1:17">
      <c r="A41" s="131"/>
      <c r="B41" s="132"/>
      <c r="C41" s="132"/>
      <c r="D41" s="132"/>
      <c r="E41" s="177"/>
      <c r="F41" s="176"/>
      <c r="G41" s="176"/>
      <c r="H41" s="171"/>
      <c r="I41" s="171" t="str">
        <f t="shared" si="2"/>
        <v/>
      </c>
      <c r="J41" s="176"/>
      <c r="K41" s="176"/>
      <c r="L41" s="132"/>
      <c r="M41" s="132"/>
      <c r="N41" s="132"/>
      <c r="O41" s="132"/>
      <c r="P41" s="132"/>
      <c r="Q41" s="132" t="str">
        <f t="shared" si="3"/>
        <v/>
      </c>
    </row>
    <row r="42" spans="1:17">
      <c r="A42" s="131"/>
      <c r="B42" s="132"/>
      <c r="C42" s="132"/>
      <c r="D42" s="132"/>
      <c r="E42" s="177"/>
      <c r="F42" s="176"/>
      <c r="G42" s="176"/>
      <c r="H42" s="171"/>
      <c r="I42" s="171" t="str">
        <f t="shared" si="2"/>
        <v/>
      </c>
      <c r="J42" s="176"/>
      <c r="K42" s="176"/>
      <c r="L42" s="132"/>
      <c r="M42" s="132"/>
      <c r="N42" s="132"/>
      <c r="O42" s="132"/>
      <c r="P42" s="132"/>
      <c r="Q42" s="132" t="str">
        <f t="shared" si="3"/>
        <v/>
      </c>
    </row>
    <row r="43" spans="1:17">
      <c r="A43" s="131"/>
      <c r="B43" s="132"/>
      <c r="C43" s="132"/>
      <c r="D43" s="132"/>
      <c r="E43" s="177"/>
      <c r="F43" s="176"/>
      <c r="G43" s="176"/>
      <c r="H43" s="171"/>
      <c r="I43" s="171" t="str">
        <f t="shared" si="2"/>
        <v/>
      </c>
      <c r="J43" s="176"/>
      <c r="K43" s="176"/>
      <c r="L43" s="132"/>
      <c r="M43" s="132"/>
      <c r="N43" s="132"/>
      <c r="O43" s="132"/>
      <c r="P43" s="132"/>
      <c r="Q43" s="132" t="str">
        <f t="shared" si="3"/>
        <v/>
      </c>
    </row>
    <row r="44" spans="1:17">
      <c r="A44" s="131"/>
      <c r="B44" s="132"/>
      <c r="C44" s="132"/>
      <c r="D44" s="132"/>
      <c r="E44" s="177"/>
      <c r="F44" s="176"/>
      <c r="G44" s="176"/>
      <c r="H44" s="171"/>
      <c r="I44" s="171" t="str">
        <f t="shared" si="2"/>
        <v/>
      </c>
      <c r="J44" s="176"/>
      <c r="K44" s="176"/>
      <c r="L44" s="132"/>
      <c r="M44" s="132"/>
      <c r="N44" s="132"/>
      <c r="O44" s="132"/>
      <c r="P44" s="132"/>
      <c r="Q44" s="132" t="str">
        <f t="shared" si="3"/>
        <v/>
      </c>
    </row>
    <row r="45" spans="1:17">
      <c r="A45" s="131"/>
      <c r="B45" s="132"/>
      <c r="C45" s="132"/>
      <c r="D45" s="132"/>
      <c r="E45" s="177"/>
      <c r="F45" s="176"/>
      <c r="G45" s="176"/>
      <c r="H45" s="171"/>
      <c r="I45" s="171" t="str">
        <f t="shared" si="2"/>
        <v/>
      </c>
      <c r="J45" s="176"/>
      <c r="K45" s="176"/>
      <c r="L45" s="132"/>
      <c r="M45" s="132"/>
      <c r="N45" s="132"/>
      <c r="O45" s="132"/>
      <c r="P45" s="132"/>
      <c r="Q45" s="132" t="str">
        <f t="shared" si="3"/>
        <v/>
      </c>
    </row>
    <row r="46" spans="1:17">
      <c r="A46" s="131"/>
      <c r="B46" s="132"/>
      <c r="C46" s="132"/>
      <c r="D46" s="132"/>
      <c r="E46" s="177"/>
      <c r="F46" s="176"/>
      <c r="G46" s="176"/>
      <c r="H46" s="171"/>
      <c r="I46" s="171" t="str">
        <f t="shared" si="2"/>
        <v/>
      </c>
      <c r="J46" s="176"/>
      <c r="K46" s="176"/>
      <c r="L46" s="132"/>
      <c r="M46" s="132"/>
      <c r="N46" s="132"/>
      <c r="O46" s="132"/>
      <c r="P46" s="132"/>
      <c r="Q46" s="132" t="str">
        <f t="shared" si="3"/>
        <v/>
      </c>
    </row>
    <row r="47" spans="1:17">
      <c r="A47" s="131"/>
      <c r="B47" s="132"/>
      <c r="C47" s="132"/>
      <c r="D47" s="132"/>
      <c r="E47" s="177"/>
      <c r="F47" s="176"/>
      <c r="G47" s="176"/>
      <c r="H47" s="171"/>
      <c r="I47" s="171" t="str">
        <f t="shared" si="2"/>
        <v/>
      </c>
      <c r="J47" s="176"/>
      <c r="K47" s="176"/>
      <c r="L47" s="132"/>
      <c r="M47" s="132"/>
      <c r="N47" s="132"/>
      <c r="O47" s="132"/>
      <c r="P47" s="132"/>
      <c r="Q47" s="132" t="str">
        <f t="shared" si="3"/>
        <v/>
      </c>
    </row>
    <row r="48" spans="1:17">
      <c r="A48" s="131"/>
      <c r="B48" s="132"/>
      <c r="C48" s="132"/>
      <c r="D48" s="132"/>
      <c r="E48" s="177"/>
      <c r="F48" s="176"/>
      <c r="G48" s="176"/>
      <c r="H48" s="171"/>
      <c r="I48" s="171" t="str">
        <f t="shared" si="2"/>
        <v/>
      </c>
      <c r="J48" s="176"/>
      <c r="K48" s="176"/>
      <c r="L48" s="132"/>
      <c r="M48" s="132"/>
      <c r="N48" s="132"/>
      <c r="O48" s="132"/>
      <c r="P48" s="132"/>
      <c r="Q48" s="132" t="str">
        <f t="shared" si="3"/>
        <v/>
      </c>
    </row>
    <row r="49" spans="1:17">
      <c r="A49" s="131"/>
      <c r="B49" s="132"/>
      <c r="C49" s="132"/>
      <c r="D49" s="132"/>
      <c r="E49" s="177"/>
      <c r="F49" s="176"/>
      <c r="G49" s="176"/>
      <c r="H49" s="171"/>
      <c r="I49" s="171" t="str">
        <f t="shared" si="2"/>
        <v/>
      </c>
      <c r="J49" s="176"/>
      <c r="K49" s="176"/>
      <c r="L49" s="132"/>
      <c r="M49" s="132"/>
      <c r="N49" s="132"/>
      <c r="O49" s="132"/>
      <c r="P49" s="132"/>
      <c r="Q49" s="132" t="str">
        <f t="shared" si="3"/>
        <v/>
      </c>
    </row>
    <row r="50" spans="1:17">
      <c r="A50" s="131"/>
      <c r="B50" s="132"/>
      <c r="C50" s="132"/>
      <c r="D50" s="132"/>
      <c r="E50" s="177"/>
      <c r="F50" s="176"/>
      <c r="G50" s="176"/>
      <c r="H50" s="171"/>
      <c r="I50" s="171" t="str">
        <f t="shared" si="2"/>
        <v/>
      </c>
      <c r="J50" s="176"/>
      <c r="K50" s="176"/>
      <c r="L50" s="132"/>
      <c r="M50" s="132"/>
      <c r="N50" s="132"/>
      <c r="O50" s="132"/>
      <c r="P50" s="132"/>
      <c r="Q50" s="132" t="str">
        <f t="shared" si="3"/>
        <v/>
      </c>
    </row>
    <row r="51" spans="1:17">
      <c r="A51" s="131"/>
      <c r="B51" s="132"/>
      <c r="C51" s="132"/>
      <c r="D51" s="132"/>
      <c r="E51" s="177"/>
      <c r="F51" s="176"/>
      <c r="G51" s="176"/>
      <c r="H51" s="171"/>
      <c r="I51" s="171" t="str">
        <f t="shared" si="2"/>
        <v/>
      </c>
      <c r="J51" s="176"/>
      <c r="K51" s="176"/>
      <c r="L51" s="132"/>
      <c r="M51" s="132"/>
      <c r="N51" s="132"/>
      <c r="O51" s="132"/>
      <c r="P51" s="132"/>
      <c r="Q51" s="132" t="str">
        <f t="shared" si="3"/>
        <v/>
      </c>
    </row>
    <row r="52" spans="1:17">
      <c r="A52" s="131"/>
      <c r="B52" s="132"/>
      <c r="C52" s="132"/>
      <c r="D52" s="132"/>
      <c r="E52" s="177"/>
      <c r="F52" s="176"/>
      <c r="G52" s="176"/>
      <c r="H52" s="171"/>
      <c r="I52" s="171" t="str">
        <f t="shared" si="2"/>
        <v/>
      </c>
      <c r="J52" s="176"/>
      <c r="K52" s="176"/>
      <c r="L52" s="132"/>
      <c r="M52" s="132"/>
      <c r="N52" s="132"/>
      <c r="O52" s="132"/>
      <c r="P52" s="132"/>
      <c r="Q52" s="132" t="str">
        <f t="shared" si="3"/>
        <v/>
      </c>
    </row>
    <row r="53" spans="1:17">
      <c r="A53" s="131"/>
      <c r="B53" s="132"/>
      <c r="C53" s="132"/>
      <c r="D53" s="132"/>
      <c r="E53" s="177"/>
      <c r="F53" s="176"/>
      <c r="G53" s="176"/>
      <c r="H53" s="171"/>
      <c r="I53" s="171" t="str">
        <f t="shared" si="2"/>
        <v/>
      </c>
      <c r="J53" s="176"/>
      <c r="K53" s="176"/>
      <c r="L53" s="132"/>
      <c r="M53" s="132"/>
      <c r="N53" s="132"/>
      <c r="O53" s="132"/>
      <c r="P53" s="132"/>
      <c r="Q53" s="132" t="str">
        <f t="shared" si="3"/>
        <v/>
      </c>
    </row>
    <row r="54" spans="1:17">
      <c r="A54" s="131"/>
      <c r="B54" s="132"/>
      <c r="C54" s="132"/>
      <c r="D54" s="132"/>
      <c r="E54" s="177"/>
      <c r="F54" s="176"/>
      <c r="G54" s="176"/>
      <c r="H54" s="171"/>
      <c r="I54" s="171" t="str">
        <f t="shared" si="2"/>
        <v/>
      </c>
      <c r="J54" s="176"/>
      <c r="K54" s="176"/>
      <c r="L54" s="132"/>
      <c r="M54" s="132"/>
      <c r="N54" s="132"/>
      <c r="O54" s="132"/>
      <c r="P54" s="132"/>
      <c r="Q54" s="132" t="str">
        <f t="shared" si="3"/>
        <v/>
      </c>
    </row>
    <row r="55" spans="1:17">
      <c r="A55" s="131"/>
      <c r="B55" s="132"/>
      <c r="C55" s="132"/>
      <c r="D55" s="132"/>
      <c r="E55" s="177"/>
      <c r="F55" s="176"/>
      <c r="G55" s="176"/>
      <c r="H55" s="171"/>
      <c r="I55" s="171" t="str">
        <f t="shared" si="2"/>
        <v/>
      </c>
      <c r="J55" s="176"/>
      <c r="K55" s="176"/>
      <c r="L55" s="132"/>
      <c r="M55" s="132"/>
      <c r="N55" s="132"/>
      <c r="O55" s="132"/>
      <c r="P55" s="132"/>
      <c r="Q55" s="132" t="str">
        <f t="shared" si="3"/>
        <v/>
      </c>
    </row>
    <row r="56" spans="1:17">
      <c r="A56" s="131"/>
      <c r="B56" s="132"/>
      <c r="C56" s="132"/>
      <c r="D56" s="132"/>
      <c r="E56" s="177"/>
      <c r="F56" s="176"/>
      <c r="G56" s="176"/>
      <c r="H56" s="171"/>
      <c r="I56" s="171" t="str">
        <f t="shared" si="2"/>
        <v/>
      </c>
      <c r="J56" s="176"/>
      <c r="K56" s="176"/>
      <c r="L56" s="132"/>
      <c r="M56" s="132"/>
      <c r="N56" s="132"/>
      <c r="O56" s="132"/>
      <c r="P56" s="132"/>
      <c r="Q56" s="132" t="str">
        <f t="shared" si="3"/>
        <v/>
      </c>
    </row>
    <row r="57" spans="1:17">
      <c r="A57" s="131"/>
      <c r="B57" s="132"/>
      <c r="C57" s="132"/>
      <c r="D57" s="132"/>
      <c r="E57" s="177"/>
      <c r="F57" s="176"/>
      <c r="G57" s="176"/>
      <c r="H57" s="171"/>
      <c r="I57" s="171" t="str">
        <f t="shared" si="2"/>
        <v/>
      </c>
      <c r="J57" s="176"/>
      <c r="K57" s="176"/>
      <c r="L57" s="132"/>
      <c r="M57" s="132"/>
      <c r="N57" s="132"/>
      <c r="O57" s="132"/>
      <c r="P57" s="132"/>
      <c r="Q57" s="132" t="str">
        <f t="shared" si="3"/>
        <v/>
      </c>
    </row>
    <row r="58" spans="1:17">
      <c r="A58" s="131"/>
      <c r="B58" s="132"/>
      <c r="C58" s="132"/>
      <c r="D58" s="132"/>
      <c r="E58" s="177"/>
      <c r="F58" s="176"/>
      <c r="G58" s="176"/>
      <c r="H58" s="171"/>
      <c r="I58" s="171" t="str">
        <f t="shared" si="2"/>
        <v/>
      </c>
      <c r="J58" s="176"/>
      <c r="K58" s="176"/>
      <c r="L58" s="132"/>
      <c r="M58" s="132"/>
      <c r="N58" s="132"/>
      <c r="O58" s="132"/>
      <c r="P58" s="132"/>
      <c r="Q58" s="132" t="str">
        <f t="shared" si="3"/>
        <v/>
      </c>
    </row>
    <row r="59" spans="1:17">
      <c r="A59" s="131"/>
      <c r="B59" s="132"/>
      <c r="C59" s="132"/>
      <c r="D59" s="132"/>
      <c r="E59" s="177"/>
      <c r="F59" s="176"/>
      <c r="G59" s="176"/>
      <c r="H59" s="171"/>
      <c r="I59" s="171" t="str">
        <f t="shared" si="2"/>
        <v/>
      </c>
      <c r="J59" s="176"/>
      <c r="K59" s="176"/>
      <c r="L59" s="132"/>
      <c r="M59" s="132"/>
      <c r="N59" s="132"/>
      <c r="O59" s="132"/>
      <c r="P59" s="132"/>
      <c r="Q59" s="132" t="str">
        <f t="shared" si="3"/>
        <v/>
      </c>
    </row>
    <row r="60" spans="1:17">
      <c r="A60" s="131"/>
      <c r="B60" s="132"/>
      <c r="C60" s="132"/>
      <c r="D60" s="132"/>
      <c r="E60" s="177"/>
      <c r="F60" s="176"/>
      <c r="G60" s="176"/>
      <c r="H60" s="171"/>
      <c r="I60" s="171" t="str">
        <f t="shared" si="2"/>
        <v/>
      </c>
      <c r="J60" s="176"/>
      <c r="K60" s="176"/>
      <c r="L60" s="132"/>
      <c r="M60" s="132"/>
      <c r="N60" s="132"/>
      <c r="O60" s="132"/>
      <c r="P60" s="132"/>
      <c r="Q60" s="132" t="str">
        <f t="shared" si="3"/>
        <v/>
      </c>
    </row>
    <row r="61" spans="1:17">
      <c r="A61" s="131"/>
      <c r="B61" s="132"/>
      <c r="C61" s="132"/>
      <c r="D61" s="132"/>
      <c r="E61" s="177"/>
      <c r="F61" s="176"/>
      <c r="G61" s="176"/>
      <c r="H61" s="171"/>
      <c r="I61" s="171" t="str">
        <f t="shared" si="2"/>
        <v/>
      </c>
      <c r="J61" s="176"/>
      <c r="K61" s="176"/>
      <c r="L61" s="132"/>
      <c r="M61" s="132"/>
      <c r="N61" s="132"/>
      <c r="O61" s="132"/>
      <c r="P61" s="132"/>
      <c r="Q61" s="132" t="str">
        <f t="shared" si="3"/>
        <v/>
      </c>
    </row>
    <row r="62" spans="1:17">
      <c r="A62" s="131"/>
      <c r="B62" s="132"/>
      <c r="C62" s="132"/>
      <c r="D62" s="132"/>
      <c r="E62" s="177"/>
      <c r="F62" s="176"/>
      <c r="G62" s="176"/>
      <c r="H62" s="171"/>
      <c r="I62" s="171" t="str">
        <f t="shared" si="2"/>
        <v/>
      </c>
      <c r="J62" s="176"/>
      <c r="K62" s="176"/>
      <c r="L62" s="132"/>
      <c r="M62" s="132"/>
      <c r="N62" s="132"/>
      <c r="O62" s="132"/>
      <c r="P62" s="132"/>
      <c r="Q62" s="132" t="str">
        <f t="shared" si="3"/>
        <v/>
      </c>
    </row>
    <row r="63" spans="1:17">
      <c r="A63" s="131"/>
      <c r="B63" s="132"/>
      <c r="C63" s="132"/>
      <c r="D63" s="132"/>
      <c r="E63" s="177"/>
      <c r="F63" s="176"/>
      <c r="G63" s="176"/>
      <c r="H63" s="171"/>
      <c r="I63" s="171" t="str">
        <f t="shared" si="2"/>
        <v/>
      </c>
      <c r="J63" s="176"/>
      <c r="K63" s="176"/>
      <c r="L63" s="132"/>
      <c r="M63" s="132"/>
      <c r="N63" s="132"/>
      <c r="O63" s="132"/>
      <c r="P63" s="132"/>
      <c r="Q63" s="132" t="str">
        <f t="shared" si="3"/>
        <v/>
      </c>
    </row>
    <row r="64" spans="1:17">
      <c r="A64" s="131"/>
      <c r="B64" s="132"/>
      <c r="C64" s="132"/>
      <c r="D64" s="132"/>
      <c r="E64" s="177"/>
      <c r="F64" s="176"/>
      <c r="G64" s="176"/>
      <c r="H64" s="171"/>
      <c r="I64" s="171" t="str">
        <f t="shared" si="2"/>
        <v/>
      </c>
      <c r="J64" s="176"/>
      <c r="K64" s="176"/>
      <c r="L64" s="132"/>
      <c r="M64" s="132"/>
      <c r="N64" s="132"/>
      <c r="O64" s="132"/>
      <c r="P64" s="132"/>
      <c r="Q64" s="132" t="str">
        <f t="shared" si="3"/>
        <v/>
      </c>
    </row>
    <row r="65" spans="1:17">
      <c r="A65" s="131"/>
      <c r="B65" s="132"/>
      <c r="C65" s="132"/>
      <c r="D65" s="132"/>
      <c r="E65" s="177"/>
      <c r="F65" s="176"/>
      <c r="G65" s="176"/>
      <c r="H65" s="171"/>
      <c r="I65" s="171" t="str">
        <f t="shared" si="2"/>
        <v/>
      </c>
      <c r="J65" s="176"/>
      <c r="K65" s="176"/>
      <c r="L65" s="132"/>
      <c r="M65" s="132"/>
      <c r="N65" s="132"/>
      <c r="O65" s="132"/>
      <c r="P65" s="132"/>
      <c r="Q65" s="132" t="str">
        <f t="shared" si="3"/>
        <v/>
      </c>
    </row>
    <row r="66" spans="1:17">
      <c r="A66" s="131"/>
      <c r="B66" s="132"/>
      <c r="C66" s="132"/>
      <c r="D66" s="132"/>
      <c r="E66" s="177"/>
      <c r="F66" s="176"/>
      <c r="G66" s="176"/>
      <c r="H66" s="171"/>
      <c r="I66" s="171" t="str">
        <f t="shared" si="2"/>
        <v/>
      </c>
      <c r="J66" s="176"/>
      <c r="K66" s="176"/>
      <c r="L66" s="132"/>
      <c r="M66" s="132"/>
      <c r="N66" s="132"/>
      <c r="O66" s="132"/>
      <c r="P66" s="132"/>
      <c r="Q66" s="132" t="str">
        <f t="shared" si="3"/>
        <v/>
      </c>
    </row>
    <row r="67" spans="1:17">
      <c r="A67" s="131"/>
      <c r="B67" s="132"/>
      <c r="C67" s="132"/>
      <c r="D67" s="132"/>
      <c r="E67" s="177"/>
      <c r="F67" s="176"/>
      <c r="G67" s="176"/>
      <c r="H67" s="171"/>
      <c r="I67" s="171" t="str">
        <f t="shared" si="2"/>
        <v/>
      </c>
      <c r="J67" s="176"/>
      <c r="K67" s="176"/>
      <c r="L67" s="132"/>
      <c r="M67" s="132"/>
      <c r="N67" s="132"/>
      <c r="O67" s="132"/>
      <c r="P67" s="132"/>
      <c r="Q67" s="132" t="str">
        <f t="shared" si="3"/>
        <v/>
      </c>
    </row>
    <row r="68" spans="1:17">
      <c r="A68" s="131"/>
      <c r="B68" s="132"/>
      <c r="C68" s="132"/>
      <c r="D68" s="132"/>
      <c r="E68" s="177"/>
      <c r="F68" s="176"/>
      <c r="G68" s="176"/>
      <c r="H68" s="171"/>
      <c r="I68" s="171" t="str">
        <f t="shared" si="2"/>
        <v/>
      </c>
      <c r="J68" s="176"/>
      <c r="K68" s="176"/>
      <c r="L68" s="132"/>
      <c r="M68" s="132"/>
      <c r="N68" s="132"/>
      <c r="O68" s="132"/>
      <c r="P68" s="132"/>
      <c r="Q68" s="132" t="str">
        <f t="shared" si="3"/>
        <v/>
      </c>
    </row>
    <row r="69" spans="1:17">
      <c r="A69" s="131"/>
      <c r="B69" s="132"/>
      <c r="C69" s="132"/>
      <c r="D69" s="132"/>
      <c r="E69" s="177"/>
      <c r="F69" s="176"/>
      <c r="G69" s="176"/>
      <c r="H69" s="171"/>
      <c r="I69" s="171" t="str">
        <f t="shared" ref="I69:I100" si="4">IF(G69="","",IF(D69="USD",G69*H69,G69))</f>
        <v/>
      </c>
      <c r="J69" s="176"/>
      <c r="K69" s="176"/>
      <c r="L69" s="132"/>
      <c r="M69" s="132"/>
      <c r="N69" s="132"/>
      <c r="O69" s="132"/>
      <c r="P69" s="132"/>
      <c r="Q69" s="132" t="str">
        <f t="shared" ref="Q69:Q100" si="5">IF(B69="","",TEXT(A69,"yyyymmdd")&amp;"-"&amp;B69)</f>
        <v/>
      </c>
    </row>
    <row r="70" spans="1:17">
      <c r="A70" s="131"/>
      <c r="B70" s="132"/>
      <c r="C70" s="132"/>
      <c r="D70" s="132"/>
      <c r="E70" s="177"/>
      <c r="F70" s="176"/>
      <c r="G70" s="176"/>
      <c r="H70" s="171"/>
      <c r="I70" s="171" t="str">
        <f t="shared" si="4"/>
        <v/>
      </c>
      <c r="J70" s="176"/>
      <c r="K70" s="176"/>
      <c r="L70" s="132"/>
      <c r="M70" s="132"/>
      <c r="N70" s="132"/>
      <c r="O70" s="132"/>
      <c r="P70" s="132"/>
      <c r="Q70" s="132" t="str">
        <f t="shared" si="5"/>
        <v/>
      </c>
    </row>
    <row r="71" spans="1:17">
      <c r="A71" s="131"/>
      <c r="B71" s="132"/>
      <c r="C71" s="132"/>
      <c r="D71" s="132"/>
      <c r="E71" s="177"/>
      <c r="F71" s="176"/>
      <c r="G71" s="176"/>
      <c r="H71" s="171"/>
      <c r="I71" s="171" t="str">
        <f t="shared" si="4"/>
        <v/>
      </c>
      <c r="J71" s="176"/>
      <c r="K71" s="176"/>
      <c r="L71" s="132"/>
      <c r="M71" s="132"/>
      <c r="N71" s="132"/>
      <c r="O71" s="132"/>
      <c r="P71" s="132"/>
      <c r="Q71" s="132" t="str">
        <f t="shared" si="5"/>
        <v/>
      </c>
    </row>
    <row r="72" spans="1:17">
      <c r="A72" s="131"/>
      <c r="B72" s="132"/>
      <c r="C72" s="132"/>
      <c r="D72" s="132"/>
      <c r="E72" s="177"/>
      <c r="F72" s="176"/>
      <c r="G72" s="176"/>
      <c r="H72" s="171"/>
      <c r="I72" s="171" t="str">
        <f t="shared" si="4"/>
        <v/>
      </c>
      <c r="J72" s="176"/>
      <c r="K72" s="176"/>
      <c r="L72" s="132"/>
      <c r="M72" s="132"/>
      <c r="N72" s="132"/>
      <c r="O72" s="132"/>
      <c r="P72" s="132"/>
      <c r="Q72" s="132" t="str">
        <f t="shared" si="5"/>
        <v/>
      </c>
    </row>
    <row r="73" spans="1:17">
      <c r="A73" s="131"/>
      <c r="B73" s="132"/>
      <c r="C73" s="132"/>
      <c r="D73" s="132"/>
      <c r="E73" s="177"/>
      <c r="F73" s="176"/>
      <c r="G73" s="176"/>
      <c r="H73" s="171"/>
      <c r="I73" s="171" t="str">
        <f t="shared" si="4"/>
        <v/>
      </c>
      <c r="J73" s="176"/>
      <c r="K73" s="176"/>
      <c r="L73" s="132"/>
      <c r="M73" s="132"/>
      <c r="N73" s="132"/>
      <c r="O73" s="132"/>
      <c r="P73" s="132"/>
      <c r="Q73" s="132" t="str">
        <f t="shared" si="5"/>
        <v/>
      </c>
    </row>
    <row r="74" spans="1:17">
      <c r="A74" s="131"/>
      <c r="B74" s="132"/>
      <c r="C74" s="132"/>
      <c r="D74" s="132"/>
      <c r="E74" s="177"/>
      <c r="F74" s="176"/>
      <c r="G74" s="176"/>
      <c r="H74" s="171"/>
      <c r="I74" s="171" t="str">
        <f t="shared" si="4"/>
        <v/>
      </c>
      <c r="J74" s="176"/>
      <c r="K74" s="176"/>
      <c r="L74" s="132"/>
      <c r="M74" s="132"/>
      <c r="N74" s="132"/>
      <c r="O74" s="132"/>
      <c r="P74" s="132"/>
      <c r="Q74" s="132" t="str">
        <f t="shared" si="5"/>
        <v/>
      </c>
    </row>
    <row r="75" spans="1:17">
      <c r="A75" s="131"/>
      <c r="B75" s="132"/>
      <c r="C75" s="132"/>
      <c r="D75" s="132"/>
      <c r="E75" s="177"/>
      <c r="F75" s="176"/>
      <c r="G75" s="176"/>
      <c r="H75" s="171"/>
      <c r="I75" s="171" t="str">
        <f t="shared" si="4"/>
        <v/>
      </c>
      <c r="J75" s="176"/>
      <c r="K75" s="176"/>
      <c r="L75" s="132"/>
      <c r="M75" s="132"/>
      <c r="N75" s="132"/>
      <c r="O75" s="132"/>
      <c r="P75" s="132"/>
      <c r="Q75" s="132" t="str">
        <f t="shared" si="5"/>
        <v/>
      </c>
    </row>
    <row r="76" spans="1:17">
      <c r="A76" s="131"/>
      <c r="B76" s="132"/>
      <c r="C76" s="132"/>
      <c r="D76" s="132"/>
      <c r="E76" s="177"/>
      <c r="F76" s="176"/>
      <c r="G76" s="176"/>
      <c r="H76" s="171"/>
      <c r="I76" s="171" t="str">
        <f t="shared" si="4"/>
        <v/>
      </c>
      <c r="J76" s="176"/>
      <c r="K76" s="176"/>
      <c r="L76" s="132"/>
      <c r="M76" s="132"/>
      <c r="N76" s="132"/>
      <c r="O76" s="132"/>
      <c r="P76" s="132"/>
      <c r="Q76" s="132" t="str">
        <f t="shared" si="5"/>
        <v/>
      </c>
    </row>
    <row r="77" spans="1:17">
      <c r="A77" s="131"/>
      <c r="B77" s="132"/>
      <c r="C77" s="132"/>
      <c r="D77" s="132"/>
      <c r="E77" s="177"/>
      <c r="F77" s="176"/>
      <c r="G77" s="176"/>
      <c r="H77" s="171"/>
      <c r="I77" s="171" t="str">
        <f t="shared" si="4"/>
        <v/>
      </c>
      <c r="J77" s="176"/>
      <c r="K77" s="176"/>
      <c r="L77" s="132"/>
      <c r="M77" s="132"/>
      <c r="N77" s="132"/>
      <c r="O77" s="132"/>
      <c r="P77" s="132"/>
      <c r="Q77" s="132" t="str">
        <f t="shared" si="5"/>
        <v/>
      </c>
    </row>
    <row r="78" spans="1:17">
      <c r="A78" s="131"/>
      <c r="B78" s="132"/>
      <c r="C78" s="132"/>
      <c r="D78" s="132"/>
      <c r="E78" s="177"/>
      <c r="F78" s="176"/>
      <c r="G78" s="176"/>
      <c r="H78" s="171"/>
      <c r="I78" s="171" t="str">
        <f t="shared" si="4"/>
        <v/>
      </c>
      <c r="J78" s="176"/>
      <c r="K78" s="176"/>
      <c r="L78" s="132"/>
      <c r="M78" s="132"/>
      <c r="N78" s="132"/>
      <c r="O78" s="132"/>
      <c r="P78" s="132"/>
      <c r="Q78" s="132" t="str">
        <f t="shared" si="5"/>
        <v/>
      </c>
    </row>
    <row r="79" spans="1:17">
      <c r="A79" s="131"/>
      <c r="B79" s="132"/>
      <c r="C79" s="132"/>
      <c r="D79" s="132"/>
      <c r="E79" s="177"/>
      <c r="F79" s="176"/>
      <c r="G79" s="176"/>
      <c r="H79" s="171"/>
      <c r="I79" s="171" t="str">
        <f t="shared" si="4"/>
        <v/>
      </c>
      <c r="J79" s="176"/>
      <c r="K79" s="176"/>
      <c r="L79" s="132"/>
      <c r="M79" s="132"/>
      <c r="N79" s="132"/>
      <c r="O79" s="132"/>
      <c r="P79" s="132"/>
      <c r="Q79" s="132" t="str">
        <f t="shared" si="5"/>
        <v/>
      </c>
    </row>
    <row r="80" spans="1:17">
      <c r="A80" s="131"/>
      <c r="B80" s="132"/>
      <c r="C80" s="132"/>
      <c r="D80" s="132"/>
      <c r="E80" s="177"/>
      <c r="F80" s="176"/>
      <c r="G80" s="176"/>
      <c r="H80" s="171"/>
      <c r="I80" s="171" t="str">
        <f t="shared" si="4"/>
        <v/>
      </c>
      <c r="J80" s="176"/>
      <c r="K80" s="176"/>
      <c r="L80" s="132"/>
      <c r="M80" s="132"/>
      <c r="N80" s="132"/>
      <c r="O80" s="132"/>
      <c r="P80" s="132"/>
      <c r="Q80" s="132" t="str">
        <f t="shared" si="5"/>
        <v/>
      </c>
    </row>
    <row r="81" spans="1:17">
      <c r="A81" s="131"/>
      <c r="B81" s="132"/>
      <c r="C81" s="132"/>
      <c r="D81" s="132"/>
      <c r="E81" s="177"/>
      <c r="F81" s="176"/>
      <c r="G81" s="176"/>
      <c r="H81" s="171"/>
      <c r="I81" s="171" t="str">
        <f t="shared" si="4"/>
        <v/>
      </c>
      <c r="J81" s="176"/>
      <c r="K81" s="176"/>
      <c r="L81" s="132"/>
      <c r="M81" s="132"/>
      <c r="N81" s="132"/>
      <c r="O81" s="132"/>
      <c r="P81" s="132"/>
      <c r="Q81" s="132" t="str">
        <f t="shared" si="5"/>
        <v/>
      </c>
    </row>
    <row r="82" spans="1:17">
      <c r="A82" s="131"/>
      <c r="B82" s="132"/>
      <c r="C82" s="132"/>
      <c r="D82" s="132"/>
      <c r="E82" s="177"/>
      <c r="F82" s="176"/>
      <c r="G82" s="176"/>
      <c r="H82" s="171"/>
      <c r="I82" s="171" t="str">
        <f t="shared" si="4"/>
        <v/>
      </c>
      <c r="J82" s="176"/>
      <c r="K82" s="176"/>
      <c r="L82" s="132"/>
      <c r="M82" s="132"/>
      <c r="N82" s="132"/>
      <c r="O82" s="132"/>
      <c r="P82" s="132"/>
      <c r="Q82" s="132" t="str">
        <f t="shared" si="5"/>
        <v/>
      </c>
    </row>
    <row r="83" spans="1:17">
      <c r="A83" s="131"/>
      <c r="B83" s="132"/>
      <c r="C83" s="132"/>
      <c r="D83" s="132"/>
      <c r="E83" s="177"/>
      <c r="F83" s="176"/>
      <c r="G83" s="176"/>
      <c r="H83" s="171"/>
      <c r="I83" s="171" t="str">
        <f t="shared" si="4"/>
        <v/>
      </c>
      <c r="J83" s="176"/>
      <c r="K83" s="176"/>
      <c r="L83" s="132"/>
      <c r="M83" s="132"/>
      <c r="N83" s="132"/>
      <c r="O83" s="132"/>
      <c r="P83" s="132"/>
      <c r="Q83" s="132" t="str">
        <f t="shared" si="5"/>
        <v/>
      </c>
    </row>
    <row r="84" spans="1:17">
      <c r="A84" s="131"/>
      <c r="B84" s="132"/>
      <c r="C84" s="132"/>
      <c r="D84" s="132"/>
      <c r="E84" s="177"/>
      <c r="F84" s="176"/>
      <c r="G84" s="176"/>
      <c r="H84" s="171"/>
      <c r="I84" s="171" t="str">
        <f t="shared" si="4"/>
        <v/>
      </c>
      <c r="J84" s="176"/>
      <c r="K84" s="176"/>
      <c r="L84" s="132"/>
      <c r="M84" s="132"/>
      <c r="N84" s="132"/>
      <c r="O84" s="132"/>
      <c r="P84" s="132"/>
      <c r="Q84" s="132" t="str">
        <f t="shared" si="5"/>
        <v/>
      </c>
    </row>
    <row r="85" spans="1:17">
      <c r="A85" s="131"/>
      <c r="B85" s="132"/>
      <c r="C85" s="132"/>
      <c r="D85" s="132"/>
      <c r="E85" s="177"/>
      <c r="F85" s="176"/>
      <c r="G85" s="176"/>
      <c r="H85" s="171"/>
      <c r="I85" s="171" t="str">
        <f t="shared" si="4"/>
        <v/>
      </c>
      <c r="J85" s="176"/>
      <c r="K85" s="176"/>
      <c r="L85" s="132"/>
      <c r="M85" s="132"/>
      <c r="N85" s="132"/>
      <c r="O85" s="132"/>
      <c r="P85" s="132"/>
      <c r="Q85" s="132" t="str">
        <f t="shared" si="5"/>
        <v/>
      </c>
    </row>
    <row r="86" spans="1:17">
      <c r="A86" s="131"/>
      <c r="B86" s="132"/>
      <c r="C86" s="132"/>
      <c r="D86" s="132"/>
      <c r="E86" s="177"/>
      <c r="F86" s="176"/>
      <c r="G86" s="176"/>
      <c r="H86" s="171"/>
      <c r="I86" s="171" t="str">
        <f t="shared" si="4"/>
        <v/>
      </c>
      <c r="J86" s="176"/>
      <c r="K86" s="176"/>
      <c r="L86" s="132"/>
      <c r="M86" s="132"/>
      <c r="N86" s="132"/>
      <c r="O86" s="132"/>
      <c r="P86" s="132"/>
      <c r="Q86" s="132" t="str">
        <f t="shared" si="5"/>
        <v/>
      </c>
    </row>
    <row r="87" spans="1:17">
      <c r="A87" s="131"/>
      <c r="B87" s="132"/>
      <c r="C87" s="132"/>
      <c r="D87" s="132"/>
      <c r="E87" s="177"/>
      <c r="F87" s="176"/>
      <c r="G87" s="176"/>
      <c r="H87" s="171"/>
      <c r="I87" s="171" t="str">
        <f t="shared" si="4"/>
        <v/>
      </c>
      <c r="J87" s="176"/>
      <c r="K87" s="176"/>
      <c r="L87" s="132"/>
      <c r="M87" s="132"/>
      <c r="N87" s="132"/>
      <c r="O87" s="132"/>
      <c r="P87" s="132"/>
      <c r="Q87" s="132" t="str">
        <f t="shared" si="5"/>
        <v/>
      </c>
    </row>
    <row r="88" spans="1:17">
      <c r="A88" s="131"/>
      <c r="B88" s="132"/>
      <c r="C88" s="132"/>
      <c r="D88" s="132"/>
      <c r="E88" s="177"/>
      <c r="F88" s="176"/>
      <c r="G88" s="176"/>
      <c r="H88" s="171"/>
      <c r="I88" s="171" t="str">
        <f t="shared" si="4"/>
        <v/>
      </c>
      <c r="J88" s="176"/>
      <c r="K88" s="176"/>
      <c r="L88" s="132"/>
      <c r="M88" s="132"/>
      <c r="N88" s="132"/>
      <c r="O88" s="132"/>
      <c r="P88" s="132"/>
      <c r="Q88" s="132" t="str">
        <f t="shared" si="5"/>
        <v/>
      </c>
    </row>
    <row r="89" spans="1:17">
      <c r="A89" s="131"/>
      <c r="B89" s="132"/>
      <c r="C89" s="132"/>
      <c r="D89" s="132"/>
      <c r="E89" s="177"/>
      <c r="F89" s="176"/>
      <c r="G89" s="176"/>
      <c r="H89" s="171"/>
      <c r="I89" s="171" t="str">
        <f t="shared" si="4"/>
        <v/>
      </c>
      <c r="J89" s="176"/>
      <c r="K89" s="176"/>
      <c r="L89" s="132"/>
      <c r="M89" s="132"/>
      <c r="N89" s="132"/>
      <c r="O89" s="132"/>
      <c r="P89" s="132"/>
      <c r="Q89" s="132" t="str">
        <f t="shared" si="5"/>
        <v/>
      </c>
    </row>
    <row r="90" spans="1:17">
      <c r="A90" s="131"/>
      <c r="B90" s="132"/>
      <c r="C90" s="132"/>
      <c r="D90" s="132"/>
      <c r="E90" s="177"/>
      <c r="F90" s="176"/>
      <c r="G90" s="176"/>
      <c r="H90" s="171"/>
      <c r="I90" s="171" t="str">
        <f t="shared" si="4"/>
        <v/>
      </c>
      <c r="J90" s="176"/>
      <c r="K90" s="176"/>
      <c r="L90" s="132"/>
      <c r="M90" s="132"/>
      <c r="N90" s="132"/>
      <c r="O90" s="132"/>
      <c r="P90" s="132"/>
      <c r="Q90" s="132" t="str">
        <f t="shared" si="5"/>
        <v/>
      </c>
    </row>
    <row r="91" spans="1:17">
      <c r="A91" s="131"/>
      <c r="B91" s="132"/>
      <c r="C91" s="132"/>
      <c r="D91" s="132"/>
      <c r="E91" s="177"/>
      <c r="F91" s="176"/>
      <c r="G91" s="176"/>
      <c r="H91" s="171"/>
      <c r="I91" s="171" t="str">
        <f t="shared" si="4"/>
        <v/>
      </c>
      <c r="J91" s="176"/>
      <c r="K91" s="176"/>
      <c r="L91" s="132"/>
      <c r="M91" s="132"/>
      <c r="N91" s="132"/>
      <c r="O91" s="132"/>
      <c r="P91" s="132"/>
      <c r="Q91" s="132" t="str">
        <f t="shared" si="5"/>
        <v/>
      </c>
    </row>
    <row r="92" spans="1:17">
      <c r="A92" s="131"/>
      <c r="B92" s="132"/>
      <c r="C92" s="132"/>
      <c r="D92" s="132"/>
      <c r="E92" s="177"/>
      <c r="F92" s="176"/>
      <c r="G92" s="176"/>
      <c r="H92" s="171"/>
      <c r="I92" s="171" t="str">
        <f t="shared" si="4"/>
        <v/>
      </c>
      <c r="J92" s="176"/>
      <c r="K92" s="176"/>
      <c r="L92" s="132"/>
      <c r="M92" s="132"/>
      <c r="N92" s="132"/>
      <c r="O92" s="132"/>
      <c r="P92" s="132"/>
      <c r="Q92" s="132" t="str">
        <f t="shared" si="5"/>
        <v/>
      </c>
    </row>
    <row r="93" spans="1:17">
      <c r="A93" s="131"/>
      <c r="B93" s="132"/>
      <c r="C93" s="132"/>
      <c r="D93" s="132"/>
      <c r="E93" s="177"/>
      <c r="F93" s="176"/>
      <c r="G93" s="176"/>
      <c r="H93" s="171"/>
      <c r="I93" s="171" t="str">
        <f t="shared" si="4"/>
        <v/>
      </c>
      <c r="J93" s="176"/>
      <c r="K93" s="176"/>
      <c r="L93" s="132"/>
      <c r="M93" s="132"/>
      <c r="N93" s="132"/>
      <c r="O93" s="132"/>
      <c r="P93" s="132"/>
      <c r="Q93" s="132" t="str">
        <f t="shared" si="5"/>
        <v/>
      </c>
    </row>
    <row r="94" spans="1:17">
      <c r="A94" s="131"/>
      <c r="B94" s="132"/>
      <c r="C94" s="132"/>
      <c r="D94" s="132"/>
      <c r="E94" s="177"/>
      <c r="F94" s="176"/>
      <c r="G94" s="176"/>
      <c r="H94" s="171"/>
      <c r="I94" s="171" t="str">
        <f t="shared" si="4"/>
        <v/>
      </c>
      <c r="J94" s="176"/>
      <c r="K94" s="176"/>
      <c r="L94" s="132"/>
      <c r="M94" s="132"/>
      <c r="N94" s="132"/>
      <c r="O94" s="132"/>
      <c r="P94" s="132"/>
      <c r="Q94" s="132" t="str">
        <f t="shared" si="5"/>
        <v/>
      </c>
    </row>
    <row r="95" spans="1:17">
      <c r="A95" s="131"/>
      <c r="B95" s="132"/>
      <c r="C95" s="132"/>
      <c r="D95" s="132"/>
      <c r="E95" s="177"/>
      <c r="F95" s="176"/>
      <c r="G95" s="176"/>
      <c r="H95" s="171"/>
      <c r="I95" s="171" t="str">
        <f t="shared" si="4"/>
        <v/>
      </c>
      <c r="J95" s="176"/>
      <c r="K95" s="176"/>
      <c r="L95" s="132"/>
      <c r="M95" s="132"/>
      <c r="N95" s="132"/>
      <c r="O95" s="132"/>
      <c r="P95" s="132"/>
      <c r="Q95" s="132" t="str">
        <f t="shared" si="5"/>
        <v/>
      </c>
    </row>
    <row r="96" spans="1:17">
      <c r="A96" s="131"/>
      <c r="B96" s="132"/>
      <c r="C96" s="132"/>
      <c r="D96" s="132"/>
      <c r="E96" s="177"/>
      <c r="F96" s="176"/>
      <c r="G96" s="176"/>
      <c r="H96" s="171"/>
      <c r="I96" s="171" t="str">
        <f t="shared" si="4"/>
        <v/>
      </c>
      <c r="J96" s="176"/>
      <c r="K96" s="176"/>
      <c r="L96" s="132"/>
      <c r="M96" s="132"/>
      <c r="N96" s="132"/>
      <c r="O96" s="132"/>
      <c r="P96" s="132"/>
      <c r="Q96" s="132" t="str">
        <f t="shared" si="5"/>
        <v/>
      </c>
    </row>
    <row r="97" spans="1:17">
      <c r="A97" s="131"/>
      <c r="B97" s="132"/>
      <c r="C97" s="132"/>
      <c r="D97" s="132"/>
      <c r="E97" s="177"/>
      <c r="F97" s="176"/>
      <c r="G97" s="176"/>
      <c r="H97" s="171"/>
      <c r="I97" s="171" t="str">
        <f t="shared" si="4"/>
        <v/>
      </c>
      <c r="J97" s="176"/>
      <c r="K97" s="176"/>
      <c r="L97" s="132"/>
      <c r="M97" s="132"/>
      <c r="N97" s="132"/>
      <c r="O97" s="132"/>
      <c r="P97" s="132"/>
      <c r="Q97" s="132" t="str">
        <f t="shared" si="5"/>
        <v/>
      </c>
    </row>
    <row r="98" spans="1:17">
      <c r="A98" s="131"/>
      <c r="B98" s="132"/>
      <c r="C98" s="132"/>
      <c r="D98" s="132"/>
      <c r="E98" s="177"/>
      <c r="F98" s="176"/>
      <c r="G98" s="176"/>
      <c r="H98" s="171"/>
      <c r="I98" s="171" t="str">
        <f t="shared" si="4"/>
        <v/>
      </c>
      <c r="J98" s="176"/>
      <c r="K98" s="176"/>
      <c r="L98" s="132"/>
      <c r="M98" s="132"/>
      <c r="N98" s="132"/>
      <c r="O98" s="132"/>
      <c r="P98" s="132"/>
      <c r="Q98" s="132" t="str">
        <f t="shared" si="5"/>
        <v/>
      </c>
    </row>
    <row r="99" spans="1:17">
      <c r="A99" s="131"/>
      <c r="B99" s="132"/>
      <c r="C99" s="132"/>
      <c r="D99" s="132"/>
      <c r="E99" s="177"/>
      <c r="F99" s="176"/>
      <c r="G99" s="176"/>
      <c r="H99" s="171"/>
      <c r="I99" s="171" t="str">
        <f t="shared" si="4"/>
        <v/>
      </c>
      <c r="J99" s="176"/>
      <c r="K99" s="176"/>
      <c r="L99" s="132"/>
      <c r="M99" s="132"/>
      <c r="N99" s="132"/>
      <c r="O99" s="132"/>
      <c r="P99" s="132"/>
      <c r="Q99" s="132" t="str">
        <f t="shared" si="5"/>
        <v/>
      </c>
    </row>
    <row r="100" spans="1:17">
      <c r="A100" s="131"/>
      <c r="B100" s="132"/>
      <c r="C100" s="132"/>
      <c r="D100" s="132"/>
      <c r="E100" s="177"/>
      <c r="F100" s="176"/>
      <c r="G100" s="176"/>
      <c r="H100" s="171"/>
      <c r="I100" s="171" t="str">
        <f t="shared" si="4"/>
        <v/>
      </c>
      <c r="J100" s="176"/>
      <c r="K100" s="176"/>
      <c r="L100" s="132"/>
      <c r="M100" s="132"/>
      <c r="N100" s="132"/>
      <c r="O100" s="132"/>
      <c r="P100" s="132"/>
      <c r="Q100" s="132" t="str">
        <f t="shared" si="5"/>
        <v/>
      </c>
    </row>
    <row r="101" spans="1:17">
      <c r="A101" s="131"/>
      <c r="B101" s="132"/>
      <c r="C101" s="132"/>
      <c r="D101" s="132"/>
      <c r="E101" s="177"/>
      <c r="F101" s="176"/>
      <c r="G101" s="176"/>
      <c r="H101" s="171"/>
      <c r="I101" s="171" t="str">
        <f t="shared" ref="I101:I132" si="6">IF(G101="","",IF(D101="USD",G101*H101,G101))</f>
        <v/>
      </c>
      <c r="J101" s="176"/>
      <c r="K101" s="176"/>
      <c r="L101" s="132"/>
      <c r="M101" s="132"/>
      <c r="N101" s="132"/>
      <c r="O101" s="132"/>
      <c r="P101" s="132"/>
      <c r="Q101" s="132" t="str">
        <f t="shared" ref="Q101:Q132" si="7">IF(B101="","",TEXT(A101,"yyyymmdd")&amp;"-"&amp;B101)</f>
        <v/>
      </c>
    </row>
    <row r="102" spans="1:17">
      <c r="A102" s="131"/>
      <c r="B102" s="132"/>
      <c r="C102" s="132"/>
      <c r="D102" s="132"/>
      <c r="E102" s="177"/>
      <c r="F102" s="176"/>
      <c r="G102" s="176"/>
      <c r="H102" s="171"/>
      <c r="I102" s="171" t="str">
        <f t="shared" si="6"/>
        <v/>
      </c>
      <c r="J102" s="176"/>
      <c r="K102" s="176"/>
      <c r="L102" s="132"/>
      <c r="M102" s="132"/>
      <c r="N102" s="132"/>
      <c r="O102" s="132"/>
      <c r="P102" s="132"/>
      <c r="Q102" s="132" t="str">
        <f t="shared" si="7"/>
        <v/>
      </c>
    </row>
    <row r="103" spans="1:17">
      <c r="A103" s="131"/>
      <c r="B103" s="132"/>
      <c r="C103" s="132"/>
      <c r="D103" s="132"/>
      <c r="E103" s="177"/>
      <c r="F103" s="176"/>
      <c r="G103" s="176"/>
      <c r="H103" s="171"/>
      <c r="I103" s="171" t="str">
        <f t="shared" si="6"/>
        <v/>
      </c>
      <c r="J103" s="176"/>
      <c r="K103" s="176"/>
      <c r="L103" s="132"/>
      <c r="M103" s="132"/>
      <c r="N103" s="132"/>
      <c r="O103" s="132"/>
      <c r="P103" s="132"/>
      <c r="Q103" s="132" t="str">
        <f t="shared" si="7"/>
        <v/>
      </c>
    </row>
    <row r="104" spans="1:17">
      <c r="A104" s="131"/>
      <c r="B104" s="132"/>
      <c r="C104" s="132"/>
      <c r="D104" s="132"/>
      <c r="E104" s="177"/>
      <c r="F104" s="176"/>
      <c r="G104" s="176"/>
      <c r="H104" s="171"/>
      <c r="I104" s="171" t="str">
        <f t="shared" si="6"/>
        <v/>
      </c>
      <c r="J104" s="176"/>
      <c r="K104" s="176"/>
      <c r="L104" s="132"/>
      <c r="M104" s="132"/>
      <c r="N104" s="132"/>
      <c r="O104" s="132"/>
      <c r="P104" s="132"/>
      <c r="Q104" s="132" t="str">
        <f t="shared" si="7"/>
        <v/>
      </c>
    </row>
    <row r="105" spans="1:17">
      <c r="A105" s="131"/>
      <c r="B105" s="132"/>
      <c r="C105" s="132"/>
      <c r="D105" s="132"/>
      <c r="E105" s="177"/>
      <c r="F105" s="176"/>
      <c r="G105" s="176"/>
      <c r="H105" s="171"/>
      <c r="I105" s="171" t="str">
        <f t="shared" si="6"/>
        <v/>
      </c>
      <c r="J105" s="176"/>
      <c r="K105" s="176"/>
      <c r="L105" s="132"/>
      <c r="M105" s="132"/>
      <c r="N105" s="132"/>
      <c r="O105" s="132"/>
      <c r="P105" s="132"/>
      <c r="Q105" s="132" t="str">
        <f t="shared" si="7"/>
        <v/>
      </c>
    </row>
    <row r="106" spans="1:17">
      <c r="A106" s="131"/>
      <c r="B106" s="132"/>
      <c r="C106" s="132"/>
      <c r="D106" s="132"/>
      <c r="E106" s="177"/>
      <c r="F106" s="176"/>
      <c r="G106" s="176"/>
      <c r="H106" s="171"/>
      <c r="I106" s="171" t="str">
        <f t="shared" si="6"/>
        <v/>
      </c>
      <c r="J106" s="176"/>
      <c r="K106" s="176"/>
      <c r="L106" s="132"/>
      <c r="M106" s="132"/>
      <c r="N106" s="132"/>
      <c r="O106" s="132"/>
      <c r="P106" s="132"/>
      <c r="Q106" s="132" t="str">
        <f t="shared" si="7"/>
        <v/>
      </c>
    </row>
    <row r="107" spans="1:17">
      <c r="A107" s="131"/>
      <c r="B107" s="132"/>
      <c r="C107" s="132"/>
      <c r="D107" s="132"/>
      <c r="E107" s="177"/>
      <c r="F107" s="176"/>
      <c r="G107" s="176"/>
      <c r="H107" s="171"/>
      <c r="I107" s="171" t="str">
        <f t="shared" si="6"/>
        <v/>
      </c>
      <c r="J107" s="176"/>
      <c r="K107" s="176"/>
      <c r="L107" s="132"/>
      <c r="M107" s="132"/>
      <c r="N107" s="132"/>
      <c r="O107" s="132"/>
      <c r="P107" s="132"/>
      <c r="Q107" s="132" t="str">
        <f t="shared" si="7"/>
        <v/>
      </c>
    </row>
    <row r="108" spans="1:17">
      <c r="A108" s="131"/>
      <c r="B108" s="132"/>
      <c r="C108" s="132"/>
      <c r="D108" s="132"/>
      <c r="E108" s="177"/>
      <c r="F108" s="176"/>
      <c r="G108" s="176"/>
      <c r="H108" s="171"/>
      <c r="I108" s="171" t="str">
        <f t="shared" si="6"/>
        <v/>
      </c>
      <c r="J108" s="176"/>
      <c r="K108" s="176"/>
      <c r="L108" s="132"/>
      <c r="M108" s="132"/>
      <c r="N108" s="132"/>
      <c r="O108" s="132"/>
      <c r="P108" s="132"/>
      <c r="Q108" s="132" t="str">
        <f t="shared" si="7"/>
        <v/>
      </c>
    </row>
    <row r="109" spans="1:17">
      <c r="A109" s="131"/>
      <c r="B109" s="132"/>
      <c r="C109" s="132"/>
      <c r="D109" s="132"/>
      <c r="E109" s="177"/>
      <c r="F109" s="176"/>
      <c r="G109" s="176"/>
      <c r="H109" s="171"/>
      <c r="I109" s="171" t="str">
        <f t="shared" si="6"/>
        <v/>
      </c>
      <c r="J109" s="176"/>
      <c r="K109" s="176"/>
      <c r="L109" s="132"/>
      <c r="M109" s="132"/>
      <c r="N109" s="132"/>
      <c r="O109" s="132"/>
      <c r="P109" s="132"/>
      <c r="Q109" s="132" t="str">
        <f t="shared" si="7"/>
        <v/>
      </c>
    </row>
    <row r="110" spans="1:17">
      <c r="A110" s="131"/>
      <c r="B110" s="132"/>
      <c r="C110" s="132"/>
      <c r="D110" s="132"/>
      <c r="E110" s="177"/>
      <c r="F110" s="176"/>
      <c r="G110" s="176"/>
      <c r="H110" s="171"/>
      <c r="I110" s="171" t="str">
        <f t="shared" si="6"/>
        <v/>
      </c>
      <c r="J110" s="176"/>
      <c r="K110" s="176"/>
      <c r="L110" s="132"/>
      <c r="M110" s="132"/>
      <c r="N110" s="132"/>
      <c r="O110" s="132"/>
      <c r="P110" s="132"/>
      <c r="Q110" s="132" t="str">
        <f t="shared" si="7"/>
        <v/>
      </c>
    </row>
    <row r="111" spans="1:17">
      <c r="A111" s="131"/>
      <c r="B111" s="132"/>
      <c r="C111" s="132"/>
      <c r="D111" s="132"/>
      <c r="E111" s="177"/>
      <c r="F111" s="176"/>
      <c r="G111" s="176"/>
      <c r="H111" s="171"/>
      <c r="I111" s="171" t="str">
        <f t="shared" si="6"/>
        <v/>
      </c>
      <c r="J111" s="176"/>
      <c r="K111" s="176"/>
      <c r="L111" s="132"/>
      <c r="M111" s="132"/>
      <c r="N111" s="132"/>
      <c r="O111" s="132"/>
      <c r="P111" s="132"/>
      <c r="Q111" s="132" t="str">
        <f t="shared" si="7"/>
        <v/>
      </c>
    </row>
    <row r="112" spans="1:17">
      <c r="A112" s="131"/>
      <c r="B112" s="132"/>
      <c r="C112" s="132"/>
      <c r="D112" s="132"/>
      <c r="E112" s="177"/>
      <c r="F112" s="176"/>
      <c r="G112" s="176"/>
      <c r="H112" s="171"/>
      <c r="I112" s="171" t="str">
        <f t="shared" si="6"/>
        <v/>
      </c>
      <c r="J112" s="176"/>
      <c r="K112" s="176"/>
      <c r="L112" s="132"/>
      <c r="M112" s="132"/>
      <c r="N112" s="132"/>
      <c r="O112" s="132"/>
      <c r="P112" s="132"/>
      <c r="Q112" s="132" t="str">
        <f t="shared" si="7"/>
        <v/>
      </c>
    </row>
    <row r="113" spans="1:17">
      <c r="A113" s="131"/>
      <c r="B113" s="132"/>
      <c r="C113" s="132"/>
      <c r="D113" s="132"/>
      <c r="E113" s="177"/>
      <c r="F113" s="176"/>
      <c r="G113" s="176"/>
      <c r="H113" s="171"/>
      <c r="I113" s="171" t="str">
        <f t="shared" si="6"/>
        <v/>
      </c>
      <c r="J113" s="176"/>
      <c r="K113" s="176"/>
      <c r="L113" s="132"/>
      <c r="M113" s="132"/>
      <c r="N113" s="132"/>
      <c r="O113" s="132"/>
      <c r="P113" s="132"/>
      <c r="Q113" s="132" t="str">
        <f t="shared" si="7"/>
        <v/>
      </c>
    </row>
    <row r="114" spans="1:17">
      <c r="A114" s="131"/>
      <c r="B114" s="132"/>
      <c r="C114" s="132"/>
      <c r="D114" s="132"/>
      <c r="E114" s="177"/>
      <c r="F114" s="176"/>
      <c r="G114" s="176"/>
      <c r="H114" s="171"/>
      <c r="I114" s="171" t="str">
        <f t="shared" si="6"/>
        <v/>
      </c>
      <c r="J114" s="176"/>
      <c r="K114" s="176"/>
      <c r="L114" s="132"/>
      <c r="M114" s="132"/>
      <c r="N114" s="132"/>
      <c r="O114" s="132"/>
      <c r="P114" s="132"/>
      <c r="Q114" s="132" t="str">
        <f t="shared" si="7"/>
        <v/>
      </c>
    </row>
    <row r="115" spans="1:17">
      <c r="A115" s="131"/>
      <c r="B115" s="132"/>
      <c r="C115" s="132"/>
      <c r="D115" s="132"/>
      <c r="E115" s="177"/>
      <c r="F115" s="176"/>
      <c r="G115" s="176"/>
      <c r="H115" s="171"/>
      <c r="I115" s="171" t="str">
        <f t="shared" si="6"/>
        <v/>
      </c>
      <c r="J115" s="176"/>
      <c r="K115" s="176"/>
      <c r="L115" s="132"/>
      <c r="M115" s="132"/>
      <c r="N115" s="132"/>
      <c r="O115" s="132"/>
      <c r="P115" s="132"/>
      <c r="Q115" s="132" t="str">
        <f t="shared" si="7"/>
        <v/>
      </c>
    </row>
    <row r="116" spans="1:17">
      <c r="A116" s="131"/>
      <c r="B116" s="132"/>
      <c r="C116" s="132"/>
      <c r="D116" s="132"/>
      <c r="E116" s="177"/>
      <c r="F116" s="176"/>
      <c r="G116" s="176"/>
      <c r="H116" s="171"/>
      <c r="I116" s="171" t="str">
        <f t="shared" si="6"/>
        <v/>
      </c>
      <c r="J116" s="176"/>
      <c r="K116" s="176"/>
      <c r="L116" s="132"/>
      <c r="M116" s="132"/>
      <c r="N116" s="132"/>
      <c r="O116" s="132"/>
      <c r="P116" s="132"/>
      <c r="Q116" s="132" t="str">
        <f t="shared" si="7"/>
        <v/>
      </c>
    </row>
    <row r="117" spans="1:17">
      <c r="A117" s="131"/>
      <c r="B117" s="132"/>
      <c r="C117" s="132"/>
      <c r="D117" s="132"/>
      <c r="E117" s="177"/>
      <c r="F117" s="176"/>
      <c r="G117" s="176"/>
      <c r="H117" s="171"/>
      <c r="I117" s="171" t="str">
        <f t="shared" si="6"/>
        <v/>
      </c>
      <c r="J117" s="176"/>
      <c r="K117" s="176"/>
      <c r="L117" s="132"/>
      <c r="M117" s="132"/>
      <c r="N117" s="132"/>
      <c r="O117" s="132"/>
      <c r="P117" s="132"/>
      <c r="Q117" s="132" t="str">
        <f t="shared" si="7"/>
        <v/>
      </c>
    </row>
    <row r="118" spans="1:17">
      <c r="A118" s="131"/>
      <c r="B118" s="132"/>
      <c r="C118" s="132"/>
      <c r="D118" s="132"/>
      <c r="E118" s="177"/>
      <c r="F118" s="176"/>
      <c r="G118" s="176"/>
      <c r="H118" s="171"/>
      <c r="I118" s="171" t="str">
        <f t="shared" si="6"/>
        <v/>
      </c>
      <c r="J118" s="176"/>
      <c r="K118" s="176"/>
      <c r="L118" s="132"/>
      <c r="M118" s="132"/>
      <c r="N118" s="132"/>
      <c r="O118" s="132"/>
      <c r="P118" s="132"/>
      <c r="Q118" s="132" t="str">
        <f t="shared" si="7"/>
        <v/>
      </c>
    </row>
    <row r="119" spans="1:17">
      <c r="A119" s="131"/>
      <c r="B119" s="132"/>
      <c r="C119" s="132"/>
      <c r="D119" s="132"/>
      <c r="E119" s="177"/>
      <c r="F119" s="176"/>
      <c r="G119" s="176"/>
      <c r="H119" s="171"/>
      <c r="I119" s="171" t="str">
        <f t="shared" si="6"/>
        <v/>
      </c>
      <c r="J119" s="176"/>
      <c r="K119" s="176"/>
      <c r="L119" s="132"/>
      <c r="M119" s="132"/>
      <c r="N119" s="132"/>
      <c r="O119" s="132"/>
      <c r="P119" s="132"/>
      <c r="Q119" s="132" t="str">
        <f t="shared" si="7"/>
        <v/>
      </c>
    </row>
    <row r="120" spans="1:17">
      <c r="A120" s="131"/>
      <c r="B120" s="132"/>
      <c r="C120" s="132"/>
      <c r="D120" s="132"/>
      <c r="E120" s="177"/>
      <c r="F120" s="176"/>
      <c r="G120" s="176"/>
      <c r="H120" s="171"/>
      <c r="I120" s="171" t="str">
        <f t="shared" si="6"/>
        <v/>
      </c>
      <c r="J120" s="176"/>
      <c r="K120" s="176"/>
      <c r="L120" s="132"/>
      <c r="M120" s="132"/>
      <c r="N120" s="132"/>
      <c r="O120" s="132"/>
      <c r="P120" s="132"/>
      <c r="Q120" s="132" t="str">
        <f t="shared" si="7"/>
        <v/>
      </c>
    </row>
    <row r="121" spans="1:17">
      <c r="A121" s="131"/>
      <c r="B121" s="132"/>
      <c r="C121" s="132"/>
      <c r="D121" s="132"/>
      <c r="E121" s="177"/>
      <c r="F121" s="176"/>
      <c r="G121" s="176"/>
      <c r="H121" s="171"/>
      <c r="I121" s="171" t="str">
        <f t="shared" si="6"/>
        <v/>
      </c>
      <c r="J121" s="176"/>
      <c r="K121" s="176"/>
      <c r="L121" s="132"/>
      <c r="M121" s="132"/>
      <c r="N121" s="132"/>
      <c r="O121" s="132"/>
      <c r="P121" s="132"/>
      <c r="Q121" s="132" t="str">
        <f t="shared" si="7"/>
        <v/>
      </c>
    </row>
    <row r="122" spans="1:17">
      <c r="A122" s="131"/>
      <c r="B122" s="132"/>
      <c r="C122" s="132"/>
      <c r="D122" s="132"/>
      <c r="E122" s="177"/>
      <c r="F122" s="176"/>
      <c r="G122" s="176"/>
      <c r="H122" s="171"/>
      <c r="I122" s="171" t="str">
        <f t="shared" si="6"/>
        <v/>
      </c>
      <c r="J122" s="176"/>
      <c r="K122" s="176"/>
      <c r="L122" s="132"/>
      <c r="M122" s="132"/>
      <c r="N122" s="132"/>
      <c r="O122" s="132"/>
      <c r="P122" s="132"/>
      <c r="Q122" s="132" t="str">
        <f t="shared" si="7"/>
        <v/>
      </c>
    </row>
    <row r="123" spans="1:17">
      <c r="A123" s="131"/>
      <c r="B123" s="132"/>
      <c r="C123" s="132"/>
      <c r="D123" s="132"/>
      <c r="E123" s="177"/>
      <c r="F123" s="176"/>
      <c r="G123" s="176"/>
      <c r="H123" s="171"/>
      <c r="I123" s="171" t="str">
        <f t="shared" si="6"/>
        <v/>
      </c>
      <c r="J123" s="176"/>
      <c r="K123" s="176"/>
      <c r="L123" s="132"/>
      <c r="M123" s="132"/>
      <c r="N123" s="132"/>
      <c r="O123" s="132"/>
      <c r="P123" s="132"/>
      <c r="Q123" s="132" t="str">
        <f t="shared" si="7"/>
        <v/>
      </c>
    </row>
    <row r="124" spans="1:17">
      <c r="A124" s="131"/>
      <c r="B124" s="132"/>
      <c r="C124" s="132"/>
      <c r="D124" s="132"/>
      <c r="E124" s="177"/>
      <c r="F124" s="176"/>
      <c r="G124" s="176"/>
      <c r="H124" s="171"/>
      <c r="I124" s="171" t="str">
        <f t="shared" si="6"/>
        <v/>
      </c>
      <c r="J124" s="176"/>
      <c r="K124" s="176"/>
      <c r="L124" s="132"/>
      <c r="M124" s="132"/>
      <c r="N124" s="132"/>
      <c r="O124" s="132"/>
      <c r="P124" s="132"/>
      <c r="Q124" s="132" t="str">
        <f t="shared" si="7"/>
        <v/>
      </c>
    </row>
    <row r="125" spans="1:17">
      <c r="A125" s="131"/>
      <c r="B125" s="132"/>
      <c r="C125" s="132"/>
      <c r="D125" s="132"/>
      <c r="E125" s="177"/>
      <c r="F125" s="176"/>
      <c r="G125" s="176"/>
      <c r="H125" s="171"/>
      <c r="I125" s="171" t="str">
        <f t="shared" si="6"/>
        <v/>
      </c>
      <c r="J125" s="176"/>
      <c r="K125" s="176"/>
      <c r="L125" s="132"/>
      <c r="M125" s="132"/>
      <c r="N125" s="132"/>
      <c r="O125" s="132"/>
      <c r="P125" s="132"/>
      <c r="Q125" s="132" t="str">
        <f t="shared" si="7"/>
        <v/>
      </c>
    </row>
    <row r="126" spans="1:17">
      <c r="A126" s="131"/>
      <c r="B126" s="132"/>
      <c r="C126" s="132"/>
      <c r="D126" s="132"/>
      <c r="E126" s="177"/>
      <c r="F126" s="176"/>
      <c r="G126" s="176"/>
      <c r="H126" s="171"/>
      <c r="I126" s="171" t="str">
        <f t="shared" si="6"/>
        <v/>
      </c>
      <c r="J126" s="176"/>
      <c r="K126" s="176"/>
      <c r="L126" s="132"/>
      <c r="M126" s="132"/>
      <c r="N126" s="132"/>
      <c r="O126" s="132"/>
      <c r="P126" s="132"/>
      <c r="Q126" s="132" t="str">
        <f t="shared" si="7"/>
        <v/>
      </c>
    </row>
    <row r="127" spans="1:17">
      <c r="A127" s="131"/>
      <c r="B127" s="132"/>
      <c r="C127" s="132"/>
      <c r="D127" s="132"/>
      <c r="E127" s="177"/>
      <c r="F127" s="176"/>
      <c r="G127" s="176"/>
      <c r="H127" s="171"/>
      <c r="I127" s="171" t="str">
        <f t="shared" si="6"/>
        <v/>
      </c>
      <c r="J127" s="176"/>
      <c r="K127" s="176"/>
      <c r="L127" s="132"/>
      <c r="M127" s="132"/>
      <c r="N127" s="132"/>
      <c r="O127" s="132"/>
      <c r="P127" s="132"/>
      <c r="Q127" s="132" t="str">
        <f t="shared" si="7"/>
        <v/>
      </c>
    </row>
    <row r="128" spans="1:17">
      <c r="A128" s="131"/>
      <c r="B128" s="132"/>
      <c r="C128" s="132"/>
      <c r="D128" s="132"/>
      <c r="E128" s="177"/>
      <c r="F128" s="176"/>
      <c r="G128" s="176"/>
      <c r="H128" s="171"/>
      <c r="I128" s="171" t="str">
        <f t="shared" si="6"/>
        <v/>
      </c>
      <c r="J128" s="176"/>
      <c r="K128" s="176"/>
      <c r="L128" s="132"/>
      <c r="M128" s="132"/>
      <c r="N128" s="132"/>
      <c r="O128" s="132"/>
      <c r="P128" s="132"/>
      <c r="Q128" s="132" t="str">
        <f t="shared" si="7"/>
        <v/>
      </c>
    </row>
    <row r="129" spans="1:17">
      <c r="A129" s="131"/>
      <c r="B129" s="132"/>
      <c r="C129" s="132"/>
      <c r="D129" s="132"/>
      <c r="E129" s="177"/>
      <c r="F129" s="176"/>
      <c r="G129" s="176"/>
      <c r="H129" s="171"/>
      <c r="I129" s="171" t="str">
        <f t="shared" si="6"/>
        <v/>
      </c>
      <c r="J129" s="176"/>
      <c r="K129" s="176"/>
      <c r="L129" s="132"/>
      <c r="M129" s="132"/>
      <c r="N129" s="132"/>
      <c r="O129" s="132"/>
      <c r="P129" s="132"/>
      <c r="Q129" s="132" t="str">
        <f t="shared" si="7"/>
        <v/>
      </c>
    </row>
    <row r="130" spans="1:17">
      <c r="A130" s="131"/>
      <c r="B130" s="132"/>
      <c r="C130" s="132"/>
      <c r="D130" s="132"/>
      <c r="E130" s="177"/>
      <c r="F130" s="176"/>
      <c r="G130" s="176"/>
      <c r="H130" s="171"/>
      <c r="I130" s="171" t="str">
        <f t="shared" si="6"/>
        <v/>
      </c>
      <c r="J130" s="176"/>
      <c r="K130" s="176"/>
      <c r="L130" s="132"/>
      <c r="M130" s="132"/>
      <c r="N130" s="132"/>
      <c r="O130" s="132"/>
      <c r="P130" s="132"/>
      <c r="Q130" s="132" t="str">
        <f t="shared" si="7"/>
        <v/>
      </c>
    </row>
    <row r="131" spans="1:17">
      <c r="A131" s="131"/>
      <c r="B131" s="132"/>
      <c r="C131" s="132"/>
      <c r="D131" s="132"/>
      <c r="E131" s="177"/>
      <c r="F131" s="176"/>
      <c r="G131" s="176"/>
      <c r="H131" s="171"/>
      <c r="I131" s="171" t="str">
        <f t="shared" si="6"/>
        <v/>
      </c>
      <c r="J131" s="176"/>
      <c r="K131" s="176"/>
      <c r="L131" s="132"/>
      <c r="M131" s="132"/>
      <c r="N131" s="132"/>
      <c r="O131" s="132"/>
      <c r="P131" s="132"/>
      <c r="Q131" s="132" t="str">
        <f t="shared" si="7"/>
        <v/>
      </c>
    </row>
    <row r="132" spans="1:17">
      <c r="A132" s="131"/>
      <c r="B132" s="132"/>
      <c r="C132" s="132"/>
      <c r="D132" s="132"/>
      <c r="E132" s="177"/>
      <c r="F132" s="176"/>
      <c r="G132" s="176"/>
      <c r="H132" s="171"/>
      <c r="I132" s="171" t="str">
        <f t="shared" si="6"/>
        <v/>
      </c>
      <c r="J132" s="176"/>
      <c r="K132" s="176"/>
      <c r="L132" s="132"/>
      <c r="M132" s="132"/>
      <c r="N132" s="132"/>
      <c r="O132" s="132"/>
      <c r="P132" s="132"/>
      <c r="Q132" s="132" t="str">
        <f t="shared" si="7"/>
        <v/>
      </c>
    </row>
    <row r="133" spans="1:17">
      <c r="A133" s="131"/>
      <c r="B133" s="132"/>
      <c r="C133" s="132"/>
      <c r="D133" s="132"/>
      <c r="E133" s="177"/>
      <c r="F133" s="176"/>
      <c r="G133" s="176"/>
      <c r="H133" s="171"/>
      <c r="I133" s="171" t="str">
        <f t="shared" ref="I133:I164" si="8">IF(G133="","",IF(D133="USD",G133*H133,G133))</f>
        <v/>
      </c>
      <c r="J133" s="176"/>
      <c r="K133" s="176"/>
      <c r="L133" s="132"/>
      <c r="M133" s="132"/>
      <c r="N133" s="132"/>
      <c r="O133" s="132"/>
      <c r="P133" s="132"/>
      <c r="Q133" s="132" t="str">
        <f t="shared" ref="Q133:Q164" si="9">IF(B133="","",TEXT(A133,"yyyymmdd")&amp;"-"&amp;B133)</f>
        <v/>
      </c>
    </row>
    <row r="134" spans="1:17">
      <c r="A134" s="131"/>
      <c r="B134" s="132"/>
      <c r="C134" s="132"/>
      <c r="D134" s="132"/>
      <c r="E134" s="177"/>
      <c r="F134" s="176"/>
      <c r="G134" s="176"/>
      <c r="H134" s="171"/>
      <c r="I134" s="171" t="str">
        <f t="shared" si="8"/>
        <v/>
      </c>
      <c r="J134" s="176"/>
      <c r="K134" s="176"/>
      <c r="L134" s="132"/>
      <c r="M134" s="132"/>
      <c r="N134" s="132"/>
      <c r="O134" s="132"/>
      <c r="P134" s="132"/>
      <c r="Q134" s="132" t="str">
        <f t="shared" si="9"/>
        <v/>
      </c>
    </row>
    <row r="135" spans="1:17">
      <c r="A135" s="131"/>
      <c r="B135" s="132"/>
      <c r="C135" s="132"/>
      <c r="D135" s="132"/>
      <c r="E135" s="177"/>
      <c r="F135" s="176"/>
      <c r="G135" s="176"/>
      <c r="H135" s="171"/>
      <c r="I135" s="171" t="str">
        <f t="shared" si="8"/>
        <v/>
      </c>
      <c r="J135" s="176"/>
      <c r="K135" s="176"/>
      <c r="L135" s="132"/>
      <c r="M135" s="132"/>
      <c r="N135" s="132"/>
      <c r="O135" s="132"/>
      <c r="P135" s="132"/>
      <c r="Q135" s="132" t="str">
        <f t="shared" si="9"/>
        <v/>
      </c>
    </row>
    <row r="136" spans="1:17">
      <c r="A136" s="131"/>
      <c r="B136" s="132"/>
      <c r="C136" s="132"/>
      <c r="D136" s="132"/>
      <c r="E136" s="177"/>
      <c r="F136" s="176"/>
      <c r="G136" s="176"/>
      <c r="H136" s="171"/>
      <c r="I136" s="171" t="str">
        <f t="shared" si="8"/>
        <v/>
      </c>
      <c r="J136" s="176"/>
      <c r="K136" s="176"/>
      <c r="L136" s="132"/>
      <c r="M136" s="132"/>
      <c r="N136" s="132"/>
      <c r="O136" s="132"/>
      <c r="P136" s="132"/>
      <c r="Q136" s="132" t="str">
        <f t="shared" si="9"/>
        <v/>
      </c>
    </row>
    <row r="137" spans="1:17">
      <c r="A137" s="131"/>
      <c r="B137" s="132"/>
      <c r="C137" s="132"/>
      <c r="D137" s="132"/>
      <c r="E137" s="177"/>
      <c r="F137" s="176"/>
      <c r="G137" s="176"/>
      <c r="H137" s="171"/>
      <c r="I137" s="171" t="str">
        <f t="shared" si="8"/>
        <v/>
      </c>
      <c r="J137" s="176"/>
      <c r="K137" s="176"/>
      <c r="L137" s="132"/>
      <c r="M137" s="132"/>
      <c r="N137" s="132"/>
      <c r="O137" s="132"/>
      <c r="P137" s="132"/>
      <c r="Q137" s="132" t="str">
        <f t="shared" si="9"/>
        <v/>
      </c>
    </row>
    <row r="138" spans="1:17">
      <c r="A138" s="131"/>
      <c r="B138" s="132"/>
      <c r="C138" s="132"/>
      <c r="D138" s="132"/>
      <c r="E138" s="177"/>
      <c r="F138" s="176"/>
      <c r="G138" s="176"/>
      <c r="H138" s="171"/>
      <c r="I138" s="171" t="str">
        <f t="shared" si="8"/>
        <v/>
      </c>
      <c r="J138" s="176"/>
      <c r="K138" s="176"/>
      <c r="L138" s="132"/>
      <c r="M138" s="132"/>
      <c r="N138" s="132"/>
      <c r="O138" s="132"/>
      <c r="P138" s="132"/>
      <c r="Q138" s="132" t="str">
        <f t="shared" si="9"/>
        <v/>
      </c>
    </row>
    <row r="139" spans="1:17">
      <c r="A139" s="131"/>
      <c r="B139" s="132"/>
      <c r="C139" s="132"/>
      <c r="D139" s="132"/>
      <c r="E139" s="177"/>
      <c r="F139" s="176"/>
      <c r="G139" s="176"/>
      <c r="H139" s="171"/>
      <c r="I139" s="171" t="str">
        <f t="shared" si="8"/>
        <v/>
      </c>
      <c r="J139" s="176"/>
      <c r="K139" s="176"/>
      <c r="L139" s="132"/>
      <c r="M139" s="132"/>
      <c r="N139" s="132"/>
      <c r="O139" s="132"/>
      <c r="P139" s="132"/>
      <c r="Q139" s="132" t="str">
        <f t="shared" si="9"/>
        <v/>
      </c>
    </row>
    <row r="140" spans="1:17">
      <c r="A140" s="131"/>
      <c r="B140" s="132"/>
      <c r="C140" s="132"/>
      <c r="D140" s="132"/>
      <c r="E140" s="177"/>
      <c r="F140" s="176"/>
      <c r="G140" s="176"/>
      <c r="H140" s="171"/>
      <c r="I140" s="171" t="str">
        <f t="shared" si="8"/>
        <v/>
      </c>
      <c r="J140" s="176"/>
      <c r="K140" s="176"/>
      <c r="L140" s="132"/>
      <c r="M140" s="132"/>
      <c r="N140" s="132"/>
      <c r="O140" s="132"/>
      <c r="P140" s="132"/>
      <c r="Q140" s="132" t="str">
        <f t="shared" si="9"/>
        <v/>
      </c>
    </row>
    <row r="141" spans="1:17">
      <c r="A141" s="131"/>
      <c r="B141" s="132"/>
      <c r="C141" s="132"/>
      <c r="D141" s="132"/>
      <c r="E141" s="177"/>
      <c r="F141" s="176"/>
      <c r="G141" s="176"/>
      <c r="H141" s="171"/>
      <c r="I141" s="171" t="str">
        <f t="shared" si="8"/>
        <v/>
      </c>
      <c r="J141" s="176"/>
      <c r="K141" s="176"/>
      <c r="L141" s="132"/>
      <c r="M141" s="132"/>
      <c r="N141" s="132"/>
      <c r="O141" s="132"/>
      <c r="P141" s="132"/>
      <c r="Q141" s="132" t="str">
        <f t="shared" si="9"/>
        <v/>
      </c>
    </row>
    <row r="142" spans="1:17">
      <c r="A142" s="131"/>
      <c r="B142" s="132"/>
      <c r="C142" s="132"/>
      <c r="D142" s="132"/>
      <c r="E142" s="177"/>
      <c r="F142" s="176"/>
      <c r="G142" s="176"/>
      <c r="H142" s="171"/>
      <c r="I142" s="171" t="str">
        <f t="shared" si="8"/>
        <v/>
      </c>
      <c r="J142" s="176"/>
      <c r="K142" s="176"/>
      <c r="L142" s="132"/>
      <c r="M142" s="132"/>
      <c r="N142" s="132"/>
      <c r="O142" s="132"/>
      <c r="P142" s="132"/>
      <c r="Q142" s="132" t="str">
        <f t="shared" si="9"/>
        <v/>
      </c>
    </row>
    <row r="143" spans="1:17">
      <c r="A143" s="131"/>
      <c r="B143" s="132"/>
      <c r="C143" s="132"/>
      <c r="D143" s="132"/>
      <c r="E143" s="177"/>
      <c r="F143" s="176"/>
      <c r="G143" s="176"/>
      <c r="H143" s="171"/>
      <c r="I143" s="171" t="str">
        <f t="shared" si="8"/>
        <v/>
      </c>
      <c r="J143" s="176"/>
      <c r="K143" s="176"/>
      <c r="L143" s="132"/>
      <c r="M143" s="132"/>
      <c r="N143" s="132"/>
      <c r="O143" s="132"/>
      <c r="P143" s="132"/>
      <c r="Q143" s="132" t="str">
        <f t="shared" si="9"/>
        <v/>
      </c>
    </row>
    <row r="144" spans="1:17">
      <c r="A144" s="131"/>
      <c r="B144" s="132"/>
      <c r="C144" s="132"/>
      <c r="D144" s="132"/>
      <c r="E144" s="177"/>
      <c r="F144" s="176"/>
      <c r="G144" s="176"/>
      <c r="H144" s="171"/>
      <c r="I144" s="171" t="str">
        <f t="shared" si="8"/>
        <v/>
      </c>
      <c r="J144" s="176"/>
      <c r="K144" s="176"/>
      <c r="L144" s="132"/>
      <c r="M144" s="132"/>
      <c r="N144" s="132"/>
      <c r="O144" s="132"/>
      <c r="P144" s="132"/>
      <c r="Q144" s="132" t="str">
        <f t="shared" si="9"/>
        <v/>
      </c>
    </row>
    <row r="145" spans="1:17">
      <c r="A145" s="131"/>
      <c r="B145" s="132"/>
      <c r="C145" s="132"/>
      <c r="D145" s="132"/>
      <c r="E145" s="177"/>
      <c r="F145" s="176"/>
      <c r="G145" s="176"/>
      <c r="H145" s="171"/>
      <c r="I145" s="171" t="str">
        <f t="shared" si="8"/>
        <v/>
      </c>
      <c r="J145" s="176"/>
      <c r="K145" s="176"/>
      <c r="L145" s="132"/>
      <c r="M145" s="132"/>
      <c r="N145" s="132"/>
      <c r="O145" s="132"/>
      <c r="P145" s="132"/>
      <c r="Q145" s="132" t="str">
        <f t="shared" si="9"/>
        <v/>
      </c>
    </row>
    <row r="146" spans="1:17">
      <c r="A146" s="131"/>
      <c r="B146" s="132"/>
      <c r="C146" s="132"/>
      <c r="D146" s="132"/>
      <c r="E146" s="177"/>
      <c r="F146" s="176"/>
      <c r="G146" s="176"/>
      <c r="H146" s="171"/>
      <c r="I146" s="171" t="str">
        <f t="shared" si="8"/>
        <v/>
      </c>
      <c r="J146" s="176"/>
      <c r="K146" s="176"/>
      <c r="L146" s="132"/>
      <c r="M146" s="132"/>
      <c r="N146" s="132"/>
      <c r="O146" s="132"/>
      <c r="P146" s="132"/>
      <c r="Q146" s="132" t="str">
        <f t="shared" si="9"/>
        <v/>
      </c>
    </row>
    <row r="147" spans="1:17">
      <c r="A147" s="131"/>
      <c r="B147" s="132"/>
      <c r="C147" s="132"/>
      <c r="D147" s="132"/>
      <c r="E147" s="177"/>
      <c r="F147" s="176"/>
      <c r="G147" s="176"/>
      <c r="H147" s="171"/>
      <c r="I147" s="171" t="str">
        <f t="shared" si="8"/>
        <v/>
      </c>
      <c r="J147" s="176"/>
      <c r="K147" s="176"/>
      <c r="L147" s="132"/>
      <c r="M147" s="132"/>
      <c r="N147" s="132"/>
      <c r="O147" s="132"/>
      <c r="P147" s="132"/>
      <c r="Q147" s="132" t="str">
        <f t="shared" si="9"/>
        <v/>
      </c>
    </row>
    <row r="148" spans="1:17">
      <c r="A148" s="131"/>
      <c r="B148" s="132"/>
      <c r="C148" s="132"/>
      <c r="D148" s="132"/>
      <c r="E148" s="177"/>
      <c r="F148" s="176"/>
      <c r="G148" s="176"/>
      <c r="H148" s="171"/>
      <c r="I148" s="171" t="str">
        <f t="shared" si="8"/>
        <v/>
      </c>
      <c r="J148" s="176"/>
      <c r="K148" s="176"/>
      <c r="L148" s="132"/>
      <c r="M148" s="132"/>
      <c r="N148" s="132"/>
      <c r="O148" s="132"/>
      <c r="P148" s="132"/>
      <c r="Q148" s="132" t="str">
        <f t="shared" si="9"/>
        <v/>
      </c>
    </row>
    <row r="149" spans="1:17">
      <c r="A149" s="131"/>
      <c r="B149" s="132"/>
      <c r="C149" s="132"/>
      <c r="D149" s="132"/>
      <c r="E149" s="177"/>
      <c r="F149" s="176"/>
      <c r="G149" s="176"/>
      <c r="H149" s="171"/>
      <c r="I149" s="171" t="str">
        <f t="shared" si="8"/>
        <v/>
      </c>
      <c r="J149" s="176"/>
      <c r="K149" s="176"/>
      <c r="L149" s="132"/>
      <c r="M149" s="132"/>
      <c r="N149" s="132"/>
      <c r="O149" s="132"/>
      <c r="P149" s="132"/>
      <c r="Q149" s="132" t="str">
        <f t="shared" si="9"/>
        <v/>
      </c>
    </row>
    <row r="150" spans="1:17">
      <c r="A150" s="131"/>
      <c r="B150" s="132"/>
      <c r="C150" s="132"/>
      <c r="D150" s="132"/>
      <c r="E150" s="177"/>
      <c r="F150" s="176"/>
      <c r="G150" s="176"/>
      <c r="H150" s="171"/>
      <c r="I150" s="171" t="str">
        <f t="shared" si="8"/>
        <v/>
      </c>
      <c r="J150" s="176"/>
      <c r="K150" s="176"/>
      <c r="L150" s="132"/>
      <c r="M150" s="132"/>
      <c r="N150" s="132"/>
      <c r="O150" s="132"/>
      <c r="P150" s="132"/>
      <c r="Q150" s="132" t="str">
        <f t="shared" si="9"/>
        <v/>
      </c>
    </row>
    <row r="151" spans="1:17">
      <c r="A151" s="131"/>
      <c r="B151" s="132"/>
      <c r="C151" s="132"/>
      <c r="D151" s="132"/>
      <c r="E151" s="177"/>
      <c r="F151" s="176"/>
      <c r="G151" s="176"/>
      <c r="H151" s="171"/>
      <c r="I151" s="171" t="str">
        <f t="shared" si="8"/>
        <v/>
      </c>
      <c r="J151" s="176"/>
      <c r="K151" s="176"/>
      <c r="L151" s="132"/>
      <c r="M151" s="132"/>
      <c r="N151" s="132"/>
      <c r="O151" s="132"/>
      <c r="P151" s="132"/>
      <c r="Q151" s="132" t="str">
        <f t="shared" si="9"/>
        <v/>
      </c>
    </row>
    <row r="152" spans="1:17">
      <c r="A152" s="131"/>
      <c r="B152" s="132"/>
      <c r="C152" s="132"/>
      <c r="D152" s="132"/>
      <c r="E152" s="177"/>
      <c r="F152" s="176"/>
      <c r="G152" s="176"/>
      <c r="H152" s="171"/>
      <c r="I152" s="171" t="str">
        <f t="shared" si="8"/>
        <v/>
      </c>
      <c r="J152" s="176"/>
      <c r="K152" s="176"/>
      <c r="L152" s="132"/>
      <c r="M152" s="132"/>
      <c r="N152" s="132"/>
      <c r="O152" s="132"/>
      <c r="P152" s="132"/>
      <c r="Q152" s="132" t="str">
        <f t="shared" si="9"/>
        <v/>
      </c>
    </row>
    <row r="153" spans="1:17">
      <c r="A153" s="131"/>
      <c r="B153" s="132"/>
      <c r="C153" s="132"/>
      <c r="D153" s="132"/>
      <c r="E153" s="177"/>
      <c r="F153" s="176"/>
      <c r="G153" s="176"/>
      <c r="H153" s="171"/>
      <c r="I153" s="171" t="str">
        <f t="shared" si="8"/>
        <v/>
      </c>
      <c r="J153" s="176"/>
      <c r="K153" s="176"/>
      <c r="L153" s="132"/>
      <c r="M153" s="132"/>
      <c r="N153" s="132"/>
      <c r="O153" s="132"/>
      <c r="P153" s="132"/>
      <c r="Q153" s="132" t="str">
        <f t="shared" si="9"/>
        <v/>
      </c>
    </row>
    <row r="154" spans="1:17">
      <c r="A154" s="131"/>
      <c r="B154" s="132"/>
      <c r="C154" s="132"/>
      <c r="D154" s="132"/>
      <c r="E154" s="177"/>
      <c r="F154" s="176"/>
      <c r="G154" s="176"/>
      <c r="H154" s="171"/>
      <c r="I154" s="171" t="str">
        <f t="shared" si="8"/>
        <v/>
      </c>
      <c r="J154" s="176"/>
      <c r="K154" s="176"/>
      <c r="L154" s="132"/>
      <c r="M154" s="132"/>
      <c r="N154" s="132"/>
      <c r="O154" s="132"/>
      <c r="P154" s="132"/>
      <c r="Q154" s="132" t="str">
        <f t="shared" si="9"/>
        <v/>
      </c>
    </row>
    <row r="155" spans="1:17">
      <c r="A155" s="131"/>
      <c r="B155" s="132"/>
      <c r="C155" s="132"/>
      <c r="D155" s="132"/>
      <c r="E155" s="177"/>
      <c r="F155" s="176"/>
      <c r="G155" s="176"/>
      <c r="H155" s="171"/>
      <c r="I155" s="171" t="str">
        <f t="shared" si="8"/>
        <v/>
      </c>
      <c r="J155" s="176"/>
      <c r="K155" s="176"/>
      <c r="L155" s="132"/>
      <c r="M155" s="132"/>
      <c r="N155" s="132"/>
      <c r="O155" s="132"/>
      <c r="P155" s="132"/>
      <c r="Q155" s="132" t="str">
        <f t="shared" si="9"/>
        <v/>
      </c>
    </row>
    <row r="156" spans="1:17">
      <c r="A156" s="131"/>
      <c r="B156" s="132"/>
      <c r="C156" s="132"/>
      <c r="D156" s="132"/>
      <c r="E156" s="177"/>
      <c r="F156" s="176"/>
      <c r="G156" s="176"/>
      <c r="H156" s="171"/>
      <c r="I156" s="171" t="str">
        <f t="shared" si="8"/>
        <v/>
      </c>
      <c r="J156" s="176"/>
      <c r="K156" s="176"/>
      <c r="L156" s="132"/>
      <c r="M156" s="132"/>
      <c r="N156" s="132"/>
      <c r="O156" s="132"/>
      <c r="P156" s="132"/>
      <c r="Q156" s="132" t="str">
        <f t="shared" si="9"/>
        <v/>
      </c>
    </row>
    <row r="157" spans="1:17">
      <c r="A157" s="131"/>
      <c r="B157" s="132"/>
      <c r="C157" s="132"/>
      <c r="D157" s="132"/>
      <c r="E157" s="177"/>
      <c r="F157" s="176"/>
      <c r="G157" s="176"/>
      <c r="H157" s="171"/>
      <c r="I157" s="171" t="str">
        <f t="shared" si="8"/>
        <v/>
      </c>
      <c r="J157" s="176"/>
      <c r="K157" s="176"/>
      <c r="L157" s="132"/>
      <c r="M157" s="132"/>
      <c r="N157" s="132"/>
      <c r="O157" s="132"/>
      <c r="P157" s="132"/>
      <c r="Q157" s="132" t="str">
        <f t="shared" si="9"/>
        <v/>
      </c>
    </row>
    <row r="158" spans="1:17">
      <c r="A158" s="131"/>
      <c r="B158" s="132"/>
      <c r="C158" s="132"/>
      <c r="D158" s="132"/>
      <c r="E158" s="177"/>
      <c r="F158" s="176"/>
      <c r="G158" s="176"/>
      <c r="H158" s="171"/>
      <c r="I158" s="171" t="str">
        <f t="shared" si="8"/>
        <v/>
      </c>
      <c r="J158" s="176"/>
      <c r="K158" s="176"/>
      <c r="L158" s="132"/>
      <c r="M158" s="132"/>
      <c r="N158" s="132"/>
      <c r="O158" s="132"/>
      <c r="P158" s="132"/>
      <c r="Q158" s="132" t="str">
        <f t="shared" si="9"/>
        <v/>
      </c>
    </row>
    <row r="159" spans="1:17">
      <c r="A159" s="131"/>
      <c r="B159" s="132"/>
      <c r="C159" s="132"/>
      <c r="D159" s="132"/>
      <c r="E159" s="177"/>
      <c r="F159" s="176"/>
      <c r="G159" s="176"/>
      <c r="H159" s="171"/>
      <c r="I159" s="171" t="str">
        <f t="shared" si="8"/>
        <v/>
      </c>
      <c r="J159" s="176"/>
      <c r="K159" s="176"/>
      <c r="L159" s="132"/>
      <c r="M159" s="132"/>
      <c r="N159" s="132"/>
      <c r="O159" s="132"/>
      <c r="P159" s="132"/>
      <c r="Q159" s="132" t="str">
        <f t="shared" si="9"/>
        <v/>
      </c>
    </row>
    <row r="160" spans="1:17">
      <c r="A160" s="131"/>
      <c r="B160" s="132"/>
      <c r="C160" s="132"/>
      <c r="D160" s="132"/>
      <c r="E160" s="177"/>
      <c r="F160" s="176"/>
      <c r="G160" s="176"/>
      <c r="H160" s="171"/>
      <c r="I160" s="171" t="str">
        <f t="shared" si="8"/>
        <v/>
      </c>
      <c r="J160" s="176"/>
      <c r="K160" s="176"/>
      <c r="L160" s="132"/>
      <c r="M160" s="132"/>
      <c r="N160" s="132"/>
      <c r="O160" s="132"/>
      <c r="P160" s="132"/>
      <c r="Q160" s="132" t="str">
        <f t="shared" si="9"/>
        <v/>
      </c>
    </row>
    <row r="161" spans="1:17">
      <c r="A161" s="131"/>
      <c r="B161" s="132"/>
      <c r="C161" s="132"/>
      <c r="D161" s="132"/>
      <c r="E161" s="177"/>
      <c r="F161" s="176"/>
      <c r="G161" s="176"/>
      <c r="H161" s="171"/>
      <c r="I161" s="171" t="str">
        <f t="shared" si="8"/>
        <v/>
      </c>
      <c r="J161" s="176"/>
      <c r="K161" s="176"/>
      <c r="L161" s="132"/>
      <c r="M161" s="132"/>
      <c r="N161" s="132"/>
      <c r="O161" s="132"/>
      <c r="P161" s="132"/>
      <c r="Q161" s="132" t="str">
        <f t="shared" si="9"/>
        <v/>
      </c>
    </row>
    <row r="162" spans="1:17">
      <c r="A162" s="131"/>
      <c r="B162" s="132"/>
      <c r="C162" s="132"/>
      <c r="D162" s="132"/>
      <c r="E162" s="177"/>
      <c r="F162" s="176"/>
      <c r="G162" s="176"/>
      <c r="H162" s="171"/>
      <c r="I162" s="171" t="str">
        <f t="shared" si="8"/>
        <v/>
      </c>
      <c r="J162" s="176"/>
      <c r="K162" s="176"/>
      <c r="L162" s="132"/>
      <c r="M162" s="132"/>
      <c r="N162" s="132"/>
      <c r="O162" s="132"/>
      <c r="P162" s="132"/>
      <c r="Q162" s="132" t="str">
        <f t="shared" si="9"/>
        <v/>
      </c>
    </row>
    <row r="163" spans="1:17">
      <c r="A163" s="131"/>
      <c r="B163" s="132"/>
      <c r="C163" s="132"/>
      <c r="D163" s="132"/>
      <c r="E163" s="177"/>
      <c r="F163" s="176"/>
      <c r="G163" s="176"/>
      <c r="H163" s="171"/>
      <c r="I163" s="171" t="str">
        <f t="shared" si="8"/>
        <v/>
      </c>
      <c r="J163" s="176"/>
      <c r="K163" s="176"/>
      <c r="L163" s="132"/>
      <c r="M163" s="132"/>
      <c r="N163" s="132"/>
      <c r="O163" s="132"/>
      <c r="P163" s="132"/>
      <c r="Q163" s="132" t="str">
        <f t="shared" si="9"/>
        <v/>
      </c>
    </row>
    <row r="164" spans="1:17">
      <c r="A164" s="131"/>
      <c r="B164" s="132"/>
      <c r="C164" s="132"/>
      <c r="D164" s="132"/>
      <c r="E164" s="177"/>
      <c r="F164" s="176"/>
      <c r="G164" s="176"/>
      <c r="H164" s="171"/>
      <c r="I164" s="171" t="str">
        <f t="shared" si="8"/>
        <v/>
      </c>
      <c r="J164" s="176"/>
      <c r="K164" s="176"/>
      <c r="L164" s="132"/>
      <c r="M164" s="132"/>
      <c r="N164" s="132"/>
      <c r="O164" s="132"/>
      <c r="P164" s="132"/>
      <c r="Q164" s="132" t="str">
        <f t="shared" si="9"/>
        <v/>
      </c>
    </row>
    <row r="165" spans="1:17">
      <c r="A165" s="131"/>
      <c r="B165" s="132"/>
      <c r="C165" s="132"/>
      <c r="D165" s="132"/>
      <c r="E165" s="177"/>
      <c r="F165" s="176"/>
      <c r="G165" s="176"/>
      <c r="H165" s="171"/>
      <c r="I165" s="171" t="str">
        <f t="shared" ref="I165:I196" si="10">IF(G165="","",IF(D165="USD",G165*H165,G165))</f>
        <v/>
      </c>
      <c r="J165" s="176"/>
      <c r="K165" s="176"/>
      <c r="L165" s="132"/>
      <c r="M165" s="132"/>
      <c r="N165" s="132"/>
      <c r="O165" s="132"/>
      <c r="P165" s="132"/>
      <c r="Q165" s="132" t="str">
        <f t="shared" ref="Q165:Q196" si="11">IF(B165="","",TEXT(A165,"yyyymmdd")&amp;"-"&amp;B165)</f>
        <v/>
      </c>
    </row>
    <row r="166" spans="1:17">
      <c r="A166" s="131"/>
      <c r="B166" s="132"/>
      <c r="C166" s="132"/>
      <c r="D166" s="132"/>
      <c r="E166" s="177"/>
      <c r="F166" s="176"/>
      <c r="G166" s="176"/>
      <c r="H166" s="171"/>
      <c r="I166" s="171" t="str">
        <f t="shared" si="10"/>
        <v/>
      </c>
      <c r="J166" s="176"/>
      <c r="K166" s="176"/>
      <c r="L166" s="132"/>
      <c r="M166" s="132"/>
      <c r="N166" s="132"/>
      <c r="O166" s="132"/>
      <c r="P166" s="132"/>
      <c r="Q166" s="132" t="str">
        <f t="shared" si="11"/>
        <v/>
      </c>
    </row>
    <row r="167" spans="1:17">
      <c r="A167" s="131"/>
      <c r="B167" s="132"/>
      <c r="C167" s="132"/>
      <c r="D167" s="132"/>
      <c r="E167" s="177"/>
      <c r="F167" s="176"/>
      <c r="G167" s="176"/>
      <c r="H167" s="171"/>
      <c r="I167" s="171" t="str">
        <f t="shared" si="10"/>
        <v/>
      </c>
      <c r="J167" s="176"/>
      <c r="K167" s="176"/>
      <c r="L167" s="132"/>
      <c r="M167" s="132"/>
      <c r="N167" s="132"/>
      <c r="O167" s="132"/>
      <c r="P167" s="132"/>
      <c r="Q167" s="132" t="str">
        <f t="shared" si="11"/>
        <v/>
      </c>
    </row>
    <row r="168" spans="1:17">
      <c r="A168" s="131"/>
      <c r="B168" s="132"/>
      <c r="C168" s="132"/>
      <c r="D168" s="132"/>
      <c r="E168" s="177"/>
      <c r="F168" s="176"/>
      <c r="G168" s="176"/>
      <c r="H168" s="171"/>
      <c r="I168" s="171" t="str">
        <f t="shared" si="10"/>
        <v/>
      </c>
      <c r="J168" s="176"/>
      <c r="K168" s="176"/>
      <c r="L168" s="132"/>
      <c r="M168" s="132"/>
      <c r="N168" s="132"/>
      <c r="O168" s="132"/>
      <c r="P168" s="132"/>
      <c r="Q168" s="132" t="str">
        <f t="shared" si="11"/>
        <v/>
      </c>
    </row>
    <row r="169" spans="1:17">
      <c r="A169" s="131"/>
      <c r="B169" s="132"/>
      <c r="C169" s="132"/>
      <c r="D169" s="132"/>
      <c r="E169" s="177"/>
      <c r="F169" s="176"/>
      <c r="G169" s="176"/>
      <c r="H169" s="171"/>
      <c r="I169" s="171" t="str">
        <f t="shared" si="10"/>
        <v/>
      </c>
      <c r="J169" s="176"/>
      <c r="K169" s="176"/>
      <c r="L169" s="132"/>
      <c r="M169" s="132"/>
      <c r="N169" s="132"/>
      <c r="O169" s="132"/>
      <c r="P169" s="132"/>
      <c r="Q169" s="132" t="str">
        <f t="shared" si="11"/>
        <v/>
      </c>
    </row>
    <row r="170" spans="1:17">
      <c r="A170" s="131"/>
      <c r="B170" s="132"/>
      <c r="C170" s="132"/>
      <c r="D170" s="132"/>
      <c r="E170" s="177"/>
      <c r="F170" s="176"/>
      <c r="G170" s="176"/>
      <c r="H170" s="171"/>
      <c r="I170" s="171" t="str">
        <f t="shared" si="10"/>
        <v/>
      </c>
      <c r="J170" s="176"/>
      <c r="K170" s="176"/>
      <c r="L170" s="132"/>
      <c r="M170" s="132"/>
      <c r="N170" s="132"/>
      <c r="O170" s="132"/>
      <c r="P170" s="132"/>
      <c r="Q170" s="132" t="str">
        <f t="shared" si="11"/>
        <v/>
      </c>
    </row>
    <row r="171" spans="1:17">
      <c r="A171" s="131"/>
      <c r="B171" s="132"/>
      <c r="C171" s="132"/>
      <c r="D171" s="132"/>
      <c r="E171" s="177"/>
      <c r="F171" s="176"/>
      <c r="G171" s="176"/>
      <c r="H171" s="171"/>
      <c r="I171" s="171" t="str">
        <f t="shared" si="10"/>
        <v/>
      </c>
      <c r="J171" s="176"/>
      <c r="K171" s="176"/>
      <c r="L171" s="132"/>
      <c r="M171" s="132"/>
      <c r="N171" s="132"/>
      <c r="O171" s="132"/>
      <c r="P171" s="132"/>
      <c r="Q171" s="132" t="str">
        <f t="shared" si="11"/>
        <v/>
      </c>
    </row>
    <row r="172" spans="1:17">
      <c r="A172" s="131"/>
      <c r="B172" s="132"/>
      <c r="C172" s="132"/>
      <c r="D172" s="132"/>
      <c r="E172" s="177"/>
      <c r="F172" s="176"/>
      <c r="G172" s="176"/>
      <c r="H172" s="171"/>
      <c r="I172" s="171" t="str">
        <f t="shared" si="10"/>
        <v/>
      </c>
      <c r="J172" s="176"/>
      <c r="K172" s="176"/>
      <c r="L172" s="132"/>
      <c r="M172" s="132"/>
      <c r="N172" s="132"/>
      <c r="O172" s="132"/>
      <c r="P172" s="132"/>
      <c r="Q172" s="132" t="str">
        <f t="shared" si="11"/>
        <v/>
      </c>
    </row>
    <row r="173" spans="1:17">
      <c r="A173" s="131"/>
      <c r="B173" s="132"/>
      <c r="C173" s="132"/>
      <c r="D173" s="132"/>
      <c r="E173" s="177"/>
      <c r="F173" s="176"/>
      <c r="G173" s="176"/>
      <c r="H173" s="171"/>
      <c r="I173" s="171" t="str">
        <f t="shared" si="10"/>
        <v/>
      </c>
      <c r="J173" s="176"/>
      <c r="K173" s="176"/>
      <c r="L173" s="132"/>
      <c r="M173" s="132"/>
      <c r="N173" s="132"/>
      <c r="O173" s="132"/>
      <c r="P173" s="132"/>
      <c r="Q173" s="132" t="str">
        <f t="shared" si="11"/>
        <v/>
      </c>
    </row>
    <row r="174" spans="1:17">
      <c r="A174" s="131"/>
      <c r="B174" s="132"/>
      <c r="C174" s="132"/>
      <c r="D174" s="132"/>
      <c r="E174" s="177"/>
      <c r="F174" s="176"/>
      <c r="G174" s="176"/>
      <c r="H174" s="171"/>
      <c r="I174" s="171" t="str">
        <f t="shared" si="10"/>
        <v/>
      </c>
      <c r="J174" s="176"/>
      <c r="K174" s="176"/>
      <c r="L174" s="132"/>
      <c r="M174" s="132"/>
      <c r="N174" s="132"/>
      <c r="O174" s="132"/>
      <c r="P174" s="132"/>
      <c r="Q174" s="132" t="str">
        <f t="shared" si="11"/>
        <v/>
      </c>
    </row>
    <row r="175" spans="1:17">
      <c r="A175" s="131"/>
      <c r="B175" s="132"/>
      <c r="C175" s="132"/>
      <c r="D175" s="132"/>
      <c r="E175" s="177"/>
      <c r="F175" s="176"/>
      <c r="G175" s="176"/>
      <c r="H175" s="171"/>
      <c r="I175" s="171" t="str">
        <f t="shared" si="10"/>
        <v/>
      </c>
      <c r="J175" s="176"/>
      <c r="K175" s="176"/>
      <c r="L175" s="132"/>
      <c r="M175" s="132"/>
      <c r="N175" s="132"/>
      <c r="O175" s="132"/>
      <c r="P175" s="132"/>
      <c r="Q175" s="132" t="str">
        <f t="shared" si="11"/>
        <v/>
      </c>
    </row>
    <row r="176" spans="1:17">
      <c r="A176" s="131"/>
      <c r="B176" s="132"/>
      <c r="C176" s="132"/>
      <c r="D176" s="132"/>
      <c r="E176" s="177"/>
      <c r="F176" s="176"/>
      <c r="G176" s="176"/>
      <c r="H176" s="171"/>
      <c r="I176" s="171" t="str">
        <f t="shared" si="10"/>
        <v/>
      </c>
      <c r="J176" s="176"/>
      <c r="K176" s="176"/>
      <c r="L176" s="132"/>
      <c r="M176" s="132"/>
      <c r="N176" s="132"/>
      <c r="O176" s="132"/>
      <c r="P176" s="132"/>
      <c r="Q176" s="132" t="str">
        <f t="shared" si="11"/>
        <v/>
      </c>
    </row>
    <row r="177" spans="1:17">
      <c r="A177" s="131"/>
      <c r="B177" s="132"/>
      <c r="C177" s="132"/>
      <c r="D177" s="132"/>
      <c r="E177" s="177"/>
      <c r="F177" s="176"/>
      <c r="G177" s="176"/>
      <c r="H177" s="171"/>
      <c r="I177" s="171" t="str">
        <f t="shared" si="10"/>
        <v/>
      </c>
      <c r="J177" s="176"/>
      <c r="K177" s="176"/>
      <c r="L177" s="132"/>
      <c r="M177" s="132"/>
      <c r="N177" s="132"/>
      <c r="O177" s="132"/>
      <c r="P177" s="132"/>
      <c r="Q177" s="132" t="str">
        <f t="shared" si="11"/>
        <v/>
      </c>
    </row>
    <row r="178" spans="1:17">
      <c r="A178" s="131"/>
      <c r="B178" s="132"/>
      <c r="C178" s="132"/>
      <c r="D178" s="132"/>
      <c r="E178" s="177"/>
      <c r="F178" s="176"/>
      <c r="G178" s="176"/>
      <c r="H178" s="171"/>
      <c r="I178" s="171" t="str">
        <f t="shared" si="10"/>
        <v/>
      </c>
      <c r="J178" s="176"/>
      <c r="K178" s="176"/>
      <c r="L178" s="132"/>
      <c r="M178" s="132"/>
      <c r="N178" s="132"/>
      <c r="O178" s="132"/>
      <c r="P178" s="132"/>
      <c r="Q178" s="132" t="str">
        <f t="shared" si="11"/>
        <v/>
      </c>
    </row>
    <row r="179" spans="1:17">
      <c r="A179" s="131"/>
      <c r="B179" s="132"/>
      <c r="C179" s="132"/>
      <c r="D179" s="132"/>
      <c r="E179" s="177"/>
      <c r="F179" s="176"/>
      <c r="G179" s="176"/>
      <c r="H179" s="171"/>
      <c r="I179" s="171" t="str">
        <f t="shared" si="10"/>
        <v/>
      </c>
      <c r="J179" s="176"/>
      <c r="K179" s="176"/>
      <c r="L179" s="132"/>
      <c r="M179" s="132"/>
      <c r="N179" s="132"/>
      <c r="O179" s="132"/>
      <c r="P179" s="132"/>
      <c r="Q179" s="132" t="str">
        <f t="shared" si="11"/>
        <v/>
      </c>
    </row>
    <row r="180" spans="1:17">
      <c r="A180" s="131"/>
      <c r="B180" s="132"/>
      <c r="C180" s="132"/>
      <c r="D180" s="132"/>
      <c r="E180" s="177"/>
      <c r="F180" s="176"/>
      <c r="G180" s="176"/>
      <c r="H180" s="171"/>
      <c r="I180" s="171" t="str">
        <f t="shared" si="10"/>
        <v/>
      </c>
      <c r="J180" s="176"/>
      <c r="K180" s="176"/>
      <c r="L180" s="132"/>
      <c r="M180" s="132"/>
      <c r="N180" s="132"/>
      <c r="O180" s="132"/>
      <c r="P180" s="132"/>
      <c r="Q180" s="132" t="str">
        <f t="shared" si="11"/>
        <v/>
      </c>
    </row>
    <row r="181" spans="1:17">
      <c r="A181" s="131"/>
      <c r="B181" s="132"/>
      <c r="C181" s="132"/>
      <c r="D181" s="132"/>
      <c r="E181" s="177"/>
      <c r="F181" s="176"/>
      <c r="G181" s="176"/>
      <c r="H181" s="171"/>
      <c r="I181" s="171" t="str">
        <f t="shared" si="10"/>
        <v/>
      </c>
      <c r="J181" s="176"/>
      <c r="K181" s="176"/>
      <c r="L181" s="132"/>
      <c r="M181" s="132"/>
      <c r="N181" s="132"/>
      <c r="O181" s="132"/>
      <c r="P181" s="132"/>
      <c r="Q181" s="132" t="str">
        <f t="shared" si="11"/>
        <v/>
      </c>
    </row>
    <row r="182" spans="1:17">
      <c r="A182" s="131"/>
      <c r="B182" s="132"/>
      <c r="C182" s="132"/>
      <c r="D182" s="132"/>
      <c r="E182" s="177"/>
      <c r="F182" s="176"/>
      <c r="G182" s="176"/>
      <c r="H182" s="171"/>
      <c r="I182" s="171" t="str">
        <f t="shared" si="10"/>
        <v/>
      </c>
      <c r="J182" s="176"/>
      <c r="K182" s="176"/>
      <c r="L182" s="132"/>
      <c r="M182" s="132"/>
      <c r="N182" s="132"/>
      <c r="O182" s="132"/>
      <c r="P182" s="132"/>
      <c r="Q182" s="132" t="str">
        <f t="shared" si="11"/>
        <v/>
      </c>
    </row>
    <row r="183" spans="1:17">
      <c r="A183" s="131"/>
      <c r="B183" s="132"/>
      <c r="C183" s="132"/>
      <c r="D183" s="132"/>
      <c r="E183" s="177"/>
      <c r="F183" s="176"/>
      <c r="G183" s="176"/>
      <c r="H183" s="171"/>
      <c r="I183" s="171" t="str">
        <f t="shared" si="10"/>
        <v/>
      </c>
      <c r="J183" s="176"/>
      <c r="K183" s="176"/>
      <c r="L183" s="132"/>
      <c r="M183" s="132"/>
      <c r="N183" s="132"/>
      <c r="O183" s="132"/>
      <c r="P183" s="132"/>
      <c r="Q183" s="132" t="str">
        <f t="shared" si="11"/>
        <v/>
      </c>
    </row>
    <row r="184" spans="1:17">
      <c r="A184" s="131"/>
      <c r="B184" s="132"/>
      <c r="C184" s="132"/>
      <c r="D184" s="132"/>
      <c r="E184" s="177"/>
      <c r="F184" s="176"/>
      <c r="G184" s="176"/>
      <c r="H184" s="171"/>
      <c r="I184" s="171" t="str">
        <f t="shared" si="10"/>
        <v/>
      </c>
      <c r="J184" s="176"/>
      <c r="K184" s="176"/>
      <c r="L184" s="132"/>
      <c r="M184" s="132"/>
      <c r="N184" s="132"/>
      <c r="O184" s="132"/>
      <c r="P184" s="132"/>
      <c r="Q184" s="132" t="str">
        <f t="shared" si="11"/>
        <v/>
      </c>
    </row>
    <row r="185" spans="1:17">
      <c r="A185" s="131"/>
      <c r="B185" s="132"/>
      <c r="C185" s="132"/>
      <c r="D185" s="132"/>
      <c r="E185" s="177"/>
      <c r="F185" s="176"/>
      <c r="G185" s="176"/>
      <c r="H185" s="171"/>
      <c r="I185" s="171" t="str">
        <f t="shared" si="10"/>
        <v/>
      </c>
      <c r="J185" s="176"/>
      <c r="K185" s="176"/>
      <c r="L185" s="132"/>
      <c r="M185" s="132"/>
      <c r="N185" s="132"/>
      <c r="O185" s="132"/>
      <c r="P185" s="132"/>
      <c r="Q185" s="132" t="str">
        <f t="shared" si="11"/>
        <v/>
      </c>
    </row>
    <row r="186" spans="1:17">
      <c r="A186" s="131"/>
      <c r="B186" s="132"/>
      <c r="C186" s="132"/>
      <c r="D186" s="132"/>
      <c r="E186" s="177"/>
      <c r="F186" s="176"/>
      <c r="G186" s="176"/>
      <c r="H186" s="171"/>
      <c r="I186" s="171" t="str">
        <f t="shared" si="10"/>
        <v/>
      </c>
      <c r="J186" s="176"/>
      <c r="K186" s="176"/>
      <c r="L186" s="132"/>
      <c r="M186" s="132"/>
      <c r="N186" s="132"/>
      <c r="O186" s="132"/>
      <c r="P186" s="132"/>
      <c r="Q186" s="132" t="str">
        <f t="shared" si="11"/>
        <v/>
      </c>
    </row>
    <row r="187" spans="1:17">
      <c r="A187" s="131"/>
      <c r="B187" s="132"/>
      <c r="C187" s="132"/>
      <c r="D187" s="132"/>
      <c r="E187" s="177"/>
      <c r="F187" s="176"/>
      <c r="G187" s="176"/>
      <c r="H187" s="171"/>
      <c r="I187" s="171" t="str">
        <f t="shared" si="10"/>
        <v/>
      </c>
      <c r="J187" s="176"/>
      <c r="K187" s="176"/>
      <c r="L187" s="132"/>
      <c r="M187" s="132"/>
      <c r="N187" s="132"/>
      <c r="O187" s="132"/>
      <c r="P187" s="132"/>
      <c r="Q187" s="132" t="str">
        <f t="shared" si="11"/>
        <v/>
      </c>
    </row>
    <row r="188" spans="1:17">
      <c r="A188" s="131"/>
      <c r="B188" s="132"/>
      <c r="C188" s="132"/>
      <c r="D188" s="132"/>
      <c r="E188" s="177"/>
      <c r="F188" s="176"/>
      <c r="G188" s="176"/>
      <c r="H188" s="171"/>
      <c r="I188" s="171" t="str">
        <f t="shared" si="10"/>
        <v/>
      </c>
      <c r="J188" s="176"/>
      <c r="K188" s="176"/>
      <c r="L188" s="132"/>
      <c r="M188" s="132"/>
      <c r="N188" s="132"/>
      <c r="O188" s="132"/>
      <c r="P188" s="132"/>
      <c r="Q188" s="132" t="str">
        <f t="shared" si="11"/>
        <v/>
      </c>
    </row>
    <row r="189" spans="1:17">
      <c r="A189" s="131"/>
      <c r="B189" s="132"/>
      <c r="C189" s="132"/>
      <c r="D189" s="132"/>
      <c r="E189" s="177"/>
      <c r="F189" s="176"/>
      <c r="G189" s="176"/>
      <c r="H189" s="171"/>
      <c r="I189" s="171" t="str">
        <f t="shared" si="10"/>
        <v/>
      </c>
      <c r="J189" s="176"/>
      <c r="K189" s="176"/>
      <c r="L189" s="132"/>
      <c r="M189" s="132"/>
      <c r="N189" s="132"/>
      <c r="O189" s="132"/>
      <c r="P189" s="132"/>
      <c r="Q189" s="132" t="str">
        <f t="shared" si="11"/>
        <v/>
      </c>
    </row>
    <row r="190" spans="1:17">
      <c r="A190" s="131"/>
      <c r="B190" s="132"/>
      <c r="C190" s="132"/>
      <c r="D190" s="132"/>
      <c r="E190" s="177"/>
      <c r="F190" s="176"/>
      <c r="G190" s="176"/>
      <c r="H190" s="171"/>
      <c r="I190" s="171" t="str">
        <f t="shared" si="10"/>
        <v/>
      </c>
      <c r="J190" s="176"/>
      <c r="K190" s="176"/>
      <c r="L190" s="132"/>
      <c r="M190" s="132"/>
      <c r="N190" s="132"/>
      <c r="O190" s="132"/>
      <c r="P190" s="132"/>
      <c r="Q190" s="132" t="str">
        <f t="shared" si="11"/>
        <v/>
      </c>
    </row>
    <row r="191" spans="1:17">
      <c r="A191" s="131"/>
      <c r="B191" s="132"/>
      <c r="C191" s="132"/>
      <c r="D191" s="132"/>
      <c r="E191" s="177"/>
      <c r="F191" s="176"/>
      <c r="G191" s="176"/>
      <c r="H191" s="171"/>
      <c r="I191" s="171" t="str">
        <f t="shared" si="10"/>
        <v/>
      </c>
      <c r="J191" s="176"/>
      <c r="K191" s="176"/>
      <c r="L191" s="132"/>
      <c r="M191" s="132"/>
      <c r="N191" s="132"/>
      <c r="O191" s="132"/>
      <c r="P191" s="132"/>
      <c r="Q191" s="132" t="str">
        <f t="shared" si="11"/>
        <v/>
      </c>
    </row>
    <row r="192" spans="1:17">
      <c r="A192" s="131"/>
      <c r="B192" s="132"/>
      <c r="C192" s="132"/>
      <c r="D192" s="132"/>
      <c r="E192" s="177"/>
      <c r="F192" s="176"/>
      <c r="G192" s="176"/>
      <c r="H192" s="171"/>
      <c r="I192" s="171" t="str">
        <f t="shared" si="10"/>
        <v/>
      </c>
      <c r="J192" s="176"/>
      <c r="K192" s="176"/>
      <c r="L192" s="132"/>
      <c r="M192" s="132"/>
      <c r="N192" s="132"/>
      <c r="O192" s="132"/>
      <c r="P192" s="132"/>
      <c r="Q192" s="132" t="str">
        <f t="shared" si="11"/>
        <v/>
      </c>
    </row>
    <row r="193" spans="1:17">
      <c r="A193" s="131"/>
      <c r="B193" s="132"/>
      <c r="C193" s="132"/>
      <c r="D193" s="132"/>
      <c r="E193" s="177"/>
      <c r="F193" s="176"/>
      <c r="G193" s="176"/>
      <c r="H193" s="171"/>
      <c r="I193" s="171" t="str">
        <f t="shared" si="10"/>
        <v/>
      </c>
      <c r="J193" s="176"/>
      <c r="K193" s="176"/>
      <c r="L193" s="132"/>
      <c r="M193" s="132"/>
      <c r="N193" s="132"/>
      <c r="O193" s="132"/>
      <c r="P193" s="132"/>
      <c r="Q193" s="132" t="str">
        <f t="shared" si="11"/>
        <v/>
      </c>
    </row>
    <row r="194" spans="1:17">
      <c r="A194" s="131"/>
      <c r="B194" s="132"/>
      <c r="C194" s="132"/>
      <c r="D194" s="132"/>
      <c r="E194" s="177"/>
      <c r="F194" s="176"/>
      <c r="G194" s="176"/>
      <c r="H194" s="171"/>
      <c r="I194" s="171" t="str">
        <f t="shared" si="10"/>
        <v/>
      </c>
      <c r="J194" s="176"/>
      <c r="K194" s="176"/>
      <c r="L194" s="132"/>
      <c r="M194" s="132"/>
      <c r="N194" s="132"/>
      <c r="O194" s="132"/>
      <c r="P194" s="132"/>
      <c r="Q194" s="132" t="str">
        <f t="shared" si="11"/>
        <v/>
      </c>
    </row>
    <row r="195" spans="1:17">
      <c r="A195" s="131"/>
      <c r="B195" s="132"/>
      <c r="C195" s="132"/>
      <c r="D195" s="132"/>
      <c r="E195" s="177"/>
      <c r="F195" s="176"/>
      <c r="G195" s="176"/>
      <c r="H195" s="171"/>
      <c r="I195" s="171" t="str">
        <f t="shared" si="10"/>
        <v/>
      </c>
      <c r="J195" s="176"/>
      <c r="K195" s="176"/>
      <c r="L195" s="132"/>
      <c r="M195" s="132"/>
      <c r="N195" s="132"/>
      <c r="O195" s="132"/>
      <c r="P195" s="132"/>
      <c r="Q195" s="132" t="str">
        <f t="shared" si="11"/>
        <v/>
      </c>
    </row>
    <row r="196" spans="1:17">
      <c r="A196" s="131"/>
      <c r="B196" s="132"/>
      <c r="C196" s="132"/>
      <c r="D196" s="132"/>
      <c r="E196" s="177"/>
      <c r="F196" s="176"/>
      <c r="G196" s="176"/>
      <c r="H196" s="171"/>
      <c r="I196" s="171" t="str">
        <f t="shared" si="10"/>
        <v/>
      </c>
      <c r="J196" s="176"/>
      <c r="K196" s="176"/>
      <c r="L196" s="132"/>
      <c r="M196" s="132"/>
      <c r="N196" s="132"/>
      <c r="O196" s="132"/>
      <c r="P196" s="132"/>
      <c r="Q196" s="132" t="str">
        <f t="shared" si="11"/>
        <v/>
      </c>
    </row>
    <row r="197" spans="1:17">
      <c r="A197" s="131"/>
      <c r="B197" s="132"/>
      <c r="C197" s="132"/>
      <c r="D197" s="132"/>
      <c r="E197" s="177"/>
      <c r="F197" s="176"/>
      <c r="G197" s="176"/>
      <c r="H197" s="171"/>
      <c r="I197" s="171" t="str">
        <f t="shared" ref="I197:I204" si="12">IF(G197="","",IF(D197="USD",G197*H197,G197))</f>
        <v/>
      </c>
      <c r="J197" s="176"/>
      <c r="K197" s="176"/>
      <c r="L197" s="132"/>
      <c r="M197" s="132"/>
      <c r="N197" s="132"/>
      <c r="O197" s="132"/>
      <c r="P197" s="132"/>
      <c r="Q197" s="132" t="str">
        <f t="shared" ref="Q197:Q204" si="13">IF(B197="","",TEXT(A197,"yyyymmdd")&amp;"-"&amp;B197)</f>
        <v/>
      </c>
    </row>
    <row r="198" spans="1:17">
      <c r="A198" s="131"/>
      <c r="B198" s="132"/>
      <c r="C198" s="132"/>
      <c r="D198" s="132"/>
      <c r="E198" s="177"/>
      <c r="F198" s="176"/>
      <c r="G198" s="176"/>
      <c r="H198" s="171"/>
      <c r="I198" s="171" t="str">
        <f t="shared" si="12"/>
        <v/>
      </c>
      <c r="J198" s="176"/>
      <c r="K198" s="176"/>
      <c r="L198" s="132"/>
      <c r="M198" s="132"/>
      <c r="N198" s="132"/>
      <c r="O198" s="132"/>
      <c r="P198" s="132"/>
      <c r="Q198" s="132" t="str">
        <f t="shared" si="13"/>
        <v/>
      </c>
    </row>
    <row r="199" spans="1:17">
      <c r="A199" s="131"/>
      <c r="B199" s="132"/>
      <c r="C199" s="132"/>
      <c r="D199" s="132"/>
      <c r="E199" s="177"/>
      <c r="F199" s="176"/>
      <c r="G199" s="176"/>
      <c r="H199" s="171"/>
      <c r="I199" s="171" t="str">
        <f t="shared" si="12"/>
        <v/>
      </c>
      <c r="J199" s="176"/>
      <c r="K199" s="176"/>
      <c r="L199" s="132"/>
      <c r="M199" s="132"/>
      <c r="N199" s="132"/>
      <c r="O199" s="132"/>
      <c r="P199" s="132"/>
      <c r="Q199" s="132" t="str">
        <f t="shared" si="13"/>
        <v/>
      </c>
    </row>
    <row r="200" spans="1:17">
      <c r="A200" s="131"/>
      <c r="B200" s="132"/>
      <c r="C200" s="132"/>
      <c r="D200" s="132"/>
      <c r="E200" s="177"/>
      <c r="F200" s="176"/>
      <c r="G200" s="176"/>
      <c r="H200" s="171"/>
      <c r="I200" s="171" t="str">
        <f t="shared" si="12"/>
        <v/>
      </c>
      <c r="J200" s="176"/>
      <c r="K200" s="176"/>
      <c r="L200" s="132"/>
      <c r="M200" s="132"/>
      <c r="N200" s="132"/>
      <c r="O200" s="132"/>
      <c r="P200" s="132"/>
      <c r="Q200" s="132" t="str">
        <f t="shared" si="13"/>
        <v/>
      </c>
    </row>
    <row r="201" spans="1:17">
      <c r="A201" s="131"/>
      <c r="B201" s="132"/>
      <c r="C201" s="132"/>
      <c r="D201" s="132"/>
      <c r="E201" s="177"/>
      <c r="F201" s="176"/>
      <c r="G201" s="176"/>
      <c r="H201" s="171"/>
      <c r="I201" s="171" t="str">
        <f t="shared" si="12"/>
        <v/>
      </c>
      <c r="J201" s="176"/>
      <c r="K201" s="176"/>
      <c r="L201" s="132"/>
      <c r="M201" s="132"/>
      <c r="N201" s="132"/>
      <c r="O201" s="132"/>
      <c r="P201" s="132"/>
      <c r="Q201" s="132" t="str">
        <f t="shared" si="13"/>
        <v/>
      </c>
    </row>
    <row r="202" spans="1:17">
      <c r="A202" s="131"/>
      <c r="B202" s="132"/>
      <c r="C202" s="132"/>
      <c r="D202" s="132"/>
      <c r="E202" s="177"/>
      <c r="F202" s="176"/>
      <c r="G202" s="176"/>
      <c r="H202" s="171"/>
      <c r="I202" s="171" t="str">
        <f t="shared" si="12"/>
        <v/>
      </c>
      <c r="J202" s="176"/>
      <c r="K202" s="176"/>
      <c r="L202" s="132"/>
      <c r="M202" s="132"/>
      <c r="N202" s="132"/>
      <c r="O202" s="132"/>
      <c r="P202" s="132"/>
      <c r="Q202" s="132" t="str">
        <f t="shared" si="13"/>
        <v/>
      </c>
    </row>
    <row r="203" spans="1:17">
      <c r="A203" s="131"/>
      <c r="B203" s="132"/>
      <c r="C203" s="132"/>
      <c r="D203" s="132"/>
      <c r="E203" s="177"/>
      <c r="F203" s="176"/>
      <c r="G203" s="176"/>
      <c r="H203" s="171"/>
      <c r="I203" s="171" t="str">
        <f t="shared" si="12"/>
        <v/>
      </c>
      <c r="J203" s="176"/>
      <c r="K203" s="176"/>
      <c r="L203" s="132"/>
      <c r="M203" s="132"/>
      <c r="N203" s="132"/>
      <c r="O203" s="132"/>
      <c r="P203" s="132"/>
      <c r="Q203" s="132" t="str">
        <f t="shared" si="13"/>
        <v/>
      </c>
    </row>
    <row r="204" spans="1:17">
      <c r="A204" s="131"/>
      <c r="B204" s="132"/>
      <c r="C204" s="132"/>
      <c r="D204" s="132"/>
      <c r="E204" s="177"/>
      <c r="F204" s="176"/>
      <c r="G204" s="176"/>
      <c r="H204" s="171"/>
      <c r="I204" s="171" t="str">
        <f t="shared" si="12"/>
        <v/>
      </c>
      <c r="J204" s="176"/>
      <c r="K204" s="176"/>
      <c r="L204" s="132"/>
      <c r="M204" s="132"/>
      <c r="N204" s="132"/>
      <c r="O204" s="132"/>
      <c r="P204" s="132"/>
      <c r="Q204" s="132" t="str">
        <f t="shared" si="13"/>
        <v/>
      </c>
    </row>
    <row r="205" spans="1:17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</row>
    <row r="206" spans="1:17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</row>
    <row r="207" spans="1:17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</row>
    <row r="208" spans="1:17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</row>
    <row r="209" spans="1:17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</row>
    <row r="210" spans="1:17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</row>
    <row r="211" spans="1:17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</row>
    <row r="212" spans="1:17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</row>
    <row r="213" spans="1:17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</row>
    <row r="214" spans="1:17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</row>
    <row r="215" spans="1:17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</row>
    <row r="216" spans="1:17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</row>
    <row r="217" spans="1:17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</row>
    <row r="218" spans="1:17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</row>
    <row r="219" spans="1:17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</row>
    <row r="220" spans="1:17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</row>
  </sheetData>
  <mergeCells count="2">
    <mergeCell ref="A2:K2"/>
    <mergeCell ref="A1:J1"/>
  </mergeCells>
  <dataValidations count="3">
    <dataValidation type="list" allowBlank="1" sqref="C5:C204" xr:uid="{00000000-0002-0000-1900-000000000000}">
      <formula1>"ETF,APV,Fondo/Cuenta,Caja/Banco,Cripto,Otro"</formula1>
    </dataValidation>
    <dataValidation type="list" allowBlank="1" sqref="D5:D204" xr:uid="{00000000-0002-0000-1900-000001000000}">
      <formula1>"CLP,USD"</formula1>
    </dataValidation>
    <dataValidation type="list" allowBlank="1" sqref="N5:N204" xr:uid="{00000000-0002-0000-1900-000002000000}">
      <formula1>"Actualizado,Pendiente,Revisar,Cerrado"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D9B45B"/>
  </sheetPr>
  <dimension ref="A1:M200"/>
  <sheetViews>
    <sheetView workbookViewId="0"/>
  </sheetViews>
  <sheetFormatPr baseColWidth="10" defaultColWidth="8.7265625" defaultRowHeight="14.5"/>
  <cols>
    <col min="1" max="1" width="27" customWidth="1"/>
    <col min="2" max="2" width="4.90625" customWidth="1"/>
    <col min="3" max="3" width="13.1796875" customWidth="1"/>
    <col min="4" max="4" width="15" customWidth="1"/>
    <col min="5" max="5" width="14" customWidth="1"/>
    <col min="6" max="6" width="15" customWidth="1"/>
    <col min="7" max="7" width="19" customWidth="1"/>
    <col min="8" max="9" width="18" customWidth="1"/>
    <col min="10" max="10" width="14" customWidth="1"/>
    <col min="11" max="11" width="12" customWidth="1"/>
    <col min="12" max="12" width="18" customWidth="1"/>
    <col min="13" max="13" width="28" customWidth="1"/>
  </cols>
  <sheetData>
    <row r="1" spans="1:13" ht="5.5" customHeight="1">
      <c r="A1" s="453" t="s">
        <v>1684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</row>
    <row r="2" spans="1:13">
      <c r="A2" s="452" t="s">
        <v>1685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</row>
    <row r="4" spans="1:13" ht="8.65" customHeight="1">
      <c r="A4" s="257" t="s">
        <v>13</v>
      </c>
      <c r="B4" s="257" t="s">
        <v>1061</v>
      </c>
      <c r="C4" s="257" t="s">
        <v>1686</v>
      </c>
      <c r="D4" s="257" t="s">
        <v>1687</v>
      </c>
      <c r="E4" s="257" t="s">
        <v>1688</v>
      </c>
      <c r="F4" s="257" t="s">
        <v>1689</v>
      </c>
      <c r="G4" s="257" t="s">
        <v>1690</v>
      </c>
      <c r="H4" s="257" t="s">
        <v>1691</v>
      </c>
      <c r="I4" s="257" t="s">
        <v>1692</v>
      </c>
      <c r="J4" s="257" t="s">
        <v>1693</v>
      </c>
      <c r="K4" s="257" t="s">
        <v>1694</v>
      </c>
      <c r="L4" s="257" t="s">
        <v>1695</v>
      </c>
      <c r="M4" s="257" t="s">
        <v>882</v>
      </c>
    </row>
    <row r="5" spans="1:13" ht="8.65" customHeight="1">
      <c r="A5" s="261">
        <v>46143</v>
      </c>
      <c r="B5" s="98" t="s">
        <v>1696</v>
      </c>
      <c r="C5" s="258">
        <v>2.7699999999999999E-2</v>
      </c>
      <c r="D5" s="259">
        <v>65.3</v>
      </c>
      <c r="E5" s="258">
        <v>9.2999999999999992E-3</v>
      </c>
      <c r="F5" s="259">
        <v>465.75</v>
      </c>
      <c r="G5" s="123"/>
      <c r="H5" s="123"/>
      <c r="I5" s="123"/>
      <c r="J5" s="123"/>
      <c r="K5" s="123">
        <v>950</v>
      </c>
      <c r="L5" s="123">
        <f>IF(A5="","",IFERROR(SUMIFS('14_Inversiones'!$F:$F,'14_Inversiones'!$B:$B,"TQQQ",'14_Inversiones'!$C:$C,"Compra",'14_Inversiones'!$A:$A,"&lt;="&amp;A5)*D5*K5,0)+IFERROR(SUMIFS('14_Inversiones'!$F:$F,'14_Inversiones'!$B:$B,"SOXX",'14_Inversiones'!$C:$C,"Compra",'14_Inversiones'!$A:$A,"&lt;="&amp;A5)*F5*K5,0)+IF(G5&lt;&gt;"",G5,0)+IF(H5&lt;&gt;"",H5,0)+IF(I5&lt;&gt;"",I5,0)+IF(J5&lt;&gt;"",J5,0))</f>
        <v>37849.298352654056</v>
      </c>
      <c r="M5" s="98" t="s">
        <v>1697</v>
      </c>
    </row>
    <row r="6" spans="1:13">
      <c r="A6" s="262">
        <v>46144</v>
      </c>
      <c r="B6" s="263" t="s">
        <v>1696</v>
      </c>
      <c r="C6" s="264"/>
      <c r="D6" s="265"/>
      <c r="E6" s="264"/>
      <c r="F6" s="265"/>
      <c r="G6" s="266"/>
      <c r="H6" s="266"/>
      <c r="I6" s="266"/>
      <c r="J6" s="266"/>
      <c r="K6" s="266">
        <v>950</v>
      </c>
      <c r="L6" s="266">
        <f>IF(A6="","",IFERROR(SUMIFS('14_Inversiones'!$F:$F,'14_Inversiones'!$B:$B,"TQQQ",'14_Inversiones'!$C:$C,"Compra",'14_Inversiones'!$A:$A,"&lt;="&amp;A6)*D6*K6,0)+IFERROR(SUMIFS('14_Inversiones'!$F:$F,'14_Inversiones'!$B:$B,"SOXX",'14_Inversiones'!$C:$C,"Compra",'14_Inversiones'!$A:$A,"&lt;="&amp;A6)*F6*K6,0)+IF(G6&lt;&gt;"",G6,0)+IF(H6&lt;&gt;"",H6,0)+IF(I6&lt;&gt;"",I6,0)+IF(J6&lt;&gt;"",J6,0))</f>
        <v>0</v>
      </c>
      <c r="M6" s="263"/>
    </row>
    <row r="7" spans="1:13">
      <c r="A7" s="262">
        <v>46145</v>
      </c>
      <c r="B7" s="263" t="s">
        <v>1696</v>
      </c>
      <c r="C7" s="264"/>
      <c r="D7" s="265"/>
      <c r="E7" s="264"/>
      <c r="F7" s="265"/>
      <c r="G7" s="266"/>
      <c r="H7" s="266"/>
      <c r="I7" s="266"/>
      <c r="J7" s="266"/>
      <c r="K7" s="266">
        <v>950</v>
      </c>
      <c r="L7" s="266">
        <f>IF(A7="","",IFERROR(SUMIFS('14_Inversiones'!$F:$F,'14_Inversiones'!$B:$B,"TQQQ",'14_Inversiones'!$C:$C,"Compra",'14_Inversiones'!$A:$A,"&lt;="&amp;A7)*D7*K7,0)+IFERROR(SUMIFS('14_Inversiones'!$F:$F,'14_Inversiones'!$B:$B,"SOXX",'14_Inversiones'!$C:$C,"Compra",'14_Inversiones'!$A:$A,"&lt;="&amp;A7)*F7*K7,0)+IF(G7&lt;&gt;"",G7,0)+IF(H7&lt;&gt;"",H7,0)+IF(I7&lt;&gt;"",I7,0)+IF(J7&lt;&gt;"",J7,0))</f>
        <v>0</v>
      </c>
      <c r="M7" s="263"/>
    </row>
    <row r="8" spans="1:13" ht="8.65" customHeight="1">
      <c r="A8" s="261">
        <v>46146</v>
      </c>
      <c r="B8" s="98" t="s">
        <v>1696</v>
      </c>
      <c r="C8" s="258">
        <v>-6.0000000000000001E-3</v>
      </c>
      <c r="D8" s="259">
        <v>64.91</v>
      </c>
      <c r="E8" s="258">
        <v>-7.9000000000000008E-3</v>
      </c>
      <c r="F8" s="259">
        <v>462.06</v>
      </c>
      <c r="G8" s="123"/>
      <c r="H8" s="123"/>
      <c r="I8" s="123"/>
      <c r="J8" s="123"/>
      <c r="K8" s="123">
        <v>950</v>
      </c>
      <c r="L8" s="123">
        <f>IF(A8="","",IFERROR(SUMIFS('14_Inversiones'!$F:$F,'14_Inversiones'!$B:$B,"TQQQ",'14_Inversiones'!$C:$C,"Compra",'14_Inversiones'!$A:$A,"&lt;="&amp;A8)*D8*K8,0)+IFERROR(SUMIFS('14_Inversiones'!$F:$F,'14_Inversiones'!$B:$B,"SOXX",'14_Inversiones'!$C:$C,"Compra",'14_Inversiones'!$A:$A,"&lt;="&amp;A8)*F8*K8,0)+IF(G8&lt;&gt;"",G8,0)+IF(H8&lt;&gt;"",H8,0)+IF(I8&lt;&gt;"",I8,0)+IF(J8&lt;&gt;"",J8,0))</f>
        <v>37623.245881635143</v>
      </c>
      <c r="M8" s="98" t="s">
        <v>1697</v>
      </c>
    </row>
    <row r="9" spans="1:13" ht="8.65" customHeight="1">
      <c r="A9" s="261">
        <v>46147</v>
      </c>
      <c r="B9" s="98" t="s">
        <v>1696</v>
      </c>
      <c r="C9" s="258">
        <v>3.8199999999999998E-2</v>
      </c>
      <c r="D9" s="259">
        <v>67.39</v>
      </c>
      <c r="E9" s="258">
        <v>4.4699999999999997E-2</v>
      </c>
      <c r="F9" s="259">
        <v>482.73</v>
      </c>
      <c r="G9" s="123"/>
      <c r="H9" s="123"/>
      <c r="I9" s="123"/>
      <c r="J9" s="123"/>
      <c r="K9" s="123">
        <v>950</v>
      </c>
      <c r="L9" s="123">
        <f>IF(A9="","",IFERROR(SUMIFS('14_Inversiones'!$F:$F,'14_Inversiones'!$B:$B,"TQQQ",'14_Inversiones'!$C:$C,"Compra",'14_Inversiones'!$A:$A,"&lt;="&amp;A9)*D9*K9,0)+IFERROR(SUMIFS('14_Inversiones'!$F:$F,'14_Inversiones'!$B:$B,"SOXX",'14_Inversiones'!$C:$C,"Compra",'14_Inversiones'!$A:$A,"&lt;="&amp;A9)*F9*K9,0)+IF(G9&lt;&gt;"",G9,0)+IF(H9&lt;&gt;"",H9,0)+IF(I9&lt;&gt;"",I9,0)+IF(J9&lt;&gt;"",J9,0))</f>
        <v>39060.707748627217</v>
      </c>
      <c r="M9" s="98" t="s">
        <v>1697</v>
      </c>
    </row>
    <row r="10" spans="1:13" ht="8.65" customHeight="1">
      <c r="A10" s="261">
        <v>46148</v>
      </c>
      <c r="B10" s="98" t="s">
        <v>1696</v>
      </c>
      <c r="C10" s="258">
        <v>6.2E-2</v>
      </c>
      <c r="D10" s="259">
        <v>71.569999999999993</v>
      </c>
      <c r="E10" s="258">
        <v>0.05</v>
      </c>
      <c r="F10" s="259">
        <v>506.87</v>
      </c>
      <c r="G10" s="123"/>
      <c r="H10" s="123"/>
      <c r="I10" s="123"/>
      <c r="J10" s="123"/>
      <c r="K10" s="123">
        <v>950</v>
      </c>
      <c r="L10" s="123">
        <f>IF(A10="","",IFERROR(SUMIFS('14_Inversiones'!$F:$F,'14_Inversiones'!$B:$B,"TQQQ",'14_Inversiones'!$C:$C,"Compra",'14_Inversiones'!$A:$A,"&lt;="&amp;A10)*D10*K10,0)+IFERROR(SUMIFS('14_Inversiones'!$F:$F,'14_Inversiones'!$B:$B,"SOXX",'14_Inversiones'!$C:$C,"Compra",'14_Inversiones'!$A:$A,"&lt;="&amp;A10)*F10*K10,0)+IF(G10&lt;&gt;"",G10,0)+IF(H10&lt;&gt;"",H10,0)+IF(I10&lt;&gt;"",I10,0)+IF(J10&lt;&gt;"",J10,0))</f>
        <v>99053.526540573526</v>
      </c>
      <c r="M10" s="98" t="s">
        <v>1697</v>
      </c>
    </row>
    <row r="11" spans="1:13" ht="8.65" customHeight="1">
      <c r="A11" s="261">
        <v>46149</v>
      </c>
      <c r="B11" s="98" t="s">
        <v>1696</v>
      </c>
      <c r="C11" s="258">
        <v>-3.2000000000000002E-3</v>
      </c>
      <c r="D11" s="259">
        <v>71.34</v>
      </c>
      <c r="E11" s="258">
        <v>-2.86E-2</v>
      </c>
      <c r="F11" s="259">
        <v>492.36</v>
      </c>
      <c r="G11" s="123"/>
      <c r="H11" s="123"/>
      <c r="I11" s="123"/>
      <c r="J11" s="123"/>
      <c r="K11" s="123">
        <v>950</v>
      </c>
      <c r="L11" s="123">
        <f>IF(A11="","",IFERROR(SUMIFS('14_Inversiones'!$F:$F,'14_Inversiones'!$B:$B,"TQQQ",'14_Inversiones'!$C:$C,"Compra",'14_Inversiones'!$A:$A,"&lt;="&amp;A11)*D11*K11,0)+IFERROR(SUMIFS('14_Inversiones'!$F:$F,'14_Inversiones'!$B:$B,"SOXX",'14_Inversiones'!$C:$C,"Compra",'14_Inversiones'!$A:$A,"&lt;="&amp;A11)*F11*K11,0)+IF(G11&lt;&gt;"",G11,0)+IF(H11&lt;&gt;"",H11,0)+IF(I11&lt;&gt;"",I11,0)+IF(J11&lt;&gt;"",J11,0))</f>
        <v>97755.023796929774</v>
      </c>
      <c r="M11" s="98" t="s">
        <v>1697</v>
      </c>
    </row>
    <row r="12" spans="1:13" ht="8.65" customHeight="1">
      <c r="A12" s="261">
        <v>46150</v>
      </c>
      <c r="B12" s="98" t="s">
        <v>1696</v>
      </c>
      <c r="C12" s="258">
        <v>6.9199999999999998E-2</v>
      </c>
      <c r="D12" s="259">
        <v>76.28</v>
      </c>
      <c r="E12" s="258">
        <v>5.67E-2</v>
      </c>
      <c r="F12" s="259">
        <v>520.29999999999995</v>
      </c>
      <c r="G12" s="123"/>
      <c r="H12" s="123"/>
      <c r="I12" s="123"/>
      <c r="J12" s="123"/>
      <c r="K12" s="123">
        <v>950</v>
      </c>
      <c r="L12" s="123">
        <f>IF(A12="","",IFERROR(SUMIFS('14_Inversiones'!$F:$F,'14_Inversiones'!$B:$B,"TQQQ",'14_Inversiones'!$C:$C,"Compra",'14_Inversiones'!$A:$A,"&lt;="&amp;A12)*D12*K12,0)+IFERROR(SUMIFS('14_Inversiones'!$F:$F,'14_Inversiones'!$B:$B,"SOXX",'14_Inversiones'!$C:$C,"Compra",'14_Inversiones'!$A:$A,"&lt;="&amp;A12)*F12*K12,0)+IF(G12&lt;&gt;"",G12,0)+IF(H12&lt;&gt;"",H12,0)+IF(I12&lt;&gt;"",I12,0)+IF(J12&lt;&gt;"",J12,0))</f>
        <v>104055.8777095041</v>
      </c>
      <c r="M12" s="98" t="s">
        <v>1697</v>
      </c>
    </row>
    <row r="13" spans="1:13">
      <c r="A13" s="262">
        <v>46151</v>
      </c>
      <c r="B13" s="263" t="s">
        <v>1696</v>
      </c>
      <c r="C13" s="264"/>
      <c r="D13" s="265"/>
      <c r="E13" s="264"/>
      <c r="F13" s="265"/>
      <c r="G13" s="266"/>
      <c r="H13" s="266"/>
      <c r="I13" s="266"/>
      <c r="J13" s="266"/>
      <c r="K13" s="266">
        <v>950</v>
      </c>
      <c r="L13" s="266">
        <f>IF(A13="","",IFERROR(SUMIFS('14_Inversiones'!$F:$F,'14_Inversiones'!$B:$B,"TQQQ",'14_Inversiones'!$C:$C,"Compra",'14_Inversiones'!$A:$A,"&lt;="&amp;A13)*D13*K13,0)+IFERROR(SUMIFS('14_Inversiones'!$F:$F,'14_Inversiones'!$B:$B,"SOXX",'14_Inversiones'!$C:$C,"Compra",'14_Inversiones'!$A:$A,"&lt;="&amp;A13)*F13*K13,0)+IF(G13&lt;&gt;"",G13,0)+IF(H13&lt;&gt;"",H13,0)+IF(I13&lt;&gt;"",I13,0)+IF(J13&lt;&gt;"",J13,0))</f>
        <v>0</v>
      </c>
      <c r="M13" s="263"/>
    </row>
    <row r="14" spans="1:13">
      <c r="A14" s="262">
        <v>46152</v>
      </c>
      <c r="B14" s="263" t="s">
        <v>1696</v>
      </c>
      <c r="C14" s="264"/>
      <c r="D14" s="265"/>
      <c r="E14" s="264"/>
      <c r="F14" s="265"/>
      <c r="G14" s="266"/>
      <c r="H14" s="266"/>
      <c r="I14" s="266"/>
      <c r="J14" s="266"/>
      <c r="K14" s="266">
        <v>950</v>
      </c>
      <c r="L14" s="266">
        <f>IF(A14="","",IFERROR(SUMIFS('14_Inversiones'!$F:$F,'14_Inversiones'!$B:$B,"TQQQ",'14_Inversiones'!$C:$C,"Compra",'14_Inversiones'!$A:$A,"&lt;="&amp;A14)*D14*K14,0)+IFERROR(SUMIFS('14_Inversiones'!$F:$F,'14_Inversiones'!$B:$B,"SOXX",'14_Inversiones'!$C:$C,"Compra",'14_Inversiones'!$A:$A,"&lt;="&amp;A14)*F14*K14,0)+IF(G14&lt;&gt;"",G14,0)+IF(H14&lt;&gt;"",H14,0)+IF(I14&lt;&gt;"",I14,0)+IF(J14&lt;&gt;"",J14,0))</f>
        <v>0</v>
      </c>
      <c r="M14" s="263"/>
    </row>
    <row r="15" spans="1:13" ht="8.65" customHeight="1">
      <c r="A15" s="261">
        <v>46153</v>
      </c>
      <c r="B15" s="98" t="s">
        <v>1696</v>
      </c>
      <c r="C15" s="258">
        <v>8.8999999999999999E-3</v>
      </c>
      <c r="D15" s="259">
        <v>76.959999999999994</v>
      </c>
      <c r="E15" s="258">
        <v>2.3900000000000001E-2</v>
      </c>
      <c r="F15" s="259">
        <v>532.76</v>
      </c>
      <c r="G15" s="123"/>
      <c r="H15" s="123"/>
      <c r="I15" s="123"/>
      <c r="J15" s="123"/>
      <c r="K15" s="123">
        <v>950</v>
      </c>
      <c r="L15" s="123">
        <f>IF(A15="","",IFERROR(SUMIFS('14_Inversiones'!$F:$F,'14_Inversiones'!$B:$B,"TQQQ",'14_Inversiones'!$C:$C,"Compra",'14_Inversiones'!$A:$A,"&lt;="&amp;A15)*D15*K15,0)+IFERROR(SUMIFS('14_Inversiones'!$F:$F,'14_Inversiones'!$B:$B,"SOXX",'14_Inversiones'!$C:$C,"Compra",'14_Inversiones'!$A:$A,"&lt;="&amp;A15)*F15*K15,0)+IF(G15&lt;&gt;"",G15,0)+IF(H15&lt;&gt;"",H15,0)+IF(I15&lt;&gt;"",I15,0)+IF(J15&lt;&gt;"",J15,0))</f>
        <v>105578.68004245871</v>
      </c>
      <c r="M15" s="98" t="s">
        <v>1697</v>
      </c>
    </row>
    <row r="16" spans="1:13" ht="8.65" customHeight="1">
      <c r="A16" s="261">
        <v>46154</v>
      </c>
      <c r="B16" s="98" t="s">
        <v>1696</v>
      </c>
      <c r="C16" s="258">
        <v>-2.5999999999999999E-2</v>
      </c>
      <c r="D16" s="259">
        <v>74.959999999999994</v>
      </c>
      <c r="E16" s="258">
        <v>-3.15E-2</v>
      </c>
      <c r="F16" s="259">
        <v>515.99</v>
      </c>
      <c r="G16" s="123"/>
      <c r="H16" s="123"/>
      <c r="I16" s="123"/>
      <c r="J16" s="123"/>
      <c r="K16" s="123">
        <v>950</v>
      </c>
      <c r="L16" s="123">
        <f>IF(A16="","",IFERROR(SUMIFS('14_Inversiones'!$F:$F,'14_Inversiones'!$B:$B,"TQQQ",'14_Inversiones'!$C:$C,"Compra",'14_Inversiones'!$A:$A,"&lt;="&amp;A16)*D16*K16,0)+IFERROR(SUMIFS('14_Inversiones'!$F:$F,'14_Inversiones'!$B:$B,"SOXX",'14_Inversiones'!$C:$C,"Compra",'14_Inversiones'!$A:$A,"&lt;="&amp;A16)*F16*K16,0)+IF(G16&lt;&gt;"",G16,0)+IF(H16&lt;&gt;"",H16,0)+IF(I16&lt;&gt;"",I16,0)+IF(J16&lt;&gt;"",J16,0))</f>
        <v>102612.38375054082</v>
      </c>
      <c r="M16" s="98" t="s">
        <v>1697</v>
      </c>
    </row>
    <row r="17" spans="1:13" ht="8.65" customHeight="1">
      <c r="A17" s="261">
        <v>46155</v>
      </c>
      <c r="B17" s="98" t="s">
        <v>1696</v>
      </c>
      <c r="C17" s="258">
        <v>3.04E-2</v>
      </c>
      <c r="D17" s="259">
        <v>77.239999999999995</v>
      </c>
      <c r="E17" s="258">
        <v>2.3800000000000002E-2</v>
      </c>
      <c r="F17" s="259">
        <v>528.29</v>
      </c>
      <c r="G17" s="123"/>
      <c r="H17" s="123"/>
      <c r="I17" s="123"/>
      <c r="J17" s="123"/>
      <c r="K17" s="123">
        <v>950</v>
      </c>
      <c r="L17" s="123">
        <f>IF(A17="","",IFERROR(SUMIFS('14_Inversiones'!$F:$F,'14_Inversiones'!$B:$B,"TQQQ",'14_Inversiones'!$C:$C,"Compra",'14_Inversiones'!$A:$A,"&lt;="&amp;A17)*D17*K17,0)+IFERROR(SUMIFS('14_Inversiones'!$F:$F,'14_Inversiones'!$B:$B,"SOXX",'14_Inversiones'!$C:$C,"Compra",'14_Inversiones'!$A:$A,"&lt;="&amp;A17)*F17*K17,0)+IF(G17&lt;&gt;"",G17,0)+IF(H17&lt;&gt;"",H17,0)+IF(I17&lt;&gt;"",I17,0)+IF(J17&lt;&gt;"",J17,0))</f>
        <v>105475.16469968409</v>
      </c>
      <c r="M17" s="98" t="s">
        <v>1697</v>
      </c>
    </row>
    <row r="18" spans="1:13" ht="8.65" customHeight="1">
      <c r="A18" s="261">
        <v>46156</v>
      </c>
      <c r="B18" s="98" t="s">
        <v>1696</v>
      </c>
      <c r="C18" s="258">
        <v>2.2100000000000002E-2</v>
      </c>
      <c r="D18" s="259">
        <v>78.95</v>
      </c>
      <c r="E18" s="258">
        <v>3.3E-3</v>
      </c>
      <c r="F18" s="259">
        <v>530.03</v>
      </c>
      <c r="G18" s="123"/>
      <c r="H18" s="123"/>
      <c r="I18" s="123"/>
      <c r="J18" s="123"/>
      <c r="K18" s="123">
        <v>950</v>
      </c>
      <c r="L18" s="123">
        <f>IF(A18="","",IFERROR(SUMIFS('14_Inversiones'!$F:$F,'14_Inversiones'!$B:$B,"TQQQ",'14_Inversiones'!$C:$C,"Compra",'14_Inversiones'!$A:$A,"&lt;="&amp;A18)*D18*K18,0)+IFERROR(SUMIFS('14_Inversiones'!$F:$F,'14_Inversiones'!$B:$B,"SOXX",'14_Inversiones'!$C:$C,"Compra",'14_Inversiones'!$A:$A,"&lt;="&amp;A18)*F18*K18,0)+IF(G18&lt;&gt;"",G18,0)+IF(H18&lt;&gt;"",H18,0)+IF(I18&lt;&gt;"",I18,0)+IF(J18&lt;&gt;"",J18,0))</f>
        <v>107052.6833627914</v>
      </c>
      <c r="M18" s="98" t="s">
        <v>1697</v>
      </c>
    </row>
    <row r="19" spans="1:13" ht="8.65" customHeight="1">
      <c r="A19" s="261">
        <v>46157</v>
      </c>
      <c r="B19" s="98" t="s">
        <v>1696</v>
      </c>
      <c r="C19" s="258">
        <v>-4.5699999999999998E-2</v>
      </c>
      <c r="D19" s="259">
        <v>75.34</v>
      </c>
      <c r="E19" s="258">
        <v>-4.0599999999999997E-2</v>
      </c>
      <c r="F19" s="259">
        <v>508.52</v>
      </c>
      <c r="G19" s="123"/>
      <c r="H19" s="123"/>
      <c r="I19" s="123"/>
      <c r="J19" s="123"/>
      <c r="K19" s="123">
        <v>950</v>
      </c>
      <c r="L19" s="123">
        <f>IF(A19="","",IFERROR(SUMIFS('14_Inversiones'!$F:$F,'14_Inversiones'!$B:$B,"TQQQ",'14_Inversiones'!$C:$C,"Compra",'14_Inversiones'!$A:$A,"&lt;="&amp;A19)*D19*K19,0)+IFERROR(SUMIFS('14_Inversiones'!$F:$F,'14_Inversiones'!$B:$B,"SOXX",'14_Inversiones'!$C:$C,"Compra",'14_Inversiones'!$A:$A,"&lt;="&amp;A19)*F19*K19,0)+IF(G19&lt;&gt;"",G19,0)+IF(H19&lt;&gt;"",H19,0)+IF(I19&lt;&gt;"",I19,0)+IF(J19&lt;&gt;"",J19,0))</f>
        <v>102365.09462962626</v>
      </c>
      <c r="M19" s="98" t="s">
        <v>1697</v>
      </c>
    </row>
    <row r="20" spans="1:13">
      <c r="A20" s="262">
        <v>46158</v>
      </c>
      <c r="B20" s="263" t="s">
        <v>1696</v>
      </c>
      <c r="C20" s="264"/>
      <c r="D20" s="265"/>
      <c r="E20" s="264"/>
      <c r="F20" s="265"/>
      <c r="G20" s="266"/>
      <c r="H20" s="266"/>
      <c r="I20" s="266"/>
      <c r="J20" s="266"/>
      <c r="K20" s="266">
        <v>950</v>
      </c>
      <c r="L20" s="266">
        <f>IF(A20="","",IFERROR(SUMIFS('14_Inversiones'!$F:$F,'14_Inversiones'!$B:$B,"TQQQ",'14_Inversiones'!$C:$C,"Compra",'14_Inversiones'!$A:$A,"&lt;="&amp;A20)*D20*K20,0)+IFERROR(SUMIFS('14_Inversiones'!$F:$F,'14_Inversiones'!$B:$B,"SOXX",'14_Inversiones'!$C:$C,"Compra",'14_Inversiones'!$A:$A,"&lt;="&amp;A20)*F20*K20,0)+IF(G20&lt;&gt;"",G20,0)+IF(H20&lt;&gt;"",H20,0)+IF(I20&lt;&gt;"",I20,0)+IF(J20&lt;&gt;"",J20,0))</f>
        <v>0</v>
      </c>
      <c r="M20" s="263"/>
    </row>
    <row r="21" spans="1:13">
      <c r="A21" s="262">
        <v>46159</v>
      </c>
      <c r="B21" s="263" t="s">
        <v>1696</v>
      </c>
      <c r="C21" s="264"/>
      <c r="D21" s="265"/>
      <c r="E21" s="264"/>
      <c r="F21" s="265"/>
      <c r="G21" s="266"/>
      <c r="H21" s="266"/>
      <c r="I21" s="266"/>
      <c r="J21" s="266"/>
      <c r="K21" s="266">
        <v>950</v>
      </c>
      <c r="L21" s="266">
        <f>IF(A21="","",IFERROR(SUMIFS('14_Inversiones'!$F:$F,'14_Inversiones'!$B:$B,"TQQQ",'14_Inversiones'!$C:$C,"Compra",'14_Inversiones'!$A:$A,"&lt;="&amp;A21)*D21*K21,0)+IFERROR(SUMIFS('14_Inversiones'!$F:$F,'14_Inversiones'!$B:$B,"SOXX",'14_Inversiones'!$C:$C,"Compra",'14_Inversiones'!$A:$A,"&lt;="&amp;A21)*F21*K21,0)+IF(G21&lt;&gt;"",G21,0)+IF(H21&lt;&gt;"",H21,0)+IF(I21&lt;&gt;"",I21,0)+IF(J21&lt;&gt;"",J21,0))</f>
        <v>0</v>
      </c>
      <c r="M21" s="263"/>
    </row>
    <row r="22" spans="1:13" ht="8.65" customHeight="1">
      <c r="A22" s="261">
        <v>46160</v>
      </c>
      <c r="B22" s="98" t="s">
        <v>1696</v>
      </c>
      <c r="C22" s="258">
        <v>-1.35E-2</v>
      </c>
      <c r="D22" s="259">
        <v>74.34</v>
      </c>
      <c r="E22" s="258">
        <v>-2.4899999999999999E-2</v>
      </c>
      <c r="F22" s="259">
        <v>495.87</v>
      </c>
      <c r="G22" s="123"/>
      <c r="H22" s="123"/>
      <c r="I22" s="123"/>
      <c r="J22" s="123"/>
      <c r="K22" s="123">
        <v>950</v>
      </c>
      <c r="L22" s="123">
        <f>IF(A22="","",IFERROR(SUMIFS('14_Inversiones'!$F:$F,'14_Inversiones'!$B:$B,"TQQQ",'14_Inversiones'!$C:$C,"Compra",'14_Inversiones'!$A:$A,"&lt;="&amp;A22)*D22*K22,0)+IFERROR(SUMIFS('14_Inversiones'!$F:$F,'14_Inversiones'!$B:$B,"SOXX",'14_Inversiones'!$C:$C,"Compra",'14_Inversiones'!$A:$A,"&lt;="&amp;A22)*F22*K22,0)+IF(G22&lt;&gt;"",G22,0)+IF(H22&lt;&gt;"",H22,0)+IF(I22&lt;&gt;"",I22,0)+IF(J22&lt;&gt;"",J22,0))</f>
        <v>100557.40360284972</v>
      </c>
      <c r="M22" s="98" t="s">
        <v>1697</v>
      </c>
    </row>
    <row r="23" spans="1:13" ht="8.65" customHeight="1">
      <c r="A23" s="261">
        <v>46161</v>
      </c>
      <c r="B23" s="98" t="s">
        <v>1696</v>
      </c>
      <c r="C23" s="258">
        <v>-1.8700000000000001E-2</v>
      </c>
      <c r="D23" s="259">
        <v>72.930000000000007</v>
      </c>
      <c r="E23" s="258">
        <v>1.8E-3</v>
      </c>
      <c r="F23" s="259">
        <v>496.74</v>
      </c>
      <c r="G23" s="123"/>
      <c r="H23" s="123"/>
      <c r="I23" s="123"/>
      <c r="J23" s="123"/>
      <c r="K23" s="123">
        <v>950</v>
      </c>
      <c r="L23" s="123">
        <f>IF(A23="","",IFERROR(SUMIFS('14_Inversiones'!$F:$F,'14_Inversiones'!$B:$B,"TQQQ",'14_Inversiones'!$C:$C,"Compra",'14_Inversiones'!$A:$A,"&lt;="&amp;A23)*D23*K23,0)+IFERROR(SUMIFS('14_Inversiones'!$F:$F,'14_Inversiones'!$B:$B,"SOXX",'14_Inversiones'!$C:$C,"Compra",'14_Inversiones'!$A:$A,"&lt;="&amp;A23)*F23*K23,0)+IF(G23&lt;&gt;"",G23,0)+IF(H23&lt;&gt;"",H23,0)+IF(I23&lt;&gt;"",I23,0)+IF(J23&lt;&gt;"",J23,0))</f>
        <v>99432.020310197724</v>
      </c>
      <c r="M23" s="98" t="s">
        <v>1697</v>
      </c>
    </row>
    <row r="24" spans="1:13" ht="8.65" customHeight="1">
      <c r="A24" s="261">
        <v>46162</v>
      </c>
      <c r="B24" s="98" t="s">
        <v>1696</v>
      </c>
      <c r="C24" s="258">
        <v>4.9099999999999998E-2</v>
      </c>
      <c r="D24" s="259">
        <v>76.510000000000005</v>
      </c>
      <c r="E24" s="258">
        <v>4.7399999999999998E-2</v>
      </c>
      <c r="F24" s="259">
        <v>520.30999999999995</v>
      </c>
      <c r="G24" s="123"/>
      <c r="H24" s="123"/>
      <c r="I24" s="123"/>
      <c r="J24" s="123"/>
      <c r="K24" s="123">
        <v>950</v>
      </c>
      <c r="L24" s="123">
        <f>IF(A24="","",IFERROR(SUMIFS('14_Inversiones'!$F:$F,'14_Inversiones'!$B:$B,"TQQQ",'14_Inversiones'!$C:$C,"Compra",'14_Inversiones'!$A:$A,"&lt;="&amp;A24)*D24*K24,0)+IFERROR(SUMIFS('14_Inversiones'!$F:$F,'14_Inversiones'!$B:$B,"SOXX",'14_Inversiones'!$C:$C,"Compra",'14_Inversiones'!$A:$A,"&lt;="&amp;A24)*F24*K24,0)+IF(G24&lt;&gt;"",G24,0)+IF(H24&lt;&gt;"",H24,0)+IF(I24&lt;&gt;"",I24,0)+IF(J24&lt;&gt;"",J24,0))</f>
        <v>104251.01075283022</v>
      </c>
      <c r="M24" s="98" t="s">
        <v>1697</v>
      </c>
    </row>
    <row r="25" spans="1:13" ht="8.65" customHeight="1">
      <c r="A25" s="261">
        <v>46163</v>
      </c>
      <c r="B25" s="98" t="s">
        <v>1696</v>
      </c>
      <c r="C25" s="258">
        <v>5.7999999999999996E-3</v>
      </c>
      <c r="D25" s="259">
        <v>76.95</v>
      </c>
      <c r="E25" s="258">
        <v>8.5000000000000006E-3</v>
      </c>
      <c r="F25" s="259">
        <v>524.71</v>
      </c>
      <c r="G25" s="123"/>
      <c r="H25" s="123"/>
      <c r="I25" s="123"/>
      <c r="J25" s="123"/>
      <c r="K25" s="123">
        <v>950</v>
      </c>
      <c r="L25" s="123">
        <f>IF(A25="","",IFERROR(SUMIFS('14_Inversiones'!$F:$F,'14_Inversiones'!$B:$B,"TQQQ",'14_Inversiones'!$C:$C,"Compra",'14_Inversiones'!$A:$A,"&lt;="&amp;A25)*D25*K25,0)+IFERROR(SUMIFS('14_Inversiones'!$F:$F,'14_Inversiones'!$B:$B,"SOXX",'14_Inversiones'!$C:$C,"Compra",'14_Inversiones'!$A:$A,"&lt;="&amp;A25)*F25*K25,0)+IF(G25&lt;&gt;"",G25,0)+IF(H25&lt;&gt;"",H25,0)+IF(I25&lt;&gt;"",I25,0)+IF(J25&lt;&gt;"",J25,0))</f>
        <v>104957.66866181395</v>
      </c>
      <c r="M25" s="98" t="s">
        <v>1697</v>
      </c>
    </row>
    <row r="26" spans="1:13" ht="8.65" customHeight="1">
      <c r="A26" s="261">
        <v>46164</v>
      </c>
      <c r="B26" s="98" t="s">
        <v>1696</v>
      </c>
      <c r="C26" s="258">
        <v>1.1599999999999999E-2</v>
      </c>
      <c r="D26" s="259">
        <v>77.84</v>
      </c>
      <c r="E26" s="258">
        <v>2.41E-2</v>
      </c>
      <c r="F26" s="259">
        <v>537.33000000000004</v>
      </c>
      <c r="G26" s="123"/>
      <c r="H26" s="123"/>
      <c r="I26" s="123"/>
      <c r="J26" s="123"/>
      <c r="K26" s="123">
        <v>950</v>
      </c>
      <c r="L26" s="123">
        <f>IF(A26="","",IFERROR(SUMIFS('14_Inversiones'!$F:$F,'14_Inversiones'!$B:$B,"TQQQ",'14_Inversiones'!$C:$C,"Compra",'14_Inversiones'!$A:$A,"&lt;="&amp;A26)*D26*K26,0)+IFERROR(SUMIFS('14_Inversiones'!$F:$F,'14_Inversiones'!$B:$B,"SOXX",'14_Inversiones'!$C:$C,"Compra",'14_Inversiones'!$A:$A,"&lt;="&amp;A26)*F26*K26,0)+IF(G26&lt;&gt;"",G26,0)+IF(H26&lt;&gt;"",H26,0)+IF(I26&lt;&gt;"",I26,0)+IF(J26&lt;&gt;"",J26,0))</f>
        <v>129470.11628578178</v>
      </c>
      <c r="M26" s="98" t="s">
        <v>1697</v>
      </c>
    </row>
    <row r="27" spans="1:13">
      <c r="A27" s="262">
        <v>46165</v>
      </c>
      <c r="B27" s="263" t="s">
        <v>1696</v>
      </c>
      <c r="C27" s="264"/>
      <c r="D27" s="265"/>
      <c r="E27" s="264"/>
      <c r="F27" s="265"/>
      <c r="G27" s="266"/>
      <c r="H27" s="266"/>
      <c r="I27" s="266"/>
      <c r="J27" s="266"/>
      <c r="K27" s="266">
        <v>950</v>
      </c>
      <c r="L27" s="266">
        <f>IF(A27="","",IFERROR(SUMIFS('14_Inversiones'!$F:$F,'14_Inversiones'!$B:$B,"TQQQ",'14_Inversiones'!$C:$C,"Compra",'14_Inversiones'!$A:$A,"&lt;="&amp;A27)*D27*K27,0)+IFERROR(SUMIFS('14_Inversiones'!$F:$F,'14_Inversiones'!$B:$B,"SOXX",'14_Inversiones'!$C:$C,"Compra",'14_Inversiones'!$A:$A,"&lt;="&amp;A27)*F27*K27,0)+IF(G27&lt;&gt;"",G27,0)+IF(H27&lt;&gt;"",H27,0)+IF(I27&lt;&gt;"",I27,0)+IF(J27&lt;&gt;"",J27,0))</f>
        <v>0</v>
      </c>
      <c r="M27" s="263"/>
    </row>
    <row r="28" spans="1:13">
      <c r="A28" s="262">
        <v>46166</v>
      </c>
      <c r="B28" s="263" t="s">
        <v>1696</v>
      </c>
      <c r="C28" s="264"/>
      <c r="D28" s="265"/>
      <c r="E28" s="264"/>
      <c r="F28" s="265"/>
      <c r="G28" s="266"/>
      <c r="H28" s="266"/>
      <c r="I28" s="266"/>
      <c r="J28" s="266"/>
      <c r="K28" s="266">
        <v>950</v>
      </c>
      <c r="L28" s="266">
        <f>IF(A28="","",IFERROR(SUMIFS('14_Inversiones'!$F:$F,'14_Inversiones'!$B:$B,"TQQQ",'14_Inversiones'!$C:$C,"Compra",'14_Inversiones'!$A:$A,"&lt;="&amp;A28)*D28*K28,0)+IFERROR(SUMIFS('14_Inversiones'!$F:$F,'14_Inversiones'!$B:$B,"SOXX",'14_Inversiones'!$C:$C,"Compra",'14_Inversiones'!$A:$A,"&lt;="&amp;A28)*F28*K28,0)+IF(G28&lt;&gt;"",G28,0)+IF(H28&lt;&gt;"",H28,0)+IF(I28&lt;&gt;"",I28,0)+IF(J28&lt;&gt;"",J28,0))</f>
        <v>0</v>
      </c>
      <c r="M28" s="263"/>
    </row>
    <row r="29" spans="1:13">
      <c r="A29" s="261">
        <v>46167</v>
      </c>
      <c r="B29" s="98" t="s">
        <v>1696</v>
      </c>
      <c r="C29" s="258"/>
      <c r="D29" s="259"/>
      <c r="E29" s="258"/>
      <c r="F29" s="259"/>
      <c r="G29" s="123"/>
      <c r="H29" s="123"/>
      <c r="I29" s="123"/>
      <c r="J29" s="123"/>
      <c r="K29" s="123">
        <v>950</v>
      </c>
      <c r="L29" s="123">
        <f>IF(A29="","",IFERROR(SUMIFS('14_Inversiones'!$F:$F,'14_Inversiones'!$B:$B,"TQQQ",'14_Inversiones'!$C:$C,"Compra",'14_Inversiones'!$A:$A,"&lt;="&amp;A29)*D29*K29,0)+IFERROR(SUMIFS('14_Inversiones'!$F:$F,'14_Inversiones'!$B:$B,"SOXX",'14_Inversiones'!$C:$C,"Compra",'14_Inversiones'!$A:$A,"&lt;="&amp;A29)*F29*K29,0)+IF(G29&lt;&gt;"",G29,0)+IF(H29&lt;&gt;"",H29,0)+IF(I29&lt;&gt;"",I29,0)+IF(J29&lt;&gt;"",J29,0))</f>
        <v>0</v>
      </c>
      <c r="M29" s="98"/>
    </row>
    <row r="30" spans="1:13" ht="8.65" customHeight="1">
      <c r="A30" s="261">
        <v>46168</v>
      </c>
      <c r="B30" s="98" t="s">
        <v>1696</v>
      </c>
      <c r="C30" s="258">
        <v>5.28E-2</v>
      </c>
      <c r="D30" s="259">
        <v>81.95</v>
      </c>
      <c r="E30" s="258">
        <v>6.0999999999999999E-2</v>
      </c>
      <c r="F30" s="259">
        <v>570.09</v>
      </c>
      <c r="G30" s="123"/>
      <c r="H30" s="123"/>
      <c r="I30" s="123"/>
      <c r="J30" s="123"/>
      <c r="K30" s="123">
        <v>950</v>
      </c>
      <c r="L30" s="123">
        <f>IF(A30="","",IFERROR(SUMIFS('14_Inversiones'!$F:$F,'14_Inversiones'!$B:$B,"TQQQ",'14_Inversiones'!$C:$C,"Compra",'14_Inversiones'!$A:$A,"&lt;="&amp;A30)*D30*K30,0)+IFERROR(SUMIFS('14_Inversiones'!$F:$F,'14_Inversiones'!$B:$B,"SOXX",'14_Inversiones'!$C:$C,"Compra",'14_Inversiones'!$A:$A,"&lt;="&amp;A30)*F30*K30,0)+IF(G30&lt;&gt;"",G30,0)+IF(H30&lt;&gt;"",H30,0)+IF(I30&lt;&gt;"",I30,0)+IF(J30&lt;&gt;"",J30,0))</f>
        <v>136748.79761429338</v>
      </c>
      <c r="M30" s="98" t="s">
        <v>1697</v>
      </c>
    </row>
    <row r="31" spans="1:13" ht="8.65" customHeight="1">
      <c r="A31" s="261">
        <v>46169</v>
      </c>
      <c r="B31" s="98" t="s">
        <v>1696</v>
      </c>
      <c r="C31" s="258">
        <v>-3.3E-3</v>
      </c>
      <c r="D31" s="259">
        <v>81.67</v>
      </c>
      <c r="E31" s="258">
        <v>-1.0699999999999999E-2</v>
      </c>
      <c r="F31" s="259">
        <v>563.98</v>
      </c>
      <c r="G31" s="123"/>
      <c r="H31" s="123"/>
      <c r="I31" s="123"/>
      <c r="J31" s="123"/>
      <c r="K31" s="123">
        <v>950</v>
      </c>
      <c r="L31" s="123">
        <f>IF(A31="","",IFERROR(SUMIFS('14_Inversiones'!$F:$F,'14_Inversiones'!$B:$B,"TQQQ",'14_Inversiones'!$C:$C,"Compra",'14_Inversiones'!$A:$A,"&lt;="&amp;A31)*D31*K31,0)+IFERROR(SUMIFS('14_Inversiones'!$F:$F,'14_Inversiones'!$B:$B,"SOXX",'14_Inversiones'!$C:$C,"Compra",'14_Inversiones'!$A:$A,"&lt;="&amp;A31)*F31*K31,0)+IF(G31&lt;&gt;"",G31,0)+IF(H31&lt;&gt;"",H31,0)+IF(I31&lt;&gt;"",I31,0)+IF(J31&lt;&gt;"",J31,0))</f>
        <v>135861.82607712713</v>
      </c>
      <c r="M31" s="98" t="s">
        <v>1697</v>
      </c>
    </row>
    <row r="32" spans="1:13" ht="8.65" customHeight="1">
      <c r="A32" s="261">
        <v>46170</v>
      </c>
      <c r="B32" s="98" t="s">
        <v>1696</v>
      </c>
      <c r="C32" s="258">
        <v>2.46E-2</v>
      </c>
      <c r="D32" s="259">
        <v>83.68</v>
      </c>
      <c r="E32" s="258">
        <v>9.7000000000000003E-3</v>
      </c>
      <c r="F32" s="259">
        <v>569.47</v>
      </c>
      <c r="G32" s="123"/>
      <c r="H32" s="123"/>
      <c r="I32" s="123"/>
      <c r="J32" s="123"/>
      <c r="K32" s="123">
        <v>950</v>
      </c>
      <c r="L32" s="123">
        <f>IF(A32="","",IFERROR(SUMIFS('14_Inversiones'!$F:$F,'14_Inversiones'!$B:$B,"TQQQ",'14_Inversiones'!$C:$C,"Compra",'14_Inversiones'!$A:$A,"&lt;="&amp;A32)*D32*K32,0)+IFERROR(SUMIFS('14_Inversiones'!$F:$F,'14_Inversiones'!$B:$B,"SOXX",'14_Inversiones'!$C:$C,"Compra",'14_Inversiones'!$A:$A,"&lt;="&amp;A32)*F32*K32,0)+IF(G32&lt;&gt;"",G32,0)+IF(H32&lt;&gt;"",H32,0)+IF(I32&lt;&gt;"",I32,0)+IF(J32&lt;&gt;"",J32,0))</f>
        <v>138359.42725171786</v>
      </c>
      <c r="M32" s="98" t="s">
        <v>1697</v>
      </c>
    </row>
    <row r="33" spans="1:13" ht="8.65" customHeight="1">
      <c r="A33" s="261">
        <v>46171</v>
      </c>
      <c r="B33" s="98" t="s">
        <v>1696</v>
      </c>
      <c r="C33" s="258">
        <v>1.0500000000000001E-2</v>
      </c>
      <c r="D33" s="259">
        <v>84.56</v>
      </c>
      <c r="E33" s="258">
        <v>-6.9999999999999999E-4</v>
      </c>
      <c r="F33" s="259">
        <v>569.08000000000004</v>
      </c>
      <c r="G33" s="123"/>
      <c r="H33" s="123"/>
      <c r="I33" s="123"/>
      <c r="J33" s="123"/>
      <c r="K33" s="123">
        <v>950</v>
      </c>
      <c r="L33" s="123">
        <f>IF(A33="","",IFERROR(SUMIFS('14_Inversiones'!$F:$F,'14_Inversiones'!$B:$B,"TQQQ",'14_Inversiones'!$C:$C,"Compra",'14_Inversiones'!$A:$A,"&lt;="&amp;A33)*D33*K33,0)+IFERROR(SUMIFS('14_Inversiones'!$F:$F,'14_Inversiones'!$B:$B,"SOXX",'14_Inversiones'!$C:$C,"Compra",'14_Inversiones'!$A:$A,"&lt;="&amp;A33)*F33*K33,0)+IF(G33&lt;&gt;"",G33,0)+IF(H33&lt;&gt;"",H33,0)+IF(I33&lt;&gt;"",I33,0)+IF(J33&lt;&gt;"",J33,0))</f>
        <v>139171.18147182997</v>
      </c>
      <c r="M33" s="98" t="s">
        <v>1697</v>
      </c>
    </row>
    <row r="34" spans="1:13">
      <c r="A34" s="262">
        <v>46172</v>
      </c>
      <c r="B34" s="263" t="s">
        <v>1696</v>
      </c>
      <c r="C34" s="264"/>
      <c r="D34" s="265"/>
      <c r="E34" s="264"/>
      <c r="F34" s="265"/>
      <c r="G34" s="266"/>
      <c r="H34" s="266"/>
      <c r="I34" s="266"/>
      <c r="J34" s="266"/>
      <c r="K34" s="266">
        <v>950</v>
      </c>
      <c r="L34" s="266">
        <f>IF(A34="","",IFERROR(SUMIFS('14_Inversiones'!$F:$F,'14_Inversiones'!$B:$B,"TQQQ",'14_Inversiones'!$C:$C,"Compra",'14_Inversiones'!$A:$A,"&lt;="&amp;A34)*D34*K34,0)+IFERROR(SUMIFS('14_Inversiones'!$F:$F,'14_Inversiones'!$B:$B,"SOXX",'14_Inversiones'!$C:$C,"Compra",'14_Inversiones'!$A:$A,"&lt;="&amp;A34)*F34*K34,0)+IF(G34&lt;&gt;"",G34,0)+IF(H34&lt;&gt;"",H34,0)+IF(I34&lt;&gt;"",I34,0)+IF(J34&lt;&gt;"",J34,0))</f>
        <v>0</v>
      </c>
      <c r="M34" s="263"/>
    </row>
    <row r="35" spans="1:13">
      <c r="A35" s="262">
        <v>46173</v>
      </c>
      <c r="B35" s="263" t="s">
        <v>1696</v>
      </c>
      <c r="C35" s="264"/>
      <c r="D35" s="265"/>
      <c r="E35" s="264"/>
      <c r="F35" s="265"/>
      <c r="G35" s="266"/>
      <c r="H35" s="266"/>
      <c r="I35" s="266"/>
      <c r="J35" s="266"/>
      <c r="K35" s="266">
        <v>950</v>
      </c>
      <c r="L35" s="266">
        <f>IF(A35="","",IFERROR(SUMIFS('14_Inversiones'!$F:$F,'14_Inversiones'!$B:$B,"TQQQ",'14_Inversiones'!$C:$C,"Compra",'14_Inversiones'!$A:$A,"&lt;="&amp;A35)*D35*K35,0)+IFERROR(SUMIFS('14_Inversiones'!$F:$F,'14_Inversiones'!$B:$B,"SOXX",'14_Inversiones'!$C:$C,"Compra",'14_Inversiones'!$A:$A,"&lt;="&amp;A35)*F35*K35,0)+IF(G35&lt;&gt;"",G35,0)+IF(H35&lt;&gt;"",H35,0)+IF(I35&lt;&gt;"",I35,0)+IF(J35&lt;&gt;"",J35,0))</f>
        <v>0</v>
      </c>
      <c r="M35" s="263"/>
    </row>
    <row r="36" spans="1:13" ht="8.65" customHeight="1">
      <c r="A36" s="261">
        <v>46174</v>
      </c>
      <c r="B36" s="98" t="s">
        <v>1698</v>
      </c>
      <c r="C36" s="258">
        <v>1.7500000000000002E-2</v>
      </c>
      <c r="D36" s="259">
        <v>86.04</v>
      </c>
      <c r="E36" s="258">
        <v>5.0000000000000001E-3</v>
      </c>
      <c r="F36" s="259">
        <v>571.92999999999995</v>
      </c>
      <c r="G36" s="123">
        <v>16064</v>
      </c>
      <c r="H36" s="123">
        <v>535</v>
      </c>
      <c r="I36" s="123">
        <v>86</v>
      </c>
      <c r="J36" s="123"/>
      <c r="K36" s="123">
        <v>950</v>
      </c>
      <c r="L36" s="123">
        <f>IF(A36="","",IFERROR(SUMIFS('14_Inversiones'!$F:$F,'14_Inversiones'!$B:$B,"TQQQ",'14_Inversiones'!$C:$C,"Compra",'14_Inversiones'!$A:$A,"&lt;="&amp;A36)*D36*K36,0)+IFERROR(SUMIFS('14_Inversiones'!$F:$F,'14_Inversiones'!$B:$B,"SOXX",'14_Inversiones'!$C:$C,"Compra",'14_Inversiones'!$A:$A,"&lt;="&amp;A36)*F36*K36,0)+IF(G36&lt;&gt;"",G36,0)+IF(H36&lt;&gt;"",H36,0)+IF(I36&lt;&gt;"",I36,0)+IF(J36&lt;&gt;"",J36,0))</f>
        <v>157574.96305776612</v>
      </c>
      <c r="M36" s="98" t="s">
        <v>1697</v>
      </c>
    </row>
    <row r="37" spans="1:13" ht="8.65" customHeight="1">
      <c r="A37" s="261">
        <v>46175</v>
      </c>
      <c r="B37" s="98" t="s">
        <v>1698</v>
      </c>
      <c r="C37" s="258">
        <v>1.37E-2</v>
      </c>
      <c r="D37" s="259">
        <v>87.22</v>
      </c>
      <c r="E37" s="258">
        <v>5.79E-2</v>
      </c>
      <c r="F37" s="259">
        <v>605.02</v>
      </c>
      <c r="G37" s="123"/>
      <c r="H37" s="123"/>
      <c r="I37" s="123"/>
      <c r="J37" s="123"/>
      <c r="K37" s="123">
        <v>950</v>
      </c>
      <c r="L37" s="123">
        <f>IF(A37="","",IFERROR(SUMIFS('14_Inversiones'!$F:$F,'14_Inversiones'!$B:$B,"TQQQ",'14_Inversiones'!$C:$C,"Compra",'14_Inversiones'!$A:$A,"&lt;="&amp;A37)*D37*K37,0)+IFERROR(SUMIFS('14_Inversiones'!$F:$F,'14_Inversiones'!$B:$B,"SOXX",'14_Inversiones'!$C:$C,"Compra",'14_Inversiones'!$A:$A,"&lt;="&amp;A37)*F37*K37,0)+IF(G37&lt;&gt;"",G37,0)+IF(H37&lt;&gt;"",H37,0)+IF(I37&lt;&gt;"",I37,0)+IF(J37&lt;&gt;"",J37,0))</f>
        <v>255919.69970786385</v>
      </c>
      <c r="M37" s="98" t="s">
        <v>1697</v>
      </c>
    </row>
    <row r="38" spans="1:13" ht="8.65" customHeight="1">
      <c r="A38" s="261">
        <v>46176</v>
      </c>
      <c r="B38" s="98" t="s">
        <v>1698</v>
      </c>
      <c r="C38" s="258">
        <v>-7.6E-3</v>
      </c>
      <c r="D38" s="259">
        <v>86.56</v>
      </c>
      <c r="E38" s="258">
        <v>1.7600000000000001E-2</v>
      </c>
      <c r="F38" s="259">
        <v>615.67999999999995</v>
      </c>
      <c r="G38" s="123"/>
      <c r="H38" s="123"/>
      <c r="I38" s="123"/>
      <c r="J38" s="123"/>
      <c r="K38" s="123">
        <v>950</v>
      </c>
      <c r="L38" s="123">
        <f>IF(A38="","",IFERROR(SUMIFS('14_Inversiones'!$F:$F,'14_Inversiones'!$B:$B,"TQQQ",'14_Inversiones'!$C:$C,"Compra",'14_Inversiones'!$A:$A,"&lt;="&amp;A38)*D38*K38,0)+IFERROR(SUMIFS('14_Inversiones'!$F:$F,'14_Inversiones'!$B:$B,"SOXX",'14_Inversiones'!$C:$C,"Compra",'14_Inversiones'!$A:$A,"&lt;="&amp;A38)*F38*K38,0)+IF(G38&lt;&gt;"",G38,0)+IF(H38&lt;&gt;"",H38,0)+IF(I38&lt;&gt;"",I38,0)+IF(J38&lt;&gt;"",J38,0))</f>
        <v>255519.85875471478</v>
      </c>
      <c r="M38" s="98" t="s">
        <v>1697</v>
      </c>
    </row>
    <row r="39" spans="1:13" ht="8.65" customHeight="1">
      <c r="A39" s="261">
        <v>46177</v>
      </c>
      <c r="B39" s="98" t="s">
        <v>1698</v>
      </c>
      <c r="C39" s="258">
        <v>-1.55E-2</v>
      </c>
      <c r="D39" s="259">
        <v>85.22</v>
      </c>
      <c r="E39" s="258">
        <v>-2.1000000000000001E-2</v>
      </c>
      <c r="F39" s="259">
        <v>602.72</v>
      </c>
      <c r="G39" s="123"/>
      <c r="H39" s="123"/>
      <c r="I39" s="123"/>
      <c r="J39" s="123"/>
      <c r="K39" s="123">
        <v>950</v>
      </c>
      <c r="L39" s="123">
        <f>IF(A39="","",IFERROR(SUMIFS('14_Inversiones'!$F:$F,'14_Inversiones'!$B:$B,"TQQQ",'14_Inversiones'!$C:$C,"Compra",'14_Inversiones'!$A:$A,"&lt;="&amp;A39)*D39*K39,0)+IFERROR(SUMIFS('14_Inversiones'!$F:$F,'14_Inversiones'!$B:$B,"SOXX",'14_Inversiones'!$C:$C,"Compra",'14_Inversiones'!$A:$A,"&lt;="&amp;A39)*F39*K39,0)+IF(G39&lt;&gt;"",G39,0)+IF(H39&lt;&gt;"",H39,0)+IF(I39&lt;&gt;"",I39,0)+IF(J39&lt;&gt;"",J39,0))</f>
        <v>251218.46676733208</v>
      </c>
      <c r="M39" s="98" t="s">
        <v>1697</v>
      </c>
    </row>
    <row r="40" spans="1:13" ht="8.65" customHeight="1">
      <c r="A40" s="261">
        <v>46178</v>
      </c>
      <c r="B40" s="98" t="s">
        <v>1698</v>
      </c>
      <c r="C40" s="258">
        <v>-0.14280000000000001</v>
      </c>
      <c r="D40" s="259">
        <v>73.05</v>
      </c>
      <c r="E40" s="258">
        <v>-0.1037</v>
      </c>
      <c r="F40" s="259">
        <v>539.77</v>
      </c>
      <c r="G40" s="123"/>
      <c r="H40" s="123"/>
      <c r="I40" s="123"/>
      <c r="J40" s="123"/>
      <c r="K40" s="123">
        <v>950</v>
      </c>
      <c r="L40" s="123">
        <f>IF(A40="","",IFERROR(SUMIFS('14_Inversiones'!$F:$F,'14_Inversiones'!$B:$B,"TQQQ",'14_Inversiones'!$C:$C,"Compra",'14_Inversiones'!$A:$A,"&lt;="&amp;A40)*D40*K40,0)+IFERROR(SUMIFS('14_Inversiones'!$F:$F,'14_Inversiones'!$B:$B,"SOXX",'14_Inversiones'!$C:$C,"Compra",'14_Inversiones'!$A:$A,"&lt;="&amp;A40)*F40*K40,0)+IF(G40&lt;&gt;"",G40,0)+IF(H40&lt;&gt;"",H40,0)+IF(I40&lt;&gt;"",I40,0)+IF(J40&lt;&gt;"",J40,0))</f>
        <v>217674.57548149012</v>
      </c>
      <c r="M40" s="98" t="s">
        <v>1697</v>
      </c>
    </row>
    <row r="41" spans="1:13">
      <c r="A41" s="262">
        <v>46179</v>
      </c>
      <c r="B41" s="263" t="s">
        <v>1698</v>
      </c>
      <c r="C41" s="264"/>
      <c r="D41" s="265"/>
      <c r="E41" s="264"/>
      <c r="F41" s="265"/>
      <c r="G41" s="266"/>
      <c r="H41" s="266"/>
      <c r="I41" s="266"/>
      <c r="J41" s="266"/>
      <c r="K41" s="266">
        <v>950</v>
      </c>
      <c r="L41" s="266">
        <f>IF(A41="","",IFERROR(SUMIFS('14_Inversiones'!$F:$F,'14_Inversiones'!$B:$B,"TQQQ",'14_Inversiones'!$C:$C,"Compra",'14_Inversiones'!$A:$A,"&lt;="&amp;A41)*D41*K41,0)+IFERROR(SUMIFS('14_Inversiones'!$F:$F,'14_Inversiones'!$B:$B,"SOXX",'14_Inversiones'!$C:$C,"Compra",'14_Inversiones'!$A:$A,"&lt;="&amp;A41)*F41*K41,0)+IF(G41&lt;&gt;"",G41,0)+IF(H41&lt;&gt;"",H41,0)+IF(I41&lt;&gt;"",I41,0)+IF(J41&lt;&gt;"",J41,0))</f>
        <v>0</v>
      </c>
      <c r="M41" s="263"/>
    </row>
    <row r="42" spans="1:13">
      <c r="A42" s="262">
        <v>46180</v>
      </c>
      <c r="B42" s="263" t="s">
        <v>1698</v>
      </c>
      <c r="C42" s="264"/>
      <c r="D42" s="265"/>
      <c r="E42" s="264"/>
      <c r="F42" s="265"/>
      <c r="G42" s="266"/>
      <c r="H42" s="266"/>
      <c r="I42" s="266"/>
      <c r="J42" s="266"/>
      <c r="K42" s="266">
        <v>950</v>
      </c>
      <c r="L42" s="266">
        <f>IF(A42="","",IFERROR(SUMIFS('14_Inversiones'!$F:$F,'14_Inversiones'!$B:$B,"TQQQ",'14_Inversiones'!$C:$C,"Compra",'14_Inversiones'!$A:$A,"&lt;="&amp;A42)*D42*K42,0)+IFERROR(SUMIFS('14_Inversiones'!$F:$F,'14_Inversiones'!$B:$B,"SOXX",'14_Inversiones'!$C:$C,"Compra",'14_Inversiones'!$A:$A,"&lt;="&amp;A42)*F42*K42,0)+IF(G42&lt;&gt;"",G42,0)+IF(H42&lt;&gt;"",H42,0)+IF(I42&lt;&gt;"",I42,0)+IF(J42&lt;&gt;"",J42,0))</f>
        <v>0</v>
      </c>
      <c r="M42" s="263"/>
    </row>
    <row r="43" spans="1:13" ht="8.65" customHeight="1">
      <c r="A43" s="261">
        <v>46181</v>
      </c>
      <c r="B43" s="98" t="s">
        <v>1698</v>
      </c>
      <c r="C43" s="258">
        <v>4.41E-2</v>
      </c>
      <c r="D43" s="259">
        <v>76.27</v>
      </c>
      <c r="E43" s="258">
        <v>5.8700000000000002E-2</v>
      </c>
      <c r="F43" s="259">
        <v>571.45000000000005</v>
      </c>
      <c r="G43" s="123"/>
      <c r="H43" s="123"/>
      <c r="I43" s="123"/>
      <c r="J43" s="123"/>
      <c r="K43" s="123">
        <v>950</v>
      </c>
      <c r="L43" s="123">
        <f>IF(A43="","",IFERROR(SUMIFS('14_Inversiones'!$F:$F,'14_Inversiones'!$B:$B,"TQQQ",'14_Inversiones'!$C:$C,"Compra",'14_Inversiones'!$A:$A,"&lt;="&amp;A43)*D43*K43,0)+IFERROR(SUMIFS('14_Inversiones'!$F:$F,'14_Inversiones'!$B:$B,"SOXX",'14_Inversiones'!$C:$C,"Compra",'14_Inversiones'!$A:$A,"&lt;="&amp;A43)*F43*K43,0)+IF(G43&lt;&gt;"",G43,0)+IF(H43&lt;&gt;"",H43,0)+IF(I43&lt;&gt;"",I43,0)+IF(J43&lt;&gt;"",J43,0))</f>
        <v>228064.94239386552</v>
      </c>
      <c r="M43" s="98" t="s">
        <v>1697</v>
      </c>
    </row>
    <row r="44" spans="1:13" ht="8.65" customHeight="1">
      <c r="A44" s="261">
        <v>46182</v>
      </c>
      <c r="B44" s="98" t="s">
        <v>1698</v>
      </c>
      <c r="C44" s="258">
        <v>-3.3399999999999999E-2</v>
      </c>
      <c r="D44" s="259">
        <v>73.72</v>
      </c>
      <c r="E44" s="258">
        <v>-1.6299999999999999E-2</v>
      </c>
      <c r="F44" s="259">
        <v>562.14</v>
      </c>
      <c r="G44" s="123"/>
      <c r="H44" s="123"/>
      <c r="I44" s="123"/>
      <c r="J44" s="123"/>
      <c r="K44" s="123">
        <v>950</v>
      </c>
      <c r="L44" s="123">
        <f>IF(A44="","",IFERROR(SUMIFS('14_Inversiones'!$F:$F,'14_Inversiones'!$B:$B,"TQQQ",'14_Inversiones'!$C:$C,"Compra",'14_Inversiones'!$A:$A,"&lt;="&amp;A44)*D44*K44,0)+IFERROR(SUMIFS('14_Inversiones'!$F:$F,'14_Inversiones'!$B:$B,"SOXX",'14_Inversiones'!$C:$C,"Compra",'14_Inversiones'!$A:$A,"&lt;="&amp;A44)*F44*K44,0)+IF(G44&lt;&gt;"",G44,0)+IF(H44&lt;&gt;"",H44,0)+IF(I44&lt;&gt;"",I44,0)+IF(J44&lt;&gt;"",J44,0))</f>
        <v>221427.72198965107</v>
      </c>
      <c r="M44" s="98" t="s">
        <v>1697</v>
      </c>
    </row>
    <row r="45" spans="1:13" ht="8.65" customHeight="1">
      <c r="A45" s="261">
        <v>46183</v>
      </c>
      <c r="B45" s="98" t="s">
        <v>1698</v>
      </c>
      <c r="C45" s="258">
        <v>-6.0400000000000002E-2</v>
      </c>
      <c r="D45" s="259">
        <v>69.27</v>
      </c>
      <c r="E45" s="258">
        <v>-3.6700000000000003E-2</v>
      </c>
      <c r="F45" s="259">
        <v>541.51</v>
      </c>
      <c r="G45" s="123"/>
      <c r="H45" s="123"/>
      <c r="I45" s="123"/>
      <c r="J45" s="123"/>
      <c r="K45" s="123">
        <v>950</v>
      </c>
      <c r="L45" s="123">
        <f>IF(A45="","",IFERROR(SUMIFS('14_Inversiones'!$F:$F,'14_Inversiones'!$B:$B,"TQQQ",'14_Inversiones'!$C:$C,"Compra",'14_Inversiones'!$A:$A,"&lt;="&amp;A45)*D45*K45,0)+IFERROR(SUMIFS('14_Inversiones'!$F:$F,'14_Inversiones'!$B:$B,"SOXX",'14_Inversiones'!$C:$C,"Compra",'14_Inversiones'!$A:$A,"&lt;="&amp;A45)*F45*K45,0)+IF(G45&lt;&gt;"",G45,0)+IF(H45&lt;&gt;"",H45,0)+IF(I45&lt;&gt;"",I45,0)+IF(J45&lt;&gt;"",J45,0))</f>
        <v>209403.09772744559</v>
      </c>
      <c r="M45" s="98" t="s">
        <v>1697</v>
      </c>
    </row>
    <row r="46" spans="1:13" ht="8.65" customHeight="1">
      <c r="A46" s="261">
        <v>46184</v>
      </c>
      <c r="B46" s="98" t="s">
        <v>1698</v>
      </c>
      <c r="C46" s="258">
        <v>9.7299999999999998E-2</v>
      </c>
      <c r="D46" s="259">
        <v>76.010000000000005</v>
      </c>
      <c r="E46" s="258">
        <v>8.3900000000000002E-2</v>
      </c>
      <c r="F46" s="259">
        <v>586.92999999999995</v>
      </c>
      <c r="G46" s="123"/>
      <c r="H46" s="123"/>
      <c r="I46" s="123"/>
      <c r="J46" s="123"/>
      <c r="K46" s="123">
        <v>950</v>
      </c>
      <c r="L46" s="123">
        <f>IF(A46="","",IFERROR(SUMIFS('14_Inversiones'!$F:$F,'14_Inversiones'!$B:$B,"TQQQ",'14_Inversiones'!$C:$C,"Compra",'14_Inversiones'!$A:$A,"&lt;="&amp;A46)*D46*K46,0)+IFERROR(SUMIFS('14_Inversiones'!$F:$F,'14_Inversiones'!$B:$B,"SOXX",'14_Inversiones'!$C:$C,"Compra",'14_Inversiones'!$A:$A,"&lt;="&amp;A46)*F46*K46,0)+IF(G46&lt;&gt;"",G46,0)+IF(H46&lt;&gt;"",H46,0)+IF(I46&lt;&gt;"",I46,0)+IF(J46&lt;&gt;"",J46,0))</f>
        <v>229045.03866715432</v>
      </c>
      <c r="M46" s="98" t="s">
        <v>1697</v>
      </c>
    </row>
    <row r="47" spans="1:13" ht="8.65" customHeight="1">
      <c r="A47" s="261">
        <v>46185</v>
      </c>
      <c r="B47" s="98" t="s">
        <v>1698</v>
      </c>
      <c r="C47" s="258">
        <v>1.9900000000000001E-2</v>
      </c>
      <c r="D47" s="259">
        <v>77.52</v>
      </c>
      <c r="E47" s="258">
        <v>1.5900000000000001E-2</v>
      </c>
      <c r="F47" s="259">
        <v>596.25</v>
      </c>
      <c r="G47" s="123"/>
      <c r="H47" s="123"/>
      <c r="I47" s="123"/>
      <c r="J47" s="123"/>
      <c r="K47" s="123">
        <v>950</v>
      </c>
      <c r="L47" s="123">
        <f>IF(A47="","",IFERROR(SUMIFS('14_Inversiones'!$F:$F,'14_Inversiones'!$B:$B,"TQQQ",'14_Inversiones'!$C:$C,"Compra",'14_Inversiones'!$A:$A,"&lt;="&amp;A47)*D47*K47,0)+IFERROR(SUMIFS('14_Inversiones'!$F:$F,'14_Inversiones'!$B:$B,"SOXX",'14_Inversiones'!$C:$C,"Compra",'14_Inversiones'!$A:$A,"&lt;="&amp;A47)*F47*K47,0)+IF(G47&lt;&gt;"",G47,0)+IF(H47&lt;&gt;"",H47,0)+IF(I47&lt;&gt;"",I47,0)+IF(J47&lt;&gt;"",J47,0))</f>
        <v>233359.23879317023</v>
      </c>
      <c r="M47" s="98" t="s">
        <v>1697</v>
      </c>
    </row>
    <row r="48" spans="1:13">
      <c r="A48" s="262">
        <v>46186</v>
      </c>
      <c r="B48" s="263" t="s">
        <v>1698</v>
      </c>
      <c r="C48" s="264"/>
      <c r="D48" s="265"/>
      <c r="E48" s="264"/>
      <c r="F48" s="265"/>
      <c r="G48" s="266"/>
      <c r="H48" s="266"/>
      <c r="I48" s="266"/>
      <c r="J48" s="266"/>
      <c r="K48" s="266">
        <v>950</v>
      </c>
      <c r="L48" s="266">
        <f>IF(A48="","",IFERROR(SUMIFS('14_Inversiones'!$F:$F,'14_Inversiones'!$B:$B,"TQQQ",'14_Inversiones'!$C:$C,"Compra",'14_Inversiones'!$A:$A,"&lt;="&amp;A48)*D48*K48,0)+IFERROR(SUMIFS('14_Inversiones'!$F:$F,'14_Inversiones'!$B:$B,"SOXX",'14_Inversiones'!$C:$C,"Compra",'14_Inversiones'!$A:$A,"&lt;="&amp;A48)*F48*K48,0)+IF(G48&lt;&gt;"",G48,0)+IF(H48&lt;&gt;"",H48,0)+IF(I48&lt;&gt;"",I48,0)+IF(J48&lt;&gt;"",J48,0))</f>
        <v>0</v>
      </c>
      <c r="M48" s="263"/>
    </row>
    <row r="49" spans="1:13">
      <c r="A49" s="262">
        <v>46187</v>
      </c>
      <c r="B49" s="263" t="s">
        <v>1698</v>
      </c>
      <c r="C49" s="264"/>
      <c r="D49" s="265"/>
      <c r="E49" s="264"/>
      <c r="F49" s="265"/>
      <c r="G49" s="266"/>
      <c r="H49" s="266"/>
      <c r="I49" s="266"/>
      <c r="J49" s="266"/>
      <c r="K49" s="266">
        <v>950</v>
      </c>
      <c r="L49" s="266">
        <f>IF(A49="","",IFERROR(SUMIFS('14_Inversiones'!$F:$F,'14_Inversiones'!$B:$B,"TQQQ",'14_Inversiones'!$C:$C,"Compra",'14_Inversiones'!$A:$A,"&lt;="&amp;A49)*D49*K49,0)+IFERROR(SUMIFS('14_Inversiones'!$F:$F,'14_Inversiones'!$B:$B,"SOXX",'14_Inversiones'!$C:$C,"Compra",'14_Inversiones'!$A:$A,"&lt;="&amp;A49)*F49*K49,0)+IF(G49&lt;&gt;"",G49,0)+IF(H49&lt;&gt;"",H49,0)+IF(I49&lt;&gt;"",I49,0)+IF(J49&lt;&gt;"",J49,0))</f>
        <v>0</v>
      </c>
      <c r="M49" s="263"/>
    </row>
    <row r="50" spans="1:13" ht="8.65" customHeight="1">
      <c r="A50" s="261">
        <v>46188</v>
      </c>
      <c r="B50" s="98" t="s">
        <v>1698</v>
      </c>
      <c r="C50" s="258">
        <v>9.1199999999999989E-2</v>
      </c>
      <c r="D50" s="259">
        <v>84.59</v>
      </c>
      <c r="E50" s="258">
        <v>5.45E-2</v>
      </c>
      <c r="F50" s="259">
        <v>628.45000000000005</v>
      </c>
      <c r="G50" s="123"/>
      <c r="H50" s="123"/>
      <c r="I50" s="123"/>
      <c r="J50" s="123"/>
      <c r="K50" s="123">
        <v>950</v>
      </c>
      <c r="L50" s="123">
        <f>IF(A50="","",IFERROR(SUMIFS('14_Inversiones'!$F:$F,'14_Inversiones'!$B:$B,"TQQQ",'14_Inversiones'!$C:$C,"Compra",'14_Inversiones'!$A:$A,"&lt;="&amp;A50)*D50*K50,0)+IFERROR(SUMIFS('14_Inversiones'!$F:$F,'14_Inversiones'!$B:$B,"SOXX",'14_Inversiones'!$C:$C,"Compra",'14_Inversiones'!$A:$A,"&lt;="&amp;A50)*F50*K50,0)+IF(G50&lt;&gt;"",G50,0)+IF(H50&lt;&gt;"",H50,0)+IF(I50&lt;&gt;"",I50,0)+IF(J50&lt;&gt;"",J50,0))</f>
        <v>252405.42150843621</v>
      </c>
      <c r="M50" s="98" t="s">
        <v>1697</v>
      </c>
    </row>
    <row r="51" spans="1:13" ht="8.65" customHeight="1">
      <c r="A51" s="261">
        <v>46189</v>
      </c>
      <c r="B51" s="98" t="s">
        <v>1698</v>
      </c>
      <c r="C51" s="258">
        <v>-5.5100000000000003E-2</v>
      </c>
      <c r="D51" s="259">
        <v>79.930000000000007</v>
      </c>
      <c r="E51" s="258">
        <v>-5.91E-2</v>
      </c>
      <c r="F51" s="259">
        <v>591.24</v>
      </c>
      <c r="G51" s="123"/>
      <c r="H51" s="123"/>
      <c r="I51" s="123"/>
      <c r="J51" s="123"/>
      <c r="K51" s="123">
        <v>950</v>
      </c>
      <c r="L51" s="123">
        <f>IF(A51="","",IFERROR(SUMIFS('14_Inversiones'!$F:$F,'14_Inversiones'!$B:$B,"TQQQ",'14_Inversiones'!$C:$C,"Compra",'14_Inversiones'!$A:$A,"&lt;="&amp;A51)*D51*K51,0)+IFERROR(SUMIFS('14_Inversiones'!$F:$F,'14_Inversiones'!$B:$B,"SOXX",'14_Inversiones'!$C:$C,"Compra",'14_Inversiones'!$A:$A,"&lt;="&amp;A51)*F51*K51,0)+IF(G51&lt;&gt;"",G51,0)+IF(H51&lt;&gt;"",H51,0)+IF(I51&lt;&gt;"",I51,0)+IF(J51&lt;&gt;"",J51,0))</f>
        <v>238239.48762821365</v>
      </c>
      <c r="M51" s="98" t="s">
        <v>1697</v>
      </c>
    </row>
    <row r="52" spans="1:13" ht="8.65" customHeight="1">
      <c r="A52" s="261">
        <v>46190</v>
      </c>
      <c r="B52" s="98" t="s">
        <v>1698</v>
      </c>
      <c r="C52" s="258">
        <v>-2.93E-2</v>
      </c>
      <c r="D52" s="259">
        <v>77.540000000000006</v>
      </c>
      <c r="E52" s="258">
        <v>1.44E-2</v>
      </c>
      <c r="F52" s="259">
        <v>599.73</v>
      </c>
      <c r="G52" s="123">
        <v>1064</v>
      </c>
      <c r="H52" s="123"/>
      <c r="I52" s="123"/>
      <c r="J52" s="123"/>
      <c r="K52" s="123">
        <v>950</v>
      </c>
      <c r="L52" s="123">
        <f>IF(A52="","",IFERROR(SUMIFS('14_Inversiones'!$F:$F,'14_Inversiones'!$B:$B,"TQQQ",'14_Inversiones'!$C:$C,"Compra",'14_Inversiones'!$A:$A,"&lt;="&amp;A52)*D52*K52,0)+IFERROR(SUMIFS('14_Inversiones'!$F:$F,'14_Inversiones'!$B:$B,"SOXX",'14_Inversiones'!$C:$C,"Compra",'14_Inversiones'!$A:$A,"&lt;="&amp;A52)*F52*K52,0)+IF(G52&lt;&gt;"",G52,0)+IF(H52&lt;&gt;"",H52,0)+IF(I52&lt;&gt;"",I52,0)+IF(J52&lt;&gt;"",J52,0))</f>
        <v>234818.87739246356</v>
      </c>
      <c r="M52" s="98" t="s">
        <v>1697</v>
      </c>
    </row>
    <row r="53" spans="1:13">
      <c r="A53" s="261">
        <v>46191</v>
      </c>
      <c r="B53" s="98" t="s">
        <v>1698</v>
      </c>
      <c r="C53" s="258">
        <v>6.8699999999999997E-2</v>
      </c>
      <c r="D53" s="259">
        <v>82.87</v>
      </c>
      <c r="E53" s="258">
        <v>6.6199999999999995E-2</v>
      </c>
      <c r="F53" s="259">
        <v>639.45000000000005</v>
      </c>
      <c r="G53" s="123"/>
      <c r="H53" s="123"/>
      <c r="I53" s="123"/>
      <c r="J53" s="123"/>
      <c r="K53" s="123">
        <v>950</v>
      </c>
      <c r="L53" s="123">
        <f>IF(A53="","",IFERROR(SUMIFS('14_Inversiones'!$F:$F,'14_Inversiones'!$B:$B,"TQQQ",'14_Inversiones'!$C:$C,"Compra",'14_Inversiones'!$A:$A,"&lt;="&amp;A53)*D53*K53,0)+IFERROR(SUMIFS('14_Inversiones'!$F:$F,'14_Inversiones'!$B:$B,"SOXX",'14_Inversiones'!$C:$C,"Compra",'14_Inversiones'!$A:$A,"&lt;="&amp;A53)*F53*K53,0)+IF(G53&lt;&gt;"",G53,0)+IF(H53&lt;&gt;"",H53,0)+IF(I53&lt;&gt;"",I53,0)+IF(J53&lt;&gt;"",J53,0))</f>
        <v>249671.14675395179</v>
      </c>
      <c r="M53" s="98"/>
    </row>
    <row r="54" spans="1:13">
      <c r="A54" s="334">
        <v>46192</v>
      </c>
      <c r="B54" s="335" t="s">
        <v>1698</v>
      </c>
      <c r="C54" s="336"/>
      <c r="D54" s="337"/>
      <c r="E54" s="336"/>
      <c r="F54" s="337"/>
      <c r="G54" s="338"/>
      <c r="H54" s="338"/>
      <c r="I54" s="338"/>
      <c r="J54" s="338"/>
      <c r="K54" s="338">
        <v>950</v>
      </c>
      <c r="L54" s="338">
        <f>IF(A54="","",IFERROR(SUMIFS('14_Inversiones'!$F:$F,'14_Inversiones'!$B:$B,"TQQQ",'14_Inversiones'!$C:$C,"Compra",'14_Inversiones'!$A:$A,"&lt;="&amp;A54)*D54*K54,0)+IFERROR(SUMIFS('14_Inversiones'!$F:$F,'14_Inversiones'!$B:$B,"SOXX",'14_Inversiones'!$C:$C,"Compra",'14_Inversiones'!$A:$A,"&lt;="&amp;A54)*F54*K54,0)+IF(G54&lt;&gt;"",G54,0)+IF(H54&lt;&gt;"",H54,0)+IF(I54&lt;&gt;"",I54,0)+IF(J54&lt;&gt;"",J54,0))</f>
        <v>0</v>
      </c>
      <c r="M54" s="335"/>
    </row>
    <row r="55" spans="1:13">
      <c r="A55" s="262">
        <v>46193</v>
      </c>
      <c r="B55" s="263" t="s">
        <v>1698</v>
      </c>
      <c r="C55" s="264"/>
      <c r="D55" s="265"/>
      <c r="E55" s="264"/>
      <c r="F55" s="265"/>
      <c r="G55" s="266"/>
      <c r="H55" s="266"/>
      <c r="I55" s="266"/>
      <c r="J55" s="266"/>
      <c r="K55" s="266">
        <v>950</v>
      </c>
      <c r="L55" s="266">
        <f>IF(A55="","",IFERROR(SUMIFS('14_Inversiones'!$F:$F,'14_Inversiones'!$B:$B,"TQQQ",'14_Inversiones'!$C:$C,"Compra",'14_Inversiones'!$A:$A,"&lt;="&amp;A55)*D55*K55,0)+IFERROR(SUMIFS('14_Inversiones'!$F:$F,'14_Inversiones'!$B:$B,"SOXX",'14_Inversiones'!$C:$C,"Compra",'14_Inversiones'!$A:$A,"&lt;="&amp;A55)*F55*K55,0)+IF(G55&lt;&gt;"",G55,0)+IF(H55&lt;&gt;"",H55,0)+IF(I55&lt;&gt;"",I55,0)+IF(J55&lt;&gt;"",J55,0))</f>
        <v>0</v>
      </c>
      <c r="M55" s="263"/>
    </row>
    <row r="56" spans="1:13">
      <c r="A56" s="262">
        <v>46194</v>
      </c>
      <c r="B56" s="263" t="s">
        <v>1698</v>
      </c>
      <c r="C56" s="264"/>
      <c r="D56" s="265"/>
      <c r="E56" s="264"/>
      <c r="F56" s="265"/>
      <c r="G56" s="266"/>
      <c r="H56" s="266"/>
      <c r="I56" s="266"/>
      <c r="J56" s="266"/>
      <c r="K56" s="266">
        <v>950</v>
      </c>
      <c r="L56" s="266">
        <f>IF(A56="","",IFERROR(SUMIFS('14_Inversiones'!$F:$F,'14_Inversiones'!$B:$B,"TQQQ",'14_Inversiones'!$C:$C,"Compra",'14_Inversiones'!$A:$A,"&lt;="&amp;A56)*D56*K56,0)+IFERROR(SUMIFS('14_Inversiones'!$F:$F,'14_Inversiones'!$B:$B,"SOXX",'14_Inversiones'!$C:$C,"Compra",'14_Inversiones'!$A:$A,"&lt;="&amp;A56)*F56*K56,0)+IF(G56&lt;&gt;"",G56,0)+IF(H56&lt;&gt;"",H56,0)+IF(I56&lt;&gt;"",I56,0)+IF(J56&lt;&gt;"",J56,0))</f>
        <v>0</v>
      </c>
      <c r="M56" s="263"/>
    </row>
    <row r="57" spans="1:13">
      <c r="A57" s="261">
        <v>46195</v>
      </c>
      <c r="B57" s="98" t="s">
        <v>1698</v>
      </c>
      <c r="C57" s="258">
        <v>-3.5000000000000001E-3</v>
      </c>
      <c r="D57" s="259">
        <v>82.37</v>
      </c>
      <c r="E57" s="258">
        <v>2.4299999999999999E-2</v>
      </c>
      <c r="F57" s="259">
        <v>651.75</v>
      </c>
      <c r="G57" s="123"/>
      <c r="H57" s="123"/>
      <c r="I57" s="123"/>
      <c r="J57" s="123"/>
      <c r="K57" s="123">
        <v>950</v>
      </c>
      <c r="L57" s="123">
        <f>IF(A57="","",IFERROR(SUMIFS('14_Inversiones'!$F:$F,'14_Inversiones'!$B:$B,"TQQQ",'14_Inversiones'!$C:$C,"Compra",'14_Inversiones'!$A:$A,"&lt;="&amp;A57)*D57*K57,0)+IFERROR(SUMIFS('14_Inversiones'!$F:$F,'14_Inversiones'!$B:$B,"SOXX",'14_Inversiones'!$C:$C,"Compra",'14_Inversiones'!$A:$A,"&lt;="&amp;A57)*F57*K57,0)+IF(G57&lt;&gt;"",G57,0)+IF(H57&lt;&gt;"",H57,0)+IF(I57&lt;&gt;"",I57,0)+IF(J57&lt;&gt;"",J57,0))</f>
        <v>249794.2369060936</v>
      </c>
      <c r="M57" s="98"/>
    </row>
    <row r="58" spans="1:13">
      <c r="A58" s="261">
        <v>46196</v>
      </c>
      <c r="B58" s="98" t="s">
        <v>1698</v>
      </c>
      <c r="C58" s="258">
        <v>-9.8599999999999993E-2</v>
      </c>
      <c r="D58" s="259">
        <v>74.489999999999995</v>
      </c>
      <c r="E58" s="258">
        <v>-7.8799999999999995E-2</v>
      </c>
      <c r="F58" s="259">
        <v>603.46</v>
      </c>
      <c r="G58" s="123"/>
      <c r="H58" s="123"/>
      <c r="I58" s="123"/>
      <c r="J58" s="123"/>
      <c r="K58" s="123">
        <v>950</v>
      </c>
      <c r="L58" s="123">
        <f>IF(A58="","",IFERROR(SUMIFS('14_Inversiones'!$F:$F,'14_Inversiones'!$B:$B,"TQQQ",'14_Inversiones'!$C:$C,"Compra",'14_Inversiones'!$A:$A,"&lt;="&amp;A58)*D58*K58,0)+IFERROR(SUMIFS('14_Inversiones'!$F:$F,'14_Inversiones'!$B:$B,"SOXX",'14_Inversiones'!$C:$C,"Compra",'14_Inversiones'!$A:$A,"&lt;="&amp;A58)*F58*K58,0)+IF(G58&lt;&gt;"",G58,0)+IF(H58&lt;&gt;"",H58,0)+IF(I58&lt;&gt;"",I58,0)+IF(J58&lt;&gt;"",J58,0))</f>
        <v>227315.37353313522</v>
      </c>
      <c r="M58" s="98"/>
    </row>
    <row r="59" spans="1:13">
      <c r="A59" s="261">
        <v>46197</v>
      </c>
      <c r="B59" s="98" t="s">
        <v>1698</v>
      </c>
      <c r="C59" s="258">
        <v>-1.5299999999999999E-2</v>
      </c>
      <c r="D59" s="259">
        <v>73.28</v>
      </c>
      <c r="E59" s="258">
        <v>-3.0999999999999999E-3</v>
      </c>
      <c r="F59" s="259">
        <v>601.5</v>
      </c>
      <c r="G59" s="123"/>
      <c r="H59" s="123"/>
      <c r="I59" s="123"/>
      <c r="J59" s="123"/>
      <c r="K59" s="123">
        <v>950</v>
      </c>
      <c r="L59" s="123">
        <f>IF(A59="","",IFERROR(SUMIFS('14_Inversiones'!$F:$F,'14_Inversiones'!$B:$B,"TQQQ",'14_Inversiones'!$C:$C,"Compra",'14_Inversiones'!$A:$A,"&lt;="&amp;A59)*D59*K59,0)+IFERROR(SUMIFS('14_Inversiones'!$F:$F,'14_Inversiones'!$B:$B,"SOXX",'14_Inversiones'!$C:$C,"Compra",'14_Inversiones'!$A:$A,"&lt;="&amp;A59)*F59*K59,0)+IF(G59&lt;&gt;"",G59,0)+IF(H59&lt;&gt;"",H59,0)+IF(I59&lt;&gt;"",I59,0)+IF(J59&lt;&gt;"",J59,0))</f>
        <v>224413.79638212005</v>
      </c>
      <c r="M59" s="98"/>
    </row>
    <row r="60" spans="1:13">
      <c r="A60" s="261">
        <v>46198</v>
      </c>
      <c r="B60" s="98" t="s">
        <v>1698</v>
      </c>
      <c r="C60" s="258">
        <v>2.2499999999999999E-2</v>
      </c>
      <c r="D60" s="259">
        <v>74.95</v>
      </c>
      <c r="E60" s="258">
        <v>3.9399999999999998E-2</v>
      </c>
      <c r="F60" s="259">
        <v>625.20000000000005</v>
      </c>
      <c r="G60" s="123"/>
      <c r="H60" s="123"/>
      <c r="I60" s="123"/>
      <c r="J60" s="123"/>
      <c r="K60" s="123">
        <v>950</v>
      </c>
      <c r="L60" s="123">
        <f>IF(A60="","",IFERROR(SUMIFS('14_Inversiones'!$F:$F,'14_Inversiones'!$B:$B,"TQQQ",'14_Inversiones'!$C:$C,"Compra",'14_Inversiones'!$A:$A,"&lt;="&amp;A60)*D60*K60,0)+IFERROR(SUMIFS('14_Inversiones'!$F:$F,'14_Inversiones'!$B:$B,"SOXX",'14_Inversiones'!$C:$C,"Compra",'14_Inversiones'!$A:$A,"&lt;="&amp;A60)*F60*K60,0)+IF(G60&lt;&gt;"",G60,0)+IF(H60&lt;&gt;"",H60,0)+IF(I60&lt;&gt;"",I60,0)+IF(J60&lt;&gt;"",J60,0))</f>
        <v>230535.71172634949</v>
      </c>
      <c r="M60" s="98"/>
    </row>
    <row r="61" spans="1:13">
      <c r="A61" s="261">
        <v>46199</v>
      </c>
      <c r="B61" s="98" t="s">
        <v>1698</v>
      </c>
      <c r="C61" s="258">
        <v>-3.9800000000000002E-2</v>
      </c>
      <c r="D61" s="259">
        <v>71.97</v>
      </c>
      <c r="E61" s="258">
        <v>-5.6599999999999998E-2</v>
      </c>
      <c r="F61" s="259">
        <v>589.84</v>
      </c>
      <c r="G61" s="123"/>
      <c r="H61" s="123"/>
      <c r="I61" s="123"/>
      <c r="J61" s="123"/>
      <c r="K61" s="123">
        <v>950</v>
      </c>
      <c r="L61" s="123">
        <f>IF(A61="","",IFERROR(SUMIFS('14_Inversiones'!$F:$F,'14_Inversiones'!$B:$B,"TQQQ",'14_Inversiones'!$C:$C,"Compra",'14_Inversiones'!$A:$A,"&lt;="&amp;A61)*D61*K61,0)+IFERROR(SUMIFS('14_Inversiones'!$F:$F,'14_Inversiones'!$B:$B,"SOXX",'14_Inversiones'!$C:$C,"Compra",'14_Inversiones'!$A:$A,"&lt;="&amp;A61)*F61*K61,0)+IF(G61&lt;&gt;"",G61,0)+IF(H61&lt;&gt;"",H61,0)+IF(I61&lt;&gt;"",I61,0)+IF(J61&lt;&gt;"",J61,0))</f>
        <v>220310.54410508578</v>
      </c>
      <c r="M61" s="98"/>
    </row>
    <row r="62" spans="1:13">
      <c r="A62" s="262">
        <v>46200</v>
      </c>
      <c r="B62" s="263" t="s">
        <v>1698</v>
      </c>
      <c r="C62" s="264"/>
      <c r="D62" s="265"/>
      <c r="E62" s="264"/>
      <c r="F62" s="265"/>
      <c r="G62" s="266"/>
      <c r="H62" s="266"/>
      <c r="I62" s="266"/>
      <c r="J62" s="266"/>
      <c r="K62" s="266">
        <v>950</v>
      </c>
      <c r="L62" s="266">
        <f>IF(A62="","",IFERROR(SUMIFS('14_Inversiones'!$F:$F,'14_Inversiones'!$B:$B,"TQQQ",'14_Inversiones'!$C:$C,"Compra",'14_Inversiones'!$A:$A,"&lt;="&amp;A62)*D62*K62,0)+IFERROR(SUMIFS('14_Inversiones'!$F:$F,'14_Inversiones'!$B:$B,"SOXX",'14_Inversiones'!$C:$C,"Compra",'14_Inversiones'!$A:$A,"&lt;="&amp;A62)*F62*K62,0)+IF(G62&lt;&gt;"",G62,0)+IF(H62&lt;&gt;"",H62,0)+IF(I62&lt;&gt;"",I62,0)+IF(J62&lt;&gt;"",J62,0))</f>
        <v>0</v>
      </c>
      <c r="M62" s="263"/>
    </row>
    <row r="63" spans="1:13">
      <c r="A63" s="262">
        <v>46201</v>
      </c>
      <c r="B63" s="263" t="s">
        <v>1698</v>
      </c>
      <c r="C63" s="264"/>
      <c r="D63" s="265"/>
      <c r="E63" s="264"/>
      <c r="F63" s="265"/>
      <c r="G63" s="266"/>
      <c r="H63" s="266"/>
      <c r="I63" s="266"/>
      <c r="J63" s="266"/>
      <c r="K63" s="266">
        <v>950</v>
      </c>
      <c r="L63" s="266">
        <f>IF(A63="","",IFERROR(SUMIFS('14_Inversiones'!$F:$F,'14_Inversiones'!$B:$B,"TQQQ",'14_Inversiones'!$C:$C,"Compra",'14_Inversiones'!$A:$A,"&lt;="&amp;A63)*D63*K63,0)+IFERROR(SUMIFS('14_Inversiones'!$F:$F,'14_Inversiones'!$B:$B,"SOXX",'14_Inversiones'!$C:$C,"Compra",'14_Inversiones'!$A:$A,"&lt;="&amp;A63)*F63*K63,0)+IF(G63&lt;&gt;"",G63,0)+IF(H63&lt;&gt;"",H63,0)+IF(I63&lt;&gt;"",I63,0)+IF(J63&lt;&gt;"",J63,0))</f>
        <v>0</v>
      </c>
      <c r="M63" s="263"/>
    </row>
    <row r="64" spans="1:13">
      <c r="A64" s="261">
        <v>46202</v>
      </c>
      <c r="B64" s="98" t="s">
        <v>1698</v>
      </c>
      <c r="C64" s="258">
        <v>7.46E-2</v>
      </c>
      <c r="D64" s="259">
        <v>77.22</v>
      </c>
      <c r="E64" s="258">
        <v>4.1399999999999999E-2</v>
      </c>
      <c r="F64" s="259">
        <v>615.34</v>
      </c>
      <c r="G64" s="123"/>
      <c r="H64" s="123"/>
      <c r="I64" s="123"/>
      <c r="J64" s="123"/>
      <c r="K64" s="123">
        <v>950</v>
      </c>
      <c r="L64" s="123">
        <f>IF(A64="","",IFERROR(SUMIFS('14_Inversiones'!$F:$F,'14_Inversiones'!$B:$B,"TQQQ",'14_Inversiones'!$C:$C,"Compra",'14_Inversiones'!$A:$A,"&lt;="&amp;A64)*D64*K64,0)+IFERROR(SUMIFS('14_Inversiones'!$F:$F,'14_Inversiones'!$B:$B,"SOXX",'14_Inversiones'!$C:$C,"Compra",'14_Inversiones'!$A:$A,"&lt;="&amp;A64)*F64*K64,0)+IF(G64&lt;&gt;"",G64,0)+IF(H64&lt;&gt;"",H64,0)+IF(I64&lt;&gt;"",I64,0)+IF(J64&lt;&gt;"",J64,0))</f>
        <v>234614.00512639602</v>
      </c>
      <c r="M64" s="98"/>
    </row>
    <row r="65" spans="1:13">
      <c r="A65" s="261">
        <v>46203</v>
      </c>
      <c r="B65" s="98" t="s">
        <v>1698</v>
      </c>
      <c r="C65" s="258"/>
      <c r="D65" s="259"/>
      <c r="E65" s="258"/>
      <c r="F65" s="259"/>
      <c r="G65" s="123"/>
      <c r="H65" s="123"/>
      <c r="I65" s="123"/>
      <c r="J65" s="123"/>
      <c r="K65" s="123">
        <v>950</v>
      </c>
      <c r="L65" s="123">
        <f>IF(A65="","",IFERROR(SUMIFS('14_Inversiones'!$F:$F,'14_Inversiones'!$B:$B,"TQQQ",'14_Inversiones'!$C:$C,"Compra",'14_Inversiones'!$A:$A,"&lt;="&amp;A65)*D65*K65,0)+IFERROR(SUMIFS('14_Inversiones'!$F:$F,'14_Inversiones'!$B:$B,"SOXX",'14_Inversiones'!$C:$C,"Compra",'14_Inversiones'!$A:$A,"&lt;="&amp;A65)*F65*K65,0)+IF(G65&lt;&gt;"",G65,0)+IF(H65&lt;&gt;"",H65,0)+IF(I65&lt;&gt;"",I65,0)+IF(J65&lt;&gt;"",J65,0))</f>
        <v>0</v>
      </c>
      <c r="M65" s="98"/>
    </row>
    <row r="66" spans="1:13">
      <c r="A66" s="122"/>
      <c r="B66" s="98"/>
      <c r="C66" s="258"/>
      <c r="D66" s="259"/>
      <c r="E66" s="258"/>
      <c r="F66" s="259"/>
      <c r="G66" s="123"/>
      <c r="H66" s="123"/>
      <c r="I66" s="123"/>
      <c r="J66" s="123"/>
      <c r="K66" s="123"/>
      <c r="L66" s="123" t="str">
        <f>IF(A66="","",IFERROR(SUMIFS('14_Inversiones'!$F:$F,'14_Inversiones'!$B:$B,"TQQQ",'14_Inversiones'!$C:$C,"Compra",'14_Inversiones'!$A:$A,"&lt;="&amp;A66)*D66*K66,0)+IFERROR(SUMIFS('14_Inversiones'!$F:$F,'14_Inversiones'!$B:$B,"SOXX",'14_Inversiones'!$C:$C,"Compra",'14_Inversiones'!$A:$A,"&lt;="&amp;A66)*F66*K66,0)+IF(G66&lt;&gt;"",G66,0)+IF(H66&lt;&gt;"",H66,0)+IF(I66&lt;&gt;"",I66,0)+IF(J66&lt;&gt;"",J66,0))</f>
        <v/>
      </c>
      <c r="M66" s="98"/>
    </row>
    <row r="67" spans="1:13">
      <c r="A67" s="122"/>
      <c r="B67" s="98"/>
      <c r="C67" s="258"/>
      <c r="D67" s="259"/>
      <c r="E67" s="258"/>
      <c r="F67" s="259"/>
      <c r="G67" s="123"/>
      <c r="H67" s="123"/>
      <c r="I67" s="123"/>
      <c r="J67" s="123"/>
      <c r="K67" s="123"/>
      <c r="L67" s="123" t="str">
        <f>IF(A67="","",IFERROR(SUMIFS('14_Inversiones'!$F:$F,'14_Inversiones'!$B:$B,"TQQQ",'14_Inversiones'!$C:$C,"Compra",'14_Inversiones'!$A:$A,"&lt;="&amp;A67)*D67*K67,0)+IFERROR(SUMIFS('14_Inversiones'!$F:$F,'14_Inversiones'!$B:$B,"SOXX",'14_Inversiones'!$C:$C,"Compra",'14_Inversiones'!$A:$A,"&lt;="&amp;A67)*F67*K67,0)+IF(G67&lt;&gt;"",G67,0)+IF(H67&lt;&gt;"",H67,0)+IF(I67&lt;&gt;"",I67,0)+IF(J67&lt;&gt;"",J67,0))</f>
        <v/>
      </c>
      <c r="M67" s="98"/>
    </row>
    <row r="68" spans="1:13">
      <c r="A68" s="122"/>
      <c r="B68" s="98"/>
      <c r="C68" s="258"/>
      <c r="D68" s="259"/>
      <c r="E68" s="258"/>
      <c r="F68" s="259"/>
      <c r="G68" s="123"/>
      <c r="H68" s="123"/>
      <c r="I68" s="123"/>
      <c r="J68" s="123"/>
      <c r="K68" s="123"/>
      <c r="L68" s="123" t="str">
        <f>IF(A68="","",IFERROR(SUMIFS('14_Inversiones'!$F:$F,'14_Inversiones'!$B:$B,"TQQQ",'14_Inversiones'!$C:$C,"Compra",'14_Inversiones'!$A:$A,"&lt;="&amp;A68)*D68*K68,0)+IFERROR(SUMIFS('14_Inversiones'!$F:$F,'14_Inversiones'!$B:$B,"SOXX",'14_Inversiones'!$C:$C,"Compra",'14_Inversiones'!$A:$A,"&lt;="&amp;A68)*F68*K68,0)+IF(G68&lt;&gt;"",G68,0)+IF(H68&lt;&gt;"",H68,0)+IF(I68&lt;&gt;"",I68,0)+IF(J68&lt;&gt;"",J68,0))</f>
        <v/>
      </c>
      <c r="M68" s="98"/>
    </row>
    <row r="69" spans="1:13">
      <c r="A69" s="122"/>
      <c r="B69" s="98"/>
      <c r="C69" s="258"/>
      <c r="D69" s="259"/>
      <c r="E69" s="258"/>
      <c r="F69" s="259"/>
      <c r="G69" s="123"/>
      <c r="H69" s="123"/>
      <c r="I69" s="123"/>
      <c r="J69" s="123"/>
      <c r="K69" s="123"/>
      <c r="L69" s="123" t="str">
        <f>IF(A69="","",IFERROR(SUMIFS('14_Inversiones'!$F:$F,'14_Inversiones'!$B:$B,"TQQQ",'14_Inversiones'!$C:$C,"Compra",'14_Inversiones'!$A:$A,"&lt;="&amp;A69)*D69*K69,0)+IFERROR(SUMIFS('14_Inversiones'!$F:$F,'14_Inversiones'!$B:$B,"SOXX",'14_Inversiones'!$C:$C,"Compra",'14_Inversiones'!$A:$A,"&lt;="&amp;A69)*F69*K69,0)+IF(G69&lt;&gt;"",G69,0)+IF(H69&lt;&gt;"",H69,0)+IF(I69&lt;&gt;"",I69,0)+IF(J69&lt;&gt;"",J69,0))</f>
        <v/>
      </c>
      <c r="M69" s="98"/>
    </row>
    <row r="70" spans="1:13">
      <c r="A70" s="122"/>
      <c r="B70" s="98"/>
      <c r="C70" s="258"/>
      <c r="D70" s="259"/>
      <c r="E70" s="258"/>
      <c r="F70" s="259"/>
      <c r="G70" s="123"/>
      <c r="H70" s="123"/>
      <c r="I70" s="123"/>
      <c r="J70" s="123"/>
      <c r="K70" s="123"/>
      <c r="L70" s="123" t="str">
        <f>IF(A70="","",IFERROR(SUMIFS('14_Inversiones'!$F:$F,'14_Inversiones'!$B:$B,"TQQQ",'14_Inversiones'!$C:$C,"Compra",'14_Inversiones'!$A:$A,"&lt;="&amp;A70)*D70*K70,0)+IFERROR(SUMIFS('14_Inversiones'!$F:$F,'14_Inversiones'!$B:$B,"SOXX",'14_Inversiones'!$C:$C,"Compra",'14_Inversiones'!$A:$A,"&lt;="&amp;A70)*F70*K70,0)+IF(G70&lt;&gt;"",G70,0)+IF(H70&lt;&gt;"",H70,0)+IF(I70&lt;&gt;"",I70,0)+IF(J70&lt;&gt;"",J70,0))</f>
        <v/>
      </c>
      <c r="M70" s="98"/>
    </row>
    <row r="71" spans="1:13">
      <c r="A71" s="122"/>
      <c r="B71" s="98"/>
      <c r="C71" s="258"/>
      <c r="D71" s="259"/>
      <c r="E71" s="258"/>
      <c r="F71" s="259"/>
      <c r="G71" s="123"/>
      <c r="H71" s="123"/>
      <c r="I71" s="123"/>
      <c r="J71" s="123"/>
      <c r="K71" s="123"/>
      <c r="L71" s="123" t="str">
        <f>IF(A71="","",IFERROR(SUMIFS('14_Inversiones'!$F:$F,'14_Inversiones'!$B:$B,"TQQQ",'14_Inversiones'!$C:$C,"Compra",'14_Inversiones'!$A:$A,"&lt;="&amp;A71)*D71*K71,0)+IFERROR(SUMIFS('14_Inversiones'!$F:$F,'14_Inversiones'!$B:$B,"SOXX",'14_Inversiones'!$C:$C,"Compra",'14_Inversiones'!$A:$A,"&lt;="&amp;A71)*F71*K71,0)+IF(G71&lt;&gt;"",G71,0)+IF(H71&lt;&gt;"",H71,0)+IF(I71&lt;&gt;"",I71,0)+IF(J71&lt;&gt;"",J71,0))</f>
        <v/>
      </c>
      <c r="M71" s="98"/>
    </row>
    <row r="72" spans="1:13">
      <c r="A72" s="122"/>
      <c r="B72" s="98"/>
      <c r="C72" s="258"/>
      <c r="D72" s="259"/>
      <c r="E72" s="258"/>
      <c r="F72" s="259"/>
      <c r="G72" s="123"/>
      <c r="H72" s="123"/>
      <c r="I72" s="123"/>
      <c r="J72" s="123"/>
      <c r="K72" s="123"/>
      <c r="L72" s="123" t="str">
        <f>IF(A72="","",IFERROR(SUMIFS('14_Inversiones'!$F:$F,'14_Inversiones'!$B:$B,"TQQQ",'14_Inversiones'!$C:$C,"Compra",'14_Inversiones'!$A:$A,"&lt;="&amp;A72)*D72*K72,0)+IFERROR(SUMIFS('14_Inversiones'!$F:$F,'14_Inversiones'!$B:$B,"SOXX",'14_Inversiones'!$C:$C,"Compra",'14_Inversiones'!$A:$A,"&lt;="&amp;A72)*F72*K72,0)+IF(G72&lt;&gt;"",G72,0)+IF(H72&lt;&gt;"",H72,0)+IF(I72&lt;&gt;"",I72,0)+IF(J72&lt;&gt;"",J72,0))</f>
        <v/>
      </c>
      <c r="M72" s="98"/>
    </row>
    <row r="73" spans="1:13">
      <c r="A73" s="122"/>
      <c r="B73" s="98"/>
      <c r="C73" s="258"/>
      <c r="D73" s="259"/>
      <c r="E73" s="258"/>
      <c r="F73" s="259"/>
      <c r="G73" s="123"/>
      <c r="H73" s="123"/>
      <c r="I73" s="123"/>
      <c r="J73" s="123"/>
      <c r="K73" s="123"/>
      <c r="L73" s="123" t="str">
        <f>IF(A73="","",IFERROR(SUMIFS('14_Inversiones'!$F:$F,'14_Inversiones'!$B:$B,"TQQQ",'14_Inversiones'!$C:$C,"Compra",'14_Inversiones'!$A:$A,"&lt;="&amp;A73)*D73*K73,0)+IFERROR(SUMIFS('14_Inversiones'!$F:$F,'14_Inversiones'!$B:$B,"SOXX",'14_Inversiones'!$C:$C,"Compra",'14_Inversiones'!$A:$A,"&lt;="&amp;A73)*F73*K73,0)+IF(G73&lt;&gt;"",G73,0)+IF(H73&lt;&gt;"",H73,0)+IF(I73&lt;&gt;"",I73,0)+IF(J73&lt;&gt;"",J73,0))</f>
        <v/>
      </c>
      <c r="M73" s="98"/>
    </row>
    <row r="74" spans="1:13">
      <c r="A74" s="122"/>
      <c r="B74" s="98"/>
      <c r="C74" s="258"/>
      <c r="D74" s="259"/>
      <c r="E74" s="258"/>
      <c r="F74" s="259"/>
      <c r="G74" s="123"/>
      <c r="H74" s="123"/>
      <c r="I74" s="123"/>
      <c r="J74" s="123"/>
      <c r="K74" s="123"/>
      <c r="L74" s="123" t="str">
        <f>IF(A74="","",IFERROR(SUMIFS('14_Inversiones'!$F:$F,'14_Inversiones'!$B:$B,"TQQQ",'14_Inversiones'!$C:$C,"Compra",'14_Inversiones'!$A:$A,"&lt;="&amp;A74)*D74*K74,0)+IFERROR(SUMIFS('14_Inversiones'!$F:$F,'14_Inversiones'!$B:$B,"SOXX",'14_Inversiones'!$C:$C,"Compra",'14_Inversiones'!$A:$A,"&lt;="&amp;A74)*F74*K74,0)+IF(G74&lt;&gt;"",G74,0)+IF(H74&lt;&gt;"",H74,0)+IF(I74&lt;&gt;"",I74,0)+IF(J74&lt;&gt;"",J74,0))</f>
        <v/>
      </c>
      <c r="M74" s="98"/>
    </row>
    <row r="75" spans="1:13">
      <c r="A75" s="122"/>
      <c r="B75" s="98"/>
      <c r="C75" s="258"/>
      <c r="D75" s="259"/>
      <c r="E75" s="258"/>
      <c r="F75" s="259"/>
      <c r="G75" s="123"/>
      <c r="H75" s="123"/>
      <c r="I75" s="123"/>
      <c r="J75" s="123"/>
      <c r="K75" s="123"/>
      <c r="L75" s="123" t="str">
        <f>IF(A75="","",IFERROR(SUMIFS('14_Inversiones'!$F:$F,'14_Inversiones'!$B:$B,"TQQQ",'14_Inversiones'!$C:$C,"Compra",'14_Inversiones'!$A:$A,"&lt;="&amp;A75)*D75*K75,0)+IFERROR(SUMIFS('14_Inversiones'!$F:$F,'14_Inversiones'!$B:$B,"SOXX",'14_Inversiones'!$C:$C,"Compra",'14_Inversiones'!$A:$A,"&lt;="&amp;A75)*F75*K75,0)+IF(G75&lt;&gt;"",G75,0)+IF(H75&lt;&gt;"",H75,0)+IF(I75&lt;&gt;"",I75,0)+IF(J75&lt;&gt;"",J75,0))</f>
        <v/>
      </c>
      <c r="M75" s="98"/>
    </row>
    <row r="76" spans="1:13">
      <c r="A76" s="122"/>
      <c r="B76" s="98"/>
      <c r="C76" s="258"/>
      <c r="D76" s="259"/>
      <c r="E76" s="258"/>
      <c r="F76" s="259"/>
      <c r="G76" s="123"/>
      <c r="H76" s="123"/>
      <c r="I76" s="123"/>
      <c r="J76" s="123"/>
      <c r="K76" s="123"/>
      <c r="L76" s="123" t="str">
        <f>IF(A76="","",IFERROR(SUMIFS('14_Inversiones'!$F:$F,'14_Inversiones'!$B:$B,"TQQQ",'14_Inversiones'!$C:$C,"Compra",'14_Inversiones'!$A:$A,"&lt;="&amp;A76)*D76*K76,0)+IFERROR(SUMIFS('14_Inversiones'!$F:$F,'14_Inversiones'!$B:$B,"SOXX",'14_Inversiones'!$C:$C,"Compra",'14_Inversiones'!$A:$A,"&lt;="&amp;A76)*F76*K76,0)+IF(G76&lt;&gt;"",G76,0)+IF(H76&lt;&gt;"",H76,0)+IF(I76&lt;&gt;"",I76,0)+IF(J76&lt;&gt;"",J76,0))</f>
        <v/>
      </c>
      <c r="M76" s="98"/>
    </row>
    <row r="77" spans="1:13">
      <c r="A77" s="122"/>
      <c r="B77" s="98"/>
      <c r="C77" s="258"/>
      <c r="D77" s="259"/>
      <c r="E77" s="258"/>
      <c r="F77" s="259"/>
      <c r="G77" s="123"/>
      <c r="H77" s="123"/>
      <c r="I77" s="123"/>
      <c r="J77" s="123"/>
      <c r="K77" s="123"/>
      <c r="L77" s="123" t="str">
        <f>IF(A77="","",IFERROR(SUMIFS('14_Inversiones'!$F:$F,'14_Inversiones'!$B:$B,"TQQQ",'14_Inversiones'!$C:$C,"Compra",'14_Inversiones'!$A:$A,"&lt;="&amp;A77)*D77*K77,0)+IFERROR(SUMIFS('14_Inversiones'!$F:$F,'14_Inversiones'!$B:$B,"SOXX",'14_Inversiones'!$C:$C,"Compra",'14_Inversiones'!$A:$A,"&lt;="&amp;A77)*F77*K77,0)+IF(G77&lt;&gt;"",G77,0)+IF(H77&lt;&gt;"",H77,0)+IF(I77&lt;&gt;"",I77,0)+IF(J77&lt;&gt;"",J77,0))</f>
        <v/>
      </c>
      <c r="M77" s="98"/>
    </row>
    <row r="78" spans="1:13">
      <c r="A78" s="122"/>
      <c r="B78" s="98"/>
      <c r="C78" s="258"/>
      <c r="D78" s="259"/>
      <c r="E78" s="258"/>
      <c r="F78" s="259"/>
      <c r="G78" s="123"/>
      <c r="H78" s="123"/>
      <c r="I78" s="123"/>
      <c r="J78" s="123"/>
      <c r="K78" s="123"/>
      <c r="L78" s="123" t="str">
        <f>IF(A78="","",IFERROR(SUMIFS('14_Inversiones'!$F:$F,'14_Inversiones'!$B:$B,"TQQQ",'14_Inversiones'!$C:$C,"Compra",'14_Inversiones'!$A:$A,"&lt;="&amp;A78)*D78*K78,0)+IFERROR(SUMIFS('14_Inversiones'!$F:$F,'14_Inversiones'!$B:$B,"SOXX",'14_Inversiones'!$C:$C,"Compra",'14_Inversiones'!$A:$A,"&lt;="&amp;A78)*F78*K78,0)+IF(G78&lt;&gt;"",G78,0)+IF(H78&lt;&gt;"",H78,0)+IF(I78&lt;&gt;"",I78,0)+IF(J78&lt;&gt;"",J78,0))</f>
        <v/>
      </c>
      <c r="M78" s="98"/>
    </row>
    <row r="79" spans="1:13">
      <c r="A79" s="122"/>
      <c r="B79" s="98"/>
      <c r="C79" s="258"/>
      <c r="D79" s="259"/>
      <c r="E79" s="258"/>
      <c r="F79" s="259"/>
      <c r="G79" s="123"/>
      <c r="H79" s="123"/>
      <c r="I79" s="123"/>
      <c r="J79" s="123"/>
      <c r="K79" s="123"/>
      <c r="L79" s="123" t="str">
        <f>IF(A79="","",IFERROR(SUMIFS('14_Inversiones'!$F:$F,'14_Inversiones'!$B:$B,"TQQQ",'14_Inversiones'!$C:$C,"Compra",'14_Inversiones'!$A:$A,"&lt;="&amp;A79)*D79*K79,0)+IFERROR(SUMIFS('14_Inversiones'!$F:$F,'14_Inversiones'!$B:$B,"SOXX",'14_Inversiones'!$C:$C,"Compra",'14_Inversiones'!$A:$A,"&lt;="&amp;A79)*F79*K79,0)+IF(G79&lt;&gt;"",G79,0)+IF(H79&lt;&gt;"",H79,0)+IF(I79&lt;&gt;"",I79,0)+IF(J79&lt;&gt;"",J79,0))</f>
        <v/>
      </c>
      <c r="M79" s="98"/>
    </row>
    <row r="80" spans="1:13">
      <c r="A80" s="122"/>
      <c r="B80" s="98"/>
      <c r="C80" s="258"/>
      <c r="D80" s="259"/>
      <c r="E80" s="258"/>
      <c r="F80" s="259"/>
      <c r="G80" s="123"/>
      <c r="H80" s="123"/>
      <c r="I80" s="123"/>
      <c r="J80" s="123"/>
      <c r="K80" s="123"/>
      <c r="L80" s="123" t="str">
        <f>IF(A80="","",IFERROR(SUMIFS('14_Inversiones'!$F:$F,'14_Inversiones'!$B:$B,"TQQQ",'14_Inversiones'!$C:$C,"Compra",'14_Inversiones'!$A:$A,"&lt;="&amp;A80)*D80*K80,0)+IFERROR(SUMIFS('14_Inversiones'!$F:$F,'14_Inversiones'!$B:$B,"SOXX",'14_Inversiones'!$C:$C,"Compra",'14_Inversiones'!$A:$A,"&lt;="&amp;A80)*F80*K80,0)+IF(G80&lt;&gt;"",G80,0)+IF(H80&lt;&gt;"",H80,0)+IF(I80&lt;&gt;"",I80,0)+IF(J80&lt;&gt;"",J80,0))</f>
        <v/>
      </c>
      <c r="M80" s="98"/>
    </row>
    <row r="81" spans="1:13">
      <c r="A81" s="122"/>
      <c r="B81" s="98"/>
      <c r="C81" s="258"/>
      <c r="D81" s="259"/>
      <c r="E81" s="258"/>
      <c r="F81" s="259"/>
      <c r="G81" s="123"/>
      <c r="H81" s="123"/>
      <c r="I81" s="123"/>
      <c r="J81" s="123"/>
      <c r="K81" s="123"/>
      <c r="L81" s="123" t="str">
        <f>IF(A81="","",IFERROR(SUMIFS('14_Inversiones'!$F:$F,'14_Inversiones'!$B:$B,"TQQQ",'14_Inversiones'!$C:$C,"Compra",'14_Inversiones'!$A:$A,"&lt;="&amp;A81)*D81*K81,0)+IFERROR(SUMIFS('14_Inversiones'!$F:$F,'14_Inversiones'!$B:$B,"SOXX",'14_Inversiones'!$C:$C,"Compra",'14_Inversiones'!$A:$A,"&lt;="&amp;A81)*F81*K81,0)+IF(G81&lt;&gt;"",G81,0)+IF(H81&lt;&gt;"",H81,0)+IF(I81&lt;&gt;"",I81,0)+IF(J81&lt;&gt;"",J81,0))</f>
        <v/>
      </c>
      <c r="M81" s="98"/>
    </row>
    <row r="82" spans="1:13">
      <c r="A82" s="122"/>
      <c r="B82" s="98"/>
      <c r="C82" s="258"/>
      <c r="D82" s="259"/>
      <c r="E82" s="258"/>
      <c r="F82" s="259"/>
      <c r="G82" s="123"/>
      <c r="H82" s="123"/>
      <c r="I82" s="123"/>
      <c r="J82" s="123"/>
      <c r="K82" s="123"/>
      <c r="L82" s="123" t="str">
        <f>IF(A82="","",IFERROR(SUMIFS('14_Inversiones'!$F:$F,'14_Inversiones'!$B:$B,"TQQQ",'14_Inversiones'!$C:$C,"Compra",'14_Inversiones'!$A:$A,"&lt;="&amp;A82)*D82*K82,0)+IFERROR(SUMIFS('14_Inversiones'!$F:$F,'14_Inversiones'!$B:$B,"SOXX",'14_Inversiones'!$C:$C,"Compra",'14_Inversiones'!$A:$A,"&lt;="&amp;A82)*F82*K82,0)+IF(G82&lt;&gt;"",G82,0)+IF(H82&lt;&gt;"",H82,0)+IF(I82&lt;&gt;"",I82,0)+IF(J82&lt;&gt;"",J82,0))</f>
        <v/>
      </c>
      <c r="M82" s="98"/>
    </row>
    <row r="83" spans="1:13">
      <c r="A83" s="122"/>
      <c r="B83" s="98"/>
      <c r="C83" s="258"/>
      <c r="D83" s="259"/>
      <c r="E83" s="258"/>
      <c r="F83" s="259"/>
      <c r="G83" s="123"/>
      <c r="H83" s="123"/>
      <c r="I83" s="123"/>
      <c r="J83" s="123"/>
      <c r="K83" s="123"/>
      <c r="L83" s="123" t="str">
        <f>IF(A83="","",IFERROR(SUMIFS('14_Inversiones'!$F:$F,'14_Inversiones'!$B:$B,"TQQQ",'14_Inversiones'!$C:$C,"Compra",'14_Inversiones'!$A:$A,"&lt;="&amp;A83)*D83*K83,0)+IFERROR(SUMIFS('14_Inversiones'!$F:$F,'14_Inversiones'!$B:$B,"SOXX",'14_Inversiones'!$C:$C,"Compra",'14_Inversiones'!$A:$A,"&lt;="&amp;A83)*F83*K83,0)+IF(G83&lt;&gt;"",G83,0)+IF(H83&lt;&gt;"",H83,0)+IF(I83&lt;&gt;"",I83,0)+IF(J83&lt;&gt;"",J83,0))</f>
        <v/>
      </c>
      <c r="M83" s="98"/>
    </row>
    <row r="84" spans="1:13">
      <c r="A84" s="122"/>
      <c r="B84" s="98"/>
      <c r="C84" s="258"/>
      <c r="D84" s="259"/>
      <c r="E84" s="258"/>
      <c r="F84" s="259"/>
      <c r="G84" s="123"/>
      <c r="H84" s="123"/>
      <c r="I84" s="123"/>
      <c r="J84" s="123"/>
      <c r="K84" s="123"/>
      <c r="L84" s="123" t="str">
        <f>IF(A84="","",IFERROR(SUMIFS('14_Inversiones'!$F:$F,'14_Inversiones'!$B:$B,"TQQQ",'14_Inversiones'!$C:$C,"Compra",'14_Inversiones'!$A:$A,"&lt;="&amp;A84)*D84*K84,0)+IFERROR(SUMIFS('14_Inversiones'!$F:$F,'14_Inversiones'!$B:$B,"SOXX",'14_Inversiones'!$C:$C,"Compra",'14_Inversiones'!$A:$A,"&lt;="&amp;A84)*F84*K84,0)+IF(G84&lt;&gt;"",G84,0)+IF(H84&lt;&gt;"",H84,0)+IF(I84&lt;&gt;"",I84,0)+IF(J84&lt;&gt;"",J84,0))</f>
        <v/>
      </c>
      <c r="M84" s="98"/>
    </row>
    <row r="85" spans="1:13">
      <c r="A85" s="122"/>
      <c r="B85" s="98"/>
      <c r="C85" s="258"/>
      <c r="D85" s="259"/>
      <c r="E85" s="258"/>
      <c r="F85" s="259"/>
      <c r="G85" s="123"/>
      <c r="H85" s="123"/>
      <c r="I85" s="123"/>
      <c r="J85" s="123"/>
      <c r="K85" s="123"/>
      <c r="L85" s="123" t="str">
        <f>IF(A85="","",IFERROR(SUMIFS('14_Inversiones'!$F:$F,'14_Inversiones'!$B:$B,"TQQQ",'14_Inversiones'!$C:$C,"Compra",'14_Inversiones'!$A:$A,"&lt;="&amp;A85)*D85*K85,0)+IFERROR(SUMIFS('14_Inversiones'!$F:$F,'14_Inversiones'!$B:$B,"SOXX",'14_Inversiones'!$C:$C,"Compra",'14_Inversiones'!$A:$A,"&lt;="&amp;A85)*F85*K85,0)+IF(G85&lt;&gt;"",G85,0)+IF(H85&lt;&gt;"",H85,0)+IF(I85&lt;&gt;"",I85,0)+IF(J85&lt;&gt;"",J85,0))</f>
        <v/>
      </c>
      <c r="M85" s="98"/>
    </row>
    <row r="86" spans="1:13">
      <c r="A86" s="122"/>
      <c r="B86" s="98"/>
      <c r="C86" s="258"/>
      <c r="D86" s="259"/>
      <c r="E86" s="258"/>
      <c r="F86" s="259"/>
      <c r="G86" s="123"/>
      <c r="H86" s="123"/>
      <c r="I86" s="123"/>
      <c r="J86" s="123"/>
      <c r="K86" s="123"/>
      <c r="L86" s="123" t="str">
        <f>IF(A86="","",IFERROR(SUMIFS('14_Inversiones'!$F:$F,'14_Inversiones'!$B:$B,"TQQQ",'14_Inversiones'!$C:$C,"Compra",'14_Inversiones'!$A:$A,"&lt;="&amp;A86)*D86*K86,0)+IFERROR(SUMIFS('14_Inversiones'!$F:$F,'14_Inversiones'!$B:$B,"SOXX",'14_Inversiones'!$C:$C,"Compra",'14_Inversiones'!$A:$A,"&lt;="&amp;A86)*F86*K86,0)+IF(G86&lt;&gt;"",G86,0)+IF(H86&lt;&gt;"",H86,0)+IF(I86&lt;&gt;"",I86,0)+IF(J86&lt;&gt;"",J86,0))</f>
        <v/>
      </c>
      <c r="M86" s="98"/>
    </row>
    <row r="87" spans="1:13">
      <c r="A87" s="122"/>
      <c r="B87" s="98"/>
      <c r="C87" s="258"/>
      <c r="D87" s="259"/>
      <c r="E87" s="258"/>
      <c r="F87" s="259"/>
      <c r="G87" s="123"/>
      <c r="H87" s="123"/>
      <c r="I87" s="123"/>
      <c r="J87" s="123"/>
      <c r="K87" s="123"/>
      <c r="L87" s="123" t="str">
        <f>IF(A87="","",IFERROR(SUMIFS('14_Inversiones'!$F:$F,'14_Inversiones'!$B:$B,"TQQQ",'14_Inversiones'!$C:$C,"Compra",'14_Inversiones'!$A:$A,"&lt;="&amp;A87)*D87*K87,0)+IFERROR(SUMIFS('14_Inversiones'!$F:$F,'14_Inversiones'!$B:$B,"SOXX",'14_Inversiones'!$C:$C,"Compra",'14_Inversiones'!$A:$A,"&lt;="&amp;A87)*F87*K87,0)+IF(G87&lt;&gt;"",G87,0)+IF(H87&lt;&gt;"",H87,0)+IF(I87&lt;&gt;"",I87,0)+IF(J87&lt;&gt;"",J87,0))</f>
        <v/>
      </c>
      <c r="M87" s="98"/>
    </row>
    <row r="88" spans="1:13">
      <c r="A88" s="122"/>
      <c r="B88" s="98"/>
      <c r="C88" s="258"/>
      <c r="D88" s="259"/>
      <c r="E88" s="258"/>
      <c r="F88" s="259"/>
      <c r="G88" s="123"/>
      <c r="H88" s="123"/>
      <c r="I88" s="123"/>
      <c r="J88" s="123"/>
      <c r="K88" s="123"/>
      <c r="L88" s="123" t="str">
        <f>IF(A88="","",IFERROR(SUMIFS('14_Inversiones'!$F:$F,'14_Inversiones'!$B:$B,"TQQQ",'14_Inversiones'!$C:$C,"Compra",'14_Inversiones'!$A:$A,"&lt;="&amp;A88)*D88*K88,0)+IFERROR(SUMIFS('14_Inversiones'!$F:$F,'14_Inversiones'!$B:$B,"SOXX",'14_Inversiones'!$C:$C,"Compra",'14_Inversiones'!$A:$A,"&lt;="&amp;A88)*F88*K88,0)+IF(G88&lt;&gt;"",G88,0)+IF(H88&lt;&gt;"",H88,0)+IF(I88&lt;&gt;"",I88,0)+IF(J88&lt;&gt;"",J88,0))</f>
        <v/>
      </c>
      <c r="M88" s="98"/>
    </row>
    <row r="89" spans="1:13">
      <c r="A89" s="122"/>
      <c r="B89" s="98"/>
      <c r="C89" s="258"/>
      <c r="D89" s="259"/>
      <c r="E89" s="258"/>
      <c r="F89" s="259"/>
      <c r="G89" s="123"/>
      <c r="H89" s="123"/>
      <c r="I89" s="123"/>
      <c r="J89" s="123"/>
      <c r="K89" s="123"/>
      <c r="L89" s="123" t="str">
        <f>IF(A89="","",IFERROR(SUMIFS('14_Inversiones'!$F:$F,'14_Inversiones'!$B:$B,"TQQQ",'14_Inversiones'!$C:$C,"Compra",'14_Inversiones'!$A:$A,"&lt;="&amp;A89)*D89*K89,0)+IFERROR(SUMIFS('14_Inversiones'!$F:$F,'14_Inversiones'!$B:$B,"SOXX",'14_Inversiones'!$C:$C,"Compra",'14_Inversiones'!$A:$A,"&lt;="&amp;A89)*F89*K89,0)+IF(G89&lt;&gt;"",G89,0)+IF(H89&lt;&gt;"",H89,0)+IF(I89&lt;&gt;"",I89,0)+IF(J89&lt;&gt;"",J89,0))</f>
        <v/>
      </c>
      <c r="M89" s="98"/>
    </row>
    <row r="90" spans="1:13">
      <c r="A90" s="122"/>
      <c r="B90" s="98"/>
      <c r="C90" s="258"/>
      <c r="D90" s="259"/>
      <c r="E90" s="258"/>
      <c r="F90" s="259"/>
      <c r="G90" s="123"/>
      <c r="H90" s="123"/>
      <c r="I90" s="123"/>
      <c r="J90" s="123"/>
      <c r="K90" s="123"/>
      <c r="L90" s="123" t="str">
        <f>IF(A90="","",IFERROR(SUMIFS('14_Inversiones'!$F:$F,'14_Inversiones'!$B:$B,"TQQQ",'14_Inversiones'!$C:$C,"Compra",'14_Inversiones'!$A:$A,"&lt;="&amp;A90)*D90*K90,0)+IFERROR(SUMIFS('14_Inversiones'!$F:$F,'14_Inversiones'!$B:$B,"SOXX",'14_Inversiones'!$C:$C,"Compra",'14_Inversiones'!$A:$A,"&lt;="&amp;A90)*F90*K90,0)+IF(G90&lt;&gt;"",G90,0)+IF(H90&lt;&gt;"",H90,0)+IF(I90&lt;&gt;"",I90,0)+IF(J90&lt;&gt;"",J90,0))</f>
        <v/>
      </c>
      <c r="M90" s="98"/>
    </row>
    <row r="91" spans="1:13">
      <c r="A91" s="122"/>
      <c r="B91" s="98"/>
      <c r="C91" s="258"/>
      <c r="D91" s="259"/>
      <c r="E91" s="258"/>
      <c r="F91" s="259"/>
      <c r="G91" s="123"/>
      <c r="H91" s="123"/>
      <c r="I91" s="123"/>
      <c r="J91" s="123"/>
      <c r="K91" s="123"/>
      <c r="L91" s="123" t="str">
        <f>IF(A91="","",IFERROR(SUMIFS('14_Inversiones'!$F:$F,'14_Inversiones'!$B:$B,"TQQQ",'14_Inversiones'!$C:$C,"Compra",'14_Inversiones'!$A:$A,"&lt;="&amp;A91)*D91*K91,0)+IFERROR(SUMIFS('14_Inversiones'!$F:$F,'14_Inversiones'!$B:$B,"SOXX",'14_Inversiones'!$C:$C,"Compra",'14_Inversiones'!$A:$A,"&lt;="&amp;A91)*F91*K91,0)+IF(G91&lt;&gt;"",G91,0)+IF(H91&lt;&gt;"",H91,0)+IF(I91&lt;&gt;"",I91,0)+IF(J91&lt;&gt;"",J91,0))</f>
        <v/>
      </c>
      <c r="M91" s="98"/>
    </row>
    <row r="92" spans="1:13">
      <c r="A92" s="122"/>
      <c r="B92" s="98"/>
      <c r="C92" s="258"/>
      <c r="D92" s="259"/>
      <c r="E92" s="258"/>
      <c r="F92" s="259"/>
      <c r="G92" s="123"/>
      <c r="H92" s="123"/>
      <c r="I92" s="123"/>
      <c r="J92" s="123"/>
      <c r="K92" s="123"/>
      <c r="L92" s="123" t="str">
        <f>IF(A92="","",IFERROR(SUMIFS('14_Inversiones'!$F:$F,'14_Inversiones'!$B:$B,"TQQQ",'14_Inversiones'!$C:$C,"Compra",'14_Inversiones'!$A:$A,"&lt;="&amp;A92)*D92*K92,0)+IFERROR(SUMIFS('14_Inversiones'!$F:$F,'14_Inversiones'!$B:$B,"SOXX",'14_Inversiones'!$C:$C,"Compra",'14_Inversiones'!$A:$A,"&lt;="&amp;A92)*F92*K92,0)+IF(G92&lt;&gt;"",G92,0)+IF(H92&lt;&gt;"",H92,0)+IF(I92&lt;&gt;"",I92,0)+IF(J92&lt;&gt;"",J92,0))</f>
        <v/>
      </c>
      <c r="M92" s="98"/>
    </row>
    <row r="93" spans="1:13">
      <c r="A93" s="122"/>
      <c r="B93" s="98"/>
      <c r="C93" s="258"/>
      <c r="D93" s="259"/>
      <c r="E93" s="258"/>
      <c r="F93" s="259"/>
      <c r="G93" s="123"/>
      <c r="H93" s="123"/>
      <c r="I93" s="123"/>
      <c r="J93" s="123"/>
      <c r="K93" s="123"/>
      <c r="L93" s="123" t="str">
        <f>IF(A93="","",IFERROR(SUMIFS('14_Inversiones'!$F:$F,'14_Inversiones'!$B:$B,"TQQQ",'14_Inversiones'!$C:$C,"Compra",'14_Inversiones'!$A:$A,"&lt;="&amp;A93)*D93*K93,0)+IFERROR(SUMIFS('14_Inversiones'!$F:$F,'14_Inversiones'!$B:$B,"SOXX",'14_Inversiones'!$C:$C,"Compra",'14_Inversiones'!$A:$A,"&lt;="&amp;A93)*F93*K93,0)+IF(G93&lt;&gt;"",G93,0)+IF(H93&lt;&gt;"",H93,0)+IF(I93&lt;&gt;"",I93,0)+IF(J93&lt;&gt;"",J93,0))</f>
        <v/>
      </c>
      <c r="M93" s="98"/>
    </row>
    <row r="94" spans="1:13">
      <c r="A94" s="122"/>
      <c r="B94" s="98"/>
      <c r="C94" s="258"/>
      <c r="D94" s="259"/>
      <c r="E94" s="258"/>
      <c r="F94" s="259"/>
      <c r="G94" s="123"/>
      <c r="H94" s="123"/>
      <c r="I94" s="123"/>
      <c r="J94" s="123"/>
      <c r="K94" s="123"/>
      <c r="L94" s="123" t="str">
        <f>IF(A94="","",IFERROR(SUMIFS('14_Inversiones'!$F:$F,'14_Inversiones'!$B:$B,"TQQQ",'14_Inversiones'!$C:$C,"Compra",'14_Inversiones'!$A:$A,"&lt;="&amp;A94)*D94*K94,0)+IFERROR(SUMIFS('14_Inversiones'!$F:$F,'14_Inversiones'!$B:$B,"SOXX",'14_Inversiones'!$C:$C,"Compra",'14_Inversiones'!$A:$A,"&lt;="&amp;A94)*F94*K94,0)+IF(G94&lt;&gt;"",G94,0)+IF(H94&lt;&gt;"",H94,0)+IF(I94&lt;&gt;"",I94,0)+IF(J94&lt;&gt;"",J94,0))</f>
        <v/>
      </c>
      <c r="M94" s="98"/>
    </row>
    <row r="95" spans="1:13">
      <c r="A95" s="122"/>
      <c r="B95" s="98"/>
      <c r="C95" s="258"/>
      <c r="D95" s="259"/>
      <c r="E95" s="258"/>
      <c r="F95" s="259"/>
      <c r="G95" s="123"/>
      <c r="H95" s="123"/>
      <c r="I95" s="123"/>
      <c r="J95" s="123"/>
      <c r="K95" s="123"/>
      <c r="L95" s="123" t="str">
        <f>IF(A95="","",IFERROR(SUMIFS('14_Inversiones'!$F:$F,'14_Inversiones'!$B:$B,"TQQQ",'14_Inversiones'!$C:$C,"Compra",'14_Inversiones'!$A:$A,"&lt;="&amp;A95)*D95*K95,0)+IFERROR(SUMIFS('14_Inversiones'!$F:$F,'14_Inversiones'!$B:$B,"SOXX",'14_Inversiones'!$C:$C,"Compra",'14_Inversiones'!$A:$A,"&lt;="&amp;A95)*F95*K95,0)+IF(G95&lt;&gt;"",G95,0)+IF(H95&lt;&gt;"",H95,0)+IF(I95&lt;&gt;"",I95,0)+IF(J95&lt;&gt;"",J95,0))</f>
        <v/>
      </c>
      <c r="M95" s="98"/>
    </row>
    <row r="96" spans="1:13">
      <c r="A96" s="122"/>
      <c r="B96" s="98"/>
      <c r="C96" s="258"/>
      <c r="D96" s="259"/>
      <c r="E96" s="258"/>
      <c r="F96" s="259"/>
      <c r="G96" s="123"/>
      <c r="H96" s="123"/>
      <c r="I96" s="123"/>
      <c r="J96" s="123"/>
      <c r="K96" s="123"/>
      <c r="L96" s="123" t="str">
        <f>IF(A96="","",IFERROR(SUMIFS('14_Inversiones'!$F:$F,'14_Inversiones'!$B:$B,"TQQQ",'14_Inversiones'!$C:$C,"Compra",'14_Inversiones'!$A:$A,"&lt;="&amp;A96)*D96*K96,0)+IFERROR(SUMIFS('14_Inversiones'!$F:$F,'14_Inversiones'!$B:$B,"SOXX",'14_Inversiones'!$C:$C,"Compra",'14_Inversiones'!$A:$A,"&lt;="&amp;A96)*F96*K96,0)+IF(G96&lt;&gt;"",G96,0)+IF(H96&lt;&gt;"",H96,0)+IF(I96&lt;&gt;"",I96,0)+IF(J96&lt;&gt;"",J96,0))</f>
        <v/>
      </c>
      <c r="M96" s="98"/>
    </row>
    <row r="97" spans="1:13">
      <c r="A97" s="122"/>
      <c r="B97" s="98"/>
      <c r="C97" s="258"/>
      <c r="D97" s="259"/>
      <c r="E97" s="258"/>
      <c r="F97" s="259"/>
      <c r="G97" s="123"/>
      <c r="H97" s="123"/>
      <c r="I97" s="123"/>
      <c r="J97" s="123"/>
      <c r="K97" s="123"/>
      <c r="L97" s="123" t="str">
        <f>IF(A97="","",IFERROR(SUMIFS('14_Inversiones'!$F:$F,'14_Inversiones'!$B:$B,"TQQQ",'14_Inversiones'!$C:$C,"Compra",'14_Inversiones'!$A:$A,"&lt;="&amp;A97)*D97*K97,0)+IFERROR(SUMIFS('14_Inversiones'!$F:$F,'14_Inversiones'!$B:$B,"SOXX",'14_Inversiones'!$C:$C,"Compra",'14_Inversiones'!$A:$A,"&lt;="&amp;A97)*F97*K97,0)+IF(G97&lt;&gt;"",G97,0)+IF(H97&lt;&gt;"",H97,0)+IF(I97&lt;&gt;"",I97,0)+IF(J97&lt;&gt;"",J97,0))</f>
        <v/>
      </c>
      <c r="M97" s="98"/>
    </row>
    <row r="98" spans="1:13">
      <c r="A98" s="122"/>
      <c r="B98" s="98"/>
      <c r="C98" s="258"/>
      <c r="D98" s="259"/>
      <c r="E98" s="258"/>
      <c r="F98" s="259"/>
      <c r="G98" s="123"/>
      <c r="H98" s="123"/>
      <c r="I98" s="123"/>
      <c r="J98" s="123"/>
      <c r="K98" s="123"/>
      <c r="L98" s="123" t="str">
        <f>IF(A98="","",IFERROR(SUMIFS('14_Inversiones'!$F:$F,'14_Inversiones'!$B:$B,"TQQQ",'14_Inversiones'!$C:$C,"Compra",'14_Inversiones'!$A:$A,"&lt;="&amp;A98)*D98*K98,0)+IFERROR(SUMIFS('14_Inversiones'!$F:$F,'14_Inversiones'!$B:$B,"SOXX",'14_Inversiones'!$C:$C,"Compra",'14_Inversiones'!$A:$A,"&lt;="&amp;A98)*F98*K98,0)+IF(G98&lt;&gt;"",G98,0)+IF(H98&lt;&gt;"",H98,0)+IF(I98&lt;&gt;"",I98,0)+IF(J98&lt;&gt;"",J98,0))</f>
        <v/>
      </c>
      <c r="M98" s="98"/>
    </row>
    <row r="99" spans="1:13">
      <c r="A99" s="122"/>
      <c r="B99" s="98"/>
      <c r="C99" s="258"/>
      <c r="D99" s="259"/>
      <c r="E99" s="258"/>
      <c r="F99" s="259"/>
      <c r="G99" s="123"/>
      <c r="H99" s="123"/>
      <c r="I99" s="123"/>
      <c r="J99" s="123"/>
      <c r="K99" s="123"/>
      <c r="L99" s="123" t="str">
        <f>IF(A99="","",IFERROR(SUMIFS('14_Inversiones'!$F:$F,'14_Inversiones'!$B:$B,"TQQQ",'14_Inversiones'!$C:$C,"Compra",'14_Inversiones'!$A:$A,"&lt;="&amp;A99)*D99*K99,0)+IFERROR(SUMIFS('14_Inversiones'!$F:$F,'14_Inversiones'!$B:$B,"SOXX",'14_Inversiones'!$C:$C,"Compra",'14_Inversiones'!$A:$A,"&lt;="&amp;A99)*F99*K99,0)+IF(G99&lt;&gt;"",G99,0)+IF(H99&lt;&gt;"",H99,0)+IF(I99&lt;&gt;"",I99,0)+IF(J99&lt;&gt;"",J99,0))</f>
        <v/>
      </c>
      <c r="M99" s="98"/>
    </row>
    <row r="100" spans="1:13">
      <c r="A100" s="122"/>
      <c r="B100" s="98"/>
      <c r="C100" s="258"/>
      <c r="D100" s="259"/>
      <c r="E100" s="258"/>
      <c r="F100" s="259"/>
      <c r="G100" s="123"/>
      <c r="H100" s="123"/>
      <c r="I100" s="123"/>
      <c r="J100" s="123"/>
      <c r="K100" s="123"/>
      <c r="L100" s="123" t="str">
        <f>IF(A100="","",IFERROR(SUMIFS('14_Inversiones'!$F:$F,'14_Inversiones'!$B:$B,"TQQQ",'14_Inversiones'!$C:$C,"Compra",'14_Inversiones'!$A:$A,"&lt;="&amp;A100)*D100*K100,0)+IFERROR(SUMIFS('14_Inversiones'!$F:$F,'14_Inversiones'!$B:$B,"SOXX",'14_Inversiones'!$C:$C,"Compra",'14_Inversiones'!$A:$A,"&lt;="&amp;A100)*F100*K100,0)+IF(G100&lt;&gt;"",G100,0)+IF(H100&lt;&gt;"",H100,0)+IF(I100&lt;&gt;"",I100,0)+IF(J100&lt;&gt;"",J100,0))</f>
        <v/>
      </c>
      <c r="M100" s="98"/>
    </row>
    <row r="101" spans="1:13">
      <c r="A101" s="122"/>
      <c r="B101" s="98"/>
      <c r="C101" s="258"/>
      <c r="D101" s="259"/>
      <c r="E101" s="258"/>
      <c r="F101" s="259"/>
      <c r="G101" s="123"/>
      <c r="H101" s="123"/>
      <c r="I101" s="123"/>
      <c r="J101" s="123"/>
      <c r="K101" s="123"/>
      <c r="L101" s="123"/>
      <c r="M101" s="98"/>
    </row>
    <row r="102" spans="1:13">
      <c r="A102" s="122"/>
      <c r="B102" s="98"/>
      <c r="C102" s="258"/>
      <c r="D102" s="259"/>
      <c r="E102" s="258"/>
      <c r="F102" s="259"/>
      <c r="G102" s="123"/>
      <c r="H102" s="123"/>
      <c r="I102" s="123"/>
      <c r="J102" s="123"/>
      <c r="K102" s="123"/>
      <c r="L102" s="123"/>
      <c r="M102" s="98"/>
    </row>
    <row r="103" spans="1:13">
      <c r="A103" s="122"/>
      <c r="B103" s="98"/>
      <c r="C103" s="258"/>
      <c r="D103" s="259"/>
      <c r="E103" s="258"/>
      <c r="F103" s="259"/>
      <c r="G103" s="123"/>
      <c r="H103" s="123"/>
      <c r="I103" s="123"/>
      <c r="J103" s="123"/>
      <c r="K103" s="123"/>
      <c r="L103" s="123"/>
      <c r="M103" s="98"/>
    </row>
    <row r="104" spans="1:13">
      <c r="A104" s="122"/>
      <c r="B104" s="98"/>
      <c r="C104" s="258"/>
      <c r="D104" s="259"/>
      <c r="E104" s="258"/>
      <c r="F104" s="259"/>
      <c r="G104" s="123"/>
      <c r="H104" s="123"/>
      <c r="I104" s="123"/>
      <c r="J104" s="123"/>
      <c r="K104" s="123"/>
      <c r="L104" s="123"/>
      <c r="M104" s="98"/>
    </row>
    <row r="105" spans="1:13">
      <c r="A105" s="122"/>
      <c r="B105" s="98"/>
      <c r="C105" s="258"/>
      <c r="D105" s="259"/>
      <c r="E105" s="258"/>
      <c r="F105" s="259"/>
      <c r="G105" s="123"/>
      <c r="H105" s="123"/>
      <c r="I105" s="123"/>
      <c r="J105" s="123"/>
      <c r="K105" s="123"/>
      <c r="L105" s="123"/>
      <c r="M105" s="98"/>
    </row>
    <row r="106" spans="1:13">
      <c r="A106" s="122"/>
      <c r="B106" s="98"/>
      <c r="C106" s="258"/>
      <c r="D106" s="259"/>
      <c r="E106" s="258"/>
      <c r="F106" s="259"/>
      <c r="G106" s="123"/>
      <c r="H106" s="123"/>
      <c r="I106" s="123"/>
      <c r="J106" s="123"/>
      <c r="K106" s="123"/>
      <c r="L106" s="123"/>
      <c r="M106" s="98"/>
    </row>
    <row r="107" spans="1:13">
      <c r="A107" s="122"/>
      <c r="B107" s="98"/>
      <c r="C107" s="258"/>
      <c r="D107" s="259"/>
      <c r="E107" s="258"/>
      <c r="F107" s="259"/>
      <c r="G107" s="123"/>
      <c r="H107" s="123"/>
      <c r="I107" s="123"/>
      <c r="J107" s="123"/>
      <c r="K107" s="123"/>
      <c r="L107" s="123"/>
      <c r="M107" s="98"/>
    </row>
    <row r="108" spans="1:13">
      <c r="A108" s="122"/>
      <c r="B108" s="98"/>
      <c r="C108" s="258"/>
      <c r="D108" s="259"/>
      <c r="E108" s="258"/>
      <c r="F108" s="259"/>
      <c r="G108" s="123"/>
      <c r="H108" s="123"/>
      <c r="I108" s="123"/>
      <c r="J108" s="123"/>
      <c r="K108" s="123"/>
      <c r="L108" s="123"/>
      <c r="M108" s="98"/>
    </row>
    <row r="109" spans="1:13">
      <c r="A109" s="122"/>
      <c r="B109" s="98"/>
      <c r="C109" s="258"/>
      <c r="D109" s="259"/>
      <c r="E109" s="258"/>
      <c r="F109" s="259"/>
      <c r="G109" s="123"/>
      <c r="H109" s="123"/>
      <c r="I109" s="123"/>
      <c r="J109" s="123"/>
      <c r="K109" s="123"/>
      <c r="L109" s="123"/>
      <c r="M109" s="98"/>
    </row>
    <row r="110" spans="1:13">
      <c r="A110" s="122"/>
      <c r="B110" s="98"/>
      <c r="C110" s="258"/>
      <c r="D110" s="259"/>
      <c r="E110" s="258"/>
      <c r="F110" s="259"/>
      <c r="G110" s="123"/>
      <c r="H110" s="123"/>
      <c r="I110" s="123"/>
      <c r="J110" s="123"/>
      <c r="K110" s="123"/>
      <c r="L110" s="123"/>
      <c r="M110" s="98"/>
    </row>
    <row r="111" spans="1:13">
      <c r="A111" s="122"/>
      <c r="B111" s="98"/>
      <c r="C111" s="258"/>
      <c r="D111" s="259"/>
      <c r="E111" s="258"/>
      <c r="F111" s="259"/>
      <c r="G111" s="123"/>
      <c r="H111" s="123"/>
      <c r="I111" s="123"/>
      <c r="J111" s="123"/>
      <c r="K111" s="123"/>
      <c r="L111" s="123"/>
      <c r="M111" s="98"/>
    </row>
    <row r="112" spans="1:13">
      <c r="A112" s="122"/>
      <c r="B112" s="98"/>
      <c r="C112" s="258"/>
      <c r="D112" s="259"/>
      <c r="E112" s="258"/>
      <c r="F112" s="259"/>
      <c r="G112" s="123"/>
      <c r="H112" s="123"/>
      <c r="I112" s="123"/>
      <c r="J112" s="123"/>
      <c r="K112" s="123"/>
      <c r="L112" s="123"/>
      <c r="M112" s="98"/>
    </row>
    <row r="113" spans="1:13">
      <c r="A113" s="122"/>
      <c r="B113" s="98"/>
      <c r="C113" s="258"/>
      <c r="D113" s="259"/>
      <c r="E113" s="258"/>
      <c r="F113" s="259"/>
      <c r="G113" s="123"/>
      <c r="H113" s="123"/>
      <c r="I113" s="123"/>
      <c r="J113" s="123"/>
      <c r="K113" s="123"/>
      <c r="L113" s="123"/>
      <c r="M113" s="98"/>
    </row>
    <row r="114" spans="1:13">
      <c r="A114" s="122"/>
      <c r="B114" s="98"/>
      <c r="C114" s="258"/>
      <c r="D114" s="259"/>
      <c r="E114" s="258"/>
      <c r="F114" s="259"/>
      <c r="G114" s="123"/>
      <c r="H114" s="123"/>
      <c r="I114" s="123"/>
      <c r="J114" s="123"/>
      <c r="K114" s="123"/>
      <c r="L114" s="123"/>
      <c r="M114" s="98"/>
    </row>
    <row r="115" spans="1:13">
      <c r="A115" s="122"/>
      <c r="B115" s="98"/>
      <c r="C115" s="258"/>
      <c r="D115" s="259"/>
      <c r="E115" s="258"/>
      <c r="F115" s="259"/>
      <c r="G115" s="123"/>
      <c r="H115" s="123"/>
      <c r="I115" s="123"/>
      <c r="J115" s="123"/>
      <c r="K115" s="123"/>
      <c r="L115" s="123"/>
      <c r="M115" s="98"/>
    </row>
    <row r="116" spans="1:13">
      <c r="A116" s="122"/>
      <c r="B116" s="98"/>
      <c r="C116" s="258"/>
      <c r="D116" s="259"/>
      <c r="E116" s="258"/>
      <c r="F116" s="259"/>
      <c r="G116" s="123"/>
      <c r="H116" s="123"/>
      <c r="I116" s="123"/>
      <c r="J116" s="123"/>
      <c r="K116" s="123"/>
      <c r="L116" s="123"/>
      <c r="M116" s="98"/>
    </row>
    <row r="117" spans="1:13">
      <c r="A117" s="122"/>
      <c r="B117" s="98"/>
      <c r="C117" s="258"/>
      <c r="D117" s="259"/>
      <c r="E117" s="258"/>
      <c r="F117" s="259"/>
      <c r="G117" s="123"/>
      <c r="H117" s="123"/>
      <c r="I117" s="123"/>
      <c r="J117" s="123"/>
      <c r="K117" s="123"/>
      <c r="L117" s="123"/>
      <c r="M117" s="98"/>
    </row>
    <row r="118" spans="1:13">
      <c r="A118" s="122"/>
      <c r="B118" s="98"/>
      <c r="C118" s="258"/>
      <c r="D118" s="259"/>
      <c r="E118" s="258"/>
      <c r="F118" s="259"/>
      <c r="G118" s="123"/>
      <c r="H118" s="123"/>
      <c r="I118" s="123"/>
      <c r="J118" s="123"/>
      <c r="K118" s="123"/>
      <c r="L118" s="123"/>
      <c r="M118" s="98"/>
    </row>
    <row r="119" spans="1:13">
      <c r="A119" s="122"/>
      <c r="B119" s="98"/>
      <c r="C119" s="258"/>
      <c r="D119" s="259"/>
      <c r="E119" s="258"/>
      <c r="F119" s="259"/>
      <c r="G119" s="123"/>
      <c r="H119" s="123"/>
      <c r="I119" s="123"/>
      <c r="J119" s="123"/>
      <c r="K119" s="123"/>
      <c r="L119" s="123"/>
      <c r="M119" s="98"/>
    </row>
    <row r="120" spans="1:13">
      <c r="A120" s="122"/>
      <c r="B120" s="98"/>
      <c r="C120" s="258"/>
      <c r="D120" s="259"/>
      <c r="E120" s="258"/>
      <c r="F120" s="259"/>
      <c r="G120" s="123"/>
      <c r="H120" s="123"/>
      <c r="I120" s="123"/>
      <c r="J120" s="123"/>
      <c r="K120" s="123"/>
      <c r="L120" s="123"/>
      <c r="M120" s="98"/>
    </row>
    <row r="121" spans="1:13">
      <c r="A121" s="122"/>
      <c r="B121" s="98"/>
      <c r="C121" s="258"/>
      <c r="D121" s="259"/>
      <c r="E121" s="258"/>
      <c r="F121" s="259"/>
      <c r="G121" s="123"/>
      <c r="H121" s="123"/>
      <c r="I121" s="123"/>
      <c r="J121" s="123"/>
      <c r="K121" s="123"/>
      <c r="L121" s="123"/>
      <c r="M121" s="98"/>
    </row>
    <row r="122" spans="1:13">
      <c r="A122" s="122"/>
      <c r="B122" s="98"/>
      <c r="C122" s="258"/>
      <c r="D122" s="259"/>
      <c r="E122" s="258"/>
      <c r="F122" s="259"/>
      <c r="G122" s="123"/>
      <c r="H122" s="123"/>
      <c r="I122" s="123"/>
      <c r="J122" s="123"/>
      <c r="K122" s="123"/>
      <c r="L122" s="123"/>
      <c r="M122" s="98"/>
    </row>
    <row r="123" spans="1:13">
      <c r="A123" s="122"/>
      <c r="B123" s="98"/>
      <c r="C123" s="258"/>
      <c r="D123" s="259"/>
      <c r="E123" s="258"/>
      <c r="F123" s="259"/>
      <c r="G123" s="123"/>
      <c r="H123" s="123"/>
      <c r="I123" s="123"/>
      <c r="J123" s="123"/>
      <c r="K123" s="123"/>
      <c r="L123" s="123"/>
      <c r="M123" s="98"/>
    </row>
    <row r="124" spans="1:13">
      <c r="A124" s="122"/>
      <c r="B124" s="98"/>
      <c r="C124" s="258"/>
      <c r="D124" s="259"/>
      <c r="E124" s="258"/>
      <c r="F124" s="259"/>
      <c r="G124" s="123"/>
      <c r="H124" s="123"/>
      <c r="I124" s="123"/>
      <c r="J124" s="123"/>
      <c r="K124" s="123"/>
      <c r="L124" s="123"/>
      <c r="M124" s="98"/>
    </row>
    <row r="125" spans="1:13">
      <c r="A125" s="122"/>
      <c r="B125" s="98"/>
      <c r="C125" s="258"/>
      <c r="D125" s="259"/>
      <c r="E125" s="258"/>
      <c r="F125" s="259"/>
      <c r="G125" s="123"/>
      <c r="H125" s="123"/>
      <c r="I125" s="123"/>
      <c r="J125" s="123"/>
      <c r="K125" s="123"/>
      <c r="L125" s="123"/>
      <c r="M125" s="98"/>
    </row>
    <row r="126" spans="1:13">
      <c r="A126" s="122"/>
      <c r="B126" s="98"/>
      <c r="C126" s="258"/>
      <c r="D126" s="259"/>
      <c r="E126" s="258"/>
      <c r="F126" s="259"/>
      <c r="G126" s="123"/>
      <c r="H126" s="123"/>
      <c r="I126" s="123"/>
      <c r="J126" s="123"/>
      <c r="K126" s="123"/>
      <c r="L126" s="123"/>
      <c r="M126" s="98"/>
    </row>
    <row r="127" spans="1:13">
      <c r="A127" s="122"/>
      <c r="B127" s="98"/>
      <c r="C127" s="258"/>
      <c r="D127" s="259"/>
      <c r="E127" s="258"/>
      <c r="F127" s="259"/>
      <c r="G127" s="123"/>
      <c r="H127" s="123"/>
      <c r="I127" s="123"/>
      <c r="J127" s="123"/>
      <c r="K127" s="123"/>
      <c r="L127" s="123"/>
      <c r="M127" s="98"/>
    </row>
    <row r="128" spans="1:13">
      <c r="A128" s="122"/>
      <c r="B128" s="98"/>
      <c r="C128" s="258"/>
      <c r="D128" s="259"/>
      <c r="E128" s="258"/>
      <c r="F128" s="259"/>
      <c r="G128" s="123"/>
      <c r="H128" s="123"/>
      <c r="I128" s="123"/>
      <c r="J128" s="123"/>
      <c r="K128" s="123"/>
      <c r="L128" s="123"/>
      <c r="M128" s="98"/>
    </row>
    <row r="129" spans="1:13">
      <c r="A129" s="122"/>
      <c r="B129" s="98"/>
      <c r="C129" s="258"/>
      <c r="D129" s="259"/>
      <c r="E129" s="258"/>
      <c r="F129" s="259"/>
      <c r="G129" s="123"/>
      <c r="H129" s="123"/>
      <c r="I129" s="123"/>
      <c r="J129" s="123"/>
      <c r="K129" s="123"/>
      <c r="L129" s="123"/>
      <c r="M129" s="98"/>
    </row>
    <row r="130" spans="1:13">
      <c r="A130" s="122"/>
      <c r="B130" s="98"/>
      <c r="C130" s="258"/>
      <c r="D130" s="259"/>
      <c r="E130" s="258"/>
      <c r="F130" s="259"/>
      <c r="G130" s="123"/>
      <c r="H130" s="123"/>
      <c r="I130" s="123"/>
      <c r="J130" s="123"/>
      <c r="K130" s="123"/>
      <c r="L130" s="123"/>
      <c r="M130" s="98"/>
    </row>
    <row r="131" spans="1:13">
      <c r="A131" s="122"/>
      <c r="B131" s="98"/>
      <c r="C131" s="258"/>
      <c r="D131" s="259"/>
      <c r="E131" s="258"/>
      <c r="F131" s="259"/>
      <c r="G131" s="123"/>
      <c r="H131" s="123"/>
      <c r="I131" s="123"/>
      <c r="J131" s="123"/>
      <c r="K131" s="123"/>
      <c r="L131" s="123"/>
      <c r="M131" s="98"/>
    </row>
    <row r="132" spans="1:13">
      <c r="A132" s="122"/>
      <c r="B132" s="98"/>
      <c r="C132" s="258"/>
      <c r="D132" s="259"/>
      <c r="E132" s="258"/>
      <c r="F132" s="259"/>
      <c r="G132" s="123"/>
      <c r="H132" s="123"/>
      <c r="I132" s="123"/>
      <c r="J132" s="123"/>
      <c r="K132" s="123"/>
      <c r="L132" s="123"/>
      <c r="M132" s="98"/>
    </row>
    <row r="133" spans="1:13">
      <c r="A133" s="122"/>
      <c r="B133" s="98"/>
      <c r="C133" s="258"/>
      <c r="D133" s="259"/>
      <c r="E133" s="258"/>
      <c r="F133" s="259"/>
      <c r="G133" s="123"/>
      <c r="H133" s="123"/>
      <c r="I133" s="123"/>
      <c r="J133" s="123"/>
      <c r="K133" s="123"/>
      <c r="L133" s="123"/>
      <c r="M133" s="98"/>
    </row>
    <row r="134" spans="1:13">
      <c r="A134" s="122"/>
      <c r="B134" s="98"/>
      <c r="C134" s="258"/>
      <c r="D134" s="259"/>
      <c r="E134" s="258"/>
      <c r="F134" s="259"/>
      <c r="G134" s="123"/>
      <c r="H134" s="123"/>
      <c r="I134" s="123"/>
      <c r="J134" s="123"/>
      <c r="K134" s="123"/>
      <c r="L134" s="123"/>
      <c r="M134" s="98"/>
    </row>
    <row r="135" spans="1:13">
      <c r="A135" s="122"/>
      <c r="B135" s="98"/>
      <c r="C135" s="258"/>
      <c r="D135" s="259"/>
      <c r="E135" s="258"/>
      <c r="F135" s="259"/>
      <c r="G135" s="123"/>
      <c r="H135" s="123"/>
      <c r="I135" s="123"/>
      <c r="J135" s="123"/>
      <c r="K135" s="123"/>
      <c r="L135" s="123"/>
      <c r="M135" s="98"/>
    </row>
    <row r="136" spans="1:13">
      <c r="A136" s="122"/>
      <c r="B136" s="98"/>
      <c r="C136" s="258"/>
      <c r="D136" s="259"/>
      <c r="E136" s="258"/>
      <c r="F136" s="259"/>
      <c r="G136" s="123"/>
      <c r="H136" s="123"/>
      <c r="I136" s="123"/>
      <c r="J136" s="123"/>
      <c r="K136" s="123"/>
      <c r="L136" s="123"/>
      <c r="M136" s="98"/>
    </row>
    <row r="137" spans="1:13">
      <c r="A137" s="122"/>
      <c r="B137" s="98"/>
      <c r="C137" s="258"/>
      <c r="D137" s="259"/>
      <c r="E137" s="258"/>
      <c r="F137" s="259"/>
      <c r="G137" s="123"/>
      <c r="H137" s="123"/>
      <c r="I137" s="123"/>
      <c r="J137" s="123"/>
      <c r="K137" s="123"/>
      <c r="L137" s="123"/>
      <c r="M137" s="98"/>
    </row>
    <row r="138" spans="1:13">
      <c r="A138" s="122"/>
      <c r="B138" s="98"/>
      <c r="C138" s="258"/>
      <c r="D138" s="259"/>
      <c r="E138" s="258"/>
      <c r="F138" s="259"/>
      <c r="G138" s="123"/>
      <c r="H138" s="123"/>
      <c r="I138" s="123"/>
      <c r="J138" s="123"/>
      <c r="K138" s="123"/>
      <c r="L138" s="123"/>
      <c r="M138" s="98"/>
    </row>
    <row r="139" spans="1:13">
      <c r="A139" s="122"/>
      <c r="B139" s="98"/>
      <c r="C139" s="258"/>
      <c r="D139" s="259"/>
      <c r="E139" s="258"/>
      <c r="F139" s="259"/>
      <c r="G139" s="123"/>
      <c r="H139" s="123"/>
      <c r="I139" s="123"/>
      <c r="J139" s="123"/>
      <c r="K139" s="123"/>
      <c r="L139" s="123"/>
      <c r="M139" s="98"/>
    </row>
    <row r="140" spans="1:13">
      <c r="A140" s="122"/>
      <c r="B140" s="98"/>
      <c r="C140" s="258"/>
      <c r="D140" s="259"/>
      <c r="E140" s="258"/>
      <c r="F140" s="259"/>
      <c r="G140" s="123"/>
      <c r="H140" s="123"/>
      <c r="I140" s="123"/>
      <c r="J140" s="123"/>
      <c r="K140" s="123"/>
      <c r="L140" s="123"/>
      <c r="M140" s="98"/>
    </row>
    <row r="141" spans="1:13">
      <c r="A141" s="122"/>
      <c r="B141" s="98"/>
      <c r="C141" s="258"/>
      <c r="D141" s="259"/>
      <c r="E141" s="258"/>
      <c r="F141" s="259"/>
      <c r="G141" s="123"/>
      <c r="H141" s="123"/>
      <c r="I141" s="123"/>
      <c r="J141" s="123"/>
      <c r="K141" s="123"/>
      <c r="L141" s="123"/>
      <c r="M141" s="98"/>
    </row>
    <row r="142" spans="1:13">
      <c r="A142" s="122"/>
      <c r="B142" s="98"/>
      <c r="C142" s="258"/>
      <c r="D142" s="259"/>
      <c r="E142" s="258"/>
      <c r="F142" s="259"/>
      <c r="G142" s="123"/>
      <c r="H142" s="123"/>
      <c r="I142" s="123"/>
      <c r="J142" s="123"/>
      <c r="K142" s="123"/>
      <c r="L142" s="123"/>
      <c r="M142" s="98"/>
    </row>
    <row r="143" spans="1:13">
      <c r="A143" s="122"/>
      <c r="B143" s="98"/>
      <c r="C143" s="258"/>
      <c r="D143" s="259"/>
      <c r="E143" s="258"/>
      <c r="F143" s="259"/>
      <c r="G143" s="123"/>
      <c r="H143" s="123"/>
      <c r="I143" s="123"/>
      <c r="J143" s="123"/>
      <c r="K143" s="123"/>
      <c r="L143" s="123"/>
      <c r="M143" s="98"/>
    </row>
    <row r="144" spans="1:13">
      <c r="A144" s="122"/>
      <c r="B144" s="98"/>
      <c r="C144" s="258"/>
      <c r="D144" s="259"/>
      <c r="E144" s="258"/>
      <c r="F144" s="259"/>
      <c r="G144" s="123"/>
      <c r="H144" s="123"/>
      <c r="I144" s="123"/>
      <c r="J144" s="123"/>
      <c r="K144" s="123"/>
      <c r="L144" s="123"/>
      <c r="M144" s="98"/>
    </row>
    <row r="145" spans="1:13">
      <c r="A145" s="122"/>
      <c r="B145" s="98"/>
      <c r="C145" s="258"/>
      <c r="D145" s="259"/>
      <c r="E145" s="258"/>
      <c r="F145" s="259"/>
      <c r="G145" s="123"/>
      <c r="H145" s="123"/>
      <c r="I145" s="123"/>
      <c r="J145" s="123"/>
      <c r="K145" s="123"/>
      <c r="L145" s="123"/>
      <c r="M145" s="98"/>
    </row>
    <row r="146" spans="1:13">
      <c r="A146" s="122"/>
      <c r="B146" s="98"/>
      <c r="C146" s="258"/>
      <c r="D146" s="259"/>
      <c r="E146" s="258"/>
      <c r="F146" s="259"/>
      <c r="G146" s="123"/>
      <c r="H146" s="123"/>
      <c r="I146" s="123"/>
      <c r="J146" s="123"/>
      <c r="K146" s="123"/>
      <c r="L146" s="123"/>
      <c r="M146" s="98"/>
    </row>
    <row r="147" spans="1:13">
      <c r="A147" s="122"/>
      <c r="B147" s="98"/>
      <c r="C147" s="258"/>
      <c r="D147" s="259"/>
      <c r="E147" s="258"/>
      <c r="F147" s="259"/>
      <c r="G147" s="123"/>
      <c r="H147" s="123"/>
      <c r="I147" s="123"/>
      <c r="J147" s="123"/>
      <c r="K147" s="123"/>
      <c r="L147" s="123"/>
      <c r="M147" s="98"/>
    </row>
    <row r="148" spans="1:13">
      <c r="A148" s="122"/>
      <c r="B148" s="98"/>
      <c r="C148" s="258"/>
      <c r="D148" s="259"/>
      <c r="E148" s="258"/>
      <c r="F148" s="259"/>
      <c r="G148" s="123"/>
      <c r="H148" s="123"/>
      <c r="I148" s="123"/>
      <c r="J148" s="123"/>
      <c r="K148" s="123"/>
      <c r="L148" s="123"/>
      <c r="M148" s="98"/>
    </row>
    <row r="149" spans="1:13">
      <c r="A149" s="122"/>
      <c r="B149" s="98"/>
      <c r="C149" s="258"/>
      <c r="D149" s="259"/>
      <c r="E149" s="258"/>
      <c r="F149" s="259"/>
      <c r="G149" s="123"/>
      <c r="H149" s="123"/>
      <c r="I149" s="123"/>
      <c r="J149" s="123"/>
      <c r="K149" s="123"/>
      <c r="L149" s="123"/>
      <c r="M149" s="98"/>
    </row>
    <row r="150" spans="1:13">
      <c r="A150" s="122"/>
      <c r="B150" s="98"/>
      <c r="C150" s="258"/>
      <c r="D150" s="259"/>
      <c r="E150" s="258"/>
      <c r="F150" s="259"/>
      <c r="G150" s="123"/>
      <c r="H150" s="123"/>
      <c r="I150" s="123"/>
      <c r="J150" s="123"/>
      <c r="K150" s="123"/>
      <c r="L150" s="123"/>
      <c r="M150" s="98"/>
    </row>
    <row r="151" spans="1:13">
      <c r="A151" s="122"/>
      <c r="B151" s="98"/>
      <c r="C151" s="258"/>
      <c r="D151" s="259"/>
      <c r="E151" s="258"/>
      <c r="F151" s="259"/>
      <c r="G151" s="123"/>
      <c r="H151" s="123"/>
      <c r="I151" s="123"/>
      <c r="J151" s="123"/>
      <c r="K151" s="123"/>
      <c r="L151" s="123"/>
      <c r="M151" s="98"/>
    </row>
    <row r="152" spans="1:13">
      <c r="A152" s="122"/>
      <c r="B152" s="98"/>
      <c r="C152" s="258"/>
      <c r="D152" s="259"/>
      <c r="E152" s="258"/>
      <c r="F152" s="259"/>
      <c r="G152" s="123"/>
      <c r="H152" s="123"/>
      <c r="I152" s="123"/>
      <c r="J152" s="123"/>
      <c r="K152" s="123"/>
      <c r="L152" s="123"/>
      <c r="M152" s="98"/>
    </row>
    <row r="153" spans="1:13">
      <c r="A153" s="122"/>
      <c r="B153" s="98"/>
      <c r="C153" s="258"/>
      <c r="D153" s="259"/>
      <c r="E153" s="258"/>
      <c r="F153" s="259"/>
      <c r="G153" s="123"/>
      <c r="H153" s="123"/>
      <c r="I153" s="123"/>
      <c r="J153" s="123"/>
      <c r="K153" s="123"/>
      <c r="L153" s="123"/>
      <c r="M153" s="98"/>
    </row>
    <row r="154" spans="1:13">
      <c r="A154" s="122"/>
      <c r="B154" s="98"/>
      <c r="C154" s="258"/>
      <c r="D154" s="259"/>
      <c r="E154" s="258"/>
      <c r="F154" s="259"/>
      <c r="G154" s="123"/>
      <c r="H154" s="123"/>
      <c r="I154" s="123"/>
      <c r="J154" s="123"/>
      <c r="K154" s="123"/>
      <c r="L154" s="123"/>
      <c r="M154" s="98"/>
    </row>
    <row r="155" spans="1:13">
      <c r="A155" s="122"/>
      <c r="B155" s="98"/>
      <c r="C155" s="258"/>
      <c r="D155" s="259"/>
      <c r="E155" s="258"/>
      <c r="F155" s="259"/>
      <c r="G155" s="123"/>
      <c r="H155" s="123"/>
      <c r="I155" s="123"/>
      <c r="J155" s="123"/>
      <c r="K155" s="123"/>
      <c r="L155" s="123"/>
      <c r="M155" s="98"/>
    </row>
    <row r="156" spans="1:13">
      <c r="A156" s="122"/>
      <c r="B156" s="98"/>
      <c r="C156" s="258"/>
      <c r="D156" s="259"/>
      <c r="E156" s="258"/>
      <c r="F156" s="259"/>
      <c r="G156" s="123"/>
      <c r="H156" s="123"/>
      <c r="I156" s="123"/>
      <c r="J156" s="123"/>
      <c r="K156" s="123"/>
      <c r="L156" s="123"/>
      <c r="M156" s="98"/>
    </row>
    <row r="157" spans="1:13">
      <c r="A157" s="122"/>
      <c r="B157" s="98"/>
      <c r="C157" s="258"/>
      <c r="D157" s="259"/>
      <c r="E157" s="258"/>
      <c r="F157" s="259"/>
      <c r="G157" s="123"/>
      <c r="H157" s="123"/>
      <c r="I157" s="123"/>
      <c r="J157" s="123"/>
      <c r="K157" s="123"/>
      <c r="L157" s="123"/>
      <c r="M157" s="98"/>
    </row>
    <row r="158" spans="1:13">
      <c r="A158" s="122"/>
      <c r="B158" s="98"/>
      <c r="C158" s="258"/>
      <c r="D158" s="259"/>
      <c r="E158" s="258"/>
      <c r="F158" s="259"/>
      <c r="G158" s="123"/>
      <c r="H158" s="123"/>
      <c r="I158" s="123"/>
      <c r="J158" s="123"/>
      <c r="K158" s="123"/>
      <c r="L158" s="123"/>
      <c r="M158" s="98"/>
    </row>
    <row r="159" spans="1:13">
      <c r="A159" s="122"/>
      <c r="B159" s="98"/>
      <c r="C159" s="258"/>
      <c r="D159" s="259"/>
      <c r="E159" s="258"/>
      <c r="F159" s="259"/>
      <c r="G159" s="123"/>
      <c r="H159" s="123"/>
      <c r="I159" s="123"/>
      <c r="J159" s="123"/>
      <c r="K159" s="123"/>
      <c r="L159" s="123"/>
      <c r="M159" s="98"/>
    </row>
    <row r="160" spans="1:13">
      <c r="A160" s="122"/>
      <c r="B160" s="98"/>
      <c r="C160" s="258"/>
      <c r="D160" s="259"/>
      <c r="E160" s="258"/>
      <c r="F160" s="259"/>
      <c r="G160" s="123"/>
      <c r="H160" s="123"/>
      <c r="I160" s="123"/>
      <c r="J160" s="123"/>
      <c r="K160" s="123"/>
      <c r="L160" s="123"/>
      <c r="M160" s="98"/>
    </row>
    <row r="161" spans="1:13">
      <c r="A161" s="122"/>
      <c r="B161" s="98"/>
      <c r="C161" s="258"/>
      <c r="D161" s="259"/>
      <c r="E161" s="258"/>
      <c r="F161" s="259"/>
      <c r="G161" s="123"/>
      <c r="H161" s="123"/>
      <c r="I161" s="123"/>
      <c r="J161" s="123"/>
      <c r="K161" s="123"/>
      <c r="L161" s="123"/>
      <c r="M161" s="98"/>
    </row>
    <row r="162" spans="1:13">
      <c r="A162" s="122"/>
      <c r="B162" s="98"/>
      <c r="C162" s="258"/>
      <c r="D162" s="259"/>
      <c r="E162" s="258"/>
      <c r="F162" s="259"/>
      <c r="G162" s="123"/>
      <c r="H162" s="123"/>
      <c r="I162" s="123"/>
      <c r="J162" s="123"/>
      <c r="K162" s="123"/>
      <c r="L162" s="123"/>
      <c r="M162" s="98"/>
    </row>
    <row r="163" spans="1:13">
      <c r="A163" s="122"/>
      <c r="B163" s="98"/>
      <c r="C163" s="258"/>
      <c r="D163" s="259"/>
      <c r="E163" s="258"/>
      <c r="F163" s="259"/>
      <c r="G163" s="123"/>
      <c r="H163" s="123"/>
      <c r="I163" s="123"/>
      <c r="J163" s="123"/>
      <c r="K163" s="123"/>
      <c r="L163" s="123"/>
      <c r="M163" s="98"/>
    </row>
    <row r="164" spans="1:13">
      <c r="A164" s="122"/>
      <c r="B164" s="98"/>
      <c r="C164" s="258"/>
      <c r="D164" s="259"/>
      <c r="E164" s="258"/>
      <c r="F164" s="259"/>
      <c r="G164" s="123"/>
      <c r="H164" s="123"/>
      <c r="I164" s="123"/>
      <c r="J164" s="123"/>
      <c r="K164" s="123"/>
      <c r="L164" s="123"/>
      <c r="M164" s="98"/>
    </row>
    <row r="165" spans="1:13">
      <c r="A165" s="122"/>
      <c r="B165" s="98"/>
      <c r="C165" s="258"/>
      <c r="D165" s="259"/>
      <c r="E165" s="258"/>
      <c r="F165" s="259"/>
      <c r="G165" s="123"/>
      <c r="H165" s="123"/>
      <c r="I165" s="123"/>
      <c r="J165" s="123"/>
      <c r="K165" s="123"/>
      <c r="L165" s="123"/>
      <c r="M165" s="98"/>
    </row>
    <row r="166" spans="1:13">
      <c r="A166" s="122"/>
      <c r="B166" s="98"/>
      <c r="C166" s="258"/>
      <c r="D166" s="259"/>
      <c r="E166" s="258"/>
      <c r="F166" s="259"/>
      <c r="G166" s="123"/>
      <c r="H166" s="123"/>
      <c r="I166" s="123"/>
      <c r="J166" s="123"/>
      <c r="K166" s="123"/>
      <c r="L166" s="123"/>
      <c r="M166" s="98"/>
    </row>
    <row r="167" spans="1:13">
      <c r="A167" s="122"/>
      <c r="B167" s="98"/>
      <c r="C167" s="258"/>
      <c r="D167" s="259"/>
      <c r="E167" s="258"/>
      <c r="F167" s="259"/>
      <c r="G167" s="123"/>
      <c r="H167" s="123"/>
      <c r="I167" s="123"/>
      <c r="J167" s="123"/>
      <c r="K167" s="123"/>
      <c r="L167" s="123"/>
      <c r="M167" s="98"/>
    </row>
    <row r="168" spans="1:13">
      <c r="A168" s="122"/>
      <c r="B168" s="98"/>
      <c r="C168" s="258"/>
      <c r="D168" s="259"/>
      <c r="E168" s="258"/>
      <c r="F168" s="259"/>
      <c r="G168" s="123"/>
      <c r="H168" s="123"/>
      <c r="I168" s="123"/>
      <c r="J168" s="123"/>
      <c r="K168" s="123"/>
      <c r="L168" s="123"/>
      <c r="M168" s="98"/>
    </row>
    <row r="169" spans="1:13">
      <c r="A169" s="122"/>
      <c r="B169" s="98"/>
      <c r="C169" s="258"/>
      <c r="D169" s="259"/>
      <c r="E169" s="258"/>
      <c r="F169" s="259"/>
      <c r="G169" s="123"/>
      <c r="H169" s="123"/>
      <c r="I169" s="123"/>
      <c r="J169" s="123"/>
      <c r="K169" s="123"/>
      <c r="L169" s="123"/>
      <c r="M169" s="98"/>
    </row>
    <row r="170" spans="1:13">
      <c r="A170" s="122"/>
      <c r="B170" s="98"/>
      <c r="C170" s="258"/>
      <c r="D170" s="259"/>
      <c r="E170" s="258"/>
      <c r="F170" s="259"/>
      <c r="G170" s="123"/>
      <c r="H170" s="123"/>
      <c r="I170" s="123"/>
      <c r="J170" s="123"/>
      <c r="K170" s="123"/>
      <c r="L170" s="123"/>
      <c r="M170" s="98"/>
    </row>
    <row r="171" spans="1:13">
      <c r="A171" s="122"/>
      <c r="B171" s="98"/>
      <c r="C171" s="258"/>
      <c r="D171" s="259"/>
      <c r="E171" s="258"/>
      <c r="F171" s="259"/>
      <c r="G171" s="123"/>
      <c r="H171" s="123"/>
      <c r="I171" s="123"/>
      <c r="J171" s="123"/>
      <c r="K171" s="123"/>
      <c r="L171" s="123"/>
      <c r="M171" s="98"/>
    </row>
    <row r="172" spans="1:13">
      <c r="A172" s="122"/>
      <c r="B172" s="98"/>
      <c r="C172" s="258"/>
      <c r="D172" s="259"/>
      <c r="E172" s="258"/>
      <c r="F172" s="259"/>
      <c r="G172" s="123"/>
      <c r="H172" s="123"/>
      <c r="I172" s="123"/>
      <c r="J172" s="123"/>
      <c r="K172" s="123"/>
      <c r="L172" s="123"/>
      <c r="M172" s="98"/>
    </row>
    <row r="173" spans="1:13">
      <c r="A173" s="122"/>
      <c r="B173" s="98"/>
      <c r="C173" s="258"/>
      <c r="D173" s="259"/>
      <c r="E173" s="258"/>
      <c r="F173" s="259"/>
      <c r="G173" s="123"/>
      <c r="H173" s="123"/>
      <c r="I173" s="123"/>
      <c r="J173" s="123"/>
      <c r="K173" s="123"/>
      <c r="L173" s="123"/>
      <c r="M173" s="98"/>
    </row>
    <row r="174" spans="1:13">
      <c r="A174" s="122"/>
      <c r="B174" s="98"/>
      <c r="C174" s="258"/>
      <c r="D174" s="259"/>
      <c r="E174" s="258"/>
      <c r="F174" s="259"/>
      <c r="G174" s="123"/>
      <c r="H174" s="123"/>
      <c r="I174" s="123"/>
      <c r="J174" s="123"/>
      <c r="K174" s="123"/>
      <c r="L174" s="123"/>
      <c r="M174" s="98"/>
    </row>
    <row r="175" spans="1:13">
      <c r="A175" s="122"/>
      <c r="B175" s="98"/>
      <c r="C175" s="258"/>
      <c r="D175" s="259"/>
      <c r="E175" s="258"/>
      <c r="F175" s="259"/>
      <c r="G175" s="123"/>
      <c r="H175" s="123"/>
      <c r="I175" s="123"/>
      <c r="J175" s="123"/>
      <c r="K175" s="123"/>
      <c r="L175" s="123"/>
      <c r="M175" s="98"/>
    </row>
    <row r="176" spans="1:13">
      <c r="A176" s="122"/>
      <c r="B176" s="98"/>
      <c r="C176" s="258"/>
      <c r="D176" s="259"/>
      <c r="E176" s="258"/>
      <c r="F176" s="259"/>
      <c r="G176" s="123"/>
      <c r="H176" s="123"/>
      <c r="I176" s="123"/>
      <c r="J176" s="123"/>
      <c r="K176" s="123"/>
      <c r="L176" s="123"/>
      <c r="M176" s="98"/>
    </row>
    <row r="177" spans="1:13">
      <c r="A177" s="122"/>
      <c r="B177" s="98"/>
      <c r="C177" s="258"/>
      <c r="D177" s="259"/>
      <c r="E177" s="258"/>
      <c r="F177" s="259"/>
      <c r="G177" s="123"/>
      <c r="H177" s="123"/>
      <c r="I177" s="123"/>
      <c r="J177" s="123"/>
      <c r="K177" s="123"/>
      <c r="L177" s="123"/>
      <c r="M177" s="98"/>
    </row>
    <row r="178" spans="1:13">
      <c r="A178" s="122"/>
      <c r="B178" s="98"/>
      <c r="C178" s="258"/>
      <c r="D178" s="259"/>
      <c r="E178" s="258"/>
      <c r="F178" s="259"/>
      <c r="G178" s="123"/>
      <c r="H178" s="123"/>
      <c r="I178" s="123"/>
      <c r="J178" s="123"/>
      <c r="K178" s="123"/>
      <c r="L178" s="123"/>
      <c r="M178" s="98"/>
    </row>
    <row r="179" spans="1:13">
      <c r="A179" s="122"/>
      <c r="B179" s="98"/>
      <c r="C179" s="258"/>
      <c r="D179" s="259"/>
      <c r="E179" s="258"/>
      <c r="F179" s="259"/>
      <c r="G179" s="123"/>
      <c r="H179" s="123"/>
      <c r="I179" s="123"/>
      <c r="J179" s="123"/>
      <c r="K179" s="123"/>
      <c r="L179" s="123"/>
      <c r="M179" s="98"/>
    </row>
    <row r="180" spans="1:13">
      <c r="A180" s="122"/>
      <c r="B180" s="98"/>
      <c r="C180" s="258"/>
      <c r="D180" s="259"/>
      <c r="E180" s="258"/>
      <c r="F180" s="259"/>
      <c r="G180" s="123"/>
      <c r="H180" s="123"/>
      <c r="I180" s="123"/>
      <c r="J180" s="123"/>
      <c r="K180" s="123"/>
      <c r="L180" s="123"/>
      <c r="M180" s="98"/>
    </row>
    <row r="181" spans="1:13">
      <c r="A181" s="122"/>
      <c r="B181" s="98"/>
      <c r="C181" s="258"/>
      <c r="D181" s="259"/>
      <c r="E181" s="258"/>
      <c r="F181" s="259"/>
      <c r="G181" s="123"/>
      <c r="H181" s="123"/>
      <c r="I181" s="123"/>
      <c r="J181" s="123"/>
      <c r="K181" s="123"/>
      <c r="L181" s="123"/>
      <c r="M181" s="98"/>
    </row>
    <row r="182" spans="1:13">
      <c r="A182" s="122"/>
      <c r="B182" s="98"/>
      <c r="C182" s="258"/>
      <c r="D182" s="259"/>
      <c r="E182" s="258"/>
      <c r="F182" s="259"/>
      <c r="G182" s="123"/>
      <c r="H182" s="123"/>
      <c r="I182" s="123"/>
      <c r="J182" s="123"/>
      <c r="K182" s="123"/>
      <c r="L182" s="123"/>
      <c r="M182" s="98"/>
    </row>
    <row r="183" spans="1:13">
      <c r="A183" s="122"/>
      <c r="B183" s="98"/>
      <c r="C183" s="258"/>
      <c r="D183" s="259"/>
      <c r="E183" s="258"/>
      <c r="F183" s="259"/>
      <c r="G183" s="123"/>
      <c r="H183" s="123"/>
      <c r="I183" s="123"/>
      <c r="J183" s="123"/>
      <c r="K183" s="123"/>
      <c r="L183" s="123"/>
      <c r="M183" s="98"/>
    </row>
    <row r="184" spans="1:13">
      <c r="A184" s="122"/>
      <c r="B184" s="98"/>
      <c r="C184" s="258"/>
      <c r="D184" s="259"/>
      <c r="E184" s="258"/>
      <c r="F184" s="259"/>
      <c r="G184" s="123"/>
      <c r="H184" s="123"/>
      <c r="I184" s="123"/>
      <c r="J184" s="123"/>
      <c r="K184" s="123"/>
      <c r="L184" s="123"/>
      <c r="M184" s="98"/>
    </row>
    <row r="185" spans="1:13">
      <c r="A185" s="122"/>
      <c r="B185" s="98"/>
      <c r="C185" s="258"/>
      <c r="D185" s="259"/>
      <c r="E185" s="258"/>
      <c r="F185" s="259"/>
      <c r="G185" s="123"/>
      <c r="H185" s="123"/>
      <c r="I185" s="123"/>
      <c r="J185" s="123"/>
      <c r="K185" s="123"/>
      <c r="L185" s="123"/>
      <c r="M185" s="98"/>
    </row>
    <row r="186" spans="1:13">
      <c r="A186" s="122"/>
      <c r="B186" s="98"/>
      <c r="C186" s="258"/>
      <c r="D186" s="259"/>
      <c r="E186" s="258"/>
      <c r="F186" s="259"/>
      <c r="G186" s="123"/>
      <c r="H186" s="123"/>
      <c r="I186" s="123"/>
      <c r="J186" s="123"/>
      <c r="K186" s="123"/>
      <c r="L186" s="123"/>
      <c r="M186" s="98"/>
    </row>
    <row r="187" spans="1:13">
      <c r="A187" s="122"/>
      <c r="B187" s="98"/>
      <c r="C187" s="258"/>
      <c r="D187" s="259"/>
      <c r="E187" s="258"/>
      <c r="F187" s="259"/>
      <c r="G187" s="123"/>
      <c r="H187" s="123"/>
      <c r="I187" s="123"/>
      <c r="J187" s="123"/>
      <c r="K187" s="123"/>
      <c r="L187" s="123"/>
      <c r="M187" s="98"/>
    </row>
    <row r="188" spans="1:13">
      <c r="A188" s="122"/>
      <c r="B188" s="98"/>
      <c r="C188" s="258"/>
      <c r="D188" s="259"/>
      <c r="E188" s="258"/>
      <c r="F188" s="259"/>
      <c r="G188" s="123"/>
      <c r="H188" s="123"/>
      <c r="I188" s="123"/>
      <c r="J188" s="123"/>
      <c r="K188" s="123"/>
      <c r="L188" s="123"/>
      <c r="M188" s="98"/>
    </row>
    <row r="189" spans="1:13">
      <c r="A189" s="122"/>
      <c r="B189" s="98"/>
      <c r="C189" s="258"/>
      <c r="D189" s="259"/>
      <c r="E189" s="258"/>
      <c r="F189" s="259"/>
      <c r="G189" s="123"/>
      <c r="H189" s="123"/>
      <c r="I189" s="123"/>
      <c r="J189" s="123"/>
      <c r="K189" s="123"/>
      <c r="L189" s="123"/>
      <c r="M189" s="98"/>
    </row>
    <row r="190" spans="1:13">
      <c r="A190" s="122"/>
      <c r="B190" s="98"/>
      <c r="C190" s="258"/>
      <c r="D190" s="259"/>
      <c r="E190" s="258"/>
      <c r="F190" s="259"/>
      <c r="G190" s="123"/>
      <c r="H190" s="123"/>
      <c r="I190" s="123"/>
      <c r="J190" s="123"/>
      <c r="K190" s="123"/>
      <c r="L190" s="123"/>
      <c r="M190" s="98"/>
    </row>
    <row r="191" spans="1:13">
      <c r="A191" s="122"/>
      <c r="B191" s="98"/>
      <c r="C191" s="258"/>
      <c r="D191" s="259"/>
      <c r="E191" s="258"/>
      <c r="F191" s="259"/>
      <c r="G191" s="123"/>
      <c r="H191" s="123"/>
      <c r="I191" s="123"/>
      <c r="J191" s="123"/>
      <c r="K191" s="123"/>
      <c r="L191" s="123"/>
      <c r="M191" s="98"/>
    </row>
    <row r="192" spans="1:13">
      <c r="A192" s="122"/>
      <c r="B192" s="98"/>
      <c r="C192" s="258"/>
      <c r="D192" s="259"/>
      <c r="E192" s="258"/>
      <c r="F192" s="259"/>
      <c r="G192" s="123"/>
      <c r="H192" s="123"/>
      <c r="I192" s="123"/>
      <c r="J192" s="123"/>
      <c r="K192" s="123"/>
      <c r="L192" s="123"/>
      <c r="M192" s="98"/>
    </row>
    <row r="193" spans="1:13">
      <c r="A193" s="122"/>
      <c r="B193" s="98"/>
      <c r="C193" s="258"/>
      <c r="D193" s="259"/>
      <c r="E193" s="258"/>
      <c r="F193" s="259"/>
      <c r="G193" s="123"/>
      <c r="H193" s="123"/>
      <c r="I193" s="123"/>
      <c r="J193" s="123"/>
      <c r="K193" s="123"/>
      <c r="L193" s="123"/>
      <c r="M193" s="98"/>
    </row>
    <row r="194" spans="1:13">
      <c r="A194" s="122"/>
      <c r="B194" s="98"/>
      <c r="C194" s="258"/>
      <c r="D194" s="259"/>
      <c r="E194" s="258"/>
      <c r="F194" s="259"/>
      <c r="G194" s="123"/>
      <c r="H194" s="123"/>
      <c r="I194" s="123"/>
      <c r="J194" s="123"/>
      <c r="K194" s="123"/>
      <c r="L194" s="123"/>
      <c r="M194" s="98"/>
    </row>
    <row r="195" spans="1:13">
      <c r="A195" s="122"/>
      <c r="B195" s="98"/>
      <c r="C195" s="258"/>
      <c r="D195" s="259"/>
      <c r="E195" s="258"/>
      <c r="F195" s="259"/>
      <c r="G195" s="123"/>
      <c r="H195" s="123"/>
      <c r="I195" s="123"/>
      <c r="J195" s="123"/>
      <c r="K195" s="123"/>
      <c r="L195" s="123"/>
      <c r="M195" s="98"/>
    </row>
    <row r="196" spans="1:13">
      <c r="A196" s="122"/>
      <c r="B196" s="98"/>
      <c r="C196" s="258"/>
      <c r="D196" s="259"/>
      <c r="E196" s="258"/>
      <c r="F196" s="259"/>
      <c r="G196" s="123"/>
      <c r="H196" s="123"/>
      <c r="I196" s="123"/>
      <c r="J196" s="123"/>
      <c r="K196" s="123"/>
      <c r="L196" s="123"/>
      <c r="M196" s="98"/>
    </row>
    <row r="197" spans="1:13">
      <c r="A197" s="122"/>
      <c r="B197" s="98"/>
      <c r="C197" s="258"/>
      <c r="D197" s="259"/>
      <c r="E197" s="258"/>
      <c r="F197" s="259"/>
      <c r="G197" s="123"/>
      <c r="H197" s="123"/>
      <c r="I197" s="123"/>
      <c r="J197" s="123"/>
      <c r="K197" s="123"/>
      <c r="L197" s="123"/>
      <c r="M197" s="98"/>
    </row>
    <row r="198" spans="1:13">
      <c r="A198" s="122"/>
      <c r="B198" s="98"/>
      <c r="C198" s="258"/>
      <c r="D198" s="259"/>
      <c r="E198" s="258"/>
      <c r="F198" s="259"/>
      <c r="G198" s="123"/>
      <c r="H198" s="123"/>
      <c r="I198" s="123"/>
      <c r="J198" s="123"/>
      <c r="K198" s="123"/>
      <c r="L198" s="123"/>
      <c r="M198" s="98"/>
    </row>
    <row r="199" spans="1:13">
      <c r="A199" s="122"/>
      <c r="B199" s="98"/>
      <c r="C199" s="258"/>
      <c r="D199" s="259"/>
      <c r="E199" s="258"/>
      <c r="F199" s="259"/>
      <c r="G199" s="123"/>
      <c r="H199" s="123"/>
      <c r="I199" s="123"/>
      <c r="J199" s="123"/>
      <c r="K199" s="123"/>
      <c r="L199" s="123"/>
      <c r="M199" s="98"/>
    </row>
    <row r="200" spans="1:13">
      <c r="A200" s="122"/>
      <c r="B200" s="98"/>
      <c r="C200" s="258"/>
      <c r="D200" s="259"/>
      <c r="E200" s="258"/>
      <c r="F200" s="259"/>
      <c r="G200" s="123"/>
      <c r="H200" s="123"/>
      <c r="I200" s="123"/>
      <c r="J200" s="123"/>
      <c r="K200" s="123"/>
      <c r="L200" s="123"/>
      <c r="M200" s="98"/>
    </row>
  </sheetData>
  <mergeCells count="2">
    <mergeCell ref="A2:M2"/>
    <mergeCell ref="A1:M1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D9B45B"/>
  </sheetPr>
  <dimension ref="A1:O20"/>
  <sheetViews>
    <sheetView workbookViewId="0"/>
  </sheetViews>
  <sheetFormatPr baseColWidth="10" defaultColWidth="8.7265625" defaultRowHeight="14.5"/>
  <cols>
    <col min="1" max="1" width="22" customWidth="1"/>
    <col min="2" max="2" width="14" customWidth="1"/>
    <col min="3" max="3" width="10" customWidth="1"/>
    <col min="4" max="4" width="14" customWidth="1"/>
    <col min="5" max="11" width="16" customWidth="1"/>
    <col min="12" max="12" width="14" customWidth="1"/>
    <col min="13" max="13" width="26" customWidth="1"/>
    <col min="14" max="14" width="12" customWidth="1"/>
    <col min="15" max="15" width="16" customWidth="1"/>
  </cols>
  <sheetData>
    <row r="1" spans="1:15" ht="18.5">
      <c r="A1" s="453" t="s">
        <v>1699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</row>
    <row r="2" spans="1:15">
      <c r="A2" s="452" t="s">
        <v>1700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</row>
    <row r="4" spans="1:15" ht="29">
      <c r="A4" s="257" t="s">
        <v>79</v>
      </c>
      <c r="B4" s="257" t="s">
        <v>1669</v>
      </c>
      <c r="C4" s="257" t="s">
        <v>1395</v>
      </c>
      <c r="D4" s="257" t="s">
        <v>1701</v>
      </c>
      <c r="E4" s="257" t="s">
        <v>1702</v>
      </c>
      <c r="F4" s="257" t="s">
        <v>1703</v>
      </c>
      <c r="G4" s="257" t="s">
        <v>1704</v>
      </c>
      <c r="H4" s="257" t="s">
        <v>1705</v>
      </c>
      <c r="I4" s="257" t="s">
        <v>1706</v>
      </c>
      <c r="J4" s="257" t="s">
        <v>1707</v>
      </c>
      <c r="K4" s="257" t="s">
        <v>1708</v>
      </c>
      <c r="L4" s="257" t="s">
        <v>1709</v>
      </c>
      <c r="M4" s="257" t="s">
        <v>1710</v>
      </c>
      <c r="N4" s="257" t="s">
        <v>655</v>
      </c>
      <c r="O4" s="257" t="s">
        <v>1711</v>
      </c>
    </row>
    <row r="5" spans="1:15" ht="19.399999999999999" customHeight="1">
      <c r="A5" s="98" t="s">
        <v>1633</v>
      </c>
      <c r="B5" s="98" t="s">
        <v>1674</v>
      </c>
      <c r="C5" s="98" t="s">
        <v>1635</v>
      </c>
      <c r="D5" s="260">
        <f>IF(B5="ETF",SUMIFS('14_Inversiones'!$F:$F,'14_Inversiones'!$B:$B,A5,'14_Inversiones'!$C:$C,"Compra")-SUMIFS('14_Inversiones'!$F:$F,'14_Inversiones'!$B:$B,A5,'14_Inversiones'!$C:$C,"Venta"),"")</f>
        <v>2.3522558127180266</v>
      </c>
      <c r="E5" s="259">
        <f>IF(B5="ETF",SUMIFS('14_Inversiones'!$E:$E,'14_Inversiones'!$B:$B,A5,'14_Inversiones'!$C:$C,"Compra")-SUMIFS('14_Inversiones'!$E:$E,'14_Inversiones'!$B:$B,A5,'14_Inversiones'!$C:$C,"Venta"),IF(A5="Caja",IFERROR(LOOKUP(2,1/('15_Historial_Diario'!$J$5:$J$100&lt;&gt;""),'15_Historial_Diario'!$J$5:$J$100),0),SUMIFS('14_Inversiones'!$E:$E,'14_Inversiones'!$B:$B,A5,'14_Inversiones'!$C:$C,"Aporte")+SUMIFS('14_Inversiones'!$E:$E,'14_Inversiones'!$B:$B,A5,'14_Inversiones'!$C:$C,"Ajuste")-SUMIFS('14_Inversiones'!$E:$E,'14_Inversiones'!$B:$B,A5,'14_Inversiones'!$C:$C,"Retiro")))</f>
        <v>176.37</v>
      </c>
      <c r="F5" s="259">
        <f>IF(C5="USD",E5*IFERROR(LOOKUP(2,1/('15_Historial_Diario'!$K$5:$K$100&lt;&gt;""),'15_Historial_Diario'!$K$5:$K$100),950),E5)</f>
        <v>167551.5</v>
      </c>
      <c r="G5" s="259">
        <f t="shared" ref="G5:G10" si="0">IF(B5="ETF",IFERROR(E5/D5,0),"")</f>
        <v>74.9790898789213</v>
      </c>
      <c r="H5" s="259">
        <f>IF(A5="TQQQ",IFERROR(LOOKUP(2,1/('15_Historial_Diario'!$D$5:$D$100&lt;&gt;""),'15_Historial_Diario'!$D$5:$D$100),""),IF(A5="SOXX",IFERROR(LOOKUP(2,1/('15_Historial_Diario'!$F$5:$F$100&lt;&gt;""),'15_Historial_Diario'!$F$5:$F$100),""),""))</f>
        <v>77.22</v>
      </c>
      <c r="I5" s="259">
        <f t="shared" ref="I5:I10" si="1">IF(B5="ETF",IF(H5&lt;&gt;"",D5*H5,""),"")</f>
        <v>181.64119385808601</v>
      </c>
      <c r="J5" s="259">
        <f>IF(I5&lt;&gt;"",I5*IFERROR(LOOKUP(2,1/('15_Historial_Diario'!$K$5:$K$100&lt;&gt;""),'15_Historial_Diario'!$K$5:$K$100),950),"")</f>
        <v>172559.13416518172</v>
      </c>
      <c r="K5" s="259">
        <f t="shared" ref="K5:K10" si="2">IF(J5&lt;&gt;"",J5-F5,"")</f>
        <v>5007.6341651817202</v>
      </c>
      <c r="L5" s="258">
        <f t="shared" ref="L5:L10" si="3">IFERROR(K5/F5,0)</f>
        <v>2.9887134195645638E-2</v>
      </c>
      <c r="M5" s="98" t="str">
        <f t="shared" ref="M5:M10" si="4">"14_Inversiones + 15_Historial_Diario"</f>
        <v>14_Inversiones + 15_Historial_Diario</v>
      </c>
      <c r="N5" s="98" t="str">
        <f t="shared" ref="N5:N10" si="5">IF(J5&gt;0,"Activo","Sin datos")</f>
        <v>Activo</v>
      </c>
      <c r="O5" s="122">
        <f>IFERROR(LOOKUP(2,1/('15_Historial_Diario'!$A$5:$A$100&lt;&gt;""),'15_Historial_Diario'!$A$5:$A$100),"")</f>
        <v>46203</v>
      </c>
    </row>
    <row r="6" spans="1:15" ht="19.399999999999999" customHeight="1">
      <c r="A6" s="98" t="s">
        <v>1642</v>
      </c>
      <c r="B6" s="98" t="s">
        <v>1674</v>
      </c>
      <c r="C6" s="98" t="s">
        <v>1635</v>
      </c>
      <c r="D6" s="260">
        <f>IF(B6="ETF",SUMIFS('14_Inversiones'!$F:$F,'14_Inversiones'!$B:$B,A6,'14_Inversiones'!$C:$C,"Compra")-SUMIFS('14_Inversiones'!$F:$F,'14_Inversiones'!$B:$B,A6,'14_Inversiones'!$C:$C,"Venta"),"")</f>
        <v>0.10615418598056069</v>
      </c>
      <c r="E6" s="259">
        <f>IF(B6="ETF",SUMIFS('14_Inversiones'!$E:$E,'14_Inversiones'!$B:$B,A6,'14_Inversiones'!$C:$C,"Compra")-SUMIFS('14_Inversiones'!$E:$E,'14_Inversiones'!$B:$B,A6,'14_Inversiones'!$C:$C,"Venta"),IF(A6="Caja",IFERROR(LOOKUP(2,1/('15_Historial_Diario'!$J$5:$J$100&lt;&gt;""),'15_Historial_Diario'!$J$5:$J$100),0),SUMIFS('14_Inversiones'!$E:$E,'14_Inversiones'!$B:$B,A6,'14_Inversiones'!$C:$C,"Aporte")+SUMIFS('14_Inversiones'!$E:$E,'14_Inversiones'!$B:$B,A6,'14_Inversiones'!$C:$C,"Ajuste")-SUMIFS('14_Inversiones'!$E:$E,'14_Inversiones'!$B:$B,A6,'14_Inversiones'!$C:$C,"Retiro")))</f>
        <v>54.6</v>
      </c>
      <c r="F6" s="259">
        <f>IF(C6="USD",E6*IFERROR(LOOKUP(2,1/('15_Historial_Diario'!$K$5:$K$100&lt;&gt;""),'15_Historial_Diario'!$K$5:$K$100),950),E6)</f>
        <v>51870</v>
      </c>
      <c r="G6" s="259">
        <f t="shared" si="0"/>
        <v>514.3461795279419</v>
      </c>
      <c r="H6" s="259">
        <f>IF(A6="TQQQ",IFERROR(LOOKUP(2,1/('15_Historial_Diario'!$D$5:$D$100&lt;&gt;""),'15_Historial_Diario'!$D$5:$D$100),""),IF(A6="SOXX",IFERROR(LOOKUP(2,1/('15_Historial_Diario'!$F$5:$F$100&lt;&gt;""),'15_Historial_Diario'!$F$5:$F$100),""),""))</f>
        <v>615.34</v>
      </c>
      <c r="I6" s="259">
        <f t="shared" si="1"/>
        <v>65.320916801278216</v>
      </c>
      <c r="J6" s="259">
        <f>IF(I6&lt;&gt;"",I6*IFERROR(LOOKUP(2,1/('15_Historial_Diario'!$K$5:$K$100&lt;&gt;""),'15_Historial_Diario'!$K$5:$K$100),950),"")</f>
        <v>62054.870961214307</v>
      </c>
      <c r="K6" s="259">
        <f t="shared" si="2"/>
        <v>10184.870961214307</v>
      </c>
      <c r="L6" s="258">
        <f t="shared" si="3"/>
        <v>0.19635378756919813</v>
      </c>
      <c r="M6" s="98" t="str">
        <f t="shared" si="4"/>
        <v>14_Inversiones + 15_Historial_Diario</v>
      </c>
      <c r="N6" s="98" t="str">
        <f t="shared" si="5"/>
        <v>Activo</v>
      </c>
      <c r="O6" s="122">
        <f>IFERROR(LOOKUP(2,1/('15_Historial_Diario'!$A$5:$A$100&lt;&gt;""),'15_Historial_Diario'!$A$5:$A$100),"")</f>
        <v>46203</v>
      </c>
    </row>
    <row r="7" spans="1:15" ht="19.399999999999999" customHeight="1">
      <c r="A7" s="98" t="s">
        <v>1656</v>
      </c>
      <c r="B7" s="98" t="s">
        <v>1679</v>
      </c>
      <c r="C7" s="98" t="s">
        <v>1402</v>
      </c>
      <c r="D7" s="260" t="str">
        <f>IF(B7="ETF",SUMIFS('14_Inversiones'!$F:$F,'14_Inversiones'!$B:$B,A7,'14_Inversiones'!$C:$C,"Compra")-SUMIFS('14_Inversiones'!$F:$F,'14_Inversiones'!$B:$B,A7,'14_Inversiones'!$C:$C,"Venta"),"")</f>
        <v/>
      </c>
      <c r="E7" s="259">
        <f>IF(B7="ETF",SUMIFS('14_Inversiones'!$E:$E,'14_Inversiones'!$B:$B,A7,'14_Inversiones'!$C:$C,"Compra")-SUMIFS('14_Inversiones'!$E:$E,'14_Inversiones'!$B:$B,A7,'14_Inversiones'!$C:$C,"Venta"),IF(A7="Caja",IFERROR(LOOKUP(2,1/('15_Historial_Diario'!$J$5:$J$100&lt;&gt;""),'15_Historial_Diario'!$J$5:$J$100),0),SUMIFS('14_Inversiones'!$E:$E,'14_Inversiones'!$B:$B,A7,'14_Inversiones'!$C:$C,"Aporte")+SUMIFS('14_Inversiones'!$E:$E,'14_Inversiones'!$B:$B,A7,'14_Inversiones'!$C:$C,"Ajuste")-SUMIFS('14_Inversiones'!$E:$E,'14_Inversiones'!$B:$B,A7,'14_Inversiones'!$C:$C,"Retiro")))</f>
        <v>-15000</v>
      </c>
      <c r="F7" s="259">
        <f>IF(C7="USD",E7*IFERROR(LOOKUP(2,1/('15_Historial_Diario'!$K$5:$K$100&lt;&gt;""),'15_Historial_Diario'!$K$5:$K$100),950),E7)</f>
        <v>-15000</v>
      </c>
      <c r="G7" s="259" t="str">
        <f t="shared" si="0"/>
        <v/>
      </c>
      <c r="H7" s="259" t="str">
        <f>""</f>
        <v/>
      </c>
      <c r="I7" s="259" t="str">
        <f t="shared" si="1"/>
        <v/>
      </c>
      <c r="J7" s="259">
        <f>IFERROR(LOOKUP(2,1/('15_Historial_Diario'!$G$5:$G$100&lt;&gt;""),'15_Historial_Diario'!$G$5:$G$100),F7)</f>
        <v>1064</v>
      </c>
      <c r="K7" s="259">
        <f t="shared" si="2"/>
        <v>16064</v>
      </c>
      <c r="L7" s="258">
        <f t="shared" si="3"/>
        <v>-1.0709333333333333</v>
      </c>
      <c r="M7" s="98" t="str">
        <f t="shared" si="4"/>
        <v>14_Inversiones + 15_Historial_Diario</v>
      </c>
      <c r="N7" s="98" t="str">
        <f t="shared" si="5"/>
        <v>Activo</v>
      </c>
      <c r="O7" s="122">
        <f>IFERROR(LOOKUP(2,1/('15_Historial_Diario'!$A$5:$A$100&lt;&gt;""),'15_Historial_Diario'!$A$5:$A$100),"")</f>
        <v>46203</v>
      </c>
    </row>
    <row r="8" spans="1:15" ht="19.399999999999999" customHeight="1">
      <c r="A8" s="98" t="s">
        <v>1646</v>
      </c>
      <c r="B8" s="98" t="s">
        <v>1681</v>
      </c>
      <c r="C8" s="98" t="s">
        <v>1402</v>
      </c>
      <c r="D8" s="260" t="str">
        <f>IF(B8="ETF",SUMIFS('14_Inversiones'!$F:$F,'14_Inversiones'!$B:$B,A8,'14_Inversiones'!$C:$C,"Compra")-SUMIFS('14_Inversiones'!$F:$F,'14_Inversiones'!$B:$B,A8,'14_Inversiones'!$C:$C,"Venta"),"")</f>
        <v/>
      </c>
      <c r="E8" s="259">
        <f>IF(B8="ETF",SUMIFS('14_Inversiones'!$E:$E,'14_Inversiones'!$B:$B,A8,'14_Inversiones'!$C:$C,"Compra")-SUMIFS('14_Inversiones'!$E:$E,'14_Inversiones'!$B:$B,A8,'14_Inversiones'!$C:$C,"Venta"),IF(A8="Caja",IFERROR(LOOKUP(2,1/('15_Historial_Diario'!$J$5:$J$100&lt;&gt;""),'15_Historial_Diario'!$J$5:$J$100),0),SUMIFS('14_Inversiones'!$E:$E,'14_Inversiones'!$B:$B,A8,'14_Inversiones'!$C:$C,"Aporte")+SUMIFS('14_Inversiones'!$E:$E,'14_Inversiones'!$B:$B,A8,'14_Inversiones'!$C:$C,"Ajuste")-SUMIFS('14_Inversiones'!$E:$E,'14_Inversiones'!$B:$B,A8,'14_Inversiones'!$C:$C,"Retiro")))</f>
        <v>16000</v>
      </c>
      <c r="F8" s="259">
        <f>IF(C8="USD",E8*IFERROR(LOOKUP(2,1/('15_Historial_Diario'!$K$5:$K$100&lt;&gt;""),'15_Historial_Diario'!$K$5:$K$100),950),E8)</f>
        <v>16000</v>
      </c>
      <c r="G8" s="259" t="str">
        <f t="shared" si="0"/>
        <v/>
      </c>
      <c r="H8" s="259" t="str">
        <f>""</f>
        <v/>
      </c>
      <c r="I8" s="259" t="str">
        <f t="shared" si="1"/>
        <v/>
      </c>
      <c r="J8" s="259">
        <f>IFERROR(LOOKUP(2,1/('15_Historial_Diario'!$H$5:$H$100&lt;&gt;""),'15_Historial_Diario'!$H$5:$H$100),F8)</f>
        <v>535</v>
      </c>
      <c r="K8" s="259">
        <f t="shared" si="2"/>
        <v>-15465</v>
      </c>
      <c r="L8" s="258">
        <f t="shared" si="3"/>
        <v>-0.96656249999999999</v>
      </c>
      <c r="M8" s="98" t="str">
        <f t="shared" si="4"/>
        <v>14_Inversiones + 15_Historial_Diario</v>
      </c>
      <c r="N8" s="98" t="str">
        <f t="shared" si="5"/>
        <v>Activo</v>
      </c>
      <c r="O8" s="122">
        <f>IFERROR(LOOKUP(2,1/('15_Historial_Diario'!$A$5:$A$100&lt;&gt;""),'15_Historial_Diario'!$A$5:$A$100),"")</f>
        <v>46203</v>
      </c>
    </row>
    <row r="9" spans="1:15" ht="19.399999999999999" customHeight="1">
      <c r="A9" s="98" t="s">
        <v>1654</v>
      </c>
      <c r="B9" s="98" t="s">
        <v>1681</v>
      </c>
      <c r="C9" s="98" t="s">
        <v>1402</v>
      </c>
      <c r="D9" s="260" t="str">
        <f>IF(B9="ETF",SUMIFS('14_Inversiones'!$F:$F,'14_Inversiones'!$B:$B,A9,'14_Inversiones'!$C:$C,"Compra")-SUMIFS('14_Inversiones'!$F:$F,'14_Inversiones'!$B:$B,A9,'14_Inversiones'!$C:$C,"Venta"),"")</f>
        <v/>
      </c>
      <c r="E9" s="259">
        <f>IF(B9="ETF",SUMIFS('14_Inversiones'!$E:$E,'14_Inversiones'!$B:$B,A9,'14_Inversiones'!$C:$C,"Compra")-SUMIFS('14_Inversiones'!$E:$E,'14_Inversiones'!$B:$B,A9,'14_Inversiones'!$C:$C,"Venta"),IF(A9="Caja",IFERROR(LOOKUP(2,1/('15_Historial_Diario'!$J$5:$J$100&lt;&gt;""),'15_Historial_Diario'!$J$5:$J$100),0),SUMIFS('14_Inversiones'!$E:$E,'14_Inversiones'!$B:$B,A9,'14_Inversiones'!$C:$C,"Aporte")+SUMIFS('14_Inversiones'!$E:$E,'14_Inversiones'!$B:$B,A9,'14_Inversiones'!$C:$C,"Ajuste")-SUMIFS('14_Inversiones'!$E:$E,'14_Inversiones'!$B:$B,A9,'14_Inversiones'!$C:$C,"Retiro")))</f>
        <v>19966.580000000002</v>
      </c>
      <c r="F9" s="259">
        <f>IF(C9="USD",E9*IFERROR(LOOKUP(2,1/('15_Historial_Diario'!$K$5:$K$100&lt;&gt;""),'15_Historial_Diario'!$K$5:$K$100),950),E9)</f>
        <v>19966.580000000002</v>
      </c>
      <c r="G9" s="259" t="str">
        <f t="shared" si="0"/>
        <v/>
      </c>
      <c r="H9" s="259" t="str">
        <f>""</f>
        <v/>
      </c>
      <c r="I9" s="259" t="str">
        <f t="shared" si="1"/>
        <v/>
      </c>
      <c r="J9" s="259">
        <f>IFERROR(LOOKUP(2,1/('15_Historial_Diario'!$I$5:$I$100&lt;&gt;""),'15_Historial_Diario'!$I$5:$I$100),F9)</f>
        <v>86</v>
      </c>
      <c r="K9" s="259">
        <f t="shared" si="2"/>
        <v>-19880.580000000002</v>
      </c>
      <c r="L9" s="258">
        <f t="shared" si="3"/>
        <v>-0.99569280267326699</v>
      </c>
      <c r="M9" s="98" t="str">
        <f t="shared" si="4"/>
        <v>14_Inversiones + 15_Historial_Diario</v>
      </c>
      <c r="N9" s="98" t="str">
        <f t="shared" si="5"/>
        <v>Activo</v>
      </c>
      <c r="O9" s="122">
        <f>IFERROR(LOOKUP(2,1/('15_Historial_Diario'!$A$5:$A$100&lt;&gt;""),'15_Historial_Diario'!$A$5:$A$100),"")</f>
        <v>46203</v>
      </c>
    </row>
    <row r="10" spans="1:15" ht="19.399999999999999" customHeight="1">
      <c r="A10" s="98" t="s">
        <v>353</v>
      </c>
      <c r="B10" s="98" t="s">
        <v>353</v>
      </c>
      <c r="C10" s="98" t="s">
        <v>1402</v>
      </c>
      <c r="D10" s="260" t="str">
        <f>IF(B10="ETF",SUMIFS('14_Inversiones'!$F:$F,'14_Inversiones'!$B:$B,A10,'14_Inversiones'!$C:$C,"Compra")-SUMIFS('14_Inversiones'!$F:$F,'14_Inversiones'!$B:$B,A10,'14_Inversiones'!$C:$C,"Venta"),"")</f>
        <v/>
      </c>
      <c r="E10" s="259">
        <f>IF(B10="ETF",SUMIFS('14_Inversiones'!$E:$E,'14_Inversiones'!$B:$B,A10,'14_Inversiones'!$C:$C,"Compra")-SUMIFS('14_Inversiones'!$E:$E,'14_Inversiones'!$B:$B,A10,'14_Inversiones'!$C:$C,"Venta"),IF(A10="Caja",IFERROR(LOOKUP(2,1/('15_Historial_Diario'!$J$5:$J$100&lt;&gt;""),'15_Historial_Diario'!$J$5:$J$100),0),SUMIFS('14_Inversiones'!$E:$E,'14_Inversiones'!$B:$B,A10,'14_Inversiones'!$C:$C,"Aporte")+SUMIFS('14_Inversiones'!$E:$E,'14_Inversiones'!$B:$B,A10,'14_Inversiones'!$C:$C,"Ajuste")-SUMIFS('14_Inversiones'!$E:$E,'14_Inversiones'!$B:$B,A10,'14_Inversiones'!$C:$C,"Retiro")))</f>
        <v>0</v>
      </c>
      <c r="F10" s="259">
        <f>IF(C10="USD",E10*IFERROR(LOOKUP(2,1/('15_Historial_Diario'!$K$5:$K$100&lt;&gt;""),'15_Historial_Diario'!$K$5:$K$100),950),E10)</f>
        <v>0</v>
      </c>
      <c r="G10" s="259" t="str">
        <f t="shared" si="0"/>
        <v/>
      </c>
      <c r="H10" s="259" t="str">
        <f>""</f>
        <v/>
      </c>
      <c r="I10" s="259" t="str">
        <f t="shared" si="1"/>
        <v/>
      </c>
      <c r="J10" s="259">
        <f>IFERROR(LOOKUP(2,1/('15_Historial_Diario'!$J$5:$J$100&lt;&gt;""),'15_Historial_Diario'!$J$5:$J$100),F10)</f>
        <v>0</v>
      </c>
      <c r="K10" s="259">
        <f t="shared" si="2"/>
        <v>0</v>
      </c>
      <c r="L10" s="258">
        <f t="shared" si="3"/>
        <v>0</v>
      </c>
      <c r="M10" s="98" t="str">
        <f t="shared" si="4"/>
        <v>14_Inversiones + 15_Historial_Diario</v>
      </c>
      <c r="N10" s="98" t="str">
        <f t="shared" si="5"/>
        <v>Sin datos</v>
      </c>
      <c r="O10" s="122">
        <f>IFERROR(LOOKUP(2,1/('15_Historial_Diario'!$A$5:$A$100&lt;&gt;""),'15_Historial_Diario'!$A$5:$A$100),"")</f>
        <v>46203</v>
      </c>
    </row>
    <row r="11" spans="1:15">
      <c r="A11" s="98"/>
      <c r="B11" s="98"/>
      <c r="C11" s="98"/>
      <c r="D11" s="260"/>
      <c r="E11" s="259"/>
      <c r="F11" s="259"/>
      <c r="G11" s="259"/>
      <c r="H11" s="259"/>
      <c r="I11" s="259"/>
      <c r="J11" s="259"/>
      <c r="K11" s="259"/>
      <c r="L11" s="258"/>
      <c r="M11" s="98"/>
      <c r="N11" s="98"/>
      <c r="O11" s="122"/>
    </row>
    <row r="12" spans="1:15">
      <c r="A12" s="98"/>
      <c r="B12" s="98"/>
      <c r="C12" s="98"/>
      <c r="D12" s="260"/>
      <c r="E12" s="259"/>
      <c r="F12" s="259"/>
      <c r="G12" s="259"/>
      <c r="H12" s="259"/>
      <c r="I12" s="259"/>
      <c r="J12" s="259"/>
      <c r="K12" s="259"/>
      <c r="L12" s="258"/>
      <c r="M12" s="98"/>
      <c r="N12" s="98"/>
      <c r="O12" s="122"/>
    </row>
    <row r="13" spans="1:15">
      <c r="A13" s="98"/>
      <c r="B13" s="98"/>
      <c r="C13" s="98"/>
      <c r="D13" s="260"/>
      <c r="E13" s="259"/>
      <c r="F13" s="259"/>
      <c r="G13" s="259"/>
      <c r="H13" s="259"/>
      <c r="I13" s="259"/>
      <c r="J13" s="259"/>
      <c r="K13" s="259"/>
      <c r="L13" s="258"/>
      <c r="M13" s="98"/>
      <c r="N13" s="98"/>
      <c r="O13" s="122"/>
    </row>
    <row r="14" spans="1:15">
      <c r="A14" s="98"/>
      <c r="B14" s="98"/>
      <c r="C14" s="98"/>
      <c r="D14" s="260"/>
      <c r="E14" s="259"/>
      <c r="F14" s="259"/>
      <c r="G14" s="259"/>
      <c r="H14" s="259"/>
      <c r="I14" s="259"/>
      <c r="J14" s="259"/>
      <c r="K14" s="259"/>
      <c r="L14" s="258"/>
      <c r="M14" s="98"/>
      <c r="N14" s="98"/>
      <c r="O14" s="122"/>
    </row>
    <row r="15" spans="1:15">
      <c r="A15" s="98"/>
      <c r="B15" s="98"/>
      <c r="C15" s="98"/>
      <c r="D15" s="260"/>
      <c r="E15" s="259"/>
      <c r="F15" s="259"/>
      <c r="G15" s="259"/>
      <c r="H15" s="259"/>
      <c r="I15" s="259"/>
      <c r="J15" s="259"/>
      <c r="K15" s="259"/>
      <c r="L15" s="258"/>
      <c r="M15" s="98"/>
      <c r="N15" s="98"/>
      <c r="O15" s="122"/>
    </row>
    <row r="16" spans="1:15">
      <c r="A16" s="98"/>
      <c r="B16" s="98"/>
      <c r="C16" s="98"/>
      <c r="D16" s="260"/>
      <c r="E16" s="259"/>
      <c r="F16" s="259"/>
      <c r="G16" s="259"/>
      <c r="H16" s="259"/>
      <c r="I16" s="259"/>
      <c r="J16" s="259"/>
      <c r="K16" s="259"/>
      <c r="L16" s="258"/>
      <c r="M16" s="98"/>
      <c r="N16" s="98"/>
      <c r="O16" s="122"/>
    </row>
    <row r="17" spans="1:15">
      <c r="A17" s="98"/>
      <c r="B17" s="98"/>
      <c r="C17" s="98"/>
      <c r="D17" s="260"/>
      <c r="E17" s="259"/>
      <c r="F17" s="259"/>
      <c r="G17" s="259"/>
      <c r="H17" s="259"/>
      <c r="I17" s="259"/>
      <c r="J17" s="259"/>
      <c r="K17" s="259"/>
      <c r="L17" s="258"/>
      <c r="M17" s="98"/>
      <c r="N17" s="98"/>
      <c r="O17" s="122"/>
    </row>
    <row r="18" spans="1:15">
      <c r="A18" s="98"/>
      <c r="B18" s="98"/>
      <c r="C18" s="98"/>
      <c r="D18" s="260"/>
      <c r="E18" s="259"/>
      <c r="F18" s="259"/>
      <c r="G18" s="259"/>
      <c r="H18" s="259"/>
      <c r="I18" s="259"/>
      <c r="J18" s="259"/>
      <c r="K18" s="259"/>
      <c r="L18" s="258"/>
      <c r="M18" s="98"/>
      <c r="N18" s="98"/>
      <c r="O18" s="122"/>
    </row>
    <row r="19" spans="1:15">
      <c r="A19" s="98"/>
      <c r="B19" s="98"/>
      <c r="C19" s="98"/>
      <c r="D19" s="260"/>
      <c r="E19" s="259"/>
      <c r="F19" s="259"/>
      <c r="G19" s="259"/>
      <c r="H19" s="259"/>
      <c r="I19" s="259"/>
      <c r="J19" s="259"/>
      <c r="K19" s="259"/>
      <c r="L19" s="258"/>
      <c r="M19" s="98"/>
      <c r="N19" s="98"/>
      <c r="O19" s="122"/>
    </row>
    <row r="20" spans="1:15">
      <c r="A20" s="98"/>
      <c r="B20" s="98"/>
      <c r="C20" s="98"/>
      <c r="D20" s="260"/>
      <c r="E20" s="259"/>
      <c r="F20" s="259"/>
      <c r="G20" s="259"/>
      <c r="H20" s="259"/>
      <c r="I20" s="259"/>
      <c r="J20" s="259"/>
      <c r="K20" s="259"/>
      <c r="L20" s="258"/>
      <c r="M20" s="98"/>
      <c r="N20" s="98"/>
      <c r="O20" s="122"/>
    </row>
  </sheetData>
  <mergeCells count="2">
    <mergeCell ref="A1:O1"/>
    <mergeCell ref="A2:O2"/>
  </mergeCells>
  <conditionalFormatting sqref="K5:L10">
    <cfRule type="expression" dxfId="806" priority="1">
      <formula>K5&lt;0</formula>
    </cfRule>
    <cfRule type="expression" dxfId="805" priority="2">
      <formula>K5&gt;0</formula>
    </cfRule>
  </conditionalFormatting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D9B45B"/>
  </sheetPr>
  <dimension ref="A1:H28"/>
  <sheetViews>
    <sheetView workbookViewId="0"/>
  </sheetViews>
  <sheetFormatPr baseColWidth="10" defaultColWidth="8.7265625" defaultRowHeight="14.5"/>
  <cols>
    <col min="1" max="1" width="24" customWidth="1"/>
    <col min="2" max="3" width="18" customWidth="1"/>
    <col min="4" max="4" width="24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ht="5.5" customHeight="1">
      <c r="A1" s="453" t="s">
        <v>1712</v>
      </c>
      <c r="B1" s="426"/>
      <c r="C1" s="426"/>
      <c r="D1" s="426"/>
      <c r="E1" s="426"/>
      <c r="F1" s="426"/>
      <c r="G1" s="426"/>
      <c r="H1" s="426"/>
    </row>
    <row r="2" spans="1:8">
      <c r="A2" s="452" t="s">
        <v>1713</v>
      </c>
      <c r="B2" s="426"/>
      <c r="C2" s="426"/>
      <c r="D2" s="426"/>
      <c r="E2" s="426"/>
      <c r="F2" s="426"/>
      <c r="G2" s="426"/>
      <c r="H2" s="426"/>
    </row>
    <row r="4" spans="1:8">
      <c r="A4" s="257" t="s">
        <v>1300</v>
      </c>
      <c r="B4" s="257" t="s">
        <v>7</v>
      </c>
      <c r="C4" s="98"/>
      <c r="D4" s="257" t="s">
        <v>79</v>
      </c>
      <c r="E4" s="257" t="s">
        <v>1669</v>
      </c>
      <c r="F4" s="257" t="s">
        <v>1398</v>
      </c>
      <c r="G4" s="257" t="s">
        <v>1714</v>
      </c>
      <c r="H4" s="98"/>
    </row>
    <row r="5" spans="1:8">
      <c r="A5" s="98" t="s">
        <v>1715</v>
      </c>
      <c r="B5" s="123">
        <f>SUM('16_Posicion_Actual_AUTO'!$J$5:$J$10)</f>
        <v>236299.00512639602</v>
      </c>
      <c r="C5" s="98"/>
      <c r="D5" s="98" t="str">
        <f>'16_Posicion_Actual_AUTO'!A5</f>
        <v>TQQQ</v>
      </c>
      <c r="E5" s="98" t="str">
        <f>'16_Posicion_Actual_AUTO'!B5</f>
        <v>ETF</v>
      </c>
      <c r="F5" s="123">
        <f>'16_Posicion_Actual_AUTO'!J5</f>
        <v>172559.13416518172</v>
      </c>
      <c r="G5" s="258">
        <f t="shared" ref="G5:G10" si="0">IFERROR(F5/$B$5,0)</f>
        <v>0.73025755683093152</v>
      </c>
      <c r="H5" s="98"/>
    </row>
    <row r="6" spans="1:8">
      <c r="A6" s="98" t="s">
        <v>1716</v>
      </c>
      <c r="B6" s="123">
        <f>SUM('16_Posicion_Actual_AUTO'!$F$5:$F$10)</f>
        <v>240388.08000000002</v>
      </c>
      <c r="C6" s="98"/>
      <c r="D6" s="98" t="str">
        <f>'16_Posicion_Actual_AUTO'!A6</f>
        <v>SOXX</v>
      </c>
      <c r="E6" s="98" t="str">
        <f>'16_Posicion_Actual_AUTO'!B6</f>
        <v>ETF</v>
      </c>
      <c r="F6" s="123">
        <f>'16_Posicion_Actual_AUTO'!J6</f>
        <v>62054.870961214307</v>
      </c>
      <c r="G6" s="258">
        <f t="shared" si="0"/>
        <v>0.26261164717143537</v>
      </c>
      <c r="H6" s="98"/>
    </row>
    <row r="7" spans="1:8">
      <c r="A7" s="98" t="s">
        <v>1708</v>
      </c>
      <c r="B7" s="123">
        <f>SUM('16_Posicion_Actual_AUTO'!$K$5:$K$10)</f>
        <v>-4089.074873603975</v>
      </c>
      <c r="C7" s="98"/>
      <c r="D7" s="98" t="str">
        <f>'16_Posicion_Actual_AUTO'!A7</f>
        <v>APV banco estado</v>
      </c>
      <c r="E7" s="98" t="str">
        <f>'16_Posicion_Actual_AUTO'!B7</f>
        <v>APV</v>
      </c>
      <c r="F7" s="123">
        <f>'16_Posicion_Actual_AUTO'!J7</f>
        <v>1064</v>
      </c>
      <c r="G7" s="258">
        <f t="shared" si="0"/>
        <v>4.5027696982087072E-3</v>
      </c>
      <c r="H7" s="98"/>
    </row>
    <row r="8" spans="1:8">
      <c r="A8" s="98" t="s">
        <v>1717</v>
      </c>
      <c r="B8" s="258">
        <f>IFERROR(B7/B6,0)</f>
        <v>-1.7010306308049779E-2</v>
      </c>
      <c r="C8" s="98"/>
      <c r="D8" s="98" t="str">
        <f>'16_Posicion_Actual_AUTO'!A8</f>
        <v>Inversiones generales 2</v>
      </c>
      <c r="E8" s="98" t="str">
        <f>'16_Posicion_Actual_AUTO'!B8</f>
        <v>Fondo/Cuenta</v>
      </c>
      <c r="F8" s="123">
        <f>'16_Posicion_Actual_AUTO'!J8</f>
        <v>535</v>
      </c>
      <c r="G8" s="258">
        <f t="shared" si="0"/>
        <v>2.2640806283286265E-3</v>
      </c>
      <c r="H8" s="98"/>
    </row>
    <row r="9" spans="1:8">
      <c r="A9" s="98" t="s">
        <v>1718</v>
      </c>
      <c r="B9" s="123">
        <f>SUMIFS('16_Posicion_Actual_AUTO'!$J$5:$J$10,'16_Posicion_Actual_AUTO'!$B$5:$B$10,"ETF")</f>
        <v>234614.00512639602</v>
      </c>
      <c r="C9" s="98"/>
      <c r="D9" s="98" t="str">
        <f>'16_Posicion_Actual_AUTO'!A9</f>
        <v>Inversiones generales 3</v>
      </c>
      <c r="E9" s="98" t="str">
        <f>'16_Posicion_Actual_AUTO'!B9</f>
        <v>Fondo/Cuenta</v>
      </c>
      <c r="F9" s="123">
        <f>'16_Posicion_Actual_AUTO'!J9</f>
        <v>86</v>
      </c>
      <c r="G9" s="258">
        <f t="shared" si="0"/>
        <v>3.6394567109581657E-4</v>
      </c>
      <c r="H9" s="98"/>
    </row>
    <row r="10" spans="1:8">
      <c r="A10" s="98" t="s">
        <v>1719</v>
      </c>
      <c r="B10" s="123">
        <f>B5-B9</f>
        <v>1685</v>
      </c>
      <c r="C10" s="98"/>
      <c r="D10" s="98" t="str">
        <f>'16_Posicion_Actual_AUTO'!A10</f>
        <v>Caja</v>
      </c>
      <c r="E10" s="98" t="str">
        <f>'16_Posicion_Actual_AUTO'!B10</f>
        <v>Caja</v>
      </c>
      <c r="F10" s="123">
        <f>'16_Posicion_Actual_AUTO'!J10</f>
        <v>0</v>
      </c>
      <c r="G10" s="258">
        <f t="shared" si="0"/>
        <v>0</v>
      </c>
      <c r="H10" s="98"/>
    </row>
    <row r="11" spans="1:8">
      <c r="A11" s="98" t="s">
        <v>1720</v>
      </c>
      <c r="B11" s="122">
        <f>MAX('16_Posicion_Actual_AUTO'!$O$5:$O$10)</f>
        <v>46203</v>
      </c>
      <c r="C11" s="98"/>
      <c r="D11" s="98"/>
      <c r="E11" s="98"/>
      <c r="F11" s="98"/>
      <c r="G11" s="98"/>
      <c r="H11" s="98"/>
    </row>
    <row r="12" spans="1:8">
      <c r="A12" s="98" t="s">
        <v>655</v>
      </c>
      <c r="B12" s="98" t="str">
        <f>IF(B5&gt;0,"Activo","Sin datos")</f>
        <v>Activo</v>
      </c>
      <c r="C12" s="98"/>
      <c r="D12" s="98"/>
      <c r="E12" s="98"/>
      <c r="F12" s="98"/>
      <c r="G12" s="98"/>
      <c r="H12" s="98"/>
    </row>
    <row r="13" spans="1:8">
      <c r="A13" s="98"/>
      <c r="B13" s="98"/>
      <c r="C13" s="98"/>
      <c r="D13" s="98"/>
      <c r="E13" s="98"/>
      <c r="F13" s="98"/>
      <c r="G13" s="98"/>
      <c r="H13" s="98"/>
    </row>
    <row r="14" spans="1:8">
      <c r="A14" s="98"/>
      <c r="B14" s="98"/>
      <c r="C14" s="98"/>
      <c r="D14" s="98"/>
      <c r="E14" s="98"/>
      <c r="F14" s="98"/>
      <c r="G14" s="98"/>
      <c r="H14" s="98"/>
    </row>
    <row r="15" spans="1:8">
      <c r="A15" s="257" t="s">
        <v>79</v>
      </c>
      <c r="B15" s="257" t="s">
        <v>1701</v>
      </c>
      <c r="C15" s="257" t="s">
        <v>1721</v>
      </c>
      <c r="D15" s="257" t="s">
        <v>1722</v>
      </c>
      <c r="E15" s="257" t="s">
        <v>1723</v>
      </c>
      <c r="F15" s="257" t="s">
        <v>1398</v>
      </c>
      <c r="G15" s="257" t="s">
        <v>1724</v>
      </c>
      <c r="H15" s="257" t="s">
        <v>1725</v>
      </c>
    </row>
    <row r="16" spans="1:8">
      <c r="A16" s="98" t="str">
        <f>'16_Posicion_Actual_AUTO'!A5</f>
        <v>TQQQ</v>
      </c>
      <c r="B16" s="260">
        <f>'16_Posicion_Actual_AUTO'!D5</f>
        <v>2.3522558127180266</v>
      </c>
      <c r="C16" s="259">
        <f>'16_Posicion_Actual_AUTO'!G5</f>
        <v>74.9790898789213</v>
      </c>
      <c r="D16" s="259">
        <f>'16_Posicion_Actual_AUTO'!H5</f>
        <v>77.22</v>
      </c>
      <c r="E16" s="259">
        <f>'16_Posicion_Actual_AUTO'!I5</f>
        <v>181.64119385808601</v>
      </c>
      <c r="F16" s="259">
        <f>'16_Posicion_Actual_AUTO'!J5</f>
        <v>172559.13416518172</v>
      </c>
      <c r="G16" s="259">
        <f>'16_Posicion_Actual_AUTO'!K5</f>
        <v>5007.6341651817202</v>
      </c>
      <c r="H16" s="258">
        <f>'16_Posicion_Actual_AUTO'!L5</f>
        <v>2.9887134195645638E-2</v>
      </c>
    </row>
    <row r="17" spans="1:8">
      <c r="A17" s="98" t="str">
        <f>'16_Posicion_Actual_AUTO'!A6</f>
        <v>SOXX</v>
      </c>
      <c r="B17" s="260">
        <f>'16_Posicion_Actual_AUTO'!D6</f>
        <v>0.10615418598056069</v>
      </c>
      <c r="C17" s="259">
        <f>'16_Posicion_Actual_AUTO'!G6</f>
        <v>514.3461795279419</v>
      </c>
      <c r="D17" s="259">
        <f>'16_Posicion_Actual_AUTO'!H6</f>
        <v>615.34</v>
      </c>
      <c r="E17" s="259">
        <f>'16_Posicion_Actual_AUTO'!I6</f>
        <v>65.320916801278216</v>
      </c>
      <c r="F17" s="259">
        <f>'16_Posicion_Actual_AUTO'!J6</f>
        <v>62054.870961214307</v>
      </c>
      <c r="G17" s="259">
        <f>'16_Posicion_Actual_AUTO'!K6</f>
        <v>10184.870961214307</v>
      </c>
      <c r="H17" s="258">
        <f>'16_Posicion_Actual_AUTO'!L6</f>
        <v>0.19635378756919813</v>
      </c>
    </row>
    <row r="18" spans="1:8">
      <c r="A18" s="98" t="str">
        <f>'16_Posicion_Actual_AUTO'!A7</f>
        <v>APV banco estado</v>
      </c>
      <c r="B18" s="98" t="str">
        <f>'16_Posicion_Actual_AUTO'!D7</f>
        <v/>
      </c>
      <c r="C18" s="98" t="str">
        <f>'16_Posicion_Actual_AUTO'!G7</f>
        <v/>
      </c>
      <c r="D18" s="98" t="str">
        <f>'16_Posicion_Actual_AUTO'!H7</f>
        <v/>
      </c>
      <c r="E18" s="98" t="str">
        <f>'16_Posicion_Actual_AUTO'!I7</f>
        <v/>
      </c>
      <c r="F18" s="98">
        <f>'16_Posicion_Actual_AUTO'!J7</f>
        <v>1064</v>
      </c>
      <c r="G18" s="98">
        <f>'16_Posicion_Actual_AUTO'!K7</f>
        <v>16064</v>
      </c>
      <c r="H18" s="98">
        <f>'16_Posicion_Actual_AUTO'!L7</f>
        <v>-1.0709333333333333</v>
      </c>
    </row>
    <row r="19" spans="1:8">
      <c r="A19" s="98" t="str">
        <f>'16_Posicion_Actual_AUTO'!A8</f>
        <v>Inversiones generales 2</v>
      </c>
      <c r="B19" s="98" t="str">
        <f>'16_Posicion_Actual_AUTO'!D8</f>
        <v/>
      </c>
      <c r="C19" s="98" t="str">
        <f>'16_Posicion_Actual_AUTO'!G8</f>
        <v/>
      </c>
      <c r="D19" s="98" t="str">
        <f>'16_Posicion_Actual_AUTO'!H8</f>
        <v/>
      </c>
      <c r="E19" s="98" t="str">
        <f>'16_Posicion_Actual_AUTO'!I8</f>
        <v/>
      </c>
      <c r="F19" s="98">
        <f>'16_Posicion_Actual_AUTO'!J8</f>
        <v>535</v>
      </c>
      <c r="G19" s="98">
        <f>'16_Posicion_Actual_AUTO'!K8</f>
        <v>-15465</v>
      </c>
      <c r="H19" s="98">
        <f>'16_Posicion_Actual_AUTO'!L8</f>
        <v>-0.96656249999999999</v>
      </c>
    </row>
    <row r="20" spans="1:8">
      <c r="A20" s="98" t="str">
        <f>'16_Posicion_Actual_AUTO'!A9</f>
        <v>Inversiones generales 3</v>
      </c>
      <c r="B20" s="98" t="str">
        <f>'16_Posicion_Actual_AUTO'!D9</f>
        <v/>
      </c>
      <c r="C20" s="98" t="str">
        <f>'16_Posicion_Actual_AUTO'!G9</f>
        <v/>
      </c>
      <c r="D20" s="98" t="str">
        <f>'16_Posicion_Actual_AUTO'!H9</f>
        <v/>
      </c>
      <c r="E20" s="98" t="str">
        <f>'16_Posicion_Actual_AUTO'!I9</f>
        <v/>
      </c>
      <c r="F20" s="98">
        <f>'16_Posicion_Actual_AUTO'!J9</f>
        <v>86</v>
      </c>
      <c r="G20" s="98">
        <f>'16_Posicion_Actual_AUTO'!K9</f>
        <v>-19880.580000000002</v>
      </c>
      <c r="H20" s="98">
        <f>'16_Posicion_Actual_AUTO'!L9</f>
        <v>-0.99569280267326699</v>
      </c>
    </row>
    <row r="21" spans="1:8">
      <c r="A21" t="str">
        <f>'16_Posicion_Actual_AUTO'!A10</f>
        <v>Caja</v>
      </c>
      <c r="B21" t="str">
        <f>'16_Posicion_Actual_AUTO'!D10</f>
        <v/>
      </c>
      <c r="C21" t="str">
        <f>'16_Posicion_Actual_AUTO'!G10</f>
        <v/>
      </c>
      <c r="D21" t="str">
        <f>'16_Posicion_Actual_AUTO'!H10</f>
        <v/>
      </c>
      <c r="E21" t="str">
        <f>'16_Posicion_Actual_AUTO'!I10</f>
        <v/>
      </c>
      <c r="F21">
        <f>'16_Posicion_Actual_AUTO'!J10</f>
        <v>0</v>
      </c>
      <c r="G21">
        <f>'16_Posicion_Actual_AUTO'!K10</f>
        <v>0</v>
      </c>
      <c r="H21">
        <f>'16_Posicion_Actual_AUTO'!L10</f>
        <v>0</v>
      </c>
    </row>
    <row r="22" spans="1:8">
      <c r="A22" s="455" t="s">
        <v>1726</v>
      </c>
      <c r="B22" s="426"/>
      <c r="C22" s="426"/>
      <c r="D22" s="426"/>
      <c r="E22" s="426"/>
      <c r="F22" s="426"/>
      <c r="G22" s="426"/>
      <c r="H22" s="426"/>
    </row>
    <row r="23" spans="1:8">
      <c r="A23" s="454" t="s">
        <v>1727</v>
      </c>
      <c r="B23" s="426"/>
      <c r="C23" s="426"/>
      <c r="D23" s="426"/>
      <c r="E23" s="426"/>
      <c r="F23" s="426"/>
      <c r="G23" s="426"/>
      <c r="H23" s="426"/>
    </row>
    <row r="24" spans="1:8">
      <c r="A24" s="454" t="s">
        <v>1728</v>
      </c>
      <c r="B24" s="426"/>
      <c r="C24" s="426"/>
      <c r="D24" s="426"/>
      <c r="E24" s="426"/>
      <c r="F24" s="426"/>
      <c r="G24" s="426"/>
      <c r="H24" s="426"/>
    </row>
    <row r="25" spans="1:8">
      <c r="A25" t="s">
        <v>1729</v>
      </c>
    </row>
    <row r="26" spans="1:8">
      <c r="A26" t="s">
        <v>1730</v>
      </c>
    </row>
    <row r="27" spans="1:8">
      <c r="A27" t="s">
        <v>1731</v>
      </c>
    </row>
    <row r="28" spans="1:8">
      <c r="A28" t="s">
        <v>1732</v>
      </c>
    </row>
  </sheetData>
  <mergeCells count="5">
    <mergeCell ref="A24:H24"/>
    <mergeCell ref="A2:H2"/>
    <mergeCell ref="A1:H1"/>
    <mergeCell ref="A23:H23"/>
    <mergeCell ref="A22:H2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2"/>
  <sheetViews>
    <sheetView workbookViewId="0"/>
  </sheetViews>
  <sheetFormatPr baseColWidth="10" defaultColWidth="8.7265625" defaultRowHeight="14.5"/>
  <cols>
    <col min="1" max="1" width="30" customWidth="1"/>
    <col min="2" max="2" width="46.1796875" customWidth="1"/>
    <col min="3" max="3" width="20" customWidth="1"/>
    <col min="4" max="5" width="26" customWidth="1"/>
    <col min="6" max="6" width="38" customWidth="1"/>
    <col min="7" max="8" width="18" customWidth="1"/>
    <col min="9" max="9" width="32" customWidth="1"/>
    <col min="10" max="11" width="16" customWidth="1"/>
  </cols>
  <sheetData>
    <row r="1" spans="1:11" ht="9.75" customHeight="1">
      <c r="A1" s="456" t="s">
        <v>1733</v>
      </c>
      <c r="B1" s="426"/>
      <c r="C1" s="426"/>
      <c r="D1" s="426"/>
      <c r="E1" s="426"/>
      <c r="F1" s="426"/>
      <c r="G1" s="426"/>
      <c r="H1" s="426"/>
      <c r="I1" s="426"/>
      <c r="J1" s="426"/>
      <c r="K1" s="235"/>
    </row>
    <row r="2" spans="1:11">
      <c r="A2" s="457" t="s">
        <v>1734</v>
      </c>
      <c r="B2" s="426"/>
      <c r="C2" s="426"/>
      <c r="D2" s="426"/>
      <c r="E2" s="426"/>
      <c r="F2" s="426"/>
      <c r="G2" s="426"/>
      <c r="H2" s="426"/>
      <c r="I2" s="426"/>
      <c r="J2" s="426"/>
      <c r="K2" s="236"/>
    </row>
    <row r="3" spans="1:1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>
      <c r="A4" s="237" t="s">
        <v>1735</v>
      </c>
      <c r="B4" s="237" t="s">
        <v>1188</v>
      </c>
      <c r="C4" s="237" t="s">
        <v>1736</v>
      </c>
      <c r="D4" s="237">
        <v>1000</v>
      </c>
      <c r="E4" s="98"/>
      <c r="F4" s="98"/>
      <c r="G4" s="98"/>
      <c r="H4" s="98"/>
      <c r="I4" s="98"/>
      <c r="J4" s="98" t="s">
        <v>1189</v>
      </c>
      <c r="K4" s="98"/>
    </row>
    <row r="5" spans="1:11" ht="19.399999999999999" customHeight="1">
      <c r="A5" s="237" t="s">
        <v>1632</v>
      </c>
      <c r="B5" s="237">
        <v>2026</v>
      </c>
      <c r="C5" s="237" t="s">
        <v>1737</v>
      </c>
      <c r="D5" s="237" t="s">
        <v>663</v>
      </c>
      <c r="E5" s="98"/>
      <c r="F5" s="98"/>
      <c r="G5" s="98"/>
      <c r="H5" s="98"/>
      <c r="I5" s="98"/>
      <c r="J5" s="98" t="s">
        <v>1191</v>
      </c>
      <c r="K5" s="98"/>
    </row>
    <row r="6" spans="1:11">
      <c r="A6" s="237" t="s">
        <v>1233</v>
      </c>
      <c r="B6" s="243">
        <f>DATEVALUE("1 "&amp;B4&amp;" "&amp;B5)</f>
        <v>46174</v>
      </c>
      <c r="C6" s="243" t="s">
        <v>1234</v>
      </c>
      <c r="D6" s="243">
        <f>EOMONTH(B6,0)</f>
        <v>46203</v>
      </c>
      <c r="E6" s="98"/>
      <c r="F6" s="98"/>
      <c r="G6" s="98"/>
      <c r="H6" s="98"/>
      <c r="I6" s="98"/>
      <c r="J6" s="98" t="s">
        <v>1193</v>
      </c>
      <c r="K6" s="98"/>
    </row>
    <row r="7" spans="1:11">
      <c r="A7" s="237" t="s">
        <v>1738</v>
      </c>
      <c r="B7" s="240">
        <v>12000</v>
      </c>
      <c r="C7" s="237" t="s">
        <v>1395</v>
      </c>
      <c r="D7" s="237" t="s">
        <v>1402</v>
      </c>
      <c r="E7" s="98"/>
      <c r="F7" s="98"/>
      <c r="G7" s="98"/>
      <c r="H7" s="98"/>
      <c r="I7" s="98"/>
      <c r="J7" s="98" t="s">
        <v>1195</v>
      </c>
      <c r="K7" s="98"/>
    </row>
    <row r="8" spans="1:11" ht="29" customHeight="1">
      <c r="A8" s="237" t="s">
        <v>11</v>
      </c>
      <c r="B8" s="240" t="s">
        <v>1739</v>
      </c>
      <c r="C8" s="237"/>
      <c r="D8" s="237"/>
      <c r="E8" s="98"/>
      <c r="F8" s="98"/>
      <c r="G8" s="98"/>
      <c r="H8" s="98"/>
      <c r="I8" s="98"/>
      <c r="J8" s="98" t="s">
        <v>1197</v>
      </c>
      <c r="K8" s="98"/>
    </row>
    <row r="9" spans="1:11">
      <c r="A9" s="98"/>
      <c r="B9" s="123"/>
      <c r="C9" s="98"/>
      <c r="D9" s="98"/>
      <c r="E9" s="98"/>
      <c r="F9" s="98"/>
      <c r="G9" s="98"/>
      <c r="H9" s="98"/>
      <c r="I9" s="98"/>
      <c r="J9" s="98" t="s">
        <v>1188</v>
      </c>
      <c r="K9" s="98"/>
    </row>
    <row r="10" spans="1:11">
      <c r="A10" s="98"/>
      <c r="B10" s="123"/>
      <c r="C10" s="98"/>
      <c r="D10" s="98"/>
      <c r="E10" s="98"/>
      <c r="F10" s="98"/>
      <c r="G10" s="98"/>
      <c r="H10" s="98"/>
      <c r="I10" s="98"/>
      <c r="J10" s="98" t="s">
        <v>1208</v>
      </c>
      <c r="K10" s="98"/>
    </row>
    <row r="11" spans="1:11" ht="5.75" customHeight="1">
      <c r="A11" s="238" t="s">
        <v>1740</v>
      </c>
      <c r="B11" s="241"/>
      <c r="C11" s="238"/>
      <c r="D11" s="238"/>
      <c r="E11" s="238"/>
      <c r="F11" s="238"/>
      <c r="G11" s="238"/>
      <c r="H11" s="238"/>
      <c r="I11" s="238"/>
      <c r="J11" s="238"/>
      <c r="K11" s="238"/>
    </row>
    <row r="12" spans="1:11">
      <c r="A12" s="239" t="s">
        <v>1741</v>
      </c>
      <c r="B12" s="242" t="s">
        <v>7</v>
      </c>
      <c r="C12" s="239" t="s">
        <v>8</v>
      </c>
      <c r="D12" s="239" t="s">
        <v>252</v>
      </c>
      <c r="E12" s="239" t="s">
        <v>1742</v>
      </c>
      <c r="F12" s="239" t="s">
        <v>11</v>
      </c>
      <c r="G12" s="98"/>
      <c r="H12" s="98"/>
      <c r="I12" s="98"/>
      <c r="J12" s="98" t="s">
        <v>1212</v>
      </c>
      <c r="K12" s="98"/>
    </row>
    <row r="13" spans="1:11">
      <c r="A13" s="98" t="s">
        <v>1738</v>
      </c>
      <c r="B13" s="244">
        <f>B7</f>
        <v>12000</v>
      </c>
      <c r="C13" s="98" t="s">
        <v>1743</v>
      </c>
      <c r="D13" s="98" t="s">
        <v>1744</v>
      </c>
      <c r="E13" s="98" t="s">
        <v>87</v>
      </c>
      <c r="F13" s="98" t="s">
        <v>1745</v>
      </c>
      <c r="G13" s="98"/>
      <c r="H13" s="98"/>
      <c r="I13" s="98"/>
      <c r="J13" s="98" t="s">
        <v>1214</v>
      </c>
      <c r="K13" s="98"/>
    </row>
    <row r="14" spans="1:11" ht="5.75" customHeight="1">
      <c r="A14" s="98" t="s">
        <v>1746</v>
      </c>
      <c r="B14" s="244">
        <f>SUMIFS('11_Ingresos'!$C$5:$C$403,'11_Ingresos'!$A$5:$A$403,"&gt;="&amp;$B$6,'11_Ingresos'!$A$5:$A$403,"&lt;="&amp;$D$6)</f>
        <v>1930028</v>
      </c>
      <c r="C14" s="98" t="s">
        <v>1747</v>
      </c>
      <c r="D14" s="98" t="s">
        <v>156</v>
      </c>
      <c r="E14" s="98" t="s">
        <v>87</v>
      </c>
      <c r="F14" s="98" t="s">
        <v>1748</v>
      </c>
      <c r="G14" s="98"/>
      <c r="H14" s="98"/>
      <c r="I14" s="98"/>
      <c r="J14" s="98" t="s">
        <v>1215</v>
      </c>
      <c r="K14" s="98"/>
    </row>
    <row r="15" spans="1:11" ht="5.75" customHeight="1">
      <c r="A15" s="98" t="s">
        <v>1749</v>
      </c>
      <c r="B15" s="244">
        <f>SUMIFS('12_Gastos'!$D$5:$D$403,'12_Gastos'!$A$5:$A$403,"&gt;="&amp;$B$6,'12_Gastos'!$A$5:$A$403,"&lt;="&amp;$D$6,'12_Gastos'!$B$5:$B$403,"&lt;&gt;Inversión",'12_Gastos'!$B$5:$B$403,"&lt;&gt;Inversion",'12_Gastos'!$F$5:$F$403,"&lt;&gt;Inversión",'12_Gastos'!$F$5:$F$403,"&lt;&gt;Inversion")</f>
        <v>789963</v>
      </c>
      <c r="C15" s="98" t="s">
        <v>1750</v>
      </c>
      <c r="D15" s="98" t="s">
        <v>164</v>
      </c>
      <c r="E15" s="98" t="s">
        <v>87</v>
      </c>
      <c r="F15" s="98" t="s">
        <v>1751</v>
      </c>
      <c r="G15" s="98"/>
      <c r="H15" s="98"/>
      <c r="I15" s="98"/>
      <c r="J15" s="98" t="s">
        <v>1217</v>
      </c>
      <c r="K15" s="98"/>
    </row>
    <row r="16" spans="1:11" ht="5.75" customHeight="1">
      <c r="A16" s="98" t="s">
        <v>1752</v>
      </c>
      <c r="B16" s="244">
        <f>SUMIFS('13_Deudas'!$E$5:$E$403,'13_Deudas'!$A$5:$A$403,"&gt;="&amp;$B$6,'13_Deudas'!$A$5:$A$403,"&lt;="&amp;$D$6,'13_Deudas'!$D$5:$D$403,"Pago")</f>
        <v>401474</v>
      </c>
      <c r="C16" s="98" t="s">
        <v>1750</v>
      </c>
      <c r="D16" s="98" t="s">
        <v>170</v>
      </c>
      <c r="E16" s="98" t="s">
        <v>87</v>
      </c>
      <c r="F16" s="98" t="s">
        <v>1753</v>
      </c>
      <c r="G16" s="98"/>
      <c r="H16" s="98"/>
      <c r="I16" s="98"/>
      <c r="J16" s="98"/>
      <c r="K16" s="98"/>
    </row>
    <row r="17" spans="1:11" ht="5.75" customHeight="1">
      <c r="A17" s="98" t="s">
        <v>1754</v>
      </c>
      <c r="B17" s="244">
        <f>SUMIFS('14_Inversiones'!$I$5:$I$403,'14_Inversiones'!$A$5:$A$403,"&gt;="&amp;$B$6,'14_Inversiones'!$A$5:$A$403,"&lt;="&amp;$D$6,'14_Inversiones'!$C$5:$C$403,"Aporte")</f>
        <v>60000</v>
      </c>
      <c r="C17" s="98" t="s">
        <v>1755</v>
      </c>
      <c r="D17" s="98" t="s">
        <v>663</v>
      </c>
      <c r="E17" s="98" t="s">
        <v>87</v>
      </c>
      <c r="F17" s="98" t="s">
        <v>1756</v>
      </c>
      <c r="G17" s="98"/>
      <c r="H17" s="98"/>
      <c r="I17" s="98"/>
      <c r="J17" s="98"/>
      <c r="K17" s="98"/>
    </row>
    <row r="18" spans="1:11">
      <c r="A18" s="98" t="s">
        <v>1757</v>
      </c>
      <c r="B18" s="244">
        <f>SUMIFS('14_Inversiones'!$I$5:$I$403,'14_Inversiones'!$A$5:$A$403,"&gt;="&amp;$B$6,'14_Inversiones'!$A$5:$A$403,"&lt;="&amp;$D$6,'14_Inversiones'!$C$5:$C$403,"Retiro")</f>
        <v>46749</v>
      </c>
      <c r="C18" s="98" t="s">
        <v>1758</v>
      </c>
      <c r="D18" s="98" t="s">
        <v>663</v>
      </c>
      <c r="E18" s="98" t="s">
        <v>87</v>
      </c>
      <c r="F18" s="98" t="s">
        <v>1759</v>
      </c>
      <c r="G18" s="98"/>
      <c r="H18" s="98"/>
      <c r="I18" s="98"/>
      <c r="J18" s="98"/>
      <c r="K18" s="98"/>
    </row>
    <row r="19" spans="1:11" ht="5.75" customHeight="1">
      <c r="A19" s="98" t="s">
        <v>1760</v>
      </c>
      <c r="B19" s="244">
        <f>B13+B14-B15-B16-B17+B18</f>
        <v>737340</v>
      </c>
      <c r="C19" s="98" t="s">
        <v>1236</v>
      </c>
      <c r="D19" s="98" t="s">
        <v>1761</v>
      </c>
      <c r="E19" s="98" t="s">
        <v>87</v>
      </c>
      <c r="F19" s="98" t="s">
        <v>1762</v>
      </c>
      <c r="G19" s="98"/>
      <c r="H19" s="98"/>
      <c r="I19" s="98"/>
      <c r="J19" s="98"/>
      <c r="K19" s="98"/>
    </row>
    <row r="20" spans="1:11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</row>
    <row r="21" spans="1:1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</row>
    <row r="22" spans="1:11" ht="5.75" customHeight="1">
      <c r="A22" s="238" t="s">
        <v>1763</v>
      </c>
      <c r="B22" s="238"/>
      <c r="C22" s="238"/>
      <c r="D22" s="238"/>
      <c r="E22" s="238"/>
      <c r="F22" s="238"/>
      <c r="G22" s="238"/>
      <c r="H22" s="238"/>
      <c r="I22" s="238"/>
      <c r="J22" s="238"/>
      <c r="K22" s="238"/>
    </row>
    <row r="23" spans="1:11">
      <c r="A23" s="239" t="s">
        <v>1764</v>
      </c>
      <c r="B23" s="239" t="s">
        <v>7</v>
      </c>
      <c r="C23" s="239" t="s">
        <v>252</v>
      </c>
      <c r="D23" s="239" t="s">
        <v>655</v>
      </c>
      <c r="E23" s="239" t="s">
        <v>1765</v>
      </c>
      <c r="F23" s="239" t="s">
        <v>696</v>
      </c>
      <c r="G23" s="98"/>
      <c r="H23" s="98"/>
      <c r="I23" s="98"/>
      <c r="J23" s="98"/>
      <c r="K23" s="98"/>
    </row>
    <row r="24" spans="1:11" ht="19.399999999999999" customHeight="1">
      <c r="A24" s="98" t="s">
        <v>1766</v>
      </c>
      <c r="B24" s="123">
        <f>SUMIFS('12_Gastos'!$D$5:$D$403,'12_Gastos'!$A$5:$A$403,"&gt;="&amp;$B$6,'12_Gastos'!$A$5:$A$403,"&lt;="&amp;$D$6)</f>
        <v>799963</v>
      </c>
      <c r="C24" s="98" t="s">
        <v>164</v>
      </c>
      <c r="D24" s="98" t="str">
        <f>IF(B24&gt;0,"🟡 Revisar","🟢 OK")</f>
        <v>🟡 Revisar</v>
      </c>
      <c r="E24" s="98" t="s">
        <v>1767</v>
      </c>
      <c r="F24" s="98" t="s">
        <v>1768</v>
      </c>
      <c r="G24" s="98"/>
      <c r="H24" s="98"/>
      <c r="I24" s="98"/>
      <c r="J24" s="98"/>
      <c r="K24" s="98"/>
    </row>
    <row r="25" spans="1:11" ht="19.399999999999999" customHeight="1">
      <c r="A25" s="98" t="s">
        <v>1769</v>
      </c>
      <c r="B25" s="123">
        <f>SUMIFS('12_Gastos'!$D$5:$D$403,'12_Gastos'!$A$5:$A$403,"&gt;="&amp;$B$6,'12_Gastos'!$A$5:$A$403,"&lt;="&amp;$D$6,'12_Gastos'!$B$5:$B$403,"Inversión")+SUMIFS('12_Gastos'!$D$5:$D$403,'12_Gastos'!$A$5:$A$403,"&gt;="&amp;$B$6,'12_Gastos'!$A$5:$A$403,"&lt;="&amp;$D$6,'12_Gastos'!$F$5:$F$403,"Inversión",'12_Gastos'!$B$5:$B$403,"&lt;&gt;Inversión")</f>
        <v>10000</v>
      </c>
      <c r="C25" s="98" t="s">
        <v>164</v>
      </c>
      <c r="D25" s="98" t="str">
        <f>IF(B25&gt;0,"🟡 Revisar","🟢 OK")</f>
        <v>🟡 Revisar</v>
      </c>
      <c r="E25" s="98" t="s">
        <v>1770</v>
      </c>
      <c r="F25" s="98" t="s">
        <v>1771</v>
      </c>
      <c r="G25" s="98"/>
      <c r="H25" s="98"/>
      <c r="I25" s="98"/>
      <c r="J25" s="98"/>
      <c r="K25" s="98"/>
    </row>
    <row r="26" spans="1:11" ht="19.399999999999999" customHeight="1">
      <c r="A26" s="98" t="s">
        <v>1772</v>
      </c>
      <c r="B26" s="123">
        <f>SUMIFS('14_Inversiones'!$I$5:$I$403,'14_Inversiones'!$A$5:$A$403,"&gt;="&amp;$B$6,'14_Inversiones'!$A$5:$A$403,"&lt;="&amp;$D$6,'14_Inversiones'!$C$5:$C$403,"Compra")</f>
        <v>110551.5</v>
      </c>
      <c r="C26" s="98" t="s">
        <v>663</v>
      </c>
      <c r="D26" s="98" t="str">
        <f>IF(B26&gt;0,"🟡 Revisar","🟢 OK")</f>
        <v>🟡 Revisar</v>
      </c>
      <c r="E26" s="98" t="s">
        <v>1773</v>
      </c>
      <c r="F26" s="98" t="s">
        <v>1774</v>
      </c>
      <c r="G26" s="98"/>
      <c r="H26" s="98"/>
      <c r="I26" s="98"/>
      <c r="J26" s="98"/>
      <c r="K26" s="98"/>
    </row>
    <row r="27" spans="1:11">
      <c r="A27" s="98" t="s">
        <v>1775</v>
      </c>
      <c r="B27" s="123">
        <f>SUMIFS('14_Inversiones'!$I$5:$I$403,'14_Inversiones'!$A$5:$A$403,"&gt;="&amp;$B$6,'14_Inversiones'!$A$5:$A$403,"&lt;="&amp;$D$6,'14_Inversiones'!$C$5:$C$403,"Ajuste")</f>
        <v>0</v>
      </c>
      <c r="C27" s="98" t="s">
        <v>663</v>
      </c>
      <c r="D27" s="98" t="str">
        <f>IF(B27&gt;0,"🟡 Revisar","🟢 OK")</f>
        <v>🟢 OK</v>
      </c>
      <c r="E27" s="98" t="s">
        <v>1776</v>
      </c>
      <c r="F27" s="98" t="s">
        <v>1777</v>
      </c>
      <c r="G27" s="98"/>
      <c r="H27" s="98"/>
      <c r="I27" s="98"/>
      <c r="J27" s="98"/>
      <c r="K27" s="98"/>
    </row>
    <row r="28" spans="1:11" ht="19.399999999999999" customHeight="1">
      <c r="A28" s="98" t="s">
        <v>1778</v>
      </c>
      <c r="B28" s="123" t="str">
        <f>IF(AND(B25&gt;0,B17&gt;0),"Sí","No")</f>
        <v>Sí</v>
      </c>
      <c r="C28" s="98" t="s">
        <v>1779</v>
      </c>
      <c r="D28" s="98" t="str">
        <f>IF(B28="Sí","🟡 Revisar","🟢 OK")</f>
        <v>🟡 Revisar</v>
      </c>
      <c r="E28" s="98" t="s">
        <v>1780</v>
      </c>
      <c r="F28" s="98" t="s">
        <v>1781</v>
      </c>
      <c r="G28" s="98"/>
      <c r="H28" s="98"/>
      <c r="I28" s="98"/>
      <c r="J28" s="98"/>
      <c r="K28" s="98"/>
    </row>
    <row r="29" spans="1:11">
      <c r="A29" s="98" t="s">
        <v>1782</v>
      </c>
      <c r="B29" s="123">
        <f>B16</f>
        <v>401474</v>
      </c>
      <c r="C29" s="98" t="s">
        <v>170</v>
      </c>
      <c r="D29" s="98" t="str">
        <f>IF(B29&gt;0,"🟡 Revisar","🟢 OK")</f>
        <v>🟡 Revisar</v>
      </c>
      <c r="E29" s="98" t="s">
        <v>1783</v>
      </c>
      <c r="F29" s="98" t="s">
        <v>1784</v>
      </c>
      <c r="G29" s="98"/>
      <c r="H29" s="98"/>
      <c r="I29" s="98"/>
      <c r="J29" s="98"/>
      <c r="K29" s="98"/>
    </row>
    <row r="30" spans="1:1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</row>
    <row r="31" spans="1:1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</row>
    <row r="32" spans="1:11" ht="19.399999999999999" customHeight="1">
      <c r="A32" s="238" t="s">
        <v>1785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</row>
    <row r="33" spans="1:11">
      <c r="A33" s="239" t="s">
        <v>1786</v>
      </c>
      <c r="B33" s="239" t="s">
        <v>1787</v>
      </c>
      <c r="C33" s="239" t="s">
        <v>8</v>
      </c>
      <c r="D33" s="239" t="s">
        <v>656</v>
      </c>
      <c r="E33" s="98"/>
      <c r="F33" s="239" t="s">
        <v>1788</v>
      </c>
      <c r="G33" s="239" t="s">
        <v>7</v>
      </c>
      <c r="H33" s="239" t="s">
        <v>655</v>
      </c>
      <c r="I33" s="239" t="s">
        <v>656</v>
      </c>
      <c r="J33" s="98"/>
      <c r="K33" s="98"/>
    </row>
    <row r="34" spans="1:11">
      <c r="A34" s="98" t="s">
        <v>1789</v>
      </c>
      <c r="B34" s="123">
        <v>7139</v>
      </c>
      <c r="C34" s="98" t="s">
        <v>1790</v>
      </c>
      <c r="D34" s="98" t="s">
        <v>1791</v>
      </c>
      <c r="E34" s="98"/>
      <c r="F34" s="98" t="s">
        <v>1204</v>
      </c>
      <c r="G34" s="123">
        <f t="shared" ref="G34:G39" si="0">B14</f>
        <v>1930028</v>
      </c>
      <c r="H34" s="98" t="str">
        <f t="shared" ref="H34:H41" si="1">IF(ABS(G34)=0,"⚪ Neutro",IF(G34&gt;0,"🟢 Positivo","🔴 Negativo"))</f>
        <v>🟢 Positivo</v>
      </c>
      <c r="I34" s="98" t="s">
        <v>1792</v>
      </c>
      <c r="J34" s="98"/>
      <c r="K34" s="98"/>
    </row>
    <row r="35" spans="1:11">
      <c r="A35" s="98" t="s">
        <v>1793</v>
      </c>
      <c r="B35" s="123">
        <v>40900</v>
      </c>
      <c r="C35" s="98" t="s">
        <v>1790</v>
      </c>
      <c r="D35" s="98" t="s">
        <v>1794</v>
      </c>
      <c r="E35" s="98"/>
      <c r="F35" s="98" t="s">
        <v>1795</v>
      </c>
      <c r="G35" s="123">
        <f t="shared" si="0"/>
        <v>789963</v>
      </c>
      <c r="H35" s="98" t="str">
        <f t="shared" si="1"/>
        <v>🟢 Positivo</v>
      </c>
      <c r="I35" s="98" t="s">
        <v>1796</v>
      </c>
      <c r="J35" s="98"/>
      <c r="K35" s="98"/>
    </row>
    <row r="36" spans="1:11">
      <c r="A36" s="98" t="s">
        <v>1797</v>
      </c>
      <c r="B36" s="123">
        <v>54</v>
      </c>
      <c r="C36" s="98" t="s">
        <v>1790</v>
      </c>
      <c r="D36" s="98" t="s">
        <v>1794</v>
      </c>
      <c r="E36" s="98"/>
      <c r="F36" s="98" t="s">
        <v>1798</v>
      </c>
      <c r="G36" s="123">
        <f t="shared" si="0"/>
        <v>401474</v>
      </c>
      <c r="H36" s="98" t="str">
        <f t="shared" si="1"/>
        <v>🟢 Positivo</v>
      </c>
      <c r="I36" s="98" t="s">
        <v>1799</v>
      </c>
      <c r="J36" s="98"/>
      <c r="K36" s="98"/>
    </row>
    <row r="37" spans="1:11">
      <c r="A37" s="98" t="s">
        <v>1451</v>
      </c>
      <c r="B37" s="123">
        <v>300</v>
      </c>
      <c r="C37" s="98" t="s">
        <v>1451</v>
      </c>
      <c r="D37" s="98" t="s">
        <v>1794</v>
      </c>
      <c r="E37" s="98"/>
      <c r="F37" s="98" t="s">
        <v>1800</v>
      </c>
      <c r="G37" s="123">
        <f t="shared" si="0"/>
        <v>60000</v>
      </c>
      <c r="H37" s="98" t="str">
        <f t="shared" si="1"/>
        <v>🟢 Positivo</v>
      </c>
      <c r="I37" s="98" t="s">
        <v>1801</v>
      </c>
      <c r="J37" s="98"/>
      <c r="K37" s="98"/>
    </row>
    <row r="38" spans="1:11">
      <c r="A38" s="98" t="s">
        <v>1802</v>
      </c>
      <c r="B38" s="123">
        <v>12630</v>
      </c>
      <c r="C38" s="98" t="s">
        <v>1490</v>
      </c>
      <c r="D38" s="98" t="s">
        <v>1794</v>
      </c>
      <c r="E38" s="98"/>
      <c r="F38" s="98" t="s">
        <v>1803</v>
      </c>
      <c r="G38" s="123">
        <f t="shared" si="0"/>
        <v>46749</v>
      </c>
      <c r="H38" s="98" t="str">
        <f t="shared" si="1"/>
        <v>🟢 Positivo</v>
      </c>
      <c r="I38" s="98" t="s">
        <v>1758</v>
      </c>
      <c r="J38" s="98"/>
      <c r="K38" s="98"/>
    </row>
    <row r="39" spans="1:11">
      <c r="A39" s="98" t="s">
        <v>1804</v>
      </c>
      <c r="B39" s="123">
        <v>0</v>
      </c>
      <c r="C39" s="98" t="s">
        <v>764</v>
      </c>
      <c r="D39" s="98" t="s">
        <v>1794</v>
      </c>
      <c r="E39" s="98"/>
      <c r="F39" s="98" t="s">
        <v>1385</v>
      </c>
      <c r="G39" s="123">
        <f t="shared" si="0"/>
        <v>737340</v>
      </c>
      <c r="H39" s="98" t="str">
        <f t="shared" si="1"/>
        <v>🟢 Positivo</v>
      </c>
      <c r="I39" s="98" t="s">
        <v>253</v>
      </c>
      <c r="J39" s="98"/>
      <c r="K39" s="98"/>
    </row>
    <row r="40" spans="1:11">
      <c r="A40" s="98" t="s">
        <v>1805</v>
      </c>
      <c r="B40" s="123">
        <f>SUM(B34:B39)</f>
        <v>61023</v>
      </c>
      <c r="C40" s="98" t="s">
        <v>1806</v>
      </c>
      <c r="D40" s="98" t="s">
        <v>1807</v>
      </c>
      <c r="E40" s="98"/>
      <c r="F40" s="98" t="s">
        <v>1808</v>
      </c>
      <c r="G40" s="123">
        <f>B40</f>
        <v>61023</v>
      </c>
      <c r="H40" s="98" t="str">
        <f t="shared" si="1"/>
        <v>🟢 Positivo</v>
      </c>
      <c r="I40" s="98" t="s">
        <v>1809</v>
      </c>
      <c r="J40" s="98"/>
      <c r="K40" s="98"/>
    </row>
    <row r="41" spans="1:11">
      <c r="A41" s="98"/>
      <c r="B41" s="98"/>
      <c r="C41" s="98"/>
      <c r="D41" s="98"/>
      <c r="E41" s="98"/>
      <c r="F41" s="98" t="s">
        <v>1810</v>
      </c>
      <c r="G41" s="123">
        <f>B45</f>
        <v>-676317</v>
      </c>
      <c r="H41" s="98" t="str">
        <f t="shared" si="1"/>
        <v>🔴 Negativo</v>
      </c>
      <c r="I41" s="98" t="s">
        <v>1811</v>
      </c>
      <c r="J41" s="98"/>
      <c r="K41" s="98"/>
    </row>
    <row r="42" spans="1:1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</row>
    <row r="43" spans="1:11" ht="19.399999999999999" customHeight="1">
      <c r="A43" s="238" t="s">
        <v>1812</v>
      </c>
      <c r="B43" s="238"/>
      <c r="C43" s="238"/>
      <c r="D43" s="238"/>
      <c r="E43" s="238"/>
      <c r="F43" s="238"/>
      <c r="G43" s="238"/>
      <c r="H43" s="238"/>
      <c r="I43" s="238"/>
      <c r="J43" s="238"/>
      <c r="K43" s="238"/>
    </row>
    <row r="44" spans="1:11">
      <c r="A44" s="239" t="s">
        <v>1741</v>
      </c>
      <c r="B44" s="239" t="s">
        <v>7</v>
      </c>
      <c r="C44" s="239" t="s">
        <v>655</v>
      </c>
      <c r="D44" s="239" t="s">
        <v>1765</v>
      </c>
      <c r="E44" s="98"/>
      <c r="F44" s="98"/>
      <c r="G44" s="98"/>
      <c r="H44" s="98"/>
      <c r="I44" s="98"/>
      <c r="J44" s="98"/>
      <c r="K44" s="98"/>
    </row>
    <row r="45" spans="1:11" ht="19.399999999999999" customHeight="1">
      <c r="A45" s="98" t="s">
        <v>1810</v>
      </c>
      <c r="B45" s="123">
        <f>B40-B19</f>
        <v>-676317</v>
      </c>
      <c r="C45" s="98" t="str">
        <f>IF(ABS(B45)&lt;=$D$4,"🟢 Conciliado",IF(ABS(B45)&lt;=5000,"🟡 Revisar","🔴 Diferencia crítica"))</f>
        <v>🔴 Diferencia crítica</v>
      </c>
      <c r="D45" s="98" t="s">
        <v>1813</v>
      </c>
      <c r="E45" s="98"/>
      <c r="F45" s="98"/>
      <c r="G45" s="98"/>
      <c r="H45" s="98"/>
      <c r="I45" s="98"/>
      <c r="J45" s="98"/>
      <c r="K45" s="98"/>
    </row>
    <row r="46" spans="1:11">
      <c r="A46" s="98" t="s">
        <v>1814</v>
      </c>
      <c r="B46" s="123">
        <f>ABS(B45)</f>
        <v>676317</v>
      </c>
      <c r="C46" s="98" t="str">
        <f>IF(ABS(B45)&lt;=$D$4,"🟢 Conciliado",IF(ABS(B45)&lt;=5000,"🟡 Revisar","🔴 Diferencia crítica"))</f>
        <v>🔴 Diferencia crítica</v>
      </c>
      <c r="D46" s="98" t="s">
        <v>1815</v>
      </c>
      <c r="E46" s="98"/>
      <c r="F46" s="98"/>
      <c r="G46" s="98"/>
      <c r="H46" s="98"/>
      <c r="I46" s="98"/>
      <c r="J46" s="98"/>
      <c r="K46" s="98"/>
    </row>
    <row r="47" spans="1:11" ht="19.399999999999999" customHeight="1">
      <c r="A47" s="98" t="s">
        <v>655</v>
      </c>
      <c r="B47" s="98" t="str">
        <f>C45</f>
        <v>🔴 Diferencia crítica</v>
      </c>
      <c r="C47" s="98" t="str">
        <f>C45</f>
        <v>🔴 Diferencia crítica</v>
      </c>
      <c r="D47" s="98" t="s">
        <v>1816</v>
      </c>
      <c r="E47" s="98"/>
      <c r="F47" s="98"/>
      <c r="G47" s="98"/>
      <c r="H47" s="98"/>
      <c r="I47" s="98"/>
      <c r="J47" s="98"/>
      <c r="K47" s="98"/>
    </row>
    <row r="48" spans="1:11" ht="19.399999999999999" customHeight="1">
      <c r="A48" s="98" t="s">
        <v>1817</v>
      </c>
      <c r="B48" s="98" t="str">
        <f>IF(ABS(B45)&lt;=$D$4,"Sin acción","Revisar movimientos bancarios vs Excel V3")</f>
        <v>Revisar movimientos bancarios vs Excel V3</v>
      </c>
      <c r="C48" s="98"/>
      <c r="D48" s="98" t="s">
        <v>1818</v>
      </c>
      <c r="E48" s="98"/>
      <c r="F48" s="98"/>
      <c r="G48" s="98"/>
      <c r="H48" s="98"/>
      <c r="I48" s="98"/>
      <c r="J48" s="98"/>
      <c r="K48" s="98"/>
    </row>
    <row r="49" spans="1:11">
      <c r="A49" s="98" t="s">
        <v>1819</v>
      </c>
      <c r="B49" s="98"/>
      <c r="C49" s="98"/>
      <c r="D49" s="98" t="s">
        <v>1820</v>
      </c>
      <c r="E49" s="98"/>
      <c r="F49" s="98"/>
      <c r="G49" s="98"/>
      <c r="H49" s="98"/>
      <c r="I49" s="98"/>
      <c r="J49" s="98"/>
      <c r="K49" s="98"/>
    </row>
    <row r="50" spans="1:1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</row>
    <row r="51" spans="1:1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</row>
    <row r="52" spans="1:1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</row>
  </sheetData>
  <mergeCells count="2">
    <mergeCell ref="A1:J1"/>
    <mergeCell ref="A2:J2"/>
  </mergeCells>
  <conditionalFormatting sqref="C45:C47">
    <cfRule type="expression" dxfId="804" priority="1">
      <formula>ISNUMBER(SEARCH("🟢",C45))</formula>
    </cfRule>
    <cfRule type="expression" dxfId="803" priority="2">
      <formula>ISNUMBER(SEARCH("🟡",C45))</formula>
    </cfRule>
    <cfRule type="expression" dxfId="802" priority="3">
      <formula>ISNUMBER(SEARCH("🔴",C45))</formula>
    </cfRule>
  </conditionalFormatting>
  <conditionalFormatting sqref="D24:D29">
    <cfRule type="expression" dxfId="801" priority="4">
      <formula>ISNUMBER(SEARCH("🟢",D24))</formula>
    </cfRule>
    <cfRule type="expression" dxfId="800" priority="5">
      <formula>ISNUMBER(SEARCH("🟡",D24))</formula>
    </cfRule>
    <cfRule type="expression" dxfId="799" priority="6">
      <formula>ISNUMBER(SEARCH("🔴",D24))</formula>
    </cfRule>
  </conditionalFormatting>
  <conditionalFormatting sqref="H34:H41">
    <cfRule type="expression" dxfId="798" priority="7">
      <formula>ISNUMBER(SEARCH("🟢",H34))</formula>
    </cfRule>
    <cfRule type="expression" dxfId="797" priority="8">
      <formula>ISNUMBER(SEARCH("🟡",H34))</formula>
    </cfRule>
    <cfRule type="expression" dxfId="796" priority="9">
      <formula>ISNUMBER(SEARCH("🔴",H34))</formula>
    </cfRule>
  </conditionalFormatting>
  <dataValidations count="1">
    <dataValidation type="list" sqref="B4" xr:uid="{00000000-0002-0000-1D00-000000000000}">
      <formula1>$J$4:$J$15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A651"/>
  </sheetPr>
  <dimension ref="A1:H30"/>
  <sheetViews>
    <sheetView showGridLines="0" workbookViewId="0"/>
  </sheetViews>
  <sheetFormatPr baseColWidth="10" defaultColWidth="8.7265625" defaultRowHeight="14.5"/>
  <cols>
    <col min="1" max="1" width="41" customWidth="1"/>
    <col min="2" max="2" width="31.36328125" customWidth="1"/>
    <col min="3" max="3" width="21.7265625" customWidth="1"/>
    <col min="4" max="4" width="53.81640625" customWidth="1"/>
  </cols>
  <sheetData>
    <row r="1" spans="1:8" ht="21" customHeight="1">
      <c r="A1" s="445" t="s">
        <v>1821</v>
      </c>
      <c r="B1" s="426"/>
      <c r="C1" s="426"/>
      <c r="D1" s="426"/>
      <c r="E1" s="426"/>
      <c r="F1" s="426"/>
      <c r="G1" s="426"/>
      <c r="H1" s="426"/>
    </row>
    <row r="2" spans="1:8" ht="29" customHeight="1">
      <c r="A2" s="444" t="s">
        <v>1822</v>
      </c>
      <c r="B2" s="426"/>
      <c r="C2" s="426"/>
      <c r="D2" s="426"/>
      <c r="E2" s="426"/>
      <c r="F2" s="426"/>
      <c r="G2" s="426"/>
      <c r="H2" s="426"/>
    </row>
    <row r="3" spans="1:8">
      <c r="A3" s="147" t="s">
        <v>1735</v>
      </c>
      <c r="B3" s="147" t="s">
        <v>1188</v>
      </c>
      <c r="C3" s="147" t="s">
        <v>1736</v>
      </c>
      <c r="D3" s="147">
        <v>1000</v>
      </c>
      <c r="E3" s="98"/>
      <c r="F3" s="98"/>
      <c r="G3" s="98"/>
      <c r="H3" s="98"/>
    </row>
    <row r="4" spans="1:8">
      <c r="A4" s="98"/>
      <c r="B4" s="98"/>
      <c r="C4" s="98"/>
      <c r="D4" s="98"/>
      <c r="E4" s="98"/>
      <c r="F4" s="98"/>
      <c r="G4" s="98"/>
      <c r="H4" s="98"/>
    </row>
    <row r="5" spans="1:8">
      <c r="A5" s="141" t="s">
        <v>1823</v>
      </c>
      <c r="B5" s="141"/>
      <c r="C5" s="141"/>
      <c r="D5" s="141"/>
      <c r="E5" s="98"/>
      <c r="F5" s="98"/>
      <c r="G5" s="98"/>
      <c r="H5" s="98"/>
    </row>
    <row r="6" spans="1:8">
      <c r="A6" s="138" t="s">
        <v>1741</v>
      </c>
      <c r="B6" s="138" t="s">
        <v>7</v>
      </c>
      <c r="C6" s="138" t="s">
        <v>8</v>
      </c>
      <c r="D6" s="138" t="s">
        <v>1824</v>
      </c>
      <c r="E6" s="98"/>
      <c r="F6" s="98"/>
      <c r="G6" s="98"/>
      <c r="H6" s="98"/>
    </row>
    <row r="7" spans="1:8" ht="29" customHeight="1">
      <c r="A7" s="98" t="s">
        <v>1738</v>
      </c>
      <c r="B7" s="123">
        <v>12000</v>
      </c>
      <c r="C7" s="98" t="s">
        <v>1806</v>
      </c>
      <c r="D7" s="98" t="s">
        <v>1825</v>
      </c>
      <c r="E7" s="98"/>
      <c r="F7" s="98"/>
      <c r="G7" s="98"/>
      <c r="H7" s="98"/>
    </row>
    <row r="8" spans="1:8">
      <c r="A8" s="98" t="s">
        <v>1826</v>
      </c>
      <c r="B8" s="123">
        <f>SUMIFS('11_Ingresos'!$C$5:$C$403,'11_Ingresos'!$K$5:$K$403,$B$3)</f>
        <v>1930028</v>
      </c>
      <c r="C8" s="98" t="s">
        <v>1806</v>
      </c>
      <c r="D8" s="98" t="s">
        <v>1827</v>
      </c>
      <c r="E8" s="98"/>
      <c r="F8" s="98"/>
      <c r="G8" s="98"/>
      <c r="H8" s="98"/>
    </row>
    <row r="9" spans="1:8">
      <c r="A9" s="98" t="s">
        <v>1828</v>
      </c>
      <c r="B9" s="123">
        <f>SUMIFS('12_Gastos'!$D$5:$D$403,'12_Gastos'!$I$5:$I$403,$B$3,'12_Gastos'!$J$5:$J$403,"Gasto real")</f>
        <v>525069</v>
      </c>
      <c r="C9" s="98" t="s">
        <v>1806</v>
      </c>
      <c r="D9" s="98" t="s">
        <v>1829</v>
      </c>
      <c r="E9" s="98"/>
      <c r="F9" s="98"/>
      <c r="G9" s="98"/>
      <c r="H9" s="98"/>
    </row>
    <row r="10" spans="1:8">
      <c r="A10" s="98" t="s">
        <v>1830</v>
      </c>
      <c r="B10" s="123">
        <f>SUMIFS('12_Gastos'!$D$5:$D$403,'12_Gastos'!$I$5:$I$403,$B$3,'12_Gastos'!$J$5:$J$403,"Movimiento patrimonial")</f>
        <v>10000</v>
      </c>
      <c r="C10" s="98" t="s">
        <v>1806</v>
      </c>
      <c r="D10" s="98" t="s">
        <v>1831</v>
      </c>
      <c r="E10" s="98"/>
      <c r="F10" s="98"/>
      <c r="G10" s="98"/>
      <c r="H10" s="98"/>
    </row>
    <row r="11" spans="1:8">
      <c r="A11" s="98" t="s">
        <v>1832</v>
      </c>
      <c r="B11" s="123">
        <f>SUMIFS('14_Inversiones'!$I$5:$I$403,'14_Inversiones'!$L$5:$L$403,$B$3,'14_Inversiones'!$C$5:$C$403,"Retiro")</f>
        <v>46749</v>
      </c>
      <c r="C11" s="98" t="s">
        <v>1806</v>
      </c>
      <c r="D11" s="98" t="s">
        <v>1833</v>
      </c>
      <c r="E11" s="98"/>
      <c r="F11" s="98"/>
      <c r="G11" s="98"/>
      <c r="H11" s="98"/>
    </row>
    <row r="12" spans="1:8">
      <c r="A12" s="148" t="s">
        <v>1834</v>
      </c>
      <c r="B12" s="231">
        <f>B7+B8-B9-B10+B11</f>
        <v>1453708</v>
      </c>
      <c r="C12" s="148" t="s">
        <v>1806</v>
      </c>
      <c r="D12" s="148" t="s">
        <v>1835</v>
      </c>
      <c r="E12" s="98"/>
      <c r="F12" s="98"/>
      <c r="G12" s="98"/>
      <c r="H12" s="98"/>
    </row>
    <row r="13" spans="1:8">
      <c r="A13" s="98"/>
      <c r="B13" s="98"/>
      <c r="C13" s="98"/>
      <c r="D13" s="98"/>
      <c r="E13" s="98"/>
      <c r="F13" s="98"/>
      <c r="G13" s="98"/>
      <c r="H13" s="98"/>
    </row>
    <row r="14" spans="1:8">
      <c r="A14" s="142" t="s">
        <v>1836</v>
      </c>
      <c r="B14" s="142"/>
      <c r="C14" s="142"/>
      <c r="D14" s="142"/>
      <c r="E14" s="98"/>
      <c r="F14" s="98"/>
      <c r="G14" s="98"/>
      <c r="H14" s="98"/>
    </row>
    <row r="15" spans="1:8">
      <c r="A15" s="138" t="s">
        <v>1786</v>
      </c>
      <c r="B15" s="138" t="s">
        <v>1787</v>
      </c>
      <c r="C15" s="138" t="s">
        <v>8</v>
      </c>
      <c r="D15" s="138" t="s">
        <v>656</v>
      </c>
      <c r="E15" s="98"/>
      <c r="F15" s="98"/>
      <c r="G15" s="98"/>
      <c r="H15" s="98"/>
    </row>
    <row r="16" spans="1:8">
      <c r="A16" s="98" t="s">
        <v>1789</v>
      </c>
      <c r="B16" s="123">
        <v>1735</v>
      </c>
      <c r="C16" s="98" t="s">
        <v>1790</v>
      </c>
      <c r="D16" s="98" t="s">
        <v>1791</v>
      </c>
      <c r="E16" s="98"/>
      <c r="F16" s="98"/>
      <c r="G16" s="98"/>
      <c r="H16" s="98"/>
    </row>
    <row r="17" spans="1:8">
      <c r="A17" s="98" t="s">
        <v>1793</v>
      </c>
      <c r="B17" s="123">
        <v>40900</v>
      </c>
      <c r="C17" s="98" t="s">
        <v>1790</v>
      </c>
      <c r="D17" s="98" t="s">
        <v>1794</v>
      </c>
      <c r="E17" s="98"/>
      <c r="F17" s="98"/>
      <c r="G17" s="98"/>
      <c r="H17" s="98"/>
    </row>
    <row r="18" spans="1:8">
      <c r="A18" s="98" t="s">
        <v>1797</v>
      </c>
      <c r="B18" s="123">
        <v>54</v>
      </c>
      <c r="C18" s="98" t="s">
        <v>1790</v>
      </c>
      <c r="D18" s="98" t="s">
        <v>1794</v>
      </c>
      <c r="E18" s="98"/>
      <c r="F18" s="98"/>
      <c r="G18" s="98"/>
      <c r="H18" s="98"/>
    </row>
    <row r="19" spans="1:8">
      <c r="A19" s="98" t="s">
        <v>1451</v>
      </c>
      <c r="B19" s="123">
        <v>3300</v>
      </c>
      <c r="C19" s="98" t="s">
        <v>1451</v>
      </c>
      <c r="D19" s="98" t="s">
        <v>1794</v>
      </c>
      <c r="E19" s="98"/>
      <c r="F19" s="98"/>
      <c r="G19" s="98"/>
      <c r="H19" s="98"/>
    </row>
    <row r="20" spans="1:8">
      <c r="A20" s="98" t="s">
        <v>1802</v>
      </c>
      <c r="B20" s="123">
        <v>5800</v>
      </c>
      <c r="C20" s="98" t="s">
        <v>1490</v>
      </c>
      <c r="D20" s="98" t="s">
        <v>1794</v>
      </c>
      <c r="E20" s="98"/>
      <c r="F20" s="98"/>
      <c r="G20" s="98"/>
      <c r="H20" s="98"/>
    </row>
    <row r="21" spans="1:8">
      <c r="A21" s="98" t="s">
        <v>1804</v>
      </c>
      <c r="B21" s="123">
        <v>0</v>
      </c>
      <c r="C21" s="98" t="s">
        <v>764</v>
      </c>
      <c r="D21" s="98" t="s">
        <v>1794</v>
      </c>
      <c r="E21" s="98"/>
      <c r="F21" s="98"/>
      <c r="G21" s="98"/>
      <c r="H21" s="98"/>
    </row>
    <row r="22" spans="1:8">
      <c r="A22" s="148" t="s">
        <v>1837</v>
      </c>
      <c r="B22" s="231">
        <f>SUM(B16:B21)</f>
        <v>51789</v>
      </c>
      <c r="C22" s="148" t="s">
        <v>1806</v>
      </c>
      <c r="D22" s="148" t="s">
        <v>1807</v>
      </c>
      <c r="E22" s="98"/>
      <c r="F22" s="98"/>
      <c r="G22" s="98"/>
      <c r="H22" s="98"/>
    </row>
    <row r="23" spans="1:8">
      <c r="A23" s="98"/>
      <c r="B23" s="123"/>
      <c r="C23" s="98"/>
      <c r="D23" s="98"/>
      <c r="E23" s="98"/>
      <c r="F23" s="98"/>
      <c r="G23" s="98"/>
      <c r="H23" s="98"/>
    </row>
    <row r="24" spans="1:8">
      <c r="A24" s="141" t="s">
        <v>1838</v>
      </c>
      <c r="B24" s="143"/>
      <c r="C24" s="141"/>
      <c r="D24" s="141"/>
      <c r="E24" s="98"/>
      <c r="F24" s="98"/>
      <c r="G24" s="98"/>
      <c r="H24" s="98"/>
    </row>
    <row r="25" spans="1:8">
      <c r="A25" s="138" t="s">
        <v>1741</v>
      </c>
      <c r="B25" s="144" t="s">
        <v>7</v>
      </c>
      <c r="C25" s="138" t="s">
        <v>655</v>
      </c>
      <c r="D25" s="138" t="s">
        <v>1765</v>
      </c>
      <c r="E25" s="98"/>
      <c r="F25" s="98"/>
      <c r="G25" s="98"/>
      <c r="H25" s="98"/>
    </row>
    <row r="26" spans="1:8" ht="29" customHeight="1">
      <c r="A26" s="98" t="s">
        <v>1810</v>
      </c>
      <c r="B26" s="123">
        <f>B22-B12</f>
        <v>-1401919</v>
      </c>
      <c r="C26" s="98" t="str">
        <f>IF(ABS(B26)&lt;=D$3,"🟢 Conciliado",IF(ABS(B26)&lt;=5000,"🟡 Revisar","🔴 Diferencia crítica"))</f>
        <v>🔴 Diferencia crítica</v>
      </c>
      <c r="D26" s="98" t="s">
        <v>1839</v>
      </c>
      <c r="E26" s="98"/>
      <c r="F26" s="98"/>
      <c r="G26" s="98"/>
      <c r="H26" s="98"/>
    </row>
    <row r="27" spans="1:8" ht="29" customHeight="1">
      <c r="A27" s="98" t="s">
        <v>1814</v>
      </c>
      <c r="B27" s="123">
        <f>ABS(B26)</f>
        <v>1401919</v>
      </c>
      <c r="C27" s="98" t="str">
        <f>IF(ABS(B26)&lt;=D$3,"🟢 Conciliado",IF(ABS(B26)&lt;=5000,"🟡 Revisar","🔴 Diferencia crítica"))</f>
        <v>🔴 Diferencia crítica</v>
      </c>
      <c r="D27" s="98" t="s">
        <v>1815</v>
      </c>
      <c r="E27" s="98"/>
      <c r="F27" s="98"/>
      <c r="G27" s="98"/>
      <c r="H27" s="98"/>
    </row>
    <row r="28" spans="1:8" ht="29" customHeight="1">
      <c r="A28" s="98" t="s">
        <v>655</v>
      </c>
      <c r="B28" s="98" t="str">
        <f>IF(B27&lt;=$D$3,"🟢 Conciliado",IF(B27&lt;=10000,"🟡 Revisar","🔴 Diferencia crítica"))</f>
        <v>🔴 Diferencia crítica</v>
      </c>
      <c r="C28" s="98" t="str">
        <f>C26</f>
        <v>🔴 Diferencia crítica</v>
      </c>
      <c r="D28" s="98" t="s">
        <v>1816</v>
      </c>
      <c r="E28" s="98"/>
      <c r="F28" s="98"/>
      <c r="G28" s="98"/>
      <c r="H28" s="98"/>
    </row>
    <row r="29" spans="1:8" ht="29" customHeight="1">
      <c r="A29" s="98" t="s">
        <v>1817</v>
      </c>
      <c r="B29" s="98" t="str">
        <f>IF(B28="🟢 Conciliado","Cerrar mes","Revisar movimientos bancarios vs Excel")</f>
        <v>Revisar movimientos bancarios vs Excel</v>
      </c>
      <c r="C29" s="98" t="str">
        <f>B28</f>
        <v>🔴 Diferencia crítica</v>
      </c>
      <c r="D29" s="98" t="s">
        <v>1840</v>
      </c>
      <c r="E29" s="98"/>
      <c r="F29" s="98"/>
      <c r="G29" s="98"/>
      <c r="H29" s="98"/>
    </row>
    <row r="30" spans="1:8">
      <c r="A30" s="98" t="s">
        <v>1819</v>
      </c>
      <c r="B30" s="98"/>
      <c r="C30" s="98"/>
      <c r="D30" s="98" t="s">
        <v>1820</v>
      </c>
      <c r="E30" s="98"/>
      <c r="F30" s="98"/>
      <c r="G30" s="98"/>
      <c r="H30" s="98"/>
    </row>
  </sheetData>
  <mergeCells count="2">
    <mergeCell ref="A2:H2"/>
    <mergeCell ref="A1:H1"/>
  </mergeCells>
  <conditionalFormatting sqref="B28:C30">
    <cfRule type="expression" dxfId="795" priority="1">
      <formula>ISNUMBER(SEARCH("Conciliado",B28))</formula>
    </cfRule>
    <cfRule type="expression" dxfId="794" priority="2">
      <formula>ISNUMBER(SEARCH("Cumple",B28))</formula>
    </cfRule>
    <cfRule type="expression" dxfId="793" priority="3">
      <formula>ISNUMBER(SEARCH("Dominio",B28))</formula>
    </cfRule>
    <cfRule type="expression" dxfId="792" priority="4">
      <formula>ISNUMBER(SEARCH("Cerrado",B28))</formula>
    </cfRule>
    <cfRule type="expression" dxfId="791" priority="5">
      <formula>ISNUMBER(SEARCH("Activo",B28))</formula>
    </cfRule>
    <cfRule type="expression" dxfId="790" priority="6">
      <formula>ISNUMBER(SEARCH("En proceso",B28))</formula>
    </cfRule>
    <cfRule type="expression" dxfId="789" priority="7">
      <formula>ISNUMBER(SEARCH("Atención",B28))</formula>
    </cfRule>
    <cfRule type="expression" dxfId="788" priority="8">
      <formula>ISNUMBER(SEARCH("Revisar",B28))</formula>
    </cfRule>
    <cfRule type="expression" dxfId="787" priority="9">
      <formula>ISNUMBER(SEARCH("Pendiente",B28))</formula>
    </cfRule>
    <cfRule type="expression" dxfId="786" priority="10">
      <formula>ISNUMBER(SEARCH("Diferencia crítica",B28))</formula>
    </cfRule>
    <cfRule type="expression" dxfId="785" priority="11">
      <formula>ISNUMBER(SEARCH("Crítico",B28))</formula>
    </cfRule>
    <cfRule type="expression" dxfId="784" priority="12">
      <formula>ISNUMBER(SEARCH("Riesgo",B28))</formula>
    </cfRule>
    <cfRule type="expression" dxfId="783" priority="13">
      <formula>ISNUMBER(SEARCH("No iniciado",B28))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BFBFBF"/>
  </sheetPr>
  <dimension ref="A1:X220"/>
  <sheetViews>
    <sheetView showGridLines="0" workbookViewId="0"/>
  </sheetViews>
  <sheetFormatPr baseColWidth="10" defaultColWidth="8.7265625" defaultRowHeight="14.5"/>
  <cols>
    <col min="1" max="1" width="26" customWidth="1"/>
    <col min="2" max="2" width="16" customWidth="1"/>
    <col min="3" max="3" width="10" customWidth="1"/>
    <col min="4" max="4" width="16" customWidth="1"/>
    <col min="5" max="6" width="12" customWidth="1"/>
    <col min="7" max="7" width="14" customWidth="1"/>
    <col min="8" max="8" width="18" customWidth="1"/>
    <col min="9" max="9" width="14.26953125" customWidth="1"/>
    <col min="10" max="10" width="23.36328125" customWidth="1"/>
    <col min="11" max="11" width="22.54296875" customWidth="1"/>
    <col min="12" max="12" width="23.08984375" customWidth="1"/>
    <col min="13" max="13" width="17.08984375" customWidth="1"/>
    <col min="14" max="14" width="18" customWidth="1"/>
    <col min="15" max="15" width="16" customWidth="1"/>
    <col min="16" max="16" width="18" customWidth="1"/>
    <col min="17" max="17" width="32" customWidth="1"/>
    <col min="18" max="18" width="12" customWidth="1"/>
    <col min="19" max="19" width="22" customWidth="1"/>
    <col min="21" max="21" width="28" customWidth="1"/>
    <col min="22" max="22" width="16" customWidth="1"/>
    <col min="23" max="23" width="18" customWidth="1"/>
    <col min="24" max="24" width="32" customWidth="1"/>
  </cols>
  <sheetData>
    <row r="1" spans="1:24" ht="28" customHeight="1">
      <c r="A1" s="446" t="s">
        <v>1841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173"/>
      <c r="M1" s="173"/>
      <c r="N1" s="173"/>
      <c r="O1" s="173"/>
      <c r="P1" s="173"/>
      <c r="Q1" s="173"/>
      <c r="R1" s="173"/>
      <c r="S1" s="173"/>
      <c r="T1" s="173"/>
      <c r="U1" s="175" t="s">
        <v>1842</v>
      </c>
      <c r="V1" s="175"/>
      <c r="W1" s="175"/>
      <c r="X1" s="175"/>
    </row>
    <row r="2" spans="1:24">
      <c r="A2" s="458" t="s">
        <v>1843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174"/>
      <c r="P2" s="174"/>
      <c r="Q2" s="174"/>
      <c r="R2" s="174"/>
      <c r="S2" s="174"/>
      <c r="T2" s="174"/>
      <c r="U2" s="174"/>
      <c r="V2" s="174"/>
      <c r="W2" s="174"/>
      <c r="X2" s="174"/>
    </row>
    <row r="3" spans="1:24" ht="22.5" customHeight="1">
      <c r="A3" s="175" t="s">
        <v>1300</v>
      </c>
      <c r="B3" s="175" t="s">
        <v>7</v>
      </c>
      <c r="C3" s="175" t="s">
        <v>655</v>
      </c>
      <c r="D3" s="175" t="s">
        <v>1844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75"/>
      <c r="V3" s="175"/>
      <c r="W3" s="175"/>
      <c r="X3" s="175"/>
    </row>
    <row r="4" spans="1:24" ht="29" customHeight="1">
      <c r="A4" s="175" t="s">
        <v>79</v>
      </c>
      <c r="B4" s="175" t="s">
        <v>1669</v>
      </c>
      <c r="C4" s="175" t="s">
        <v>1395</v>
      </c>
      <c r="D4" s="175" t="s">
        <v>1629</v>
      </c>
      <c r="E4" s="175" t="s">
        <v>1845</v>
      </c>
      <c r="F4" s="175" t="s">
        <v>1846</v>
      </c>
      <c r="G4" s="175" t="s">
        <v>1847</v>
      </c>
      <c r="H4" s="175" t="s">
        <v>1848</v>
      </c>
      <c r="I4" s="175" t="s">
        <v>1671</v>
      </c>
      <c r="J4" s="175" t="s">
        <v>1849</v>
      </c>
      <c r="K4" s="175" t="s">
        <v>1708</v>
      </c>
      <c r="L4" s="175" t="s">
        <v>1850</v>
      </c>
      <c r="M4" s="175" t="s">
        <v>1627</v>
      </c>
      <c r="N4" s="256" t="s">
        <v>1626</v>
      </c>
      <c r="O4" s="175" t="s">
        <v>1668</v>
      </c>
      <c r="P4" s="175" t="s">
        <v>655</v>
      </c>
      <c r="Q4" s="175" t="s">
        <v>656</v>
      </c>
      <c r="R4" s="175" t="s">
        <v>1061</v>
      </c>
      <c r="S4" s="175" t="s">
        <v>252</v>
      </c>
      <c r="T4" s="132"/>
      <c r="U4" s="132" t="s">
        <v>1851</v>
      </c>
      <c r="V4" s="171">
        <f>SUMIF(C5:C204,"USD",G5:G204)*950+SUMIF(C5:C204,"CLP",G5:G204)</f>
        <v>240421.5</v>
      </c>
      <c r="W4" s="132" t="str">
        <f>IF(V4&gt;0,"🟢 Activo","🟡 Sin datos")</f>
        <v>🟢 Activo</v>
      </c>
      <c r="X4" s="132" t="s">
        <v>1852</v>
      </c>
    </row>
    <row r="5" spans="1:24" ht="43.5" customHeight="1">
      <c r="A5" s="132" t="s">
        <v>1633</v>
      </c>
      <c r="B5" s="132" t="s">
        <v>1674</v>
      </c>
      <c r="C5" s="132" t="s">
        <v>1635</v>
      </c>
      <c r="D5" s="132" t="s">
        <v>1636</v>
      </c>
      <c r="E5" s="176">
        <f>IF(A5="","",SUMIFS('14_Inversiones'!$E$5:$E$203,'14_Inversiones'!$B$5:$B$203,A5,'14_Inversiones'!$D$5:$D$203,C5,'14_Inversiones'!$C$5:$C$203,"Compra")+SUMIFS('14_Inversiones'!$E$5:$E$203,'14_Inversiones'!$B$5:$B$203,A5,'14_Inversiones'!$D$5:$D$203,C5,'14_Inversiones'!$C$5:$C$203,"Aporte")+SUMIFS('14_Inversiones'!$E$5:$E$203,'14_Inversiones'!$B$5:$B$203,A5,'14_Inversiones'!$D$5:$D$203,C5,'14_Inversiones'!$C$5:$C$203,"Ajuste"))</f>
        <v>176.37</v>
      </c>
      <c r="F5" s="176">
        <f>IF(A5="","",SUMIFS('14_Inversiones'!$E$5:$E$203,'14_Inversiones'!$B$5:$B$203,A5,'14_Inversiones'!$D$5:$D$203,C5,'14_Inversiones'!$C$5:$C$203,"Retiro")+SUMIFS('14_Inversiones'!$E$5:$E$203,'14_Inversiones'!$B$5:$B$203,A5,'14_Inversiones'!$D$5:$D$203,C5,'14_Inversiones'!$C$5:$C$203,"Venta"))</f>
        <v>0</v>
      </c>
      <c r="G5" s="176">
        <f t="shared" ref="G5:G36" si="0">IF(A5="","",E5-F5)</f>
        <v>176.37</v>
      </c>
      <c r="H5" s="176">
        <f>IF(A5="","",IFERROR(INDEX('09_Posicion_Actual'!$G$5:$G$204,MATCH(A5,'09_Posicion_Actual'!$B$5:$B$204,0)),0))</f>
        <v>86.29</v>
      </c>
      <c r="I5" s="171">
        <f>IF(A5="","",IFERROR(INDEX('09_Posicion_Actual'!$I$5:$I$204,MATCH(A5,'09_Posicion_Actual'!$B$5:$B$204,0)),0))</f>
        <v>81975.5</v>
      </c>
      <c r="J5" s="176">
        <f t="shared" ref="J5:J36" si="1">IF(A5="","",H5-G5)</f>
        <v>-90.08</v>
      </c>
      <c r="K5" s="171">
        <f>IF(A5="","",IF(C5="USD",J5*IFERROR(INDEX('09_Posicion_Actual'!$H$5:$H$204,MATCH(A5,'09_Posicion_Actual'!$B$5:$B$204,0)),950),J5))</f>
        <v>-85576</v>
      </c>
      <c r="L5" s="180">
        <f t="shared" ref="L5:L36" si="2">IF(OR(A5="",G5&lt;=0),"",J5/G5)</f>
        <v>-0.51074445767420762</v>
      </c>
      <c r="M5" s="176">
        <f>IF(A5="","",IFERROR(INDEX('09_Posicion_Actual'!$F$5:$F$204,MATCH(A5,'09_Posicion_Actual'!$B$5:$B$204,0)),""))</f>
        <v>84.62</v>
      </c>
      <c r="N5" s="177">
        <f>IF(A5="","",IFERROR(INDEX('09_Posicion_Actual'!$E$5:$E$204,MATCH(A5,'09_Posicion_Actual'!$B$5:$B$204,0)),""))</f>
        <v>1.0205121500000001</v>
      </c>
      <c r="O5" s="131">
        <f>IF(A5="","",IFERROR(INDEX('09_Posicion_Actual'!$A$5:$A$204,MATCH(A5,'09_Posicion_Actual'!$B$5:$B$204,0)),""))</f>
        <v>46174</v>
      </c>
      <c r="P5" s="132" t="str">
        <f t="shared" ref="P5:P36" si="3">IF(A5="","",IF(G5&lt;=0,"🟡 Revisar aporte",IF(J5&gt;0,"🟢 Ganancia",IF(J5&lt;0,"🔴 Pérdida","🟡 Neutra"))))</f>
        <v>🔴 Pérdida</v>
      </c>
      <c r="Q5" s="132" t="str">
        <f t="shared" ref="Q5:Q36" si="4">IF(A5="","","Rentabilidad acumulada desde aportes registrados; no diaria ni mensual")</f>
        <v>Rentabilidad acumulada desde aportes registrados; no diaria ni mensual</v>
      </c>
      <c r="R5" s="132" t="str">
        <f>IF(A5="","",IFERROR(INDEX('09_Posicion_Actual'!$P$5:$P$204,MATCH(A5,'09_Posicion_Actual'!$B$5:$B$204,0)),""))</f>
        <v>junio</v>
      </c>
      <c r="S5" s="132" t="str">
        <f t="shared" ref="S5:S36" si="5">IF(A5="","","14_Inversiones + 09_Posicion_Actual")</f>
        <v>14_Inversiones + 09_Posicion_Actual</v>
      </c>
      <c r="T5" s="132"/>
      <c r="U5" s="132" t="s">
        <v>1853</v>
      </c>
      <c r="V5" s="171">
        <f>SUM(I5:I204)</f>
        <v>236224</v>
      </c>
      <c r="W5" s="132" t="str">
        <f>IF(V5&gt;0,"🟢 Activo","🟡 Sin datos")</f>
        <v>🟢 Activo</v>
      </c>
      <c r="X5" s="132" t="s">
        <v>1854</v>
      </c>
    </row>
    <row r="6" spans="1:24" ht="43.5" customHeight="1">
      <c r="A6" s="132" t="s">
        <v>1642</v>
      </c>
      <c r="B6" s="132" t="s">
        <v>1674</v>
      </c>
      <c r="C6" s="132" t="s">
        <v>1635</v>
      </c>
      <c r="D6" s="132" t="s">
        <v>1636</v>
      </c>
      <c r="E6" s="176">
        <f>IF(A6="","",SUMIFS('14_Inversiones'!$E$5:$E$203,'14_Inversiones'!$B$5:$B$203,A6,'14_Inversiones'!$D$5:$D$203,C6,'14_Inversiones'!$C$5:$C$203,"Compra")+SUMIFS('14_Inversiones'!$E$5:$E$203,'14_Inversiones'!$B$5:$B$203,A6,'14_Inversiones'!$D$5:$D$203,C6,'14_Inversiones'!$C$5:$C$203,"Aporte")+SUMIFS('14_Inversiones'!$E$5:$E$203,'14_Inversiones'!$B$5:$B$203,A6,'14_Inversiones'!$D$5:$D$203,C6,'14_Inversiones'!$C$5:$C$203,"Ajuste"))</f>
        <v>54.6</v>
      </c>
      <c r="F6" s="176">
        <f>IF(A6="","",SUMIFS('14_Inversiones'!$E$5:$E$203,'14_Inversiones'!$B$5:$B$203,A6,'14_Inversiones'!$D$5:$D$203,C6,'14_Inversiones'!$C$5:$C$203,"Retiro")+SUMIFS('14_Inversiones'!$E$5:$E$203,'14_Inversiones'!$B$5:$B$203,A6,'14_Inversiones'!$D$5:$D$203,C6,'14_Inversiones'!$C$5:$C$203,"Venta"))</f>
        <v>0</v>
      </c>
      <c r="G6" s="176">
        <f t="shared" si="0"/>
        <v>54.6</v>
      </c>
      <c r="H6" s="176">
        <f>IF(A6="","",IFERROR(INDEX('09_Posicion_Actual'!$G$5:$G$204,MATCH(A6,'09_Posicion_Actual'!$B$5:$B$204,0)),0))</f>
        <v>60.89</v>
      </c>
      <c r="I6" s="171">
        <f>IF(A6="","",IFERROR(INDEX('09_Posicion_Actual'!$I$5:$I$204,MATCH(A6,'09_Posicion_Actual'!$B$5:$B$204,0)),0))</f>
        <v>57845.5</v>
      </c>
      <c r="J6" s="176">
        <f t="shared" si="1"/>
        <v>6.2899999999999991</v>
      </c>
      <c r="K6" s="171">
        <f>IF(A6="","",IF(C6="USD",J6*IFERROR(INDEX('09_Posicion_Actual'!$H$5:$H$204,MATCH(A6,'09_Posicion_Actual'!$B$5:$B$204,0)),950),J6))</f>
        <v>5975.4999999999991</v>
      </c>
      <c r="L6" s="180">
        <f t="shared" si="2"/>
        <v>0.11520146520146518</v>
      </c>
      <c r="M6" s="176">
        <f>IF(A6="","",IFERROR(INDEX('09_Posicion_Actual'!$F$5:$F$204,MATCH(A6,'09_Posicion_Actual'!$B$5:$B$204,0)),""))</f>
        <v>573.62</v>
      </c>
      <c r="N6" s="177">
        <f>IF(A6="","",IFERROR(INDEX('09_Posicion_Actual'!$E$5:$E$204,MATCH(A6,'09_Posicion_Actual'!$B$5:$B$204,0)),""))</f>
        <v>0.10614771000000001</v>
      </c>
      <c r="O6" s="131">
        <f>IF(A6="","",IFERROR(INDEX('09_Posicion_Actual'!$A$5:$A$204,MATCH(A6,'09_Posicion_Actual'!$B$5:$B$204,0)),""))</f>
        <v>46174</v>
      </c>
      <c r="P6" s="132" t="str">
        <f t="shared" si="3"/>
        <v>🟢 Ganancia</v>
      </c>
      <c r="Q6" s="132" t="str">
        <f t="shared" si="4"/>
        <v>Rentabilidad acumulada desde aportes registrados; no diaria ni mensual</v>
      </c>
      <c r="R6" s="132" t="str">
        <f>IF(A6="","",IFERROR(INDEX('09_Posicion_Actual'!$P$5:$P$204,MATCH(A6,'09_Posicion_Actual'!$B$5:$B$204,0)),""))</f>
        <v>junio</v>
      </c>
      <c r="S6" s="132" t="str">
        <f t="shared" si="5"/>
        <v>14_Inversiones + 09_Posicion_Actual</v>
      </c>
      <c r="T6" s="132"/>
      <c r="U6" s="132" t="s">
        <v>1855</v>
      </c>
      <c r="V6" s="171">
        <f>V5-V4</f>
        <v>-4197.5</v>
      </c>
      <c r="W6" s="132" t="str">
        <f>IF(V6&gt;0,"🟢 Ganancia",IF(V6&lt;0,"🔴 Pérdida","🟡 Neutra"))</f>
        <v>🔴 Pérdida</v>
      </c>
      <c r="X6" s="132" t="s">
        <v>1856</v>
      </c>
    </row>
    <row r="7" spans="1:24" ht="43.5" customHeight="1">
      <c r="A7" s="132" t="s">
        <v>1656</v>
      </c>
      <c r="B7" s="132" t="s">
        <v>1679</v>
      </c>
      <c r="C7" s="132" t="s">
        <v>1402</v>
      </c>
      <c r="D7" s="132" t="s">
        <v>1657</v>
      </c>
      <c r="E7" s="176">
        <f>IF(A7="","",SUMIFS('14_Inversiones'!$E$5:$E$203,'14_Inversiones'!$B$5:$B$203,A7,'14_Inversiones'!$D$5:$D$203,C7,'14_Inversiones'!$C$5:$C$203,"Compra")+SUMIFS('14_Inversiones'!$E$5:$E$203,'14_Inversiones'!$B$5:$B$203,A7,'14_Inversiones'!$D$5:$D$203,C7,'14_Inversiones'!$C$5:$C$203,"Aporte")+SUMIFS('14_Inversiones'!$E$5:$E$203,'14_Inversiones'!$B$5:$B$203,A7,'14_Inversiones'!$D$5:$D$203,C7,'14_Inversiones'!$C$5:$C$203,"Ajuste"))</f>
        <v>20000</v>
      </c>
      <c r="F7" s="176">
        <f>IF(A7="","",SUMIFS('14_Inversiones'!$E$5:$E$203,'14_Inversiones'!$B$5:$B$203,A7,'14_Inversiones'!$D$5:$D$203,C7,'14_Inversiones'!$C$5:$C$203,"Retiro")+SUMIFS('14_Inversiones'!$E$5:$E$203,'14_Inversiones'!$B$5:$B$203,A7,'14_Inversiones'!$D$5:$D$203,C7,'14_Inversiones'!$C$5:$C$203,"Venta"))</f>
        <v>35000</v>
      </c>
      <c r="G7" s="176">
        <f t="shared" si="0"/>
        <v>-15000</v>
      </c>
      <c r="H7" s="176">
        <f>IF(A7="","",IFERROR(INDEX('09_Posicion_Actual'!$G$5:$G$204,MATCH(A7,'09_Posicion_Actual'!$B$5:$B$204,0)),0))</f>
        <v>26000</v>
      </c>
      <c r="I7" s="171">
        <f>IF(A7="","",IFERROR(INDEX('09_Posicion_Actual'!$I$5:$I$204,MATCH(A7,'09_Posicion_Actual'!$B$5:$B$204,0)),0))</f>
        <v>26000</v>
      </c>
      <c r="J7" s="176">
        <f t="shared" si="1"/>
        <v>41000</v>
      </c>
      <c r="K7" s="171">
        <f>IF(A7="","",IF(C7="USD",J7*IFERROR(INDEX('09_Posicion_Actual'!$H$5:$H$204,MATCH(A7,'09_Posicion_Actual'!$B$5:$B$204,0)),950),J7))</f>
        <v>41000</v>
      </c>
      <c r="L7" s="180" t="str">
        <f t="shared" si="2"/>
        <v/>
      </c>
      <c r="M7" s="176">
        <f>IF(A7="","",IFERROR(INDEX('09_Posicion_Actual'!$F$5:$F$204,MATCH(A7,'09_Posicion_Actual'!$B$5:$B$204,0)),""))</f>
        <v>0</v>
      </c>
      <c r="N7" s="177">
        <f>IF(A7="","",IFERROR(INDEX('09_Posicion_Actual'!$E$5:$E$204,MATCH(A7,'09_Posicion_Actual'!$B$5:$B$204,0)),""))</f>
        <v>0</v>
      </c>
      <c r="O7" s="131">
        <f>IF(A7="","",IFERROR(INDEX('09_Posicion_Actual'!$A$5:$A$204,MATCH(A7,'09_Posicion_Actual'!$B$5:$B$204,0)),""))</f>
        <v>46174</v>
      </c>
      <c r="P7" s="132" t="str">
        <f t="shared" si="3"/>
        <v>🟡 Revisar aporte</v>
      </c>
      <c r="Q7" s="132" t="str">
        <f t="shared" si="4"/>
        <v>Rentabilidad acumulada desde aportes registrados; no diaria ni mensual</v>
      </c>
      <c r="R7" s="132" t="str">
        <f>IF(A7="","",IFERROR(INDEX('09_Posicion_Actual'!$P$5:$P$204,MATCH(A7,'09_Posicion_Actual'!$B$5:$B$204,0)),""))</f>
        <v>junio</v>
      </c>
      <c r="S7" s="132" t="str">
        <f t="shared" si="5"/>
        <v>14_Inversiones + 09_Posicion_Actual</v>
      </c>
      <c r="T7" s="132"/>
      <c r="U7" s="132" t="s">
        <v>1857</v>
      </c>
      <c r="V7" s="180">
        <f>IFERROR(V6/V4,0)</f>
        <v>-1.7458921103145935E-2</v>
      </c>
      <c r="W7" s="132" t="str">
        <f>IF(V7&gt;0,"🟢 Ganancia",IF(V7&lt;0,"🔴 Pérdida","🟡 Neutra"))</f>
        <v>🔴 Pérdida</v>
      </c>
      <c r="X7" s="132" t="s">
        <v>1858</v>
      </c>
    </row>
    <row r="8" spans="1:24" ht="43.5" customHeight="1">
      <c r="A8" s="132" t="s">
        <v>1646</v>
      </c>
      <c r="B8" s="132" t="s">
        <v>1681</v>
      </c>
      <c r="C8" s="132" t="s">
        <v>1402</v>
      </c>
      <c r="D8" s="132" t="s">
        <v>1636</v>
      </c>
      <c r="E8" s="176">
        <f>IF(A8="","",SUMIFS('14_Inversiones'!$E$5:$E$203,'14_Inversiones'!$B$5:$B$203,A8,'14_Inversiones'!$D$5:$D$203,C8,'14_Inversiones'!$C$5:$C$203,"Compra")+SUMIFS('14_Inversiones'!$E$5:$E$203,'14_Inversiones'!$B$5:$B$203,A8,'14_Inversiones'!$D$5:$D$203,C8,'14_Inversiones'!$C$5:$C$203,"Aporte")+SUMIFS('14_Inversiones'!$E$5:$E$203,'14_Inversiones'!$B$5:$B$203,A8,'14_Inversiones'!$D$5:$D$203,C8,'14_Inversiones'!$C$5:$C$203,"Ajuste"))</f>
        <v>56000</v>
      </c>
      <c r="F8" s="176">
        <f>IF(A8="","",SUMIFS('14_Inversiones'!$E$5:$E$203,'14_Inversiones'!$B$5:$B$203,A8,'14_Inversiones'!$D$5:$D$203,C8,'14_Inversiones'!$C$5:$C$203,"Retiro")+SUMIFS('14_Inversiones'!$E$5:$E$203,'14_Inversiones'!$B$5:$B$203,A8,'14_Inversiones'!$D$5:$D$203,C8,'14_Inversiones'!$C$5:$C$203,"Venta"))</f>
        <v>40000</v>
      </c>
      <c r="G8" s="176">
        <f t="shared" si="0"/>
        <v>16000</v>
      </c>
      <c r="H8" s="176">
        <f>IF(A8="","",IFERROR(INDEX('09_Posicion_Actual'!$G$5:$G$204,MATCH(A8,'09_Posicion_Actual'!$B$5:$B$204,0)),0))</f>
        <v>50403</v>
      </c>
      <c r="I8" s="171">
        <f>IF(A8="","",IFERROR(INDEX('09_Posicion_Actual'!$I$5:$I$204,MATCH(A8,'09_Posicion_Actual'!$B$5:$B$204,0)),0))</f>
        <v>50403</v>
      </c>
      <c r="J8" s="176">
        <f t="shared" si="1"/>
        <v>34403</v>
      </c>
      <c r="K8" s="171">
        <f>IF(A8="","",IF(C8="USD",J8*IFERROR(INDEX('09_Posicion_Actual'!$H$5:$H$204,MATCH(A8,'09_Posicion_Actual'!$B$5:$B$204,0)),950),J8))</f>
        <v>34403</v>
      </c>
      <c r="L8" s="180">
        <f t="shared" si="2"/>
        <v>2.1501874999999999</v>
      </c>
      <c r="M8" s="176">
        <f>IF(A8="","",IFERROR(INDEX('09_Posicion_Actual'!$F$5:$F$204,MATCH(A8,'09_Posicion_Actual'!$B$5:$B$204,0)),""))</f>
        <v>0</v>
      </c>
      <c r="N8" s="177">
        <f>IF(A8="","",IFERROR(INDEX('09_Posicion_Actual'!$E$5:$E$204,MATCH(A8,'09_Posicion_Actual'!$B$5:$B$204,0)),""))</f>
        <v>0</v>
      </c>
      <c r="O8" s="131">
        <f>IF(A8="","",IFERROR(INDEX('09_Posicion_Actual'!$A$5:$A$204,MATCH(A8,'09_Posicion_Actual'!$B$5:$B$204,0)),""))</f>
        <v>46174</v>
      </c>
      <c r="P8" s="132" t="str">
        <f t="shared" si="3"/>
        <v>🟢 Ganancia</v>
      </c>
      <c r="Q8" s="132" t="str">
        <f t="shared" si="4"/>
        <v>Rentabilidad acumulada desde aportes registrados; no diaria ni mensual</v>
      </c>
      <c r="R8" s="132" t="str">
        <f>IF(A8="","",IFERROR(INDEX('09_Posicion_Actual'!$P$5:$P$204,MATCH(A8,'09_Posicion_Actual'!$B$5:$B$204,0)),""))</f>
        <v>junio</v>
      </c>
      <c r="S8" s="132" t="str">
        <f t="shared" si="5"/>
        <v>14_Inversiones + 09_Posicion_Actual</v>
      </c>
      <c r="T8" s="132"/>
      <c r="U8" s="132" t="s">
        <v>1859</v>
      </c>
      <c r="V8" s="96">
        <f>COUNTIF(P5:P204,"*Ganancia*")</f>
        <v>2</v>
      </c>
      <c r="W8" s="132" t="str">
        <f>IF(V8&gt;0,"🟢 Activo","🟡 Sin datos")</f>
        <v>🟢 Activo</v>
      </c>
      <c r="X8" s="132" t="s">
        <v>1860</v>
      </c>
    </row>
    <row r="9" spans="1:24" ht="43.5" customHeight="1">
      <c r="A9" s="132" t="s">
        <v>1654</v>
      </c>
      <c r="B9" s="132" t="s">
        <v>1681</v>
      </c>
      <c r="C9" s="132" t="s">
        <v>1402</v>
      </c>
      <c r="D9" s="132" t="s">
        <v>1636</v>
      </c>
      <c r="E9" s="176">
        <f>IF(A9="","",SUMIFS('14_Inversiones'!$E$5:$E$203,'14_Inversiones'!$B$5:$B$203,A9,'14_Inversiones'!$D$5:$D$203,C9,'14_Inversiones'!$C$5:$C$203,"Compra")+SUMIFS('14_Inversiones'!$E$5:$E$203,'14_Inversiones'!$B$5:$B$203,A9,'14_Inversiones'!$D$5:$D$203,C9,'14_Inversiones'!$C$5:$C$203,"Aporte")+SUMIFS('14_Inversiones'!$E$5:$E$203,'14_Inversiones'!$B$5:$B$203,A9,'14_Inversiones'!$D$5:$D$203,C9,'14_Inversiones'!$C$5:$C$203,"Ajuste"))</f>
        <v>20000</v>
      </c>
      <c r="F9" s="176">
        <f>IF(A9="","",SUMIFS('14_Inversiones'!$E$5:$E$203,'14_Inversiones'!$B$5:$B$203,A9,'14_Inversiones'!$D$5:$D$203,C9,'14_Inversiones'!$C$5:$C$203,"Retiro")+SUMIFS('14_Inversiones'!$E$5:$E$203,'14_Inversiones'!$B$5:$B$203,A9,'14_Inversiones'!$D$5:$D$203,C9,'14_Inversiones'!$C$5:$C$203,"Venta"))</f>
        <v>0</v>
      </c>
      <c r="G9" s="176">
        <f t="shared" si="0"/>
        <v>20000</v>
      </c>
      <c r="H9" s="176">
        <f>IF(A9="","",IFERROR(INDEX('09_Posicion_Actual'!$G$5:$G$204,MATCH(A9,'09_Posicion_Actual'!$B$5:$B$204,0)),0))</f>
        <v>20000</v>
      </c>
      <c r="I9" s="171">
        <f>IF(A9="","",IFERROR(INDEX('09_Posicion_Actual'!$I$5:$I$204,MATCH(A9,'09_Posicion_Actual'!$B$5:$B$204,0)),0))</f>
        <v>20000</v>
      </c>
      <c r="J9" s="176">
        <f t="shared" si="1"/>
        <v>0</v>
      </c>
      <c r="K9" s="171">
        <f>IF(A9="","",IF(C9="USD",J9*IFERROR(INDEX('09_Posicion_Actual'!$H$5:$H$204,MATCH(A9,'09_Posicion_Actual'!$B$5:$B$204,0)),950),J9))</f>
        <v>0</v>
      </c>
      <c r="L9" s="180">
        <f t="shared" si="2"/>
        <v>0</v>
      </c>
      <c r="M9" s="176">
        <f>IF(A9="","",IFERROR(INDEX('09_Posicion_Actual'!$F$5:$F$204,MATCH(A9,'09_Posicion_Actual'!$B$5:$B$204,0)),""))</f>
        <v>0</v>
      </c>
      <c r="N9" s="177">
        <f>IF(A9="","",IFERROR(INDEX('09_Posicion_Actual'!$E$5:$E$204,MATCH(A9,'09_Posicion_Actual'!$B$5:$B$204,0)),""))</f>
        <v>0</v>
      </c>
      <c r="O9" s="131">
        <f>IF(A9="","",IFERROR(INDEX('09_Posicion_Actual'!$A$5:$A$204,MATCH(A9,'09_Posicion_Actual'!$B$5:$B$204,0)),""))</f>
        <v>46174</v>
      </c>
      <c r="P9" s="132" t="str">
        <f t="shared" si="3"/>
        <v>🟡 Neutra</v>
      </c>
      <c r="Q9" s="132" t="str">
        <f t="shared" si="4"/>
        <v>Rentabilidad acumulada desde aportes registrados; no diaria ni mensual</v>
      </c>
      <c r="R9" s="132" t="str">
        <f>IF(A9="","",IFERROR(INDEX('09_Posicion_Actual'!$P$5:$P$204,MATCH(A9,'09_Posicion_Actual'!$B$5:$B$204,0)),""))</f>
        <v>junio</v>
      </c>
      <c r="S9" s="132" t="str">
        <f t="shared" si="5"/>
        <v>14_Inversiones + 09_Posicion_Actual</v>
      </c>
      <c r="T9" s="132"/>
      <c r="U9" s="132" t="s">
        <v>1861</v>
      </c>
      <c r="V9" s="96">
        <f>COUNTIF(P5:P204,"*Pérdida*")</f>
        <v>1</v>
      </c>
      <c r="W9" s="132" t="str">
        <f>IF(V9&gt;0,"🔴 Revisar","🟢 Controlado")</f>
        <v>🔴 Revisar</v>
      </c>
      <c r="X9" s="132" t="s">
        <v>1862</v>
      </c>
    </row>
    <row r="10" spans="1:24">
      <c r="A10" s="132"/>
      <c r="B10" s="132"/>
      <c r="C10" s="132"/>
      <c r="D10" s="132"/>
      <c r="E10" s="176" t="str">
        <f>IF(A10="","",SUMIFS('14_Inversiones'!$E$5:$E$203,'14_Inversiones'!$B$5:$B$203,A10,'14_Inversiones'!$D$5:$D$203,C10,'14_Inversiones'!$C$5:$C$203,"Compra")+SUMIFS('14_Inversiones'!$E$5:$E$203,'14_Inversiones'!$B$5:$B$203,A10,'14_Inversiones'!$D$5:$D$203,C10,'14_Inversiones'!$C$5:$C$203,"Aporte")+SUMIFS('14_Inversiones'!$E$5:$E$203,'14_Inversiones'!$B$5:$B$203,A10,'14_Inversiones'!$D$5:$D$203,C10,'14_Inversiones'!$C$5:$C$203,"Ajuste"))</f>
        <v/>
      </c>
      <c r="F10" s="176" t="str">
        <f>IF(A10="","",SUMIFS('14_Inversiones'!$E$5:$E$203,'14_Inversiones'!$B$5:$B$203,A10,'14_Inversiones'!$D$5:$D$203,C10,'14_Inversiones'!$C$5:$C$203,"Retiro")+SUMIFS('14_Inversiones'!$E$5:$E$203,'14_Inversiones'!$B$5:$B$203,A10,'14_Inversiones'!$D$5:$D$203,C10,'14_Inversiones'!$C$5:$C$203,"Venta"))</f>
        <v/>
      </c>
      <c r="G10" s="176" t="str">
        <f t="shared" si="0"/>
        <v/>
      </c>
      <c r="H10" s="176" t="str">
        <f>IF(A10="","",IFERROR(INDEX('09_Posicion_Actual'!$G$5:$G$204,MATCH(A10,'09_Posicion_Actual'!$B$5:$B$204,0)),0))</f>
        <v/>
      </c>
      <c r="I10" s="171" t="str">
        <f>IF(A10="","",IFERROR(INDEX('09_Posicion_Actual'!$I$5:$I$204,MATCH(A10,'09_Posicion_Actual'!$B$5:$B$204,0)),0))</f>
        <v/>
      </c>
      <c r="J10" s="176" t="str">
        <f t="shared" si="1"/>
        <v/>
      </c>
      <c r="K10" s="171" t="str">
        <f>IF(A10="","",IF(C10="USD",J10*IFERROR(INDEX('09_Posicion_Actual'!$H$5:$H$204,MATCH(A10,'09_Posicion_Actual'!$B$5:$B$204,0)),950),J10))</f>
        <v/>
      </c>
      <c r="L10" s="180" t="str">
        <f t="shared" si="2"/>
        <v/>
      </c>
      <c r="M10" s="176" t="str">
        <f>IF(A10="","",IFERROR(INDEX('09_Posicion_Actual'!$F$5:$F$204,MATCH(A10,'09_Posicion_Actual'!$B$5:$B$204,0)),""))</f>
        <v/>
      </c>
      <c r="N10" s="177" t="str">
        <f>IF(A10="","",IFERROR(INDEX('09_Posicion_Actual'!$E$5:$E$204,MATCH(A10,'09_Posicion_Actual'!$B$5:$B$204,0)),""))</f>
        <v/>
      </c>
      <c r="O10" s="131" t="str">
        <f>IF(A10="","",IFERROR(INDEX('09_Posicion_Actual'!$A$5:$A$204,MATCH(A10,'09_Posicion_Actual'!$B$5:$B$204,0)),""))</f>
        <v/>
      </c>
      <c r="P10" s="132" t="str">
        <f t="shared" si="3"/>
        <v/>
      </c>
      <c r="Q10" s="132" t="str">
        <f t="shared" si="4"/>
        <v/>
      </c>
      <c r="R10" s="132" t="str">
        <f>IF(A10="","",IFERROR(INDEX('09_Posicion_Actual'!$P$5:$P$204,MATCH(A10,'09_Posicion_Actual'!$B$5:$B$204,0)),""))</f>
        <v/>
      </c>
      <c r="S10" s="132" t="str">
        <f t="shared" si="5"/>
        <v/>
      </c>
      <c r="T10" s="132"/>
      <c r="U10" s="132"/>
      <c r="V10" s="132"/>
      <c r="W10" s="132"/>
      <c r="X10" s="132"/>
    </row>
    <row r="11" spans="1:24">
      <c r="A11" s="132"/>
      <c r="B11" s="132"/>
      <c r="C11" s="132"/>
      <c r="D11" s="132"/>
      <c r="E11" s="176" t="str">
        <f>IF(A11="","",SUMIFS('14_Inversiones'!$E$5:$E$203,'14_Inversiones'!$B$5:$B$203,A11,'14_Inversiones'!$D$5:$D$203,C11,'14_Inversiones'!$C$5:$C$203,"Compra")+SUMIFS('14_Inversiones'!$E$5:$E$203,'14_Inversiones'!$B$5:$B$203,A11,'14_Inversiones'!$D$5:$D$203,C11,'14_Inversiones'!$C$5:$C$203,"Aporte")+SUMIFS('14_Inversiones'!$E$5:$E$203,'14_Inversiones'!$B$5:$B$203,A11,'14_Inversiones'!$D$5:$D$203,C11,'14_Inversiones'!$C$5:$C$203,"Ajuste"))</f>
        <v/>
      </c>
      <c r="F11" s="176" t="str">
        <f>IF(A11="","",SUMIFS('14_Inversiones'!$E$5:$E$203,'14_Inversiones'!$B$5:$B$203,A11,'14_Inversiones'!$D$5:$D$203,C11,'14_Inversiones'!$C$5:$C$203,"Retiro")+SUMIFS('14_Inversiones'!$E$5:$E$203,'14_Inversiones'!$B$5:$B$203,A11,'14_Inversiones'!$D$5:$D$203,C11,'14_Inversiones'!$C$5:$C$203,"Venta"))</f>
        <v/>
      </c>
      <c r="G11" s="176" t="str">
        <f t="shared" si="0"/>
        <v/>
      </c>
      <c r="H11" s="176" t="str">
        <f>IF(A11="","",IFERROR(INDEX('09_Posicion_Actual'!$G$5:$G$204,MATCH(A11,'09_Posicion_Actual'!$B$5:$B$204,0)),0))</f>
        <v/>
      </c>
      <c r="I11" s="171" t="str">
        <f>IF(A11="","",IFERROR(INDEX('09_Posicion_Actual'!$I$5:$I$204,MATCH(A11,'09_Posicion_Actual'!$B$5:$B$204,0)),0))</f>
        <v/>
      </c>
      <c r="J11" s="176" t="str">
        <f t="shared" si="1"/>
        <v/>
      </c>
      <c r="K11" s="171" t="str">
        <f>IF(A11="","",IF(C11="USD",J11*IFERROR(INDEX('09_Posicion_Actual'!$H$5:$H$204,MATCH(A11,'09_Posicion_Actual'!$B$5:$B$204,0)),950),J11))</f>
        <v/>
      </c>
      <c r="L11" s="180" t="str">
        <f t="shared" si="2"/>
        <v/>
      </c>
      <c r="M11" s="176" t="str">
        <f>IF(A11="","",IFERROR(INDEX('09_Posicion_Actual'!$F$5:$F$204,MATCH(A11,'09_Posicion_Actual'!$B$5:$B$204,0)),""))</f>
        <v/>
      </c>
      <c r="N11" s="177" t="str">
        <f>IF(A11="","",IFERROR(INDEX('09_Posicion_Actual'!$E$5:$E$204,MATCH(A11,'09_Posicion_Actual'!$B$5:$B$204,0)),""))</f>
        <v/>
      </c>
      <c r="O11" s="131" t="str">
        <f>IF(A11="","",IFERROR(INDEX('09_Posicion_Actual'!$A$5:$A$204,MATCH(A11,'09_Posicion_Actual'!$B$5:$B$204,0)),""))</f>
        <v/>
      </c>
      <c r="P11" s="132" t="str">
        <f t="shared" si="3"/>
        <v/>
      </c>
      <c r="Q11" s="132" t="str">
        <f t="shared" si="4"/>
        <v/>
      </c>
      <c r="R11" s="132" t="str">
        <f>IF(A11="","",IFERROR(INDEX('09_Posicion_Actual'!$P$5:$P$204,MATCH(A11,'09_Posicion_Actual'!$B$5:$B$204,0)),""))</f>
        <v/>
      </c>
      <c r="S11" s="132" t="str">
        <f t="shared" si="5"/>
        <v/>
      </c>
      <c r="T11" s="132"/>
      <c r="U11" s="132"/>
      <c r="V11" s="132"/>
      <c r="W11" s="132"/>
      <c r="X11" s="132"/>
    </row>
    <row r="12" spans="1:24">
      <c r="A12" s="132"/>
      <c r="B12" s="132"/>
      <c r="C12" s="132"/>
      <c r="D12" s="132"/>
      <c r="E12" s="176" t="str">
        <f>IF(A12="","",SUMIFS('14_Inversiones'!$E$5:$E$203,'14_Inversiones'!$B$5:$B$203,A12,'14_Inversiones'!$D$5:$D$203,C12,'14_Inversiones'!$C$5:$C$203,"Compra")+SUMIFS('14_Inversiones'!$E$5:$E$203,'14_Inversiones'!$B$5:$B$203,A12,'14_Inversiones'!$D$5:$D$203,C12,'14_Inversiones'!$C$5:$C$203,"Aporte")+SUMIFS('14_Inversiones'!$E$5:$E$203,'14_Inversiones'!$B$5:$B$203,A12,'14_Inversiones'!$D$5:$D$203,C12,'14_Inversiones'!$C$5:$C$203,"Ajuste"))</f>
        <v/>
      </c>
      <c r="F12" s="176" t="str">
        <f>IF(A12="","",SUMIFS('14_Inversiones'!$E$5:$E$203,'14_Inversiones'!$B$5:$B$203,A12,'14_Inversiones'!$D$5:$D$203,C12,'14_Inversiones'!$C$5:$C$203,"Retiro")+SUMIFS('14_Inversiones'!$E$5:$E$203,'14_Inversiones'!$B$5:$B$203,A12,'14_Inversiones'!$D$5:$D$203,C12,'14_Inversiones'!$C$5:$C$203,"Venta"))</f>
        <v/>
      </c>
      <c r="G12" s="176" t="str">
        <f t="shared" si="0"/>
        <v/>
      </c>
      <c r="H12" s="176" t="str">
        <f>IF(A12="","",IFERROR(INDEX('09_Posicion_Actual'!$G$5:$G$204,MATCH(A12,'09_Posicion_Actual'!$B$5:$B$204,0)),0))</f>
        <v/>
      </c>
      <c r="I12" s="171" t="str">
        <f>IF(A12="","",IFERROR(INDEX('09_Posicion_Actual'!$I$5:$I$204,MATCH(A12,'09_Posicion_Actual'!$B$5:$B$204,0)),0))</f>
        <v/>
      </c>
      <c r="J12" s="176" t="str">
        <f t="shared" si="1"/>
        <v/>
      </c>
      <c r="K12" s="171" t="str">
        <f>IF(A12="","",IF(C12="USD",J12*IFERROR(INDEX('09_Posicion_Actual'!$H$5:$H$204,MATCH(A12,'09_Posicion_Actual'!$B$5:$B$204,0)),950),J12))</f>
        <v/>
      </c>
      <c r="L12" s="180" t="str">
        <f t="shared" si="2"/>
        <v/>
      </c>
      <c r="M12" s="176" t="str">
        <f>IF(A12="","",IFERROR(INDEX('09_Posicion_Actual'!$F$5:$F$204,MATCH(A12,'09_Posicion_Actual'!$B$5:$B$204,0)),""))</f>
        <v/>
      </c>
      <c r="N12" s="177" t="str">
        <f>IF(A12="","",IFERROR(INDEX('09_Posicion_Actual'!$E$5:$E$204,MATCH(A12,'09_Posicion_Actual'!$B$5:$B$204,0)),""))</f>
        <v/>
      </c>
      <c r="O12" s="131" t="str">
        <f>IF(A12="","",IFERROR(INDEX('09_Posicion_Actual'!$A$5:$A$204,MATCH(A12,'09_Posicion_Actual'!$B$5:$B$204,0)),""))</f>
        <v/>
      </c>
      <c r="P12" s="132" t="str">
        <f t="shared" si="3"/>
        <v/>
      </c>
      <c r="Q12" s="132" t="str">
        <f t="shared" si="4"/>
        <v/>
      </c>
      <c r="R12" s="132" t="str">
        <f>IF(A12="","",IFERROR(INDEX('09_Posicion_Actual'!$P$5:$P$204,MATCH(A12,'09_Posicion_Actual'!$B$5:$B$204,0)),""))</f>
        <v/>
      </c>
      <c r="S12" s="132" t="str">
        <f t="shared" si="5"/>
        <v/>
      </c>
      <c r="T12" s="132"/>
      <c r="U12" s="132"/>
      <c r="V12" s="132"/>
      <c r="W12" s="132"/>
      <c r="X12" s="132"/>
    </row>
    <row r="13" spans="1:24">
      <c r="A13" s="132"/>
      <c r="B13" s="132"/>
      <c r="C13" s="132"/>
      <c r="D13" s="132"/>
      <c r="E13" s="176" t="str">
        <f>IF(A13="","",SUMIFS('14_Inversiones'!$E$5:$E$203,'14_Inversiones'!$B$5:$B$203,A13,'14_Inversiones'!$D$5:$D$203,C13,'14_Inversiones'!$C$5:$C$203,"Compra")+SUMIFS('14_Inversiones'!$E$5:$E$203,'14_Inversiones'!$B$5:$B$203,A13,'14_Inversiones'!$D$5:$D$203,C13,'14_Inversiones'!$C$5:$C$203,"Aporte")+SUMIFS('14_Inversiones'!$E$5:$E$203,'14_Inversiones'!$B$5:$B$203,A13,'14_Inversiones'!$D$5:$D$203,C13,'14_Inversiones'!$C$5:$C$203,"Ajuste"))</f>
        <v/>
      </c>
      <c r="F13" s="176" t="str">
        <f>IF(A13="","",SUMIFS('14_Inversiones'!$E$5:$E$203,'14_Inversiones'!$B$5:$B$203,A13,'14_Inversiones'!$D$5:$D$203,C13,'14_Inversiones'!$C$5:$C$203,"Retiro")+SUMIFS('14_Inversiones'!$E$5:$E$203,'14_Inversiones'!$B$5:$B$203,A13,'14_Inversiones'!$D$5:$D$203,C13,'14_Inversiones'!$C$5:$C$203,"Venta"))</f>
        <v/>
      </c>
      <c r="G13" s="176" t="str">
        <f t="shared" si="0"/>
        <v/>
      </c>
      <c r="H13" s="176" t="str">
        <f>IF(A13="","",IFERROR(INDEX('09_Posicion_Actual'!$G$5:$G$204,MATCH(A13,'09_Posicion_Actual'!$B$5:$B$204,0)),0))</f>
        <v/>
      </c>
      <c r="I13" s="171" t="str">
        <f>IF(A13="","",IFERROR(INDEX('09_Posicion_Actual'!$I$5:$I$204,MATCH(A13,'09_Posicion_Actual'!$B$5:$B$204,0)),0))</f>
        <v/>
      </c>
      <c r="J13" s="176" t="str">
        <f t="shared" si="1"/>
        <v/>
      </c>
      <c r="K13" s="171" t="str">
        <f>IF(A13="","",IF(C13="USD",J13*IFERROR(INDEX('09_Posicion_Actual'!$H$5:$H$204,MATCH(A13,'09_Posicion_Actual'!$B$5:$B$204,0)),950),J13))</f>
        <v/>
      </c>
      <c r="L13" s="180" t="str">
        <f t="shared" si="2"/>
        <v/>
      </c>
      <c r="M13" s="176" t="str">
        <f>IF(A13="","",IFERROR(INDEX('09_Posicion_Actual'!$F$5:$F$204,MATCH(A13,'09_Posicion_Actual'!$B$5:$B$204,0)),""))</f>
        <v/>
      </c>
      <c r="N13" s="177" t="str">
        <f>IF(A13="","",IFERROR(INDEX('09_Posicion_Actual'!$E$5:$E$204,MATCH(A13,'09_Posicion_Actual'!$B$5:$B$204,0)),""))</f>
        <v/>
      </c>
      <c r="O13" s="131" t="str">
        <f>IF(A13="","",IFERROR(INDEX('09_Posicion_Actual'!$A$5:$A$204,MATCH(A13,'09_Posicion_Actual'!$B$5:$B$204,0)),""))</f>
        <v/>
      </c>
      <c r="P13" s="132" t="str">
        <f t="shared" si="3"/>
        <v/>
      </c>
      <c r="Q13" s="132" t="str">
        <f t="shared" si="4"/>
        <v/>
      </c>
      <c r="R13" s="132" t="str">
        <f>IF(A13="","",IFERROR(INDEX('09_Posicion_Actual'!$P$5:$P$204,MATCH(A13,'09_Posicion_Actual'!$B$5:$B$204,0)),""))</f>
        <v/>
      </c>
      <c r="S13" s="132" t="str">
        <f t="shared" si="5"/>
        <v/>
      </c>
      <c r="T13" s="132"/>
      <c r="U13" s="132"/>
      <c r="V13" s="132"/>
      <c r="W13" s="132"/>
      <c r="X13" s="132"/>
    </row>
    <row r="14" spans="1:24">
      <c r="A14" s="132"/>
      <c r="B14" s="132"/>
      <c r="C14" s="132"/>
      <c r="D14" s="132"/>
      <c r="E14" s="176" t="str">
        <f>IF(A14="","",SUMIFS('14_Inversiones'!$E$5:$E$203,'14_Inversiones'!$B$5:$B$203,A14,'14_Inversiones'!$D$5:$D$203,C14,'14_Inversiones'!$C$5:$C$203,"Compra")+SUMIFS('14_Inversiones'!$E$5:$E$203,'14_Inversiones'!$B$5:$B$203,A14,'14_Inversiones'!$D$5:$D$203,C14,'14_Inversiones'!$C$5:$C$203,"Aporte")+SUMIFS('14_Inversiones'!$E$5:$E$203,'14_Inversiones'!$B$5:$B$203,A14,'14_Inversiones'!$D$5:$D$203,C14,'14_Inversiones'!$C$5:$C$203,"Ajuste"))</f>
        <v/>
      </c>
      <c r="F14" s="176" t="str">
        <f>IF(A14="","",SUMIFS('14_Inversiones'!$E$5:$E$203,'14_Inversiones'!$B$5:$B$203,A14,'14_Inversiones'!$D$5:$D$203,C14,'14_Inversiones'!$C$5:$C$203,"Retiro")+SUMIFS('14_Inversiones'!$E$5:$E$203,'14_Inversiones'!$B$5:$B$203,A14,'14_Inversiones'!$D$5:$D$203,C14,'14_Inversiones'!$C$5:$C$203,"Venta"))</f>
        <v/>
      </c>
      <c r="G14" s="176" t="str">
        <f t="shared" si="0"/>
        <v/>
      </c>
      <c r="H14" s="176" t="str">
        <f>IF(A14="","",IFERROR(INDEX('09_Posicion_Actual'!$G$5:$G$204,MATCH(A14,'09_Posicion_Actual'!$B$5:$B$204,0)),0))</f>
        <v/>
      </c>
      <c r="I14" s="171" t="str">
        <f>IF(A14="","",IFERROR(INDEX('09_Posicion_Actual'!$I$5:$I$204,MATCH(A14,'09_Posicion_Actual'!$B$5:$B$204,0)),0))</f>
        <v/>
      </c>
      <c r="J14" s="176" t="str">
        <f t="shared" si="1"/>
        <v/>
      </c>
      <c r="K14" s="171" t="str">
        <f>IF(A14="","",IF(C14="USD",J14*IFERROR(INDEX('09_Posicion_Actual'!$H$5:$H$204,MATCH(A14,'09_Posicion_Actual'!$B$5:$B$204,0)),950),J14))</f>
        <v/>
      </c>
      <c r="L14" s="180" t="str">
        <f t="shared" si="2"/>
        <v/>
      </c>
      <c r="M14" s="176" t="str">
        <f>IF(A14="","",IFERROR(INDEX('09_Posicion_Actual'!$F$5:$F$204,MATCH(A14,'09_Posicion_Actual'!$B$5:$B$204,0)),""))</f>
        <v/>
      </c>
      <c r="N14" s="177" t="str">
        <f>IF(A14="","",IFERROR(INDEX('09_Posicion_Actual'!$E$5:$E$204,MATCH(A14,'09_Posicion_Actual'!$B$5:$B$204,0)),""))</f>
        <v/>
      </c>
      <c r="O14" s="131" t="str">
        <f>IF(A14="","",IFERROR(INDEX('09_Posicion_Actual'!$A$5:$A$204,MATCH(A14,'09_Posicion_Actual'!$B$5:$B$204,0)),""))</f>
        <v/>
      </c>
      <c r="P14" s="132" t="str">
        <f t="shared" si="3"/>
        <v/>
      </c>
      <c r="Q14" s="132" t="str">
        <f t="shared" si="4"/>
        <v/>
      </c>
      <c r="R14" s="132" t="str">
        <f>IF(A14="","",IFERROR(INDEX('09_Posicion_Actual'!$P$5:$P$204,MATCH(A14,'09_Posicion_Actual'!$B$5:$B$204,0)),""))</f>
        <v/>
      </c>
      <c r="S14" s="132" t="str">
        <f t="shared" si="5"/>
        <v/>
      </c>
      <c r="T14" s="132"/>
      <c r="U14" s="132"/>
      <c r="V14" s="132"/>
      <c r="W14" s="132"/>
      <c r="X14" s="132"/>
    </row>
    <row r="15" spans="1:24">
      <c r="A15" s="132"/>
      <c r="B15" s="132"/>
      <c r="C15" s="132"/>
      <c r="D15" s="132"/>
      <c r="E15" s="176" t="str">
        <f>IF(A15="","",SUMIFS('14_Inversiones'!$E$5:$E$203,'14_Inversiones'!$B$5:$B$203,A15,'14_Inversiones'!$D$5:$D$203,C15,'14_Inversiones'!$C$5:$C$203,"Compra")+SUMIFS('14_Inversiones'!$E$5:$E$203,'14_Inversiones'!$B$5:$B$203,A15,'14_Inversiones'!$D$5:$D$203,C15,'14_Inversiones'!$C$5:$C$203,"Aporte")+SUMIFS('14_Inversiones'!$E$5:$E$203,'14_Inversiones'!$B$5:$B$203,A15,'14_Inversiones'!$D$5:$D$203,C15,'14_Inversiones'!$C$5:$C$203,"Ajuste"))</f>
        <v/>
      </c>
      <c r="F15" s="176" t="str">
        <f>IF(A15="","",SUMIFS('14_Inversiones'!$E$5:$E$203,'14_Inversiones'!$B$5:$B$203,A15,'14_Inversiones'!$D$5:$D$203,C15,'14_Inversiones'!$C$5:$C$203,"Retiro")+SUMIFS('14_Inversiones'!$E$5:$E$203,'14_Inversiones'!$B$5:$B$203,A15,'14_Inversiones'!$D$5:$D$203,C15,'14_Inversiones'!$C$5:$C$203,"Venta"))</f>
        <v/>
      </c>
      <c r="G15" s="176" t="str">
        <f t="shared" si="0"/>
        <v/>
      </c>
      <c r="H15" s="176" t="str">
        <f>IF(A15="","",IFERROR(INDEX('09_Posicion_Actual'!$G$5:$G$204,MATCH(A15,'09_Posicion_Actual'!$B$5:$B$204,0)),0))</f>
        <v/>
      </c>
      <c r="I15" s="171" t="str">
        <f>IF(A15="","",IFERROR(INDEX('09_Posicion_Actual'!$I$5:$I$204,MATCH(A15,'09_Posicion_Actual'!$B$5:$B$204,0)),0))</f>
        <v/>
      </c>
      <c r="J15" s="176" t="str">
        <f t="shared" si="1"/>
        <v/>
      </c>
      <c r="K15" s="171" t="str">
        <f>IF(A15="","",IF(C15="USD",J15*IFERROR(INDEX('09_Posicion_Actual'!$H$5:$H$204,MATCH(A15,'09_Posicion_Actual'!$B$5:$B$204,0)),950),J15))</f>
        <v/>
      </c>
      <c r="L15" s="180" t="str">
        <f t="shared" si="2"/>
        <v/>
      </c>
      <c r="M15" s="176" t="str">
        <f>IF(A15="","",IFERROR(INDEX('09_Posicion_Actual'!$F$5:$F$204,MATCH(A15,'09_Posicion_Actual'!$B$5:$B$204,0)),""))</f>
        <v/>
      </c>
      <c r="N15" s="177" t="str">
        <f>IF(A15="","",IFERROR(INDEX('09_Posicion_Actual'!$E$5:$E$204,MATCH(A15,'09_Posicion_Actual'!$B$5:$B$204,0)),""))</f>
        <v/>
      </c>
      <c r="O15" s="131" t="str">
        <f>IF(A15="","",IFERROR(INDEX('09_Posicion_Actual'!$A$5:$A$204,MATCH(A15,'09_Posicion_Actual'!$B$5:$B$204,0)),""))</f>
        <v/>
      </c>
      <c r="P15" s="132" t="str">
        <f t="shared" si="3"/>
        <v/>
      </c>
      <c r="Q15" s="132" t="str">
        <f t="shared" si="4"/>
        <v/>
      </c>
      <c r="R15" s="132" t="str">
        <f>IF(A15="","",IFERROR(INDEX('09_Posicion_Actual'!$P$5:$P$204,MATCH(A15,'09_Posicion_Actual'!$B$5:$B$204,0)),""))</f>
        <v/>
      </c>
      <c r="S15" s="132" t="str">
        <f t="shared" si="5"/>
        <v/>
      </c>
      <c r="T15" s="132"/>
      <c r="U15" s="132"/>
      <c r="V15" s="132"/>
      <c r="W15" s="132"/>
      <c r="X15" s="132"/>
    </row>
    <row r="16" spans="1:24">
      <c r="A16" s="132"/>
      <c r="B16" s="132"/>
      <c r="C16" s="132"/>
      <c r="D16" s="132"/>
      <c r="E16" s="176" t="str">
        <f>IF(A16="","",SUMIFS('14_Inversiones'!$E$5:$E$203,'14_Inversiones'!$B$5:$B$203,A16,'14_Inversiones'!$D$5:$D$203,C16,'14_Inversiones'!$C$5:$C$203,"Compra")+SUMIFS('14_Inversiones'!$E$5:$E$203,'14_Inversiones'!$B$5:$B$203,A16,'14_Inversiones'!$D$5:$D$203,C16,'14_Inversiones'!$C$5:$C$203,"Aporte")+SUMIFS('14_Inversiones'!$E$5:$E$203,'14_Inversiones'!$B$5:$B$203,A16,'14_Inversiones'!$D$5:$D$203,C16,'14_Inversiones'!$C$5:$C$203,"Ajuste"))</f>
        <v/>
      </c>
      <c r="F16" s="176" t="str">
        <f>IF(A16="","",SUMIFS('14_Inversiones'!$E$5:$E$203,'14_Inversiones'!$B$5:$B$203,A16,'14_Inversiones'!$D$5:$D$203,C16,'14_Inversiones'!$C$5:$C$203,"Retiro")+SUMIFS('14_Inversiones'!$E$5:$E$203,'14_Inversiones'!$B$5:$B$203,A16,'14_Inversiones'!$D$5:$D$203,C16,'14_Inversiones'!$C$5:$C$203,"Venta"))</f>
        <v/>
      </c>
      <c r="G16" s="176" t="str">
        <f t="shared" si="0"/>
        <v/>
      </c>
      <c r="H16" s="176" t="str">
        <f>IF(A16="","",IFERROR(INDEX('09_Posicion_Actual'!$G$5:$G$204,MATCH(A16,'09_Posicion_Actual'!$B$5:$B$204,0)),0))</f>
        <v/>
      </c>
      <c r="I16" s="171" t="str">
        <f>IF(A16="","",IFERROR(INDEX('09_Posicion_Actual'!$I$5:$I$204,MATCH(A16,'09_Posicion_Actual'!$B$5:$B$204,0)),0))</f>
        <v/>
      </c>
      <c r="J16" s="176" t="str">
        <f t="shared" si="1"/>
        <v/>
      </c>
      <c r="K16" s="171" t="str">
        <f>IF(A16="","",IF(C16="USD",J16*IFERROR(INDEX('09_Posicion_Actual'!$H$5:$H$204,MATCH(A16,'09_Posicion_Actual'!$B$5:$B$204,0)),950),J16))</f>
        <v/>
      </c>
      <c r="L16" s="180" t="str">
        <f t="shared" si="2"/>
        <v/>
      </c>
      <c r="M16" s="176" t="str">
        <f>IF(A16="","",IFERROR(INDEX('09_Posicion_Actual'!$F$5:$F$204,MATCH(A16,'09_Posicion_Actual'!$B$5:$B$204,0)),""))</f>
        <v/>
      </c>
      <c r="N16" s="177" t="str">
        <f>IF(A16="","",IFERROR(INDEX('09_Posicion_Actual'!$E$5:$E$204,MATCH(A16,'09_Posicion_Actual'!$B$5:$B$204,0)),""))</f>
        <v/>
      </c>
      <c r="O16" s="131" t="str">
        <f>IF(A16="","",IFERROR(INDEX('09_Posicion_Actual'!$A$5:$A$204,MATCH(A16,'09_Posicion_Actual'!$B$5:$B$204,0)),""))</f>
        <v/>
      </c>
      <c r="P16" s="132" t="str">
        <f t="shared" si="3"/>
        <v/>
      </c>
      <c r="Q16" s="132" t="str">
        <f t="shared" si="4"/>
        <v/>
      </c>
      <c r="R16" s="132" t="str">
        <f>IF(A16="","",IFERROR(INDEX('09_Posicion_Actual'!$P$5:$P$204,MATCH(A16,'09_Posicion_Actual'!$B$5:$B$204,0)),""))</f>
        <v/>
      </c>
      <c r="S16" s="132" t="str">
        <f t="shared" si="5"/>
        <v/>
      </c>
      <c r="T16" s="132"/>
      <c r="U16" s="132"/>
      <c r="V16" s="132"/>
      <c r="W16" s="132"/>
      <c r="X16" s="132"/>
    </row>
    <row r="17" spans="1:24">
      <c r="A17" s="132"/>
      <c r="B17" s="132"/>
      <c r="C17" s="132"/>
      <c r="D17" s="132"/>
      <c r="E17" s="176" t="str">
        <f>IF(A17="","",SUMIFS('14_Inversiones'!$E$5:$E$203,'14_Inversiones'!$B$5:$B$203,A17,'14_Inversiones'!$D$5:$D$203,C17,'14_Inversiones'!$C$5:$C$203,"Compra")+SUMIFS('14_Inversiones'!$E$5:$E$203,'14_Inversiones'!$B$5:$B$203,A17,'14_Inversiones'!$D$5:$D$203,C17,'14_Inversiones'!$C$5:$C$203,"Aporte")+SUMIFS('14_Inversiones'!$E$5:$E$203,'14_Inversiones'!$B$5:$B$203,A17,'14_Inversiones'!$D$5:$D$203,C17,'14_Inversiones'!$C$5:$C$203,"Ajuste"))</f>
        <v/>
      </c>
      <c r="F17" s="176" t="str">
        <f>IF(A17="","",SUMIFS('14_Inversiones'!$E$5:$E$203,'14_Inversiones'!$B$5:$B$203,A17,'14_Inversiones'!$D$5:$D$203,C17,'14_Inversiones'!$C$5:$C$203,"Retiro")+SUMIFS('14_Inversiones'!$E$5:$E$203,'14_Inversiones'!$B$5:$B$203,A17,'14_Inversiones'!$D$5:$D$203,C17,'14_Inversiones'!$C$5:$C$203,"Venta"))</f>
        <v/>
      </c>
      <c r="G17" s="176" t="str">
        <f t="shared" si="0"/>
        <v/>
      </c>
      <c r="H17" s="176" t="str">
        <f>IF(A17="","",IFERROR(INDEX('09_Posicion_Actual'!$G$5:$G$204,MATCH(A17,'09_Posicion_Actual'!$B$5:$B$204,0)),0))</f>
        <v/>
      </c>
      <c r="I17" s="171" t="str">
        <f>IF(A17="","",IFERROR(INDEX('09_Posicion_Actual'!$I$5:$I$204,MATCH(A17,'09_Posicion_Actual'!$B$5:$B$204,0)),0))</f>
        <v/>
      </c>
      <c r="J17" s="176" t="str">
        <f t="shared" si="1"/>
        <v/>
      </c>
      <c r="K17" s="171" t="str">
        <f>IF(A17="","",IF(C17="USD",J17*IFERROR(INDEX('09_Posicion_Actual'!$H$5:$H$204,MATCH(A17,'09_Posicion_Actual'!$B$5:$B$204,0)),950),J17))</f>
        <v/>
      </c>
      <c r="L17" s="180" t="str">
        <f t="shared" si="2"/>
        <v/>
      </c>
      <c r="M17" s="176" t="str">
        <f>IF(A17="","",IFERROR(INDEX('09_Posicion_Actual'!$F$5:$F$204,MATCH(A17,'09_Posicion_Actual'!$B$5:$B$204,0)),""))</f>
        <v/>
      </c>
      <c r="N17" s="177" t="str">
        <f>IF(A17="","",IFERROR(INDEX('09_Posicion_Actual'!$E$5:$E$204,MATCH(A17,'09_Posicion_Actual'!$B$5:$B$204,0)),""))</f>
        <v/>
      </c>
      <c r="O17" s="131" t="str">
        <f>IF(A17="","",IFERROR(INDEX('09_Posicion_Actual'!$A$5:$A$204,MATCH(A17,'09_Posicion_Actual'!$B$5:$B$204,0)),""))</f>
        <v/>
      </c>
      <c r="P17" s="132" t="str">
        <f t="shared" si="3"/>
        <v/>
      </c>
      <c r="Q17" s="132" t="str">
        <f t="shared" si="4"/>
        <v/>
      </c>
      <c r="R17" s="132" t="str">
        <f>IF(A17="","",IFERROR(INDEX('09_Posicion_Actual'!$P$5:$P$204,MATCH(A17,'09_Posicion_Actual'!$B$5:$B$204,0)),""))</f>
        <v/>
      </c>
      <c r="S17" s="132" t="str">
        <f t="shared" si="5"/>
        <v/>
      </c>
      <c r="T17" s="132"/>
      <c r="U17" s="132"/>
      <c r="V17" s="132"/>
      <c r="W17" s="132"/>
      <c r="X17" s="132"/>
    </row>
    <row r="18" spans="1:24">
      <c r="A18" s="132"/>
      <c r="B18" s="132"/>
      <c r="C18" s="132"/>
      <c r="D18" s="132"/>
      <c r="E18" s="176" t="str">
        <f>IF(A18="","",SUMIFS('14_Inversiones'!$E$5:$E$203,'14_Inversiones'!$B$5:$B$203,A18,'14_Inversiones'!$D$5:$D$203,C18,'14_Inversiones'!$C$5:$C$203,"Compra")+SUMIFS('14_Inversiones'!$E$5:$E$203,'14_Inversiones'!$B$5:$B$203,A18,'14_Inversiones'!$D$5:$D$203,C18,'14_Inversiones'!$C$5:$C$203,"Aporte")+SUMIFS('14_Inversiones'!$E$5:$E$203,'14_Inversiones'!$B$5:$B$203,A18,'14_Inversiones'!$D$5:$D$203,C18,'14_Inversiones'!$C$5:$C$203,"Ajuste"))</f>
        <v/>
      </c>
      <c r="F18" s="176" t="str">
        <f>IF(A18="","",SUMIFS('14_Inversiones'!$E$5:$E$203,'14_Inversiones'!$B$5:$B$203,A18,'14_Inversiones'!$D$5:$D$203,C18,'14_Inversiones'!$C$5:$C$203,"Retiro")+SUMIFS('14_Inversiones'!$E$5:$E$203,'14_Inversiones'!$B$5:$B$203,A18,'14_Inversiones'!$D$5:$D$203,C18,'14_Inversiones'!$C$5:$C$203,"Venta"))</f>
        <v/>
      </c>
      <c r="G18" s="176" t="str">
        <f t="shared" si="0"/>
        <v/>
      </c>
      <c r="H18" s="176" t="str">
        <f>IF(A18="","",IFERROR(INDEX('09_Posicion_Actual'!$G$5:$G$204,MATCH(A18,'09_Posicion_Actual'!$B$5:$B$204,0)),0))</f>
        <v/>
      </c>
      <c r="I18" s="171" t="str">
        <f>IF(A18="","",IFERROR(INDEX('09_Posicion_Actual'!$I$5:$I$204,MATCH(A18,'09_Posicion_Actual'!$B$5:$B$204,0)),0))</f>
        <v/>
      </c>
      <c r="J18" s="176" t="str">
        <f t="shared" si="1"/>
        <v/>
      </c>
      <c r="K18" s="171" t="str">
        <f>IF(A18="","",IF(C18="USD",J18*IFERROR(INDEX('09_Posicion_Actual'!$H$5:$H$204,MATCH(A18,'09_Posicion_Actual'!$B$5:$B$204,0)),950),J18))</f>
        <v/>
      </c>
      <c r="L18" s="180" t="str">
        <f t="shared" si="2"/>
        <v/>
      </c>
      <c r="M18" s="176" t="str">
        <f>IF(A18="","",IFERROR(INDEX('09_Posicion_Actual'!$F$5:$F$204,MATCH(A18,'09_Posicion_Actual'!$B$5:$B$204,0)),""))</f>
        <v/>
      </c>
      <c r="N18" s="177" t="str">
        <f>IF(A18="","",IFERROR(INDEX('09_Posicion_Actual'!$E$5:$E$204,MATCH(A18,'09_Posicion_Actual'!$B$5:$B$204,0)),""))</f>
        <v/>
      </c>
      <c r="O18" s="131" t="str">
        <f>IF(A18="","",IFERROR(INDEX('09_Posicion_Actual'!$A$5:$A$204,MATCH(A18,'09_Posicion_Actual'!$B$5:$B$204,0)),""))</f>
        <v/>
      </c>
      <c r="P18" s="132" t="str">
        <f t="shared" si="3"/>
        <v/>
      </c>
      <c r="Q18" s="132" t="str">
        <f t="shared" si="4"/>
        <v/>
      </c>
      <c r="R18" s="132" t="str">
        <f>IF(A18="","",IFERROR(INDEX('09_Posicion_Actual'!$P$5:$P$204,MATCH(A18,'09_Posicion_Actual'!$B$5:$B$204,0)),""))</f>
        <v/>
      </c>
      <c r="S18" s="132" t="str">
        <f t="shared" si="5"/>
        <v/>
      </c>
      <c r="T18" s="132"/>
      <c r="U18" s="132"/>
      <c r="V18" s="132"/>
      <c r="W18" s="132"/>
      <c r="X18" s="132"/>
    </row>
    <row r="19" spans="1:24">
      <c r="A19" s="132"/>
      <c r="B19" s="132"/>
      <c r="C19" s="132"/>
      <c r="D19" s="132"/>
      <c r="E19" s="176" t="str">
        <f>IF(A19="","",SUMIFS('14_Inversiones'!$E$5:$E$203,'14_Inversiones'!$B$5:$B$203,A19,'14_Inversiones'!$D$5:$D$203,C19,'14_Inversiones'!$C$5:$C$203,"Compra")+SUMIFS('14_Inversiones'!$E$5:$E$203,'14_Inversiones'!$B$5:$B$203,A19,'14_Inversiones'!$D$5:$D$203,C19,'14_Inversiones'!$C$5:$C$203,"Aporte")+SUMIFS('14_Inversiones'!$E$5:$E$203,'14_Inversiones'!$B$5:$B$203,A19,'14_Inversiones'!$D$5:$D$203,C19,'14_Inversiones'!$C$5:$C$203,"Ajuste"))</f>
        <v/>
      </c>
      <c r="F19" s="176" t="str">
        <f>IF(A19="","",SUMIFS('14_Inversiones'!$E$5:$E$203,'14_Inversiones'!$B$5:$B$203,A19,'14_Inversiones'!$D$5:$D$203,C19,'14_Inversiones'!$C$5:$C$203,"Retiro")+SUMIFS('14_Inversiones'!$E$5:$E$203,'14_Inversiones'!$B$5:$B$203,A19,'14_Inversiones'!$D$5:$D$203,C19,'14_Inversiones'!$C$5:$C$203,"Venta"))</f>
        <v/>
      </c>
      <c r="G19" s="176" t="str">
        <f t="shared" si="0"/>
        <v/>
      </c>
      <c r="H19" s="176" t="str">
        <f>IF(A19="","",IFERROR(INDEX('09_Posicion_Actual'!$G$5:$G$204,MATCH(A19,'09_Posicion_Actual'!$B$5:$B$204,0)),0))</f>
        <v/>
      </c>
      <c r="I19" s="171" t="str">
        <f>IF(A19="","",IFERROR(INDEX('09_Posicion_Actual'!$I$5:$I$204,MATCH(A19,'09_Posicion_Actual'!$B$5:$B$204,0)),0))</f>
        <v/>
      </c>
      <c r="J19" s="176" t="str">
        <f t="shared" si="1"/>
        <v/>
      </c>
      <c r="K19" s="171" t="str">
        <f>IF(A19="","",IF(C19="USD",J19*IFERROR(INDEX('09_Posicion_Actual'!$H$5:$H$204,MATCH(A19,'09_Posicion_Actual'!$B$5:$B$204,0)),950),J19))</f>
        <v/>
      </c>
      <c r="L19" s="180" t="str">
        <f t="shared" si="2"/>
        <v/>
      </c>
      <c r="M19" s="176" t="str">
        <f>IF(A19="","",IFERROR(INDEX('09_Posicion_Actual'!$F$5:$F$204,MATCH(A19,'09_Posicion_Actual'!$B$5:$B$204,0)),""))</f>
        <v/>
      </c>
      <c r="N19" s="177" t="str">
        <f>IF(A19="","",IFERROR(INDEX('09_Posicion_Actual'!$E$5:$E$204,MATCH(A19,'09_Posicion_Actual'!$B$5:$B$204,0)),""))</f>
        <v/>
      </c>
      <c r="O19" s="131" t="str">
        <f>IF(A19="","",IFERROR(INDEX('09_Posicion_Actual'!$A$5:$A$204,MATCH(A19,'09_Posicion_Actual'!$B$5:$B$204,0)),""))</f>
        <v/>
      </c>
      <c r="P19" s="132" t="str">
        <f t="shared" si="3"/>
        <v/>
      </c>
      <c r="Q19" s="132" t="str">
        <f t="shared" si="4"/>
        <v/>
      </c>
      <c r="R19" s="132" t="str">
        <f>IF(A19="","",IFERROR(INDEX('09_Posicion_Actual'!$P$5:$P$204,MATCH(A19,'09_Posicion_Actual'!$B$5:$B$204,0)),""))</f>
        <v/>
      </c>
      <c r="S19" s="132" t="str">
        <f t="shared" si="5"/>
        <v/>
      </c>
      <c r="T19" s="132"/>
      <c r="U19" s="132"/>
      <c r="V19" s="132"/>
      <c r="W19" s="132"/>
      <c r="X19" s="132"/>
    </row>
    <row r="20" spans="1:24">
      <c r="A20" s="132"/>
      <c r="B20" s="132"/>
      <c r="C20" s="132"/>
      <c r="D20" s="132"/>
      <c r="E20" s="176" t="str">
        <f>IF(A20="","",SUMIFS('14_Inversiones'!$E$5:$E$203,'14_Inversiones'!$B$5:$B$203,A20,'14_Inversiones'!$D$5:$D$203,C20,'14_Inversiones'!$C$5:$C$203,"Compra")+SUMIFS('14_Inversiones'!$E$5:$E$203,'14_Inversiones'!$B$5:$B$203,A20,'14_Inversiones'!$D$5:$D$203,C20,'14_Inversiones'!$C$5:$C$203,"Aporte")+SUMIFS('14_Inversiones'!$E$5:$E$203,'14_Inversiones'!$B$5:$B$203,A20,'14_Inversiones'!$D$5:$D$203,C20,'14_Inversiones'!$C$5:$C$203,"Ajuste"))</f>
        <v/>
      </c>
      <c r="F20" s="176" t="str">
        <f>IF(A20="","",SUMIFS('14_Inversiones'!$E$5:$E$203,'14_Inversiones'!$B$5:$B$203,A20,'14_Inversiones'!$D$5:$D$203,C20,'14_Inversiones'!$C$5:$C$203,"Retiro")+SUMIFS('14_Inversiones'!$E$5:$E$203,'14_Inversiones'!$B$5:$B$203,A20,'14_Inversiones'!$D$5:$D$203,C20,'14_Inversiones'!$C$5:$C$203,"Venta"))</f>
        <v/>
      </c>
      <c r="G20" s="176" t="str">
        <f t="shared" si="0"/>
        <v/>
      </c>
      <c r="H20" s="176" t="str">
        <f>IF(A20="","",IFERROR(INDEX('09_Posicion_Actual'!$G$5:$G$204,MATCH(A20,'09_Posicion_Actual'!$B$5:$B$204,0)),0))</f>
        <v/>
      </c>
      <c r="I20" s="171" t="str">
        <f>IF(A20="","",IFERROR(INDEX('09_Posicion_Actual'!$I$5:$I$204,MATCH(A20,'09_Posicion_Actual'!$B$5:$B$204,0)),0))</f>
        <v/>
      </c>
      <c r="J20" s="176" t="str">
        <f t="shared" si="1"/>
        <v/>
      </c>
      <c r="K20" s="171" t="str">
        <f>IF(A20="","",IF(C20="USD",J20*IFERROR(INDEX('09_Posicion_Actual'!$H$5:$H$204,MATCH(A20,'09_Posicion_Actual'!$B$5:$B$204,0)),950),J20))</f>
        <v/>
      </c>
      <c r="L20" s="180" t="str">
        <f t="shared" si="2"/>
        <v/>
      </c>
      <c r="M20" s="176" t="str">
        <f>IF(A20="","",IFERROR(INDEX('09_Posicion_Actual'!$F$5:$F$204,MATCH(A20,'09_Posicion_Actual'!$B$5:$B$204,0)),""))</f>
        <v/>
      </c>
      <c r="N20" s="177" t="str">
        <f>IF(A20="","",IFERROR(INDEX('09_Posicion_Actual'!$E$5:$E$204,MATCH(A20,'09_Posicion_Actual'!$B$5:$B$204,0)),""))</f>
        <v/>
      </c>
      <c r="O20" s="131" t="str">
        <f>IF(A20="","",IFERROR(INDEX('09_Posicion_Actual'!$A$5:$A$204,MATCH(A20,'09_Posicion_Actual'!$B$5:$B$204,0)),""))</f>
        <v/>
      </c>
      <c r="P20" s="132" t="str">
        <f t="shared" si="3"/>
        <v/>
      </c>
      <c r="Q20" s="132" t="str">
        <f t="shared" si="4"/>
        <v/>
      </c>
      <c r="R20" s="132" t="str">
        <f>IF(A20="","",IFERROR(INDEX('09_Posicion_Actual'!$P$5:$P$204,MATCH(A20,'09_Posicion_Actual'!$B$5:$B$204,0)),""))</f>
        <v/>
      </c>
      <c r="S20" s="132" t="str">
        <f t="shared" si="5"/>
        <v/>
      </c>
      <c r="T20" s="132"/>
      <c r="U20" s="132"/>
      <c r="V20" s="132"/>
      <c r="W20" s="132"/>
      <c r="X20" s="132"/>
    </row>
    <row r="21" spans="1:24">
      <c r="A21" s="132"/>
      <c r="B21" s="132"/>
      <c r="C21" s="132"/>
      <c r="D21" s="132"/>
      <c r="E21" s="176" t="str">
        <f>IF(A21="","",SUMIFS('14_Inversiones'!$E$5:$E$203,'14_Inversiones'!$B$5:$B$203,A21,'14_Inversiones'!$D$5:$D$203,C21,'14_Inversiones'!$C$5:$C$203,"Compra")+SUMIFS('14_Inversiones'!$E$5:$E$203,'14_Inversiones'!$B$5:$B$203,A21,'14_Inversiones'!$D$5:$D$203,C21,'14_Inversiones'!$C$5:$C$203,"Aporte")+SUMIFS('14_Inversiones'!$E$5:$E$203,'14_Inversiones'!$B$5:$B$203,A21,'14_Inversiones'!$D$5:$D$203,C21,'14_Inversiones'!$C$5:$C$203,"Ajuste"))</f>
        <v/>
      </c>
      <c r="F21" s="176" t="str">
        <f>IF(A21="","",SUMIFS('14_Inversiones'!$E$5:$E$203,'14_Inversiones'!$B$5:$B$203,A21,'14_Inversiones'!$D$5:$D$203,C21,'14_Inversiones'!$C$5:$C$203,"Retiro")+SUMIFS('14_Inversiones'!$E$5:$E$203,'14_Inversiones'!$B$5:$B$203,A21,'14_Inversiones'!$D$5:$D$203,C21,'14_Inversiones'!$C$5:$C$203,"Venta"))</f>
        <v/>
      </c>
      <c r="G21" s="176" t="str">
        <f t="shared" si="0"/>
        <v/>
      </c>
      <c r="H21" s="176" t="str">
        <f>IF(A21="","",IFERROR(INDEX('09_Posicion_Actual'!$G$5:$G$204,MATCH(A21,'09_Posicion_Actual'!$B$5:$B$204,0)),0))</f>
        <v/>
      </c>
      <c r="I21" s="171" t="str">
        <f>IF(A21="","",IFERROR(INDEX('09_Posicion_Actual'!$I$5:$I$204,MATCH(A21,'09_Posicion_Actual'!$B$5:$B$204,0)),0))</f>
        <v/>
      </c>
      <c r="J21" s="176" t="str">
        <f t="shared" si="1"/>
        <v/>
      </c>
      <c r="K21" s="171" t="str">
        <f>IF(A21="","",IF(C21="USD",J21*IFERROR(INDEX('09_Posicion_Actual'!$H$5:$H$204,MATCH(A21,'09_Posicion_Actual'!$B$5:$B$204,0)),950),J21))</f>
        <v/>
      </c>
      <c r="L21" s="180" t="str">
        <f t="shared" si="2"/>
        <v/>
      </c>
      <c r="M21" s="176" t="str">
        <f>IF(A21="","",IFERROR(INDEX('09_Posicion_Actual'!$F$5:$F$204,MATCH(A21,'09_Posicion_Actual'!$B$5:$B$204,0)),""))</f>
        <v/>
      </c>
      <c r="N21" s="177" t="str">
        <f>IF(A21="","",IFERROR(INDEX('09_Posicion_Actual'!$E$5:$E$204,MATCH(A21,'09_Posicion_Actual'!$B$5:$B$204,0)),""))</f>
        <v/>
      </c>
      <c r="O21" s="131" t="str">
        <f>IF(A21="","",IFERROR(INDEX('09_Posicion_Actual'!$A$5:$A$204,MATCH(A21,'09_Posicion_Actual'!$B$5:$B$204,0)),""))</f>
        <v/>
      </c>
      <c r="P21" s="132" t="str">
        <f t="shared" si="3"/>
        <v/>
      </c>
      <c r="Q21" s="132" t="str">
        <f t="shared" si="4"/>
        <v/>
      </c>
      <c r="R21" s="132" t="str">
        <f>IF(A21="","",IFERROR(INDEX('09_Posicion_Actual'!$P$5:$P$204,MATCH(A21,'09_Posicion_Actual'!$B$5:$B$204,0)),""))</f>
        <v/>
      </c>
      <c r="S21" s="132" t="str">
        <f t="shared" si="5"/>
        <v/>
      </c>
      <c r="T21" s="132"/>
      <c r="U21" s="132"/>
      <c r="V21" s="132"/>
      <c r="W21" s="132"/>
      <c r="X21" s="132"/>
    </row>
    <row r="22" spans="1:24">
      <c r="A22" s="132"/>
      <c r="B22" s="132"/>
      <c r="C22" s="132"/>
      <c r="D22" s="132"/>
      <c r="E22" s="176" t="str">
        <f>IF(A22="","",SUMIFS('14_Inversiones'!$E$5:$E$203,'14_Inversiones'!$B$5:$B$203,A22,'14_Inversiones'!$D$5:$D$203,C22,'14_Inversiones'!$C$5:$C$203,"Compra")+SUMIFS('14_Inversiones'!$E$5:$E$203,'14_Inversiones'!$B$5:$B$203,A22,'14_Inversiones'!$D$5:$D$203,C22,'14_Inversiones'!$C$5:$C$203,"Aporte")+SUMIFS('14_Inversiones'!$E$5:$E$203,'14_Inversiones'!$B$5:$B$203,A22,'14_Inversiones'!$D$5:$D$203,C22,'14_Inversiones'!$C$5:$C$203,"Ajuste"))</f>
        <v/>
      </c>
      <c r="F22" s="176" t="str">
        <f>IF(A22="","",SUMIFS('14_Inversiones'!$E$5:$E$203,'14_Inversiones'!$B$5:$B$203,A22,'14_Inversiones'!$D$5:$D$203,C22,'14_Inversiones'!$C$5:$C$203,"Retiro")+SUMIFS('14_Inversiones'!$E$5:$E$203,'14_Inversiones'!$B$5:$B$203,A22,'14_Inversiones'!$D$5:$D$203,C22,'14_Inversiones'!$C$5:$C$203,"Venta"))</f>
        <v/>
      </c>
      <c r="G22" s="176" t="str">
        <f t="shared" si="0"/>
        <v/>
      </c>
      <c r="H22" s="176" t="str">
        <f>IF(A22="","",IFERROR(INDEX('09_Posicion_Actual'!$G$5:$G$204,MATCH(A22,'09_Posicion_Actual'!$B$5:$B$204,0)),0))</f>
        <v/>
      </c>
      <c r="I22" s="171" t="str">
        <f>IF(A22="","",IFERROR(INDEX('09_Posicion_Actual'!$I$5:$I$204,MATCH(A22,'09_Posicion_Actual'!$B$5:$B$204,0)),0))</f>
        <v/>
      </c>
      <c r="J22" s="176" t="str">
        <f t="shared" si="1"/>
        <v/>
      </c>
      <c r="K22" s="171" t="str">
        <f>IF(A22="","",IF(C22="USD",J22*IFERROR(INDEX('09_Posicion_Actual'!$H$5:$H$204,MATCH(A22,'09_Posicion_Actual'!$B$5:$B$204,0)),950),J22))</f>
        <v/>
      </c>
      <c r="L22" s="180" t="str">
        <f t="shared" si="2"/>
        <v/>
      </c>
      <c r="M22" s="176" t="str">
        <f>IF(A22="","",IFERROR(INDEX('09_Posicion_Actual'!$F$5:$F$204,MATCH(A22,'09_Posicion_Actual'!$B$5:$B$204,0)),""))</f>
        <v/>
      </c>
      <c r="N22" s="177" t="str">
        <f>IF(A22="","",IFERROR(INDEX('09_Posicion_Actual'!$E$5:$E$204,MATCH(A22,'09_Posicion_Actual'!$B$5:$B$204,0)),""))</f>
        <v/>
      </c>
      <c r="O22" s="131" t="str">
        <f>IF(A22="","",IFERROR(INDEX('09_Posicion_Actual'!$A$5:$A$204,MATCH(A22,'09_Posicion_Actual'!$B$5:$B$204,0)),""))</f>
        <v/>
      </c>
      <c r="P22" s="132" t="str">
        <f t="shared" si="3"/>
        <v/>
      </c>
      <c r="Q22" s="132" t="str">
        <f t="shared" si="4"/>
        <v/>
      </c>
      <c r="R22" s="132" t="str">
        <f>IF(A22="","",IFERROR(INDEX('09_Posicion_Actual'!$P$5:$P$204,MATCH(A22,'09_Posicion_Actual'!$B$5:$B$204,0)),""))</f>
        <v/>
      </c>
      <c r="S22" s="132" t="str">
        <f t="shared" si="5"/>
        <v/>
      </c>
      <c r="T22" s="132"/>
      <c r="U22" s="132"/>
      <c r="V22" s="132"/>
      <c r="W22" s="132"/>
      <c r="X22" s="132"/>
    </row>
    <row r="23" spans="1:24">
      <c r="A23" s="132"/>
      <c r="B23" s="132"/>
      <c r="C23" s="132"/>
      <c r="D23" s="132"/>
      <c r="E23" s="176" t="str">
        <f>IF(A23="","",SUMIFS('14_Inversiones'!$E$5:$E$203,'14_Inversiones'!$B$5:$B$203,A23,'14_Inversiones'!$D$5:$D$203,C23,'14_Inversiones'!$C$5:$C$203,"Compra")+SUMIFS('14_Inversiones'!$E$5:$E$203,'14_Inversiones'!$B$5:$B$203,A23,'14_Inversiones'!$D$5:$D$203,C23,'14_Inversiones'!$C$5:$C$203,"Aporte")+SUMIFS('14_Inversiones'!$E$5:$E$203,'14_Inversiones'!$B$5:$B$203,A23,'14_Inversiones'!$D$5:$D$203,C23,'14_Inversiones'!$C$5:$C$203,"Ajuste"))</f>
        <v/>
      </c>
      <c r="F23" s="176" t="str">
        <f>IF(A23="","",SUMIFS('14_Inversiones'!$E$5:$E$203,'14_Inversiones'!$B$5:$B$203,A23,'14_Inversiones'!$D$5:$D$203,C23,'14_Inversiones'!$C$5:$C$203,"Retiro")+SUMIFS('14_Inversiones'!$E$5:$E$203,'14_Inversiones'!$B$5:$B$203,A23,'14_Inversiones'!$D$5:$D$203,C23,'14_Inversiones'!$C$5:$C$203,"Venta"))</f>
        <v/>
      </c>
      <c r="G23" s="176" t="str">
        <f t="shared" si="0"/>
        <v/>
      </c>
      <c r="H23" s="176" t="str">
        <f>IF(A23="","",IFERROR(INDEX('09_Posicion_Actual'!$G$5:$G$204,MATCH(A23,'09_Posicion_Actual'!$B$5:$B$204,0)),0))</f>
        <v/>
      </c>
      <c r="I23" s="171" t="str">
        <f>IF(A23="","",IFERROR(INDEX('09_Posicion_Actual'!$I$5:$I$204,MATCH(A23,'09_Posicion_Actual'!$B$5:$B$204,0)),0))</f>
        <v/>
      </c>
      <c r="J23" s="176" t="str">
        <f t="shared" si="1"/>
        <v/>
      </c>
      <c r="K23" s="171" t="str">
        <f>IF(A23="","",IF(C23="USD",J23*IFERROR(INDEX('09_Posicion_Actual'!$H$5:$H$204,MATCH(A23,'09_Posicion_Actual'!$B$5:$B$204,0)),950),J23))</f>
        <v/>
      </c>
      <c r="L23" s="180" t="str">
        <f t="shared" si="2"/>
        <v/>
      </c>
      <c r="M23" s="176" t="str">
        <f>IF(A23="","",IFERROR(INDEX('09_Posicion_Actual'!$F$5:$F$204,MATCH(A23,'09_Posicion_Actual'!$B$5:$B$204,0)),""))</f>
        <v/>
      </c>
      <c r="N23" s="177" t="str">
        <f>IF(A23="","",IFERROR(INDEX('09_Posicion_Actual'!$E$5:$E$204,MATCH(A23,'09_Posicion_Actual'!$B$5:$B$204,0)),""))</f>
        <v/>
      </c>
      <c r="O23" s="131" t="str">
        <f>IF(A23="","",IFERROR(INDEX('09_Posicion_Actual'!$A$5:$A$204,MATCH(A23,'09_Posicion_Actual'!$B$5:$B$204,0)),""))</f>
        <v/>
      </c>
      <c r="P23" s="132" t="str">
        <f t="shared" si="3"/>
        <v/>
      </c>
      <c r="Q23" s="132" t="str">
        <f t="shared" si="4"/>
        <v/>
      </c>
      <c r="R23" s="132" t="str">
        <f>IF(A23="","",IFERROR(INDEX('09_Posicion_Actual'!$P$5:$P$204,MATCH(A23,'09_Posicion_Actual'!$B$5:$B$204,0)),""))</f>
        <v/>
      </c>
      <c r="S23" s="132" t="str">
        <f t="shared" si="5"/>
        <v/>
      </c>
      <c r="T23" s="132"/>
      <c r="U23" s="132"/>
      <c r="V23" s="132"/>
      <c r="W23" s="132"/>
      <c r="X23" s="132"/>
    </row>
    <row r="24" spans="1:24">
      <c r="A24" s="132"/>
      <c r="B24" s="132"/>
      <c r="C24" s="132"/>
      <c r="D24" s="132"/>
      <c r="E24" s="176" t="str">
        <f>IF(A24="","",SUMIFS('14_Inversiones'!$E$5:$E$203,'14_Inversiones'!$B$5:$B$203,A24,'14_Inversiones'!$D$5:$D$203,C24,'14_Inversiones'!$C$5:$C$203,"Compra")+SUMIFS('14_Inversiones'!$E$5:$E$203,'14_Inversiones'!$B$5:$B$203,A24,'14_Inversiones'!$D$5:$D$203,C24,'14_Inversiones'!$C$5:$C$203,"Aporte")+SUMIFS('14_Inversiones'!$E$5:$E$203,'14_Inversiones'!$B$5:$B$203,A24,'14_Inversiones'!$D$5:$D$203,C24,'14_Inversiones'!$C$5:$C$203,"Ajuste"))</f>
        <v/>
      </c>
      <c r="F24" s="176" t="str">
        <f>IF(A24="","",SUMIFS('14_Inversiones'!$E$5:$E$203,'14_Inversiones'!$B$5:$B$203,A24,'14_Inversiones'!$D$5:$D$203,C24,'14_Inversiones'!$C$5:$C$203,"Retiro")+SUMIFS('14_Inversiones'!$E$5:$E$203,'14_Inversiones'!$B$5:$B$203,A24,'14_Inversiones'!$D$5:$D$203,C24,'14_Inversiones'!$C$5:$C$203,"Venta"))</f>
        <v/>
      </c>
      <c r="G24" s="176" t="str">
        <f t="shared" si="0"/>
        <v/>
      </c>
      <c r="H24" s="176" t="str">
        <f>IF(A24="","",IFERROR(INDEX('09_Posicion_Actual'!$G$5:$G$204,MATCH(A24,'09_Posicion_Actual'!$B$5:$B$204,0)),0))</f>
        <v/>
      </c>
      <c r="I24" s="171" t="str">
        <f>IF(A24="","",IFERROR(INDEX('09_Posicion_Actual'!$I$5:$I$204,MATCH(A24,'09_Posicion_Actual'!$B$5:$B$204,0)),0))</f>
        <v/>
      </c>
      <c r="J24" s="176" t="str">
        <f t="shared" si="1"/>
        <v/>
      </c>
      <c r="K24" s="171" t="str">
        <f>IF(A24="","",IF(C24="USD",J24*IFERROR(INDEX('09_Posicion_Actual'!$H$5:$H$204,MATCH(A24,'09_Posicion_Actual'!$B$5:$B$204,0)),950),J24))</f>
        <v/>
      </c>
      <c r="L24" s="180" t="str">
        <f t="shared" si="2"/>
        <v/>
      </c>
      <c r="M24" s="176" t="str">
        <f>IF(A24="","",IFERROR(INDEX('09_Posicion_Actual'!$F$5:$F$204,MATCH(A24,'09_Posicion_Actual'!$B$5:$B$204,0)),""))</f>
        <v/>
      </c>
      <c r="N24" s="177" t="str">
        <f>IF(A24="","",IFERROR(INDEX('09_Posicion_Actual'!$E$5:$E$204,MATCH(A24,'09_Posicion_Actual'!$B$5:$B$204,0)),""))</f>
        <v/>
      </c>
      <c r="O24" s="131" t="str">
        <f>IF(A24="","",IFERROR(INDEX('09_Posicion_Actual'!$A$5:$A$204,MATCH(A24,'09_Posicion_Actual'!$B$5:$B$204,0)),""))</f>
        <v/>
      </c>
      <c r="P24" s="132" t="str">
        <f t="shared" si="3"/>
        <v/>
      </c>
      <c r="Q24" s="132" t="str">
        <f t="shared" si="4"/>
        <v/>
      </c>
      <c r="R24" s="132" t="str">
        <f>IF(A24="","",IFERROR(INDEX('09_Posicion_Actual'!$P$5:$P$204,MATCH(A24,'09_Posicion_Actual'!$B$5:$B$204,0)),""))</f>
        <v/>
      </c>
      <c r="S24" s="132" t="str">
        <f t="shared" si="5"/>
        <v/>
      </c>
      <c r="T24" s="132"/>
      <c r="U24" s="132"/>
      <c r="V24" s="132"/>
      <c r="W24" s="132"/>
      <c r="X24" s="132"/>
    </row>
    <row r="25" spans="1:24">
      <c r="A25" s="132"/>
      <c r="B25" s="132"/>
      <c r="C25" s="132"/>
      <c r="D25" s="132"/>
      <c r="E25" s="176" t="str">
        <f>IF(A25="","",SUMIFS('14_Inversiones'!$E$5:$E$203,'14_Inversiones'!$B$5:$B$203,A25,'14_Inversiones'!$D$5:$D$203,C25,'14_Inversiones'!$C$5:$C$203,"Compra")+SUMIFS('14_Inversiones'!$E$5:$E$203,'14_Inversiones'!$B$5:$B$203,A25,'14_Inversiones'!$D$5:$D$203,C25,'14_Inversiones'!$C$5:$C$203,"Aporte")+SUMIFS('14_Inversiones'!$E$5:$E$203,'14_Inversiones'!$B$5:$B$203,A25,'14_Inversiones'!$D$5:$D$203,C25,'14_Inversiones'!$C$5:$C$203,"Ajuste"))</f>
        <v/>
      </c>
      <c r="F25" s="176" t="str">
        <f>IF(A25="","",SUMIFS('14_Inversiones'!$E$5:$E$203,'14_Inversiones'!$B$5:$B$203,A25,'14_Inversiones'!$D$5:$D$203,C25,'14_Inversiones'!$C$5:$C$203,"Retiro")+SUMIFS('14_Inversiones'!$E$5:$E$203,'14_Inversiones'!$B$5:$B$203,A25,'14_Inversiones'!$D$5:$D$203,C25,'14_Inversiones'!$C$5:$C$203,"Venta"))</f>
        <v/>
      </c>
      <c r="G25" s="176" t="str">
        <f t="shared" si="0"/>
        <v/>
      </c>
      <c r="H25" s="176" t="str">
        <f>IF(A25="","",IFERROR(INDEX('09_Posicion_Actual'!$G$5:$G$204,MATCH(A25,'09_Posicion_Actual'!$B$5:$B$204,0)),0))</f>
        <v/>
      </c>
      <c r="I25" s="171" t="str">
        <f>IF(A25="","",IFERROR(INDEX('09_Posicion_Actual'!$I$5:$I$204,MATCH(A25,'09_Posicion_Actual'!$B$5:$B$204,0)),0))</f>
        <v/>
      </c>
      <c r="J25" s="176" t="str">
        <f t="shared" si="1"/>
        <v/>
      </c>
      <c r="K25" s="171" t="str">
        <f>IF(A25="","",IF(C25="USD",J25*IFERROR(INDEX('09_Posicion_Actual'!$H$5:$H$204,MATCH(A25,'09_Posicion_Actual'!$B$5:$B$204,0)),950),J25))</f>
        <v/>
      </c>
      <c r="L25" s="180" t="str">
        <f t="shared" si="2"/>
        <v/>
      </c>
      <c r="M25" s="176" t="str">
        <f>IF(A25="","",IFERROR(INDEX('09_Posicion_Actual'!$F$5:$F$204,MATCH(A25,'09_Posicion_Actual'!$B$5:$B$204,0)),""))</f>
        <v/>
      </c>
      <c r="N25" s="177" t="str">
        <f>IF(A25="","",IFERROR(INDEX('09_Posicion_Actual'!$E$5:$E$204,MATCH(A25,'09_Posicion_Actual'!$B$5:$B$204,0)),""))</f>
        <v/>
      </c>
      <c r="O25" s="131" t="str">
        <f>IF(A25="","",IFERROR(INDEX('09_Posicion_Actual'!$A$5:$A$204,MATCH(A25,'09_Posicion_Actual'!$B$5:$B$204,0)),""))</f>
        <v/>
      </c>
      <c r="P25" s="132" t="str">
        <f t="shared" si="3"/>
        <v/>
      </c>
      <c r="Q25" s="132" t="str">
        <f t="shared" si="4"/>
        <v/>
      </c>
      <c r="R25" s="132" t="str">
        <f>IF(A25="","",IFERROR(INDEX('09_Posicion_Actual'!$P$5:$P$204,MATCH(A25,'09_Posicion_Actual'!$B$5:$B$204,0)),""))</f>
        <v/>
      </c>
      <c r="S25" s="132" t="str">
        <f t="shared" si="5"/>
        <v/>
      </c>
      <c r="T25" s="132"/>
      <c r="U25" s="132"/>
      <c r="V25" s="132"/>
      <c r="W25" s="132"/>
      <c r="X25" s="132"/>
    </row>
    <row r="26" spans="1:24">
      <c r="A26" s="132"/>
      <c r="B26" s="132"/>
      <c r="C26" s="132"/>
      <c r="D26" s="132"/>
      <c r="E26" s="176" t="str">
        <f>IF(A26="","",SUMIFS('14_Inversiones'!$E$5:$E$203,'14_Inversiones'!$B$5:$B$203,A26,'14_Inversiones'!$D$5:$D$203,C26,'14_Inversiones'!$C$5:$C$203,"Compra")+SUMIFS('14_Inversiones'!$E$5:$E$203,'14_Inversiones'!$B$5:$B$203,A26,'14_Inversiones'!$D$5:$D$203,C26,'14_Inversiones'!$C$5:$C$203,"Aporte")+SUMIFS('14_Inversiones'!$E$5:$E$203,'14_Inversiones'!$B$5:$B$203,A26,'14_Inversiones'!$D$5:$D$203,C26,'14_Inversiones'!$C$5:$C$203,"Ajuste"))</f>
        <v/>
      </c>
      <c r="F26" s="176" t="str">
        <f>IF(A26="","",SUMIFS('14_Inversiones'!$E$5:$E$203,'14_Inversiones'!$B$5:$B$203,A26,'14_Inversiones'!$D$5:$D$203,C26,'14_Inversiones'!$C$5:$C$203,"Retiro")+SUMIFS('14_Inversiones'!$E$5:$E$203,'14_Inversiones'!$B$5:$B$203,A26,'14_Inversiones'!$D$5:$D$203,C26,'14_Inversiones'!$C$5:$C$203,"Venta"))</f>
        <v/>
      </c>
      <c r="G26" s="176" t="str">
        <f t="shared" si="0"/>
        <v/>
      </c>
      <c r="H26" s="176" t="str">
        <f>IF(A26="","",IFERROR(INDEX('09_Posicion_Actual'!$G$5:$G$204,MATCH(A26,'09_Posicion_Actual'!$B$5:$B$204,0)),0))</f>
        <v/>
      </c>
      <c r="I26" s="171" t="str">
        <f>IF(A26="","",IFERROR(INDEX('09_Posicion_Actual'!$I$5:$I$204,MATCH(A26,'09_Posicion_Actual'!$B$5:$B$204,0)),0))</f>
        <v/>
      </c>
      <c r="J26" s="176" t="str">
        <f t="shared" si="1"/>
        <v/>
      </c>
      <c r="K26" s="171" t="str">
        <f>IF(A26="","",IF(C26="USD",J26*IFERROR(INDEX('09_Posicion_Actual'!$H$5:$H$204,MATCH(A26,'09_Posicion_Actual'!$B$5:$B$204,0)),950),J26))</f>
        <v/>
      </c>
      <c r="L26" s="180" t="str">
        <f t="shared" si="2"/>
        <v/>
      </c>
      <c r="M26" s="176" t="str">
        <f>IF(A26="","",IFERROR(INDEX('09_Posicion_Actual'!$F$5:$F$204,MATCH(A26,'09_Posicion_Actual'!$B$5:$B$204,0)),""))</f>
        <v/>
      </c>
      <c r="N26" s="177" t="str">
        <f>IF(A26="","",IFERROR(INDEX('09_Posicion_Actual'!$E$5:$E$204,MATCH(A26,'09_Posicion_Actual'!$B$5:$B$204,0)),""))</f>
        <v/>
      </c>
      <c r="O26" s="131" t="str">
        <f>IF(A26="","",IFERROR(INDEX('09_Posicion_Actual'!$A$5:$A$204,MATCH(A26,'09_Posicion_Actual'!$B$5:$B$204,0)),""))</f>
        <v/>
      </c>
      <c r="P26" s="132" t="str">
        <f t="shared" si="3"/>
        <v/>
      </c>
      <c r="Q26" s="132" t="str">
        <f t="shared" si="4"/>
        <v/>
      </c>
      <c r="R26" s="132" t="str">
        <f>IF(A26="","",IFERROR(INDEX('09_Posicion_Actual'!$P$5:$P$204,MATCH(A26,'09_Posicion_Actual'!$B$5:$B$204,0)),""))</f>
        <v/>
      </c>
      <c r="S26" s="132" t="str">
        <f t="shared" si="5"/>
        <v/>
      </c>
      <c r="T26" s="132"/>
      <c r="U26" s="132"/>
      <c r="V26" s="132"/>
      <c r="W26" s="132"/>
      <c r="X26" s="132"/>
    </row>
    <row r="27" spans="1:24">
      <c r="A27" s="132"/>
      <c r="B27" s="132"/>
      <c r="C27" s="132"/>
      <c r="D27" s="132"/>
      <c r="E27" s="176" t="str">
        <f>IF(A27="","",SUMIFS('14_Inversiones'!$E$5:$E$203,'14_Inversiones'!$B$5:$B$203,A27,'14_Inversiones'!$D$5:$D$203,C27,'14_Inversiones'!$C$5:$C$203,"Compra")+SUMIFS('14_Inversiones'!$E$5:$E$203,'14_Inversiones'!$B$5:$B$203,A27,'14_Inversiones'!$D$5:$D$203,C27,'14_Inversiones'!$C$5:$C$203,"Aporte")+SUMIFS('14_Inversiones'!$E$5:$E$203,'14_Inversiones'!$B$5:$B$203,A27,'14_Inversiones'!$D$5:$D$203,C27,'14_Inversiones'!$C$5:$C$203,"Ajuste"))</f>
        <v/>
      </c>
      <c r="F27" s="176" t="str">
        <f>IF(A27="","",SUMIFS('14_Inversiones'!$E$5:$E$203,'14_Inversiones'!$B$5:$B$203,A27,'14_Inversiones'!$D$5:$D$203,C27,'14_Inversiones'!$C$5:$C$203,"Retiro")+SUMIFS('14_Inversiones'!$E$5:$E$203,'14_Inversiones'!$B$5:$B$203,A27,'14_Inversiones'!$D$5:$D$203,C27,'14_Inversiones'!$C$5:$C$203,"Venta"))</f>
        <v/>
      </c>
      <c r="G27" s="176" t="str">
        <f t="shared" si="0"/>
        <v/>
      </c>
      <c r="H27" s="176" t="str">
        <f>IF(A27="","",IFERROR(INDEX('09_Posicion_Actual'!$G$5:$G$204,MATCH(A27,'09_Posicion_Actual'!$B$5:$B$204,0)),0))</f>
        <v/>
      </c>
      <c r="I27" s="171" t="str">
        <f>IF(A27="","",IFERROR(INDEX('09_Posicion_Actual'!$I$5:$I$204,MATCH(A27,'09_Posicion_Actual'!$B$5:$B$204,0)),0))</f>
        <v/>
      </c>
      <c r="J27" s="176" t="str">
        <f t="shared" si="1"/>
        <v/>
      </c>
      <c r="K27" s="171" t="str">
        <f>IF(A27="","",IF(C27="USD",J27*IFERROR(INDEX('09_Posicion_Actual'!$H$5:$H$204,MATCH(A27,'09_Posicion_Actual'!$B$5:$B$204,0)),950),J27))</f>
        <v/>
      </c>
      <c r="L27" s="180" t="str">
        <f t="shared" si="2"/>
        <v/>
      </c>
      <c r="M27" s="176" t="str">
        <f>IF(A27="","",IFERROR(INDEX('09_Posicion_Actual'!$F$5:$F$204,MATCH(A27,'09_Posicion_Actual'!$B$5:$B$204,0)),""))</f>
        <v/>
      </c>
      <c r="N27" s="177" t="str">
        <f>IF(A27="","",IFERROR(INDEX('09_Posicion_Actual'!$E$5:$E$204,MATCH(A27,'09_Posicion_Actual'!$B$5:$B$204,0)),""))</f>
        <v/>
      </c>
      <c r="O27" s="131" t="str">
        <f>IF(A27="","",IFERROR(INDEX('09_Posicion_Actual'!$A$5:$A$204,MATCH(A27,'09_Posicion_Actual'!$B$5:$B$204,0)),""))</f>
        <v/>
      </c>
      <c r="P27" s="132" t="str">
        <f t="shared" si="3"/>
        <v/>
      </c>
      <c r="Q27" s="132" t="str">
        <f t="shared" si="4"/>
        <v/>
      </c>
      <c r="R27" s="132" t="str">
        <f>IF(A27="","",IFERROR(INDEX('09_Posicion_Actual'!$P$5:$P$204,MATCH(A27,'09_Posicion_Actual'!$B$5:$B$204,0)),""))</f>
        <v/>
      </c>
      <c r="S27" s="132" t="str">
        <f t="shared" si="5"/>
        <v/>
      </c>
      <c r="T27" s="132"/>
      <c r="U27" s="132"/>
      <c r="V27" s="132"/>
      <c r="W27" s="132"/>
      <c r="X27" s="132"/>
    </row>
    <row r="28" spans="1:24">
      <c r="A28" s="132"/>
      <c r="B28" s="132"/>
      <c r="C28" s="132"/>
      <c r="D28" s="132"/>
      <c r="E28" s="176" t="str">
        <f>IF(A28="","",SUMIFS('14_Inversiones'!$E$5:$E$203,'14_Inversiones'!$B$5:$B$203,A28,'14_Inversiones'!$D$5:$D$203,C28,'14_Inversiones'!$C$5:$C$203,"Compra")+SUMIFS('14_Inversiones'!$E$5:$E$203,'14_Inversiones'!$B$5:$B$203,A28,'14_Inversiones'!$D$5:$D$203,C28,'14_Inversiones'!$C$5:$C$203,"Aporte")+SUMIFS('14_Inversiones'!$E$5:$E$203,'14_Inversiones'!$B$5:$B$203,A28,'14_Inversiones'!$D$5:$D$203,C28,'14_Inversiones'!$C$5:$C$203,"Ajuste"))</f>
        <v/>
      </c>
      <c r="F28" s="176" t="str">
        <f>IF(A28="","",SUMIFS('14_Inversiones'!$E$5:$E$203,'14_Inversiones'!$B$5:$B$203,A28,'14_Inversiones'!$D$5:$D$203,C28,'14_Inversiones'!$C$5:$C$203,"Retiro")+SUMIFS('14_Inversiones'!$E$5:$E$203,'14_Inversiones'!$B$5:$B$203,A28,'14_Inversiones'!$D$5:$D$203,C28,'14_Inversiones'!$C$5:$C$203,"Venta"))</f>
        <v/>
      </c>
      <c r="G28" s="176" t="str">
        <f t="shared" si="0"/>
        <v/>
      </c>
      <c r="H28" s="176" t="str">
        <f>IF(A28="","",IFERROR(INDEX('09_Posicion_Actual'!$G$5:$G$204,MATCH(A28,'09_Posicion_Actual'!$B$5:$B$204,0)),0))</f>
        <v/>
      </c>
      <c r="I28" s="171" t="str">
        <f>IF(A28="","",IFERROR(INDEX('09_Posicion_Actual'!$I$5:$I$204,MATCH(A28,'09_Posicion_Actual'!$B$5:$B$204,0)),0))</f>
        <v/>
      </c>
      <c r="J28" s="176" t="str">
        <f t="shared" si="1"/>
        <v/>
      </c>
      <c r="K28" s="171" t="str">
        <f>IF(A28="","",IF(C28="USD",J28*IFERROR(INDEX('09_Posicion_Actual'!$H$5:$H$204,MATCH(A28,'09_Posicion_Actual'!$B$5:$B$204,0)),950),J28))</f>
        <v/>
      </c>
      <c r="L28" s="180" t="str">
        <f t="shared" si="2"/>
        <v/>
      </c>
      <c r="M28" s="176" t="str">
        <f>IF(A28="","",IFERROR(INDEX('09_Posicion_Actual'!$F$5:$F$204,MATCH(A28,'09_Posicion_Actual'!$B$5:$B$204,0)),""))</f>
        <v/>
      </c>
      <c r="N28" s="177" t="str">
        <f>IF(A28="","",IFERROR(INDEX('09_Posicion_Actual'!$E$5:$E$204,MATCH(A28,'09_Posicion_Actual'!$B$5:$B$204,0)),""))</f>
        <v/>
      </c>
      <c r="O28" s="131" t="str">
        <f>IF(A28="","",IFERROR(INDEX('09_Posicion_Actual'!$A$5:$A$204,MATCH(A28,'09_Posicion_Actual'!$B$5:$B$204,0)),""))</f>
        <v/>
      </c>
      <c r="P28" s="132" t="str">
        <f t="shared" si="3"/>
        <v/>
      </c>
      <c r="Q28" s="132" t="str">
        <f t="shared" si="4"/>
        <v/>
      </c>
      <c r="R28" s="132" t="str">
        <f>IF(A28="","",IFERROR(INDEX('09_Posicion_Actual'!$P$5:$P$204,MATCH(A28,'09_Posicion_Actual'!$B$5:$B$204,0)),""))</f>
        <v/>
      </c>
      <c r="S28" s="132" t="str">
        <f t="shared" si="5"/>
        <v/>
      </c>
      <c r="T28" s="132"/>
      <c r="U28" s="132"/>
      <c r="V28" s="132"/>
      <c r="W28" s="132"/>
      <c r="X28" s="132"/>
    </row>
    <row r="29" spans="1:24">
      <c r="A29" s="132"/>
      <c r="B29" s="132"/>
      <c r="C29" s="132"/>
      <c r="D29" s="132"/>
      <c r="E29" s="176" t="str">
        <f>IF(A29="","",SUMIFS('14_Inversiones'!$E$5:$E$203,'14_Inversiones'!$B$5:$B$203,A29,'14_Inversiones'!$D$5:$D$203,C29,'14_Inversiones'!$C$5:$C$203,"Compra")+SUMIFS('14_Inversiones'!$E$5:$E$203,'14_Inversiones'!$B$5:$B$203,A29,'14_Inversiones'!$D$5:$D$203,C29,'14_Inversiones'!$C$5:$C$203,"Aporte")+SUMIFS('14_Inversiones'!$E$5:$E$203,'14_Inversiones'!$B$5:$B$203,A29,'14_Inversiones'!$D$5:$D$203,C29,'14_Inversiones'!$C$5:$C$203,"Ajuste"))</f>
        <v/>
      </c>
      <c r="F29" s="176" t="str">
        <f>IF(A29="","",SUMIFS('14_Inversiones'!$E$5:$E$203,'14_Inversiones'!$B$5:$B$203,A29,'14_Inversiones'!$D$5:$D$203,C29,'14_Inversiones'!$C$5:$C$203,"Retiro")+SUMIFS('14_Inversiones'!$E$5:$E$203,'14_Inversiones'!$B$5:$B$203,A29,'14_Inversiones'!$D$5:$D$203,C29,'14_Inversiones'!$C$5:$C$203,"Venta"))</f>
        <v/>
      </c>
      <c r="G29" s="176" t="str">
        <f t="shared" si="0"/>
        <v/>
      </c>
      <c r="H29" s="176" t="str">
        <f>IF(A29="","",IFERROR(INDEX('09_Posicion_Actual'!$G$5:$G$204,MATCH(A29,'09_Posicion_Actual'!$B$5:$B$204,0)),0))</f>
        <v/>
      </c>
      <c r="I29" s="171" t="str">
        <f>IF(A29="","",IFERROR(INDEX('09_Posicion_Actual'!$I$5:$I$204,MATCH(A29,'09_Posicion_Actual'!$B$5:$B$204,0)),0))</f>
        <v/>
      </c>
      <c r="J29" s="176" t="str">
        <f t="shared" si="1"/>
        <v/>
      </c>
      <c r="K29" s="171" t="str">
        <f>IF(A29="","",IF(C29="USD",J29*IFERROR(INDEX('09_Posicion_Actual'!$H$5:$H$204,MATCH(A29,'09_Posicion_Actual'!$B$5:$B$204,0)),950),J29))</f>
        <v/>
      </c>
      <c r="L29" s="180" t="str">
        <f t="shared" si="2"/>
        <v/>
      </c>
      <c r="M29" s="176" t="str">
        <f>IF(A29="","",IFERROR(INDEX('09_Posicion_Actual'!$F$5:$F$204,MATCH(A29,'09_Posicion_Actual'!$B$5:$B$204,0)),""))</f>
        <v/>
      </c>
      <c r="N29" s="177" t="str">
        <f>IF(A29="","",IFERROR(INDEX('09_Posicion_Actual'!$E$5:$E$204,MATCH(A29,'09_Posicion_Actual'!$B$5:$B$204,0)),""))</f>
        <v/>
      </c>
      <c r="O29" s="131" t="str">
        <f>IF(A29="","",IFERROR(INDEX('09_Posicion_Actual'!$A$5:$A$204,MATCH(A29,'09_Posicion_Actual'!$B$5:$B$204,0)),""))</f>
        <v/>
      </c>
      <c r="P29" s="132" t="str">
        <f t="shared" si="3"/>
        <v/>
      </c>
      <c r="Q29" s="132" t="str">
        <f t="shared" si="4"/>
        <v/>
      </c>
      <c r="R29" s="132" t="str">
        <f>IF(A29="","",IFERROR(INDEX('09_Posicion_Actual'!$P$5:$P$204,MATCH(A29,'09_Posicion_Actual'!$B$5:$B$204,0)),""))</f>
        <v/>
      </c>
      <c r="S29" s="132" t="str">
        <f t="shared" si="5"/>
        <v/>
      </c>
      <c r="T29" s="132"/>
      <c r="U29" s="132"/>
      <c r="V29" s="132"/>
      <c r="W29" s="132"/>
      <c r="X29" s="132"/>
    </row>
    <row r="30" spans="1:24">
      <c r="A30" s="132"/>
      <c r="B30" s="132"/>
      <c r="C30" s="132"/>
      <c r="D30" s="132"/>
      <c r="E30" s="176" t="str">
        <f>IF(A30="","",SUMIFS('14_Inversiones'!$E$5:$E$203,'14_Inversiones'!$B$5:$B$203,A30,'14_Inversiones'!$D$5:$D$203,C30,'14_Inversiones'!$C$5:$C$203,"Compra")+SUMIFS('14_Inversiones'!$E$5:$E$203,'14_Inversiones'!$B$5:$B$203,A30,'14_Inversiones'!$D$5:$D$203,C30,'14_Inversiones'!$C$5:$C$203,"Aporte")+SUMIFS('14_Inversiones'!$E$5:$E$203,'14_Inversiones'!$B$5:$B$203,A30,'14_Inversiones'!$D$5:$D$203,C30,'14_Inversiones'!$C$5:$C$203,"Ajuste"))</f>
        <v/>
      </c>
      <c r="F30" s="176" t="str">
        <f>IF(A30="","",SUMIFS('14_Inversiones'!$E$5:$E$203,'14_Inversiones'!$B$5:$B$203,A30,'14_Inversiones'!$D$5:$D$203,C30,'14_Inversiones'!$C$5:$C$203,"Retiro")+SUMIFS('14_Inversiones'!$E$5:$E$203,'14_Inversiones'!$B$5:$B$203,A30,'14_Inversiones'!$D$5:$D$203,C30,'14_Inversiones'!$C$5:$C$203,"Venta"))</f>
        <v/>
      </c>
      <c r="G30" s="176" t="str">
        <f t="shared" si="0"/>
        <v/>
      </c>
      <c r="H30" s="176" t="str">
        <f>IF(A30="","",IFERROR(INDEX('09_Posicion_Actual'!$G$5:$G$204,MATCH(A30,'09_Posicion_Actual'!$B$5:$B$204,0)),0))</f>
        <v/>
      </c>
      <c r="I30" s="171" t="str">
        <f>IF(A30="","",IFERROR(INDEX('09_Posicion_Actual'!$I$5:$I$204,MATCH(A30,'09_Posicion_Actual'!$B$5:$B$204,0)),0))</f>
        <v/>
      </c>
      <c r="J30" s="176" t="str">
        <f t="shared" si="1"/>
        <v/>
      </c>
      <c r="K30" s="171" t="str">
        <f>IF(A30="","",IF(C30="USD",J30*IFERROR(INDEX('09_Posicion_Actual'!$H$5:$H$204,MATCH(A30,'09_Posicion_Actual'!$B$5:$B$204,0)),950),J30))</f>
        <v/>
      </c>
      <c r="L30" s="180" t="str">
        <f t="shared" si="2"/>
        <v/>
      </c>
      <c r="M30" s="176" t="str">
        <f>IF(A30="","",IFERROR(INDEX('09_Posicion_Actual'!$F$5:$F$204,MATCH(A30,'09_Posicion_Actual'!$B$5:$B$204,0)),""))</f>
        <v/>
      </c>
      <c r="N30" s="177" t="str">
        <f>IF(A30="","",IFERROR(INDEX('09_Posicion_Actual'!$E$5:$E$204,MATCH(A30,'09_Posicion_Actual'!$B$5:$B$204,0)),""))</f>
        <v/>
      </c>
      <c r="O30" s="131" t="str">
        <f>IF(A30="","",IFERROR(INDEX('09_Posicion_Actual'!$A$5:$A$204,MATCH(A30,'09_Posicion_Actual'!$B$5:$B$204,0)),""))</f>
        <v/>
      </c>
      <c r="P30" s="132" t="str">
        <f t="shared" si="3"/>
        <v/>
      </c>
      <c r="Q30" s="132" t="str">
        <f t="shared" si="4"/>
        <v/>
      </c>
      <c r="R30" s="132" t="str">
        <f>IF(A30="","",IFERROR(INDEX('09_Posicion_Actual'!$P$5:$P$204,MATCH(A30,'09_Posicion_Actual'!$B$5:$B$204,0)),""))</f>
        <v/>
      </c>
      <c r="S30" s="132" t="str">
        <f t="shared" si="5"/>
        <v/>
      </c>
      <c r="T30" s="132"/>
      <c r="U30" s="132"/>
      <c r="V30" s="132"/>
      <c r="W30" s="132"/>
      <c r="X30" s="132"/>
    </row>
    <row r="31" spans="1:24">
      <c r="A31" s="132"/>
      <c r="B31" s="132"/>
      <c r="C31" s="132"/>
      <c r="D31" s="132"/>
      <c r="E31" s="176" t="str">
        <f>IF(A31="","",SUMIFS('14_Inversiones'!$E$5:$E$203,'14_Inversiones'!$B$5:$B$203,A31,'14_Inversiones'!$D$5:$D$203,C31,'14_Inversiones'!$C$5:$C$203,"Compra")+SUMIFS('14_Inversiones'!$E$5:$E$203,'14_Inversiones'!$B$5:$B$203,A31,'14_Inversiones'!$D$5:$D$203,C31,'14_Inversiones'!$C$5:$C$203,"Aporte")+SUMIFS('14_Inversiones'!$E$5:$E$203,'14_Inversiones'!$B$5:$B$203,A31,'14_Inversiones'!$D$5:$D$203,C31,'14_Inversiones'!$C$5:$C$203,"Ajuste"))</f>
        <v/>
      </c>
      <c r="F31" s="176" t="str">
        <f>IF(A31="","",SUMIFS('14_Inversiones'!$E$5:$E$203,'14_Inversiones'!$B$5:$B$203,A31,'14_Inversiones'!$D$5:$D$203,C31,'14_Inversiones'!$C$5:$C$203,"Retiro")+SUMIFS('14_Inversiones'!$E$5:$E$203,'14_Inversiones'!$B$5:$B$203,A31,'14_Inversiones'!$D$5:$D$203,C31,'14_Inversiones'!$C$5:$C$203,"Venta"))</f>
        <v/>
      </c>
      <c r="G31" s="176" t="str">
        <f t="shared" si="0"/>
        <v/>
      </c>
      <c r="H31" s="176" t="str">
        <f>IF(A31="","",IFERROR(INDEX('09_Posicion_Actual'!$G$5:$G$204,MATCH(A31,'09_Posicion_Actual'!$B$5:$B$204,0)),0))</f>
        <v/>
      </c>
      <c r="I31" s="171" t="str">
        <f>IF(A31="","",IFERROR(INDEX('09_Posicion_Actual'!$I$5:$I$204,MATCH(A31,'09_Posicion_Actual'!$B$5:$B$204,0)),0))</f>
        <v/>
      </c>
      <c r="J31" s="176" t="str">
        <f t="shared" si="1"/>
        <v/>
      </c>
      <c r="K31" s="171" t="str">
        <f>IF(A31="","",IF(C31="USD",J31*IFERROR(INDEX('09_Posicion_Actual'!$H$5:$H$204,MATCH(A31,'09_Posicion_Actual'!$B$5:$B$204,0)),950),J31))</f>
        <v/>
      </c>
      <c r="L31" s="180" t="str">
        <f t="shared" si="2"/>
        <v/>
      </c>
      <c r="M31" s="176" t="str">
        <f>IF(A31="","",IFERROR(INDEX('09_Posicion_Actual'!$F$5:$F$204,MATCH(A31,'09_Posicion_Actual'!$B$5:$B$204,0)),""))</f>
        <v/>
      </c>
      <c r="N31" s="177" t="str">
        <f>IF(A31="","",IFERROR(INDEX('09_Posicion_Actual'!$E$5:$E$204,MATCH(A31,'09_Posicion_Actual'!$B$5:$B$204,0)),""))</f>
        <v/>
      </c>
      <c r="O31" s="131" t="str">
        <f>IF(A31="","",IFERROR(INDEX('09_Posicion_Actual'!$A$5:$A$204,MATCH(A31,'09_Posicion_Actual'!$B$5:$B$204,0)),""))</f>
        <v/>
      </c>
      <c r="P31" s="132" t="str">
        <f t="shared" si="3"/>
        <v/>
      </c>
      <c r="Q31" s="132" t="str">
        <f t="shared" si="4"/>
        <v/>
      </c>
      <c r="R31" s="132" t="str">
        <f>IF(A31="","",IFERROR(INDEX('09_Posicion_Actual'!$P$5:$P$204,MATCH(A31,'09_Posicion_Actual'!$B$5:$B$204,0)),""))</f>
        <v/>
      </c>
      <c r="S31" s="132" t="str">
        <f t="shared" si="5"/>
        <v/>
      </c>
      <c r="T31" s="132"/>
      <c r="U31" s="132"/>
      <c r="V31" s="132"/>
      <c r="W31" s="132"/>
      <c r="X31" s="132"/>
    </row>
    <row r="32" spans="1:24">
      <c r="A32" s="132"/>
      <c r="B32" s="132"/>
      <c r="C32" s="132"/>
      <c r="D32" s="132"/>
      <c r="E32" s="176" t="str">
        <f>IF(A32="","",SUMIFS('14_Inversiones'!$E$5:$E$203,'14_Inversiones'!$B$5:$B$203,A32,'14_Inversiones'!$D$5:$D$203,C32,'14_Inversiones'!$C$5:$C$203,"Compra")+SUMIFS('14_Inversiones'!$E$5:$E$203,'14_Inversiones'!$B$5:$B$203,A32,'14_Inversiones'!$D$5:$D$203,C32,'14_Inversiones'!$C$5:$C$203,"Aporte")+SUMIFS('14_Inversiones'!$E$5:$E$203,'14_Inversiones'!$B$5:$B$203,A32,'14_Inversiones'!$D$5:$D$203,C32,'14_Inversiones'!$C$5:$C$203,"Ajuste"))</f>
        <v/>
      </c>
      <c r="F32" s="176" t="str">
        <f>IF(A32="","",SUMIFS('14_Inversiones'!$E$5:$E$203,'14_Inversiones'!$B$5:$B$203,A32,'14_Inversiones'!$D$5:$D$203,C32,'14_Inversiones'!$C$5:$C$203,"Retiro")+SUMIFS('14_Inversiones'!$E$5:$E$203,'14_Inversiones'!$B$5:$B$203,A32,'14_Inversiones'!$D$5:$D$203,C32,'14_Inversiones'!$C$5:$C$203,"Venta"))</f>
        <v/>
      </c>
      <c r="G32" s="176" t="str">
        <f t="shared" si="0"/>
        <v/>
      </c>
      <c r="H32" s="176" t="str">
        <f>IF(A32="","",IFERROR(INDEX('09_Posicion_Actual'!$G$5:$G$204,MATCH(A32,'09_Posicion_Actual'!$B$5:$B$204,0)),0))</f>
        <v/>
      </c>
      <c r="I32" s="171" t="str">
        <f>IF(A32="","",IFERROR(INDEX('09_Posicion_Actual'!$I$5:$I$204,MATCH(A32,'09_Posicion_Actual'!$B$5:$B$204,0)),0))</f>
        <v/>
      </c>
      <c r="J32" s="176" t="str">
        <f t="shared" si="1"/>
        <v/>
      </c>
      <c r="K32" s="171" t="str">
        <f>IF(A32="","",IF(C32="USD",J32*IFERROR(INDEX('09_Posicion_Actual'!$H$5:$H$204,MATCH(A32,'09_Posicion_Actual'!$B$5:$B$204,0)),950),J32))</f>
        <v/>
      </c>
      <c r="L32" s="180" t="str">
        <f t="shared" si="2"/>
        <v/>
      </c>
      <c r="M32" s="176" t="str">
        <f>IF(A32="","",IFERROR(INDEX('09_Posicion_Actual'!$F$5:$F$204,MATCH(A32,'09_Posicion_Actual'!$B$5:$B$204,0)),""))</f>
        <v/>
      </c>
      <c r="N32" s="177" t="str">
        <f>IF(A32="","",IFERROR(INDEX('09_Posicion_Actual'!$E$5:$E$204,MATCH(A32,'09_Posicion_Actual'!$B$5:$B$204,0)),""))</f>
        <v/>
      </c>
      <c r="O32" s="131" t="str">
        <f>IF(A32="","",IFERROR(INDEX('09_Posicion_Actual'!$A$5:$A$204,MATCH(A32,'09_Posicion_Actual'!$B$5:$B$204,0)),""))</f>
        <v/>
      </c>
      <c r="P32" s="132" t="str">
        <f t="shared" si="3"/>
        <v/>
      </c>
      <c r="Q32" s="132" t="str">
        <f t="shared" si="4"/>
        <v/>
      </c>
      <c r="R32" s="132" t="str">
        <f>IF(A32="","",IFERROR(INDEX('09_Posicion_Actual'!$P$5:$P$204,MATCH(A32,'09_Posicion_Actual'!$B$5:$B$204,0)),""))</f>
        <v/>
      </c>
      <c r="S32" s="132" t="str">
        <f t="shared" si="5"/>
        <v/>
      </c>
      <c r="T32" s="132"/>
      <c r="U32" s="132"/>
      <c r="V32" s="132"/>
      <c r="W32" s="132"/>
      <c r="X32" s="132"/>
    </row>
    <row r="33" spans="1:24">
      <c r="A33" s="132"/>
      <c r="B33" s="132"/>
      <c r="C33" s="132"/>
      <c r="D33" s="132"/>
      <c r="E33" s="176" t="str">
        <f>IF(A33="","",SUMIFS('14_Inversiones'!$E$5:$E$203,'14_Inversiones'!$B$5:$B$203,A33,'14_Inversiones'!$D$5:$D$203,C33,'14_Inversiones'!$C$5:$C$203,"Compra")+SUMIFS('14_Inversiones'!$E$5:$E$203,'14_Inversiones'!$B$5:$B$203,A33,'14_Inversiones'!$D$5:$D$203,C33,'14_Inversiones'!$C$5:$C$203,"Aporte")+SUMIFS('14_Inversiones'!$E$5:$E$203,'14_Inversiones'!$B$5:$B$203,A33,'14_Inversiones'!$D$5:$D$203,C33,'14_Inversiones'!$C$5:$C$203,"Ajuste"))</f>
        <v/>
      </c>
      <c r="F33" s="176" t="str">
        <f>IF(A33="","",SUMIFS('14_Inversiones'!$E$5:$E$203,'14_Inversiones'!$B$5:$B$203,A33,'14_Inversiones'!$D$5:$D$203,C33,'14_Inversiones'!$C$5:$C$203,"Retiro")+SUMIFS('14_Inversiones'!$E$5:$E$203,'14_Inversiones'!$B$5:$B$203,A33,'14_Inversiones'!$D$5:$D$203,C33,'14_Inversiones'!$C$5:$C$203,"Venta"))</f>
        <v/>
      </c>
      <c r="G33" s="176" t="str">
        <f t="shared" si="0"/>
        <v/>
      </c>
      <c r="H33" s="176" t="str">
        <f>IF(A33="","",IFERROR(INDEX('09_Posicion_Actual'!$G$5:$G$204,MATCH(A33,'09_Posicion_Actual'!$B$5:$B$204,0)),0))</f>
        <v/>
      </c>
      <c r="I33" s="171" t="str">
        <f>IF(A33="","",IFERROR(INDEX('09_Posicion_Actual'!$I$5:$I$204,MATCH(A33,'09_Posicion_Actual'!$B$5:$B$204,0)),0))</f>
        <v/>
      </c>
      <c r="J33" s="176" t="str">
        <f t="shared" si="1"/>
        <v/>
      </c>
      <c r="K33" s="171" t="str">
        <f>IF(A33="","",IF(C33="USD",J33*IFERROR(INDEX('09_Posicion_Actual'!$H$5:$H$204,MATCH(A33,'09_Posicion_Actual'!$B$5:$B$204,0)),950),J33))</f>
        <v/>
      </c>
      <c r="L33" s="180" t="str">
        <f t="shared" si="2"/>
        <v/>
      </c>
      <c r="M33" s="176" t="str">
        <f>IF(A33="","",IFERROR(INDEX('09_Posicion_Actual'!$F$5:$F$204,MATCH(A33,'09_Posicion_Actual'!$B$5:$B$204,0)),""))</f>
        <v/>
      </c>
      <c r="N33" s="177" t="str">
        <f>IF(A33="","",IFERROR(INDEX('09_Posicion_Actual'!$E$5:$E$204,MATCH(A33,'09_Posicion_Actual'!$B$5:$B$204,0)),""))</f>
        <v/>
      </c>
      <c r="O33" s="131" t="str">
        <f>IF(A33="","",IFERROR(INDEX('09_Posicion_Actual'!$A$5:$A$204,MATCH(A33,'09_Posicion_Actual'!$B$5:$B$204,0)),""))</f>
        <v/>
      </c>
      <c r="P33" s="132" t="str">
        <f t="shared" si="3"/>
        <v/>
      </c>
      <c r="Q33" s="132" t="str">
        <f t="shared" si="4"/>
        <v/>
      </c>
      <c r="R33" s="132" t="str">
        <f>IF(A33="","",IFERROR(INDEX('09_Posicion_Actual'!$P$5:$P$204,MATCH(A33,'09_Posicion_Actual'!$B$5:$B$204,0)),""))</f>
        <v/>
      </c>
      <c r="S33" s="132" t="str">
        <f t="shared" si="5"/>
        <v/>
      </c>
      <c r="T33" s="132"/>
      <c r="U33" s="132"/>
      <c r="V33" s="132"/>
      <c r="W33" s="132"/>
      <c r="X33" s="132"/>
    </row>
    <row r="34" spans="1:24">
      <c r="A34" s="132"/>
      <c r="B34" s="132"/>
      <c r="C34" s="132"/>
      <c r="D34" s="132"/>
      <c r="E34" s="176" t="str">
        <f>IF(A34="","",SUMIFS('14_Inversiones'!$E$5:$E$203,'14_Inversiones'!$B$5:$B$203,A34,'14_Inversiones'!$D$5:$D$203,C34,'14_Inversiones'!$C$5:$C$203,"Compra")+SUMIFS('14_Inversiones'!$E$5:$E$203,'14_Inversiones'!$B$5:$B$203,A34,'14_Inversiones'!$D$5:$D$203,C34,'14_Inversiones'!$C$5:$C$203,"Aporte")+SUMIFS('14_Inversiones'!$E$5:$E$203,'14_Inversiones'!$B$5:$B$203,A34,'14_Inversiones'!$D$5:$D$203,C34,'14_Inversiones'!$C$5:$C$203,"Ajuste"))</f>
        <v/>
      </c>
      <c r="F34" s="176" t="str">
        <f>IF(A34="","",SUMIFS('14_Inversiones'!$E$5:$E$203,'14_Inversiones'!$B$5:$B$203,A34,'14_Inversiones'!$D$5:$D$203,C34,'14_Inversiones'!$C$5:$C$203,"Retiro")+SUMIFS('14_Inversiones'!$E$5:$E$203,'14_Inversiones'!$B$5:$B$203,A34,'14_Inversiones'!$D$5:$D$203,C34,'14_Inversiones'!$C$5:$C$203,"Venta"))</f>
        <v/>
      </c>
      <c r="G34" s="176" t="str">
        <f t="shared" si="0"/>
        <v/>
      </c>
      <c r="H34" s="176" t="str">
        <f>IF(A34="","",IFERROR(INDEX('09_Posicion_Actual'!$G$5:$G$204,MATCH(A34,'09_Posicion_Actual'!$B$5:$B$204,0)),0))</f>
        <v/>
      </c>
      <c r="I34" s="171" t="str">
        <f>IF(A34="","",IFERROR(INDEX('09_Posicion_Actual'!$I$5:$I$204,MATCH(A34,'09_Posicion_Actual'!$B$5:$B$204,0)),0))</f>
        <v/>
      </c>
      <c r="J34" s="176" t="str">
        <f t="shared" si="1"/>
        <v/>
      </c>
      <c r="K34" s="171" t="str">
        <f>IF(A34="","",IF(C34="USD",J34*IFERROR(INDEX('09_Posicion_Actual'!$H$5:$H$204,MATCH(A34,'09_Posicion_Actual'!$B$5:$B$204,0)),950),J34))</f>
        <v/>
      </c>
      <c r="L34" s="180" t="str">
        <f t="shared" si="2"/>
        <v/>
      </c>
      <c r="M34" s="176" t="str">
        <f>IF(A34="","",IFERROR(INDEX('09_Posicion_Actual'!$F$5:$F$204,MATCH(A34,'09_Posicion_Actual'!$B$5:$B$204,0)),""))</f>
        <v/>
      </c>
      <c r="N34" s="177" t="str">
        <f>IF(A34="","",IFERROR(INDEX('09_Posicion_Actual'!$E$5:$E$204,MATCH(A34,'09_Posicion_Actual'!$B$5:$B$204,0)),""))</f>
        <v/>
      </c>
      <c r="O34" s="131" t="str">
        <f>IF(A34="","",IFERROR(INDEX('09_Posicion_Actual'!$A$5:$A$204,MATCH(A34,'09_Posicion_Actual'!$B$5:$B$204,0)),""))</f>
        <v/>
      </c>
      <c r="P34" s="132" t="str">
        <f t="shared" si="3"/>
        <v/>
      </c>
      <c r="Q34" s="132" t="str">
        <f t="shared" si="4"/>
        <v/>
      </c>
      <c r="R34" s="132" t="str">
        <f>IF(A34="","",IFERROR(INDEX('09_Posicion_Actual'!$P$5:$P$204,MATCH(A34,'09_Posicion_Actual'!$B$5:$B$204,0)),""))</f>
        <v/>
      </c>
      <c r="S34" s="132" t="str">
        <f t="shared" si="5"/>
        <v/>
      </c>
      <c r="T34" s="132"/>
      <c r="U34" s="132"/>
      <c r="V34" s="132"/>
      <c r="W34" s="132"/>
      <c r="X34" s="132"/>
    </row>
    <row r="35" spans="1:24">
      <c r="A35" s="132"/>
      <c r="B35" s="132"/>
      <c r="C35" s="132"/>
      <c r="D35" s="132"/>
      <c r="E35" s="176" t="str">
        <f>IF(A35="","",SUMIFS('14_Inversiones'!$E$5:$E$203,'14_Inversiones'!$B$5:$B$203,A35,'14_Inversiones'!$D$5:$D$203,C35,'14_Inversiones'!$C$5:$C$203,"Compra")+SUMIFS('14_Inversiones'!$E$5:$E$203,'14_Inversiones'!$B$5:$B$203,A35,'14_Inversiones'!$D$5:$D$203,C35,'14_Inversiones'!$C$5:$C$203,"Aporte")+SUMIFS('14_Inversiones'!$E$5:$E$203,'14_Inversiones'!$B$5:$B$203,A35,'14_Inversiones'!$D$5:$D$203,C35,'14_Inversiones'!$C$5:$C$203,"Ajuste"))</f>
        <v/>
      </c>
      <c r="F35" s="176" t="str">
        <f>IF(A35="","",SUMIFS('14_Inversiones'!$E$5:$E$203,'14_Inversiones'!$B$5:$B$203,A35,'14_Inversiones'!$D$5:$D$203,C35,'14_Inversiones'!$C$5:$C$203,"Retiro")+SUMIFS('14_Inversiones'!$E$5:$E$203,'14_Inversiones'!$B$5:$B$203,A35,'14_Inversiones'!$D$5:$D$203,C35,'14_Inversiones'!$C$5:$C$203,"Venta"))</f>
        <v/>
      </c>
      <c r="G35" s="176" t="str">
        <f t="shared" si="0"/>
        <v/>
      </c>
      <c r="H35" s="176" t="str">
        <f>IF(A35="","",IFERROR(INDEX('09_Posicion_Actual'!$G$5:$G$204,MATCH(A35,'09_Posicion_Actual'!$B$5:$B$204,0)),0))</f>
        <v/>
      </c>
      <c r="I35" s="171" t="str">
        <f>IF(A35="","",IFERROR(INDEX('09_Posicion_Actual'!$I$5:$I$204,MATCH(A35,'09_Posicion_Actual'!$B$5:$B$204,0)),0))</f>
        <v/>
      </c>
      <c r="J35" s="176" t="str">
        <f t="shared" si="1"/>
        <v/>
      </c>
      <c r="K35" s="171" t="str">
        <f>IF(A35="","",IF(C35="USD",J35*IFERROR(INDEX('09_Posicion_Actual'!$H$5:$H$204,MATCH(A35,'09_Posicion_Actual'!$B$5:$B$204,0)),950),J35))</f>
        <v/>
      </c>
      <c r="L35" s="180" t="str">
        <f t="shared" si="2"/>
        <v/>
      </c>
      <c r="M35" s="176" t="str">
        <f>IF(A35="","",IFERROR(INDEX('09_Posicion_Actual'!$F$5:$F$204,MATCH(A35,'09_Posicion_Actual'!$B$5:$B$204,0)),""))</f>
        <v/>
      </c>
      <c r="N35" s="177" t="str">
        <f>IF(A35="","",IFERROR(INDEX('09_Posicion_Actual'!$E$5:$E$204,MATCH(A35,'09_Posicion_Actual'!$B$5:$B$204,0)),""))</f>
        <v/>
      </c>
      <c r="O35" s="131" t="str">
        <f>IF(A35="","",IFERROR(INDEX('09_Posicion_Actual'!$A$5:$A$204,MATCH(A35,'09_Posicion_Actual'!$B$5:$B$204,0)),""))</f>
        <v/>
      </c>
      <c r="P35" s="132" t="str">
        <f t="shared" si="3"/>
        <v/>
      </c>
      <c r="Q35" s="132" t="str">
        <f t="shared" si="4"/>
        <v/>
      </c>
      <c r="R35" s="132" t="str">
        <f>IF(A35="","",IFERROR(INDEX('09_Posicion_Actual'!$P$5:$P$204,MATCH(A35,'09_Posicion_Actual'!$B$5:$B$204,0)),""))</f>
        <v/>
      </c>
      <c r="S35" s="132" t="str">
        <f t="shared" si="5"/>
        <v/>
      </c>
      <c r="T35" s="132"/>
      <c r="U35" s="132"/>
      <c r="V35" s="132"/>
      <c r="W35" s="132"/>
      <c r="X35" s="132"/>
    </row>
    <row r="36" spans="1:24">
      <c r="A36" s="132"/>
      <c r="B36" s="132"/>
      <c r="C36" s="132"/>
      <c r="D36" s="132"/>
      <c r="E36" s="176" t="str">
        <f>IF(A36="","",SUMIFS('14_Inversiones'!$E$5:$E$203,'14_Inversiones'!$B$5:$B$203,A36,'14_Inversiones'!$D$5:$D$203,C36,'14_Inversiones'!$C$5:$C$203,"Compra")+SUMIFS('14_Inversiones'!$E$5:$E$203,'14_Inversiones'!$B$5:$B$203,A36,'14_Inversiones'!$D$5:$D$203,C36,'14_Inversiones'!$C$5:$C$203,"Aporte")+SUMIFS('14_Inversiones'!$E$5:$E$203,'14_Inversiones'!$B$5:$B$203,A36,'14_Inversiones'!$D$5:$D$203,C36,'14_Inversiones'!$C$5:$C$203,"Ajuste"))</f>
        <v/>
      </c>
      <c r="F36" s="176" t="str">
        <f>IF(A36="","",SUMIFS('14_Inversiones'!$E$5:$E$203,'14_Inversiones'!$B$5:$B$203,A36,'14_Inversiones'!$D$5:$D$203,C36,'14_Inversiones'!$C$5:$C$203,"Retiro")+SUMIFS('14_Inversiones'!$E$5:$E$203,'14_Inversiones'!$B$5:$B$203,A36,'14_Inversiones'!$D$5:$D$203,C36,'14_Inversiones'!$C$5:$C$203,"Venta"))</f>
        <v/>
      </c>
      <c r="G36" s="176" t="str">
        <f t="shared" si="0"/>
        <v/>
      </c>
      <c r="H36" s="176" t="str">
        <f>IF(A36="","",IFERROR(INDEX('09_Posicion_Actual'!$G$5:$G$204,MATCH(A36,'09_Posicion_Actual'!$B$5:$B$204,0)),0))</f>
        <v/>
      </c>
      <c r="I36" s="171" t="str">
        <f>IF(A36="","",IFERROR(INDEX('09_Posicion_Actual'!$I$5:$I$204,MATCH(A36,'09_Posicion_Actual'!$B$5:$B$204,0)),0))</f>
        <v/>
      </c>
      <c r="J36" s="176" t="str">
        <f t="shared" si="1"/>
        <v/>
      </c>
      <c r="K36" s="171" t="str">
        <f>IF(A36="","",IF(C36="USD",J36*IFERROR(INDEX('09_Posicion_Actual'!$H$5:$H$204,MATCH(A36,'09_Posicion_Actual'!$B$5:$B$204,0)),950),J36))</f>
        <v/>
      </c>
      <c r="L36" s="180" t="str">
        <f t="shared" si="2"/>
        <v/>
      </c>
      <c r="M36" s="176" t="str">
        <f>IF(A36="","",IFERROR(INDEX('09_Posicion_Actual'!$F$5:$F$204,MATCH(A36,'09_Posicion_Actual'!$B$5:$B$204,0)),""))</f>
        <v/>
      </c>
      <c r="N36" s="177" t="str">
        <f>IF(A36="","",IFERROR(INDEX('09_Posicion_Actual'!$E$5:$E$204,MATCH(A36,'09_Posicion_Actual'!$B$5:$B$204,0)),""))</f>
        <v/>
      </c>
      <c r="O36" s="131" t="str">
        <f>IF(A36="","",IFERROR(INDEX('09_Posicion_Actual'!$A$5:$A$204,MATCH(A36,'09_Posicion_Actual'!$B$5:$B$204,0)),""))</f>
        <v/>
      </c>
      <c r="P36" s="132" t="str">
        <f t="shared" si="3"/>
        <v/>
      </c>
      <c r="Q36" s="132" t="str">
        <f t="shared" si="4"/>
        <v/>
      </c>
      <c r="R36" s="132" t="str">
        <f>IF(A36="","",IFERROR(INDEX('09_Posicion_Actual'!$P$5:$P$204,MATCH(A36,'09_Posicion_Actual'!$B$5:$B$204,0)),""))</f>
        <v/>
      </c>
      <c r="S36" s="132" t="str">
        <f t="shared" si="5"/>
        <v/>
      </c>
      <c r="T36" s="132"/>
      <c r="U36" s="132"/>
      <c r="V36" s="132"/>
      <c r="W36" s="132"/>
      <c r="X36" s="132"/>
    </row>
    <row r="37" spans="1:24">
      <c r="A37" s="132"/>
      <c r="B37" s="132"/>
      <c r="C37" s="132"/>
      <c r="D37" s="132"/>
      <c r="E37" s="176" t="str">
        <f>IF(A37="","",SUMIFS('14_Inversiones'!$E$5:$E$203,'14_Inversiones'!$B$5:$B$203,A37,'14_Inversiones'!$D$5:$D$203,C37,'14_Inversiones'!$C$5:$C$203,"Compra")+SUMIFS('14_Inversiones'!$E$5:$E$203,'14_Inversiones'!$B$5:$B$203,A37,'14_Inversiones'!$D$5:$D$203,C37,'14_Inversiones'!$C$5:$C$203,"Aporte")+SUMIFS('14_Inversiones'!$E$5:$E$203,'14_Inversiones'!$B$5:$B$203,A37,'14_Inversiones'!$D$5:$D$203,C37,'14_Inversiones'!$C$5:$C$203,"Ajuste"))</f>
        <v/>
      </c>
      <c r="F37" s="176" t="str">
        <f>IF(A37="","",SUMIFS('14_Inversiones'!$E$5:$E$203,'14_Inversiones'!$B$5:$B$203,A37,'14_Inversiones'!$D$5:$D$203,C37,'14_Inversiones'!$C$5:$C$203,"Retiro")+SUMIFS('14_Inversiones'!$E$5:$E$203,'14_Inversiones'!$B$5:$B$203,A37,'14_Inversiones'!$D$5:$D$203,C37,'14_Inversiones'!$C$5:$C$203,"Venta"))</f>
        <v/>
      </c>
      <c r="G37" s="176" t="str">
        <f t="shared" ref="G37:G68" si="6">IF(A37="","",E37-F37)</f>
        <v/>
      </c>
      <c r="H37" s="176" t="str">
        <f>IF(A37="","",IFERROR(INDEX('09_Posicion_Actual'!$G$5:$G$204,MATCH(A37,'09_Posicion_Actual'!$B$5:$B$204,0)),0))</f>
        <v/>
      </c>
      <c r="I37" s="171" t="str">
        <f>IF(A37="","",IFERROR(INDEX('09_Posicion_Actual'!$I$5:$I$204,MATCH(A37,'09_Posicion_Actual'!$B$5:$B$204,0)),0))</f>
        <v/>
      </c>
      <c r="J37" s="176" t="str">
        <f t="shared" ref="J37:J68" si="7">IF(A37="","",H37-G37)</f>
        <v/>
      </c>
      <c r="K37" s="171" t="str">
        <f>IF(A37="","",IF(C37="USD",J37*IFERROR(INDEX('09_Posicion_Actual'!$H$5:$H$204,MATCH(A37,'09_Posicion_Actual'!$B$5:$B$204,0)),950),J37))</f>
        <v/>
      </c>
      <c r="L37" s="180" t="str">
        <f t="shared" ref="L37:L68" si="8">IF(OR(A37="",G37&lt;=0),"",J37/G37)</f>
        <v/>
      </c>
      <c r="M37" s="176" t="str">
        <f>IF(A37="","",IFERROR(INDEX('09_Posicion_Actual'!$F$5:$F$204,MATCH(A37,'09_Posicion_Actual'!$B$5:$B$204,0)),""))</f>
        <v/>
      </c>
      <c r="N37" s="177" t="str">
        <f>IF(A37="","",IFERROR(INDEX('09_Posicion_Actual'!$E$5:$E$204,MATCH(A37,'09_Posicion_Actual'!$B$5:$B$204,0)),""))</f>
        <v/>
      </c>
      <c r="O37" s="131" t="str">
        <f>IF(A37="","",IFERROR(INDEX('09_Posicion_Actual'!$A$5:$A$204,MATCH(A37,'09_Posicion_Actual'!$B$5:$B$204,0)),""))</f>
        <v/>
      </c>
      <c r="P37" s="132" t="str">
        <f t="shared" ref="P37:P68" si="9">IF(A37="","",IF(G37&lt;=0,"🟡 Revisar aporte",IF(J37&gt;0,"🟢 Ganancia",IF(J37&lt;0,"🔴 Pérdida","🟡 Neutra"))))</f>
        <v/>
      </c>
      <c r="Q37" s="132" t="str">
        <f t="shared" ref="Q37:Q68" si="10">IF(A37="","","Rentabilidad acumulada desde aportes registrados; no diaria ni mensual")</f>
        <v/>
      </c>
      <c r="R37" s="132" t="str">
        <f>IF(A37="","",IFERROR(INDEX('09_Posicion_Actual'!$P$5:$P$204,MATCH(A37,'09_Posicion_Actual'!$B$5:$B$204,0)),""))</f>
        <v/>
      </c>
      <c r="S37" s="132" t="str">
        <f t="shared" ref="S37:S68" si="11">IF(A37="","","14_Inversiones + 09_Posicion_Actual")</f>
        <v/>
      </c>
      <c r="T37" s="132"/>
      <c r="U37" s="132"/>
      <c r="V37" s="132"/>
      <c r="W37" s="132"/>
      <c r="X37" s="132"/>
    </row>
    <row r="38" spans="1:24">
      <c r="A38" s="132"/>
      <c r="B38" s="132"/>
      <c r="C38" s="132"/>
      <c r="D38" s="132"/>
      <c r="E38" s="176" t="str">
        <f>IF(A38="","",SUMIFS('14_Inversiones'!$E$5:$E$203,'14_Inversiones'!$B$5:$B$203,A38,'14_Inversiones'!$D$5:$D$203,C38,'14_Inversiones'!$C$5:$C$203,"Compra")+SUMIFS('14_Inversiones'!$E$5:$E$203,'14_Inversiones'!$B$5:$B$203,A38,'14_Inversiones'!$D$5:$D$203,C38,'14_Inversiones'!$C$5:$C$203,"Aporte")+SUMIFS('14_Inversiones'!$E$5:$E$203,'14_Inversiones'!$B$5:$B$203,A38,'14_Inversiones'!$D$5:$D$203,C38,'14_Inversiones'!$C$5:$C$203,"Ajuste"))</f>
        <v/>
      </c>
      <c r="F38" s="176" t="str">
        <f>IF(A38="","",SUMIFS('14_Inversiones'!$E$5:$E$203,'14_Inversiones'!$B$5:$B$203,A38,'14_Inversiones'!$D$5:$D$203,C38,'14_Inversiones'!$C$5:$C$203,"Retiro")+SUMIFS('14_Inversiones'!$E$5:$E$203,'14_Inversiones'!$B$5:$B$203,A38,'14_Inversiones'!$D$5:$D$203,C38,'14_Inversiones'!$C$5:$C$203,"Venta"))</f>
        <v/>
      </c>
      <c r="G38" s="176" t="str">
        <f t="shared" si="6"/>
        <v/>
      </c>
      <c r="H38" s="176" t="str">
        <f>IF(A38="","",IFERROR(INDEX('09_Posicion_Actual'!$G$5:$G$204,MATCH(A38,'09_Posicion_Actual'!$B$5:$B$204,0)),0))</f>
        <v/>
      </c>
      <c r="I38" s="171" t="str">
        <f>IF(A38="","",IFERROR(INDEX('09_Posicion_Actual'!$I$5:$I$204,MATCH(A38,'09_Posicion_Actual'!$B$5:$B$204,0)),0))</f>
        <v/>
      </c>
      <c r="J38" s="176" t="str">
        <f t="shared" si="7"/>
        <v/>
      </c>
      <c r="K38" s="171" t="str">
        <f>IF(A38="","",IF(C38="USD",J38*IFERROR(INDEX('09_Posicion_Actual'!$H$5:$H$204,MATCH(A38,'09_Posicion_Actual'!$B$5:$B$204,0)),950),J38))</f>
        <v/>
      </c>
      <c r="L38" s="180" t="str">
        <f t="shared" si="8"/>
        <v/>
      </c>
      <c r="M38" s="176" t="str">
        <f>IF(A38="","",IFERROR(INDEX('09_Posicion_Actual'!$F$5:$F$204,MATCH(A38,'09_Posicion_Actual'!$B$5:$B$204,0)),""))</f>
        <v/>
      </c>
      <c r="N38" s="177" t="str">
        <f>IF(A38="","",IFERROR(INDEX('09_Posicion_Actual'!$E$5:$E$204,MATCH(A38,'09_Posicion_Actual'!$B$5:$B$204,0)),""))</f>
        <v/>
      </c>
      <c r="O38" s="131" t="str">
        <f>IF(A38="","",IFERROR(INDEX('09_Posicion_Actual'!$A$5:$A$204,MATCH(A38,'09_Posicion_Actual'!$B$5:$B$204,0)),""))</f>
        <v/>
      </c>
      <c r="P38" s="132" t="str">
        <f t="shared" si="9"/>
        <v/>
      </c>
      <c r="Q38" s="132" t="str">
        <f t="shared" si="10"/>
        <v/>
      </c>
      <c r="R38" s="132" t="str">
        <f>IF(A38="","",IFERROR(INDEX('09_Posicion_Actual'!$P$5:$P$204,MATCH(A38,'09_Posicion_Actual'!$B$5:$B$204,0)),""))</f>
        <v/>
      </c>
      <c r="S38" s="132" t="str">
        <f t="shared" si="11"/>
        <v/>
      </c>
      <c r="T38" s="132"/>
      <c r="U38" s="132"/>
      <c r="V38" s="132"/>
      <c r="W38" s="132"/>
      <c r="X38" s="132"/>
    </row>
    <row r="39" spans="1:24">
      <c r="A39" s="132"/>
      <c r="B39" s="132"/>
      <c r="C39" s="132"/>
      <c r="D39" s="132"/>
      <c r="E39" s="176" t="str">
        <f>IF(A39="","",SUMIFS('14_Inversiones'!$E$5:$E$203,'14_Inversiones'!$B$5:$B$203,A39,'14_Inversiones'!$D$5:$D$203,C39,'14_Inversiones'!$C$5:$C$203,"Compra")+SUMIFS('14_Inversiones'!$E$5:$E$203,'14_Inversiones'!$B$5:$B$203,A39,'14_Inversiones'!$D$5:$D$203,C39,'14_Inversiones'!$C$5:$C$203,"Aporte")+SUMIFS('14_Inversiones'!$E$5:$E$203,'14_Inversiones'!$B$5:$B$203,A39,'14_Inversiones'!$D$5:$D$203,C39,'14_Inversiones'!$C$5:$C$203,"Ajuste"))</f>
        <v/>
      </c>
      <c r="F39" s="176" t="str">
        <f>IF(A39="","",SUMIFS('14_Inversiones'!$E$5:$E$203,'14_Inversiones'!$B$5:$B$203,A39,'14_Inversiones'!$D$5:$D$203,C39,'14_Inversiones'!$C$5:$C$203,"Retiro")+SUMIFS('14_Inversiones'!$E$5:$E$203,'14_Inversiones'!$B$5:$B$203,A39,'14_Inversiones'!$D$5:$D$203,C39,'14_Inversiones'!$C$5:$C$203,"Venta"))</f>
        <v/>
      </c>
      <c r="G39" s="176" t="str">
        <f t="shared" si="6"/>
        <v/>
      </c>
      <c r="H39" s="176" t="str">
        <f>IF(A39="","",IFERROR(INDEX('09_Posicion_Actual'!$G$5:$G$204,MATCH(A39,'09_Posicion_Actual'!$B$5:$B$204,0)),0))</f>
        <v/>
      </c>
      <c r="I39" s="171" t="str">
        <f>IF(A39="","",IFERROR(INDEX('09_Posicion_Actual'!$I$5:$I$204,MATCH(A39,'09_Posicion_Actual'!$B$5:$B$204,0)),0))</f>
        <v/>
      </c>
      <c r="J39" s="176" t="str">
        <f t="shared" si="7"/>
        <v/>
      </c>
      <c r="K39" s="171" t="str">
        <f>IF(A39="","",IF(C39="USD",J39*IFERROR(INDEX('09_Posicion_Actual'!$H$5:$H$204,MATCH(A39,'09_Posicion_Actual'!$B$5:$B$204,0)),950),J39))</f>
        <v/>
      </c>
      <c r="L39" s="180" t="str">
        <f t="shared" si="8"/>
        <v/>
      </c>
      <c r="M39" s="176" t="str">
        <f>IF(A39="","",IFERROR(INDEX('09_Posicion_Actual'!$F$5:$F$204,MATCH(A39,'09_Posicion_Actual'!$B$5:$B$204,0)),""))</f>
        <v/>
      </c>
      <c r="N39" s="177" t="str">
        <f>IF(A39="","",IFERROR(INDEX('09_Posicion_Actual'!$E$5:$E$204,MATCH(A39,'09_Posicion_Actual'!$B$5:$B$204,0)),""))</f>
        <v/>
      </c>
      <c r="O39" s="131" t="str">
        <f>IF(A39="","",IFERROR(INDEX('09_Posicion_Actual'!$A$5:$A$204,MATCH(A39,'09_Posicion_Actual'!$B$5:$B$204,0)),""))</f>
        <v/>
      </c>
      <c r="P39" s="132" t="str">
        <f t="shared" si="9"/>
        <v/>
      </c>
      <c r="Q39" s="132" t="str">
        <f t="shared" si="10"/>
        <v/>
      </c>
      <c r="R39" s="132" t="str">
        <f>IF(A39="","",IFERROR(INDEX('09_Posicion_Actual'!$P$5:$P$204,MATCH(A39,'09_Posicion_Actual'!$B$5:$B$204,0)),""))</f>
        <v/>
      </c>
      <c r="S39" s="132" t="str">
        <f t="shared" si="11"/>
        <v/>
      </c>
      <c r="T39" s="132"/>
      <c r="U39" s="132"/>
      <c r="V39" s="132"/>
      <c r="W39" s="132"/>
      <c r="X39" s="132"/>
    </row>
    <row r="40" spans="1:24">
      <c r="A40" s="132"/>
      <c r="B40" s="132"/>
      <c r="C40" s="132"/>
      <c r="D40" s="132"/>
      <c r="E40" s="176" t="str">
        <f>IF(A40="","",SUMIFS('14_Inversiones'!$E$5:$E$203,'14_Inversiones'!$B$5:$B$203,A40,'14_Inversiones'!$D$5:$D$203,C40,'14_Inversiones'!$C$5:$C$203,"Compra")+SUMIFS('14_Inversiones'!$E$5:$E$203,'14_Inversiones'!$B$5:$B$203,A40,'14_Inversiones'!$D$5:$D$203,C40,'14_Inversiones'!$C$5:$C$203,"Aporte")+SUMIFS('14_Inversiones'!$E$5:$E$203,'14_Inversiones'!$B$5:$B$203,A40,'14_Inversiones'!$D$5:$D$203,C40,'14_Inversiones'!$C$5:$C$203,"Ajuste"))</f>
        <v/>
      </c>
      <c r="F40" s="176" t="str">
        <f>IF(A40="","",SUMIFS('14_Inversiones'!$E$5:$E$203,'14_Inversiones'!$B$5:$B$203,A40,'14_Inversiones'!$D$5:$D$203,C40,'14_Inversiones'!$C$5:$C$203,"Retiro")+SUMIFS('14_Inversiones'!$E$5:$E$203,'14_Inversiones'!$B$5:$B$203,A40,'14_Inversiones'!$D$5:$D$203,C40,'14_Inversiones'!$C$5:$C$203,"Venta"))</f>
        <v/>
      </c>
      <c r="G40" s="176" t="str">
        <f t="shared" si="6"/>
        <v/>
      </c>
      <c r="H40" s="176" t="str">
        <f>IF(A40="","",IFERROR(INDEX('09_Posicion_Actual'!$G$5:$G$204,MATCH(A40,'09_Posicion_Actual'!$B$5:$B$204,0)),0))</f>
        <v/>
      </c>
      <c r="I40" s="171" t="str">
        <f>IF(A40="","",IFERROR(INDEX('09_Posicion_Actual'!$I$5:$I$204,MATCH(A40,'09_Posicion_Actual'!$B$5:$B$204,0)),0))</f>
        <v/>
      </c>
      <c r="J40" s="176" t="str">
        <f t="shared" si="7"/>
        <v/>
      </c>
      <c r="K40" s="171" t="str">
        <f>IF(A40="","",IF(C40="USD",J40*IFERROR(INDEX('09_Posicion_Actual'!$H$5:$H$204,MATCH(A40,'09_Posicion_Actual'!$B$5:$B$204,0)),950),J40))</f>
        <v/>
      </c>
      <c r="L40" s="180" t="str">
        <f t="shared" si="8"/>
        <v/>
      </c>
      <c r="M40" s="176" t="str">
        <f>IF(A40="","",IFERROR(INDEX('09_Posicion_Actual'!$F$5:$F$204,MATCH(A40,'09_Posicion_Actual'!$B$5:$B$204,0)),""))</f>
        <v/>
      </c>
      <c r="N40" s="177" t="str">
        <f>IF(A40="","",IFERROR(INDEX('09_Posicion_Actual'!$E$5:$E$204,MATCH(A40,'09_Posicion_Actual'!$B$5:$B$204,0)),""))</f>
        <v/>
      </c>
      <c r="O40" s="131" t="str">
        <f>IF(A40="","",IFERROR(INDEX('09_Posicion_Actual'!$A$5:$A$204,MATCH(A40,'09_Posicion_Actual'!$B$5:$B$204,0)),""))</f>
        <v/>
      </c>
      <c r="P40" s="132" t="str">
        <f t="shared" si="9"/>
        <v/>
      </c>
      <c r="Q40" s="132" t="str">
        <f t="shared" si="10"/>
        <v/>
      </c>
      <c r="R40" s="132" t="str">
        <f>IF(A40="","",IFERROR(INDEX('09_Posicion_Actual'!$P$5:$P$204,MATCH(A40,'09_Posicion_Actual'!$B$5:$B$204,0)),""))</f>
        <v/>
      </c>
      <c r="S40" s="132" t="str">
        <f t="shared" si="11"/>
        <v/>
      </c>
      <c r="T40" s="132"/>
      <c r="U40" s="132"/>
      <c r="V40" s="132"/>
      <c r="W40" s="132"/>
      <c r="X40" s="132"/>
    </row>
    <row r="41" spans="1:24">
      <c r="A41" s="132"/>
      <c r="B41" s="132"/>
      <c r="C41" s="132"/>
      <c r="D41" s="132"/>
      <c r="E41" s="176" t="str">
        <f>IF(A41="","",SUMIFS('14_Inversiones'!$E$5:$E$203,'14_Inversiones'!$B$5:$B$203,A41,'14_Inversiones'!$D$5:$D$203,C41,'14_Inversiones'!$C$5:$C$203,"Compra")+SUMIFS('14_Inversiones'!$E$5:$E$203,'14_Inversiones'!$B$5:$B$203,A41,'14_Inversiones'!$D$5:$D$203,C41,'14_Inversiones'!$C$5:$C$203,"Aporte")+SUMIFS('14_Inversiones'!$E$5:$E$203,'14_Inversiones'!$B$5:$B$203,A41,'14_Inversiones'!$D$5:$D$203,C41,'14_Inversiones'!$C$5:$C$203,"Ajuste"))</f>
        <v/>
      </c>
      <c r="F41" s="176" t="str">
        <f>IF(A41="","",SUMIFS('14_Inversiones'!$E$5:$E$203,'14_Inversiones'!$B$5:$B$203,A41,'14_Inversiones'!$D$5:$D$203,C41,'14_Inversiones'!$C$5:$C$203,"Retiro")+SUMIFS('14_Inversiones'!$E$5:$E$203,'14_Inversiones'!$B$5:$B$203,A41,'14_Inversiones'!$D$5:$D$203,C41,'14_Inversiones'!$C$5:$C$203,"Venta"))</f>
        <v/>
      </c>
      <c r="G41" s="176" t="str">
        <f t="shared" si="6"/>
        <v/>
      </c>
      <c r="H41" s="176" t="str">
        <f>IF(A41="","",IFERROR(INDEX('09_Posicion_Actual'!$G$5:$G$204,MATCH(A41,'09_Posicion_Actual'!$B$5:$B$204,0)),0))</f>
        <v/>
      </c>
      <c r="I41" s="171" t="str">
        <f>IF(A41="","",IFERROR(INDEX('09_Posicion_Actual'!$I$5:$I$204,MATCH(A41,'09_Posicion_Actual'!$B$5:$B$204,0)),0))</f>
        <v/>
      </c>
      <c r="J41" s="176" t="str">
        <f t="shared" si="7"/>
        <v/>
      </c>
      <c r="K41" s="171" t="str">
        <f>IF(A41="","",IF(C41="USD",J41*IFERROR(INDEX('09_Posicion_Actual'!$H$5:$H$204,MATCH(A41,'09_Posicion_Actual'!$B$5:$B$204,0)),950),J41))</f>
        <v/>
      </c>
      <c r="L41" s="180" t="str">
        <f t="shared" si="8"/>
        <v/>
      </c>
      <c r="M41" s="176" t="str">
        <f>IF(A41="","",IFERROR(INDEX('09_Posicion_Actual'!$F$5:$F$204,MATCH(A41,'09_Posicion_Actual'!$B$5:$B$204,0)),""))</f>
        <v/>
      </c>
      <c r="N41" s="177" t="str">
        <f>IF(A41="","",IFERROR(INDEX('09_Posicion_Actual'!$E$5:$E$204,MATCH(A41,'09_Posicion_Actual'!$B$5:$B$204,0)),""))</f>
        <v/>
      </c>
      <c r="O41" s="131" t="str">
        <f>IF(A41="","",IFERROR(INDEX('09_Posicion_Actual'!$A$5:$A$204,MATCH(A41,'09_Posicion_Actual'!$B$5:$B$204,0)),""))</f>
        <v/>
      </c>
      <c r="P41" s="132" t="str">
        <f t="shared" si="9"/>
        <v/>
      </c>
      <c r="Q41" s="132" t="str">
        <f t="shared" si="10"/>
        <v/>
      </c>
      <c r="R41" s="132" t="str">
        <f>IF(A41="","",IFERROR(INDEX('09_Posicion_Actual'!$P$5:$P$204,MATCH(A41,'09_Posicion_Actual'!$B$5:$B$204,0)),""))</f>
        <v/>
      </c>
      <c r="S41" s="132" t="str">
        <f t="shared" si="11"/>
        <v/>
      </c>
      <c r="T41" s="132"/>
      <c r="U41" s="132"/>
      <c r="V41" s="132"/>
      <c r="W41" s="132"/>
      <c r="X41" s="132"/>
    </row>
    <row r="42" spans="1:24">
      <c r="A42" s="132"/>
      <c r="B42" s="132"/>
      <c r="C42" s="132"/>
      <c r="D42" s="132"/>
      <c r="E42" s="176" t="str">
        <f>IF(A42="","",SUMIFS('14_Inversiones'!$E$5:$E$203,'14_Inversiones'!$B$5:$B$203,A42,'14_Inversiones'!$D$5:$D$203,C42,'14_Inversiones'!$C$5:$C$203,"Compra")+SUMIFS('14_Inversiones'!$E$5:$E$203,'14_Inversiones'!$B$5:$B$203,A42,'14_Inversiones'!$D$5:$D$203,C42,'14_Inversiones'!$C$5:$C$203,"Aporte")+SUMIFS('14_Inversiones'!$E$5:$E$203,'14_Inversiones'!$B$5:$B$203,A42,'14_Inversiones'!$D$5:$D$203,C42,'14_Inversiones'!$C$5:$C$203,"Ajuste"))</f>
        <v/>
      </c>
      <c r="F42" s="176" t="str">
        <f>IF(A42="","",SUMIFS('14_Inversiones'!$E$5:$E$203,'14_Inversiones'!$B$5:$B$203,A42,'14_Inversiones'!$D$5:$D$203,C42,'14_Inversiones'!$C$5:$C$203,"Retiro")+SUMIFS('14_Inversiones'!$E$5:$E$203,'14_Inversiones'!$B$5:$B$203,A42,'14_Inversiones'!$D$5:$D$203,C42,'14_Inversiones'!$C$5:$C$203,"Venta"))</f>
        <v/>
      </c>
      <c r="G42" s="176" t="str">
        <f t="shared" si="6"/>
        <v/>
      </c>
      <c r="H42" s="176" t="str">
        <f>IF(A42="","",IFERROR(INDEX('09_Posicion_Actual'!$G$5:$G$204,MATCH(A42,'09_Posicion_Actual'!$B$5:$B$204,0)),0))</f>
        <v/>
      </c>
      <c r="I42" s="171" t="str">
        <f>IF(A42="","",IFERROR(INDEX('09_Posicion_Actual'!$I$5:$I$204,MATCH(A42,'09_Posicion_Actual'!$B$5:$B$204,0)),0))</f>
        <v/>
      </c>
      <c r="J42" s="176" t="str">
        <f t="shared" si="7"/>
        <v/>
      </c>
      <c r="K42" s="171" t="str">
        <f>IF(A42="","",IF(C42="USD",J42*IFERROR(INDEX('09_Posicion_Actual'!$H$5:$H$204,MATCH(A42,'09_Posicion_Actual'!$B$5:$B$204,0)),950),J42))</f>
        <v/>
      </c>
      <c r="L42" s="180" t="str">
        <f t="shared" si="8"/>
        <v/>
      </c>
      <c r="M42" s="176" t="str">
        <f>IF(A42="","",IFERROR(INDEX('09_Posicion_Actual'!$F$5:$F$204,MATCH(A42,'09_Posicion_Actual'!$B$5:$B$204,0)),""))</f>
        <v/>
      </c>
      <c r="N42" s="177" t="str">
        <f>IF(A42="","",IFERROR(INDEX('09_Posicion_Actual'!$E$5:$E$204,MATCH(A42,'09_Posicion_Actual'!$B$5:$B$204,0)),""))</f>
        <v/>
      </c>
      <c r="O42" s="131" t="str">
        <f>IF(A42="","",IFERROR(INDEX('09_Posicion_Actual'!$A$5:$A$204,MATCH(A42,'09_Posicion_Actual'!$B$5:$B$204,0)),""))</f>
        <v/>
      </c>
      <c r="P42" s="132" t="str">
        <f t="shared" si="9"/>
        <v/>
      </c>
      <c r="Q42" s="132" t="str">
        <f t="shared" si="10"/>
        <v/>
      </c>
      <c r="R42" s="132" t="str">
        <f>IF(A42="","",IFERROR(INDEX('09_Posicion_Actual'!$P$5:$P$204,MATCH(A42,'09_Posicion_Actual'!$B$5:$B$204,0)),""))</f>
        <v/>
      </c>
      <c r="S42" s="132" t="str">
        <f t="shared" si="11"/>
        <v/>
      </c>
      <c r="T42" s="132"/>
      <c r="U42" s="132"/>
      <c r="V42" s="132"/>
      <c r="W42" s="132"/>
      <c r="X42" s="132"/>
    </row>
    <row r="43" spans="1:24">
      <c r="A43" s="132"/>
      <c r="B43" s="132"/>
      <c r="C43" s="132"/>
      <c r="D43" s="132"/>
      <c r="E43" s="176" t="str">
        <f>IF(A43="","",SUMIFS('14_Inversiones'!$E$5:$E$203,'14_Inversiones'!$B$5:$B$203,A43,'14_Inversiones'!$D$5:$D$203,C43,'14_Inversiones'!$C$5:$C$203,"Compra")+SUMIFS('14_Inversiones'!$E$5:$E$203,'14_Inversiones'!$B$5:$B$203,A43,'14_Inversiones'!$D$5:$D$203,C43,'14_Inversiones'!$C$5:$C$203,"Aporte")+SUMIFS('14_Inversiones'!$E$5:$E$203,'14_Inversiones'!$B$5:$B$203,A43,'14_Inversiones'!$D$5:$D$203,C43,'14_Inversiones'!$C$5:$C$203,"Ajuste"))</f>
        <v/>
      </c>
      <c r="F43" s="176" t="str">
        <f>IF(A43="","",SUMIFS('14_Inversiones'!$E$5:$E$203,'14_Inversiones'!$B$5:$B$203,A43,'14_Inversiones'!$D$5:$D$203,C43,'14_Inversiones'!$C$5:$C$203,"Retiro")+SUMIFS('14_Inversiones'!$E$5:$E$203,'14_Inversiones'!$B$5:$B$203,A43,'14_Inversiones'!$D$5:$D$203,C43,'14_Inversiones'!$C$5:$C$203,"Venta"))</f>
        <v/>
      </c>
      <c r="G43" s="176" t="str">
        <f t="shared" si="6"/>
        <v/>
      </c>
      <c r="H43" s="176" t="str">
        <f>IF(A43="","",IFERROR(INDEX('09_Posicion_Actual'!$G$5:$G$204,MATCH(A43,'09_Posicion_Actual'!$B$5:$B$204,0)),0))</f>
        <v/>
      </c>
      <c r="I43" s="171" t="str">
        <f>IF(A43="","",IFERROR(INDEX('09_Posicion_Actual'!$I$5:$I$204,MATCH(A43,'09_Posicion_Actual'!$B$5:$B$204,0)),0))</f>
        <v/>
      </c>
      <c r="J43" s="176" t="str">
        <f t="shared" si="7"/>
        <v/>
      </c>
      <c r="K43" s="171" t="str">
        <f>IF(A43="","",IF(C43="USD",J43*IFERROR(INDEX('09_Posicion_Actual'!$H$5:$H$204,MATCH(A43,'09_Posicion_Actual'!$B$5:$B$204,0)),950),J43))</f>
        <v/>
      </c>
      <c r="L43" s="180" t="str">
        <f t="shared" si="8"/>
        <v/>
      </c>
      <c r="M43" s="176" t="str">
        <f>IF(A43="","",IFERROR(INDEX('09_Posicion_Actual'!$F$5:$F$204,MATCH(A43,'09_Posicion_Actual'!$B$5:$B$204,0)),""))</f>
        <v/>
      </c>
      <c r="N43" s="177" t="str">
        <f>IF(A43="","",IFERROR(INDEX('09_Posicion_Actual'!$E$5:$E$204,MATCH(A43,'09_Posicion_Actual'!$B$5:$B$204,0)),""))</f>
        <v/>
      </c>
      <c r="O43" s="131" t="str">
        <f>IF(A43="","",IFERROR(INDEX('09_Posicion_Actual'!$A$5:$A$204,MATCH(A43,'09_Posicion_Actual'!$B$5:$B$204,0)),""))</f>
        <v/>
      </c>
      <c r="P43" s="132" t="str">
        <f t="shared" si="9"/>
        <v/>
      </c>
      <c r="Q43" s="132" t="str">
        <f t="shared" si="10"/>
        <v/>
      </c>
      <c r="R43" s="132" t="str">
        <f>IF(A43="","",IFERROR(INDEX('09_Posicion_Actual'!$P$5:$P$204,MATCH(A43,'09_Posicion_Actual'!$B$5:$B$204,0)),""))</f>
        <v/>
      </c>
      <c r="S43" s="132" t="str">
        <f t="shared" si="11"/>
        <v/>
      </c>
      <c r="T43" s="132"/>
      <c r="U43" s="132"/>
      <c r="V43" s="132"/>
      <c r="W43" s="132"/>
      <c r="X43" s="132"/>
    </row>
    <row r="44" spans="1:24">
      <c r="A44" s="132"/>
      <c r="B44" s="132"/>
      <c r="C44" s="132"/>
      <c r="D44" s="132"/>
      <c r="E44" s="176" t="str">
        <f>IF(A44="","",SUMIFS('14_Inversiones'!$E$5:$E$203,'14_Inversiones'!$B$5:$B$203,A44,'14_Inversiones'!$D$5:$D$203,C44,'14_Inversiones'!$C$5:$C$203,"Compra")+SUMIFS('14_Inversiones'!$E$5:$E$203,'14_Inversiones'!$B$5:$B$203,A44,'14_Inversiones'!$D$5:$D$203,C44,'14_Inversiones'!$C$5:$C$203,"Aporte")+SUMIFS('14_Inversiones'!$E$5:$E$203,'14_Inversiones'!$B$5:$B$203,A44,'14_Inversiones'!$D$5:$D$203,C44,'14_Inversiones'!$C$5:$C$203,"Ajuste"))</f>
        <v/>
      </c>
      <c r="F44" s="176" t="str">
        <f>IF(A44="","",SUMIFS('14_Inversiones'!$E$5:$E$203,'14_Inversiones'!$B$5:$B$203,A44,'14_Inversiones'!$D$5:$D$203,C44,'14_Inversiones'!$C$5:$C$203,"Retiro")+SUMIFS('14_Inversiones'!$E$5:$E$203,'14_Inversiones'!$B$5:$B$203,A44,'14_Inversiones'!$D$5:$D$203,C44,'14_Inversiones'!$C$5:$C$203,"Venta"))</f>
        <v/>
      </c>
      <c r="G44" s="176" t="str">
        <f t="shared" si="6"/>
        <v/>
      </c>
      <c r="H44" s="176" t="str">
        <f>IF(A44="","",IFERROR(INDEX('09_Posicion_Actual'!$G$5:$G$204,MATCH(A44,'09_Posicion_Actual'!$B$5:$B$204,0)),0))</f>
        <v/>
      </c>
      <c r="I44" s="171" t="str">
        <f>IF(A44="","",IFERROR(INDEX('09_Posicion_Actual'!$I$5:$I$204,MATCH(A44,'09_Posicion_Actual'!$B$5:$B$204,0)),0))</f>
        <v/>
      </c>
      <c r="J44" s="176" t="str">
        <f t="shared" si="7"/>
        <v/>
      </c>
      <c r="K44" s="171" t="str">
        <f>IF(A44="","",IF(C44="USD",J44*IFERROR(INDEX('09_Posicion_Actual'!$H$5:$H$204,MATCH(A44,'09_Posicion_Actual'!$B$5:$B$204,0)),950),J44))</f>
        <v/>
      </c>
      <c r="L44" s="180" t="str">
        <f t="shared" si="8"/>
        <v/>
      </c>
      <c r="M44" s="176" t="str">
        <f>IF(A44="","",IFERROR(INDEX('09_Posicion_Actual'!$F$5:$F$204,MATCH(A44,'09_Posicion_Actual'!$B$5:$B$204,0)),""))</f>
        <v/>
      </c>
      <c r="N44" s="177" t="str">
        <f>IF(A44="","",IFERROR(INDEX('09_Posicion_Actual'!$E$5:$E$204,MATCH(A44,'09_Posicion_Actual'!$B$5:$B$204,0)),""))</f>
        <v/>
      </c>
      <c r="O44" s="131" t="str">
        <f>IF(A44="","",IFERROR(INDEX('09_Posicion_Actual'!$A$5:$A$204,MATCH(A44,'09_Posicion_Actual'!$B$5:$B$204,0)),""))</f>
        <v/>
      </c>
      <c r="P44" s="132" t="str">
        <f t="shared" si="9"/>
        <v/>
      </c>
      <c r="Q44" s="132" t="str">
        <f t="shared" si="10"/>
        <v/>
      </c>
      <c r="R44" s="132" t="str">
        <f>IF(A44="","",IFERROR(INDEX('09_Posicion_Actual'!$P$5:$P$204,MATCH(A44,'09_Posicion_Actual'!$B$5:$B$204,0)),""))</f>
        <v/>
      </c>
      <c r="S44" s="132" t="str">
        <f t="shared" si="11"/>
        <v/>
      </c>
      <c r="T44" s="132"/>
      <c r="U44" s="132"/>
      <c r="V44" s="132"/>
      <c r="W44" s="132"/>
      <c r="X44" s="132"/>
    </row>
    <row r="45" spans="1:24">
      <c r="A45" s="132"/>
      <c r="B45" s="132"/>
      <c r="C45" s="132"/>
      <c r="D45" s="132"/>
      <c r="E45" s="176" t="str">
        <f>IF(A45="","",SUMIFS('14_Inversiones'!$E$5:$E$203,'14_Inversiones'!$B$5:$B$203,A45,'14_Inversiones'!$D$5:$D$203,C45,'14_Inversiones'!$C$5:$C$203,"Compra")+SUMIFS('14_Inversiones'!$E$5:$E$203,'14_Inversiones'!$B$5:$B$203,A45,'14_Inversiones'!$D$5:$D$203,C45,'14_Inversiones'!$C$5:$C$203,"Aporte")+SUMIFS('14_Inversiones'!$E$5:$E$203,'14_Inversiones'!$B$5:$B$203,A45,'14_Inversiones'!$D$5:$D$203,C45,'14_Inversiones'!$C$5:$C$203,"Ajuste"))</f>
        <v/>
      </c>
      <c r="F45" s="176" t="str">
        <f>IF(A45="","",SUMIFS('14_Inversiones'!$E$5:$E$203,'14_Inversiones'!$B$5:$B$203,A45,'14_Inversiones'!$D$5:$D$203,C45,'14_Inversiones'!$C$5:$C$203,"Retiro")+SUMIFS('14_Inversiones'!$E$5:$E$203,'14_Inversiones'!$B$5:$B$203,A45,'14_Inversiones'!$D$5:$D$203,C45,'14_Inversiones'!$C$5:$C$203,"Venta"))</f>
        <v/>
      </c>
      <c r="G45" s="176" t="str">
        <f t="shared" si="6"/>
        <v/>
      </c>
      <c r="H45" s="176" t="str">
        <f>IF(A45="","",IFERROR(INDEX('09_Posicion_Actual'!$G$5:$G$204,MATCH(A45,'09_Posicion_Actual'!$B$5:$B$204,0)),0))</f>
        <v/>
      </c>
      <c r="I45" s="171" t="str">
        <f>IF(A45="","",IFERROR(INDEX('09_Posicion_Actual'!$I$5:$I$204,MATCH(A45,'09_Posicion_Actual'!$B$5:$B$204,0)),0))</f>
        <v/>
      </c>
      <c r="J45" s="176" t="str">
        <f t="shared" si="7"/>
        <v/>
      </c>
      <c r="K45" s="171" t="str">
        <f>IF(A45="","",IF(C45="USD",J45*IFERROR(INDEX('09_Posicion_Actual'!$H$5:$H$204,MATCH(A45,'09_Posicion_Actual'!$B$5:$B$204,0)),950),J45))</f>
        <v/>
      </c>
      <c r="L45" s="180" t="str">
        <f t="shared" si="8"/>
        <v/>
      </c>
      <c r="M45" s="176" t="str">
        <f>IF(A45="","",IFERROR(INDEX('09_Posicion_Actual'!$F$5:$F$204,MATCH(A45,'09_Posicion_Actual'!$B$5:$B$204,0)),""))</f>
        <v/>
      </c>
      <c r="N45" s="177" t="str">
        <f>IF(A45="","",IFERROR(INDEX('09_Posicion_Actual'!$E$5:$E$204,MATCH(A45,'09_Posicion_Actual'!$B$5:$B$204,0)),""))</f>
        <v/>
      </c>
      <c r="O45" s="131" t="str">
        <f>IF(A45="","",IFERROR(INDEX('09_Posicion_Actual'!$A$5:$A$204,MATCH(A45,'09_Posicion_Actual'!$B$5:$B$204,0)),""))</f>
        <v/>
      </c>
      <c r="P45" s="132" t="str">
        <f t="shared" si="9"/>
        <v/>
      </c>
      <c r="Q45" s="132" t="str">
        <f t="shared" si="10"/>
        <v/>
      </c>
      <c r="R45" s="132" t="str">
        <f>IF(A45="","",IFERROR(INDEX('09_Posicion_Actual'!$P$5:$P$204,MATCH(A45,'09_Posicion_Actual'!$B$5:$B$204,0)),""))</f>
        <v/>
      </c>
      <c r="S45" s="132" t="str">
        <f t="shared" si="11"/>
        <v/>
      </c>
      <c r="T45" s="132"/>
      <c r="U45" s="132"/>
      <c r="V45" s="132"/>
      <c r="W45" s="132"/>
      <c r="X45" s="132"/>
    </row>
    <row r="46" spans="1:24">
      <c r="A46" s="132"/>
      <c r="B46" s="132"/>
      <c r="C46" s="132"/>
      <c r="D46" s="132"/>
      <c r="E46" s="176" t="str">
        <f>IF(A46="","",SUMIFS('14_Inversiones'!$E$5:$E$203,'14_Inversiones'!$B$5:$B$203,A46,'14_Inversiones'!$D$5:$D$203,C46,'14_Inversiones'!$C$5:$C$203,"Compra")+SUMIFS('14_Inversiones'!$E$5:$E$203,'14_Inversiones'!$B$5:$B$203,A46,'14_Inversiones'!$D$5:$D$203,C46,'14_Inversiones'!$C$5:$C$203,"Aporte")+SUMIFS('14_Inversiones'!$E$5:$E$203,'14_Inversiones'!$B$5:$B$203,A46,'14_Inversiones'!$D$5:$D$203,C46,'14_Inversiones'!$C$5:$C$203,"Ajuste"))</f>
        <v/>
      </c>
      <c r="F46" s="176" t="str">
        <f>IF(A46="","",SUMIFS('14_Inversiones'!$E$5:$E$203,'14_Inversiones'!$B$5:$B$203,A46,'14_Inversiones'!$D$5:$D$203,C46,'14_Inversiones'!$C$5:$C$203,"Retiro")+SUMIFS('14_Inversiones'!$E$5:$E$203,'14_Inversiones'!$B$5:$B$203,A46,'14_Inversiones'!$D$5:$D$203,C46,'14_Inversiones'!$C$5:$C$203,"Venta"))</f>
        <v/>
      </c>
      <c r="G46" s="176" t="str">
        <f t="shared" si="6"/>
        <v/>
      </c>
      <c r="H46" s="176" t="str">
        <f>IF(A46="","",IFERROR(INDEX('09_Posicion_Actual'!$G$5:$G$204,MATCH(A46,'09_Posicion_Actual'!$B$5:$B$204,0)),0))</f>
        <v/>
      </c>
      <c r="I46" s="171" t="str">
        <f>IF(A46="","",IFERROR(INDEX('09_Posicion_Actual'!$I$5:$I$204,MATCH(A46,'09_Posicion_Actual'!$B$5:$B$204,0)),0))</f>
        <v/>
      </c>
      <c r="J46" s="176" t="str">
        <f t="shared" si="7"/>
        <v/>
      </c>
      <c r="K46" s="171" t="str">
        <f>IF(A46="","",IF(C46="USD",J46*IFERROR(INDEX('09_Posicion_Actual'!$H$5:$H$204,MATCH(A46,'09_Posicion_Actual'!$B$5:$B$204,0)),950),J46))</f>
        <v/>
      </c>
      <c r="L46" s="180" t="str">
        <f t="shared" si="8"/>
        <v/>
      </c>
      <c r="M46" s="176" t="str">
        <f>IF(A46="","",IFERROR(INDEX('09_Posicion_Actual'!$F$5:$F$204,MATCH(A46,'09_Posicion_Actual'!$B$5:$B$204,0)),""))</f>
        <v/>
      </c>
      <c r="N46" s="177" t="str">
        <f>IF(A46="","",IFERROR(INDEX('09_Posicion_Actual'!$E$5:$E$204,MATCH(A46,'09_Posicion_Actual'!$B$5:$B$204,0)),""))</f>
        <v/>
      </c>
      <c r="O46" s="131" t="str">
        <f>IF(A46="","",IFERROR(INDEX('09_Posicion_Actual'!$A$5:$A$204,MATCH(A46,'09_Posicion_Actual'!$B$5:$B$204,0)),""))</f>
        <v/>
      </c>
      <c r="P46" s="132" t="str">
        <f t="shared" si="9"/>
        <v/>
      </c>
      <c r="Q46" s="132" t="str">
        <f t="shared" si="10"/>
        <v/>
      </c>
      <c r="R46" s="132" t="str">
        <f>IF(A46="","",IFERROR(INDEX('09_Posicion_Actual'!$P$5:$P$204,MATCH(A46,'09_Posicion_Actual'!$B$5:$B$204,0)),""))</f>
        <v/>
      </c>
      <c r="S46" s="132" t="str">
        <f t="shared" si="11"/>
        <v/>
      </c>
      <c r="T46" s="132"/>
      <c r="U46" s="132"/>
      <c r="V46" s="132"/>
      <c r="W46" s="132"/>
      <c r="X46" s="132"/>
    </row>
    <row r="47" spans="1:24">
      <c r="A47" s="132"/>
      <c r="B47" s="132"/>
      <c r="C47" s="132"/>
      <c r="D47" s="132"/>
      <c r="E47" s="176" t="str">
        <f>IF(A47="","",SUMIFS('14_Inversiones'!$E$5:$E$203,'14_Inversiones'!$B$5:$B$203,A47,'14_Inversiones'!$D$5:$D$203,C47,'14_Inversiones'!$C$5:$C$203,"Compra")+SUMIFS('14_Inversiones'!$E$5:$E$203,'14_Inversiones'!$B$5:$B$203,A47,'14_Inversiones'!$D$5:$D$203,C47,'14_Inversiones'!$C$5:$C$203,"Aporte")+SUMIFS('14_Inversiones'!$E$5:$E$203,'14_Inversiones'!$B$5:$B$203,A47,'14_Inversiones'!$D$5:$D$203,C47,'14_Inversiones'!$C$5:$C$203,"Ajuste"))</f>
        <v/>
      </c>
      <c r="F47" s="176" t="str">
        <f>IF(A47="","",SUMIFS('14_Inversiones'!$E$5:$E$203,'14_Inversiones'!$B$5:$B$203,A47,'14_Inversiones'!$D$5:$D$203,C47,'14_Inversiones'!$C$5:$C$203,"Retiro")+SUMIFS('14_Inversiones'!$E$5:$E$203,'14_Inversiones'!$B$5:$B$203,A47,'14_Inversiones'!$D$5:$D$203,C47,'14_Inversiones'!$C$5:$C$203,"Venta"))</f>
        <v/>
      </c>
      <c r="G47" s="176" t="str">
        <f t="shared" si="6"/>
        <v/>
      </c>
      <c r="H47" s="176" t="str">
        <f>IF(A47="","",IFERROR(INDEX('09_Posicion_Actual'!$G$5:$G$204,MATCH(A47,'09_Posicion_Actual'!$B$5:$B$204,0)),0))</f>
        <v/>
      </c>
      <c r="I47" s="171" t="str">
        <f>IF(A47="","",IFERROR(INDEX('09_Posicion_Actual'!$I$5:$I$204,MATCH(A47,'09_Posicion_Actual'!$B$5:$B$204,0)),0))</f>
        <v/>
      </c>
      <c r="J47" s="176" t="str">
        <f t="shared" si="7"/>
        <v/>
      </c>
      <c r="K47" s="171" t="str">
        <f>IF(A47="","",IF(C47="USD",J47*IFERROR(INDEX('09_Posicion_Actual'!$H$5:$H$204,MATCH(A47,'09_Posicion_Actual'!$B$5:$B$204,0)),950),J47))</f>
        <v/>
      </c>
      <c r="L47" s="180" t="str">
        <f t="shared" si="8"/>
        <v/>
      </c>
      <c r="M47" s="176" t="str">
        <f>IF(A47="","",IFERROR(INDEX('09_Posicion_Actual'!$F$5:$F$204,MATCH(A47,'09_Posicion_Actual'!$B$5:$B$204,0)),""))</f>
        <v/>
      </c>
      <c r="N47" s="177" t="str">
        <f>IF(A47="","",IFERROR(INDEX('09_Posicion_Actual'!$E$5:$E$204,MATCH(A47,'09_Posicion_Actual'!$B$5:$B$204,0)),""))</f>
        <v/>
      </c>
      <c r="O47" s="131" t="str">
        <f>IF(A47="","",IFERROR(INDEX('09_Posicion_Actual'!$A$5:$A$204,MATCH(A47,'09_Posicion_Actual'!$B$5:$B$204,0)),""))</f>
        <v/>
      </c>
      <c r="P47" s="132" t="str">
        <f t="shared" si="9"/>
        <v/>
      </c>
      <c r="Q47" s="132" t="str">
        <f t="shared" si="10"/>
        <v/>
      </c>
      <c r="R47" s="132" t="str">
        <f>IF(A47="","",IFERROR(INDEX('09_Posicion_Actual'!$P$5:$P$204,MATCH(A47,'09_Posicion_Actual'!$B$5:$B$204,0)),""))</f>
        <v/>
      </c>
      <c r="S47" s="132" t="str">
        <f t="shared" si="11"/>
        <v/>
      </c>
      <c r="T47" s="132"/>
      <c r="U47" s="132"/>
      <c r="V47" s="132"/>
      <c r="W47" s="132"/>
      <c r="X47" s="132"/>
    </row>
    <row r="48" spans="1:24">
      <c r="A48" s="132"/>
      <c r="B48" s="132"/>
      <c r="C48" s="132"/>
      <c r="D48" s="132"/>
      <c r="E48" s="176" t="str">
        <f>IF(A48="","",SUMIFS('14_Inversiones'!$E$5:$E$203,'14_Inversiones'!$B$5:$B$203,A48,'14_Inversiones'!$D$5:$D$203,C48,'14_Inversiones'!$C$5:$C$203,"Compra")+SUMIFS('14_Inversiones'!$E$5:$E$203,'14_Inversiones'!$B$5:$B$203,A48,'14_Inversiones'!$D$5:$D$203,C48,'14_Inversiones'!$C$5:$C$203,"Aporte")+SUMIFS('14_Inversiones'!$E$5:$E$203,'14_Inversiones'!$B$5:$B$203,A48,'14_Inversiones'!$D$5:$D$203,C48,'14_Inversiones'!$C$5:$C$203,"Ajuste"))</f>
        <v/>
      </c>
      <c r="F48" s="176" t="str">
        <f>IF(A48="","",SUMIFS('14_Inversiones'!$E$5:$E$203,'14_Inversiones'!$B$5:$B$203,A48,'14_Inversiones'!$D$5:$D$203,C48,'14_Inversiones'!$C$5:$C$203,"Retiro")+SUMIFS('14_Inversiones'!$E$5:$E$203,'14_Inversiones'!$B$5:$B$203,A48,'14_Inversiones'!$D$5:$D$203,C48,'14_Inversiones'!$C$5:$C$203,"Venta"))</f>
        <v/>
      </c>
      <c r="G48" s="176" t="str">
        <f t="shared" si="6"/>
        <v/>
      </c>
      <c r="H48" s="176" t="str">
        <f>IF(A48="","",IFERROR(INDEX('09_Posicion_Actual'!$G$5:$G$204,MATCH(A48,'09_Posicion_Actual'!$B$5:$B$204,0)),0))</f>
        <v/>
      </c>
      <c r="I48" s="171" t="str">
        <f>IF(A48="","",IFERROR(INDEX('09_Posicion_Actual'!$I$5:$I$204,MATCH(A48,'09_Posicion_Actual'!$B$5:$B$204,0)),0))</f>
        <v/>
      </c>
      <c r="J48" s="176" t="str">
        <f t="shared" si="7"/>
        <v/>
      </c>
      <c r="K48" s="171" t="str">
        <f>IF(A48="","",IF(C48="USD",J48*IFERROR(INDEX('09_Posicion_Actual'!$H$5:$H$204,MATCH(A48,'09_Posicion_Actual'!$B$5:$B$204,0)),950),J48))</f>
        <v/>
      </c>
      <c r="L48" s="180" t="str">
        <f t="shared" si="8"/>
        <v/>
      </c>
      <c r="M48" s="176" t="str">
        <f>IF(A48="","",IFERROR(INDEX('09_Posicion_Actual'!$F$5:$F$204,MATCH(A48,'09_Posicion_Actual'!$B$5:$B$204,0)),""))</f>
        <v/>
      </c>
      <c r="N48" s="177" t="str">
        <f>IF(A48="","",IFERROR(INDEX('09_Posicion_Actual'!$E$5:$E$204,MATCH(A48,'09_Posicion_Actual'!$B$5:$B$204,0)),""))</f>
        <v/>
      </c>
      <c r="O48" s="131" t="str">
        <f>IF(A48="","",IFERROR(INDEX('09_Posicion_Actual'!$A$5:$A$204,MATCH(A48,'09_Posicion_Actual'!$B$5:$B$204,0)),""))</f>
        <v/>
      </c>
      <c r="P48" s="132" t="str">
        <f t="shared" si="9"/>
        <v/>
      </c>
      <c r="Q48" s="132" t="str">
        <f t="shared" si="10"/>
        <v/>
      </c>
      <c r="R48" s="132" t="str">
        <f>IF(A48="","",IFERROR(INDEX('09_Posicion_Actual'!$P$5:$P$204,MATCH(A48,'09_Posicion_Actual'!$B$5:$B$204,0)),""))</f>
        <v/>
      </c>
      <c r="S48" s="132" t="str">
        <f t="shared" si="11"/>
        <v/>
      </c>
      <c r="T48" s="132"/>
      <c r="U48" s="132"/>
      <c r="V48" s="132"/>
      <c r="W48" s="132"/>
      <c r="X48" s="132"/>
    </row>
    <row r="49" spans="1:24">
      <c r="A49" s="132"/>
      <c r="B49" s="132"/>
      <c r="C49" s="132"/>
      <c r="D49" s="132"/>
      <c r="E49" s="176" t="str">
        <f>IF(A49="","",SUMIFS('14_Inversiones'!$E$5:$E$203,'14_Inversiones'!$B$5:$B$203,A49,'14_Inversiones'!$D$5:$D$203,C49,'14_Inversiones'!$C$5:$C$203,"Compra")+SUMIFS('14_Inversiones'!$E$5:$E$203,'14_Inversiones'!$B$5:$B$203,A49,'14_Inversiones'!$D$5:$D$203,C49,'14_Inversiones'!$C$5:$C$203,"Aporte")+SUMIFS('14_Inversiones'!$E$5:$E$203,'14_Inversiones'!$B$5:$B$203,A49,'14_Inversiones'!$D$5:$D$203,C49,'14_Inversiones'!$C$5:$C$203,"Ajuste"))</f>
        <v/>
      </c>
      <c r="F49" s="176" t="str">
        <f>IF(A49="","",SUMIFS('14_Inversiones'!$E$5:$E$203,'14_Inversiones'!$B$5:$B$203,A49,'14_Inversiones'!$D$5:$D$203,C49,'14_Inversiones'!$C$5:$C$203,"Retiro")+SUMIFS('14_Inversiones'!$E$5:$E$203,'14_Inversiones'!$B$5:$B$203,A49,'14_Inversiones'!$D$5:$D$203,C49,'14_Inversiones'!$C$5:$C$203,"Venta"))</f>
        <v/>
      </c>
      <c r="G49" s="176" t="str">
        <f t="shared" si="6"/>
        <v/>
      </c>
      <c r="H49" s="176" t="str">
        <f>IF(A49="","",IFERROR(INDEX('09_Posicion_Actual'!$G$5:$G$204,MATCH(A49,'09_Posicion_Actual'!$B$5:$B$204,0)),0))</f>
        <v/>
      </c>
      <c r="I49" s="171" t="str">
        <f>IF(A49="","",IFERROR(INDEX('09_Posicion_Actual'!$I$5:$I$204,MATCH(A49,'09_Posicion_Actual'!$B$5:$B$204,0)),0))</f>
        <v/>
      </c>
      <c r="J49" s="176" t="str">
        <f t="shared" si="7"/>
        <v/>
      </c>
      <c r="K49" s="171" t="str">
        <f>IF(A49="","",IF(C49="USD",J49*IFERROR(INDEX('09_Posicion_Actual'!$H$5:$H$204,MATCH(A49,'09_Posicion_Actual'!$B$5:$B$204,0)),950),J49))</f>
        <v/>
      </c>
      <c r="L49" s="180" t="str">
        <f t="shared" si="8"/>
        <v/>
      </c>
      <c r="M49" s="176" t="str">
        <f>IF(A49="","",IFERROR(INDEX('09_Posicion_Actual'!$F$5:$F$204,MATCH(A49,'09_Posicion_Actual'!$B$5:$B$204,0)),""))</f>
        <v/>
      </c>
      <c r="N49" s="177" t="str">
        <f>IF(A49="","",IFERROR(INDEX('09_Posicion_Actual'!$E$5:$E$204,MATCH(A49,'09_Posicion_Actual'!$B$5:$B$204,0)),""))</f>
        <v/>
      </c>
      <c r="O49" s="131" t="str">
        <f>IF(A49="","",IFERROR(INDEX('09_Posicion_Actual'!$A$5:$A$204,MATCH(A49,'09_Posicion_Actual'!$B$5:$B$204,0)),""))</f>
        <v/>
      </c>
      <c r="P49" s="132" t="str">
        <f t="shared" si="9"/>
        <v/>
      </c>
      <c r="Q49" s="132" t="str">
        <f t="shared" si="10"/>
        <v/>
      </c>
      <c r="R49" s="132" t="str">
        <f>IF(A49="","",IFERROR(INDEX('09_Posicion_Actual'!$P$5:$P$204,MATCH(A49,'09_Posicion_Actual'!$B$5:$B$204,0)),""))</f>
        <v/>
      </c>
      <c r="S49" s="132" t="str">
        <f t="shared" si="11"/>
        <v/>
      </c>
      <c r="T49" s="132"/>
      <c r="U49" s="132"/>
      <c r="V49" s="132"/>
      <c r="W49" s="132"/>
      <c r="X49" s="132"/>
    </row>
    <row r="50" spans="1:24">
      <c r="A50" s="132"/>
      <c r="B50" s="132"/>
      <c r="C50" s="132"/>
      <c r="D50" s="132"/>
      <c r="E50" s="176" t="str">
        <f>IF(A50="","",SUMIFS('14_Inversiones'!$E$5:$E$203,'14_Inversiones'!$B$5:$B$203,A50,'14_Inversiones'!$D$5:$D$203,C50,'14_Inversiones'!$C$5:$C$203,"Compra")+SUMIFS('14_Inversiones'!$E$5:$E$203,'14_Inversiones'!$B$5:$B$203,A50,'14_Inversiones'!$D$5:$D$203,C50,'14_Inversiones'!$C$5:$C$203,"Aporte")+SUMIFS('14_Inversiones'!$E$5:$E$203,'14_Inversiones'!$B$5:$B$203,A50,'14_Inversiones'!$D$5:$D$203,C50,'14_Inversiones'!$C$5:$C$203,"Ajuste"))</f>
        <v/>
      </c>
      <c r="F50" s="176" t="str">
        <f>IF(A50="","",SUMIFS('14_Inversiones'!$E$5:$E$203,'14_Inversiones'!$B$5:$B$203,A50,'14_Inversiones'!$D$5:$D$203,C50,'14_Inversiones'!$C$5:$C$203,"Retiro")+SUMIFS('14_Inversiones'!$E$5:$E$203,'14_Inversiones'!$B$5:$B$203,A50,'14_Inversiones'!$D$5:$D$203,C50,'14_Inversiones'!$C$5:$C$203,"Venta"))</f>
        <v/>
      </c>
      <c r="G50" s="176" t="str">
        <f t="shared" si="6"/>
        <v/>
      </c>
      <c r="H50" s="176" t="str">
        <f>IF(A50="","",IFERROR(INDEX('09_Posicion_Actual'!$G$5:$G$204,MATCH(A50,'09_Posicion_Actual'!$B$5:$B$204,0)),0))</f>
        <v/>
      </c>
      <c r="I50" s="171" t="str">
        <f>IF(A50="","",IFERROR(INDEX('09_Posicion_Actual'!$I$5:$I$204,MATCH(A50,'09_Posicion_Actual'!$B$5:$B$204,0)),0))</f>
        <v/>
      </c>
      <c r="J50" s="176" t="str">
        <f t="shared" si="7"/>
        <v/>
      </c>
      <c r="K50" s="171" t="str">
        <f>IF(A50="","",IF(C50="USD",J50*IFERROR(INDEX('09_Posicion_Actual'!$H$5:$H$204,MATCH(A50,'09_Posicion_Actual'!$B$5:$B$204,0)),950),J50))</f>
        <v/>
      </c>
      <c r="L50" s="180" t="str">
        <f t="shared" si="8"/>
        <v/>
      </c>
      <c r="M50" s="176" t="str">
        <f>IF(A50="","",IFERROR(INDEX('09_Posicion_Actual'!$F$5:$F$204,MATCH(A50,'09_Posicion_Actual'!$B$5:$B$204,0)),""))</f>
        <v/>
      </c>
      <c r="N50" s="177" t="str">
        <f>IF(A50="","",IFERROR(INDEX('09_Posicion_Actual'!$E$5:$E$204,MATCH(A50,'09_Posicion_Actual'!$B$5:$B$204,0)),""))</f>
        <v/>
      </c>
      <c r="O50" s="131" t="str">
        <f>IF(A50="","",IFERROR(INDEX('09_Posicion_Actual'!$A$5:$A$204,MATCH(A50,'09_Posicion_Actual'!$B$5:$B$204,0)),""))</f>
        <v/>
      </c>
      <c r="P50" s="132" t="str">
        <f t="shared" si="9"/>
        <v/>
      </c>
      <c r="Q50" s="132" t="str">
        <f t="shared" si="10"/>
        <v/>
      </c>
      <c r="R50" s="132" t="str">
        <f>IF(A50="","",IFERROR(INDEX('09_Posicion_Actual'!$P$5:$P$204,MATCH(A50,'09_Posicion_Actual'!$B$5:$B$204,0)),""))</f>
        <v/>
      </c>
      <c r="S50" s="132" t="str">
        <f t="shared" si="11"/>
        <v/>
      </c>
      <c r="T50" s="132"/>
      <c r="U50" s="132"/>
      <c r="V50" s="132"/>
      <c r="W50" s="132"/>
      <c r="X50" s="132"/>
    </row>
    <row r="51" spans="1:24">
      <c r="A51" s="132"/>
      <c r="B51" s="132"/>
      <c r="C51" s="132"/>
      <c r="D51" s="132"/>
      <c r="E51" s="176" t="str">
        <f>IF(A51="","",SUMIFS('14_Inversiones'!$E$5:$E$203,'14_Inversiones'!$B$5:$B$203,A51,'14_Inversiones'!$D$5:$D$203,C51,'14_Inversiones'!$C$5:$C$203,"Compra")+SUMIFS('14_Inversiones'!$E$5:$E$203,'14_Inversiones'!$B$5:$B$203,A51,'14_Inversiones'!$D$5:$D$203,C51,'14_Inversiones'!$C$5:$C$203,"Aporte")+SUMIFS('14_Inversiones'!$E$5:$E$203,'14_Inversiones'!$B$5:$B$203,A51,'14_Inversiones'!$D$5:$D$203,C51,'14_Inversiones'!$C$5:$C$203,"Ajuste"))</f>
        <v/>
      </c>
      <c r="F51" s="176" t="str">
        <f>IF(A51="","",SUMIFS('14_Inversiones'!$E$5:$E$203,'14_Inversiones'!$B$5:$B$203,A51,'14_Inversiones'!$D$5:$D$203,C51,'14_Inversiones'!$C$5:$C$203,"Retiro")+SUMIFS('14_Inversiones'!$E$5:$E$203,'14_Inversiones'!$B$5:$B$203,A51,'14_Inversiones'!$D$5:$D$203,C51,'14_Inversiones'!$C$5:$C$203,"Venta"))</f>
        <v/>
      </c>
      <c r="G51" s="176" t="str">
        <f t="shared" si="6"/>
        <v/>
      </c>
      <c r="H51" s="176" t="str">
        <f>IF(A51="","",IFERROR(INDEX('09_Posicion_Actual'!$G$5:$G$204,MATCH(A51,'09_Posicion_Actual'!$B$5:$B$204,0)),0))</f>
        <v/>
      </c>
      <c r="I51" s="171" t="str">
        <f>IF(A51="","",IFERROR(INDEX('09_Posicion_Actual'!$I$5:$I$204,MATCH(A51,'09_Posicion_Actual'!$B$5:$B$204,0)),0))</f>
        <v/>
      </c>
      <c r="J51" s="176" t="str">
        <f t="shared" si="7"/>
        <v/>
      </c>
      <c r="K51" s="171" t="str">
        <f>IF(A51="","",IF(C51="USD",J51*IFERROR(INDEX('09_Posicion_Actual'!$H$5:$H$204,MATCH(A51,'09_Posicion_Actual'!$B$5:$B$204,0)),950),J51))</f>
        <v/>
      </c>
      <c r="L51" s="180" t="str">
        <f t="shared" si="8"/>
        <v/>
      </c>
      <c r="M51" s="176" t="str">
        <f>IF(A51="","",IFERROR(INDEX('09_Posicion_Actual'!$F$5:$F$204,MATCH(A51,'09_Posicion_Actual'!$B$5:$B$204,0)),""))</f>
        <v/>
      </c>
      <c r="N51" s="177" t="str">
        <f>IF(A51="","",IFERROR(INDEX('09_Posicion_Actual'!$E$5:$E$204,MATCH(A51,'09_Posicion_Actual'!$B$5:$B$204,0)),""))</f>
        <v/>
      </c>
      <c r="O51" s="131" t="str">
        <f>IF(A51="","",IFERROR(INDEX('09_Posicion_Actual'!$A$5:$A$204,MATCH(A51,'09_Posicion_Actual'!$B$5:$B$204,0)),""))</f>
        <v/>
      </c>
      <c r="P51" s="132" t="str">
        <f t="shared" si="9"/>
        <v/>
      </c>
      <c r="Q51" s="132" t="str">
        <f t="shared" si="10"/>
        <v/>
      </c>
      <c r="R51" s="132" t="str">
        <f>IF(A51="","",IFERROR(INDEX('09_Posicion_Actual'!$P$5:$P$204,MATCH(A51,'09_Posicion_Actual'!$B$5:$B$204,0)),""))</f>
        <v/>
      </c>
      <c r="S51" s="132" t="str">
        <f t="shared" si="11"/>
        <v/>
      </c>
      <c r="T51" s="132"/>
      <c r="U51" s="132"/>
      <c r="V51" s="132"/>
      <c r="W51" s="132"/>
      <c r="X51" s="132"/>
    </row>
    <row r="52" spans="1:24">
      <c r="A52" s="132"/>
      <c r="B52" s="132"/>
      <c r="C52" s="132"/>
      <c r="D52" s="132"/>
      <c r="E52" s="176" t="str">
        <f>IF(A52="","",SUMIFS('14_Inversiones'!$E$5:$E$203,'14_Inversiones'!$B$5:$B$203,A52,'14_Inversiones'!$D$5:$D$203,C52,'14_Inversiones'!$C$5:$C$203,"Compra")+SUMIFS('14_Inversiones'!$E$5:$E$203,'14_Inversiones'!$B$5:$B$203,A52,'14_Inversiones'!$D$5:$D$203,C52,'14_Inversiones'!$C$5:$C$203,"Aporte")+SUMIFS('14_Inversiones'!$E$5:$E$203,'14_Inversiones'!$B$5:$B$203,A52,'14_Inversiones'!$D$5:$D$203,C52,'14_Inversiones'!$C$5:$C$203,"Ajuste"))</f>
        <v/>
      </c>
      <c r="F52" s="176" t="str">
        <f>IF(A52="","",SUMIFS('14_Inversiones'!$E$5:$E$203,'14_Inversiones'!$B$5:$B$203,A52,'14_Inversiones'!$D$5:$D$203,C52,'14_Inversiones'!$C$5:$C$203,"Retiro")+SUMIFS('14_Inversiones'!$E$5:$E$203,'14_Inversiones'!$B$5:$B$203,A52,'14_Inversiones'!$D$5:$D$203,C52,'14_Inversiones'!$C$5:$C$203,"Venta"))</f>
        <v/>
      </c>
      <c r="G52" s="176" t="str">
        <f t="shared" si="6"/>
        <v/>
      </c>
      <c r="H52" s="176" t="str">
        <f>IF(A52="","",IFERROR(INDEX('09_Posicion_Actual'!$G$5:$G$204,MATCH(A52,'09_Posicion_Actual'!$B$5:$B$204,0)),0))</f>
        <v/>
      </c>
      <c r="I52" s="171" t="str">
        <f>IF(A52="","",IFERROR(INDEX('09_Posicion_Actual'!$I$5:$I$204,MATCH(A52,'09_Posicion_Actual'!$B$5:$B$204,0)),0))</f>
        <v/>
      </c>
      <c r="J52" s="176" t="str">
        <f t="shared" si="7"/>
        <v/>
      </c>
      <c r="K52" s="171" t="str">
        <f>IF(A52="","",IF(C52="USD",J52*IFERROR(INDEX('09_Posicion_Actual'!$H$5:$H$204,MATCH(A52,'09_Posicion_Actual'!$B$5:$B$204,0)),950),J52))</f>
        <v/>
      </c>
      <c r="L52" s="180" t="str">
        <f t="shared" si="8"/>
        <v/>
      </c>
      <c r="M52" s="176" t="str">
        <f>IF(A52="","",IFERROR(INDEX('09_Posicion_Actual'!$F$5:$F$204,MATCH(A52,'09_Posicion_Actual'!$B$5:$B$204,0)),""))</f>
        <v/>
      </c>
      <c r="N52" s="177" t="str">
        <f>IF(A52="","",IFERROR(INDEX('09_Posicion_Actual'!$E$5:$E$204,MATCH(A52,'09_Posicion_Actual'!$B$5:$B$204,0)),""))</f>
        <v/>
      </c>
      <c r="O52" s="131" t="str">
        <f>IF(A52="","",IFERROR(INDEX('09_Posicion_Actual'!$A$5:$A$204,MATCH(A52,'09_Posicion_Actual'!$B$5:$B$204,0)),""))</f>
        <v/>
      </c>
      <c r="P52" s="132" t="str">
        <f t="shared" si="9"/>
        <v/>
      </c>
      <c r="Q52" s="132" t="str">
        <f t="shared" si="10"/>
        <v/>
      </c>
      <c r="R52" s="132" t="str">
        <f>IF(A52="","",IFERROR(INDEX('09_Posicion_Actual'!$P$5:$P$204,MATCH(A52,'09_Posicion_Actual'!$B$5:$B$204,0)),""))</f>
        <v/>
      </c>
      <c r="S52" s="132" t="str">
        <f t="shared" si="11"/>
        <v/>
      </c>
      <c r="T52" s="132"/>
      <c r="U52" s="132"/>
      <c r="V52" s="132"/>
      <c r="W52" s="132"/>
      <c r="X52" s="132"/>
    </row>
    <row r="53" spans="1:24">
      <c r="A53" s="132"/>
      <c r="B53" s="132"/>
      <c r="C53" s="132"/>
      <c r="D53" s="132"/>
      <c r="E53" s="176" t="str">
        <f>IF(A53="","",SUMIFS('14_Inversiones'!$E$5:$E$203,'14_Inversiones'!$B$5:$B$203,A53,'14_Inversiones'!$D$5:$D$203,C53,'14_Inversiones'!$C$5:$C$203,"Compra")+SUMIFS('14_Inversiones'!$E$5:$E$203,'14_Inversiones'!$B$5:$B$203,A53,'14_Inversiones'!$D$5:$D$203,C53,'14_Inversiones'!$C$5:$C$203,"Aporte")+SUMIFS('14_Inversiones'!$E$5:$E$203,'14_Inversiones'!$B$5:$B$203,A53,'14_Inversiones'!$D$5:$D$203,C53,'14_Inversiones'!$C$5:$C$203,"Ajuste"))</f>
        <v/>
      </c>
      <c r="F53" s="176" t="str">
        <f>IF(A53="","",SUMIFS('14_Inversiones'!$E$5:$E$203,'14_Inversiones'!$B$5:$B$203,A53,'14_Inversiones'!$D$5:$D$203,C53,'14_Inversiones'!$C$5:$C$203,"Retiro")+SUMIFS('14_Inversiones'!$E$5:$E$203,'14_Inversiones'!$B$5:$B$203,A53,'14_Inversiones'!$D$5:$D$203,C53,'14_Inversiones'!$C$5:$C$203,"Venta"))</f>
        <v/>
      </c>
      <c r="G53" s="176" t="str">
        <f t="shared" si="6"/>
        <v/>
      </c>
      <c r="H53" s="176" t="str">
        <f>IF(A53="","",IFERROR(INDEX('09_Posicion_Actual'!$G$5:$G$204,MATCH(A53,'09_Posicion_Actual'!$B$5:$B$204,0)),0))</f>
        <v/>
      </c>
      <c r="I53" s="171" t="str">
        <f>IF(A53="","",IFERROR(INDEX('09_Posicion_Actual'!$I$5:$I$204,MATCH(A53,'09_Posicion_Actual'!$B$5:$B$204,0)),0))</f>
        <v/>
      </c>
      <c r="J53" s="176" t="str">
        <f t="shared" si="7"/>
        <v/>
      </c>
      <c r="K53" s="171" t="str">
        <f>IF(A53="","",IF(C53="USD",J53*IFERROR(INDEX('09_Posicion_Actual'!$H$5:$H$204,MATCH(A53,'09_Posicion_Actual'!$B$5:$B$204,0)),950),J53))</f>
        <v/>
      </c>
      <c r="L53" s="180" t="str">
        <f t="shared" si="8"/>
        <v/>
      </c>
      <c r="M53" s="176" t="str">
        <f>IF(A53="","",IFERROR(INDEX('09_Posicion_Actual'!$F$5:$F$204,MATCH(A53,'09_Posicion_Actual'!$B$5:$B$204,0)),""))</f>
        <v/>
      </c>
      <c r="N53" s="177" t="str">
        <f>IF(A53="","",IFERROR(INDEX('09_Posicion_Actual'!$E$5:$E$204,MATCH(A53,'09_Posicion_Actual'!$B$5:$B$204,0)),""))</f>
        <v/>
      </c>
      <c r="O53" s="131" t="str">
        <f>IF(A53="","",IFERROR(INDEX('09_Posicion_Actual'!$A$5:$A$204,MATCH(A53,'09_Posicion_Actual'!$B$5:$B$204,0)),""))</f>
        <v/>
      </c>
      <c r="P53" s="132" t="str">
        <f t="shared" si="9"/>
        <v/>
      </c>
      <c r="Q53" s="132" t="str">
        <f t="shared" si="10"/>
        <v/>
      </c>
      <c r="R53" s="132" t="str">
        <f>IF(A53="","",IFERROR(INDEX('09_Posicion_Actual'!$P$5:$P$204,MATCH(A53,'09_Posicion_Actual'!$B$5:$B$204,0)),""))</f>
        <v/>
      </c>
      <c r="S53" s="132" t="str">
        <f t="shared" si="11"/>
        <v/>
      </c>
      <c r="T53" s="132"/>
      <c r="U53" s="132"/>
      <c r="V53" s="132"/>
      <c r="W53" s="132"/>
      <c r="X53" s="132"/>
    </row>
    <row r="54" spans="1:24">
      <c r="A54" s="132"/>
      <c r="B54" s="132"/>
      <c r="C54" s="132"/>
      <c r="D54" s="132"/>
      <c r="E54" s="176" t="str">
        <f>IF(A54="","",SUMIFS('14_Inversiones'!$E$5:$E$203,'14_Inversiones'!$B$5:$B$203,A54,'14_Inversiones'!$D$5:$D$203,C54,'14_Inversiones'!$C$5:$C$203,"Compra")+SUMIFS('14_Inversiones'!$E$5:$E$203,'14_Inversiones'!$B$5:$B$203,A54,'14_Inversiones'!$D$5:$D$203,C54,'14_Inversiones'!$C$5:$C$203,"Aporte")+SUMIFS('14_Inversiones'!$E$5:$E$203,'14_Inversiones'!$B$5:$B$203,A54,'14_Inversiones'!$D$5:$D$203,C54,'14_Inversiones'!$C$5:$C$203,"Ajuste"))</f>
        <v/>
      </c>
      <c r="F54" s="176" t="str">
        <f>IF(A54="","",SUMIFS('14_Inversiones'!$E$5:$E$203,'14_Inversiones'!$B$5:$B$203,A54,'14_Inversiones'!$D$5:$D$203,C54,'14_Inversiones'!$C$5:$C$203,"Retiro")+SUMIFS('14_Inversiones'!$E$5:$E$203,'14_Inversiones'!$B$5:$B$203,A54,'14_Inversiones'!$D$5:$D$203,C54,'14_Inversiones'!$C$5:$C$203,"Venta"))</f>
        <v/>
      </c>
      <c r="G54" s="176" t="str">
        <f t="shared" si="6"/>
        <v/>
      </c>
      <c r="H54" s="176" t="str">
        <f>IF(A54="","",IFERROR(INDEX('09_Posicion_Actual'!$G$5:$G$204,MATCH(A54,'09_Posicion_Actual'!$B$5:$B$204,0)),0))</f>
        <v/>
      </c>
      <c r="I54" s="171" t="str">
        <f>IF(A54="","",IFERROR(INDEX('09_Posicion_Actual'!$I$5:$I$204,MATCH(A54,'09_Posicion_Actual'!$B$5:$B$204,0)),0))</f>
        <v/>
      </c>
      <c r="J54" s="176" t="str">
        <f t="shared" si="7"/>
        <v/>
      </c>
      <c r="K54" s="171" t="str">
        <f>IF(A54="","",IF(C54="USD",J54*IFERROR(INDEX('09_Posicion_Actual'!$H$5:$H$204,MATCH(A54,'09_Posicion_Actual'!$B$5:$B$204,0)),950),J54))</f>
        <v/>
      </c>
      <c r="L54" s="180" t="str">
        <f t="shared" si="8"/>
        <v/>
      </c>
      <c r="M54" s="176" t="str">
        <f>IF(A54="","",IFERROR(INDEX('09_Posicion_Actual'!$F$5:$F$204,MATCH(A54,'09_Posicion_Actual'!$B$5:$B$204,0)),""))</f>
        <v/>
      </c>
      <c r="N54" s="177" t="str">
        <f>IF(A54="","",IFERROR(INDEX('09_Posicion_Actual'!$E$5:$E$204,MATCH(A54,'09_Posicion_Actual'!$B$5:$B$204,0)),""))</f>
        <v/>
      </c>
      <c r="O54" s="131" t="str">
        <f>IF(A54="","",IFERROR(INDEX('09_Posicion_Actual'!$A$5:$A$204,MATCH(A54,'09_Posicion_Actual'!$B$5:$B$204,0)),""))</f>
        <v/>
      </c>
      <c r="P54" s="132" t="str">
        <f t="shared" si="9"/>
        <v/>
      </c>
      <c r="Q54" s="132" t="str">
        <f t="shared" si="10"/>
        <v/>
      </c>
      <c r="R54" s="132" t="str">
        <f>IF(A54="","",IFERROR(INDEX('09_Posicion_Actual'!$P$5:$P$204,MATCH(A54,'09_Posicion_Actual'!$B$5:$B$204,0)),""))</f>
        <v/>
      </c>
      <c r="S54" s="132" t="str">
        <f t="shared" si="11"/>
        <v/>
      </c>
      <c r="T54" s="132"/>
      <c r="U54" s="132"/>
      <c r="V54" s="132"/>
      <c r="W54" s="132"/>
      <c r="X54" s="132"/>
    </row>
    <row r="55" spans="1:24">
      <c r="A55" s="132"/>
      <c r="B55" s="132"/>
      <c r="C55" s="132"/>
      <c r="D55" s="132"/>
      <c r="E55" s="176" t="str">
        <f>IF(A55="","",SUMIFS('14_Inversiones'!$E$5:$E$203,'14_Inversiones'!$B$5:$B$203,A55,'14_Inversiones'!$D$5:$D$203,C55,'14_Inversiones'!$C$5:$C$203,"Compra")+SUMIFS('14_Inversiones'!$E$5:$E$203,'14_Inversiones'!$B$5:$B$203,A55,'14_Inversiones'!$D$5:$D$203,C55,'14_Inversiones'!$C$5:$C$203,"Aporte")+SUMIFS('14_Inversiones'!$E$5:$E$203,'14_Inversiones'!$B$5:$B$203,A55,'14_Inversiones'!$D$5:$D$203,C55,'14_Inversiones'!$C$5:$C$203,"Ajuste"))</f>
        <v/>
      </c>
      <c r="F55" s="176" t="str">
        <f>IF(A55="","",SUMIFS('14_Inversiones'!$E$5:$E$203,'14_Inversiones'!$B$5:$B$203,A55,'14_Inversiones'!$D$5:$D$203,C55,'14_Inversiones'!$C$5:$C$203,"Retiro")+SUMIFS('14_Inversiones'!$E$5:$E$203,'14_Inversiones'!$B$5:$B$203,A55,'14_Inversiones'!$D$5:$D$203,C55,'14_Inversiones'!$C$5:$C$203,"Venta"))</f>
        <v/>
      </c>
      <c r="G55" s="176" t="str">
        <f t="shared" si="6"/>
        <v/>
      </c>
      <c r="H55" s="176" t="str">
        <f>IF(A55="","",IFERROR(INDEX('09_Posicion_Actual'!$G$5:$G$204,MATCH(A55,'09_Posicion_Actual'!$B$5:$B$204,0)),0))</f>
        <v/>
      </c>
      <c r="I55" s="171" t="str">
        <f>IF(A55="","",IFERROR(INDEX('09_Posicion_Actual'!$I$5:$I$204,MATCH(A55,'09_Posicion_Actual'!$B$5:$B$204,0)),0))</f>
        <v/>
      </c>
      <c r="J55" s="176" t="str">
        <f t="shared" si="7"/>
        <v/>
      </c>
      <c r="K55" s="171" t="str">
        <f>IF(A55="","",IF(C55="USD",J55*IFERROR(INDEX('09_Posicion_Actual'!$H$5:$H$204,MATCH(A55,'09_Posicion_Actual'!$B$5:$B$204,0)),950),J55))</f>
        <v/>
      </c>
      <c r="L55" s="180" t="str">
        <f t="shared" si="8"/>
        <v/>
      </c>
      <c r="M55" s="176" t="str">
        <f>IF(A55="","",IFERROR(INDEX('09_Posicion_Actual'!$F$5:$F$204,MATCH(A55,'09_Posicion_Actual'!$B$5:$B$204,0)),""))</f>
        <v/>
      </c>
      <c r="N55" s="177" t="str">
        <f>IF(A55="","",IFERROR(INDEX('09_Posicion_Actual'!$E$5:$E$204,MATCH(A55,'09_Posicion_Actual'!$B$5:$B$204,0)),""))</f>
        <v/>
      </c>
      <c r="O55" s="131" t="str">
        <f>IF(A55="","",IFERROR(INDEX('09_Posicion_Actual'!$A$5:$A$204,MATCH(A55,'09_Posicion_Actual'!$B$5:$B$204,0)),""))</f>
        <v/>
      </c>
      <c r="P55" s="132" t="str">
        <f t="shared" si="9"/>
        <v/>
      </c>
      <c r="Q55" s="132" t="str">
        <f t="shared" si="10"/>
        <v/>
      </c>
      <c r="R55" s="132" t="str">
        <f>IF(A55="","",IFERROR(INDEX('09_Posicion_Actual'!$P$5:$P$204,MATCH(A55,'09_Posicion_Actual'!$B$5:$B$204,0)),""))</f>
        <v/>
      </c>
      <c r="S55" s="132" t="str">
        <f t="shared" si="11"/>
        <v/>
      </c>
      <c r="T55" s="132"/>
      <c r="U55" s="132"/>
      <c r="V55" s="132"/>
      <c r="W55" s="132"/>
      <c r="X55" s="132"/>
    </row>
    <row r="56" spans="1:24">
      <c r="A56" s="132"/>
      <c r="B56" s="132"/>
      <c r="C56" s="132"/>
      <c r="D56" s="132"/>
      <c r="E56" s="176" t="str">
        <f>IF(A56="","",SUMIFS('14_Inversiones'!$E$5:$E$203,'14_Inversiones'!$B$5:$B$203,A56,'14_Inversiones'!$D$5:$D$203,C56,'14_Inversiones'!$C$5:$C$203,"Compra")+SUMIFS('14_Inversiones'!$E$5:$E$203,'14_Inversiones'!$B$5:$B$203,A56,'14_Inversiones'!$D$5:$D$203,C56,'14_Inversiones'!$C$5:$C$203,"Aporte")+SUMIFS('14_Inversiones'!$E$5:$E$203,'14_Inversiones'!$B$5:$B$203,A56,'14_Inversiones'!$D$5:$D$203,C56,'14_Inversiones'!$C$5:$C$203,"Ajuste"))</f>
        <v/>
      </c>
      <c r="F56" s="176" t="str">
        <f>IF(A56="","",SUMIFS('14_Inversiones'!$E$5:$E$203,'14_Inversiones'!$B$5:$B$203,A56,'14_Inversiones'!$D$5:$D$203,C56,'14_Inversiones'!$C$5:$C$203,"Retiro")+SUMIFS('14_Inversiones'!$E$5:$E$203,'14_Inversiones'!$B$5:$B$203,A56,'14_Inversiones'!$D$5:$D$203,C56,'14_Inversiones'!$C$5:$C$203,"Venta"))</f>
        <v/>
      </c>
      <c r="G56" s="176" t="str">
        <f t="shared" si="6"/>
        <v/>
      </c>
      <c r="H56" s="176" t="str">
        <f>IF(A56="","",IFERROR(INDEX('09_Posicion_Actual'!$G$5:$G$204,MATCH(A56,'09_Posicion_Actual'!$B$5:$B$204,0)),0))</f>
        <v/>
      </c>
      <c r="I56" s="171" t="str">
        <f>IF(A56="","",IFERROR(INDEX('09_Posicion_Actual'!$I$5:$I$204,MATCH(A56,'09_Posicion_Actual'!$B$5:$B$204,0)),0))</f>
        <v/>
      </c>
      <c r="J56" s="176" t="str">
        <f t="shared" si="7"/>
        <v/>
      </c>
      <c r="K56" s="171" t="str">
        <f>IF(A56="","",IF(C56="USD",J56*IFERROR(INDEX('09_Posicion_Actual'!$H$5:$H$204,MATCH(A56,'09_Posicion_Actual'!$B$5:$B$204,0)),950),J56))</f>
        <v/>
      </c>
      <c r="L56" s="180" t="str">
        <f t="shared" si="8"/>
        <v/>
      </c>
      <c r="M56" s="176" t="str">
        <f>IF(A56="","",IFERROR(INDEX('09_Posicion_Actual'!$F$5:$F$204,MATCH(A56,'09_Posicion_Actual'!$B$5:$B$204,0)),""))</f>
        <v/>
      </c>
      <c r="N56" s="177" t="str">
        <f>IF(A56="","",IFERROR(INDEX('09_Posicion_Actual'!$E$5:$E$204,MATCH(A56,'09_Posicion_Actual'!$B$5:$B$204,0)),""))</f>
        <v/>
      </c>
      <c r="O56" s="131" t="str">
        <f>IF(A56="","",IFERROR(INDEX('09_Posicion_Actual'!$A$5:$A$204,MATCH(A56,'09_Posicion_Actual'!$B$5:$B$204,0)),""))</f>
        <v/>
      </c>
      <c r="P56" s="132" t="str">
        <f t="shared" si="9"/>
        <v/>
      </c>
      <c r="Q56" s="132" t="str">
        <f t="shared" si="10"/>
        <v/>
      </c>
      <c r="R56" s="132" t="str">
        <f>IF(A56="","",IFERROR(INDEX('09_Posicion_Actual'!$P$5:$P$204,MATCH(A56,'09_Posicion_Actual'!$B$5:$B$204,0)),""))</f>
        <v/>
      </c>
      <c r="S56" s="132" t="str">
        <f t="shared" si="11"/>
        <v/>
      </c>
      <c r="T56" s="132"/>
      <c r="U56" s="132"/>
      <c r="V56" s="132"/>
      <c r="W56" s="132"/>
      <c r="X56" s="132"/>
    </row>
    <row r="57" spans="1:24">
      <c r="A57" s="132"/>
      <c r="B57" s="132"/>
      <c r="C57" s="132"/>
      <c r="D57" s="132"/>
      <c r="E57" s="176" t="str">
        <f>IF(A57="","",SUMIFS('14_Inversiones'!$E$5:$E$203,'14_Inversiones'!$B$5:$B$203,A57,'14_Inversiones'!$D$5:$D$203,C57,'14_Inversiones'!$C$5:$C$203,"Compra")+SUMIFS('14_Inversiones'!$E$5:$E$203,'14_Inversiones'!$B$5:$B$203,A57,'14_Inversiones'!$D$5:$D$203,C57,'14_Inversiones'!$C$5:$C$203,"Aporte")+SUMIFS('14_Inversiones'!$E$5:$E$203,'14_Inversiones'!$B$5:$B$203,A57,'14_Inversiones'!$D$5:$D$203,C57,'14_Inversiones'!$C$5:$C$203,"Ajuste"))</f>
        <v/>
      </c>
      <c r="F57" s="176" t="str">
        <f>IF(A57="","",SUMIFS('14_Inversiones'!$E$5:$E$203,'14_Inversiones'!$B$5:$B$203,A57,'14_Inversiones'!$D$5:$D$203,C57,'14_Inversiones'!$C$5:$C$203,"Retiro")+SUMIFS('14_Inversiones'!$E$5:$E$203,'14_Inversiones'!$B$5:$B$203,A57,'14_Inversiones'!$D$5:$D$203,C57,'14_Inversiones'!$C$5:$C$203,"Venta"))</f>
        <v/>
      </c>
      <c r="G57" s="176" t="str">
        <f t="shared" si="6"/>
        <v/>
      </c>
      <c r="H57" s="176" t="str">
        <f>IF(A57="","",IFERROR(INDEX('09_Posicion_Actual'!$G$5:$G$204,MATCH(A57,'09_Posicion_Actual'!$B$5:$B$204,0)),0))</f>
        <v/>
      </c>
      <c r="I57" s="171" t="str">
        <f>IF(A57="","",IFERROR(INDEX('09_Posicion_Actual'!$I$5:$I$204,MATCH(A57,'09_Posicion_Actual'!$B$5:$B$204,0)),0))</f>
        <v/>
      </c>
      <c r="J57" s="176" t="str">
        <f t="shared" si="7"/>
        <v/>
      </c>
      <c r="K57" s="171" t="str">
        <f>IF(A57="","",IF(C57="USD",J57*IFERROR(INDEX('09_Posicion_Actual'!$H$5:$H$204,MATCH(A57,'09_Posicion_Actual'!$B$5:$B$204,0)),950),J57))</f>
        <v/>
      </c>
      <c r="L57" s="180" t="str">
        <f t="shared" si="8"/>
        <v/>
      </c>
      <c r="M57" s="176" t="str">
        <f>IF(A57="","",IFERROR(INDEX('09_Posicion_Actual'!$F$5:$F$204,MATCH(A57,'09_Posicion_Actual'!$B$5:$B$204,0)),""))</f>
        <v/>
      </c>
      <c r="N57" s="177" t="str">
        <f>IF(A57="","",IFERROR(INDEX('09_Posicion_Actual'!$E$5:$E$204,MATCH(A57,'09_Posicion_Actual'!$B$5:$B$204,0)),""))</f>
        <v/>
      </c>
      <c r="O57" s="131" t="str">
        <f>IF(A57="","",IFERROR(INDEX('09_Posicion_Actual'!$A$5:$A$204,MATCH(A57,'09_Posicion_Actual'!$B$5:$B$204,0)),""))</f>
        <v/>
      </c>
      <c r="P57" s="132" t="str">
        <f t="shared" si="9"/>
        <v/>
      </c>
      <c r="Q57" s="132" t="str">
        <f t="shared" si="10"/>
        <v/>
      </c>
      <c r="R57" s="132" t="str">
        <f>IF(A57="","",IFERROR(INDEX('09_Posicion_Actual'!$P$5:$P$204,MATCH(A57,'09_Posicion_Actual'!$B$5:$B$204,0)),""))</f>
        <v/>
      </c>
      <c r="S57" s="132" t="str">
        <f t="shared" si="11"/>
        <v/>
      </c>
      <c r="T57" s="132"/>
      <c r="U57" s="132"/>
      <c r="V57" s="132"/>
      <c r="W57" s="132"/>
      <c r="X57" s="132"/>
    </row>
    <row r="58" spans="1:24">
      <c r="A58" s="132"/>
      <c r="B58" s="132"/>
      <c r="C58" s="132"/>
      <c r="D58" s="132"/>
      <c r="E58" s="176" t="str">
        <f>IF(A58="","",SUMIFS('14_Inversiones'!$E$5:$E$203,'14_Inversiones'!$B$5:$B$203,A58,'14_Inversiones'!$D$5:$D$203,C58,'14_Inversiones'!$C$5:$C$203,"Compra")+SUMIFS('14_Inversiones'!$E$5:$E$203,'14_Inversiones'!$B$5:$B$203,A58,'14_Inversiones'!$D$5:$D$203,C58,'14_Inversiones'!$C$5:$C$203,"Aporte")+SUMIFS('14_Inversiones'!$E$5:$E$203,'14_Inversiones'!$B$5:$B$203,A58,'14_Inversiones'!$D$5:$D$203,C58,'14_Inversiones'!$C$5:$C$203,"Ajuste"))</f>
        <v/>
      </c>
      <c r="F58" s="176" t="str">
        <f>IF(A58="","",SUMIFS('14_Inversiones'!$E$5:$E$203,'14_Inversiones'!$B$5:$B$203,A58,'14_Inversiones'!$D$5:$D$203,C58,'14_Inversiones'!$C$5:$C$203,"Retiro")+SUMIFS('14_Inversiones'!$E$5:$E$203,'14_Inversiones'!$B$5:$B$203,A58,'14_Inversiones'!$D$5:$D$203,C58,'14_Inversiones'!$C$5:$C$203,"Venta"))</f>
        <v/>
      </c>
      <c r="G58" s="176" t="str">
        <f t="shared" si="6"/>
        <v/>
      </c>
      <c r="H58" s="176" t="str">
        <f>IF(A58="","",IFERROR(INDEX('09_Posicion_Actual'!$G$5:$G$204,MATCH(A58,'09_Posicion_Actual'!$B$5:$B$204,0)),0))</f>
        <v/>
      </c>
      <c r="I58" s="171" t="str">
        <f>IF(A58="","",IFERROR(INDEX('09_Posicion_Actual'!$I$5:$I$204,MATCH(A58,'09_Posicion_Actual'!$B$5:$B$204,0)),0))</f>
        <v/>
      </c>
      <c r="J58" s="176" t="str">
        <f t="shared" si="7"/>
        <v/>
      </c>
      <c r="K58" s="171" t="str">
        <f>IF(A58="","",IF(C58="USD",J58*IFERROR(INDEX('09_Posicion_Actual'!$H$5:$H$204,MATCH(A58,'09_Posicion_Actual'!$B$5:$B$204,0)),950),J58))</f>
        <v/>
      </c>
      <c r="L58" s="180" t="str">
        <f t="shared" si="8"/>
        <v/>
      </c>
      <c r="M58" s="176" t="str">
        <f>IF(A58="","",IFERROR(INDEX('09_Posicion_Actual'!$F$5:$F$204,MATCH(A58,'09_Posicion_Actual'!$B$5:$B$204,0)),""))</f>
        <v/>
      </c>
      <c r="N58" s="177" t="str">
        <f>IF(A58="","",IFERROR(INDEX('09_Posicion_Actual'!$E$5:$E$204,MATCH(A58,'09_Posicion_Actual'!$B$5:$B$204,0)),""))</f>
        <v/>
      </c>
      <c r="O58" s="131" t="str">
        <f>IF(A58="","",IFERROR(INDEX('09_Posicion_Actual'!$A$5:$A$204,MATCH(A58,'09_Posicion_Actual'!$B$5:$B$204,0)),""))</f>
        <v/>
      </c>
      <c r="P58" s="132" t="str">
        <f t="shared" si="9"/>
        <v/>
      </c>
      <c r="Q58" s="132" t="str">
        <f t="shared" si="10"/>
        <v/>
      </c>
      <c r="R58" s="132" t="str">
        <f>IF(A58="","",IFERROR(INDEX('09_Posicion_Actual'!$P$5:$P$204,MATCH(A58,'09_Posicion_Actual'!$B$5:$B$204,0)),""))</f>
        <v/>
      </c>
      <c r="S58" s="132" t="str">
        <f t="shared" si="11"/>
        <v/>
      </c>
      <c r="T58" s="132"/>
      <c r="U58" s="132"/>
      <c r="V58" s="132"/>
      <c r="W58" s="132"/>
      <c r="X58" s="132"/>
    </row>
    <row r="59" spans="1:24">
      <c r="A59" s="132"/>
      <c r="B59" s="132"/>
      <c r="C59" s="132"/>
      <c r="D59" s="132"/>
      <c r="E59" s="176" t="str">
        <f>IF(A59="","",SUMIFS('14_Inversiones'!$E$5:$E$203,'14_Inversiones'!$B$5:$B$203,A59,'14_Inversiones'!$D$5:$D$203,C59,'14_Inversiones'!$C$5:$C$203,"Compra")+SUMIFS('14_Inversiones'!$E$5:$E$203,'14_Inversiones'!$B$5:$B$203,A59,'14_Inversiones'!$D$5:$D$203,C59,'14_Inversiones'!$C$5:$C$203,"Aporte")+SUMIFS('14_Inversiones'!$E$5:$E$203,'14_Inversiones'!$B$5:$B$203,A59,'14_Inversiones'!$D$5:$D$203,C59,'14_Inversiones'!$C$5:$C$203,"Ajuste"))</f>
        <v/>
      </c>
      <c r="F59" s="176" t="str">
        <f>IF(A59="","",SUMIFS('14_Inversiones'!$E$5:$E$203,'14_Inversiones'!$B$5:$B$203,A59,'14_Inversiones'!$D$5:$D$203,C59,'14_Inversiones'!$C$5:$C$203,"Retiro")+SUMIFS('14_Inversiones'!$E$5:$E$203,'14_Inversiones'!$B$5:$B$203,A59,'14_Inversiones'!$D$5:$D$203,C59,'14_Inversiones'!$C$5:$C$203,"Venta"))</f>
        <v/>
      </c>
      <c r="G59" s="176" t="str">
        <f t="shared" si="6"/>
        <v/>
      </c>
      <c r="H59" s="176" t="str">
        <f>IF(A59="","",IFERROR(INDEX('09_Posicion_Actual'!$G$5:$G$204,MATCH(A59,'09_Posicion_Actual'!$B$5:$B$204,0)),0))</f>
        <v/>
      </c>
      <c r="I59" s="171" t="str">
        <f>IF(A59="","",IFERROR(INDEX('09_Posicion_Actual'!$I$5:$I$204,MATCH(A59,'09_Posicion_Actual'!$B$5:$B$204,0)),0))</f>
        <v/>
      </c>
      <c r="J59" s="176" t="str">
        <f t="shared" si="7"/>
        <v/>
      </c>
      <c r="K59" s="171" t="str">
        <f>IF(A59="","",IF(C59="USD",J59*IFERROR(INDEX('09_Posicion_Actual'!$H$5:$H$204,MATCH(A59,'09_Posicion_Actual'!$B$5:$B$204,0)),950),J59))</f>
        <v/>
      </c>
      <c r="L59" s="180" t="str">
        <f t="shared" si="8"/>
        <v/>
      </c>
      <c r="M59" s="176" t="str">
        <f>IF(A59="","",IFERROR(INDEX('09_Posicion_Actual'!$F$5:$F$204,MATCH(A59,'09_Posicion_Actual'!$B$5:$B$204,0)),""))</f>
        <v/>
      </c>
      <c r="N59" s="177" t="str">
        <f>IF(A59="","",IFERROR(INDEX('09_Posicion_Actual'!$E$5:$E$204,MATCH(A59,'09_Posicion_Actual'!$B$5:$B$204,0)),""))</f>
        <v/>
      </c>
      <c r="O59" s="131" t="str">
        <f>IF(A59="","",IFERROR(INDEX('09_Posicion_Actual'!$A$5:$A$204,MATCH(A59,'09_Posicion_Actual'!$B$5:$B$204,0)),""))</f>
        <v/>
      </c>
      <c r="P59" s="132" t="str">
        <f t="shared" si="9"/>
        <v/>
      </c>
      <c r="Q59" s="132" t="str">
        <f t="shared" si="10"/>
        <v/>
      </c>
      <c r="R59" s="132" t="str">
        <f>IF(A59="","",IFERROR(INDEX('09_Posicion_Actual'!$P$5:$P$204,MATCH(A59,'09_Posicion_Actual'!$B$5:$B$204,0)),""))</f>
        <v/>
      </c>
      <c r="S59" s="132" t="str">
        <f t="shared" si="11"/>
        <v/>
      </c>
      <c r="T59" s="132"/>
      <c r="U59" s="132"/>
      <c r="V59" s="132"/>
      <c r="W59" s="132"/>
      <c r="X59" s="132"/>
    </row>
    <row r="60" spans="1:24">
      <c r="A60" s="132"/>
      <c r="B60" s="132"/>
      <c r="C60" s="132"/>
      <c r="D60" s="132"/>
      <c r="E60" s="176" t="str">
        <f>IF(A60="","",SUMIFS('14_Inversiones'!$E$5:$E$203,'14_Inversiones'!$B$5:$B$203,A60,'14_Inversiones'!$D$5:$D$203,C60,'14_Inversiones'!$C$5:$C$203,"Compra")+SUMIFS('14_Inversiones'!$E$5:$E$203,'14_Inversiones'!$B$5:$B$203,A60,'14_Inversiones'!$D$5:$D$203,C60,'14_Inversiones'!$C$5:$C$203,"Aporte")+SUMIFS('14_Inversiones'!$E$5:$E$203,'14_Inversiones'!$B$5:$B$203,A60,'14_Inversiones'!$D$5:$D$203,C60,'14_Inversiones'!$C$5:$C$203,"Ajuste"))</f>
        <v/>
      </c>
      <c r="F60" s="176" t="str">
        <f>IF(A60="","",SUMIFS('14_Inversiones'!$E$5:$E$203,'14_Inversiones'!$B$5:$B$203,A60,'14_Inversiones'!$D$5:$D$203,C60,'14_Inversiones'!$C$5:$C$203,"Retiro")+SUMIFS('14_Inversiones'!$E$5:$E$203,'14_Inversiones'!$B$5:$B$203,A60,'14_Inversiones'!$D$5:$D$203,C60,'14_Inversiones'!$C$5:$C$203,"Venta"))</f>
        <v/>
      </c>
      <c r="G60" s="176" t="str">
        <f t="shared" si="6"/>
        <v/>
      </c>
      <c r="H60" s="176" t="str">
        <f>IF(A60="","",IFERROR(INDEX('09_Posicion_Actual'!$G$5:$G$204,MATCH(A60,'09_Posicion_Actual'!$B$5:$B$204,0)),0))</f>
        <v/>
      </c>
      <c r="I60" s="171" t="str">
        <f>IF(A60="","",IFERROR(INDEX('09_Posicion_Actual'!$I$5:$I$204,MATCH(A60,'09_Posicion_Actual'!$B$5:$B$204,0)),0))</f>
        <v/>
      </c>
      <c r="J60" s="176" t="str">
        <f t="shared" si="7"/>
        <v/>
      </c>
      <c r="K60" s="171" t="str">
        <f>IF(A60="","",IF(C60="USD",J60*IFERROR(INDEX('09_Posicion_Actual'!$H$5:$H$204,MATCH(A60,'09_Posicion_Actual'!$B$5:$B$204,0)),950),J60))</f>
        <v/>
      </c>
      <c r="L60" s="180" t="str">
        <f t="shared" si="8"/>
        <v/>
      </c>
      <c r="M60" s="176" t="str">
        <f>IF(A60="","",IFERROR(INDEX('09_Posicion_Actual'!$F$5:$F$204,MATCH(A60,'09_Posicion_Actual'!$B$5:$B$204,0)),""))</f>
        <v/>
      </c>
      <c r="N60" s="177" t="str">
        <f>IF(A60="","",IFERROR(INDEX('09_Posicion_Actual'!$E$5:$E$204,MATCH(A60,'09_Posicion_Actual'!$B$5:$B$204,0)),""))</f>
        <v/>
      </c>
      <c r="O60" s="131" t="str">
        <f>IF(A60="","",IFERROR(INDEX('09_Posicion_Actual'!$A$5:$A$204,MATCH(A60,'09_Posicion_Actual'!$B$5:$B$204,0)),""))</f>
        <v/>
      </c>
      <c r="P60" s="132" t="str">
        <f t="shared" si="9"/>
        <v/>
      </c>
      <c r="Q60" s="132" t="str">
        <f t="shared" si="10"/>
        <v/>
      </c>
      <c r="R60" s="132" t="str">
        <f>IF(A60="","",IFERROR(INDEX('09_Posicion_Actual'!$P$5:$P$204,MATCH(A60,'09_Posicion_Actual'!$B$5:$B$204,0)),""))</f>
        <v/>
      </c>
      <c r="S60" s="132" t="str">
        <f t="shared" si="11"/>
        <v/>
      </c>
      <c r="T60" s="132"/>
      <c r="U60" s="132"/>
      <c r="V60" s="132"/>
      <c r="W60" s="132"/>
      <c r="X60" s="132"/>
    </row>
    <row r="61" spans="1:24">
      <c r="A61" s="132"/>
      <c r="B61" s="132"/>
      <c r="C61" s="132"/>
      <c r="D61" s="132"/>
      <c r="E61" s="176" t="str">
        <f>IF(A61="","",SUMIFS('14_Inversiones'!$E$5:$E$203,'14_Inversiones'!$B$5:$B$203,A61,'14_Inversiones'!$D$5:$D$203,C61,'14_Inversiones'!$C$5:$C$203,"Compra")+SUMIFS('14_Inversiones'!$E$5:$E$203,'14_Inversiones'!$B$5:$B$203,A61,'14_Inversiones'!$D$5:$D$203,C61,'14_Inversiones'!$C$5:$C$203,"Aporte")+SUMIFS('14_Inversiones'!$E$5:$E$203,'14_Inversiones'!$B$5:$B$203,A61,'14_Inversiones'!$D$5:$D$203,C61,'14_Inversiones'!$C$5:$C$203,"Ajuste"))</f>
        <v/>
      </c>
      <c r="F61" s="176" t="str">
        <f>IF(A61="","",SUMIFS('14_Inversiones'!$E$5:$E$203,'14_Inversiones'!$B$5:$B$203,A61,'14_Inversiones'!$D$5:$D$203,C61,'14_Inversiones'!$C$5:$C$203,"Retiro")+SUMIFS('14_Inversiones'!$E$5:$E$203,'14_Inversiones'!$B$5:$B$203,A61,'14_Inversiones'!$D$5:$D$203,C61,'14_Inversiones'!$C$5:$C$203,"Venta"))</f>
        <v/>
      </c>
      <c r="G61" s="176" t="str">
        <f t="shared" si="6"/>
        <v/>
      </c>
      <c r="H61" s="176" t="str">
        <f>IF(A61="","",IFERROR(INDEX('09_Posicion_Actual'!$G$5:$G$204,MATCH(A61,'09_Posicion_Actual'!$B$5:$B$204,0)),0))</f>
        <v/>
      </c>
      <c r="I61" s="171" t="str">
        <f>IF(A61="","",IFERROR(INDEX('09_Posicion_Actual'!$I$5:$I$204,MATCH(A61,'09_Posicion_Actual'!$B$5:$B$204,0)),0))</f>
        <v/>
      </c>
      <c r="J61" s="176" t="str">
        <f t="shared" si="7"/>
        <v/>
      </c>
      <c r="K61" s="171" t="str">
        <f>IF(A61="","",IF(C61="USD",J61*IFERROR(INDEX('09_Posicion_Actual'!$H$5:$H$204,MATCH(A61,'09_Posicion_Actual'!$B$5:$B$204,0)),950),J61))</f>
        <v/>
      </c>
      <c r="L61" s="180" t="str">
        <f t="shared" si="8"/>
        <v/>
      </c>
      <c r="M61" s="176" t="str">
        <f>IF(A61="","",IFERROR(INDEX('09_Posicion_Actual'!$F$5:$F$204,MATCH(A61,'09_Posicion_Actual'!$B$5:$B$204,0)),""))</f>
        <v/>
      </c>
      <c r="N61" s="177" t="str">
        <f>IF(A61="","",IFERROR(INDEX('09_Posicion_Actual'!$E$5:$E$204,MATCH(A61,'09_Posicion_Actual'!$B$5:$B$204,0)),""))</f>
        <v/>
      </c>
      <c r="O61" s="131" t="str">
        <f>IF(A61="","",IFERROR(INDEX('09_Posicion_Actual'!$A$5:$A$204,MATCH(A61,'09_Posicion_Actual'!$B$5:$B$204,0)),""))</f>
        <v/>
      </c>
      <c r="P61" s="132" t="str">
        <f t="shared" si="9"/>
        <v/>
      </c>
      <c r="Q61" s="132" t="str">
        <f t="shared" si="10"/>
        <v/>
      </c>
      <c r="R61" s="132" t="str">
        <f>IF(A61="","",IFERROR(INDEX('09_Posicion_Actual'!$P$5:$P$204,MATCH(A61,'09_Posicion_Actual'!$B$5:$B$204,0)),""))</f>
        <v/>
      </c>
      <c r="S61" s="132" t="str">
        <f t="shared" si="11"/>
        <v/>
      </c>
      <c r="T61" s="132"/>
      <c r="U61" s="132"/>
      <c r="V61" s="132"/>
      <c r="W61" s="132"/>
      <c r="X61" s="132"/>
    </row>
    <row r="62" spans="1:24">
      <c r="A62" s="132"/>
      <c r="B62" s="132"/>
      <c r="C62" s="132"/>
      <c r="D62" s="132"/>
      <c r="E62" s="176" t="str">
        <f>IF(A62="","",SUMIFS('14_Inversiones'!$E$5:$E$203,'14_Inversiones'!$B$5:$B$203,A62,'14_Inversiones'!$D$5:$D$203,C62,'14_Inversiones'!$C$5:$C$203,"Compra")+SUMIFS('14_Inversiones'!$E$5:$E$203,'14_Inversiones'!$B$5:$B$203,A62,'14_Inversiones'!$D$5:$D$203,C62,'14_Inversiones'!$C$5:$C$203,"Aporte")+SUMIFS('14_Inversiones'!$E$5:$E$203,'14_Inversiones'!$B$5:$B$203,A62,'14_Inversiones'!$D$5:$D$203,C62,'14_Inversiones'!$C$5:$C$203,"Ajuste"))</f>
        <v/>
      </c>
      <c r="F62" s="176" t="str">
        <f>IF(A62="","",SUMIFS('14_Inversiones'!$E$5:$E$203,'14_Inversiones'!$B$5:$B$203,A62,'14_Inversiones'!$D$5:$D$203,C62,'14_Inversiones'!$C$5:$C$203,"Retiro")+SUMIFS('14_Inversiones'!$E$5:$E$203,'14_Inversiones'!$B$5:$B$203,A62,'14_Inversiones'!$D$5:$D$203,C62,'14_Inversiones'!$C$5:$C$203,"Venta"))</f>
        <v/>
      </c>
      <c r="G62" s="176" t="str">
        <f t="shared" si="6"/>
        <v/>
      </c>
      <c r="H62" s="176" t="str">
        <f>IF(A62="","",IFERROR(INDEX('09_Posicion_Actual'!$G$5:$G$204,MATCH(A62,'09_Posicion_Actual'!$B$5:$B$204,0)),0))</f>
        <v/>
      </c>
      <c r="I62" s="171" t="str">
        <f>IF(A62="","",IFERROR(INDEX('09_Posicion_Actual'!$I$5:$I$204,MATCH(A62,'09_Posicion_Actual'!$B$5:$B$204,0)),0))</f>
        <v/>
      </c>
      <c r="J62" s="176" t="str">
        <f t="shared" si="7"/>
        <v/>
      </c>
      <c r="K62" s="171" t="str">
        <f>IF(A62="","",IF(C62="USD",J62*IFERROR(INDEX('09_Posicion_Actual'!$H$5:$H$204,MATCH(A62,'09_Posicion_Actual'!$B$5:$B$204,0)),950),J62))</f>
        <v/>
      </c>
      <c r="L62" s="180" t="str">
        <f t="shared" si="8"/>
        <v/>
      </c>
      <c r="M62" s="176" t="str">
        <f>IF(A62="","",IFERROR(INDEX('09_Posicion_Actual'!$F$5:$F$204,MATCH(A62,'09_Posicion_Actual'!$B$5:$B$204,0)),""))</f>
        <v/>
      </c>
      <c r="N62" s="177" t="str">
        <f>IF(A62="","",IFERROR(INDEX('09_Posicion_Actual'!$E$5:$E$204,MATCH(A62,'09_Posicion_Actual'!$B$5:$B$204,0)),""))</f>
        <v/>
      </c>
      <c r="O62" s="131" t="str">
        <f>IF(A62="","",IFERROR(INDEX('09_Posicion_Actual'!$A$5:$A$204,MATCH(A62,'09_Posicion_Actual'!$B$5:$B$204,0)),""))</f>
        <v/>
      </c>
      <c r="P62" s="132" t="str">
        <f t="shared" si="9"/>
        <v/>
      </c>
      <c r="Q62" s="132" t="str">
        <f t="shared" si="10"/>
        <v/>
      </c>
      <c r="R62" s="132" t="str">
        <f>IF(A62="","",IFERROR(INDEX('09_Posicion_Actual'!$P$5:$P$204,MATCH(A62,'09_Posicion_Actual'!$B$5:$B$204,0)),""))</f>
        <v/>
      </c>
      <c r="S62" s="132" t="str">
        <f t="shared" si="11"/>
        <v/>
      </c>
      <c r="T62" s="132"/>
      <c r="U62" s="132"/>
      <c r="V62" s="132"/>
      <c r="W62" s="132"/>
      <c r="X62" s="132"/>
    </row>
    <row r="63" spans="1:24">
      <c r="A63" s="132"/>
      <c r="B63" s="132"/>
      <c r="C63" s="132"/>
      <c r="D63" s="132"/>
      <c r="E63" s="176" t="str">
        <f>IF(A63="","",SUMIFS('14_Inversiones'!$E$5:$E$203,'14_Inversiones'!$B$5:$B$203,A63,'14_Inversiones'!$D$5:$D$203,C63,'14_Inversiones'!$C$5:$C$203,"Compra")+SUMIFS('14_Inversiones'!$E$5:$E$203,'14_Inversiones'!$B$5:$B$203,A63,'14_Inversiones'!$D$5:$D$203,C63,'14_Inversiones'!$C$5:$C$203,"Aporte")+SUMIFS('14_Inversiones'!$E$5:$E$203,'14_Inversiones'!$B$5:$B$203,A63,'14_Inversiones'!$D$5:$D$203,C63,'14_Inversiones'!$C$5:$C$203,"Ajuste"))</f>
        <v/>
      </c>
      <c r="F63" s="176" t="str">
        <f>IF(A63="","",SUMIFS('14_Inversiones'!$E$5:$E$203,'14_Inversiones'!$B$5:$B$203,A63,'14_Inversiones'!$D$5:$D$203,C63,'14_Inversiones'!$C$5:$C$203,"Retiro")+SUMIFS('14_Inversiones'!$E$5:$E$203,'14_Inversiones'!$B$5:$B$203,A63,'14_Inversiones'!$D$5:$D$203,C63,'14_Inversiones'!$C$5:$C$203,"Venta"))</f>
        <v/>
      </c>
      <c r="G63" s="176" t="str">
        <f t="shared" si="6"/>
        <v/>
      </c>
      <c r="H63" s="176" t="str">
        <f>IF(A63="","",IFERROR(INDEX('09_Posicion_Actual'!$G$5:$G$204,MATCH(A63,'09_Posicion_Actual'!$B$5:$B$204,0)),0))</f>
        <v/>
      </c>
      <c r="I63" s="171" t="str">
        <f>IF(A63="","",IFERROR(INDEX('09_Posicion_Actual'!$I$5:$I$204,MATCH(A63,'09_Posicion_Actual'!$B$5:$B$204,0)),0))</f>
        <v/>
      </c>
      <c r="J63" s="176" t="str">
        <f t="shared" si="7"/>
        <v/>
      </c>
      <c r="K63" s="171" t="str">
        <f>IF(A63="","",IF(C63="USD",J63*IFERROR(INDEX('09_Posicion_Actual'!$H$5:$H$204,MATCH(A63,'09_Posicion_Actual'!$B$5:$B$204,0)),950),J63))</f>
        <v/>
      </c>
      <c r="L63" s="180" t="str">
        <f t="shared" si="8"/>
        <v/>
      </c>
      <c r="M63" s="176" t="str">
        <f>IF(A63="","",IFERROR(INDEX('09_Posicion_Actual'!$F$5:$F$204,MATCH(A63,'09_Posicion_Actual'!$B$5:$B$204,0)),""))</f>
        <v/>
      </c>
      <c r="N63" s="177" t="str">
        <f>IF(A63="","",IFERROR(INDEX('09_Posicion_Actual'!$E$5:$E$204,MATCH(A63,'09_Posicion_Actual'!$B$5:$B$204,0)),""))</f>
        <v/>
      </c>
      <c r="O63" s="131" t="str">
        <f>IF(A63="","",IFERROR(INDEX('09_Posicion_Actual'!$A$5:$A$204,MATCH(A63,'09_Posicion_Actual'!$B$5:$B$204,0)),""))</f>
        <v/>
      </c>
      <c r="P63" s="132" t="str">
        <f t="shared" si="9"/>
        <v/>
      </c>
      <c r="Q63" s="132" t="str">
        <f t="shared" si="10"/>
        <v/>
      </c>
      <c r="R63" s="132" t="str">
        <f>IF(A63="","",IFERROR(INDEX('09_Posicion_Actual'!$P$5:$P$204,MATCH(A63,'09_Posicion_Actual'!$B$5:$B$204,0)),""))</f>
        <v/>
      </c>
      <c r="S63" s="132" t="str">
        <f t="shared" si="11"/>
        <v/>
      </c>
      <c r="T63" s="132"/>
      <c r="U63" s="132"/>
      <c r="V63" s="132"/>
      <c r="W63" s="132"/>
      <c r="X63" s="132"/>
    </row>
    <row r="64" spans="1:24">
      <c r="A64" s="132"/>
      <c r="B64" s="132"/>
      <c r="C64" s="132"/>
      <c r="D64" s="132"/>
      <c r="E64" s="176" t="str">
        <f>IF(A64="","",SUMIFS('14_Inversiones'!$E$5:$E$203,'14_Inversiones'!$B$5:$B$203,A64,'14_Inversiones'!$D$5:$D$203,C64,'14_Inversiones'!$C$5:$C$203,"Compra")+SUMIFS('14_Inversiones'!$E$5:$E$203,'14_Inversiones'!$B$5:$B$203,A64,'14_Inversiones'!$D$5:$D$203,C64,'14_Inversiones'!$C$5:$C$203,"Aporte")+SUMIFS('14_Inversiones'!$E$5:$E$203,'14_Inversiones'!$B$5:$B$203,A64,'14_Inversiones'!$D$5:$D$203,C64,'14_Inversiones'!$C$5:$C$203,"Ajuste"))</f>
        <v/>
      </c>
      <c r="F64" s="176" t="str">
        <f>IF(A64="","",SUMIFS('14_Inversiones'!$E$5:$E$203,'14_Inversiones'!$B$5:$B$203,A64,'14_Inversiones'!$D$5:$D$203,C64,'14_Inversiones'!$C$5:$C$203,"Retiro")+SUMIFS('14_Inversiones'!$E$5:$E$203,'14_Inversiones'!$B$5:$B$203,A64,'14_Inversiones'!$D$5:$D$203,C64,'14_Inversiones'!$C$5:$C$203,"Venta"))</f>
        <v/>
      </c>
      <c r="G64" s="176" t="str">
        <f t="shared" si="6"/>
        <v/>
      </c>
      <c r="H64" s="176" t="str">
        <f>IF(A64="","",IFERROR(INDEX('09_Posicion_Actual'!$G$5:$G$204,MATCH(A64,'09_Posicion_Actual'!$B$5:$B$204,0)),0))</f>
        <v/>
      </c>
      <c r="I64" s="171" t="str">
        <f>IF(A64="","",IFERROR(INDEX('09_Posicion_Actual'!$I$5:$I$204,MATCH(A64,'09_Posicion_Actual'!$B$5:$B$204,0)),0))</f>
        <v/>
      </c>
      <c r="J64" s="176" t="str">
        <f t="shared" si="7"/>
        <v/>
      </c>
      <c r="K64" s="171" t="str">
        <f>IF(A64="","",IF(C64="USD",J64*IFERROR(INDEX('09_Posicion_Actual'!$H$5:$H$204,MATCH(A64,'09_Posicion_Actual'!$B$5:$B$204,0)),950),J64))</f>
        <v/>
      </c>
      <c r="L64" s="180" t="str">
        <f t="shared" si="8"/>
        <v/>
      </c>
      <c r="M64" s="176" t="str">
        <f>IF(A64="","",IFERROR(INDEX('09_Posicion_Actual'!$F$5:$F$204,MATCH(A64,'09_Posicion_Actual'!$B$5:$B$204,0)),""))</f>
        <v/>
      </c>
      <c r="N64" s="177" t="str">
        <f>IF(A64="","",IFERROR(INDEX('09_Posicion_Actual'!$E$5:$E$204,MATCH(A64,'09_Posicion_Actual'!$B$5:$B$204,0)),""))</f>
        <v/>
      </c>
      <c r="O64" s="131" t="str">
        <f>IF(A64="","",IFERROR(INDEX('09_Posicion_Actual'!$A$5:$A$204,MATCH(A64,'09_Posicion_Actual'!$B$5:$B$204,0)),""))</f>
        <v/>
      </c>
      <c r="P64" s="132" t="str">
        <f t="shared" si="9"/>
        <v/>
      </c>
      <c r="Q64" s="132" t="str">
        <f t="shared" si="10"/>
        <v/>
      </c>
      <c r="R64" s="132" t="str">
        <f>IF(A64="","",IFERROR(INDEX('09_Posicion_Actual'!$P$5:$P$204,MATCH(A64,'09_Posicion_Actual'!$B$5:$B$204,0)),""))</f>
        <v/>
      </c>
      <c r="S64" s="132" t="str">
        <f t="shared" si="11"/>
        <v/>
      </c>
      <c r="T64" s="132"/>
      <c r="U64" s="132"/>
      <c r="V64" s="132"/>
      <c r="W64" s="132"/>
      <c r="X64" s="132"/>
    </row>
    <row r="65" spans="1:24">
      <c r="A65" s="132"/>
      <c r="B65" s="132"/>
      <c r="C65" s="132"/>
      <c r="D65" s="132"/>
      <c r="E65" s="176" t="str">
        <f>IF(A65="","",SUMIFS('14_Inversiones'!$E$5:$E$203,'14_Inversiones'!$B$5:$B$203,A65,'14_Inversiones'!$D$5:$D$203,C65,'14_Inversiones'!$C$5:$C$203,"Compra")+SUMIFS('14_Inversiones'!$E$5:$E$203,'14_Inversiones'!$B$5:$B$203,A65,'14_Inversiones'!$D$5:$D$203,C65,'14_Inversiones'!$C$5:$C$203,"Aporte")+SUMIFS('14_Inversiones'!$E$5:$E$203,'14_Inversiones'!$B$5:$B$203,A65,'14_Inversiones'!$D$5:$D$203,C65,'14_Inversiones'!$C$5:$C$203,"Ajuste"))</f>
        <v/>
      </c>
      <c r="F65" s="176" t="str">
        <f>IF(A65="","",SUMIFS('14_Inversiones'!$E$5:$E$203,'14_Inversiones'!$B$5:$B$203,A65,'14_Inversiones'!$D$5:$D$203,C65,'14_Inversiones'!$C$5:$C$203,"Retiro")+SUMIFS('14_Inversiones'!$E$5:$E$203,'14_Inversiones'!$B$5:$B$203,A65,'14_Inversiones'!$D$5:$D$203,C65,'14_Inversiones'!$C$5:$C$203,"Venta"))</f>
        <v/>
      </c>
      <c r="G65" s="176" t="str">
        <f t="shared" si="6"/>
        <v/>
      </c>
      <c r="H65" s="176" t="str">
        <f>IF(A65="","",IFERROR(INDEX('09_Posicion_Actual'!$G$5:$G$204,MATCH(A65,'09_Posicion_Actual'!$B$5:$B$204,0)),0))</f>
        <v/>
      </c>
      <c r="I65" s="171" t="str">
        <f>IF(A65="","",IFERROR(INDEX('09_Posicion_Actual'!$I$5:$I$204,MATCH(A65,'09_Posicion_Actual'!$B$5:$B$204,0)),0))</f>
        <v/>
      </c>
      <c r="J65" s="176" t="str">
        <f t="shared" si="7"/>
        <v/>
      </c>
      <c r="K65" s="171" t="str">
        <f>IF(A65="","",IF(C65="USD",J65*IFERROR(INDEX('09_Posicion_Actual'!$H$5:$H$204,MATCH(A65,'09_Posicion_Actual'!$B$5:$B$204,0)),950),J65))</f>
        <v/>
      </c>
      <c r="L65" s="180" t="str">
        <f t="shared" si="8"/>
        <v/>
      </c>
      <c r="M65" s="176" t="str">
        <f>IF(A65="","",IFERROR(INDEX('09_Posicion_Actual'!$F$5:$F$204,MATCH(A65,'09_Posicion_Actual'!$B$5:$B$204,0)),""))</f>
        <v/>
      </c>
      <c r="N65" s="177" t="str">
        <f>IF(A65="","",IFERROR(INDEX('09_Posicion_Actual'!$E$5:$E$204,MATCH(A65,'09_Posicion_Actual'!$B$5:$B$204,0)),""))</f>
        <v/>
      </c>
      <c r="O65" s="131" t="str">
        <f>IF(A65="","",IFERROR(INDEX('09_Posicion_Actual'!$A$5:$A$204,MATCH(A65,'09_Posicion_Actual'!$B$5:$B$204,0)),""))</f>
        <v/>
      </c>
      <c r="P65" s="132" t="str">
        <f t="shared" si="9"/>
        <v/>
      </c>
      <c r="Q65" s="132" t="str">
        <f t="shared" si="10"/>
        <v/>
      </c>
      <c r="R65" s="132" t="str">
        <f>IF(A65="","",IFERROR(INDEX('09_Posicion_Actual'!$P$5:$P$204,MATCH(A65,'09_Posicion_Actual'!$B$5:$B$204,0)),""))</f>
        <v/>
      </c>
      <c r="S65" s="132" t="str">
        <f t="shared" si="11"/>
        <v/>
      </c>
      <c r="T65" s="132"/>
      <c r="U65" s="132"/>
      <c r="V65" s="132"/>
      <c r="W65" s="132"/>
      <c r="X65" s="132"/>
    </row>
    <row r="66" spans="1:24">
      <c r="A66" s="132"/>
      <c r="B66" s="132"/>
      <c r="C66" s="132"/>
      <c r="D66" s="132"/>
      <c r="E66" s="176" t="str">
        <f>IF(A66="","",SUMIFS('14_Inversiones'!$E$5:$E$203,'14_Inversiones'!$B$5:$B$203,A66,'14_Inversiones'!$D$5:$D$203,C66,'14_Inversiones'!$C$5:$C$203,"Compra")+SUMIFS('14_Inversiones'!$E$5:$E$203,'14_Inversiones'!$B$5:$B$203,A66,'14_Inversiones'!$D$5:$D$203,C66,'14_Inversiones'!$C$5:$C$203,"Aporte")+SUMIFS('14_Inversiones'!$E$5:$E$203,'14_Inversiones'!$B$5:$B$203,A66,'14_Inversiones'!$D$5:$D$203,C66,'14_Inversiones'!$C$5:$C$203,"Ajuste"))</f>
        <v/>
      </c>
      <c r="F66" s="176" t="str">
        <f>IF(A66="","",SUMIFS('14_Inversiones'!$E$5:$E$203,'14_Inversiones'!$B$5:$B$203,A66,'14_Inversiones'!$D$5:$D$203,C66,'14_Inversiones'!$C$5:$C$203,"Retiro")+SUMIFS('14_Inversiones'!$E$5:$E$203,'14_Inversiones'!$B$5:$B$203,A66,'14_Inversiones'!$D$5:$D$203,C66,'14_Inversiones'!$C$5:$C$203,"Venta"))</f>
        <v/>
      </c>
      <c r="G66" s="176" t="str">
        <f t="shared" si="6"/>
        <v/>
      </c>
      <c r="H66" s="176" t="str">
        <f>IF(A66="","",IFERROR(INDEX('09_Posicion_Actual'!$G$5:$G$204,MATCH(A66,'09_Posicion_Actual'!$B$5:$B$204,0)),0))</f>
        <v/>
      </c>
      <c r="I66" s="171" t="str">
        <f>IF(A66="","",IFERROR(INDEX('09_Posicion_Actual'!$I$5:$I$204,MATCH(A66,'09_Posicion_Actual'!$B$5:$B$204,0)),0))</f>
        <v/>
      </c>
      <c r="J66" s="176" t="str">
        <f t="shared" si="7"/>
        <v/>
      </c>
      <c r="K66" s="171" t="str">
        <f>IF(A66="","",IF(C66="USD",J66*IFERROR(INDEX('09_Posicion_Actual'!$H$5:$H$204,MATCH(A66,'09_Posicion_Actual'!$B$5:$B$204,0)),950),J66))</f>
        <v/>
      </c>
      <c r="L66" s="180" t="str">
        <f t="shared" si="8"/>
        <v/>
      </c>
      <c r="M66" s="176" t="str">
        <f>IF(A66="","",IFERROR(INDEX('09_Posicion_Actual'!$F$5:$F$204,MATCH(A66,'09_Posicion_Actual'!$B$5:$B$204,0)),""))</f>
        <v/>
      </c>
      <c r="N66" s="177" t="str">
        <f>IF(A66="","",IFERROR(INDEX('09_Posicion_Actual'!$E$5:$E$204,MATCH(A66,'09_Posicion_Actual'!$B$5:$B$204,0)),""))</f>
        <v/>
      </c>
      <c r="O66" s="131" t="str">
        <f>IF(A66="","",IFERROR(INDEX('09_Posicion_Actual'!$A$5:$A$204,MATCH(A66,'09_Posicion_Actual'!$B$5:$B$204,0)),""))</f>
        <v/>
      </c>
      <c r="P66" s="132" t="str">
        <f t="shared" si="9"/>
        <v/>
      </c>
      <c r="Q66" s="132" t="str">
        <f t="shared" si="10"/>
        <v/>
      </c>
      <c r="R66" s="132" t="str">
        <f>IF(A66="","",IFERROR(INDEX('09_Posicion_Actual'!$P$5:$P$204,MATCH(A66,'09_Posicion_Actual'!$B$5:$B$204,0)),""))</f>
        <v/>
      </c>
      <c r="S66" s="132" t="str">
        <f t="shared" si="11"/>
        <v/>
      </c>
      <c r="T66" s="132"/>
      <c r="U66" s="132"/>
      <c r="V66" s="132"/>
      <c r="W66" s="132"/>
      <c r="X66" s="132"/>
    </row>
    <row r="67" spans="1:24">
      <c r="A67" s="132"/>
      <c r="B67" s="132"/>
      <c r="C67" s="132"/>
      <c r="D67" s="132"/>
      <c r="E67" s="176" t="str">
        <f>IF(A67="","",SUMIFS('14_Inversiones'!$E$5:$E$203,'14_Inversiones'!$B$5:$B$203,A67,'14_Inversiones'!$D$5:$D$203,C67,'14_Inversiones'!$C$5:$C$203,"Compra")+SUMIFS('14_Inversiones'!$E$5:$E$203,'14_Inversiones'!$B$5:$B$203,A67,'14_Inversiones'!$D$5:$D$203,C67,'14_Inversiones'!$C$5:$C$203,"Aporte")+SUMIFS('14_Inversiones'!$E$5:$E$203,'14_Inversiones'!$B$5:$B$203,A67,'14_Inversiones'!$D$5:$D$203,C67,'14_Inversiones'!$C$5:$C$203,"Ajuste"))</f>
        <v/>
      </c>
      <c r="F67" s="176" t="str">
        <f>IF(A67="","",SUMIFS('14_Inversiones'!$E$5:$E$203,'14_Inversiones'!$B$5:$B$203,A67,'14_Inversiones'!$D$5:$D$203,C67,'14_Inversiones'!$C$5:$C$203,"Retiro")+SUMIFS('14_Inversiones'!$E$5:$E$203,'14_Inversiones'!$B$5:$B$203,A67,'14_Inversiones'!$D$5:$D$203,C67,'14_Inversiones'!$C$5:$C$203,"Venta"))</f>
        <v/>
      </c>
      <c r="G67" s="176" t="str">
        <f t="shared" si="6"/>
        <v/>
      </c>
      <c r="H67" s="176" t="str">
        <f>IF(A67="","",IFERROR(INDEX('09_Posicion_Actual'!$G$5:$G$204,MATCH(A67,'09_Posicion_Actual'!$B$5:$B$204,0)),0))</f>
        <v/>
      </c>
      <c r="I67" s="171" t="str">
        <f>IF(A67="","",IFERROR(INDEX('09_Posicion_Actual'!$I$5:$I$204,MATCH(A67,'09_Posicion_Actual'!$B$5:$B$204,0)),0))</f>
        <v/>
      </c>
      <c r="J67" s="176" t="str">
        <f t="shared" si="7"/>
        <v/>
      </c>
      <c r="K67" s="171" t="str">
        <f>IF(A67="","",IF(C67="USD",J67*IFERROR(INDEX('09_Posicion_Actual'!$H$5:$H$204,MATCH(A67,'09_Posicion_Actual'!$B$5:$B$204,0)),950),J67))</f>
        <v/>
      </c>
      <c r="L67" s="180" t="str">
        <f t="shared" si="8"/>
        <v/>
      </c>
      <c r="M67" s="176" t="str">
        <f>IF(A67="","",IFERROR(INDEX('09_Posicion_Actual'!$F$5:$F$204,MATCH(A67,'09_Posicion_Actual'!$B$5:$B$204,0)),""))</f>
        <v/>
      </c>
      <c r="N67" s="177" t="str">
        <f>IF(A67="","",IFERROR(INDEX('09_Posicion_Actual'!$E$5:$E$204,MATCH(A67,'09_Posicion_Actual'!$B$5:$B$204,0)),""))</f>
        <v/>
      </c>
      <c r="O67" s="131" t="str">
        <f>IF(A67="","",IFERROR(INDEX('09_Posicion_Actual'!$A$5:$A$204,MATCH(A67,'09_Posicion_Actual'!$B$5:$B$204,0)),""))</f>
        <v/>
      </c>
      <c r="P67" s="132" t="str">
        <f t="shared" si="9"/>
        <v/>
      </c>
      <c r="Q67" s="132" t="str">
        <f t="shared" si="10"/>
        <v/>
      </c>
      <c r="R67" s="132" t="str">
        <f>IF(A67="","",IFERROR(INDEX('09_Posicion_Actual'!$P$5:$P$204,MATCH(A67,'09_Posicion_Actual'!$B$5:$B$204,0)),""))</f>
        <v/>
      </c>
      <c r="S67" s="132" t="str">
        <f t="shared" si="11"/>
        <v/>
      </c>
      <c r="T67" s="132"/>
      <c r="U67" s="132"/>
      <c r="V67" s="132"/>
      <c r="W67" s="132"/>
      <c r="X67" s="132"/>
    </row>
    <row r="68" spans="1:24">
      <c r="A68" s="132"/>
      <c r="B68" s="132"/>
      <c r="C68" s="132"/>
      <c r="D68" s="132"/>
      <c r="E68" s="176" t="str">
        <f>IF(A68="","",SUMIFS('14_Inversiones'!$E$5:$E$203,'14_Inversiones'!$B$5:$B$203,A68,'14_Inversiones'!$D$5:$D$203,C68,'14_Inversiones'!$C$5:$C$203,"Compra")+SUMIFS('14_Inversiones'!$E$5:$E$203,'14_Inversiones'!$B$5:$B$203,A68,'14_Inversiones'!$D$5:$D$203,C68,'14_Inversiones'!$C$5:$C$203,"Aporte")+SUMIFS('14_Inversiones'!$E$5:$E$203,'14_Inversiones'!$B$5:$B$203,A68,'14_Inversiones'!$D$5:$D$203,C68,'14_Inversiones'!$C$5:$C$203,"Ajuste"))</f>
        <v/>
      </c>
      <c r="F68" s="176" t="str">
        <f>IF(A68="","",SUMIFS('14_Inversiones'!$E$5:$E$203,'14_Inversiones'!$B$5:$B$203,A68,'14_Inversiones'!$D$5:$D$203,C68,'14_Inversiones'!$C$5:$C$203,"Retiro")+SUMIFS('14_Inversiones'!$E$5:$E$203,'14_Inversiones'!$B$5:$B$203,A68,'14_Inversiones'!$D$5:$D$203,C68,'14_Inversiones'!$C$5:$C$203,"Venta"))</f>
        <v/>
      </c>
      <c r="G68" s="176" t="str">
        <f t="shared" si="6"/>
        <v/>
      </c>
      <c r="H68" s="176" t="str">
        <f>IF(A68="","",IFERROR(INDEX('09_Posicion_Actual'!$G$5:$G$204,MATCH(A68,'09_Posicion_Actual'!$B$5:$B$204,0)),0))</f>
        <v/>
      </c>
      <c r="I68" s="171" t="str">
        <f>IF(A68="","",IFERROR(INDEX('09_Posicion_Actual'!$I$5:$I$204,MATCH(A68,'09_Posicion_Actual'!$B$5:$B$204,0)),0))</f>
        <v/>
      </c>
      <c r="J68" s="176" t="str">
        <f t="shared" si="7"/>
        <v/>
      </c>
      <c r="K68" s="171" t="str">
        <f>IF(A68="","",IF(C68="USD",J68*IFERROR(INDEX('09_Posicion_Actual'!$H$5:$H$204,MATCH(A68,'09_Posicion_Actual'!$B$5:$B$204,0)),950),J68))</f>
        <v/>
      </c>
      <c r="L68" s="180" t="str">
        <f t="shared" si="8"/>
        <v/>
      </c>
      <c r="M68" s="176" t="str">
        <f>IF(A68="","",IFERROR(INDEX('09_Posicion_Actual'!$F$5:$F$204,MATCH(A68,'09_Posicion_Actual'!$B$5:$B$204,0)),""))</f>
        <v/>
      </c>
      <c r="N68" s="177" t="str">
        <f>IF(A68="","",IFERROR(INDEX('09_Posicion_Actual'!$E$5:$E$204,MATCH(A68,'09_Posicion_Actual'!$B$5:$B$204,0)),""))</f>
        <v/>
      </c>
      <c r="O68" s="131" t="str">
        <f>IF(A68="","",IFERROR(INDEX('09_Posicion_Actual'!$A$5:$A$204,MATCH(A68,'09_Posicion_Actual'!$B$5:$B$204,0)),""))</f>
        <v/>
      </c>
      <c r="P68" s="132" t="str">
        <f t="shared" si="9"/>
        <v/>
      </c>
      <c r="Q68" s="132" t="str">
        <f t="shared" si="10"/>
        <v/>
      </c>
      <c r="R68" s="132" t="str">
        <f>IF(A68="","",IFERROR(INDEX('09_Posicion_Actual'!$P$5:$P$204,MATCH(A68,'09_Posicion_Actual'!$B$5:$B$204,0)),""))</f>
        <v/>
      </c>
      <c r="S68" s="132" t="str">
        <f t="shared" si="11"/>
        <v/>
      </c>
      <c r="T68" s="132"/>
      <c r="U68" s="132"/>
      <c r="V68" s="132"/>
      <c r="W68" s="132"/>
      <c r="X68" s="132"/>
    </row>
    <row r="69" spans="1:24">
      <c r="A69" s="132"/>
      <c r="B69" s="132"/>
      <c r="C69" s="132"/>
      <c r="D69" s="132"/>
      <c r="E69" s="176" t="str">
        <f>IF(A69="","",SUMIFS('14_Inversiones'!$E$5:$E$203,'14_Inversiones'!$B$5:$B$203,A69,'14_Inversiones'!$D$5:$D$203,C69,'14_Inversiones'!$C$5:$C$203,"Compra")+SUMIFS('14_Inversiones'!$E$5:$E$203,'14_Inversiones'!$B$5:$B$203,A69,'14_Inversiones'!$D$5:$D$203,C69,'14_Inversiones'!$C$5:$C$203,"Aporte")+SUMIFS('14_Inversiones'!$E$5:$E$203,'14_Inversiones'!$B$5:$B$203,A69,'14_Inversiones'!$D$5:$D$203,C69,'14_Inversiones'!$C$5:$C$203,"Ajuste"))</f>
        <v/>
      </c>
      <c r="F69" s="176" t="str">
        <f>IF(A69="","",SUMIFS('14_Inversiones'!$E$5:$E$203,'14_Inversiones'!$B$5:$B$203,A69,'14_Inversiones'!$D$5:$D$203,C69,'14_Inversiones'!$C$5:$C$203,"Retiro")+SUMIFS('14_Inversiones'!$E$5:$E$203,'14_Inversiones'!$B$5:$B$203,A69,'14_Inversiones'!$D$5:$D$203,C69,'14_Inversiones'!$C$5:$C$203,"Venta"))</f>
        <v/>
      </c>
      <c r="G69" s="176" t="str">
        <f t="shared" ref="G69:G100" si="12">IF(A69="","",E69-F69)</f>
        <v/>
      </c>
      <c r="H69" s="176" t="str">
        <f>IF(A69="","",IFERROR(INDEX('09_Posicion_Actual'!$G$5:$G$204,MATCH(A69,'09_Posicion_Actual'!$B$5:$B$204,0)),0))</f>
        <v/>
      </c>
      <c r="I69" s="171" t="str">
        <f>IF(A69="","",IFERROR(INDEX('09_Posicion_Actual'!$I$5:$I$204,MATCH(A69,'09_Posicion_Actual'!$B$5:$B$204,0)),0))</f>
        <v/>
      </c>
      <c r="J69" s="176" t="str">
        <f t="shared" ref="J69:J100" si="13">IF(A69="","",H69-G69)</f>
        <v/>
      </c>
      <c r="K69" s="171" t="str">
        <f>IF(A69="","",IF(C69="USD",J69*IFERROR(INDEX('09_Posicion_Actual'!$H$5:$H$204,MATCH(A69,'09_Posicion_Actual'!$B$5:$B$204,0)),950),J69))</f>
        <v/>
      </c>
      <c r="L69" s="180" t="str">
        <f t="shared" ref="L69:L100" si="14">IF(OR(A69="",G69&lt;=0),"",J69/G69)</f>
        <v/>
      </c>
      <c r="M69" s="176" t="str">
        <f>IF(A69="","",IFERROR(INDEX('09_Posicion_Actual'!$F$5:$F$204,MATCH(A69,'09_Posicion_Actual'!$B$5:$B$204,0)),""))</f>
        <v/>
      </c>
      <c r="N69" s="177" t="str">
        <f>IF(A69="","",IFERROR(INDEX('09_Posicion_Actual'!$E$5:$E$204,MATCH(A69,'09_Posicion_Actual'!$B$5:$B$204,0)),""))</f>
        <v/>
      </c>
      <c r="O69" s="131" t="str">
        <f>IF(A69="","",IFERROR(INDEX('09_Posicion_Actual'!$A$5:$A$204,MATCH(A69,'09_Posicion_Actual'!$B$5:$B$204,0)),""))</f>
        <v/>
      </c>
      <c r="P69" s="132" t="str">
        <f t="shared" ref="P69:P100" si="15">IF(A69="","",IF(G69&lt;=0,"🟡 Revisar aporte",IF(J69&gt;0,"🟢 Ganancia",IF(J69&lt;0,"🔴 Pérdida","🟡 Neutra"))))</f>
        <v/>
      </c>
      <c r="Q69" s="132" t="str">
        <f t="shared" ref="Q69:Q100" si="16">IF(A69="","","Rentabilidad acumulada desde aportes registrados; no diaria ni mensual")</f>
        <v/>
      </c>
      <c r="R69" s="132" t="str">
        <f>IF(A69="","",IFERROR(INDEX('09_Posicion_Actual'!$P$5:$P$204,MATCH(A69,'09_Posicion_Actual'!$B$5:$B$204,0)),""))</f>
        <v/>
      </c>
      <c r="S69" s="132" t="str">
        <f t="shared" ref="S69:S100" si="17">IF(A69="","","14_Inversiones + 09_Posicion_Actual")</f>
        <v/>
      </c>
      <c r="T69" s="132"/>
      <c r="U69" s="132"/>
      <c r="V69" s="132"/>
      <c r="W69" s="132"/>
      <c r="X69" s="132"/>
    </row>
    <row r="70" spans="1:24">
      <c r="A70" s="132"/>
      <c r="B70" s="132"/>
      <c r="C70" s="132"/>
      <c r="D70" s="132"/>
      <c r="E70" s="176" t="str">
        <f>IF(A70="","",SUMIFS('14_Inversiones'!$E$5:$E$203,'14_Inversiones'!$B$5:$B$203,A70,'14_Inversiones'!$D$5:$D$203,C70,'14_Inversiones'!$C$5:$C$203,"Compra")+SUMIFS('14_Inversiones'!$E$5:$E$203,'14_Inversiones'!$B$5:$B$203,A70,'14_Inversiones'!$D$5:$D$203,C70,'14_Inversiones'!$C$5:$C$203,"Aporte")+SUMIFS('14_Inversiones'!$E$5:$E$203,'14_Inversiones'!$B$5:$B$203,A70,'14_Inversiones'!$D$5:$D$203,C70,'14_Inversiones'!$C$5:$C$203,"Ajuste"))</f>
        <v/>
      </c>
      <c r="F70" s="176" t="str">
        <f>IF(A70="","",SUMIFS('14_Inversiones'!$E$5:$E$203,'14_Inversiones'!$B$5:$B$203,A70,'14_Inversiones'!$D$5:$D$203,C70,'14_Inversiones'!$C$5:$C$203,"Retiro")+SUMIFS('14_Inversiones'!$E$5:$E$203,'14_Inversiones'!$B$5:$B$203,A70,'14_Inversiones'!$D$5:$D$203,C70,'14_Inversiones'!$C$5:$C$203,"Venta"))</f>
        <v/>
      </c>
      <c r="G70" s="176" t="str">
        <f t="shared" si="12"/>
        <v/>
      </c>
      <c r="H70" s="176" t="str">
        <f>IF(A70="","",IFERROR(INDEX('09_Posicion_Actual'!$G$5:$G$204,MATCH(A70,'09_Posicion_Actual'!$B$5:$B$204,0)),0))</f>
        <v/>
      </c>
      <c r="I70" s="171" t="str">
        <f>IF(A70="","",IFERROR(INDEX('09_Posicion_Actual'!$I$5:$I$204,MATCH(A70,'09_Posicion_Actual'!$B$5:$B$204,0)),0))</f>
        <v/>
      </c>
      <c r="J70" s="176" t="str">
        <f t="shared" si="13"/>
        <v/>
      </c>
      <c r="K70" s="171" t="str">
        <f>IF(A70="","",IF(C70="USD",J70*IFERROR(INDEX('09_Posicion_Actual'!$H$5:$H$204,MATCH(A70,'09_Posicion_Actual'!$B$5:$B$204,0)),950),J70))</f>
        <v/>
      </c>
      <c r="L70" s="180" t="str">
        <f t="shared" si="14"/>
        <v/>
      </c>
      <c r="M70" s="176" t="str">
        <f>IF(A70="","",IFERROR(INDEX('09_Posicion_Actual'!$F$5:$F$204,MATCH(A70,'09_Posicion_Actual'!$B$5:$B$204,0)),""))</f>
        <v/>
      </c>
      <c r="N70" s="177" t="str">
        <f>IF(A70="","",IFERROR(INDEX('09_Posicion_Actual'!$E$5:$E$204,MATCH(A70,'09_Posicion_Actual'!$B$5:$B$204,0)),""))</f>
        <v/>
      </c>
      <c r="O70" s="131" t="str">
        <f>IF(A70="","",IFERROR(INDEX('09_Posicion_Actual'!$A$5:$A$204,MATCH(A70,'09_Posicion_Actual'!$B$5:$B$204,0)),""))</f>
        <v/>
      </c>
      <c r="P70" s="132" t="str">
        <f t="shared" si="15"/>
        <v/>
      </c>
      <c r="Q70" s="132" t="str">
        <f t="shared" si="16"/>
        <v/>
      </c>
      <c r="R70" s="132" t="str">
        <f>IF(A70="","",IFERROR(INDEX('09_Posicion_Actual'!$P$5:$P$204,MATCH(A70,'09_Posicion_Actual'!$B$5:$B$204,0)),""))</f>
        <v/>
      </c>
      <c r="S70" s="132" t="str">
        <f t="shared" si="17"/>
        <v/>
      </c>
      <c r="T70" s="132"/>
      <c r="U70" s="132"/>
      <c r="V70" s="132"/>
      <c r="W70" s="132"/>
      <c r="X70" s="132"/>
    </row>
    <row r="71" spans="1:24">
      <c r="A71" s="132"/>
      <c r="B71" s="132"/>
      <c r="C71" s="132"/>
      <c r="D71" s="132"/>
      <c r="E71" s="176" t="str">
        <f>IF(A71="","",SUMIFS('14_Inversiones'!$E$5:$E$203,'14_Inversiones'!$B$5:$B$203,A71,'14_Inversiones'!$D$5:$D$203,C71,'14_Inversiones'!$C$5:$C$203,"Compra")+SUMIFS('14_Inversiones'!$E$5:$E$203,'14_Inversiones'!$B$5:$B$203,A71,'14_Inversiones'!$D$5:$D$203,C71,'14_Inversiones'!$C$5:$C$203,"Aporte")+SUMIFS('14_Inversiones'!$E$5:$E$203,'14_Inversiones'!$B$5:$B$203,A71,'14_Inversiones'!$D$5:$D$203,C71,'14_Inversiones'!$C$5:$C$203,"Ajuste"))</f>
        <v/>
      </c>
      <c r="F71" s="176" t="str">
        <f>IF(A71="","",SUMIFS('14_Inversiones'!$E$5:$E$203,'14_Inversiones'!$B$5:$B$203,A71,'14_Inversiones'!$D$5:$D$203,C71,'14_Inversiones'!$C$5:$C$203,"Retiro")+SUMIFS('14_Inversiones'!$E$5:$E$203,'14_Inversiones'!$B$5:$B$203,A71,'14_Inversiones'!$D$5:$D$203,C71,'14_Inversiones'!$C$5:$C$203,"Venta"))</f>
        <v/>
      </c>
      <c r="G71" s="176" t="str">
        <f t="shared" si="12"/>
        <v/>
      </c>
      <c r="H71" s="176" t="str">
        <f>IF(A71="","",IFERROR(INDEX('09_Posicion_Actual'!$G$5:$G$204,MATCH(A71,'09_Posicion_Actual'!$B$5:$B$204,0)),0))</f>
        <v/>
      </c>
      <c r="I71" s="171" t="str">
        <f>IF(A71="","",IFERROR(INDEX('09_Posicion_Actual'!$I$5:$I$204,MATCH(A71,'09_Posicion_Actual'!$B$5:$B$204,0)),0))</f>
        <v/>
      </c>
      <c r="J71" s="176" t="str">
        <f t="shared" si="13"/>
        <v/>
      </c>
      <c r="K71" s="171" t="str">
        <f>IF(A71="","",IF(C71="USD",J71*IFERROR(INDEX('09_Posicion_Actual'!$H$5:$H$204,MATCH(A71,'09_Posicion_Actual'!$B$5:$B$204,0)),950),J71))</f>
        <v/>
      </c>
      <c r="L71" s="180" t="str">
        <f t="shared" si="14"/>
        <v/>
      </c>
      <c r="M71" s="176" t="str">
        <f>IF(A71="","",IFERROR(INDEX('09_Posicion_Actual'!$F$5:$F$204,MATCH(A71,'09_Posicion_Actual'!$B$5:$B$204,0)),""))</f>
        <v/>
      </c>
      <c r="N71" s="177" t="str">
        <f>IF(A71="","",IFERROR(INDEX('09_Posicion_Actual'!$E$5:$E$204,MATCH(A71,'09_Posicion_Actual'!$B$5:$B$204,0)),""))</f>
        <v/>
      </c>
      <c r="O71" s="131" t="str">
        <f>IF(A71="","",IFERROR(INDEX('09_Posicion_Actual'!$A$5:$A$204,MATCH(A71,'09_Posicion_Actual'!$B$5:$B$204,0)),""))</f>
        <v/>
      </c>
      <c r="P71" s="132" t="str">
        <f t="shared" si="15"/>
        <v/>
      </c>
      <c r="Q71" s="132" t="str">
        <f t="shared" si="16"/>
        <v/>
      </c>
      <c r="R71" s="132" t="str">
        <f>IF(A71="","",IFERROR(INDEX('09_Posicion_Actual'!$P$5:$P$204,MATCH(A71,'09_Posicion_Actual'!$B$5:$B$204,0)),""))</f>
        <v/>
      </c>
      <c r="S71" s="132" t="str">
        <f t="shared" si="17"/>
        <v/>
      </c>
      <c r="T71" s="132"/>
      <c r="U71" s="132"/>
      <c r="V71" s="132"/>
      <c r="W71" s="132"/>
      <c r="X71" s="132"/>
    </row>
    <row r="72" spans="1:24">
      <c r="A72" s="132"/>
      <c r="B72" s="132"/>
      <c r="C72" s="132"/>
      <c r="D72" s="132"/>
      <c r="E72" s="176" t="str">
        <f>IF(A72="","",SUMIFS('14_Inversiones'!$E$5:$E$203,'14_Inversiones'!$B$5:$B$203,A72,'14_Inversiones'!$D$5:$D$203,C72,'14_Inversiones'!$C$5:$C$203,"Compra")+SUMIFS('14_Inversiones'!$E$5:$E$203,'14_Inversiones'!$B$5:$B$203,A72,'14_Inversiones'!$D$5:$D$203,C72,'14_Inversiones'!$C$5:$C$203,"Aporte")+SUMIFS('14_Inversiones'!$E$5:$E$203,'14_Inversiones'!$B$5:$B$203,A72,'14_Inversiones'!$D$5:$D$203,C72,'14_Inversiones'!$C$5:$C$203,"Ajuste"))</f>
        <v/>
      </c>
      <c r="F72" s="176" t="str">
        <f>IF(A72="","",SUMIFS('14_Inversiones'!$E$5:$E$203,'14_Inversiones'!$B$5:$B$203,A72,'14_Inversiones'!$D$5:$D$203,C72,'14_Inversiones'!$C$5:$C$203,"Retiro")+SUMIFS('14_Inversiones'!$E$5:$E$203,'14_Inversiones'!$B$5:$B$203,A72,'14_Inversiones'!$D$5:$D$203,C72,'14_Inversiones'!$C$5:$C$203,"Venta"))</f>
        <v/>
      </c>
      <c r="G72" s="176" t="str">
        <f t="shared" si="12"/>
        <v/>
      </c>
      <c r="H72" s="176" t="str">
        <f>IF(A72="","",IFERROR(INDEX('09_Posicion_Actual'!$G$5:$G$204,MATCH(A72,'09_Posicion_Actual'!$B$5:$B$204,0)),0))</f>
        <v/>
      </c>
      <c r="I72" s="171" t="str">
        <f>IF(A72="","",IFERROR(INDEX('09_Posicion_Actual'!$I$5:$I$204,MATCH(A72,'09_Posicion_Actual'!$B$5:$B$204,0)),0))</f>
        <v/>
      </c>
      <c r="J72" s="176" t="str">
        <f t="shared" si="13"/>
        <v/>
      </c>
      <c r="K72" s="171" t="str">
        <f>IF(A72="","",IF(C72="USD",J72*IFERROR(INDEX('09_Posicion_Actual'!$H$5:$H$204,MATCH(A72,'09_Posicion_Actual'!$B$5:$B$204,0)),950),J72))</f>
        <v/>
      </c>
      <c r="L72" s="180" t="str">
        <f t="shared" si="14"/>
        <v/>
      </c>
      <c r="M72" s="176" t="str">
        <f>IF(A72="","",IFERROR(INDEX('09_Posicion_Actual'!$F$5:$F$204,MATCH(A72,'09_Posicion_Actual'!$B$5:$B$204,0)),""))</f>
        <v/>
      </c>
      <c r="N72" s="177" t="str">
        <f>IF(A72="","",IFERROR(INDEX('09_Posicion_Actual'!$E$5:$E$204,MATCH(A72,'09_Posicion_Actual'!$B$5:$B$204,0)),""))</f>
        <v/>
      </c>
      <c r="O72" s="131" t="str">
        <f>IF(A72="","",IFERROR(INDEX('09_Posicion_Actual'!$A$5:$A$204,MATCH(A72,'09_Posicion_Actual'!$B$5:$B$204,0)),""))</f>
        <v/>
      </c>
      <c r="P72" s="132" t="str">
        <f t="shared" si="15"/>
        <v/>
      </c>
      <c r="Q72" s="132" t="str">
        <f t="shared" si="16"/>
        <v/>
      </c>
      <c r="R72" s="132" t="str">
        <f>IF(A72="","",IFERROR(INDEX('09_Posicion_Actual'!$P$5:$P$204,MATCH(A72,'09_Posicion_Actual'!$B$5:$B$204,0)),""))</f>
        <v/>
      </c>
      <c r="S72" s="132" t="str">
        <f t="shared" si="17"/>
        <v/>
      </c>
      <c r="T72" s="132"/>
      <c r="U72" s="132"/>
      <c r="V72" s="132"/>
      <c r="W72" s="132"/>
      <c r="X72" s="132"/>
    </row>
    <row r="73" spans="1:24">
      <c r="A73" s="132"/>
      <c r="B73" s="132"/>
      <c r="C73" s="132"/>
      <c r="D73" s="132"/>
      <c r="E73" s="176" t="str">
        <f>IF(A73="","",SUMIFS('14_Inversiones'!$E$5:$E$203,'14_Inversiones'!$B$5:$B$203,A73,'14_Inversiones'!$D$5:$D$203,C73,'14_Inversiones'!$C$5:$C$203,"Compra")+SUMIFS('14_Inversiones'!$E$5:$E$203,'14_Inversiones'!$B$5:$B$203,A73,'14_Inversiones'!$D$5:$D$203,C73,'14_Inversiones'!$C$5:$C$203,"Aporte")+SUMIFS('14_Inversiones'!$E$5:$E$203,'14_Inversiones'!$B$5:$B$203,A73,'14_Inversiones'!$D$5:$D$203,C73,'14_Inversiones'!$C$5:$C$203,"Ajuste"))</f>
        <v/>
      </c>
      <c r="F73" s="176" t="str">
        <f>IF(A73="","",SUMIFS('14_Inversiones'!$E$5:$E$203,'14_Inversiones'!$B$5:$B$203,A73,'14_Inversiones'!$D$5:$D$203,C73,'14_Inversiones'!$C$5:$C$203,"Retiro")+SUMIFS('14_Inversiones'!$E$5:$E$203,'14_Inversiones'!$B$5:$B$203,A73,'14_Inversiones'!$D$5:$D$203,C73,'14_Inversiones'!$C$5:$C$203,"Venta"))</f>
        <v/>
      </c>
      <c r="G73" s="176" t="str">
        <f t="shared" si="12"/>
        <v/>
      </c>
      <c r="H73" s="176" t="str">
        <f>IF(A73="","",IFERROR(INDEX('09_Posicion_Actual'!$G$5:$G$204,MATCH(A73,'09_Posicion_Actual'!$B$5:$B$204,0)),0))</f>
        <v/>
      </c>
      <c r="I73" s="171" t="str">
        <f>IF(A73="","",IFERROR(INDEX('09_Posicion_Actual'!$I$5:$I$204,MATCH(A73,'09_Posicion_Actual'!$B$5:$B$204,0)),0))</f>
        <v/>
      </c>
      <c r="J73" s="176" t="str">
        <f t="shared" si="13"/>
        <v/>
      </c>
      <c r="K73" s="171" t="str">
        <f>IF(A73="","",IF(C73="USD",J73*IFERROR(INDEX('09_Posicion_Actual'!$H$5:$H$204,MATCH(A73,'09_Posicion_Actual'!$B$5:$B$204,0)),950),J73))</f>
        <v/>
      </c>
      <c r="L73" s="180" t="str">
        <f t="shared" si="14"/>
        <v/>
      </c>
      <c r="M73" s="176" t="str">
        <f>IF(A73="","",IFERROR(INDEX('09_Posicion_Actual'!$F$5:$F$204,MATCH(A73,'09_Posicion_Actual'!$B$5:$B$204,0)),""))</f>
        <v/>
      </c>
      <c r="N73" s="177" t="str">
        <f>IF(A73="","",IFERROR(INDEX('09_Posicion_Actual'!$E$5:$E$204,MATCH(A73,'09_Posicion_Actual'!$B$5:$B$204,0)),""))</f>
        <v/>
      </c>
      <c r="O73" s="131" t="str">
        <f>IF(A73="","",IFERROR(INDEX('09_Posicion_Actual'!$A$5:$A$204,MATCH(A73,'09_Posicion_Actual'!$B$5:$B$204,0)),""))</f>
        <v/>
      </c>
      <c r="P73" s="132" t="str">
        <f t="shared" si="15"/>
        <v/>
      </c>
      <c r="Q73" s="132" t="str">
        <f t="shared" si="16"/>
        <v/>
      </c>
      <c r="R73" s="132" t="str">
        <f>IF(A73="","",IFERROR(INDEX('09_Posicion_Actual'!$P$5:$P$204,MATCH(A73,'09_Posicion_Actual'!$B$5:$B$204,0)),""))</f>
        <v/>
      </c>
      <c r="S73" s="132" t="str">
        <f t="shared" si="17"/>
        <v/>
      </c>
      <c r="T73" s="132"/>
      <c r="U73" s="132"/>
      <c r="V73" s="132"/>
      <c r="W73" s="132"/>
      <c r="X73" s="132"/>
    </row>
    <row r="74" spans="1:24">
      <c r="A74" s="132"/>
      <c r="B74" s="132"/>
      <c r="C74" s="132"/>
      <c r="D74" s="132"/>
      <c r="E74" s="176" t="str">
        <f>IF(A74="","",SUMIFS('14_Inversiones'!$E$5:$E$203,'14_Inversiones'!$B$5:$B$203,A74,'14_Inversiones'!$D$5:$D$203,C74,'14_Inversiones'!$C$5:$C$203,"Compra")+SUMIFS('14_Inversiones'!$E$5:$E$203,'14_Inversiones'!$B$5:$B$203,A74,'14_Inversiones'!$D$5:$D$203,C74,'14_Inversiones'!$C$5:$C$203,"Aporte")+SUMIFS('14_Inversiones'!$E$5:$E$203,'14_Inversiones'!$B$5:$B$203,A74,'14_Inversiones'!$D$5:$D$203,C74,'14_Inversiones'!$C$5:$C$203,"Ajuste"))</f>
        <v/>
      </c>
      <c r="F74" s="176" t="str">
        <f>IF(A74="","",SUMIFS('14_Inversiones'!$E$5:$E$203,'14_Inversiones'!$B$5:$B$203,A74,'14_Inversiones'!$D$5:$D$203,C74,'14_Inversiones'!$C$5:$C$203,"Retiro")+SUMIFS('14_Inversiones'!$E$5:$E$203,'14_Inversiones'!$B$5:$B$203,A74,'14_Inversiones'!$D$5:$D$203,C74,'14_Inversiones'!$C$5:$C$203,"Venta"))</f>
        <v/>
      </c>
      <c r="G74" s="176" t="str">
        <f t="shared" si="12"/>
        <v/>
      </c>
      <c r="H74" s="176" t="str">
        <f>IF(A74="","",IFERROR(INDEX('09_Posicion_Actual'!$G$5:$G$204,MATCH(A74,'09_Posicion_Actual'!$B$5:$B$204,0)),0))</f>
        <v/>
      </c>
      <c r="I74" s="171" t="str">
        <f>IF(A74="","",IFERROR(INDEX('09_Posicion_Actual'!$I$5:$I$204,MATCH(A74,'09_Posicion_Actual'!$B$5:$B$204,0)),0))</f>
        <v/>
      </c>
      <c r="J74" s="176" t="str">
        <f t="shared" si="13"/>
        <v/>
      </c>
      <c r="K74" s="171" t="str">
        <f>IF(A74="","",IF(C74="USD",J74*IFERROR(INDEX('09_Posicion_Actual'!$H$5:$H$204,MATCH(A74,'09_Posicion_Actual'!$B$5:$B$204,0)),950),J74))</f>
        <v/>
      </c>
      <c r="L74" s="180" t="str">
        <f t="shared" si="14"/>
        <v/>
      </c>
      <c r="M74" s="176" t="str">
        <f>IF(A74="","",IFERROR(INDEX('09_Posicion_Actual'!$F$5:$F$204,MATCH(A74,'09_Posicion_Actual'!$B$5:$B$204,0)),""))</f>
        <v/>
      </c>
      <c r="N74" s="177" t="str">
        <f>IF(A74="","",IFERROR(INDEX('09_Posicion_Actual'!$E$5:$E$204,MATCH(A74,'09_Posicion_Actual'!$B$5:$B$204,0)),""))</f>
        <v/>
      </c>
      <c r="O74" s="131" t="str">
        <f>IF(A74="","",IFERROR(INDEX('09_Posicion_Actual'!$A$5:$A$204,MATCH(A74,'09_Posicion_Actual'!$B$5:$B$204,0)),""))</f>
        <v/>
      </c>
      <c r="P74" s="132" t="str">
        <f t="shared" si="15"/>
        <v/>
      </c>
      <c r="Q74" s="132" t="str">
        <f t="shared" si="16"/>
        <v/>
      </c>
      <c r="R74" s="132" t="str">
        <f>IF(A74="","",IFERROR(INDEX('09_Posicion_Actual'!$P$5:$P$204,MATCH(A74,'09_Posicion_Actual'!$B$5:$B$204,0)),""))</f>
        <v/>
      </c>
      <c r="S74" s="132" t="str">
        <f t="shared" si="17"/>
        <v/>
      </c>
      <c r="T74" s="132"/>
      <c r="U74" s="132"/>
      <c r="V74" s="132"/>
      <c r="W74" s="132"/>
      <c r="X74" s="132"/>
    </row>
    <row r="75" spans="1:24">
      <c r="A75" s="132"/>
      <c r="B75" s="132"/>
      <c r="C75" s="132"/>
      <c r="D75" s="132"/>
      <c r="E75" s="176" t="str">
        <f>IF(A75="","",SUMIFS('14_Inversiones'!$E$5:$E$203,'14_Inversiones'!$B$5:$B$203,A75,'14_Inversiones'!$D$5:$D$203,C75,'14_Inversiones'!$C$5:$C$203,"Compra")+SUMIFS('14_Inversiones'!$E$5:$E$203,'14_Inversiones'!$B$5:$B$203,A75,'14_Inversiones'!$D$5:$D$203,C75,'14_Inversiones'!$C$5:$C$203,"Aporte")+SUMIFS('14_Inversiones'!$E$5:$E$203,'14_Inversiones'!$B$5:$B$203,A75,'14_Inversiones'!$D$5:$D$203,C75,'14_Inversiones'!$C$5:$C$203,"Ajuste"))</f>
        <v/>
      </c>
      <c r="F75" s="176" t="str">
        <f>IF(A75="","",SUMIFS('14_Inversiones'!$E$5:$E$203,'14_Inversiones'!$B$5:$B$203,A75,'14_Inversiones'!$D$5:$D$203,C75,'14_Inversiones'!$C$5:$C$203,"Retiro")+SUMIFS('14_Inversiones'!$E$5:$E$203,'14_Inversiones'!$B$5:$B$203,A75,'14_Inversiones'!$D$5:$D$203,C75,'14_Inversiones'!$C$5:$C$203,"Venta"))</f>
        <v/>
      </c>
      <c r="G75" s="176" t="str">
        <f t="shared" si="12"/>
        <v/>
      </c>
      <c r="H75" s="176" t="str">
        <f>IF(A75="","",IFERROR(INDEX('09_Posicion_Actual'!$G$5:$G$204,MATCH(A75,'09_Posicion_Actual'!$B$5:$B$204,0)),0))</f>
        <v/>
      </c>
      <c r="I75" s="171" t="str">
        <f>IF(A75="","",IFERROR(INDEX('09_Posicion_Actual'!$I$5:$I$204,MATCH(A75,'09_Posicion_Actual'!$B$5:$B$204,0)),0))</f>
        <v/>
      </c>
      <c r="J75" s="176" t="str">
        <f t="shared" si="13"/>
        <v/>
      </c>
      <c r="K75" s="171" t="str">
        <f>IF(A75="","",IF(C75="USD",J75*IFERROR(INDEX('09_Posicion_Actual'!$H$5:$H$204,MATCH(A75,'09_Posicion_Actual'!$B$5:$B$204,0)),950),J75))</f>
        <v/>
      </c>
      <c r="L75" s="180" t="str">
        <f t="shared" si="14"/>
        <v/>
      </c>
      <c r="M75" s="176" t="str">
        <f>IF(A75="","",IFERROR(INDEX('09_Posicion_Actual'!$F$5:$F$204,MATCH(A75,'09_Posicion_Actual'!$B$5:$B$204,0)),""))</f>
        <v/>
      </c>
      <c r="N75" s="177" t="str">
        <f>IF(A75="","",IFERROR(INDEX('09_Posicion_Actual'!$E$5:$E$204,MATCH(A75,'09_Posicion_Actual'!$B$5:$B$204,0)),""))</f>
        <v/>
      </c>
      <c r="O75" s="131" t="str">
        <f>IF(A75="","",IFERROR(INDEX('09_Posicion_Actual'!$A$5:$A$204,MATCH(A75,'09_Posicion_Actual'!$B$5:$B$204,0)),""))</f>
        <v/>
      </c>
      <c r="P75" s="132" t="str">
        <f t="shared" si="15"/>
        <v/>
      </c>
      <c r="Q75" s="132" t="str">
        <f t="shared" si="16"/>
        <v/>
      </c>
      <c r="R75" s="132" t="str">
        <f>IF(A75="","",IFERROR(INDEX('09_Posicion_Actual'!$P$5:$P$204,MATCH(A75,'09_Posicion_Actual'!$B$5:$B$204,0)),""))</f>
        <v/>
      </c>
      <c r="S75" s="132" t="str">
        <f t="shared" si="17"/>
        <v/>
      </c>
      <c r="T75" s="132"/>
      <c r="U75" s="132"/>
      <c r="V75" s="132"/>
      <c r="W75" s="132"/>
      <c r="X75" s="132"/>
    </row>
    <row r="76" spans="1:24">
      <c r="A76" s="132"/>
      <c r="B76" s="132"/>
      <c r="C76" s="132"/>
      <c r="D76" s="132"/>
      <c r="E76" s="176" t="str">
        <f>IF(A76="","",SUMIFS('14_Inversiones'!$E$5:$E$203,'14_Inversiones'!$B$5:$B$203,A76,'14_Inversiones'!$D$5:$D$203,C76,'14_Inversiones'!$C$5:$C$203,"Compra")+SUMIFS('14_Inversiones'!$E$5:$E$203,'14_Inversiones'!$B$5:$B$203,A76,'14_Inversiones'!$D$5:$D$203,C76,'14_Inversiones'!$C$5:$C$203,"Aporte")+SUMIFS('14_Inversiones'!$E$5:$E$203,'14_Inversiones'!$B$5:$B$203,A76,'14_Inversiones'!$D$5:$D$203,C76,'14_Inversiones'!$C$5:$C$203,"Ajuste"))</f>
        <v/>
      </c>
      <c r="F76" s="176" t="str">
        <f>IF(A76="","",SUMIFS('14_Inversiones'!$E$5:$E$203,'14_Inversiones'!$B$5:$B$203,A76,'14_Inversiones'!$D$5:$D$203,C76,'14_Inversiones'!$C$5:$C$203,"Retiro")+SUMIFS('14_Inversiones'!$E$5:$E$203,'14_Inversiones'!$B$5:$B$203,A76,'14_Inversiones'!$D$5:$D$203,C76,'14_Inversiones'!$C$5:$C$203,"Venta"))</f>
        <v/>
      </c>
      <c r="G76" s="176" t="str">
        <f t="shared" si="12"/>
        <v/>
      </c>
      <c r="H76" s="176" t="str">
        <f>IF(A76="","",IFERROR(INDEX('09_Posicion_Actual'!$G$5:$G$204,MATCH(A76,'09_Posicion_Actual'!$B$5:$B$204,0)),0))</f>
        <v/>
      </c>
      <c r="I76" s="171" t="str">
        <f>IF(A76="","",IFERROR(INDEX('09_Posicion_Actual'!$I$5:$I$204,MATCH(A76,'09_Posicion_Actual'!$B$5:$B$204,0)),0))</f>
        <v/>
      </c>
      <c r="J76" s="176" t="str">
        <f t="shared" si="13"/>
        <v/>
      </c>
      <c r="K76" s="171" t="str">
        <f>IF(A76="","",IF(C76="USD",J76*IFERROR(INDEX('09_Posicion_Actual'!$H$5:$H$204,MATCH(A76,'09_Posicion_Actual'!$B$5:$B$204,0)),950),J76))</f>
        <v/>
      </c>
      <c r="L76" s="180" t="str">
        <f t="shared" si="14"/>
        <v/>
      </c>
      <c r="M76" s="176" t="str">
        <f>IF(A76="","",IFERROR(INDEX('09_Posicion_Actual'!$F$5:$F$204,MATCH(A76,'09_Posicion_Actual'!$B$5:$B$204,0)),""))</f>
        <v/>
      </c>
      <c r="N76" s="177" t="str">
        <f>IF(A76="","",IFERROR(INDEX('09_Posicion_Actual'!$E$5:$E$204,MATCH(A76,'09_Posicion_Actual'!$B$5:$B$204,0)),""))</f>
        <v/>
      </c>
      <c r="O76" s="131" t="str">
        <f>IF(A76="","",IFERROR(INDEX('09_Posicion_Actual'!$A$5:$A$204,MATCH(A76,'09_Posicion_Actual'!$B$5:$B$204,0)),""))</f>
        <v/>
      </c>
      <c r="P76" s="132" t="str">
        <f t="shared" si="15"/>
        <v/>
      </c>
      <c r="Q76" s="132" t="str">
        <f t="shared" si="16"/>
        <v/>
      </c>
      <c r="R76" s="132" t="str">
        <f>IF(A76="","",IFERROR(INDEX('09_Posicion_Actual'!$P$5:$P$204,MATCH(A76,'09_Posicion_Actual'!$B$5:$B$204,0)),""))</f>
        <v/>
      </c>
      <c r="S76" s="132" t="str">
        <f t="shared" si="17"/>
        <v/>
      </c>
      <c r="T76" s="132"/>
      <c r="U76" s="132"/>
      <c r="V76" s="132"/>
      <c r="W76" s="132"/>
      <c r="X76" s="132"/>
    </row>
    <row r="77" spans="1:24">
      <c r="A77" s="132"/>
      <c r="B77" s="132"/>
      <c r="C77" s="132"/>
      <c r="D77" s="132"/>
      <c r="E77" s="176" t="str">
        <f>IF(A77="","",SUMIFS('14_Inversiones'!$E$5:$E$203,'14_Inversiones'!$B$5:$B$203,A77,'14_Inversiones'!$D$5:$D$203,C77,'14_Inversiones'!$C$5:$C$203,"Compra")+SUMIFS('14_Inversiones'!$E$5:$E$203,'14_Inversiones'!$B$5:$B$203,A77,'14_Inversiones'!$D$5:$D$203,C77,'14_Inversiones'!$C$5:$C$203,"Aporte")+SUMIFS('14_Inversiones'!$E$5:$E$203,'14_Inversiones'!$B$5:$B$203,A77,'14_Inversiones'!$D$5:$D$203,C77,'14_Inversiones'!$C$5:$C$203,"Ajuste"))</f>
        <v/>
      </c>
      <c r="F77" s="176" t="str">
        <f>IF(A77="","",SUMIFS('14_Inversiones'!$E$5:$E$203,'14_Inversiones'!$B$5:$B$203,A77,'14_Inversiones'!$D$5:$D$203,C77,'14_Inversiones'!$C$5:$C$203,"Retiro")+SUMIFS('14_Inversiones'!$E$5:$E$203,'14_Inversiones'!$B$5:$B$203,A77,'14_Inversiones'!$D$5:$D$203,C77,'14_Inversiones'!$C$5:$C$203,"Venta"))</f>
        <v/>
      </c>
      <c r="G77" s="176" t="str">
        <f t="shared" si="12"/>
        <v/>
      </c>
      <c r="H77" s="176" t="str">
        <f>IF(A77="","",IFERROR(INDEX('09_Posicion_Actual'!$G$5:$G$204,MATCH(A77,'09_Posicion_Actual'!$B$5:$B$204,0)),0))</f>
        <v/>
      </c>
      <c r="I77" s="171" t="str">
        <f>IF(A77="","",IFERROR(INDEX('09_Posicion_Actual'!$I$5:$I$204,MATCH(A77,'09_Posicion_Actual'!$B$5:$B$204,0)),0))</f>
        <v/>
      </c>
      <c r="J77" s="176" t="str">
        <f t="shared" si="13"/>
        <v/>
      </c>
      <c r="K77" s="171" t="str">
        <f>IF(A77="","",IF(C77="USD",J77*IFERROR(INDEX('09_Posicion_Actual'!$H$5:$H$204,MATCH(A77,'09_Posicion_Actual'!$B$5:$B$204,0)),950),J77))</f>
        <v/>
      </c>
      <c r="L77" s="180" t="str">
        <f t="shared" si="14"/>
        <v/>
      </c>
      <c r="M77" s="176" t="str">
        <f>IF(A77="","",IFERROR(INDEX('09_Posicion_Actual'!$F$5:$F$204,MATCH(A77,'09_Posicion_Actual'!$B$5:$B$204,0)),""))</f>
        <v/>
      </c>
      <c r="N77" s="177" t="str">
        <f>IF(A77="","",IFERROR(INDEX('09_Posicion_Actual'!$E$5:$E$204,MATCH(A77,'09_Posicion_Actual'!$B$5:$B$204,0)),""))</f>
        <v/>
      </c>
      <c r="O77" s="131" t="str">
        <f>IF(A77="","",IFERROR(INDEX('09_Posicion_Actual'!$A$5:$A$204,MATCH(A77,'09_Posicion_Actual'!$B$5:$B$204,0)),""))</f>
        <v/>
      </c>
      <c r="P77" s="132" t="str">
        <f t="shared" si="15"/>
        <v/>
      </c>
      <c r="Q77" s="132" t="str">
        <f t="shared" si="16"/>
        <v/>
      </c>
      <c r="R77" s="132" t="str">
        <f>IF(A77="","",IFERROR(INDEX('09_Posicion_Actual'!$P$5:$P$204,MATCH(A77,'09_Posicion_Actual'!$B$5:$B$204,0)),""))</f>
        <v/>
      </c>
      <c r="S77" s="132" t="str">
        <f t="shared" si="17"/>
        <v/>
      </c>
      <c r="T77" s="132"/>
      <c r="U77" s="132"/>
      <c r="V77" s="132"/>
      <c r="W77" s="132"/>
      <c r="X77" s="132"/>
    </row>
    <row r="78" spans="1:24">
      <c r="A78" s="132"/>
      <c r="B78" s="132"/>
      <c r="C78" s="132"/>
      <c r="D78" s="132"/>
      <c r="E78" s="176" t="str">
        <f>IF(A78="","",SUMIFS('14_Inversiones'!$E$5:$E$203,'14_Inversiones'!$B$5:$B$203,A78,'14_Inversiones'!$D$5:$D$203,C78,'14_Inversiones'!$C$5:$C$203,"Compra")+SUMIFS('14_Inversiones'!$E$5:$E$203,'14_Inversiones'!$B$5:$B$203,A78,'14_Inversiones'!$D$5:$D$203,C78,'14_Inversiones'!$C$5:$C$203,"Aporte")+SUMIFS('14_Inversiones'!$E$5:$E$203,'14_Inversiones'!$B$5:$B$203,A78,'14_Inversiones'!$D$5:$D$203,C78,'14_Inversiones'!$C$5:$C$203,"Ajuste"))</f>
        <v/>
      </c>
      <c r="F78" s="176" t="str">
        <f>IF(A78="","",SUMIFS('14_Inversiones'!$E$5:$E$203,'14_Inversiones'!$B$5:$B$203,A78,'14_Inversiones'!$D$5:$D$203,C78,'14_Inversiones'!$C$5:$C$203,"Retiro")+SUMIFS('14_Inversiones'!$E$5:$E$203,'14_Inversiones'!$B$5:$B$203,A78,'14_Inversiones'!$D$5:$D$203,C78,'14_Inversiones'!$C$5:$C$203,"Venta"))</f>
        <v/>
      </c>
      <c r="G78" s="176" t="str">
        <f t="shared" si="12"/>
        <v/>
      </c>
      <c r="H78" s="176" t="str">
        <f>IF(A78="","",IFERROR(INDEX('09_Posicion_Actual'!$G$5:$G$204,MATCH(A78,'09_Posicion_Actual'!$B$5:$B$204,0)),0))</f>
        <v/>
      </c>
      <c r="I78" s="171" t="str">
        <f>IF(A78="","",IFERROR(INDEX('09_Posicion_Actual'!$I$5:$I$204,MATCH(A78,'09_Posicion_Actual'!$B$5:$B$204,0)),0))</f>
        <v/>
      </c>
      <c r="J78" s="176" t="str">
        <f t="shared" si="13"/>
        <v/>
      </c>
      <c r="K78" s="171" t="str">
        <f>IF(A78="","",IF(C78="USD",J78*IFERROR(INDEX('09_Posicion_Actual'!$H$5:$H$204,MATCH(A78,'09_Posicion_Actual'!$B$5:$B$204,0)),950),J78))</f>
        <v/>
      </c>
      <c r="L78" s="180" t="str">
        <f t="shared" si="14"/>
        <v/>
      </c>
      <c r="M78" s="176" t="str">
        <f>IF(A78="","",IFERROR(INDEX('09_Posicion_Actual'!$F$5:$F$204,MATCH(A78,'09_Posicion_Actual'!$B$5:$B$204,0)),""))</f>
        <v/>
      </c>
      <c r="N78" s="177" t="str">
        <f>IF(A78="","",IFERROR(INDEX('09_Posicion_Actual'!$E$5:$E$204,MATCH(A78,'09_Posicion_Actual'!$B$5:$B$204,0)),""))</f>
        <v/>
      </c>
      <c r="O78" s="131" t="str">
        <f>IF(A78="","",IFERROR(INDEX('09_Posicion_Actual'!$A$5:$A$204,MATCH(A78,'09_Posicion_Actual'!$B$5:$B$204,0)),""))</f>
        <v/>
      </c>
      <c r="P78" s="132" t="str">
        <f t="shared" si="15"/>
        <v/>
      </c>
      <c r="Q78" s="132" t="str">
        <f t="shared" si="16"/>
        <v/>
      </c>
      <c r="R78" s="132" t="str">
        <f>IF(A78="","",IFERROR(INDEX('09_Posicion_Actual'!$P$5:$P$204,MATCH(A78,'09_Posicion_Actual'!$B$5:$B$204,0)),""))</f>
        <v/>
      </c>
      <c r="S78" s="132" t="str">
        <f t="shared" si="17"/>
        <v/>
      </c>
      <c r="T78" s="132"/>
      <c r="U78" s="132"/>
      <c r="V78" s="132"/>
      <c r="W78" s="132"/>
      <c r="X78" s="132"/>
    </row>
    <row r="79" spans="1:24">
      <c r="A79" s="132"/>
      <c r="B79" s="132"/>
      <c r="C79" s="132"/>
      <c r="D79" s="132"/>
      <c r="E79" s="176" t="str">
        <f>IF(A79="","",SUMIFS('14_Inversiones'!$E$5:$E$203,'14_Inversiones'!$B$5:$B$203,A79,'14_Inversiones'!$D$5:$D$203,C79,'14_Inversiones'!$C$5:$C$203,"Compra")+SUMIFS('14_Inversiones'!$E$5:$E$203,'14_Inversiones'!$B$5:$B$203,A79,'14_Inversiones'!$D$5:$D$203,C79,'14_Inversiones'!$C$5:$C$203,"Aporte")+SUMIFS('14_Inversiones'!$E$5:$E$203,'14_Inversiones'!$B$5:$B$203,A79,'14_Inversiones'!$D$5:$D$203,C79,'14_Inversiones'!$C$5:$C$203,"Ajuste"))</f>
        <v/>
      </c>
      <c r="F79" s="176" t="str">
        <f>IF(A79="","",SUMIFS('14_Inversiones'!$E$5:$E$203,'14_Inversiones'!$B$5:$B$203,A79,'14_Inversiones'!$D$5:$D$203,C79,'14_Inversiones'!$C$5:$C$203,"Retiro")+SUMIFS('14_Inversiones'!$E$5:$E$203,'14_Inversiones'!$B$5:$B$203,A79,'14_Inversiones'!$D$5:$D$203,C79,'14_Inversiones'!$C$5:$C$203,"Venta"))</f>
        <v/>
      </c>
      <c r="G79" s="176" t="str">
        <f t="shared" si="12"/>
        <v/>
      </c>
      <c r="H79" s="176" t="str">
        <f>IF(A79="","",IFERROR(INDEX('09_Posicion_Actual'!$G$5:$G$204,MATCH(A79,'09_Posicion_Actual'!$B$5:$B$204,0)),0))</f>
        <v/>
      </c>
      <c r="I79" s="171" t="str">
        <f>IF(A79="","",IFERROR(INDEX('09_Posicion_Actual'!$I$5:$I$204,MATCH(A79,'09_Posicion_Actual'!$B$5:$B$204,0)),0))</f>
        <v/>
      </c>
      <c r="J79" s="176" t="str">
        <f t="shared" si="13"/>
        <v/>
      </c>
      <c r="K79" s="171" t="str">
        <f>IF(A79="","",IF(C79="USD",J79*IFERROR(INDEX('09_Posicion_Actual'!$H$5:$H$204,MATCH(A79,'09_Posicion_Actual'!$B$5:$B$204,0)),950),J79))</f>
        <v/>
      </c>
      <c r="L79" s="180" t="str">
        <f t="shared" si="14"/>
        <v/>
      </c>
      <c r="M79" s="176" t="str">
        <f>IF(A79="","",IFERROR(INDEX('09_Posicion_Actual'!$F$5:$F$204,MATCH(A79,'09_Posicion_Actual'!$B$5:$B$204,0)),""))</f>
        <v/>
      </c>
      <c r="N79" s="177" t="str">
        <f>IF(A79="","",IFERROR(INDEX('09_Posicion_Actual'!$E$5:$E$204,MATCH(A79,'09_Posicion_Actual'!$B$5:$B$204,0)),""))</f>
        <v/>
      </c>
      <c r="O79" s="131" t="str">
        <f>IF(A79="","",IFERROR(INDEX('09_Posicion_Actual'!$A$5:$A$204,MATCH(A79,'09_Posicion_Actual'!$B$5:$B$204,0)),""))</f>
        <v/>
      </c>
      <c r="P79" s="132" t="str">
        <f t="shared" si="15"/>
        <v/>
      </c>
      <c r="Q79" s="132" t="str">
        <f t="shared" si="16"/>
        <v/>
      </c>
      <c r="R79" s="132" t="str">
        <f>IF(A79="","",IFERROR(INDEX('09_Posicion_Actual'!$P$5:$P$204,MATCH(A79,'09_Posicion_Actual'!$B$5:$B$204,0)),""))</f>
        <v/>
      </c>
      <c r="S79" s="132" t="str">
        <f t="shared" si="17"/>
        <v/>
      </c>
      <c r="T79" s="132"/>
      <c r="U79" s="132"/>
      <c r="V79" s="132"/>
      <c r="W79" s="132"/>
      <c r="X79" s="132"/>
    </row>
    <row r="80" spans="1:24">
      <c r="A80" s="132"/>
      <c r="B80" s="132"/>
      <c r="C80" s="132"/>
      <c r="D80" s="132"/>
      <c r="E80" s="176" t="str">
        <f>IF(A80="","",SUMIFS('14_Inversiones'!$E$5:$E$203,'14_Inversiones'!$B$5:$B$203,A80,'14_Inversiones'!$D$5:$D$203,C80,'14_Inversiones'!$C$5:$C$203,"Compra")+SUMIFS('14_Inversiones'!$E$5:$E$203,'14_Inversiones'!$B$5:$B$203,A80,'14_Inversiones'!$D$5:$D$203,C80,'14_Inversiones'!$C$5:$C$203,"Aporte")+SUMIFS('14_Inversiones'!$E$5:$E$203,'14_Inversiones'!$B$5:$B$203,A80,'14_Inversiones'!$D$5:$D$203,C80,'14_Inversiones'!$C$5:$C$203,"Ajuste"))</f>
        <v/>
      </c>
      <c r="F80" s="176" t="str">
        <f>IF(A80="","",SUMIFS('14_Inversiones'!$E$5:$E$203,'14_Inversiones'!$B$5:$B$203,A80,'14_Inversiones'!$D$5:$D$203,C80,'14_Inversiones'!$C$5:$C$203,"Retiro")+SUMIFS('14_Inversiones'!$E$5:$E$203,'14_Inversiones'!$B$5:$B$203,A80,'14_Inversiones'!$D$5:$D$203,C80,'14_Inversiones'!$C$5:$C$203,"Venta"))</f>
        <v/>
      </c>
      <c r="G80" s="176" t="str">
        <f t="shared" si="12"/>
        <v/>
      </c>
      <c r="H80" s="176" t="str">
        <f>IF(A80="","",IFERROR(INDEX('09_Posicion_Actual'!$G$5:$G$204,MATCH(A80,'09_Posicion_Actual'!$B$5:$B$204,0)),0))</f>
        <v/>
      </c>
      <c r="I80" s="171" t="str">
        <f>IF(A80="","",IFERROR(INDEX('09_Posicion_Actual'!$I$5:$I$204,MATCH(A80,'09_Posicion_Actual'!$B$5:$B$204,0)),0))</f>
        <v/>
      </c>
      <c r="J80" s="176" t="str">
        <f t="shared" si="13"/>
        <v/>
      </c>
      <c r="K80" s="171" t="str">
        <f>IF(A80="","",IF(C80="USD",J80*IFERROR(INDEX('09_Posicion_Actual'!$H$5:$H$204,MATCH(A80,'09_Posicion_Actual'!$B$5:$B$204,0)),950),J80))</f>
        <v/>
      </c>
      <c r="L80" s="180" t="str">
        <f t="shared" si="14"/>
        <v/>
      </c>
      <c r="M80" s="176" t="str">
        <f>IF(A80="","",IFERROR(INDEX('09_Posicion_Actual'!$F$5:$F$204,MATCH(A80,'09_Posicion_Actual'!$B$5:$B$204,0)),""))</f>
        <v/>
      </c>
      <c r="N80" s="177" t="str">
        <f>IF(A80="","",IFERROR(INDEX('09_Posicion_Actual'!$E$5:$E$204,MATCH(A80,'09_Posicion_Actual'!$B$5:$B$204,0)),""))</f>
        <v/>
      </c>
      <c r="O80" s="131" t="str">
        <f>IF(A80="","",IFERROR(INDEX('09_Posicion_Actual'!$A$5:$A$204,MATCH(A80,'09_Posicion_Actual'!$B$5:$B$204,0)),""))</f>
        <v/>
      </c>
      <c r="P80" s="132" t="str">
        <f t="shared" si="15"/>
        <v/>
      </c>
      <c r="Q80" s="132" t="str">
        <f t="shared" si="16"/>
        <v/>
      </c>
      <c r="R80" s="132" t="str">
        <f>IF(A80="","",IFERROR(INDEX('09_Posicion_Actual'!$P$5:$P$204,MATCH(A80,'09_Posicion_Actual'!$B$5:$B$204,0)),""))</f>
        <v/>
      </c>
      <c r="S80" s="132" t="str">
        <f t="shared" si="17"/>
        <v/>
      </c>
      <c r="T80" s="132"/>
      <c r="U80" s="132"/>
      <c r="V80" s="132"/>
      <c r="W80" s="132"/>
      <c r="X80" s="132"/>
    </row>
    <row r="81" spans="1:24">
      <c r="A81" s="132"/>
      <c r="B81" s="132"/>
      <c r="C81" s="132"/>
      <c r="D81" s="132"/>
      <c r="E81" s="176" t="str">
        <f>IF(A81="","",SUMIFS('14_Inversiones'!$E$5:$E$203,'14_Inversiones'!$B$5:$B$203,A81,'14_Inversiones'!$D$5:$D$203,C81,'14_Inversiones'!$C$5:$C$203,"Compra")+SUMIFS('14_Inversiones'!$E$5:$E$203,'14_Inversiones'!$B$5:$B$203,A81,'14_Inversiones'!$D$5:$D$203,C81,'14_Inversiones'!$C$5:$C$203,"Aporte")+SUMIFS('14_Inversiones'!$E$5:$E$203,'14_Inversiones'!$B$5:$B$203,A81,'14_Inversiones'!$D$5:$D$203,C81,'14_Inversiones'!$C$5:$C$203,"Ajuste"))</f>
        <v/>
      </c>
      <c r="F81" s="176" t="str">
        <f>IF(A81="","",SUMIFS('14_Inversiones'!$E$5:$E$203,'14_Inversiones'!$B$5:$B$203,A81,'14_Inversiones'!$D$5:$D$203,C81,'14_Inversiones'!$C$5:$C$203,"Retiro")+SUMIFS('14_Inversiones'!$E$5:$E$203,'14_Inversiones'!$B$5:$B$203,A81,'14_Inversiones'!$D$5:$D$203,C81,'14_Inversiones'!$C$5:$C$203,"Venta"))</f>
        <v/>
      </c>
      <c r="G81" s="176" t="str">
        <f t="shared" si="12"/>
        <v/>
      </c>
      <c r="H81" s="176" t="str">
        <f>IF(A81="","",IFERROR(INDEX('09_Posicion_Actual'!$G$5:$G$204,MATCH(A81,'09_Posicion_Actual'!$B$5:$B$204,0)),0))</f>
        <v/>
      </c>
      <c r="I81" s="171" t="str">
        <f>IF(A81="","",IFERROR(INDEX('09_Posicion_Actual'!$I$5:$I$204,MATCH(A81,'09_Posicion_Actual'!$B$5:$B$204,0)),0))</f>
        <v/>
      </c>
      <c r="J81" s="176" t="str">
        <f t="shared" si="13"/>
        <v/>
      </c>
      <c r="K81" s="171" t="str">
        <f>IF(A81="","",IF(C81="USD",J81*IFERROR(INDEX('09_Posicion_Actual'!$H$5:$H$204,MATCH(A81,'09_Posicion_Actual'!$B$5:$B$204,0)),950),J81))</f>
        <v/>
      </c>
      <c r="L81" s="180" t="str">
        <f t="shared" si="14"/>
        <v/>
      </c>
      <c r="M81" s="176" t="str">
        <f>IF(A81="","",IFERROR(INDEX('09_Posicion_Actual'!$F$5:$F$204,MATCH(A81,'09_Posicion_Actual'!$B$5:$B$204,0)),""))</f>
        <v/>
      </c>
      <c r="N81" s="177" t="str">
        <f>IF(A81="","",IFERROR(INDEX('09_Posicion_Actual'!$E$5:$E$204,MATCH(A81,'09_Posicion_Actual'!$B$5:$B$204,0)),""))</f>
        <v/>
      </c>
      <c r="O81" s="131" t="str">
        <f>IF(A81="","",IFERROR(INDEX('09_Posicion_Actual'!$A$5:$A$204,MATCH(A81,'09_Posicion_Actual'!$B$5:$B$204,0)),""))</f>
        <v/>
      </c>
      <c r="P81" s="132" t="str">
        <f t="shared" si="15"/>
        <v/>
      </c>
      <c r="Q81" s="132" t="str">
        <f t="shared" si="16"/>
        <v/>
      </c>
      <c r="R81" s="132" t="str">
        <f>IF(A81="","",IFERROR(INDEX('09_Posicion_Actual'!$P$5:$P$204,MATCH(A81,'09_Posicion_Actual'!$B$5:$B$204,0)),""))</f>
        <v/>
      </c>
      <c r="S81" s="132" t="str">
        <f t="shared" si="17"/>
        <v/>
      </c>
      <c r="T81" s="132"/>
      <c r="U81" s="132"/>
      <c r="V81" s="132"/>
      <c r="W81" s="132"/>
      <c r="X81" s="132"/>
    </row>
    <row r="82" spans="1:24">
      <c r="A82" s="132"/>
      <c r="B82" s="132"/>
      <c r="C82" s="132"/>
      <c r="D82" s="132"/>
      <c r="E82" s="176" t="str">
        <f>IF(A82="","",SUMIFS('14_Inversiones'!$E$5:$E$203,'14_Inversiones'!$B$5:$B$203,A82,'14_Inversiones'!$D$5:$D$203,C82,'14_Inversiones'!$C$5:$C$203,"Compra")+SUMIFS('14_Inversiones'!$E$5:$E$203,'14_Inversiones'!$B$5:$B$203,A82,'14_Inversiones'!$D$5:$D$203,C82,'14_Inversiones'!$C$5:$C$203,"Aporte")+SUMIFS('14_Inversiones'!$E$5:$E$203,'14_Inversiones'!$B$5:$B$203,A82,'14_Inversiones'!$D$5:$D$203,C82,'14_Inversiones'!$C$5:$C$203,"Ajuste"))</f>
        <v/>
      </c>
      <c r="F82" s="176" t="str">
        <f>IF(A82="","",SUMIFS('14_Inversiones'!$E$5:$E$203,'14_Inversiones'!$B$5:$B$203,A82,'14_Inversiones'!$D$5:$D$203,C82,'14_Inversiones'!$C$5:$C$203,"Retiro")+SUMIFS('14_Inversiones'!$E$5:$E$203,'14_Inversiones'!$B$5:$B$203,A82,'14_Inversiones'!$D$5:$D$203,C82,'14_Inversiones'!$C$5:$C$203,"Venta"))</f>
        <v/>
      </c>
      <c r="G82" s="176" t="str">
        <f t="shared" si="12"/>
        <v/>
      </c>
      <c r="H82" s="176" t="str">
        <f>IF(A82="","",IFERROR(INDEX('09_Posicion_Actual'!$G$5:$G$204,MATCH(A82,'09_Posicion_Actual'!$B$5:$B$204,0)),0))</f>
        <v/>
      </c>
      <c r="I82" s="171" t="str">
        <f>IF(A82="","",IFERROR(INDEX('09_Posicion_Actual'!$I$5:$I$204,MATCH(A82,'09_Posicion_Actual'!$B$5:$B$204,0)),0))</f>
        <v/>
      </c>
      <c r="J82" s="176" t="str">
        <f t="shared" si="13"/>
        <v/>
      </c>
      <c r="K82" s="171" t="str">
        <f>IF(A82="","",IF(C82="USD",J82*IFERROR(INDEX('09_Posicion_Actual'!$H$5:$H$204,MATCH(A82,'09_Posicion_Actual'!$B$5:$B$204,0)),950),J82))</f>
        <v/>
      </c>
      <c r="L82" s="180" t="str">
        <f t="shared" si="14"/>
        <v/>
      </c>
      <c r="M82" s="176" t="str">
        <f>IF(A82="","",IFERROR(INDEX('09_Posicion_Actual'!$F$5:$F$204,MATCH(A82,'09_Posicion_Actual'!$B$5:$B$204,0)),""))</f>
        <v/>
      </c>
      <c r="N82" s="177" t="str">
        <f>IF(A82="","",IFERROR(INDEX('09_Posicion_Actual'!$E$5:$E$204,MATCH(A82,'09_Posicion_Actual'!$B$5:$B$204,0)),""))</f>
        <v/>
      </c>
      <c r="O82" s="131" t="str">
        <f>IF(A82="","",IFERROR(INDEX('09_Posicion_Actual'!$A$5:$A$204,MATCH(A82,'09_Posicion_Actual'!$B$5:$B$204,0)),""))</f>
        <v/>
      </c>
      <c r="P82" s="132" t="str">
        <f t="shared" si="15"/>
        <v/>
      </c>
      <c r="Q82" s="132" t="str">
        <f t="shared" si="16"/>
        <v/>
      </c>
      <c r="R82" s="132" t="str">
        <f>IF(A82="","",IFERROR(INDEX('09_Posicion_Actual'!$P$5:$P$204,MATCH(A82,'09_Posicion_Actual'!$B$5:$B$204,0)),""))</f>
        <v/>
      </c>
      <c r="S82" s="132" t="str">
        <f t="shared" si="17"/>
        <v/>
      </c>
      <c r="T82" s="132"/>
      <c r="U82" s="132"/>
      <c r="V82" s="132"/>
      <c r="W82" s="132"/>
      <c r="X82" s="132"/>
    </row>
    <row r="83" spans="1:24">
      <c r="A83" s="132"/>
      <c r="B83" s="132"/>
      <c r="C83" s="132"/>
      <c r="D83" s="132"/>
      <c r="E83" s="176" t="str">
        <f>IF(A83="","",SUMIFS('14_Inversiones'!$E$5:$E$203,'14_Inversiones'!$B$5:$B$203,A83,'14_Inversiones'!$D$5:$D$203,C83,'14_Inversiones'!$C$5:$C$203,"Compra")+SUMIFS('14_Inversiones'!$E$5:$E$203,'14_Inversiones'!$B$5:$B$203,A83,'14_Inversiones'!$D$5:$D$203,C83,'14_Inversiones'!$C$5:$C$203,"Aporte")+SUMIFS('14_Inversiones'!$E$5:$E$203,'14_Inversiones'!$B$5:$B$203,A83,'14_Inversiones'!$D$5:$D$203,C83,'14_Inversiones'!$C$5:$C$203,"Ajuste"))</f>
        <v/>
      </c>
      <c r="F83" s="176" t="str">
        <f>IF(A83="","",SUMIFS('14_Inversiones'!$E$5:$E$203,'14_Inversiones'!$B$5:$B$203,A83,'14_Inversiones'!$D$5:$D$203,C83,'14_Inversiones'!$C$5:$C$203,"Retiro")+SUMIFS('14_Inversiones'!$E$5:$E$203,'14_Inversiones'!$B$5:$B$203,A83,'14_Inversiones'!$D$5:$D$203,C83,'14_Inversiones'!$C$5:$C$203,"Venta"))</f>
        <v/>
      </c>
      <c r="G83" s="176" t="str">
        <f t="shared" si="12"/>
        <v/>
      </c>
      <c r="H83" s="176" t="str">
        <f>IF(A83="","",IFERROR(INDEX('09_Posicion_Actual'!$G$5:$G$204,MATCH(A83,'09_Posicion_Actual'!$B$5:$B$204,0)),0))</f>
        <v/>
      </c>
      <c r="I83" s="171" t="str">
        <f>IF(A83="","",IFERROR(INDEX('09_Posicion_Actual'!$I$5:$I$204,MATCH(A83,'09_Posicion_Actual'!$B$5:$B$204,0)),0))</f>
        <v/>
      </c>
      <c r="J83" s="176" t="str">
        <f t="shared" si="13"/>
        <v/>
      </c>
      <c r="K83" s="171" t="str">
        <f>IF(A83="","",IF(C83="USD",J83*IFERROR(INDEX('09_Posicion_Actual'!$H$5:$H$204,MATCH(A83,'09_Posicion_Actual'!$B$5:$B$204,0)),950),J83))</f>
        <v/>
      </c>
      <c r="L83" s="180" t="str">
        <f t="shared" si="14"/>
        <v/>
      </c>
      <c r="M83" s="176" t="str">
        <f>IF(A83="","",IFERROR(INDEX('09_Posicion_Actual'!$F$5:$F$204,MATCH(A83,'09_Posicion_Actual'!$B$5:$B$204,0)),""))</f>
        <v/>
      </c>
      <c r="N83" s="177" t="str">
        <f>IF(A83="","",IFERROR(INDEX('09_Posicion_Actual'!$E$5:$E$204,MATCH(A83,'09_Posicion_Actual'!$B$5:$B$204,0)),""))</f>
        <v/>
      </c>
      <c r="O83" s="131" t="str">
        <f>IF(A83="","",IFERROR(INDEX('09_Posicion_Actual'!$A$5:$A$204,MATCH(A83,'09_Posicion_Actual'!$B$5:$B$204,0)),""))</f>
        <v/>
      </c>
      <c r="P83" s="132" t="str">
        <f t="shared" si="15"/>
        <v/>
      </c>
      <c r="Q83" s="132" t="str">
        <f t="shared" si="16"/>
        <v/>
      </c>
      <c r="R83" s="132" t="str">
        <f>IF(A83="","",IFERROR(INDEX('09_Posicion_Actual'!$P$5:$P$204,MATCH(A83,'09_Posicion_Actual'!$B$5:$B$204,0)),""))</f>
        <v/>
      </c>
      <c r="S83" s="132" t="str">
        <f t="shared" si="17"/>
        <v/>
      </c>
      <c r="T83" s="132"/>
      <c r="U83" s="132"/>
      <c r="V83" s="132"/>
      <c r="W83" s="132"/>
      <c r="X83" s="132"/>
    </row>
    <row r="84" spans="1:24">
      <c r="A84" s="132"/>
      <c r="B84" s="132"/>
      <c r="C84" s="132"/>
      <c r="D84" s="132"/>
      <c r="E84" s="176" t="str">
        <f>IF(A84="","",SUMIFS('14_Inversiones'!$E$5:$E$203,'14_Inversiones'!$B$5:$B$203,A84,'14_Inversiones'!$D$5:$D$203,C84,'14_Inversiones'!$C$5:$C$203,"Compra")+SUMIFS('14_Inversiones'!$E$5:$E$203,'14_Inversiones'!$B$5:$B$203,A84,'14_Inversiones'!$D$5:$D$203,C84,'14_Inversiones'!$C$5:$C$203,"Aporte")+SUMIFS('14_Inversiones'!$E$5:$E$203,'14_Inversiones'!$B$5:$B$203,A84,'14_Inversiones'!$D$5:$D$203,C84,'14_Inversiones'!$C$5:$C$203,"Ajuste"))</f>
        <v/>
      </c>
      <c r="F84" s="176" t="str">
        <f>IF(A84="","",SUMIFS('14_Inversiones'!$E$5:$E$203,'14_Inversiones'!$B$5:$B$203,A84,'14_Inversiones'!$D$5:$D$203,C84,'14_Inversiones'!$C$5:$C$203,"Retiro")+SUMIFS('14_Inversiones'!$E$5:$E$203,'14_Inversiones'!$B$5:$B$203,A84,'14_Inversiones'!$D$5:$D$203,C84,'14_Inversiones'!$C$5:$C$203,"Venta"))</f>
        <v/>
      </c>
      <c r="G84" s="176" t="str">
        <f t="shared" si="12"/>
        <v/>
      </c>
      <c r="H84" s="176" t="str">
        <f>IF(A84="","",IFERROR(INDEX('09_Posicion_Actual'!$G$5:$G$204,MATCH(A84,'09_Posicion_Actual'!$B$5:$B$204,0)),0))</f>
        <v/>
      </c>
      <c r="I84" s="171" t="str">
        <f>IF(A84="","",IFERROR(INDEX('09_Posicion_Actual'!$I$5:$I$204,MATCH(A84,'09_Posicion_Actual'!$B$5:$B$204,0)),0))</f>
        <v/>
      </c>
      <c r="J84" s="176" t="str">
        <f t="shared" si="13"/>
        <v/>
      </c>
      <c r="K84" s="171" t="str">
        <f>IF(A84="","",IF(C84="USD",J84*IFERROR(INDEX('09_Posicion_Actual'!$H$5:$H$204,MATCH(A84,'09_Posicion_Actual'!$B$5:$B$204,0)),950),J84))</f>
        <v/>
      </c>
      <c r="L84" s="180" t="str">
        <f t="shared" si="14"/>
        <v/>
      </c>
      <c r="M84" s="176" t="str">
        <f>IF(A84="","",IFERROR(INDEX('09_Posicion_Actual'!$F$5:$F$204,MATCH(A84,'09_Posicion_Actual'!$B$5:$B$204,0)),""))</f>
        <v/>
      </c>
      <c r="N84" s="177" t="str">
        <f>IF(A84="","",IFERROR(INDEX('09_Posicion_Actual'!$E$5:$E$204,MATCH(A84,'09_Posicion_Actual'!$B$5:$B$204,0)),""))</f>
        <v/>
      </c>
      <c r="O84" s="131" t="str">
        <f>IF(A84="","",IFERROR(INDEX('09_Posicion_Actual'!$A$5:$A$204,MATCH(A84,'09_Posicion_Actual'!$B$5:$B$204,0)),""))</f>
        <v/>
      </c>
      <c r="P84" s="132" t="str">
        <f t="shared" si="15"/>
        <v/>
      </c>
      <c r="Q84" s="132" t="str">
        <f t="shared" si="16"/>
        <v/>
      </c>
      <c r="R84" s="132" t="str">
        <f>IF(A84="","",IFERROR(INDEX('09_Posicion_Actual'!$P$5:$P$204,MATCH(A84,'09_Posicion_Actual'!$B$5:$B$204,0)),""))</f>
        <v/>
      </c>
      <c r="S84" s="132" t="str">
        <f t="shared" si="17"/>
        <v/>
      </c>
      <c r="T84" s="132"/>
      <c r="U84" s="132"/>
      <c r="V84" s="132"/>
      <c r="W84" s="132"/>
      <c r="X84" s="132"/>
    </row>
    <row r="85" spans="1:24">
      <c r="A85" s="132"/>
      <c r="B85" s="132"/>
      <c r="C85" s="132"/>
      <c r="D85" s="132"/>
      <c r="E85" s="176" t="str">
        <f>IF(A85="","",SUMIFS('14_Inversiones'!$E$5:$E$203,'14_Inversiones'!$B$5:$B$203,A85,'14_Inversiones'!$D$5:$D$203,C85,'14_Inversiones'!$C$5:$C$203,"Compra")+SUMIFS('14_Inversiones'!$E$5:$E$203,'14_Inversiones'!$B$5:$B$203,A85,'14_Inversiones'!$D$5:$D$203,C85,'14_Inversiones'!$C$5:$C$203,"Aporte")+SUMIFS('14_Inversiones'!$E$5:$E$203,'14_Inversiones'!$B$5:$B$203,A85,'14_Inversiones'!$D$5:$D$203,C85,'14_Inversiones'!$C$5:$C$203,"Ajuste"))</f>
        <v/>
      </c>
      <c r="F85" s="176" t="str">
        <f>IF(A85="","",SUMIFS('14_Inversiones'!$E$5:$E$203,'14_Inversiones'!$B$5:$B$203,A85,'14_Inversiones'!$D$5:$D$203,C85,'14_Inversiones'!$C$5:$C$203,"Retiro")+SUMIFS('14_Inversiones'!$E$5:$E$203,'14_Inversiones'!$B$5:$B$203,A85,'14_Inversiones'!$D$5:$D$203,C85,'14_Inversiones'!$C$5:$C$203,"Venta"))</f>
        <v/>
      </c>
      <c r="G85" s="176" t="str">
        <f t="shared" si="12"/>
        <v/>
      </c>
      <c r="H85" s="176" t="str">
        <f>IF(A85="","",IFERROR(INDEX('09_Posicion_Actual'!$G$5:$G$204,MATCH(A85,'09_Posicion_Actual'!$B$5:$B$204,0)),0))</f>
        <v/>
      </c>
      <c r="I85" s="171" t="str">
        <f>IF(A85="","",IFERROR(INDEX('09_Posicion_Actual'!$I$5:$I$204,MATCH(A85,'09_Posicion_Actual'!$B$5:$B$204,0)),0))</f>
        <v/>
      </c>
      <c r="J85" s="176" t="str">
        <f t="shared" si="13"/>
        <v/>
      </c>
      <c r="K85" s="171" t="str">
        <f>IF(A85="","",IF(C85="USD",J85*IFERROR(INDEX('09_Posicion_Actual'!$H$5:$H$204,MATCH(A85,'09_Posicion_Actual'!$B$5:$B$204,0)),950),J85))</f>
        <v/>
      </c>
      <c r="L85" s="180" t="str">
        <f t="shared" si="14"/>
        <v/>
      </c>
      <c r="M85" s="176" t="str">
        <f>IF(A85="","",IFERROR(INDEX('09_Posicion_Actual'!$F$5:$F$204,MATCH(A85,'09_Posicion_Actual'!$B$5:$B$204,0)),""))</f>
        <v/>
      </c>
      <c r="N85" s="177" t="str">
        <f>IF(A85="","",IFERROR(INDEX('09_Posicion_Actual'!$E$5:$E$204,MATCH(A85,'09_Posicion_Actual'!$B$5:$B$204,0)),""))</f>
        <v/>
      </c>
      <c r="O85" s="131" t="str">
        <f>IF(A85="","",IFERROR(INDEX('09_Posicion_Actual'!$A$5:$A$204,MATCH(A85,'09_Posicion_Actual'!$B$5:$B$204,0)),""))</f>
        <v/>
      </c>
      <c r="P85" s="132" t="str">
        <f t="shared" si="15"/>
        <v/>
      </c>
      <c r="Q85" s="132" t="str">
        <f t="shared" si="16"/>
        <v/>
      </c>
      <c r="R85" s="132" t="str">
        <f>IF(A85="","",IFERROR(INDEX('09_Posicion_Actual'!$P$5:$P$204,MATCH(A85,'09_Posicion_Actual'!$B$5:$B$204,0)),""))</f>
        <v/>
      </c>
      <c r="S85" s="132" t="str">
        <f t="shared" si="17"/>
        <v/>
      </c>
      <c r="T85" s="132"/>
      <c r="U85" s="132"/>
      <c r="V85" s="132"/>
      <c r="W85" s="132"/>
      <c r="X85" s="132"/>
    </row>
    <row r="86" spans="1:24">
      <c r="A86" s="132"/>
      <c r="B86" s="132"/>
      <c r="C86" s="132"/>
      <c r="D86" s="132"/>
      <c r="E86" s="176" t="str">
        <f>IF(A86="","",SUMIFS('14_Inversiones'!$E$5:$E$203,'14_Inversiones'!$B$5:$B$203,A86,'14_Inversiones'!$D$5:$D$203,C86,'14_Inversiones'!$C$5:$C$203,"Compra")+SUMIFS('14_Inversiones'!$E$5:$E$203,'14_Inversiones'!$B$5:$B$203,A86,'14_Inversiones'!$D$5:$D$203,C86,'14_Inversiones'!$C$5:$C$203,"Aporte")+SUMIFS('14_Inversiones'!$E$5:$E$203,'14_Inversiones'!$B$5:$B$203,A86,'14_Inversiones'!$D$5:$D$203,C86,'14_Inversiones'!$C$5:$C$203,"Ajuste"))</f>
        <v/>
      </c>
      <c r="F86" s="176" t="str">
        <f>IF(A86="","",SUMIFS('14_Inversiones'!$E$5:$E$203,'14_Inversiones'!$B$5:$B$203,A86,'14_Inversiones'!$D$5:$D$203,C86,'14_Inversiones'!$C$5:$C$203,"Retiro")+SUMIFS('14_Inversiones'!$E$5:$E$203,'14_Inversiones'!$B$5:$B$203,A86,'14_Inversiones'!$D$5:$D$203,C86,'14_Inversiones'!$C$5:$C$203,"Venta"))</f>
        <v/>
      </c>
      <c r="G86" s="176" t="str">
        <f t="shared" si="12"/>
        <v/>
      </c>
      <c r="H86" s="176" t="str">
        <f>IF(A86="","",IFERROR(INDEX('09_Posicion_Actual'!$G$5:$G$204,MATCH(A86,'09_Posicion_Actual'!$B$5:$B$204,0)),0))</f>
        <v/>
      </c>
      <c r="I86" s="171" t="str">
        <f>IF(A86="","",IFERROR(INDEX('09_Posicion_Actual'!$I$5:$I$204,MATCH(A86,'09_Posicion_Actual'!$B$5:$B$204,0)),0))</f>
        <v/>
      </c>
      <c r="J86" s="176" t="str">
        <f t="shared" si="13"/>
        <v/>
      </c>
      <c r="K86" s="171" t="str">
        <f>IF(A86="","",IF(C86="USD",J86*IFERROR(INDEX('09_Posicion_Actual'!$H$5:$H$204,MATCH(A86,'09_Posicion_Actual'!$B$5:$B$204,0)),950),J86))</f>
        <v/>
      </c>
      <c r="L86" s="180" t="str">
        <f t="shared" si="14"/>
        <v/>
      </c>
      <c r="M86" s="176" t="str">
        <f>IF(A86="","",IFERROR(INDEX('09_Posicion_Actual'!$F$5:$F$204,MATCH(A86,'09_Posicion_Actual'!$B$5:$B$204,0)),""))</f>
        <v/>
      </c>
      <c r="N86" s="177" t="str">
        <f>IF(A86="","",IFERROR(INDEX('09_Posicion_Actual'!$E$5:$E$204,MATCH(A86,'09_Posicion_Actual'!$B$5:$B$204,0)),""))</f>
        <v/>
      </c>
      <c r="O86" s="131" t="str">
        <f>IF(A86="","",IFERROR(INDEX('09_Posicion_Actual'!$A$5:$A$204,MATCH(A86,'09_Posicion_Actual'!$B$5:$B$204,0)),""))</f>
        <v/>
      </c>
      <c r="P86" s="132" t="str">
        <f t="shared" si="15"/>
        <v/>
      </c>
      <c r="Q86" s="132" t="str">
        <f t="shared" si="16"/>
        <v/>
      </c>
      <c r="R86" s="132" t="str">
        <f>IF(A86="","",IFERROR(INDEX('09_Posicion_Actual'!$P$5:$P$204,MATCH(A86,'09_Posicion_Actual'!$B$5:$B$204,0)),""))</f>
        <v/>
      </c>
      <c r="S86" s="132" t="str">
        <f t="shared" si="17"/>
        <v/>
      </c>
      <c r="T86" s="132"/>
      <c r="U86" s="132"/>
      <c r="V86" s="132"/>
      <c r="W86" s="132"/>
      <c r="X86" s="132"/>
    </row>
    <row r="87" spans="1:24">
      <c r="A87" s="132"/>
      <c r="B87" s="132"/>
      <c r="C87" s="132"/>
      <c r="D87" s="132"/>
      <c r="E87" s="176" t="str">
        <f>IF(A87="","",SUMIFS('14_Inversiones'!$E$5:$E$203,'14_Inversiones'!$B$5:$B$203,A87,'14_Inversiones'!$D$5:$D$203,C87,'14_Inversiones'!$C$5:$C$203,"Compra")+SUMIFS('14_Inversiones'!$E$5:$E$203,'14_Inversiones'!$B$5:$B$203,A87,'14_Inversiones'!$D$5:$D$203,C87,'14_Inversiones'!$C$5:$C$203,"Aporte")+SUMIFS('14_Inversiones'!$E$5:$E$203,'14_Inversiones'!$B$5:$B$203,A87,'14_Inversiones'!$D$5:$D$203,C87,'14_Inversiones'!$C$5:$C$203,"Ajuste"))</f>
        <v/>
      </c>
      <c r="F87" s="176" t="str">
        <f>IF(A87="","",SUMIFS('14_Inversiones'!$E$5:$E$203,'14_Inversiones'!$B$5:$B$203,A87,'14_Inversiones'!$D$5:$D$203,C87,'14_Inversiones'!$C$5:$C$203,"Retiro")+SUMIFS('14_Inversiones'!$E$5:$E$203,'14_Inversiones'!$B$5:$B$203,A87,'14_Inversiones'!$D$5:$D$203,C87,'14_Inversiones'!$C$5:$C$203,"Venta"))</f>
        <v/>
      </c>
      <c r="G87" s="176" t="str">
        <f t="shared" si="12"/>
        <v/>
      </c>
      <c r="H87" s="176" t="str">
        <f>IF(A87="","",IFERROR(INDEX('09_Posicion_Actual'!$G$5:$G$204,MATCH(A87,'09_Posicion_Actual'!$B$5:$B$204,0)),0))</f>
        <v/>
      </c>
      <c r="I87" s="171" t="str">
        <f>IF(A87="","",IFERROR(INDEX('09_Posicion_Actual'!$I$5:$I$204,MATCH(A87,'09_Posicion_Actual'!$B$5:$B$204,0)),0))</f>
        <v/>
      </c>
      <c r="J87" s="176" t="str">
        <f t="shared" si="13"/>
        <v/>
      </c>
      <c r="K87" s="171" t="str">
        <f>IF(A87="","",IF(C87="USD",J87*IFERROR(INDEX('09_Posicion_Actual'!$H$5:$H$204,MATCH(A87,'09_Posicion_Actual'!$B$5:$B$204,0)),950),J87))</f>
        <v/>
      </c>
      <c r="L87" s="180" t="str">
        <f t="shared" si="14"/>
        <v/>
      </c>
      <c r="M87" s="176" t="str">
        <f>IF(A87="","",IFERROR(INDEX('09_Posicion_Actual'!$F$5:$F$204,MATCH(A87,'09_Posicion_Actual'!$B$5:$B$204,0)),""))</f>
        <v/>
      </c>
      <c r="N87" s="177" t="str">
        <f>IF(A87="","",IFERROR(INDEX('09_Posicion_Actual'!$E$5:$E$204,MATCH(A87,'09_Posicion_Actual'!$B$5:$B$204,0)),""))</f>
        <v/>
      </c>
      <c r="O87" s="131" t="str">
        <f>IF(A87="","",IFERROR(INDEX('09_Posicion_Actual'!$A$5:$A$204,MATCH(A87,'09_Posicion_Actual'!$B$5:$B$204,0)),""))</f>
        <v/>
      </c>
      <c r="P87" s="132" t="str">
        <f t="shared" si="15"/>
        <v/>
      </c>
      <c r="Q87" s="132" t="str">
        <f t="shared" si="16"/>
        <v/>
      </c>
      <c r="R87" s="132" t="str">
        <f>IF(A87="","",IFERROR(INDEX('09_Posicion_Actual'!$P$5:$P$204,MATCH(A87,'09_Posicion_Actual'!$B$5:$B$204,0)),""))</f>
        <v/>
      </c>
      <c r="S87" s="132" t="str">
        <f t="shared" si="17"/>
        <v/>
      </c>
      <c r="T87" s="132"/>
      <c r="U87" s="132"/>
      <c r="V87" s="132"/>
      <c r="W87" s="132"/>
      <c r="X87" s="132"/>
    </row>
    <row r="88" spans="1:24">
      <c r="A88" s="132"/>
      <c r="B88" s="132"/>
      <c r="C88" s="132"/>
      <c r="D88" s="132"/>
      <c r="E88" s="176" t="str">
        <f>IF(A88="","",SUMIFS('14_Inversiones'!$E$5:$E$203,'14_Inversiones'!$B$5:$B$203,A88,'14_Inversiones'!$D$5:$D$203,C88,'14_Inversiones'!$C$5:$C$203,"Compra")+SUMIFS('14_Inversiones'!$E$5:$E$203,'14_Inversiones'!$B$5:$B$203,A88,'14_Inversiones'!$D$5:$D$203,C88,'14_Inversiones'!$C$5:$C$203,"Aporte")+SUMIFS('14_Inversiones'!$E$5:$E$203,'14_Inversiones'!$B$5:$B$203,A88,'14_Inversiones'!$D$5:$D$203,C88,'14_Inversiones'!$C$5:$C$203,"Ajuste"))</f>
        <v/>
      </c>
      <c r="F88" s="176" t="str">
        <f>IF(A88="","",SUMIFS('14_Inversiones'!$E$5:$E$203,'14_Inversiones'!$B$5:$B$203,A88,'14_Inversiones'!$D$5:$D$203,C88,'14_Inversiones'!$C$5:$C$203,"Retiro")+SUMIFS('14_Inversiones'!$E$5:$E$203,'14_Inversiones'!$B$5:$B$203,A88,'14_Inversiones'!$D$5:$D$203,C88,'14_Inversiones'!$C$5:$C$203,"Venta"))</f>
        <v/>
      </c>
      <c r="G88" s="176" t="str">
        <f t="shared" si="12"/>
        <v/>
      </c>
      <c r="H88" s="176" t="str">
        <f>IF(A88="","",IFERROR(INDEX('09_Posicion_Actual'!$G$5:$G$204,MATCH(A88,'09_Posicion_Actual'!$B$5:$B$204,0)),0))</f>
        <v/>
      </c>
      <c r="I88" s="171" t="str">
        <f>IF(A88="","",IFERROR(INDEX('09_Posicion_Actual'!$I$5:$I$204,MATCH(A88,'09_Posicion_Actual'!$B$5:$B$204,0)),0))</f>
        <v/>
      </c>
      <c r="J88" s="176" t="str">
        <f t="shared" si="13"/>
        <v/>
      </c>
      <c r="K88" s="171" t="str">
        <f>IF(A88="","",IF(C88="USD",J88*IFERROR(INDEX('09_Posicion_Actual'!$H$5:$H$204,MATCH(A88,'09_Posicion_Actual'!$B$5:$B$204,0)),950),J88))</f>
        <v/>
      </c>
      <c r="L88" s="180" t="str">
        <f t="shared" si="14"/>
        <v/>
      </c>
      <c r="M88" s="176" t="str">
        <f>IF(A88="","",IFERROR(INDEX('09_Posicion_Actual'!$F$5:$F$204,MATCH(A88,'09_Posicion_Actual'!$B$5:$B$204,0)),""))</f>
        <v/>
      </c>
      <c r="N88" s="177" t="str">
        <f>IF(A88="","",IFERROR(INDEX('09_Posicion_Actual'!$E$5:$E$204,MATCH(A88,'09_Posicion_Actual'!$B$5:$B$204,0)),""))</f>
        <v/>
      </c>
      <c r="O88" s="131" t="str">
        <f>IF(A88="","",IFERROR(INDEX('09_Posicion_Actual'!$A$5:$A$204,MATCH(A88,'09_Posicion_Actual'!$B$5:$B$204,0)),""))</f>
        <v/>
      </c>
      <c r="P88" s="132" t="str">
        <f t="shared" si="15"/>
        <v/>
      </c>
      <c r="Q88" s="132" t="str">
        <f t="shared" si="16"/>
        <v/>
      </c>
      <c r="R88" s="132" t="str">
        <f>IF(A88="","",IFERROR(INDEX('09_Posicion_Actual'!$P$5:$P$204,MATCH(A88,'09_Posicion_Actual'!$B$5:$B$204,0)),""))</f>
        <v/>
      </c>
      <c r="S88" s="132" t="str">
        <f t="shared" si="17"/>
        <v/>
      </c>
      <c r="T88" s="132"/>
      <c r="U88" s="132"/>
      <c r="V88" s="132"/>
      <c r="W88" s="132"/>
      <c r="X88" s="132"/>
    </row>
    <row r="89" spans="1:24">
      <c r="A89" s="132"/>
      <c r="B89" s="132"/>
      <c r="C89" s="132"/>
      <c r="D89" s="132"/>
      <c r="E89" s="176" t="str">
        <f>IF(A89="","",SUMIFS('14_Inversiones'!$E$5:$E$203,'14_Inversiones'!$B$5:$B$203,A89,'14_Inversiones'!$D$5:$D$203,C89,'14_Inversiones'!$C$5:$C$203,"Compra")+SUMIFS('14_Inversiones'!$E$5:$E$203,'14_Inversiones'!$B$5:$B$203,A89,'14_Inversiones'!$D$5:$D$203,C89,'14_Inversiones'!$C$5:$C$203,"Aporte")+SUMIFS('14_Inversiones'!$E$5:$E$203,'14_Inversiones'!$B$5:$B$203,A89,'14_Inversiones'!$D$5:$D$203,C89,'14_Inversiones'!$C$5:$C$203,"Ajuste"))</f>
        <v/>
      </c>
      <c r="F89" s="176" t="str">
        <f>IF(A89="","",SUMIFS('14_Inversiones'!$E$5:$E$203,'14_Inversiones'!$B$5:$B$203,A89,'14_Inversiones'!$D$5:$D$203,C89,'14_Inversiones'!$C$5:$C$203,"Retiro")+SUMIFS('14_Inversiones'!$E$5:$E$203,'14_Inversiones'!$B$5:$B$203,A89,'14_Inversiones'!$D$5:$D$203,C89,'14_Inversiones'!$C$5:$C$203,"Venta"))</f>
        <v/>
      </c>
      <c r="G89" s="176" t="str">
        <f t="shared" si="12"/>
        <v/>
      </c>
      <c r="H89" s="176" t="str">
        <f>IF(A89="","",IFERROR(INDEX('09_Posicion_Actual'!$G$5:$G$204,MATCH(A89,'09_Posicion_Actual'!$B$5:$B$204,0)),0))</f>
        <v/>
      </c>
      <c r="I89" s="171" t="str">
        <f>IF(A89="","",IFERROR(INDEX('09_Posicion_Actual'!$I$5:$I$204,MATCH(A89,'09_Posicion_Actual'!$B$5:$B$204,0)),0))</f>
        <v/>
      </c>
      <c r="J89" s="176" t="str">
        <f t="shared" si="13"/>
        <v/>
      </c>
      <c r="K89" s="171" t="str">
        <f>IF(A89="","",IF(C89="USD",J89*IFERROR(INDEX('09_Posicion_Actual'!$H$5:$H$204,MATCH(A89,'09_Posicion_Actual'!$B$5:$B$204,0)),950),J89))</f>
        <v/>
      </c>
      <c r="L89" s="180" t="str">
        <f t="shared" si="14"/>
        <v/>
      </c>
      <c r="M89" s="176" t="str">
        <f>IF(A89="","",IFERROR(INDEX('09_Posicion_Actual'!$F$5:$F$204,MATCH(A89,'09_Posicion_Actual'!$B$5:$B$204,0)),""))</f>
        <v/>
      </c>
      <c r="N89" s="177" t="str">
        <f>IF(A89="","",IFERROR(INDEX('09_Posicion_Actual'!$E$5:$E$204,MATCH(A89,'09_Posicion_Actual'!$B$5:$B$204,0)),""))</f>
        <v/>
      </c>
      <c r="O89" s="131" t="str">
        <f>IF(A89="","",IFERROR(INDEX('09_Posicion_Actual'!$A$5:$A$204,MATCH(A89,'09_Posicion_Actual'!$B$5:$B$204,0)),""))</f>
        <v/>
      </c>
      <c r="P89" s="132" t="str">
        <f t="shared" si="15"/>
        <v/>
      </c>
      <c r="Q89" s="132" t="str">
        <f t="shared" si="16"/>
        <v/>
      </c>
      <c r="R89" s="132" t="str">
        <f>IF(A89="","",IFERROR(INDEX('09_Posicion_Actual'!$P$5:$P$204,MATCH(A89,'09_Posicion_Actual'!$B$5:$B$204,0)),""))</f>
        <v/>
      </c>
      <c r="S89" s="132" t="str">
        <f t="shared" si="17"/>
        <v/>
      </c>
      <c r="T89" s="132"/>
      <c r="U89" s="132"/>
      <c r="V89" s="132"/>
      <c r="W89" s="132"/>
      <c r="X89" s="132"/>
    </row>
    <row r="90" spans="1:24">
      <c r="A90" s="132"/>
      <c r="B90" s="132"/>
      <c r="C90" s="132"/>
      <c r="D90" s="132"/>
      <c r="E90" s="176" t="str">
        <f>IF(A90="","",SUMIFS('14_Inversiones'!$E$5:$E$203,'14_Inversiones'!$B$5:$B$203,A90,'14_Inversiones'!$D$5:$D$203,C90,'14_Inversiones'!$C$5:$C$203,"Compra")+SUMIFS('14_Inversiones'!$E$5:$E$203,'14_Inversiones'!$B$5:$B$203,A90,'14_Inversiones'!$D$5:$D$203,C90,'14_Inversiones'!$C$5:$C$203,"Aporte")+SUMIFS('14_Inversiones'!$E$5:$E$203,'14_Inversiones'!$B$5:$B$203,A90,'14_Inversiones'!$D$5:$D$203,C90,'14_Inversiones'!$C$5:$C$203,"Ajuste"))</f>
        <v/>
      </c>
      <c r="F90" s="176" t="str">
        <f>IF(A90="","",SUMIFS('14_Inversiones'!$E$5:$E$203,'14_Inversiones'!$B$5:$B$203,A90,'14_Inversiones'!$D$5:$D$203,C90,'14_Inversiones'!$C$5:$C$203,"Retiro")+SUMIFS('14_Inversiones'!$E$5:$E$203,'14_Inversiones'!$B$5:$B$203,A90,'14_Inversiones'!$D$5:$D$203,C90,'14_Inversiones'!$C$5:$C$203,"Venta"))</f>
        <v/>
      </c>
      <c r="G90" s="176" t="str">
        <f t="shared" si="12"/>
        <v/>
      </c>
      <c r="H90" s="176" t="str">
        <f>IF(A90="","",IFERROR(INDEX('09_Posicion_Actual'!$G$5:$G$204,MATCH(A90,'09_Posicion_Actual'!$B$5:$B$204,0)),0))</f>
        <v/>
      </c>
      <c r="I90" s="171" t="str">
        <f>IF(A90="","",IFERROR(INDEX('09_Posicion_Actual'!$I$5:$I$204,MATCH(A90,'09_Posicion_Actual'!$B$5:$B$204,0)),0))</f>
        <v/>
      </c>
      <c r="J90" s="176" t="str">
        <f t="shared" si="13"/>
        <v/>
      </c>
      <c r="K90" s="171" t="str">
        <f>IF(A90="","",IF(C90="USD",J90*IFERROR(INDEX('09_Posicion_Actual'!$H$5:$H$204,MATCH(A90,'09_Posicion_Actual'!$B$5:$B$204,0)),950),J90))</f>
        <v/>
      </c>
      <c r="L90" s="180" t="str">
        <f t="shared" si="14"/>
        <v/>
      </c>
      <c r="M90" s="176" t="str">
        <f>IF(A90="","",IFERROR(INDEX('09_Posicion_Actual'!$F$5:$F$204,MATCH(A90,'09_Posicion_Actual'!$B$5:$B$204,0)),""))</f>
        <v/>
      </c>
      <c r="N90" s="177" t="str">
        <f>IF(A90="","",IFERROR(INDEX('09_Posicion_Actual'!$E$5:$E$204,MATCH(A90,'09_Posicion_Actual'!$B$5:$B$204,0)),""))</f>
        <v/>
      </c>
      <c r="O90" s="131" t="str">
        <f>IF(A90="","",IFERROR(INDEX('09_Posicion_Actual'!$A$5:$A$204,MATCH(A90,'09_Posicion_Actual'!$B$5:$B$204,0)),""))</f>
        <v/>
      </c>
      <c r="P90" s="132" t="str">
        <f t="shared" si="15"/>
        <v/>
      </c>
      <c r="Q90" s="132" t="str">
        <f t="shared" si="16"/>
        <v/>
      </c>
      <c r="R90" s="132" t="str">
        <f>IF(A90="","",IFERROR(INDEX('09_Posicion_Actual'!$P$5:$P$204,MATCH(A90,'09_Posicion_Actual'!$B$5:$B$204,0)),""))</f>
        <v/>
      </c>
      <c r="S90" s="132" t="str">
        <f t="shared" si="17"/>
        <v/>
      </c>
      <c r="T90" s="132"/>
      <c r="U90" s="132"/>
      <c r="V90" s="132"/>
      <c r="W90" s="132"/>
      <c r="X90" s="132"/>
    </row>
    <row r="91" spans="1:24">
      <c r="A91" s="132"/>
      <c r="B91" s="132"/>
      <c r="C91" s="132"/>
      <c r="D91" s="132"/>
      <c r="E91" s="176" t="str">
        <f>IF(A91="","",SUMIFS('14_Inversiones'!$E$5:$E$203,'14_Inversiones'!$B$5:$B$203,A91,'14_Inversiones'!$D$5:$D$203,C91,'14_Inversiones'!$C$5:$C$203,"Compra")+SUMIFS('14_Inversiones'!$E$5:$E$203,'14_Inversiones'!$B$5:$B$203,A91,'14_Inversiones'!$D$5:$D$203,C91,'14_Inversiones'!$C$5:$C$203,"Aporte")+SUMIFS('14_Inversiones'!$E$5:$E$203,'14_Inversiones'!$B$5:$B$203,A91,'14_Inversiones'!$D$5:$D$203,C91,'14_Inversiones'!$C$5:$C$203,"Ajuste"))</f>
        <v/>
      </c>
      <c r="F91" s="176" t="str">
        <f>IF(A91="","",SUMIFS('14_Inversiones'!$E$5:$E$203,'14_Inversiones'!$B$5:$B$203,A91,'14_Inversiones'!$D$5:$D$203,C91,'14_Inversiones'!$C$5:$C$203,"Retiro")+SUMIFS('14_Inversiones'!$E$5:$E$203,'14_Inversiones'!$B$5:$B$203,A91,'14_Inversiones'!$D$5:$D$203,C91,'14_Inversiones'!$C$5:$C$203,"Venta"))</f>
        <v/>
      </c>
      <c r="G91" s="176" t="str">
        <f t="shared" si="12"/>
        <v/>
      </c>
      <c r="H91" s="176" t="str">
        <f>IF(A91="","",IFERROR(INDEX('09_Posicion_Actual'!$G$5:$G$204,MATCH(A91,'09_Posicion_Actual'!$B$5:$B$204,0)),0))</f>
        <v/>
      </c>
      <c r="I91" s="171" t="str">
        <f>IF(A91="","",IFERROR(INDEX('09_Posicion_Actual'!$I$5:$I$204,MATCH(A91,'09_Posicion_Actual'!$B$5:$B$204,0)),0))</f>
        <v/>
      </c>
      <c r="J91" s="176" t="str">
        <f t="shared" si="13"/>
        <v/>
      </c>
      <c r="K91" s="171" t="str">
        <f>IF(A91="","",IF(C91="USD",J91*IFERROR(INDEX('09_Posicion_Actual'!$H$5:$H$204,MATCH(A91,'09_Posicion_Actual'!$B$5:$B$204,0)),950),J91))</f>
        <v/>
      </c>
      <c r="L91" s="180" t="str">
        <f t="shared" si="14"/>
        <v/>
      </c>
      <c r="M91" s="176" t="str">
        <f>IF(A91="","",IFERROR(INDEX('09_Posicion_Actual'!$F$5:$F$204,MATCH(A91,'09_Posicion_Actual'!$B$5:$B$204,0)),""))</f>
        <v/>
      </c>
      <c r="N91" s="177" t="str">
        <f>IF(A91="","",IFERROR(INDEX('09_Posicion_Actual'!$E$5:$E$204,MATCH(A91,'09_Posicion_Actual'!$B$5:$B$204,0)),""))</f>
        <v/>
      </c>
      <c r="O91" s="131" t="str">
        <f>IF(A91="","",IFERROR(INDEX('09_Posicion_Actual'!$A$5:$A$204,MATCH(A91,'09_Posicion_Actual'!$B$5:$B$204,0)),""))</f>
        <v/>
      </c>
      <c r="P91" s="132" t="str">
        <f t="shared" si="15"/>
        <v/>
      </c>
      <c r="Q91" s="132" t="str">
        <f t="shared" si="16"/>
        <v/>
      </c>
      <c r="R91" s="132" t="str">
        <f>IF(A91="","",IFERROR(INDEX('09_Posicion_Actual'!$P$5:$P$204,MATCH(A91,'09_Posicion_Actual'!$B$5:$B$204,0)),""))</f>
        <v/>
      </c>
      <c r="S91" s="132" t="str">
        <f t="shared" si="17"/>
        <v/>
      </c>
      <c r="T91" s="132"/>
      <c r="U91" s="132"/>
      <c r="V91" s="132"/>
      <c r="W91" s="132"/>
      <c r="X91" s="132"/>
    </row>
    <row r="92" spans="1:24">
      <c r="A92" s="132"/>
      <c r="B92" s="132"/>
      <c r="C92" s="132"/>
      <c r="D92" s="132"/>
      <c r="E92" s="176" t="str">
        <f>IF(A92="","",SUMIFS('14_Inversiones'!$E$5:$E$203,'14_Inversiones'!$B$5:$B$203,A92,'14_Inversiones'!$D$5:$D$203,C92,'14_Inversiones'!$C$5:$C$203,"Compra")+SUMIFS('14_Inversiones'!$E$5:$E$203,'14_Inversiones'!$B$5:$B$203,A92,'14_Inversiones'!$D$5:$D$203,C92,'14_Inversiones'!$C$5:$C$203,"Aporte")+SUMIFS('14_Inversiones'!$E$5:$E$203,'14_Inversiones'!$B$5:$B$203,A92,'14_Inversiones'!$D$5:$D$203,C92,'14_Inversiones'!$C$5:$C$203,"Ajuste"))</f>
        <v/>
      </c>
      <c r="F92" s="176" t="str">
        <f>IF(A92="","",SUMIFS('14_Inversiones'!$E$5:$E$203,'14_Inversiones'!$B$5:$B$203,A92,'14_Inversiones'!$D$5:$D$203,C92,'14_Inversiones'!$C$5:$C$203,"Retiro")+SUMIFS('14_Inversiones'!$E$5:$E$203,'14_Inversiones'!$B$5:$B$203,A92,'14_Inversiones'!$D$5:$D$203,C92,'14_Inversiones'!$C$5:$C$203,"Venta"))</f>
        <v/>
      </c>
      <c r="G92" s="176" t="str">
        <f t="shared" si="12"/>
        <v/>
      </c>
      <c r="H92" s="176" t="str">
        <f>IF(A92="","",IFERROR(INDEX('09_Posicion_Actual'!$G$5:$G$204,MATCH(A92,'09_Posicion_Actual'!$B$5:$B$204,0)),0))</f>
        <v/>
      </c>
      <c r="I92" s="171" t="str">
        <f>IF(A92="","",IFERROR(INDEX('09_Posicion_Actual'!$I$5:$I$204,MATCH(A92,'09_Posicion_Actual'!$B$5:$B$204,0)),0))</f>
        <v/>
      </c>
      <c r="J92" s="176" t="str">
        <f t="shared" si="13"/>
        <v/>
      </c>
      <c r="K92" s="171" t="str">
        <f>IF(A92="","",IF(C92="USD",J92*IFERROR(INDEX('09_Posicion_Actual'!$H$5:$H$204,MATCH(A92,'09_Posicion_Actual'!$B$5:$B$204,0)),950),J92))</f>
        <v/>
      </c>
      <c r="L92" s="180" t="str">
        <f t="shared" si="14"/>
        <v/>
      </c>
      <c r="M92" s="176" t="str">
        <f>IF(A92="","",IFERROR(INDEX('09_Posicion_Actual'!$F$5:$F$204,MATCH(A92,'09_Posicion_Actual'!$B$5:$B$204,0)),""))</f>
        <v/>
      </c>
      <c r="N92" s="177" t="str">
        <f>IF(A92="","",IFERROR(INDEX('09_Posicion_Actual'!$E$5:$E$204,MATCH(A92,'09_Posicion_Actual'!$B$5:$B$204,0)),""))</f>
        <v/>
      </c>
      <c r="O92" s="131" t="str">
        <f>IF(A92="","",IFERROR(INDEX('09_Posicion_Actual'!$A$5:$A$204,MATCH(A92,'09_Posicion_Actual'!$B$5:$B$204,0)),""))</f>
        <v/>
      </c>
      <c r="P92" s="132" t="str">
        <f t="shared" si="15"/>
        <v/>
      </c>
      <c r="Q92" s="132" t="str">
        <f t="shared" si="16"/>
        <v/>
      </c>
      <c r="R92" s="132" t="str">
        <f>IF(A92="","",IFERROR(INDEX('09_Posicion_Actual'!$P$5:$P$204,MATCH(A92,'09_Posicion_Actual'!$B$5:$B$204,0)),""))</f>
        <v/>
      </c>
      <c r="S92" s="132" t="str">
        <f t="shared" si="17"/>
        <v/>
      </c>
      <c r="T92" s="132"/>
      <c r="U92" s="132"/>
      <c r="V92" s="132"/>
      <c r="W92" s="132"/>
      <c r="X92" s="132"/>
    </row>
    <row r="93" spans="1:24">
      <c r="A93" s="132"/>
      <c r="B93" s="132"/>
      <c r="C93" s="132"/>
      <c r="D93" s="132"/>
      <c r="E93" s="176" t="str">
        <f>IF(A93="","",SUMIFS('14_Inversiones'!$E$5:$E$203,'14_Inversiones'!$B$5:$B$203,A93,'14_Inversiones'!$D$5:$D$203,C93,'14_Inversiones'!$C$5:$C$203,"Compra")+SUMIFS('14_Inversiones'!$E$5:$E$203,'14_Inversiones'!$B$5:$B$203,A93,'14_Inversiones'!$D$5:$D$203,C93,'14_Inversiones'!$C$5:$C$203,"Aporte")+SUMIFS('14_Inversiones'!$E$5:$E$203,'14_Inversiones'!$B$5:$B$203,A93,'14_Inversiones'!$D$5:$D$203,C93,'14_Inversiones'!$C$5:$C$203,"Ajuste"))</f>
        <v/>
      </c>
      <c r="F93" s="176" t="str">
        <f>IF(A93="","",SUMIFS('14_Inversiones'!$E$5:$E$203,'14_Inversiones'!$B$5:$B$203,A93,'14_Inversiones'!$D$5:$D$203,C93,'14_Inversiones'!$C$5:$C$203,"Retiro")+SUMIFS('14_Inversiones'!$E$5:$E$203,'14_Inversiones'!$B$5:$B$203,A93,'14_Inversiones'!$D$5:$D$203,C93,'14_Inversiones'!$C$5:$C$203,"Venta"))</f>
        <v/>
      </c>
      <c r="G93" s="176" t="str">
        <f t="shared" si="12"/>
        <v/>
      </c>
      <c r="H93" s="176" t="str">
        <f>IF(A93="","",IFERROR(INDEX('09_Posicion_Actual'!$G$5:$G$204,MATCH(A93,'09_Posicion_Actual'!$B$5:$B$204,0)),0))</f>
        <v/>
      </c>
      <c r="I93" s="171" t="str">
        <f>IF(A93="","",IFERROR(INDEX('09_Posicion_Actual'!$I$5:$I$204,MATCH(A93,'09_Posicion_Actual'!$B$5:$B$204,0)),0))</f>
        <v/>
      </c>
      <c r="J93" s="176" t="str">
        <f t="shared" si="13"/>
        <v/>
      </c>
      <c r="K93" s="171" t="str">
        <f>IF(A93="","",IF(C93="USD",J93*IFERROR(INDEX('09_Posicion_Actual'!$H$5:$H$204,MATCH(A93,'09_Posicion_Actual'!$B$5:$B$204,0)),950),J93))</f>
        <v/>
      </c>
      <c r="L93" s="180" t="str">
        <f t="shared" si="14"/>
        <v/>
      </c>
      <c r="M93" s="176" t="str">
        <f>IF(A93="","",IFERROR(INDEX('09_Posicion_Actual'!$F$5:$F$204,MATCH(A93,'09_Posicion_Actual'!$B$5:$B$204,0)),""))</f>
        <v/>
      </c>
      <c r="N93" s="177" t="str">
        <f>IF(A93="","",IFERROR(INDEX('09_Posicion_Actual'!$E$5:$E$204,MATCH(A93,'09_Posicion_Actual'!$B$5:$B$204,0)),""))</f>
        <v/>
      </c>
      <c r="O93" s="131" t="str">
        <f>IF(A93="","",IFERROR(INDEX('09_Posicion_Actual'!$A$5:$A$204,MATCH(A93,'09_Posicion_Actual'!$B$5:$B$204,0)),""))</f>
        <v/>
      </c>
      <c r="P93" s="132" t="str">
        <f t="shared" si="15"/>
        <v/>
      </c>
      <c r="Q93" s="132" t="str">
        <f t="shared" si="16"/>
        <v/>
      </c>
      <c r="R93" s="132" t="str">
        <f>IF(A93="","",IFERROR(INDEX('09_Posicion_Actual'!$P$5:$P$204,MATCH(A93,'09_Posicion_Actual'!$B$5:$B$204,0)),""))</f>
        <v/>
      </c>
      <c r="S93" s="132" t="str">
        <f t="shared" si="17"/>
        <v/>
      </c>
      <c r="T93" s="132"/>
      <c r="U93" s="132"/>
      <c r="V93" s="132"/>
      <c r="W93" s="132"/>
      <c r="X93" s="132"/>
    </row>
    <row r="94" spans="1:24">
      <c r="A94" s="132"/>
      <c r="B94" s="132"/>
      <c r="C94" s="132"/>
      <c r="D94" s="132"/>
      <c r="E94" s="176" t="str">
        <f>IF(A94="","",SUMIFS('14_Inversiones'!$E$5:$E$203,'14_Inversiones'!$B$5:$B$203,A94,'14_Inversiones'!$D$5:$D$203,C94,'14_Inversiones'!$C$5:$C$203,"Compra")+SUMIFS('14_Inversiones'!$E$5:$E$203,'14_Inversiones'!$B$5:$B$203,A94,'14_Inversiones'!$D$5:$D$203,C94,'14_Inversiones'!$C$5:$C$203,"Aporte")+SUMIFS('14_Inversiones'!$E$5:$E$203,'14_Inversiones'!$B$5:$B$203,A94,'14_Inversiones'!$D$5:$D$203,C94,'14_Inversiones'!$C$5:$C$203,"Ajuste"))</f>
        <v/>
      </c>
      <c r="F94" s="176" t="str">
        <f>IF(A94="","",SUMIFS('14_Inversiones'!$E$5:$E$203,'14_Inversiones'!$B$5:$B$203,A94,'14_Inversiones'!$D$5:$D$203,C94,'14_Inversiones'!$C$5:$C$203,"Retiro")+SUMIFS('14_Inversiones'!$E$5:$E$203,'14_Inversiones'!$B$5:$B$203,A94,'14_Inversiones'!$D$5:$D$203,C94,'14_Inversiones'!$C$5:$C$203,"Venta"))</f>
        <v/>
      </c>
      <c r="G94" s="176" t="str">
        <f t="shared" si="12"/>
        <v/>
      </c>
      <c r="H94" s="176" t="str">
        <f>IF(A94="","",IFERROR(INDEX('09_Posicion_Actual'!$G$5:$G$204,MATCH(A94,'09_Posicion_Actual'!$B$5:$B$204,0)),0))</f>
        <v/>
      </c>
      <c r="I94" s="171" t="str">
        <f>IF(A94="","",IFERROR(INDEX('09_Posicion_Actual'!$I$5:$I$204,MATCH(A94,'09_Posicion_Actual'!$B$5:$B$204,0)),0))</f>
        <v/>
      </c>
      <c r="J94" s="176" t="str">
        <f t="shared" si="13"/>
        <v/>
      </c>
      <c r="K94" s="171" t="str">
        <f>IF(A94="","",IF(C94="USD",J94*IFERROR(INDEX('09_Posicion_Actual'!$H$5:$H$204,MATCH(A94,'09_Posicion_Actual'!$B$5:$B$204,0)),950),J94))</f>
        <v/>
      </c>
      <c r="L94" s="180" t="str">
        <f t="shared" si="14"/>
        <v/>
      </c>
      <c r="M94" s="176" t="str">
        <f>IF(A94="","",IFERROR(INDEX('09_Posicion_Actual'!$F$5:$F$204,MATCH(A94,'09_Posicion_Actual'!$B$5:$B$204,0)),""))</f>
        <v/>
      </c>
      <c r="N94" s="177" t="str">
        <f>IF(A94="","",IFERROR(INDEX('09_Posicion_Actual'!$E$5:$E$204,MATCH(A94,'09_Posicion_Actual'!$B$5:$B$204,0)),""))</f>
        <v/>
      </c>
      <c r="O94" s="131" t="str">
        <f>IF(A94="","",IFERROR(INDEX('09_Posicion_Actual'!$A$5:$A$204,MATCH(A94,'09_Posicion_Actual'!$B$5:$B$204,0)),""))</f>
        <v/>
      </c>
      <c r="P94" s="132" t="str">
        <f t="shared" si="15"/>
        <v/>
      </c>
      <c r="Q94" s="132" t="str">
        <f t="shared" si="16"/>
        <v/>
      </c>
      <c r="R94" s="132" t="str">
        <f>IF(A94="","",IFERROR(INDEX('09_Posicion_Actual'!$P$5:$P$204,MATCH(A94,'09_Posicion_Actual'!$B$5:$B$204,0)),""))</f>
        <v/>
      </c>
      <c r="S94" s="132" t="str">
        <f t="shared" si="17"/>
        <v/>
      </c>
      <c r="T94" s="132"/>
      <c r="U94" s="132"/>
      <c r="V94" s="132"/>
      <c r="W94" s="132"/>
      <c r="X94" s="132"/>
    </row>
    <row r="95" spans="1:24">
      <c r="A95" s="132"/>
      <c r="B95" s="132"/>
      <c r="C95" s="132"/>
      <c r="D95" s="132"/>
      <c r="E95" s="176" t="str">
        <f>IF(A95="","",SUMIFS('14_Inversiones'!$E$5:$E$203,'14_Inversiones'!$B$5:$B$203,A95,'14_Inversiones'!$D$5:$D$203,C95,'14_Inversiones'!$C$5:$C$203,"Compra")+SUMIFS('14_Inversiones'!$E$5:$E$203,'14_Inversiones'!$B$5:$B$203,A95,'14_Inversiones'!$D$5:$D$203,C95,'14_Inversiones'!$C$5:$C$203,"Aporte")+SUMIFS('14_Inversiones'!$E$5:$E$203,'14_Inversiones'!$B$5:$B$203,A95,'14_Inversiones'!$D$5:$D$203,C95,'14_Inversiones'!$C$5:$C$203,"Ajuste"))</f>
        <v/>
      </c>
      <c r="F95" s="176" t="str">
        <f>IF(A95="","",SUMIFS('14_Inversiones'!$E$5:$E$203,'14_Inversiones'!$B$5:$B$203,A95,'14_Inversiones'!$D$5:$D$203,C95,'14_Inversiones'!$C$5:$C$203,"Retiro")+SUMIFS('14_Inversiones'!$E$5:$E$203,'14_Inversiones'!$B$5:$B$203,A95,'14_Inversiones'!$D$5:$D$203,C95,'14_Inversiones'!$C$5:$C$203,"Venta"))</f>
        <v/>
      </c>
      <c r="G95" s="176" t="str">
        <f t="shared" si="12"/>
        <v/>
      </c>
      <c r="H95" s="176" t="str">
        <f>IF(A95="","",IFERROR(INDEX('09_Posicion_Actual'!$G$5:$G$204,MATCH(A95,'09_Posicion_Actual'!$B$5:$B$204,0)),0))</f>
        <v/>
      </c>
      <c r="I95" s="171" t="str">
        <f>IF(A95="","",IFERROR(INDEX('09_Posicion_Actual'!$I$5:$I$204,MATCH(A95,'09_Posicion_Actual'!$B$5:$B$204,0)),0))</f>
        <v/>
      </c>
      <c r="J95" s="176" t="str">
        <f t="shared" si="13"/>
        <v/>
      </c>
      <c r="K95" s="171" t="str">
        <f>IF(A95="","",IF(C95="USD",J95*IFERROR(INDEX('09_Posicion_Actual'!$H$5:$H$204,MATCH(A95,'09_Posicion_Actual'!$B$5:$B$204,0)),950),J95))</f>
        <v/>
      </c>
      <c r="L95" s="180" t="str">
        <f t="shared" si="14"/>
        <v/>
      </c>
      <c r="M95" s="176" t="str">
        <f>IF(A95="","",IFERROR(INDEX('09_Posicion_Actual'!$F$5:$F$204,MATCH(A95,'09_Posicion_Actual'!$B$5:$B$204,0)),""))</f>
        <v/>
      </c>
      <c r="N95" s="177" t="str">
        <f>IF(A95="","",IFERROR(INDEX('09_Posicion_Actual'!$E$5:$E$204,MATCH(A95,'09_Posicion_Actual'!$B$5:$B$204,0)),""))</f>
        <v/>
      </c>
      <c r="O95" s="131" t="str">
        <f>IF(A95="","",IFERROR(INDEX('09_Posicion_Actual'!$A$5:$A$204,MATCH(A95,'09_Posicion_Actual'!$B$5:$B$204,0)),""))</f>
        <v/>
      </c>
      <c r="P95" s="132" t="str">
        <f t="shared" si="15"/>
        <v/>
      </c>
      <c r="Q95" s="132" t="str">
        <f t="shared" si="16"/>
        <v/>
      </c>
      <c r="R95" s="132" t="str">
        <f>IF(A95="","",IFERROR(INDEX('09_Posicion_Actual'!$P$5:$P$204,MATCH(A95,'09_Posicion_Actual'!$B$5:$B$204,0)),""))</f>
        <v/>
      </c>
      <c r="S95" s="132" t="str">
        <f t="shared" si="17"/>
        <v/>
      </c>
      <c r="T95" s="132"/>
      <c r="U95" s="132"/>
      <c r="V95" s="132"/>
      <c r="W95" s="132"/>
      <c r="X95" s="132"/>
    </row>
    <row r="96" spans="1:24">
      <c r="A96" s="132"/>
      <c r="B96" s="132"/>
      <c r="C96" s="132"/>
      <c r="D96" s="132"/>
      <c r="E96" s="176" t="str">
        <f>IF(A96="","",SUMIFS('14_Inversiones'!$E$5:$E$203,'14_Inversiones'!$B$5:$B$203,A96,'14_Inversiones'!$D$5:$D$203,C96,'14_Inversiones'!$C$5:$C$203,"Compra")+SUMIFS('14_Inversiones'!$E$5:$E$203,'14_Inversiones'!$B$5:$B$203,A96,'14_Inversiones'!$D$5:$D$203,C96,'14_Inversiones'!$C$5:$C$203,"Aporte")+SUMIFS('14_Inversiones'!$E$5:$E$203,'14_Inversiones'!$B$5:$B$203,A96,'14_Inversiones'!$D$5:$D$203,C96,'14_Inversiones'!$C$5:$C$203,"Ajuste"))</f>
        <v/>
      </c>
      <c r="F96" s="176" t="str">
        <f>IF(A96="","",SUMIFS('14_Inversiones'!$E$5:$E$203,'14_Inversiones'!$B$5:$B$203,A96,'14_Inversiones'!$D$5:$D$203,C96,'14_Inversiones'!$C$5:$C$203,"Retiro")+SUMIFS('14_Inversiones'!$E$5:$E$203,'14_Inversiones'!$B$5:$B$203,A96,'14_Inversiones'!$D$5:$D$203,C96,'14_Inversiones'!$C$5:$C$203,"Venta"))</f>
        <v/>
      </c>
      <c r="G96" s="176" t="str">
        <f t="shared" si="12"/>
        <v/>
      </c>
      <c r="H96" s="176" t="str">
        <f>IF(A96="","",IFERROR(INDEX('09_Posicion_Actual'!$G$5:$G$204,MATCH(A96,'09_Posicion_Actual'!$B$5:$B$204,0)),0))</f>
        <v/>
      </c>
      <c r="I96" s="171" t="str">
        <f>IF(A96="","",IFERROR(INDEX('09_Posicion_Actual'!$I$5:$I$204,MATCH(A96,'09_Posicion_Actual'!$B$5:$B$204,0)),0))</f>
        <v/>
      </c>
      <c r="J96" s="176" t="str">
        <f t="shared" si="13"/>
        <v/>
      </c>
      <c r="K96" s="171" t="str">
        <f>IF(A96="","",IF(C96="USD",J96*IFERROR(INDEX('09_Posicion_Actual'!$H$5:$H$204,MATCH(A96,'09_Posicion_Actual'!$B$5:$B$204,0)),950),J96))</f>
        <v/>
      </c>
      <c r="L96" s="180" t="str">
        <f t="shared" si="14"/>
        <v/>
      </c>
      <c r="M96" s="176" t="str">
        <f>IF(A96="","",IFERROR(INDEX('09_Posicion_Actual'!$F$5:$F$204,MATCH(A96,'09_Posicion_Actual'!$B$5:$B$204,0)),""))</f>
        <v/>
      </c>
      <c r="N96" s="177" t="str">
        <f>IF(A96="","",IFERROR(INDEX('09_Posicion_Actual'!$E$5:$E$204,MATCH(A96,'09_Posicion_Actual'!$B$5:$B$204,0)),""))</f>
        <v/>
      </c>
      <c r="O96" s="131" t="str">
        <f>IF(A96="","",IFERROR(INDEX('09_Posicion_Actual'!$A$5:$A$204,MATCH(A96,'09_Posicion_Actual'!$B$5:$B$204,0)),""))</f>
        <v/>
      </c>
      <c r="P96" s="132" t="str">
        <f t="shared" si="15"/>
        <v/>
      </c>
      <c r="Q96" s="132" t="str">
        <f t="shared" si="16"/>
        <v/>
      </c>
      <c r="R96" s="132" t="str">
        <f>IF(A96="","",IFERROR(INDEX('09_Posicion_Actual'!$P$5:$P$204,MATCH(A96,'09_Posicion_Actual'!$B$5:$B$204,0)),""))</f>
        <v/>
      </c>
      <c r="S96" s="132" t="str">
        <f t="shared" si="17"/>
        <v/>
      </c>
      <c r="T96" s="132"/>
      <c r="U96" s="132"/>
      <c r="V96" s="132"/>
      <c r="W96" s="132"/>
      <c r="X96" s="132"/>
    </row>
    <row r="97" spans="1:24">
      <c r="A97" s="132"/>
      <c r="B97" s="132"/>
      <c r="C97" s="132"/>
      <c r="D97" s="132"/>
      <c r="E97" s="176" t="str">
        <f>IF(A97="","",SUMIFS('14_Inversiones'!$E$5:$E$203,'14_Inversiones'!$B$5:$B$203,A97,'14_Inversiones'!$D$5:$D$203,C97,'14_Inversiones'!$C$5:$C$203,"Compra")+SUMIFS('14_Inversiones'!$E$5:$E$203,'14_Inversiones'!$B$5:$B$203,A97,'14_Inversiones'!$D$5:$D$203,C97,'14_Inversiones'!$C$5:$C$203,"Aporte")+SUMIFS('14_Inversiones'!$E$5:$E$203,'14_Inversiones'!$B$5:$B$203,A97,'14_Inversiones'!$D$5:$D$203,C97,'14_Inversiones'!$C$5:$C$203,"Ajuste"))</f>
        <v/>
      </c>
      <c r="F97" s="176" t="str">
        <f>IF(A97="","",SUMIFS('14_Inversiones'!$E$5:$E$203,'14_Inversiones'!$B$5:$B$203,A97,'14_Inversiones'!$D$5:$D$203,C97,'14_Inversiones'!$C$5:$C$203,"Retiro")+SUMIFS('14_Inversiones'!$E$5:$E$203,'14_Inversiones'!$B$5:$B$203,A97,'14_Inversiones'!$D$5:$D$203,C97,'14_Inversiones'!$C$5:$C$203,"Venta"))</f>
        <v/>
      </c>
      <c r="G97" s="176" t="str">
        <f t="shared" si="12"/>
        <v/>
      </c>
      <c r="H97" s="176" t="str">
        <f>IF(A97="","",IFERROR(INDEX('09_Posicion_Actual'!$G$5:$G$204,MATCH(A97,'09_Posicion_Actual'!$B$5:$B$204,0)),0))</f>
        <v/>
      </c>
      <c r="I97" s="171" t="str">
        <f>IF(A97="","",IFERROR(INDEX('09_Posicion_Actual'!$I$5:$I$204,MATCH(A97,'09_Posicion_Actual'!$B$5:$B$204,0)),0))</f>
        <v/>
      </c>
      <c r="J97" s="176" t="str">
        <f t="shared" si="13"/>
        <v/>
      </c>
      <c r="K97" s="171" t="str">
        <f>IF(A97="","",IF(C97="USD",J97*IFERROR(INDEX('09_Posicion_Actual'!$H$5:$H$204,MATCH(A97,'09_Posicion_Actual'!$B$5:$B$204,0)),950),J97))</f>
        <v/>
      </c>
      <c r="L97" s="180" t="str">
        <f t="shared" si="14"/>
        <v/>
      </c>
      <c r="M97" s="176" t="str">
        <f>IF(A97="","",IFERROR(INDEX('09_Posicion_Actual'!$F$5:$F$204,MATCH(A97,'09_Posicion_Actual'!$B$5:$B$204,0)),""))</f>
        <v/>
      </c>
      <c r="N97" s="177" t="str">
        <f>IF(A97="","",IFERROR(INDEX('09_Posicion_Actual'!$E$5:$E$204,MATCH(A97,'09_Posicion_Actual'!$B$5:$B$204,0)),""))</f>
        <v/>
      </c>
      <c r="O97" s="131" t="str">
        <f>IF(A97="","",IFERROR(INDEX('09_Posicion_Actual'!$A$5:$A$204,MATCH(A97,'09_Posicion_Actual'!$B$5:$B$204,0)),""))</f>
        <v/>
      </c>
      <c r="P97" s="132" t="str">
        <f t="shared" si="15"/>
        <v/>
      </c>
      <c r="Q97" s="132" t="str">
        <f t="shared" si="16"/>
        <v/>
      </c>
      <c r="R97" s="132" t="str">
        <f>IF(A97="","",IFERROR(INDEX('09_Posicion_Actual'!$P$5:$P$204,MATCH(A97,'09_Posicion_Actual'!$B$5:$B$204,0)),""))</f>
        <v/>
      </c>
      <c r="S97" s="132" t="str">
        <f t="shared" si="17"/>
        <v/>
      </c>
      <c r="T97" s="132"/>
      <c r="U97" s="132"/>
      <c r="V97" s="132"/>
      <c r="W97" s="132"/>
      <c r="X97" s="132"/>
    </row>
    <row r="98" spans="1:24">
      <c r="A98" s="132"/>
      <c r="B98" s="132"/>
      <c r="C98" s="132"/>
      <c r="D98" s="132"/>
      <c r="E98" s="176" t="str">
        <f>IF(A98="","",SUMIFS('14_Inversiones'!$E$5:$E$203,'14_Inversiones'!$B$5:$B$203,A98,'14_Inversiones'!$D$5:$D$203,C98,'14_Inversiones'!$C$5:$C$203,"Compra")+SUMIFS('14_Inversiones'!$E$5:$E$203,'14_Inversiones'!$B$5:$B$203,A98,'14_Inversiones'!$D$5:$D$203,C98,'14_Inversiones'!$C$5:$C$203,"Aporte")+SUMIFS('14_Inversiones'!$E$5:$E$203,'14_Inversiones'!$B$5:$B$203,A98,'14_Inversiones'!$D$5:$D$203,C98,'14_Inversiones'!$C$5:$C$203,"Ajuste"))</f>
        <v/>
      </c>
      <c r="F98" s="176" t="str">
        <f>IF(A98="","",SUMIFS('14_Inversiones'!$E$5:$E$203,'14_Inversiones'!$B$5:$B$203,A98,'14_Inversiones'!$D$5:$D$203,C98,'14_Inversiones'!$C$5:$C$203,"Retiro")+SUMIFS('14_Inversiones'!$E$5:$E$203,'14_Inversiones'!$B$5:$B$203,A98,'14_Inversiones'!$D$5:$D$203,C98,'14_Inversiones'!$C$5:$C$203,"Venta"))</f>
        <v/>
      </c>
      <c r="G98" s="176" t="str">
        <f t="shared" si="12"/>
        <v/>
      </c>
      <c r="H98" s="176" t="str">
        <f>IF(A98="","",IFERROR(INDEX('09_Posicion_Actual'!$G$5:$G$204,MATCH(A98,'09_Posicion_Actual'!$B$5:$B$204,0)),0))</f>
        <v/>
      </c>
      <c r="I98" s="171" t="str">
        <f>IF(A98="","",IFERROR(INDEX('09_Posicion_Actual'!$I$5:$I$204,MATCH(A98,'09_Posicion_Actual'!$B$5:$B$204,0)),0))</f>
        <v/>
      </c>
      <c r="J98" s="176" t="str">
        <f t="shared" si="13"/>
        <v/>
      </c>
      <c r="K98" s="171" t="str">
        <f>IF(A98="","",IF(C98="USD",J98*IFERROR(INDEX('09_Posicion_Actual'!$H$5:$H$204,MATCH(A98,'09_Posicion_Actual'!$B$5:$B$204,0)),950),J98))</f>
        <v/>
      </c>
      <c r="L98" s="180" t="str">
        <f t="shared" si="14"/>
        <v/>
      </c>
      <c r="M98" s="176" t="str">
        <f>IF(A98="","",IFERROR(INDEX('09_Posicion_Actual'!$F$5:$F$204,MATCH(A98,'09_Posicion_Actual'!$B$5:$B$204,0)),""))</f>
        <v/>
      </c>
      <c r="N98" s="177" t="str">
        <f>IF(A98="","",IFERROR(INDEX('09_Posicion_Actual'!$E$5:$E$204,MATCH(A98,'09_Posicion_Actual'!$B$5:$B$204,0)),""))</f>
        <v/>
      </c>
      <c r="O98" s="131" t="str">
        <f>IF(A98="","",IFERROR(INDEX('09_Posicion_Actual'!$A$5:$A$204,MATCH(A98,'09_Posicion_Actual'!$B$5:$B$204,0)),""))</f>
        <v/>
      </c>
      <c r="P98" s="132" t="str">
        <f t="shared" si="15"/>
        <v/>
      </c>
      <c r="Q98" s="132" t="str">
        <f t="shared" si="16"/>
        <v/>
      </c>
      <c r="R98" s="132" t="str">
        <f>IF(A98="","",IFERROR(INDEX('09_Posicion_Actual'!$P$5:$P$204,MATCH(A98,'09_Posicion_Actual'!$B$5:$B$204,0)),""))</f>
        <v/>
      </c>
      <c r="S98" s="132" t="str">
        <f t="shared" si="17"/>
        <v/>
      </c>
      <c r="T98" s="132"/>
      <c r="U98" s="132"/>
      <c r="V98" s="132"/>
      <c r="W98" s="132"/>
      <c r="X98" s="132"/>
    </row>
    <row r="99" spans="1:24">
      <c r="A99" s="132"/>
      <c r="B99" s="132"/>
      <c r="C99" s="132"/>
      <c r="D99" s="132"/>
      <c r="E99" s="176" t="str">
        <f>IF(A99="","",SUMIFS('14_Inversiones'!$E$5:$E$203,'14_Inversiones'!$B$5:$B$203,A99,'14_Inversiones'!$D$5:$D$203,C99,'14_Inversiones'!$C$5:$C$203,"Compra")+SUMIFS('14_Inversiones'!$E$5:$E$203,'14_Inversiones'!$B$5:$B$203,A99,'14_Inversiones'!$D$5:$D$203,C99,'14_Inversiones'!$C$5:$C$203,"Aporte")+SUMIFS('14_Inversiones'!$E$5:$E$203,'14_Inversiones'!$B$5:$B$203,A99,'14_Inversiones'!$D$5:$D$203,C99,'14_Inversiones'!$C$5:$C$203,"Ajuste"))</f>
        <v/>
      </c>
      <c r="F99" s="176" t="str">
        <f>IF(A99="","",SUMIFS('14_Inversiones'!$E$5:$E$203,'14_Inversiones'!$B$5:$B$203,A99,'14_Inversiones'!$D$5:$D$203,C99,'14_Inversiones'!$C$5:$C$203,"Retiro")+SUMIFS('14_Inversiones'!$E$5:$E$203,'14_Inversiones'!$B$5:$B$203,A99,'14_Inversiones'!$D$5:$D$203,C99,'14_Inversiones'!$C$5:$C$203,"Venta"))</f>
        <v/>
      </c>
      <c r="G99" s="176" t="str">
        <f t="shared" si="12"/>
        <v/>
      </c>
      <c r="H99" s="176" t="str">
        <f>IF(A99="","",IFERROR(INDEX('09_Posicion_Actual'!$G$5:$G$204,MATCH(A99,'09_Posicion_Actual'!$B$5:$B$204,0)),0))</f>
        <v/>
      </c>
      <c r="I99" s="171" t="str">
        <f>IF(A99="","",IFERROR(INDEX('09_Posicion_Actual'!$I$5:$I$204,MATCH(A99,'09_Posicion_Actual'!$B$5:$B$204,0)),0))</f>
        <v/>
      </c>
      <c r="J99" s="176" t="str">
        <f t="shared" si="13"/>
        <v/>
      </c>
      <c r="K99" s="171" t="str">
        <f>IF(A99="","",IF(C99="USD",J99*IFERROR(INDEX('09_Posicion_Actual'!$H$5:$H$204,MATCH(A99,'09_Posicion_Actual'!$B$5:$B$204,0)),950),J99))</f>
        <v/>
      </c>
      <c r="L99" s="180" t="str">
        <f t="shared" si="14"/>
        <v/>
      </c>
      <c r="M99" s="176" t="str">
        <f>IF(A99="","",IFERROR(INDEX('09_Posicion_Actual'!$F$5:$F$204,MATCH(A99,'09_Posicion_Actual'!$B$5:$B$204,0)),""))</f>
        <v/>
      </c>
      <c r="N99" s="177" t="str">
        <f>IF(A99="","",IFERROR(INDEX('09_Posicion_Actual'!$E$5:$E$204,MATCH(A99,'09_Posicion_Actual'!$B$5:$B$204,0)),""))</f>
        <v/>
      </c>
      <c r="O99" s="131" t="str">
        <f>IF(A99="","",IFERROR(INDEX('09_Posicion_Actual'!$A$5:$A$204,MATCH(A99,'09_Posicion_Actual'!$B$5:$B$204,0)),""))</f>
        <v/>
      </c>
      <c r="P99" s="132" t="str">
        <f t="shared" si="15"/>
        <v/>
      </c>
      <c r="Q99" s="132" t="str">
        <f t="shared" si="16"/>
        <v/>
      </c>
      <c r="R99" s="132" t="str">
        <f>IF(A99="","",IFERROR(INDEX('09_Posicion_Actual'!$P$5:$P$204,MATCH(A99,'09_Posicion_Actual'!$B$5:$B$204,0)),""))</f>
        <v/>
      </c>
      <c r="S99" s="132" t="str">
        <f t="shared" si="17"/>
        <v/>
      </c>
      <c r="T99" s="132"/>
      <c r="U99" s="132"/>
      <c r="V99" s="132"/>
      <c r="W99" s="132"/>
      <c r="X99" s="132"/>
    </row>
    <row r="100" spans="1:24">
      <c r="A100" s="132"/>
      <c r="B100" s="132"/>
      <c r="C100" s="132"/>
      <c r="D100" s="132"/>
      <c r="E100" s="176" t="str">
        <f>IF(A100="","",SUMIFS('14_Inversiones'!$E$5:$E$203,'14_Inversiones'!$B$5:$B$203,A100,'14_Inversiones'!$D$5:$D$203,C100,'14_Inversiones'!$C$5:$C$203,"Compra")+SUMIFS('14_Inversiones'!$E$5:$E$203,'14_Inversiones'!$B$5:$B$203,A100,'14_Inversiones'!$D$5:$D$203,C100,'14_Inversiones'!$C$5:$C$203,"Aporte")+SUMIFS('14_Inversiones'!$E$5:$E$203,'14_Inversiones'!$B$5:$B$203,A100,'14_Inversiones'!$D$5:$D$203,C100,'14_Inversiones'!$C$5:$C$203,"Ajuste"))</f>
        <v/>
      </c>
      <c r="F100" s="176" t="str">
        <f>IF(A100="","",SUMIFS('14_Inversiones'!$E$5:$E$203,'14_Inversiones'!$B$5:$B$203,A100,'14_Inversiones'!$D$5:$D$203,C100,'14_Inversiones'!$C$5:$C$203,"Retiro")+SUMIFS('14_Inversiones'!$E$5:$E$203,'14_Inversiones'!$B$5:$B$203,A100,'14_Inversiones'!$D$5:$D$203,C100,'14_Inversiones'!$C$5:$C$203,"Venta"))</f>
        <v/>
      </c>
      <c r="G100" s="176" t="str">
        <f t="shared" si="12"/>
        <v/>
      </c>
      <c r="H100" s="176" t="str">
        <f>IF(A100="","",IFERROR(INDEX('09_Posicion_Actual'!$G$5:$G$204,MATCH(A100,'09_Posicion_Actual'!$B$5:$B$204,0)),0))</f>
        <v/>
      </c>
      <c r="I100" s="171" t="str">
        <f>IF(A100="","",IFERROR(INDEX('09_Posicion_Actual'!$I$5:$I$204,MATCH(A100,'09_Posicion_Actual'!$B$5:$B$204,0)),0))</f>
        <v/>
      </c>
      <c r="J100" s="176" t="str">
        <f t="shared" si="13"/>
        <v/>
      </c>
      <c r="K100" s="171" t="str">
        <f>IF(A100="","",IF(C100="USD",J100*IFERROR(INDEX('09_Posicion_Actual'!$H$5:$H$204,MATCH(A100,'09_Posicion_Actual'!$B$5:$B$204,0)),950),J100))</f>
        <v/>
      </c>
      <c r="L100" s="180" t="str">
        <f t="shared" si="14"/>
        <v/>
      </c>
      <c r="M100" s="176" t="str">
        <f>IF(A100="","",IFERROR(INDEX('09_Posicion_Actual'!$F$5:$F$204,MATCH(A100,'09_Posicion_Actual'!$B$5:$B$204,0)),""))</f>
        <v/>
      </c>
      <c r="N100" s="177" t="str">
        <f>IF(A100="","",IFERROR(INDEX('09_Posicion_Actual'!$E$5:$E$204,MATCH(A100,'09_Posicion_Actual'!$B$5:$B$204,0)),""))</f>
        <v/>
      </c>
      <c r="O100" s="131" t="str">
        <f>IF(A100="","",IFERROR(INDEX('09_Posicion_Actual'!$A$5:$A$204,MATCH(A100,'09_Posicion_Actual'!$B$5:$B$204,0)),""))</f>
        <v/>
      </c>
      <c r="P100" s="132" t="str">
        <f t="shared" si="15"/>
        <v/>
      </c>
      <c r="Q100" s="132" t="str">
        <f t="shared" si="16"/>
        <v/>
      </c>
      <c r="R100" s="132" t="str">
        <f>IF(A100="","",IFERROR(INDEX('09_Posicion_Actual'!$P$5:$P$204,MATCH(A100,'09_Posicion_Actual'!$B$5:$B$204,0)),""))</f>
        <v/>
      </c>
      <c r="S100" s="132" t="str">
        <f t="shared" si="17"/>
        <v/>
      </c>
      <c r="T100" s="132"/>
      <c r="U100" s="132"/>
      <c r="V100" s="132"/>
      <c r="W100" s="132"/>
      <c r="X100" s="132"/>
    </row>
    <row r="101" spans="1:24">
      <c r="A101" s="132"/>
      <c r="B101" s="132"/>
      <c r="C101" s="132"/>
      <c r="D101" s="132"/>
      <c r="E101" s="176" t="str">
        <f>IF(A101="","",SUMIFS('14_Inversiones'!$E$5:$E$203,'14_Inversiones'!$B$5:$B$203,A101,'14_Inversiones'!$D$5:$D$203,C101,'14_Inversiones'!$C$5:$C$203,"Compra")+SUMIFS('14_Inversiones'!$E$5:$E$203,'14_Inversiones'!$B$5:$B$203,A101,'14_Inversiones'!$D$5:$D$203,C101,'14_Inversiones'!$C$5:$C$203,"Aporte")+SUMIFS('14_Inversiones'!$E$5:$E$203,'14_Inversiones'!$B$5:$B$203,A101,'14_Inversiones'!$D$5:$D$203,C101,'14_Inversiones'!$C$5:$C$203,"Ajuste"))</f>
        <v/>
      </c>
      <c r="F101" s="176" t="str">
        <f>IF(A101="","",SUMIFS('14_Inversiones'!$E$5:$E$203,'14_Inversiones'!$B$5:$B$203,A101,'14_Inversiones'!$D$5:$D$203,C101,'14_Inversiones'!$C$5:$C$203,"Retiro")+SUMIFS('14_Inversiones'!$E$5:$E$203,'14_Inversiones'!$B$5:$B$203,A101,'14_Inversiones'!$D$5:$D$203,C101,'14_Inversiones'!$C$5:$C$203,"Venta"))</f>
        <v/>
      </c>
      <c r="G101" s="176" t="str">
        <f t="shared" ref="G101:G132" si="18">IF(A101="","",E101-F101)</f>
        <v/>
      </c>
      <c r="H101" s="176" t="str">
        <f>IF(A101="","",IFERROR(INDEX('09_Posicion_Actual'!$G$5:$G$204,MATCH(A101,'09_Posicion_Actual'!$B$5:$B$204,0)),0))</f>
        <v/>
      </c>
      <c r="I101" s="171" t="str">
        <f>IF(A101="","",IFERROR(INDEX('09_Posicion_Actual'!$I$5:$I$204,MATCH(A101,'09_Posicion_Actual'!$B$5:$B$204,0)),0))</f>
        <v/>
      </c>
      <c r="J101" s="176" t="str">
        <f t="shared" ref="J101:J132" si="19">IF(A101="","",H101-G101)</f>
        <v/>
      </c>
      <c r="K101" s="171" t="str">
        <f>IF(A101="","",IF(C101="USD",J101*IFERROR(INDEX('09_Posicion_Actual'!$H$5:$H$204,MATCH(A101,'09_Posicion_Actual'!$B$5:$B$204,0)),950),J101))</f>
        <v/>
      </c>
      <c r="L101" s="180" t="str">
        <f t="shared" ref="L101:L132" si="20">IF(OR(A101="",G101&lt;=0),"",J101/G101)</f>
        <v/>
      </c>
      <c r="M101" s="176" t="str">
        <f>IF(A101="","",IFERROR(INDEX('09_Posicion_Actual'!$F$5:$F$204,MATCH(A101,'09_Posicion_Actual'!$B$5:$B$204,0)),""))</f>
        <v/>
      </c>
      <c r="N101" s="177" t="str">
        <f>IF(A101="","",IFERROR(INDEX('09_Posicion_Actual'!$E$5:$E$204,MATCH(A101,'09_Posicion_Actual'!$B$5:$B$204,0)),""))</f>
        <v/>
      </c>
      <c r="O101" s="131" t="str">
        <f>IF(A101="","",IFERROR(INDEX('09_Posicion_Actual'!$A$5:$A$204,MATCH(A101,'09_Posicion_Actual'!$B$5:$B$204,0)),""))</f>
        <v/>
      </c>
      <c r="P101" s="132" t="str">
        <f t="shared" ref="P101:P132" si="21">IF(A101="","",IF(G101&lt;=0,"🟡 Revisar aporte",IF(J101&gt;0,"🟢 Ganancia",IF(J101&lt;0,"🔴 Pérdida","🟡 Neutra"))))</f>
        <v/>
      </c>
      <c r="Q101" s="132" t="str">
        <f t="shared" ref="Q101:Q132" si="22">IF(A101="","","Rentabilidad acumulada desde aportes registrados; no diaria ni mensual")</f>
        <v/>
      </c>
      <c r="R101" s="132" t="str">
        <f>IF(A101="","",IFERROR(INDEX('09_Posicion_Actual'!$P$5:$P$204,MATCH(A101,'09_Posicion_Actual'!$B$5:$B$204,0)),""))</f>
        <v/>
      </c>
      <c r="S101" s="132" t="str">
        <f t="shared" ref="S101:S132" si="23">IF(A101="","","14_Inversiones + 09_Posicion_Actual")</f>
        <v/>
      </c>
      <c r="T101" s="132"/>
      <c r="U101" s="132"/>
      <c r="V101" s="132"/>
      <c r="W101" s="132"/>
      <c r="X101" s="132"/>
    </row>
    <row r="102" spans="1:24">
      <c r="A102" s="132"/>
      <c r="B102" s="132"/>
      <c r="C102" s="132"/>
      <c r="D102" s="132"/>
      <c r="E102" s="176" t="str">
        <f>IF(A102="","",SUMIFS('14_Inversiones'!$E$5:$E$203,'14_Inversiones'!$B$5:$B$203,A102,'14_Inversiones'!$D$5:$D$203,C102,'14_Inversiones'!$C$5:$C$203,"Compra")+SUMIFS('14_Inversiones'!$E$5:$E$203,'14_Inversiones'!$B$5:$B$203,A102,'14_Inversiones'!$D$5:$D$203,C102,'14_Inversiones'!$C$5:$C$203,"Aporte")+SUMIFS('14_Inversiones'!$E$5:$E$203,'14_Inversiones'!$B$5:$B$203,A102,'14_Inversiones'!$D$5:$D$203,C102,'14_Inversiones'!$C$5:$C$203,"Ajuste"))</f>
        <v/>
      </c>
      <c r="F102" s="176" t="str">
        <f>IF(A102="","",SUMIFS('14_Inversiones'!$E$5:$E$203,'14_Inversiones'!$B$5:$B$203,A102,'14_Inversiones'!$D$5:$D$203,C102,'14_Inversiones'!$C$5:$C$203,"Retiro")+SUMIFS('14_Inversiones'!$E$5:$E$203,'14_Inversiones'!$B$5:$B$203,A102,'14_Inversiones'!$D$5:$D$203,C102,'14_Inversiones'!$C$5:$C$203,"Venta"))</f>
        <v/>
      </c>
      <c r="G102" s="176" t="str">
        <f t="shared" si="18"/>
        <v/>
      </c>
      <c r="H102" s="176" t="str">
        <f>IF(A102="","",IFERROR(INDEX('09_Posicion_Actual'!$G$5:$G$204,MATCH(A102,'09_Posicion_Actual'!$B$5:$B$204,0)),0))</f>
        <v/>
      </c>
      <c r="I102" s="171" t="str">
        <f>IF(A102="","",IFERROR(INDEX('09_Posicion_Actual'!$I$5:$I$204,MATCH(A102,'09_Posicion_Actual'!$B$5:$B$204,0)),0))</f>
        <v/>
      </c>
      <c r="J102" s="176" t="str">
        <f t="shared" si="19"/>
        <v/>
      </c>
      <c r="K102" s="171" t="str">
        <f>IF(A102="","",IF(C102="USD",J102*IFERROR(INDEX('09_Posicion_Actual'!$H$5:$H$204,MATCH(A102,'09_Posicion_Actual'!$B$5:$B$204,0)),950),J102))</f>
        <v/>
      </c>
      <c r="L102" s="180" t="str">
        <f t="shared" si="20"/>
        <v/>
      </c>
      <c r="M102" s="176" t="str">
        <f>IF(A102="","",IFERROR(INDEX('09_Posicion_Actual'!$F$5:$F$204,MATCH(A102,'09_Posicion_Actual'!$B$5:$B$204,0)),""))</f>
        <v/>
      </c>
      <c r="N102" s="177" t="str">
        <f>IF(A102="","",IFERROR(INDEX('09_Posicion_Actual'!$E$5:$E$204,MATCH(A102,'09_Posicion_Actual'!$B$5:$B$204,0)),""))</f>
        <v/>
      </c>
      <c r="O102" s="131" t="str">
        <f>IF(A102="","",IFERROR(INDEX('09_Posicion_Actual'!$A$5:$A$204,MATCH(A102,'09_Posicion_Actual'!$B$5:$B$204,0)),""))</f>
        <v/>
      </c>
      <c r="P102" s="132" t="str">
        <f t="shared" si="21"/>
        <v/>
      </c>
      <c r="Q102" s="132" t="str">
        <f t="shared" si="22"/>
        <v/>
      </c>
      <c r="R102" s="132" t="str">
        <f>IF(A102="","",IFERROR(INDEX('09_Posicion_Actual'!$P$5:$P$204,MATCH(A102,'09_Posicion_Actual'!$B$5:$B$204,0)),""))</f>
        <v/>
      </c>
      <c r="S102" s="132" t="str">
        <f t="shared" si="23"/>
        <v/>
      </c>
      <c r="T102" s="132"/>
      <c r="U102" s="132"/>
      <c r="V102" s="132"/>
      <c r="W102" s="132"/>
      <c r="X102" s="132"/>
    </row>
    <row r="103" spans="1:24">
      <c r="A103" s="132"/>
      <c r="B103" s="132"/>
      <c r="C103" s="132"/>
      <c r="D103" s="132"/>
      <c r="E103" s="176" t="str">
        <f>IF(A103="","",SUMIFS('14_Inversiones'!$E$5:$E$203,'14_Inversiones'!$B$5:$B$203,A103,'14_Inversiones'!$D$5:$D$203,C103,'14_Inversiones'!$C$5:$C$203,"Compra")+SUMIFS('14_Inversiones'!$E$5:$E$203,'14_Inversiones'!$B$5:$B$203,A103,'14_Inversiones'!$D$5:$D$203,C103,'14_Inversiones'!$C$5:$C$203,"Aporte")+SUMIFS('14_Inversiones'!$E$5:$E$203,'14_Inversiones'!$B$5:$B$203,A103,'14_Inversiones'!$D$5:$D$203,C103,'14_Inversiones'!$C$5:$C$203,"Ajuste"))</f>
        <v/>
      </c>
      <c r="F103" s="176" t="str">
        <f>IF(A103="","",SUMIFS('14_Inversiones'!$E$5:$E$203,'14_Inversiones'!$B$5:$B$203,A103,'14_Inversiones'!$D$5:$D$203,C103,'14_Inversiones'!$C$5:$C$203,"Retiro")+SUMIFS('14_Inversiones'!$E$5:$E$203,'14_Inversiones'!$B$5:$B$203,A103,'14_Inversiones'!$D$5:$D$203,C103,'14_Inversiones'!$C$5:$C$203,"Venta"))</f>
        <v/>
      </c>
      <c r="G103" s="176" t="str">
        <f t="shared" si="18"/>
        <v/>
      </c>
      <c r="H103" s="176" t="str">
        <f>IF(A103="","",IFERROR(INDEX('09_Posicion_Actual'!$G$5:$G$204,MATCH(A103,'09_Posicion_Actual'!$B$5:$B$204,0)),0))</f>
        <v/>
      </c>
      <c r="I103" s="171" t="str">
        <f>IF(A103="","",IFERROR(INDEX('09_Posicion_Actual'!$I$5:$I$204,MATCH(A103,'09_Posicion_Actual'!$B$5:$B$204,0)),0))</f>
        <v/>
      </c>
      <c r="J103" s="176" t="str">
        <f t="shared" si="19"/>
        <v/>
      </c>
      <c r="K103" s="171" t="str">
        <f>IF(A103="","",IF(C103="USD",J103*IFERROR(INDEX('09_Posicion_Actual'!$H$5:$H$204,MATCH(A103,'09_Posicion_Actual'!$B$5:$B$204,0)),950),J103))</f>
        <v/>
      </c>
      <c r="L103" s="180" t="str">
        <f t="shared" si="20"/>
        <v/>
      </c>
      <c r="M103" s="176" t="str">
        <f>IF(A103="","",IFERROR(INDEX('09_Posicion_Actual'!$F$5:$F$204,MATCH(A103,'09_Posicion_Actual'!$B$5:$B$204,0)),""))</f>
        <v/>
      </c>
      <c r="N103" s="177" t="str">
        <f>IF(A103="","",IFERROR(INDEX('09_Posicion_Actual'!$E$5:$E$204,MATCH(A103,'09_Posicion_Actual'!$B$5:$B$204,0)),""))</f>
        <v/>
      </c>
      <c r="O103" s="131" t="str">
        <f>IF(A103="","",IFERROR(INDEX('09_Posicion_Actual'!$A$5:$A$204,MATCH(A103,'09_Posicion_Actual'!$B$5:$B$204,0)),""))</f>
        <v/>
      </c>
      <c r="P103" s="132" t="str">
        <f t="shared" si="21"/>
        <v/>
      </c>
      <c r="Q103" s="132" t="str">
        <f t="shared" si="22"/>
        <v/>
      </c>
      <c r="R103" s="132" t="str">
        <f>IF(A103="","",IFERROR(INDEX('09_Posicion_Actual'!$P$5:$P$204,MATCH(A103,'09_Posicion_Actual'!$B$5:$B$204,0)),""))</f>
        <v/>
      </c>
      <c r="S103" s="132" t="str">
        <f t="shared" si="23"/>
        <v/>
      </c>
      <c r="T103" s="132"/>
      <c r="U103" s="132"/>
      <c r="V103" s="132"/>
      <c r="W103" s="132"/>
      <c r="X103" s="132"/>
    </row>
    <row r="104" spans="1:24">
      <c r="A104" s="132"/>
      <c r="B104" s="132"/>
      <c r="C104" s="132"/>
      <c r="D104" s="132"/>
      <c r="E104" s="176" t="str">
        <f>IF(A104="","",SUMIFS('14_Inversiones'!$E$5:$E$203,'14_Inversiones'!$B$5:$B$203,A104,'14_Inversiones'!$D$5:$D$203,C104,'14_Inversiones'!$C$5:$C$203,"Compra")+SUMIFS('14_Inversiones'!$E$5:$E$203,'14_Inversiones'!$B$5:$B$203,A104,'14_Inversiones'!$D$5:$D$203,C104,'14_Inversiones'!$C$5:$C$203,"Aporte")+SUMIFS('14_Inversiones'!$E$5:$E$203,'14_Inversiones'!$B$5:$B$203,A104,'14_Inversiones'!$D$5:$D$203,C104,'14_Inversiones'!$C$5:$C$203,"Ajuste"))</f>
        <v/>
      </c>
      <c r="F104" s="176" t="str">
        <f>IF(A104="","",SUMIFS('14_Inversiones'!$E$5:$E$203,'14_Inversiones'!$B$5:$B$203,A104,'14_Inversiones'!$D$5:$D$203,C104,'14_Inversiones'!$C$5:$C$203,"Retiro")+SUMIFS('14_Inversiones'!$E$5:$E$203,'14_Inversiones'!$B$5:$B$203,A104,'14_Inversiones'!$D$5:$D$203,C104,'14_Inversiones'!$C$5:$C$203,"Venta"))</f>
        <v/>
      </c>
      <c r="G104" s="176" t="str">
        <f t="shared" si="18"/>
        <v/>
      </c>
      <c r="H104" s="176" t="str">
        <f>IF(A104="","",IFERROR(INDEX('09_Posicion_Actual'!$G$5:$G$204,MATCH(A104,'09_Posicion_Actual'!$B$5:$B$204,0)),0))</f>
        <v/>
      </c>
      <c r="I104" s="171" t="str">
        <f>IF(A104="","",IFERROR(INDEX('09_Posicion_Actual'!$I$5:$I$204,MATCH(A104,'09_Posicion_Actual'!$B$5:$B$204,0)),0))</f>
        <v/>
      </c>
      <c r="J104" s="176" t="str">
        <f t="shared" si="19"/>
        <v/>
      </c>
      <c r="K104" s="171" t="str">
        <f>IF(A104="","",IF(C104="USD",J104*IFERROR(INDEX('09_Posicion_Actual'!$H$5:$H$204,MATCH(A104,'09_Posicion_Actual'!$B$5:$B$204,0)),950),J104))</f>
        <v/>
      </c>
      <c r="L104" s="180" t="str">
        <f t="shared" si="20"/>
        <v/>
      </c>
      <c r="M104" s="176" t="str">
        <f>IF(A104="","",IFERROR(INDEX('09_Posicion_Actual'!$F$5:$F$204,MATCH(A104,'09_Posicion_Actual'!$B$5:$B$204,0)),""))</f>
        <v/>
      </c>
      <c r="N104" s="177" t="str">
        <f>IF(A104="","",IFERROR(INDEX('09_Posicion_Actual'!$E$5:$E$204,MATCH(A104,'09_Posicion_Actual'!$B$5:$B$204,0)),""))</f>
        <v/>
      </c>
      <c r="O104" s="131" t="str">
        <f>IF(A104="","",IFERROR(INDEX('09_Posicion_Actual'!$A$5:$A$204,MATCH(A104,'09_Posicion_Actual'!$B$5:$B$204,0)),""))</f>
        <v/>
      </c>
      <c r="P104" s="132" t="str">
        <f t="shared" si="21"/>
        <v/>
      </c>
      <c r="Q104" s="132" t="str">
        <f t="shared" si="22"/>
        <v/>
      </c>
      <c r="R104" s="132" t="str">
        <f>IF(A104="","",IFERROR(INDEX('09_Posicion_Actual'!$P$5:$P$204,MATCH(A104,'09_Posicion_Actual'!$B$5:$B$204,0)),""))</f>
        <v/>
      </c>
      <c r="S104" s="132" t="str">
        <f t="shared" si="23"/>
        <v/>
      </c>
      <c r="T104" s="132"/>
      <c r="U104" s="132"/>
      <c r="V104" s="132"/>
      <c r="W104" s="132"/>
      <c r="X104" s="132"/>
    </row>
    <row r="105" spans="1:24">
      <c r="A105" s="132"/>
      <c r="B105" s="132"/>
      <c r="C105" s="132"/>
      <c r="D105" s="132"/>
      <c r="E105" s="176" t="str">
        <f>IF(A105="","",SUMIFS('14_Inversiones'!$E$5:$E$203,'14_Inversiones'!$B$5:$B$203,A105,'14_Inversiones'!$D$5:$D$203,C105,'14_Inversiones'!$C$5:$C$203,"Compra")+SUMIFS('14_Inversiones'!$E$5:$E$203,'14_Inversiones'!$B$5:$B$203,A105,'14_Inversiones'!$D$5:$D$203,C105,'14_Inversiones'!$C$5:$C$203,"Aporte")+SUMIFS('14_Inversiones'!$E$5:$E$203,'14_Inversiones'!$B$5:$B$203,A105,'14_Inversiones'!$D$5:$D$203,C105,'14_Inversiones'!$C$5:$C$203,"Ajuste"))</f>
        <v/>
      </c>
      <c r="F105" s="176" t="str">
        <f>IF(A105="","",SUMIFS('14_Inversiones'!$E$5:$E$203,'14_Inversiones'!$B$5:$B$203,A105,'14_Inversiones'!$D$5:$D$203,C105,'14_Inversiones'!$C$5:$C$203,"Retiro")+SUMIFS('14_Inversiones'!$E$5:$E$203,'14_Inversiones'!$B$5:$B$203,A105,'14_Inversiones'!$D$5:$D$203,C105,'14_Inversiones'!$C$5:$C$203,"Venta"))</f>
        <v/>
      </c>
      <c r="G105" s="176" t="str">
        <f t="shared" si="18"/>
        <v/>
      </c>
      <c r="H105" s="176" t="str">
        <f>IF(A105="","",IFERROR(INDEX('09_Posicion_Actual'!$G$5:$G$204,MATCH(A105,'09_Posicion_Actual'!$B$5:$B$204,0)),0))</f>
        <v/>
      </c>
      <c r="I105" s="171" t="str">
        <f>IF(A105="","",IFERROR(INDEX('09_Posicion_Actual'!$I$5:$I$204,MATCH(A105,'09_Posicion_Actual'!$B$5:$B$204,0)),0))</f>
        <v/>
      </c>
      <c r="J105" s="176" t="str">
        <f t="shared" si="19"/>
        <v/>
      </c>
      <c r="K105" s="171" t="str">
        <f>IF(A105="","",IF(C105="USD",J105*IFERROR(INDEX('09_Posicion_Actual'!$H$5:$H$204,MATCH(A105,'09_Posicion_Actual'!$B$5:$B$204,0)),950),J105))</f>
        <v/>
      </c>
      <c r="L105" s="180" t="str">
        <f t="shared" si="20"/>
        <v/>
      </c>
      <c r="M105" s="176" t="str">
        <f>IF(A105="","",IFERROR(INDEX('09_Posicion_Actual'!$F$5:$F$204,MATCH(A105,'09_Posicion_Actual'!$B$5:$B$204,0)),""))</f>
        <v/>
      </c>
      <c r="N105" s="177" t="str">
        <f>IF(A105="","",IFERROR(INDEX('09_Posicion_Actual'!$E$5:$E$204,MATCH(A105,'09_Posicion_Actual'!$B$5:$B$204,0)),""))</f>
        <v/>
      </c>
      <c r="O105" s="131" t="str">
        <f>IF(A105="","",IFERROR(INDEX('09_Posicion_Actual'!$A$5:$A$204,MATCH(A105,'09_Posicion_Actual'!$B$5:$B$204,0)),""))</f>
        <v/>
      </c>
      <c r="P105" s="132" t="str">
        <f t="shared" si="21"/>
        <v/>
      </c>
      <c r="Q105" s="132" t="str">
        <f t="shared" si="22"/>
        <v/>
      </c>
      <c r="R105" s="132" t="str">
        <f>IF(A105="","",IFERROR(INDEX('09_Posicion_Actual'!$P$5:$P$204,MATCH(A105,'09_Posicion_Actual'!$B$5:$B$204,0)),""))</f>
        <v/>
      </c>
      <c r="S105" s="132" t="str">
        <f t="shared" si="23"/>
        <v/>
      </c>
      <c r="T105" s="132"/>
      <c r="U105" s="132"/>
      <c r="V105" s="132"/>
      <c r="W105" s="132"/>
      <c r="X105" s="132"/>
    </row>
    <row r="106" spans="1:24">
      <c r="A106" s="132"/>
      <c r="B106" s="132"/>
      <c r="C106" s="132"/>
      <c r="D106" s="132"/>
      <c r="E106" s="176" t="str">
        <f>IF(A106="","",SUMIFS('14_Inversiones'!$E$5:$E$203,'14_Inversiones'!$B$5:$B$203,A106,'14_Inversiones'!$D$5:$D$203,C106,'14_Inversiones'!$C$5:$C$203,"Compra")+SUMIFS('14_Inversiones'!$E$5:$E$203,'14_Inversiones'!$B$5:$B$203,A106,'14_Inversiones'!$D$5:$D$203,C106,'14_Inversiones'!$C$5:$C$203,"Aporte")+SUMIFS('14_Inversiones'!$E$5:$E$203,'14_Inversiones'!$B$5:$B$203,A106,'14_Inversiones'!$D$5:$D$203,C106,'14_Inversiones'!$C$5:$C$203,"Ajuste"))</f>
        <v/>
      </c>
      <c r="F106" s="176" t="str">
        <f>IF(A106="","",SUMIFS('14_Inversiones'!$E$5:$E$203,'14_Inversiones'!$B$5:$B$203,A106,'14_Inversiones'!$D$5:$D$203,C106,'14_Inversiones'!$C$5:$C$203,"Retiro")+SUMIFS('14_Inversiones'!$E$5:$E$203,'14_Inversiones'!$B$5:$B$203,A106,'14_Inversiones'!$D$5:$D$203,C106,'14_Inversiones'!$C$5:$C$203,"Venta"))</f>
        <v/>
      </c>
      <c r="G106" s="176" t="str">
        <f t="shared" si="18"/>
        <v/>
      </c>
      <c r="H106" s="176" t="str">
        <f>IF(A106="","",IFERROR(INDEX('09_Posicion_Actual'!$G$5:$G$204,MATCH(A106,'09_Posicion_Actual'!$B$5:$B$204,0)),0))</f>
        <v/>
      </c>
      <c r="I106" s="171" t="str">
        <f>IF(A106="","",IFERROR(INDEX('09_Posicion_Actual'!$I$5:$I$204,MATCH(A106,'09_Posicion_Actual'!$B$5:$B$204,0)),0))</f>
        <v/>
      </c>
      <c r="J106" s="176" t="str">
        <f t="shared" si="19"/>
        <v/>
      </c>
      <c r="K106" s="171" t="str">
        <f>IF(A106="","",IF(C106="USD",J106*IFERROR(INDEX('09_Posicion_Actual'!$H$5:$H$204,MATCH(A106,'09_Posicion_Actual'!$B$5:$B$204,0)),950),J106))</f>
        <v/>
      </c>
      <c r="L106" s="180" t="str">
        <f t="shared" si="20"/>
        <v/>
      </c>
      <c r="M106" s="176" t="str">
        <f>IF(A106="","",IFERROR(INDEX('09_Posicion_Actual'!$F$5:$F$204,MATCH(A106,'09_Posicion_Actual'!$B$5:$B$204,0)),""))</f>
        <v/>
      </c>
      <c r="N106" s="177" t="str">
        <f>IF(A106="","",IFERROR(INDEX('09_Posicion_Actual'!$E$5:$E$204,MATCH(A106,'09_Posicion_Actual'!$B$5:$B$204,0)),""))</f>
        <v/>
      </c>
      <c r="O106" s="131" t="str">
        <f>IF(A106="","",IFERROR(INDEX('09_Posicion_Actual'!$A$5:$A$204,MATCH(A106,'09_Posicion_Actual'!$B$5:$B$204,0)),""))</f>
        <v/>
      </c>
      <c r="P106" s="132" t="str">
        <f t="shared" si="21"/>
        <v/>
      </c>
      <c r="Q106" s="132" t="str">
        <f t="shared" si="22"/>
        <v/>
      </c>
      <c r="R106" s="132" t="str">
        <f>IF(A106="","",IFERROR(INDEX('09_Posicion_Actual'!$P$5:$P$204,MATCH(A106,'09_Posicion_Actual'!$B$5:$B$204,0)),""))</f>
        <v/>
      </c>
      <c r="S106" s="132" t="str">
        <f t="shared" si="23"/>
        <v/>
      </c>
      <c r="T106" s="132"/>
      <c r="U106" s="132"/>
      <c r="V106" s="132"/>
      <c r="W106" s="132"/>
      <c r="X106" s="132"/>
    </row>
    <row r="107" spans="1:24">
      <c r="A107" s="132"/>
      <c r="B107" s="132"/>
      <c r="C107" s="132"/>
      <c r="D107" s="132"/>
      <c r="E107" s="176" t="str">
        <f>IF(A107="","",SUMIFS('14_Inversiones'!$E$5:$E$203,'14_Inversiones'!$B$5:$B$203,A107,'14_Inversiones'!$D$5:$D$203,C107,'14_Inversiones'!$C$5:$C$203,"Compra")+SUMIFS('14_Inversiones'!$E$5:$E$203,'14_Inversiones'!$B$5:$B$203,A107,'14_Inversiones'!$D$5:$D$203,C107,'14_Inversiones'!$C$5:$C$203,"Aporte")+SUMIFS('14_Inversiones'!$E$5:$E$203,'14_Inversiones'!$B$5:$B$203,A107,'14_Inversiones'!$D$5:$D$203,C107,'14_Inversiones'!$C$5:$C$203,"Ajuste"))</f>
        <v/>
      </c>
      <c r="F107" s="176" t="str">
        <f>IF(A107="","",SUMIFS('14_Inversiones'!$E$5:$E$203,'14_Inversiones'!$B$5:$B$203,A107,'14_Inversiones'!$D$5:$D$203,C107,'14_Inversiones'!$C$5:$C$203,"Retiro")+SUMIFS('14_Inversiones'!$E$5:$E$203,'14_Inversiones'!$B$5:$B$203,A107,'14_Inversiones'!$D$5:$D$203,C107,'14_Inversiones'!$C$5:$C$203,"Venta"))</f>
        <v/>
      </c>
      <c r="G107" s="176" t="str">
        <f t="shared" si="18"/>
        <v/>
      </c>
      <c r="H107" s="176" t="str">
        <f>IF(A107="","",IFERROR(INDEX('09_Posicion_Actual'!$G$5:$G$204,MATCH(A107,'09_Posicion_Actual'!$B$5:$B$204,0)),0))</f>
        <v/>
      </c>
      <c r="I107" s="171" t="str">
        <f>IF(A107="","",IFERROR(INDEX('09_Posicion_Actual'!$I$5:$I$204,MATCH(A107,'09_Posicion_Actual'!$B$5:$B$204,0)),0))</f>
        <v/>
      </c>
      <c r="J107" s="176" t="str">
        <f t="shared" si="19"/>
        <v/>
      </c>
      <c r="K107" s="171" t="str">
        <f>IF(A107="","",IF(C107="USD",J107*IFERROR(INDEX('09_Posicion_Actual'!$H$5:$H$204,MATCH(A107,'09_Posicion_Actual'!$B$5:$B$204,0)),950),J107))</f>
        <v/>
      </c>
      <c r="L107" s="180" t="str">
        <f t="shared" si="20"/>
        <v/>
      </c>
      <c r="M107" s="176" t="str">
        <f>IF(A107="","",IFERROR(INDEX('09_Posicion_Actual'!$F$5:$F$204,MATCH(A107,'09_Posicion_Actual'!$B$5:$B$204,0)),""))</f>
        <v/>
      </c>
      <c r="N107" s="177" t="str">
        <f>IF(A107="","",IFERROR(INDEX('09_Posicion_Actual'!$E$5:$E$204,MATCH(A107,'09_Posicion_Actual'!$B$5:$B$204,0)),""))</f>
        <v/>
      </c>
      <c r="O107" s="131" t="str">
        <f>IF(A107="","",IFERROR(INDEX('09_Posicion_Actual'!$A$5:$A$204,MATCH(A107,'09_Posicion_Actual'!$B$5:$B$204,0)),""))</f>
        <v/>
      </c>
      <c r="P107" s="132" t="str">
        <f t="shared" si="21"/>
        <v/>
      </c>
      <c r="Q107" s="132" t="str">
        <f t="shared" si="22"/>
        <v/>
      </c>
      <c r="R107" s="132" t="str">
        <f>IF(A107="","",IFERROR(INDEX('09_Posicion_Actual'!$P$5:$P$204,MATCH(A107,'09_Posicion_Actual'!$B$5:$B$204,0)),""))</f>
        <v/>
      </c>
      <c r="S107" s="132" t="str">
        <f t="shared" si="23"/>
        <v/>
      </c>
      <c r="T107" s="132"/>
      <c r="U107" s="132"/>
      <c r="V107" s="132"/>
      <c r="W107" s="132"/>
      <c r="X107" s="132"/>
    </row>
    <row r="108" spans="1:24">
      <c r="A108" s="132"/>
      <c r="B108" s="132"/>
      <c r="C108" s="132"/>
      <c r="D108" s="132"/>
      <c r="E108" s="176" t="str">
        <f>IF(A108="","",SUMIFS('14_Inversiones'!$E$5:$E$203,'14_Inversiones'!$B$5:$B$203,A108,'14_Inversiones'!$D$5:$D$203,C108,'14_Inversiones'!$C$5:$C$203,"Compra")+SUMIFS('14_Inversiones'!$E$5:$E$203,'14_Inversiones'!$B$5:$B$203,A108,'14_Inversiones'!$D$5:$D$203,C108,'14_Inversiones'!$C$5:$C$203,"Aporte")+SUMIFS('14_Inversiones'!$E$5:$E$203,'14_Inversiones'!$B$5:$B$203,A108,'14_Inversiones'!$D$5:$D$203,C108,'14_Inversiones'!$C$5:$C$203,"Ajuste"))</f>
        <v/>
      </c>
      <c r="F108" s="176" t="str">
        <f>IF(A108="","",SUMIFS('14_Inversiones'!$E$5:$E$203,'14_Inversiones'!$B$5:$B$203,A108,'14_Inversiones'!$D$5:$D$203,C108,'14_Inversiones'!$C$5:$C$203,"Retiro")+SUMIFS('14_Inversiones'!$E$5:$E$203,'14_Inversiones'!$B$5:$B$203,A108,'14_Inversiones'!$D$5:$D$203,C108,'14_Inversiones'!$C$5:$C$203,"Venta"))</f>
        <v/>
      </c>
      <c r="G108" s="176" t="str">
        <f t="shared" si="18"/>
        <v/>
      </c>
      <c r="H108" s="176" t="str">
        <f>IF(A108="","",IFERROR(INDEX('09_Posicion_Actual'!$G$5:$G$204,MATCH(A108,'09_Posicion_Actual'!$B$5:$B$204,0)),0))</f>
        <v/>
      </c>
      <c r="I108" s="171" t="str">
        <f>IF(A108="","",IFERROR(INDEX('09_Posicion_Actual'!$I$5:$I$204,MATCH(A108,'09_Posicion_Actual'!$B$5:$B$204,0)),0))</f>
        <v/>
      </c>
      <c r="J108" s="176" t="str">
        <f t="shared" si="19"/>
        <v/>
      </c>
      <c r="K108" s="171" t="str">
        <f>IF(A108="","",IF(C108="USD",J108*IFERROR(INDEX('09_Posicion_Actual'!$H$5:$H$204,MATCH(A108,'09_Posicion_Actual'!$B$5:$B$204,0)),950),J108))</f>
        <v/>
      </c>
      <c r="L108" s="180" t="str">
        <f t="shared" si="20"/>
        <v/>
      </c>
      <c r="M108" s="176" t="str">
        <f>IF(A108="","",IFERROR(INDEX('09_Posicion_Actual'!$F$5:$F$204,MATCH(A108,'09_Posicion_Actual'!$B$5:$B$204,0)),""))</f>
        <v/>
      </c>
      <c r="N108" s="177" t="str">
        <f>IF(A108="","",IFERROR(INDEX('09_Posicion_Actual'!$E$5:$E$204,MATCH(A108,'09_Posicion_Actual'!$B$5:$B$204,0)),""))</f>
        <v/>
      </c>
      <c r="O108" s="131" t="str">
        <f>IF(A108="","",IFERROR(INDEX('09_Posicion_Actual'!$A$5:$A$204,MATCH(A108,'09_Posicion_Actual'!$B$5:$B$204,0)),""))</f>
        <v/>
      </c>
      <c r="P108" s="132" t="str">
        <f t="shared" si="21"/>
        <v/>
      </c>
      <c r="Q108" s="132" t="str">
        <f t="shared" si="22"/>
        <v/>
      </c>
      <c r="R108" s="132" t="str">
        <f>IF(A108="","",IFERROR(INDEX('09_Posicion_Actual'!$P$5:$P$204,MATCH(A108,'09_Posicion_Actual'!$B$5:$B$204,0)),""))</f>
        <v/>
      </c>
      <c r="S108" s="132" t="str">
        <f t="shared" si="23"/>
        <v/>
      </c>
      <c r="T108" s="132"/>
      <c r="U108" s="132"/>
      <c r="V108" s="132"/>
      <c r="W108" s="132"/>
      <c r="X108" s="132"/>
    </row>
    <row r="109" spans="1:24">
      <c r="A109" s="132"/>
      <c r="B109" s="132"/>
      <c r="C109" s="132"/>
      <c r="D109" s="132"/>
      <c r="E109" s="176" t="str">
        <f>IF(A109="","",SUMIFS('14_Inversiones'!$E$5:$E$203,'14_Inversiones'!$B$5:$B$203,A109,'14_Inversiones'!$D$5:$D$203,C109,'14_Inversiones'!$C$5:$C$203,"Compra")+SUMIFS('14_Inversiones'!$E$5:$E$203,'14_Inversiones'!$B$5:$B$203,A109,'14_Inversiones'!$D$5:$D$203,C109,'14_Inversiones'!$C$5:$C$203,"Aporte")+SUMIFS('14_Inversiones'!$E$5:$E$203,'14_Inversiones'!$B$5:$B$203,A109,'14_Inversiones'!$D$5:$D$203,C109,'14_Inversiones'!$C$5:$C$203,"Ajuste"))</f>
        <v/>
      </c>
      <c r="F109" s="176" t="str">
        <f>IF(A109="","",SUMIFS('14_Inversiones'!$E$5:$E$203,'14_Inversiones'!$B$5:$B$203,A109,'14_Inversiones'!$D$5:$D$203,C109,'14_Inversiones'!$C$5:$C$203,"Retiro")+SUMIFS('14_Inversiones'!$E$5:$E$203,'14_Inversiones'!$B$5:$B$203,A109,'14_Inversiones'!$D$5:$D$203,C109,'14_Inversiones'!$C$5:$C$203,"Venta"))</f>
        <v/>
      </c>
      <c r="G109" s="176" t="str">
        <f t="shared" si="18"/>
        <v/>
      </c>
      <c r="H109" s="176" t="str">
        <f>IF(A109="","",IFERROR(INDEX('09_Posicion_Actual'!$G$5:$G$204,MATCH(A109,'09_Posicion_Actual'!$B$5:$B$204,0)),0))</f>
        <v/>
      </c>
      <c r="I109" s="171" t="str">
        <f>IF(A109="","",IFERROR(INDEX('09_Posicion_Actual'!$I$5:$I$204,MATCH(A109,'09_Posicion_Actual'!$B$5:$B$204,0)),0))</f>
        <v/>
      </c>
      <c r="J109" s="176" t="str">
        <f t="shared" si="19"/>
        <v/>
      </c>
      <c r="K109" s="171" t="str">
        <f>IF(A109="","",IF(C109="USD",J109*IFERROR(INDEX('09_Posicion_Actual'!$H$5:$H$204,MATCH(A109,'09_Posicion_Actual'!$B$5:$B$204,0)),950),J109))</f>
        <v/>
      </c>
      <c r="L109" s="180" t="str">
        <f t="shared" si="20"/>
        <v/>
      </c>
      <c r="M109" s="176" t="str">
        <f>IF(A109="","",IFERROR(INDEX('09_Posicion_Actual'!$F$5:$F$204,MATCH(A109,'09_Posicion_Actual'!$B$5:$B$204,0)),""))</f>
        <v/>
      </c>
      <c r="N109" s="177" t="str">
        <f>IF(A109="","",IFERROR(INDEX('09_Posicion_Actual'!$E$5:$E$204,MATCH(A109,'09_Posicion_Actual'!$B$5:$B$204,0)),""))</f>
        <v/>
      </c>
      <c r="O109" s="131" t="str">
        <f>IF(A109="","",IFERROR(INDEX('09_Posicion_Actual'!$A$5:$A$204,MATCH(A109,'09_Posicion_Actual'!$B$5:$B$204,0)),""))</f>
        <v/>
      </c>
      <c r="P109" s="132" t="str">
        <f t="shared" si="21"/>
        <v/>
      </c>
      <c r="Q109" s="132" t="str">
        <f t="shared" si="22"/>
        <v/>
      </c>
      <c r="R109" s="132" t="str">
        <f>IF(A109="","",IFERROR(INDEX('09_Posicion_Actual'!$P$5:$P$204,MATCH(A109,'09_Posicion_Actual'!$B$5:$B$204,0)),""))</f>
        <v/>
      </c>
      <c r="S109" s="132" t="str">
        <f t="shared" si="23"/>
        <v/>
      </c>
      <c r="T109" s="132"/>
      <c r="U109" s="132"/>
      <c r="V109" s="132"/>
      <c r="W109" s="132"/>
      <c r="X109" s="132"/>
    </row>
    <row r="110" spans="1:24">
      <c r="A110" s="132"/>
      <c r="B110" s="132"/>
      <c r="C110" s="132"/>
      <c r="D110" s="132"/>
      <c r="E110" s="176" t="str">
        <f>IF(A110="","",SUMIFS('14_Inversiones'!$E$5:$E$203,'14_Inversiones'!$B$5:$B$203,A110,'14_Inversiones'!$D$5:$D$203,C110,'14_Inversiones'!$C$5:$C$203,"Compra")+SUMIFS('14_Inversiones'!$E$5:$E$203,'14_Inversiones'!$B$5:$B$203,A110,'14_Inversiones'!$D$5:$D$203,C110,'14_Inversiones'!$C$5:$C$203,"Aporte")+SUMIFS('14_Inversiones'!$E$5:$E$203,'14_Inversiones'!$B$5:$B$203,A110,'14_Inversiones'!$D$5:$D$203,C110,'14_Inversiones'!$C$5:$C$203,"Ajuste"))</f>
        <v/>
      </c>
      <c r="F110" s="176" t="str">
        <f>IF(A110="","",SUMIFS('14_Inversiones'!$E$5:$E$203,'14_Inversiones'!$B$5:$B$203,A110,'14_Inversiones'!$D$5:$D$203,C110,'14_Inversiones'!$C$5:$C$203,"Retiro")+SUMIFS('14_Inversiones'!$E$5:$E$203,'14_Inversiones'!$B$5:$B$203,A110,'14_Inversiones'!$D$5:$D$203,C110,'14_Inversiones'!$C$5:$C$203,"Venta"))</f>
        <v/>
      </c>
      <c r="G110" s="176" t="str">
        <f t="shared" si="18"/>
        <v/>
      </c>
      <c r="H110" s="176" t="str">
        <f>IF(A110="","",IFERROR(INDEX('09_Posicion_Actual'!$G$5:$G$204,MATCH(A110,'09_Posicion_Actual'!$B$5:$B$204,0)),0))</f>
        <v/>
      </c>
      <c r="I110" s="171" t="str">
        <f>IF(A110="","",IFERROR(INDEX('09_Posicion_Actual'!$I$5:$I$204,MATCH(A110,'09_Posicion_Actual'!$B$5:$B$204,0)),0))</f>
        <v/>
      </c>
      <c r="J110" s="176" t="str">
        <f t="shared" si="19"/>
        <v/>
      </c>
      <c r="K110" s="171" t="str">
        <f>IF(A110="","",IF(C110="USD",J110*IFERROR(INDEX('09_Posicion_Actual'!$H$5:$H$204,MATCH(A110,'09_Posicion_Actual'!$B$5:$B$204,0)),950),J110))</f>
        <v/>
      </c>
      <c r="L110" s="180" t="str">
        <f t="shared" si="20"/>
        <v/>
      </c>
      <c r="M110" s="176" t="str">
        <f>IF(A110="","",IFERROR(INDEX('09_Posicion_Actual'!$F$5:$F$204,MATCH(A110,'09_Posicion_Actual'!$B$5:$B$204,0)),""))</f>
        <v/>
      </c>
      <c r="N110" s="177" t="str">
        <f>IF(A110="","",IFERROR(INDEX('09_Posicion_Actual'!$E$5:$E$204,MATCH(A110,'09_Posicion_Actual'!$B$5:$B$204,0)),""))</f>
        <v/>
      </c>
      <c r="O110" s="131" t="str">
        <f>IF(A110="","",IFERROR(INDEX('09_Posicion_Actual'!$A$5:$A$204,MATCH(A110,'09_Posicion_Actual'!$B$5:$B$204,0)),""))</f>
        <v/>
      </c>
      <c r="P110" s="132" t="str">
        <f t="shared" si="21"/>
        <v/>
      </c>
      <c r="Q110" s="132" t="str">
        <f t="shared" si="22"/>
        <v/>
      </c>
      <c r="R110" s="132" t="str">
        <f>IF(A110="","",IFERROR(INDEX('09_Posicion_Actual'!$P$5:$P$204,MATCH(A110,'09_Posicion_Actual'!$B$5:$B$204,0)),""))</f>
        <v/>
      </c>
      <c r="S110" s="132" t="str">
        <f t="shared" si="23"/>
        <v/>
      </c>
      <c r="T110" s="132"/>
      <c r="U110" s="132"/>
      <c r="V110" s="132"/>
      <c r="W110" s="132"/>
      <c r="X110" s="132"/>
    </row>
    <row r="111" spans="1:24">
      <c r="A111" s="132"/>
      <c r="B111" s="132"/>
      <c r="C111" s="132"/>
      <c r="D111" s="132"/>
      <c r="E111" s="176" t="str">
        <f>IF(A111="","",SUMIFS('14_Inversiones'!$E$5:$E$203,'14_Inversiones'!$B$5:$B$203,A111,'14_Inversiones'!$D$5:$D$203,C111,'14_Inversiones'!$C$5:$C$203,"Compra")+SUMIFS('14_Inversiones'!$E$5:$E$203,'14_Inversiones'!$B$5:$B$203,A111,'14_Inversiones'!$D$5:$D$203,C111,'14_Inversiones'!$C$5:$C$203,"Aporte")+SUMIFS('14_Inversiones'!$E$5:$E$203,'14_Inversiones'!$B$5:$B$203,A111,'14_Inversiones'!$D$5:$D$203,C111,'14_Inversiones'!$C$5:$C$203,"Ajuste"))</f>
        <v/>
      </c>
      <c r="F111" s="176" t="str">
        <f>IF(A111="","",SUMIFS('14_Inversiones'!$E$5:$E$203,'14_Inversiones'!$B$5:$B$203,A111,'14_Inversiones'!$D$5:$D$203,C111,'14_Inversiones'!$C$5:$C$203,"Retiro")+SUMIFS('14_Inversiones'!$E$5:$E$203,'14_Inversiones'!$B$5:$B$203,A111,'14_Inversiones'!$D$5:$D$203,C111,'14_Inversiones'!$C$5:$C$203,"Venta"))</f>
        <v/>
      </c>
      <c r="G111" s="176" t="str">
        <f t="shared" si="18"/>
        <v/>
      </c>
      <c r="H111" s="176" t="str">
        <f>IF(A111="","",IFERROR(INDEX('09_Posicion_Actual'!$G$5:$G$204,MATCH(A111,'09_Posicion_Actual'!$B$5:$B$204,0)),0))</f>
        <v/>
      </c>
      <c r="I111" s="171" t="str">
        <f>IF(A111="","",IFERROR(INDEX('09_Posicion_Actual'!$I$5:$I$204,MATCH(A111,'09_Posicion_Actual'!$B$5:$B$204,0)),0))</f>
        <v/>
      </c>
      <c r="J111" s="176" t="str">
        <f t="shared" si="19"/>
        <v/>
      </c>
      <c r="K111" s="171" t="str">
        <f>IF(A111="","",IF(C111="USD",J111*IFERROR(INDEX('09_Posicion_Actual'!$H$5:$H$204,MATCH(A111,'09_Posicion_Actual'!$B$5:$B$204,0)),950),J111))</f>
        <v/>
      </c>
      <c r="L111" s="180" t="str">
        <f t="shared" si="20"/>
        <v/>
      </c>
      <c r="M111" s="176" t="str">
        <f>IF(A111="","",IFERROR(INDEX('09_Posicion_Actual'!$F$5:$F$204,MATCH(A111,'09_Posicion_Actual'!$B$5:$B$204,0)),""))</f>
        <v/>
      </c>
      <c r="N111" s="177" t="str">
        <f>IF(A111="","",IFERROR(INDEX('09_Posicion_Actual'!$E$5:$E$204,MATCH(A111,'09_Posicion_Actual'!$B$5:$B$204,0)),""))</f>
        <v/>
      </c>
      <c r="O111" s="131" t="str">
        <f>IF(A111="","",IFERROR(INDEX('09_Posicion_Actual'!$A$5:$A$204,MATCH(A111,'09_Posicion_Actual'!$B$5:$B$204,0)),""))</f>
        <v/>
      </c>
      <c r="P111" s="132" t="str">
        <f t="shared" si="21"/>
        <v/>
      </c>
      <c r="Q111" s="132" t="str">
        <f t="shared" si="22"/>
        <v/>
      </c>
      <c r="R111" s="132" t="str">
        <f>IF(A111="","",IFERROR(INDEX('09_Posicion_Actual'!$P$5:$P$204,MATCH(A111,'09_Posicion_Actual'!$B$5:$B$204,0)),""))</f>
        <v/>
      </c>
      <c r="S111" s="132" t="str">
        <f t="shared" si="23"/>
        <v/>
      </c>
      <c r="T111" s="132"/>
      <c r="U111" s="132"/>
      <c r="V111" s="132"/>
      <c r="W111" s="132"/>
      <c r="X111" s="132"/>
    </row>
    <row r="112" spans="1:24">
      <c r="A112" s="132"/>
      <c r="B112" s="132"/>
      <c r="C112" s="132"/>
      <c r="D112" s="132"/>
      <c r="E112" s="176" t="str">
        <f>IF(A112="","",SUMIFS('14_Inversiones'!$E$5:$E$203,'14_Inversiones'!$B$5:$B$203,A112,'14_Inversiones'!$D$5:$D$203,C112,'14_Inversiones'!$C$5:$C$203,"Compra")+SUMIFS('14_Inversiones'!$E$5:$E$203,'14_Inversiones'!$B$5:$B$203,A112,'14_Inversiones'!$D$5:$D$203,C112,'14_Inversiones'!$C$5:$C$203,"Aporte")+SUMIFS('14_Inversiones'!$E$5:$E$203,'14_Inversiones'!$B$5:$B$203,A112,'14_Inversiones'!$D$5:$D$203,C112,'14_Inversiones'!$C$5:$C$203,"Ajuste"))</f>
        <v/>
      </c>
      <c r="F112" s="176" t="str">
        <f>IF(A112="","",SUMIFS('14_Inversiones'!$E$5:$E$203,'14_Inversiones'!$B$5:$B$203,A112,'14_Inversiones'!$D$5:$D$203,C112,'14_Inversiones'!$C$5:$C$203,"Retiro")+SUMIFS('14_Inversiones'!$E$5:$E$203,'14_Inversiones'!$B$5:$B$203,A112,'14_Inversiones'!$D$5:$D$203,C112,'14_Inversiones'!$C$5:$C$203,"Venta"))</f>
        <v/>
      </c>
      <c r="G112" s="176" t="str">
        <f t="shared" si="18"/>
        <v/>
      </c>
      <c r="H112" s="176" t="str">
        <f>IF(A112="","",IFERROR(INDEX('09_Posicion_Actual'!$G$5:$G$204,MATCH(A112,'09_Posicion_Actual'!$B$5:$B$204,0)),0))</f>
        <v/>
      </c>
      <c r="I112" s="171" t="str">
        <f>IF(A112="","",IFERROR(INDEX('09_Posicion_Actual'!$I$5:$I$204,MATCH(A112,'09_Posicion_Actual'!$B$5:$B$204,0)),0))</f>
        <v/>
      </c>
      <c r="J112" s="176" t="str">
        <f t="shared" si="19"/>
        <v/>
      </c>
      <c r="K112" s="171" t="str">
        <f>IF(A112="","",IF(C112="USD",J112*IFERROR(INDEX('09_Posicion_Actual'!$H$5:$H$204,MATCH(A112,'09_Posicion_Actual'!$B$5:$B$204,0)),950),J112))</f>
        <v/>
      </c>
      <c r="L112" s="180" t="str">
        <f t="shared" si="20"/>
        <v/>
      </c>
      <c r="M112" s="176" t="str">
        <f>IF(A112="","",IFERROR(INDEX('09_Posicion_Actual'!$F$5:$F$204,MATCH(A112,'09_Posicion_Actual'!$B$5:$B$204,0)),""))</f>
        <v/>
      </c>
      <c r="N112" s="177" t="str">
        <f>IF(A112="","",IFERROR(INDEX('09_Posicion_Actual'!$E$5:$E$204,MATCH(A112,'09_Posicion_Actual'!$B$5:$B$204,0)),""))</f>
        <v/>
      </c>
      <c r="O112" s="131" t="str">
        <f>IF(A112="","",IFERROR(INDEX('09_Posicion_Actual'!$A$5:$A$204,MATCH(A112,'09_Posicion_Actual'!$B$5:$B$204,0)),""))</f>
        <v/>
      </c>
      <c r="P112" s="132" t="str">
        <f t="shared" si="21"/>
        <v/>
      </c>
      <c r="Q112" s="132" t="str">
        <f t="shared" si="22"/>
        <v/>
      </c>
      <c r="R112" s="132" t="str">
        <f>IF(A112="","",IFERROR(INDEX('09_Posicion_Actual'!$P$5:$P$204,MATCH(A112,'09_Posicion_Actual'!$B$5:$B$204,0)),""))</f>
        <v/>
      </c>
      <c r="S112" s="132" t="str">
        <f t="shared" si="23"/>
        <v/>
      </c>
      <c r="T112" s="132"/>
      <c r="U112" s="132"/>
      <c r="V112" s="132"/>
      <c r="W112" s="132"/>
      <c r="X112" s="132"/>
    </row>
    <row r="113" spans="1:24">
      <c r="A113" s="132"/>
      <c r="B113" s="132"/>
      <c r="C113" s="132"/>
      <c r="D113" s="132"/>
      <c r="E113" s="176" t="str">
        <f>IF(A113="","",SUMIFS('14_Inversiones'!$E$5:$E$203,'14_Inversiones'!$B$5:$B$203,A113,'14_Inversiones'!$D$5:$D$203,C113,'14_Inversiones'!$C$5:$C$203,"Compra")+SUMIFS('14_Inversiones'!$E$5:$E$203,'14_Inversiones'!$B$5:$B$203,A113,'14_Inversiones'!$D$5:$D$203,C113,'14_Inversiones'!$C$5:$C$203,"Aporte")+SUMIFS('14_Inversiones'!$E$5:$E$203,'14_Inversiones'!$B$5:$B$203,A113,'14_Inversiones'!$D$5:$D$203,C113,'14_Inversiones'!$C$5:$C$203,"Ajuste"))</f>
        <v/>
      </c>
      <c r="F113" s="176" t="str">
        <f>IF(A113="","",SUMIFS('14_Inversiones'!$E$5:$E$203,'14_Inversiones'!$B$5:$B$203,A113,'14_Inversiones'!$D$5:$D$203,C113,'14_Inversiones'!$C$5:$C$203,"Retiro")+SUMIFS('14_Inversiones'!$E$5:$E$203,'14_Inversiones'!$B$5:$B$203,A113,'14_Inversiones'!$D$5:$D$203,C113,'14_Inversiones'!$C$5:$C$203,"Venta"))</f>
        <v/>
      </c>
      <c r="G113" s="176" t="str">
        <f t="shared" si="18"/>
        <v/>
      </c>
      <c r="H113" s="176" t="str">
        <f>IF(A113="","",IFERROR(INDEX('09_Posicion_Actual'!$G$5:$G$204,MATCH(A113,'09_Posicion_Actual'!$B$5:$B$204,0)),0))</f>
        <v/>
      </c>
      <c r="I113" s="171" t="str">
        <f>IF(A113="","",IFERROR(INDEX('09_Posicion_Actual'!$I$5:$I$204,MATCH(A113,'09_Posicion_Actual'!$B$5:$B$204,0)),0))</f>
        <v/>
      </c>
      <c r="J113" s="176" t="str">
        <f t="shared" si="19"/>
        <v/>
      </c>
      <c r="K113" s="171" t="str">
        <f>IF(A113="","",IF(C113="USD",J113*IFERROR(INDEX('09_Posicion_Actual'!$H$5:$H$204,MATCH(A113,'09_Posicion_Actual'!$B$5:$B$204,0)),950),J113))</f>
        <v/>
      </c>
      <c r="L113" s="180" t="str">
        <f t="shared" si="20"/>
        <v/>
      </c>
      <c r="M113" s="176" t="str">
        <f>IF(A113="","",IFERROR(INDEX('09_Posicion_Actual'!$F$5:$F$204,MATCH(A113,'09_Posicion_Actual'!$B$5:$B$204,0)),""))</f>
        <v/>
      </c>
      <c r="N113" s="177" t="str">
        <f>IF(A113="","",IFERROR(INDEX('09_Posicion_Actual'!$E$5:$E$204,MATCH(A113,'09_Posicion_Actual'!$B$5:$B$204,0)),""))</f>
        <v/>
      </c>
      <c r="O113" s="131" t="str">
        <f>IF(A113="","",IFERROR(INDEX('09_Posicion_Actual'!$A$5:$A$204,MATCH(A113,'09_Posicion_Actual'!$B$5:$B$204,0)),""))</f>
        <v/>
      </c>
      <c r="P113" s="132" t="str">
        <f t="shared" si="21"/>
        <v/>
      </c>
      <c r="Q113" s="132" t="str">
        <f t="shared" si="22"/>
        <v/>
      </c>
      <c r="R113" s="132" t="str">
        <f>IF(A113="","",IFERROR(INDEX('09_Posicion_Actual'!$P$5:$P$204,MATCH(A113,'09_Posicion_Actual'!$B$5:$B$204,0)),""))</f>
        <v/>
      </c>
      <c r="S113" s="132" t="str">
        <f t="shared" si="23"/>
        <v/>
      </c>
      <c r="T113" s="132"/>
      <c r="U113" s="132"/>
      <c r="V113" s="132"/>
      <c r="W113" s="132"/>
      <c r="X113" s="132"/>
    </row>
    <row r="114" spans="1:24">
      <c r="A114" s="132"/>
      <c r="B114" s="132"/>
      <c r="C114" s="132"/>
      <c r="D114" s="132"/>
      <c r="E114" s="176" t="str">
        <f>IF(A114="","",SUMIFS('14_Inversiones'!$E$5:$E$203,'14_Inversiones'!$B$5:$B$203,A114,'14_Inversiones'!$D$5:$D$203,C114,'14_Inversiones'!$C$5:$C$203,"Compra")+SUMIFS('14_Inversiones'!$E$5:$E$203,'14_Inversiones'!$B$5:$B$203,A114,'14_Inversiones'!$D$5:$D$203,C114,'14_Inversiones'!$C$5:$C$203,"Aporte")+SUMIFS('14_Inversiones'!$E$5:$E$203,'14_Inversiones'!$B$5:$B$203,A114,'14_Inversiones'!$D$5:$D$203,C114,'14_Inversiones'!$C$5:$C$203,"Ajuste"))</f>
        <v/>
      </c>
      <c r="F114" s="176" t="str">
        <f>IF(A114="","",SUMIFS('14_Inversiones'!$E$5:$E$203,'14_Inversiones'!$B$5:$B$203,A114,'14_Inversiones'!$D$5:$D$203,C114,'14_Inversiones'!$C$5:$C$203,"Retiro")+SUMIFS('14_Inversiones'!$E$5:$E$203,'14_Inversiones'!$B$5:$B$203,A114,'14_Inversiones'!$D$5:$D$203,C114,'14_Inversiones'!$C$5:$C$203,"Venta"))</f>
        <v/>
      </c>
      <c r="G114" s="176" t="str">
        <f t="shared" si="18"/>
        <v/>
      </c>
      <c r="H114" s="176" t="str">
        <f>IF(A114="","",IFERROR(INDEX('09_Posicion_Actual'!$G$5:$G$204,MATCH(A114,'09_Posicion_Actual'!$B$5:$B$204,0)),0))</f>
        <v/>
      </c>
      <c r="I114" s="171" t="str">
        <f>IF(A114="","",IFERROR(INDEX('09_Posicion_Actual'!$I$5:$I$204,MATCH(A114,'09_Posicion_Actual'!$B$5:$B$204,0)),0))</f>
        <v/>
      </c>
      <c r="J114" s="176" t="str">
        <f t="shared" si="19"/>
        <v/>
      </c>
      <c r="K114" s="171" t="str">
        <f>IF(A114="","",IF(C114="USD",J114*IFERROR(INDEX('09_Posicion_Actual'!$H$5:$H$204,MATCH(A114,'09_Posicion_Actual'!$B$5:$B$204,0)),950),J114))</f>
        <v/>
      </c>
      <c r="L114" s="180" t="str">
        <f t="shared" si="20"/>
        <v/>
      </c>
      <c r="M114" s="176" t="str">
        <f>IF(A114="","",IFERROR(INDEX('09_Posicion_Actual'!$F$5:$F$204,MATCH(A114,'09_Posicion_Actual'!$B$5:$B$204,0)),""))</f>
        <v/>
      </c>
      <c r="N114" s="177" t="str">
        <f>IF(A114="","",IFERROR(INDEX('09_Posicion_Actual'!$E$5:$E$204,MATCH(A114,'09_Posicion_Actual'!$B$5:$B$204,0)),""))</f>
        <v/>
      </c>
      <c r="O114" s="131" t="str">
        <f>IF(A114="","",IFERROR(INDEX('09_Posicion_Actual'!$A$5:$A$204,MATCH(A114,'09_Posicion_Actual'!$B$5:$B$204,0)),""))</f>
        <v/>
      </c>
      <c r="P114" s="132" t="str">
        <f t="shared" si="21"/>
        <v/>
      </c>
      <c r="Q114" s="132" t="str">
        <f t="shared" si="22"/>
        <v/>
      </c>
      <c r="R114" s="132" t="str">
        <f>IF(A114="","",IFERROR(INDEX('09_Posicion_Actual'!$P$5:$P$204,MATCH(A114,'09_Posicion_Actual'!$B$5:$B$204,0)),""))</f>
        <v/>
      </c>
      <c r="S114" s="132" t="str">
        <f t="shared" si="23"/>
        <v/>
      </c>
      <c r="T114" s="132"/>
      <c r="U114" s="132"/>
      <c r="V114" s="132"/>
      <c r="W114" s="132"/>
      <c r="X114" s="132"/>
    </row>
    <row r="115" spans="1:24">
      <c r="A115" s="132"/>
      <c r="B115" s="132"/>
      <c r="C115" s="132"/>
      <c r="D115" s="132"/>
      <c r="E115" s="176" t="str">
        <f>IF(A115="","",SUMIFS('14_Inversiones'!$E$5:$E$203,'14_Inversiones'!$B$5:$B$203,A115,'14_Inversiones'!$D$5:$D$203,C115,'14_Inversiones'!$C$5:$C$203,"Compra")+SUMIFS('14_Inversiones'!$E$5:$E$203,'14_Inversiones'!$B$5:$B$203,A115,'14_Inversiones'!$D$5:$D$203,C115,'14_Inversiones'!$C$5:$C$203,"Aporte")+SUMIFS('14_Inversiones'!$E$5:$E$203,'14_Inversiones'!$B$5:$B$203,A115,'14_Inversiones'!$D$5:$D$203,C115,'14_Inversiones'!$C$5:$C$203,"Ajuste"))</f>
        <v/>
      </c>
      <c r="F115" s="176" t="str">
        <f>IF(A115="","",SUMIFS('14_Inversiones'!$E$5:$E$203,'14_Inversiones'!$B$5:$B$203,A115,'14_Inversiones'!$D$5:$D$203,C115,'14_Inversiones'!$C$5:$C$203,"Retiro")+SUMIFS('14_Inversiones'!$E$5:$E$203,'14_Inversiones'!$B$5:$B$203,A115,'14_Inversiones'!$D$5:$D$203,C115,'14_Inversiones'!$C$5:$C$203,"Venta"))</f>
        <v/>
      </c>
      <c r="G115" s="176" t="str">
        <f t="shared" si="18"/>
        <v/>
      </c>
      <c r="H115" s="176" t="str">
        <f>IF(A115="","",IFERROR(INDEX('09_Posicion_Actual'!$G$5:$G$204,MATCH(A115,'09_Posicion_Actual'!$B$5:$B$204,0)),0))</f>
        <v/>
      </c>
      <c r="I115" s="171" t="str">
        <f>IF(A115="","",IFERROR(INDEX('09_Posicion_Actual'!$I$5:$I$204,MATCH(A115,'09_Posicion_Actual'!$B$5:$B$204,0)),0))</f>
        <v/>
      </c>
      <c r="J115" s="176" t="str">
        <f t="shared" si="19"/>
        <v/>
      </c>
      <c r="K115" s="171" t="str">
        <f>IF(A115="","",IF(C115="USD",J115*IFERROR(INDEX('09_Posicion_Actual'!$H$5:$H$204,MATCH(A115,'09_Posicion_Actual'!$B$5:$B$204,0)),950),J115))</f>
        <v/>
      </c>
      <c r="L115" s="180" t="str">
        <f t="shared" si="20"/>
        <v/>
      </c>
      <c r="M115" s="176" t="str">
        <f>IF(A115="","",IFERROR(INDEX('09_Posicion_Actual'!$F$5:$F$204,MATCH(A115,'09_Posicion_Actual'!$B$5:$B$204,0)),""))</f>
        <v/>
      </c>
      <c r="N115" s="177" t="str">
        <f>IF(A115="","",IFERROR(INDEX('09_Posicion_Actual'!$E$5:$E$204,MATCH(A115,'09_Posicion_Actual'!$B$5:$B$204,0)),""))</f>
        <v/>
      </c>
      <c r="O115" s="131" t="str">
        <f>IF(A115="","",IFERROR(INDEX('09_Posicion_Actual'!$A$5:$A$204,MATCH(A115,'09_Posicion_Actual'!$B$5:$B$204,0)),""))</f>
        <v/>
      </c>
      <c r="P115" s="132" t="str">
        <f t="shared" si="21"/>
        <v/>
      </c>
      <c r="Q115" s="132" t="str">
        <f t="shared" si="22"/>
        <v/>
      </c>
      <c r="R115" s="132" t="str">
        <f>IF(A115="","",IFERROR(INDEX('09_Posicion_Actual'!$P$5:$P$204,MATCH(A115,'09_Posicion_Actual'!$B$5:$B$204,0)),""))</f>
        <v/>
      </c>
      <c r="S115" s="132" t="str">
        <f t="shared" si="23"/>
        <v/>
      </c>
      <c r="T115" s="132"/>
      <c r="U115" s="132"/>
      <c r="V115" s="132"/>
      <c r="W115" s="132"/>
      <c r="X115" s="132"/>
    </row>
    <row r="116" spans="1:24">
      <c r="A116" s="132"/>
      <c r="B116" s="132"/>
      <c r="C116" s="132"/>
      <c r="D116" s="132"/>
      <c r="E116" s="176" t="str">
        <f>IF(A116="","",SUMIFS('14_Inversiones'!$E$5:$E$203,'14_Inversiones'!$B$5:$B$203,A116,'14_Inversiones'!$D$5:$D$203,C116,'14_Inversiones'!$C$5:$C$203,"Compra")+SUMIFS('14_Inversiones'!$E$5:$E$203,'14_Inversiones'!$B$5:$B$203,A116,'14_Inversiones'!$D$5:$D$203,C116,'14_Inversiones'!$C$5:$C$203,"Aporte")+SUMIFS('14_Inversiones'!$E$5:$E$203,'14_Inversiones'!$B$5:$B$203,A116,'14_Inversiones'!$D$5:$D$203,C116,'14_Inversiones'!$C$5:$C$203,"Ajuste"))</f>
        <v/>
      </c>
      <c r="F116" s="176" t="str">
        <f>IF(A116="","",SUMIFS('14_Inversiones'!$E$5:$E$203,'14_Inversiones'!$B$5:$B$203,A116,'14_Inversiones'!$D$5:$D$203,C116,'14_Inversiones'!$C$5:$C$203,"Retiro")+SUMIFS('14_Inversiones'!$E$5:$E$203,'14_Inversiones'!$B$5:$B$203,A116,'14_Inversiones'!$D$5:$D$203,C116,'14_Inversiones'!$C$5:$C$203,"Venta"))</f>
        <v/>
      </c>
      <c r="G116" s="176" t="str">
        <f t="shared" si="18"/>
        <v/>
      </c>
      <c r="H116" s="176" t="str">
        <f>IF(A116="","",IFERROR(INDEX('09_Posicion_Actual'!$G$5:$G$204,MATCH(A116,'09_Posicion_Actual'!$B$5:$B$204,0)),0))</f>
        <v/>
      </c>
      <c r="I116" s="171" t="str">
        <f>IF(A116="","",IFERROR(INDEX('09_Posicion_Actual'!$I$5:$I$204,MATCH(A116,'09_Posicion_Actual'!$B$5:$B$204,0)),0))</f>
        <v/>
      </c>
      <c r="J116" s="176" t="str">
        <f t="shared" si="19"/>
        <v/>
      </c>
      <c r="K116" s="171" t="str">
        <f>IF(A116="","",IF(C116="USD",J116*IFERROR(INDEX('09_Posicion_Actual'!$H$5:$H$204,MATCH(A116,'09_Posicion_Actual'!$B$5:$B$204,0)),950),J116))</f>
        <v/>
      </c>
      <c r="L116" s="180" t="str">
        <f t="shared" si="20"/>
        <v/>
      </c>
      <c r="M116" s="176" t="str">
        <f>IF(A116="","",IFERROR(INDEX('09_Posicion_Actual'!$F$5:$F$204,MATCH(A116,'09_Posicion_Actual'!$B$5:$B$204,0)),""))</f>
        <v/>
      </c>
      <c r="N116" s="177" t="str">
        <f>IF(A116="","",IFERROR(INDEX('09_Posicion_Actual'!$E$5:$E$204,MATCH(A116,'09_Posicion_Actual'!$B$5:$B$204,0)),""))</f>
        <v/>
      </c>
      <c r="O116" s="131" t="str">
        <f>IF(A116="","",IFERROR(INDEX('09_Posicion_Actual'!$A$5:$A$204,MATCH(A116,'09_Posicion_Actual'!$B$5:$B$204,0)),""))</f>
        <v/>
      </c>
      <c r="P116" s="132" t="str">
        <f t="shared" si="21"/>
        <v/>
      </c>
      <c r="Q116" s="132" t="str">
        <f t="shared" si="22"/>
        <v/>
      </c>
      <c r="R116" s="132" t="str">
        <f>IF(A116="","",IFERROR(INDEX('09_Posicion_Actual'!$P$5:$P$204,MATCH(A116,'09_Posicion_Actual'!$B$5:$B$204,0)),""))</f>
        <v/>
      </c>
      <c r="S116" s="132" t="str">
        <f t="shared" si="23"/>
        <v/>
      </c>
      <c r="T116" s="132"/>
      <c r="U116" s="132"/>
      <c r="V116" s="132"/>
      <c r="W116" s="132"/>
      <c r="X116" s="132"/>
    </row>
    <row r="117" spans="1:24">
      <c r="A117" s="132"/>
      <c r="B117" s="132"/>
      <c r="C117" s="132"/>
      <c r="D117" s="132"/>
      <c r="E117" s="176" t="str">
        <f>IF(A117="","",SUMIFS('14_Inversiones'!$E$5:$E$203,'14_Inversiones'!$B$5:$B$203,A117,'14_Inversiones'!$D$5:$D$203,C117,'14_Inversiones'!$C$5:$C$203,"Compra")+SUMIFS('14_Inversiones'!$E$5:$E$203,'14_Inversiones'!$B$5:$B$203,A117,'14_Inversiones'!$D$5:$D$203,C117,'14_Inversiones'!$C$5:$C$203,"Aporte")+SUMIFS('14_Inversiones'!$E$5:$E$203,'14_Inversiones'!$B$5:$B$203,A117,'14_Inversiones'!$D$5:$D$203,C117,'14_Inversiones'!$C$5:$C$203,"Ajuste"))</f>
        <v/>
      </c>
      <c r="F117" s="176" t="str">
        <f>IF(A117="","",SUMIFS('14_Inversiones'!$E$5:$E$203,'14_Inversiones'!$B$5:$B$203,A117,'14_Inversiones'!$D$5:$D$203,C117,'14_Inversiones'!$C$5:$C$203,"Retiro")+SUMIFS('14_Inversiones'!$E$5:$E$203,'14_Inversiones'!$B$5:$B$203,A117,'14_Inversiones'!$D$5:$D$203,C117,'14_Inversiones'!$C$5:$C$203,"Venta"))</f>
        <v/>
      </c>
      <c r="G117" s="176" t="str">
        <f t="shared" si="18"/>
        <v/>
      </c>
      <c r="H117" s="176" t="str">
        <f>IF(A117="","",IFERROR(INDEX('09_Posicion_Actual'!$G$5:$G$204,MATCH(A117,'09_Posicion_Actual'!$B$5:$B$204,0)),0))</f>
        <v/>
      </c>
      <c r="I117" s="171" t="str">
        <f>IF(A117="","",IFERROR(INDEX('09_Posicion_Actual'!$I$5:$I$204,MATCH(A117,'09_Posicion_Actual'!$B$5:$B$204,0)),0))</f>
        <v/>
      </c>
      <c r="J117" s="176" t="str">
        <f t="shared" si="19"/>
        <v/>
      </c>
      <c r="K117" s="171" t="str">
        <f>IF(A117="","",IF(C117="USD",J117*IFERROR(INDEX('09_Posicion_Actual'!$H$5:$H$204,MATCH(A117,'09_Posicion_Actual'!$B$5:$B$204,0)),950),J117))</f>
        <v/>
      </c>
      <c r="L117" s="180" t="str">
        <f t="shared" si="20"/>
        <v/>
      </c>
      <c r="M117" s="176" t="str">
        <f>IF(A117="","",IFERROR(INDEX('09_Posicion_Actual'!$F$5:$F$204,MATCH(A117,'09_Posicion_Actual'!$B$5:$B$204,0)),""))</f>
        <v/>
      </c>
      <c r="N117" s="177" t="str">
        <f>IF(A117="","",IFERROR(INDEX('09_Posicion_Actual'!$E$5:$E$204,MATCH(A117,'09_Posicion_Actual'!$B$5:$B$204,0)),""))</f>
        <v/>
      </c>
      <c r="O117" s="131" t="str">
        <f>IF(A117="","",IFERROR(INDEX('09_Posicion_Actual'!$A$5:$A$204,MATCH(A117,'09_Posicion_Actual'!$B$5:$B$204,0)),""))</f>
        <v/>
      </c>
      <c r="P117" s="132" t="str">
        <f t="shared" si="21"/>
        <v/>
      </c>
      <c r="Q117" s="132" t="str">
        <f t="shared" si="22"/>
        <v/>
      </c>
      <c r="R117" s="132" t="str">
        <f>IF(A117="","",IFERROR(INDEX('09_Posicion_Actual'!$P$5:$P$204,MATCH(A117,'09_Posicion_Actual'!$B$5:$B$204,0)),""))</f>
        <v/>
      </c>
      <c r="S117" s="132" t="str">
        <f t="shared" si="23"/>
        <v/>
      </c>
      <c r="T117" s="132"/>
      <c r="U117" s="132"/>
      <c r="V117" s="132"/>
      <c r="W117" s="132"/>
      <c r="X117" s="132"/>
    </row>
    <row r="118" spans="1:24">
      <c r="A118" s="132"/>
      <c r="B118" s="132"/>
      <c r="C118" s="132"/>
      <c r="D118" s="132"/>
      <c r="E118" s="176" t="str">
        <f>IF(A118="","",SUMIFS('14_Inversiones'!$E$5:$E$203,'14_Inversiones'!$B$5:$B$203,A118,'14_Inversiones'!$D$5:$D$203,C118,'14_Inversiones'!$C$5:$C$203,"Compra")+SUMIFS('14_Inversiones'!$E$5:$E$203,'14_Inversiones'!$B$5:$B$203,A118,'14_Inversiones'!$D$5:$D$203,C118,'14_Inversiones'!$C$5:$C$203,"Aporte")+SUMIFS('14_Inversiones'!$E$5:$E$203,'14_Inversiones'!$B$5:$B$203,A118,'14_Inversiones'!$D$5:$D$203,C118,'14_Inversiones'!$C$5:$C$203,"Ajuste"))</f>
        <v/>
      </c>
      <c r="F118" s="176" t="str">
        <f>IF(A118="","",SUMIFS('14_Inversiones'!$E$5:$E$203,'14_Inversiones'!$B$5:$B$203,A118,'14_Inversiones'!$D$5:$D$203,C118,'14_Inversiones'!$C$5:$C$203,"Retiro")+SUMIFS('14_Inversiones'!$E$5:$E$203,'14_Inversiones'!$B$5:$B$203,A118,'14_Inversiones'!$D$5:$D$203,C118,'14_Inversiones'!$C$5:$C$203,"Venta"))</f>
        <v/>
      </c>
      <c r="G118" s="176" t="str">
        <f t="shared" si="18"/>
        <v/>
      </c>
      <c r="H118" s="176" t="str">
        <f>IF(A118="","",IFERROR(INDEX('09_Posicion_Actual'!$G$5:$G$204,MATCH(A118,'09_Posicion_Actual'!$B$5:$B$204,0)),0))</f>
        <v/>
      </c>
      <c r="I118" s="171" t="str">
        <f>IF(A118="","",IFERROR(INDEX('09_Posicion_Actual'!$I$5:$I$204,MATCH(A118,'09_Posicion_Actual'!$B$5:$B$204,0)),0))</f>
        <v/>
      </c>
      <c r="J118" s="176" t="str">
        <f t="shared" si="19"/>
        <v/>
      </c>
      <c r="K118" s="171" t="str">
        <f>IF(A118="","",IF(C118="USD",J118*IFERROR(INDEX('09_Posicion_Actual'!$H$5:$H$204,MATCH(A118,'09_Posicion_Actual'!$B$5:$B$204,0)),950),J118))</f>
        <v/>
      </c>
      <c r="L118" s="180" t="str">
        <f t="shared" si="20"/>
        <v/>
      </c>
      <c r="M118" s="176" t="str">
        <f>IF(A118="","",IFERROR(INDEX('09_Posicion_Actual'!$F$5:$F$204,MATCH(A118,'09_Posicion_Actual'!$B$5:$B$204,0)),""))</f>
        <v/>
      </c>
      <c r="N118" s="177" t="str">
        <f>IF(A118="","",IFERROR(INDEX('09_Posicion_Actual'!$E$5:$E$204,MATCH(A118,'09_Posicion_Actual'!$B$5:$B$204,0)),""))</f>
        <v/>
      </c>
      <c r="O118" s="131" t="str">
        <f>IF(A118="","",IFERROR(INDEX('09_Posicion_Actual'!$A$5:$A$204,MATCH(A118,'09_Posicion_Actual'!$B$5:$B$204,0)),""))</f>
        <v/>
      </c>
      <c r="P118" s="132" t="str">
        <f t="shared" si="21"/>
        <v/>
      </c>
      <c r="Q118" s="132" t="str">
        <f t="shared" si="22"/>
        <v/>
      </c>
      <c r="R118" s="132" t="str">
        <f>IF(A118="","",IFERROR(INDEX('09_Posicion_Actual'!$P$5:$P$204,MATCH(A118,'09_Posicion_Actual'!$B$5:$B$204,0)),""))</f>
        <v/>
      </c>
      <c r="S118" s="132" t="str">
        <f t="shared" si="23"/>
        <v/>
      </c>
      <c r="T118" s="132"/>
      <c r="U118" s="132"/>
      <c r="V118" s="132"/>
      <c r="W118" s="132"/>
      <c r="X118" s="132"/>
    </row>
    <row r="119" spans="1:24">
      <c r="A119" s="132"/>
      <c r="B119" s="132"/>
      <c r="C119" s="132"/>
      <c r="D119" s="132"/>
      <c r="E119" s="176" t="str">
        <f>IF(A119="","",SUMIFS('14_Inversiones'!$E$5:$E$203,'14_Inversiones'!$B$5:$B$203,A119,'14_Inversiones'!$D$5:$D$203,C119,'14_Inversiones'!$C$5:$C$203,"Compra")+SUMIFS('14_Inversiones'!$E$5:$E$203,'14_Inversiones'!$B$5:$B$203,A119,'14_Inversiones'!$D$5:$D$203,C119,'14_Inversiones'!$C$5:$C$203,"Aporte")+SUMIFS('14_Inversiones'!$E$5:$E$203,'14_Inversiones'!$B$5:$B$203,A119,'14_Inversiones'!$D$5:$D$203,C119,'14_Inversiones'!$C$5:$C$203,"Ajuste"))</f>
        <v/>
      </c>
      <c r="F119" s="176" t="str">
        <f>IF(A119="","",SUMIFS('14_Inversiones'!$E$5:$E$203,'14_Inversiones'!$B$5:$B$203,A119,'14_Inversiones'!$D$5:$D$203,C119,'14_Inversiones'!$C$5:$C$203,"Retiro")+SUMIFS('14_Inversiones'!$E$5:$E$203,'14_Inversiones'!$B$5:$B$203,A119,'14_Inversiones'!$D$5:$D$203,C119,'14_Inversiones'!$C$5:$C$203,"Venta"))</f>
        <v/>
      </c>
      <c r="G119" s="176" t="str">
        <f t="shared" si="18"/>
        <v/>
      </c>
      <c r="H119" s="176" t="str">
        <f>IF(A119="","",IFERROR(INDEX('09_Posicion_Actual'!$G$5:$G$204,MATCH(A119,'09_Posicion_Actual'!$B$5:$B$204,0)),0))</f>
        <v/>
      </c>
      <c r="I119" s="171" t="str">
        <f>IF(A119="","",IFERROR(INDEX('09_Posicion_Actual'!$I$5:$I$204,MATCH(A119,'09_Posicion_Actual'!$B$5:$B$204,0)),0))</f>
        <v/>
      </c>
      <c r="J119" s="176" t="str">
        <f t="shared" si="19"/>
        <v/>
      </c>
      <c r="K119" s="171" t="str">
        <f>IF(A119="","",IF(C119="USD",J119*IFERROR(INDEX('09_Posicion_Actual'!$H$5:$H$204,MATCH(A119,'09_Posicion_Actual'!$B$5:$B$204,0)),950),J119))</f>
        <v/>
      </c>
      <c r="L119" s="180" t="str">
        <f t="shared" si="20"/>
        <v/>
      </c>
      <c r="M119" s="176" t="str">
        <f>IF(A119="","",IFERROR(INDEX('09_Posicion_Actual'!$F$5:$F$204,MATCH(A119,'09_Posicion_Actual'!$B$5:$B$204,0)),""))</f>
        <v/>
      </c>
      <c r="N119" s="177" t="str">
        <f>IF(A119="","",IFERROR(INDEX('09_Posicion_Actual'!$E$5:$E$204,MATCH(A119,'09_Posicion_Actual'!$B$5:$B$204,0)),""))</f>
        <v/>
      </c>
      <c r="O119" s="131" t="str">
        <f>IF(A119="","",IFERROR(INDEX('09_Posicion_Actual'!$A$5:$A$204,MATCH(A119,'09_Posicion_Actual'!$B$5:$B$204,0)),""))</f>
        <v/>
      </c>
      <c r="P119" s="132" t="str">
        <f t="shared" si="21"/>
        <v/>
      </c>
      <c r="Q119" s="132" t="str">
        <f t="shared" si="22"/>
        <v/>
      </c>
      <c r="R119" s="132" t="str">
        <f>IF(A119="","",IFERROR(INDEX('09_Posicion_Actual'!$P$5:$P$204,MATCH(A119,'09_Posicion_Actual'!$B$5:$B$204,0)),""))</f>
        <v/>
      </c>
      <c r="S119" s="132" t="str">
        <f t="shared" si="23"/>
        <v/>
      </c>
      <c r="T119" s="132"/>
      <c r="U119" s="132"/>
      <c r="V119" s="132"/>
      <c r="W119" s="132"/>
      <c r="X119" s="132"/>
    </row>
    <row r="120" spans="1:24">
      <c r="A120" s="132"/>
      <c r="B120" s="132"/>
      <c r="C120" s="132"/>
      <c r="D120" s="132"/>
      <c r="E120" s="176" t="str">
        <f>IF(A120="","",SUMIFS('14_Inversiones'!$E$5:$E$203,'14_Inversiones'!$B$5:$B$203,A120,'14_Inversiones'!$D$5:$D$203,C120,'14_Inversiones'!$C$5:$C$203,"Compra")+SUMIFS('14_Inversiones'!$E$5:$E$203,'14_Inversiones'!$B$5:$B$203,A120,'14_Inversiones'!$D$5:$D$203,C120,'14_Inversiones'!$C$5:$C$203,"Aporte")+SUMIFS('14_Inversiones'!$E$5:$E$203,'14_Inversiones'!$B$5:$B$203,A120,'14_Inversiones'!$D$5:$D$203,C120,'14_Inversiones'!$C$5:$C$203,"Ajuste"))</f>
        <v/>
      </c>
      <c r="F120" s="176" t="str">
        <f>IF(A120="","",SUMIFS('14_Inversiones'!$E$5:$E$203,'14_Inversiones'!$B$5:$B$203,A120,'14_Inversiones'!$D$5:$D$203,C120,'14_Inversiones'!$C$5:$C$203,"Retiro")+SUMIFS('14_Inversiones'!$E$5:$E$203,'14_Inversiones'!$B$5:$B$203,A120,'14_Inversiones'!$D$5:$D$203,C120,'14_Inversiones'!$C$5:$C$203,"Venta"))</f>
        <v/>
      </c>
      <c r="G120" s="176" t="str">
        <f t="shared" si="18"/>
        <v/>
      </c>
      <c r="H120" s="176" t="str">
        <f>IF(A120="","",IFERROR(INDEX('09_Posicion_Actual'!$G$5:$G$204,MATCH(A120,'09_Posicion_Actual'!$B$5:$B$204,0)),0))</f>
        <v/>
      </c>
      <c r="I120" s="171" t="str">
        <f>IF(A120="","",IFERROR(INDEX('09_Posicion_Actual'!$I$5:$I$204,MATCH(A120,'09_Posicion_Actual'!$B$5:$B$204,0)),0))</f>
        <v/>
      </c>
      <c r="J120" s="176" t="str">
        <f t="shared" si="19"/>
        <v/>
      </c>
      <c r="K120" s="171" t="str">
        <f>IF(A120="","",IF(C120="USD",J120*IFERROR(INDEX('09_Posicion_Actual'!$H$5:$H$204,MATCH(A120,'09_Posicion_Actual'!$B$5:$B$204,0)),950),J120))</f>
        <v/>
      </c>
      <c r="L120" s="180" t="str">
        <f t="shared" si="20"/>
        <v/>
      </c>
      <c r="M120" s="176" t="str">
        <f>IF(A120="","",IFERROR(INDEX('09_Posicion_Actual'!$F$5:$F$204,MATCH(A120,'09_Posicion_Actual'!$B$5:$B$204,0)),""))</f>
        <v/>
      </c>
      <c r="N120" s="177" t="str">
        <f>IF(A120="","",IFERROR(INDEX('09_Posicion_Actual'!$E$5:$E$204,MATCH(A120,'09_Posicion_Actual'!$B$5:$B$204,0)),""))</f>
        <v/>
      </c>
      <c r="O120" s="131" t="str">
        <f>IF(A120="","",IFERROR(INDEX('09_Posicion_Actual'!$A$5:$A$204,MATCH(A120,'09_Posicion_Actual'!$B$5:$B$204,0)),""))</f>
        <v/>
      </c>
      <c r="P120" s="132" t="str">
        <f t="shared" si="21"/>
        <v/>
      </c>
      <c r="Q120" s="132" t="str">
        <f t="shared" si="22"/>
        <v/>
      </c>
      <c r="R120" s="132" t="str">
        <f>IF(A120="","",IFERROR(INDEX('09_Posicion_Actual'!$P$5:$P$204,MATCH(A120,'09_Posicion_Actual'!$B$5:$B$204,0)),""))</f>
        <v/>
      </c>
      <c r="S120" s="132" t="str">
        <f t="shared" si="23"/>
        <v/>
      </c>
      <c r="T120" s="132"/>
      <c r="U120" s="132"/>
      <c r="V120" s="132"/>
      <c r="W120" s="132"/>
      <c r="X120" s="132"/>
    </row>
    <row r="121" spans="1:24">
      <c r="A121" s="132"/>
      <c r="B121" s="132"/>
      <c r="C121" s="132"/>
      <c r="D121" s="132"/>
      <c r="E121" s="176" t="str">
        <f>IF(A121="","",SUMIFS('14_Inversiones'!$E$5:$E$203,'14_Inversiones'!$B$5:$B$203,A121,'14_Inversiones'!$D$5:$D$203,C121,'14_Inversiones'!$C$5:$C$203,"Compra")+SUMIFS('14_Inversiones'!$E$5:$E$203,'14_Inversiones'!$B$5:$B$203,A121,'14_Inversiones'!$D$5:$D$203,C121,'14_Inversiones'!$C$5:$C$203,"Aporte")+SUMIFS('14_Inversiones'!$E$5:$E$203,'14_Inversiones'!$B$5:$B$203,A121,'14_Inversiones'!$D$5:$D$203,C121,'14_Inversiones'!$C$5:$C$203,"Ajuste"))</f>
        <v/>
      </c>
      <c r="F121" s="176" t="str">
        <f>IF(A121="","",SUMIFS('14_Inversiones'!$E$5:$E$203,'14_Inversiones'!$B$5:$B$203,A121,'14_Inversiones'!$D$5:$D$203,C121,'14_Inversiones'!$C$5:$C$203,"Retiro")+SUMIFS('14_Inversiones'!$E$5:$E$203,'14_Inversiones'!$B$5:$B$203,A121,'14_Inversiones'!$D$5:$D$203,C121,'14_Inversiones'!$C$5:$C$203,"Venta"))</f>
        <v/>
      </c>
      <c r="G121" s="176" t="str">
        <f t="shared" si="18"/>
        <v/>
      </c>
      <c r="H121" s="176" t="str">
        <f>IF(A121="","",IFERROR(INDEX('09_Posicion_Actual'!$G$5:$G$204,MATCH(A121,'09_Posicion_Actual'!$B$5:$B$204,0)),0))</f>
        <v/>
      </c>
      <c r="I121" s="171" t="str">
        <f>IF(A121="","",IFERROR(INDEX('09_Posicion_Actual'!$I$5:$I$204,MATCH(A121,'09_Posicion_Actual'!$B$5:$B$204,0)),0))</f>
        <v/>
      </c>
      <c r="J121" s="176" t="str">
        <f t="shared" si="19"/>
        <v/>
      </c>
      <c r="K121" s="171" t="str">
        <f>IF(A121="","",IF(C121="USD",J121*IFERROR(INDEX('09_Posicion_Actual'!$H$5:$H$204,MATCH(A121,'09_Posicion_Actual'!$B$5:$B$204,0)),950),J121))</f>
        <v/>
      </c>
      <c r="L121" s="180" t="str">
        <f t="shared" si="20"/>
        <v/>
      </c>
      <c r="M121" s="176" t="str">
        <f>IF(A121="","",IFERROR(INDEX('09_Posicion_Actual'!$F$5:$F$204,MATCH(A121,'09_Posicion_Actual'!$B$5:$B$204,0)),""))</f>
        <v/>
      </c>
      <c r="N121" s="177" t="str">
        <f>IF(A121="","",IFERROR(INDEX('09_Posicion_Actual'!$E$5:$E$204,MATCH(A121,'09_Posicion_Actual'!$B$5:$B$204,0)),""))</f>
        <v/>
      </c>
      <c r="O121" s="131" t="str">
        <f>IF(A121="","",IFERROR(INDEX('09_Posicion_Actual'!$A$5:$A$204,MATCH(A121,'09_Posicion_Actual'!$B$5:$B$204,0)),""))</f>
        <v/>
      </c>
      <c r="P121" s="132" t="str">
        <f t="shared" si="21"/>
        <v/>
      </c>
      <c r="Q121" s="132" t="str">
        <f t="shared" si="22"/>
        <v/>
      </c>
      <c r="R121" s="132" t="str">
        <f>IF(A121="","",IFERROR(INDEX('09_Posicion_Actual'!$P$5:$P$204,MATCH(A121,'09_Posicion_Actual'!$B$5:$B$204,0)),""))</f>
        <v/>
      </c>
      <c r="S121" s="132" t="str">
        <f t="shared" si="23"/>
        <v/>
      </c>
      <c r="T121" s="132"/>
      <c r="U121" s="132"/>
      <c r="V121" s="132"/>
      <c r="W121" s="132"/>
      <c r="X121" s="132"/>
    </row>
    <row r="122" spans="1:24">
      <c r="A122" s="132"/>
      <c r="B122" s="132"/>
      <c r="C122" s="132"/>
      <c r="D122" s="132"/>
      <c r="E122" s="176" t="str">
        <f>IF(A122="","",SUMIFS('14_Inversiones'!$E$5:$E$203,'14_Inversiones'!$B$5:$B$203,A122,'14_Inversiones'!$D$5:$D$203,C122,'14_Inversiones'!$C$5:$C$203,"Compra")+SUMIFS('14_Inversiones'!$E$5:$E$203,'14_Inversiones'!$B$5:$B$203,A122,'14_Inversiones'!$D$5:$D$203,C122,'14_Inversiones'!$C$5:$C$203,"Aporte")+SUMIFS('14_Inversiones'!$E$5:$E$203,'14_Inversiones'!$B$5:$B$203,A122,'14_Inversiones'!$D$5:$D$203,C122,'14_Inversiones'!$C$5:$C$203,"Ajuste"))</f>
        <v/>
      </c>
      <c r="F122" s="176" t="str">
        <f>IF(A122="","",SUMIFS('14_Inversiones'!$E$5:$E$203,'14_Inversiones'!$B$5:$B$203,A122,'14_Inversiones'!$D$5:$D$203,C122,'14_Inversiones'!$C$5:$C$203,"Retiro")+SUMIFS('14_Inversiones'!$E$5:$E$203,'14_Inversiones'!$B$5:$B$203,A122,'14_Inversiones'!$D$5:$D$203,C122,'14_Inversiones'!$C$5:$C$203,"Venta"))</f>
        <v/>
      </c>
      <c r="G122" s="176" t="str">
        <f t="shared" si="18"/>
        <v/>
      </c>
      <c r="H122" s="176" t="str">
        <f>IF(A122="","",IFERROR(INDEX('09_Posicion_Actual'!$G$5:$G$204,MATCH(A122,'09_Posicion_Actual'!$B$5:$B$204,0)),0))</f>
        <v/>
      </c>
      <c r="I122" s="171" t="str">
        <f>IF(A122="","",IFERROR(INDEX('09_Posicion_Actual'!$I$5:$I$204,MATCH(A122,'09_Posicion_Actual'!$B$5:$B$204,0)),0))</f>
        <v/>
      </c>
      <c r="J122" s="176" t="str">
        <f t="shared" si="19"/>
        <v/>
      </c>
      <c r="K122" s="171" t="str">
        <f>IF(A122="","",IF(C122="USD",J122*IFERROR(INDEX('09_Posicion_Actual'!$H$5:$H$204,MATCH(A122,'09_Posicion_Actual'!$B$5:$B$204,0)),950),J122))</f>
        <v/>
      </c>
      <c r="L122" s="180" t="str">
        <f t="shared" si="20"/>
        <v/>
      </c>
      <c r="M122" s="176" t="str">
        <f>IF(A122="","",IFERROR(INDEX('09_Posicion_Actual'!$F$5:$F$204,MATCH(A122,'09_Posicion_Actual'!$B$5:$B$204,0)),""))</f>
        <v/>
      </c>
      <c r="N122" s="177" t="str">
        <f>IF(A122="","",IFERROR(INDEX('09_Posicion_Actual'!$E$5:$E$204,MATCH(A122,'09_Posicion_Actual'!$B$5:$B$204,0)),""))</f>
        <v/>
      </c>
      <c r="O122" s="131" t="str">
        <f>IF(A122="","",IFERROR(INDEX('09_Posicion_Actual'!$A$5:$A$204,MATCH(A122,'09_Posicion_Actual'!$B$5:$B$204,0)),""))</f>
        <v/>
      </c>
      <c r="P122" s="132" t="str">
        <f t="shared" si="21"/>
        <v/>
      </c>
      <c r="Q122" s="132" t="str">
        <f t="shared" si="22"/>
        <v/>
      </c>
      <c r="R122" s="132" t="str">
        <f>IF(A122="","",IFERROR(INDEX('09_Posicion_Actual'!$P$5:$P$204,MATCH(A122,'09_Posicion_Actual'!$B$5:$B$204,0)),""))</f>
        <v/>
      </c>
      <c r="S122" s="132" t="str">
        <f t="shared" si="23"/>
        <v/>
      </c>
      <c r="T122" s="132"/>
      <c r="U122" s="132"/>
      <c r="V122" s="132"/>
      <c r="W122" s="132"/>
      <c r="X122" s="132"/>
    </row>
    <row r="123" spans="1:24">
      <c r="A123" s="132"/>
      <c r="B123" s="132"/>
      <c r="C123" s="132"/>
      <c r="D123" s="132"/>
      <c r="E123" s="176" t="str">
        <f>IF(A123="","",SUMIFS('14_Inversiones'!$E$5:$E$203,'14_Inversiones'!$B$5:$B$203,A123,'14_Inversiones'!$D$5:$D$203,C123,'14_Inversiones'!$C$5:$C$203,"Compra")+SUMIFS('14_Inversiones'!$E$5:$E$203,'14_Inversiones'!$B$5:$B$203,A123,'14_Inversiones'!$D$5:$D$203,C123,'14_Inversiones'!$C$5:$C$203,"Aporte")+SUMIFS('14_Inversiones'!$E$5:$E$203,'14_Inversiones'!$B$5:$B$203,A123,'14_Inversiones'!$D$5:$D$203,C123,'14_Inversiones'!$C$5:$C$203,"Ajuste"))</f>
        <v/>
      </c>
      <c r="F123" s="176" t="str">
        <f>IF(A123="","",SUMIFS('14_Inversiones'!$E$5:$E$203,'14_Inversiones'!$B$5:$B$203,A123,'14_Inversiones'!$D$5:$D$203,C123,'14_Inversiones'!$C$5:$C$203,"Retiro")+SUMIFS('14_Inversiones'!$E$5:$E$203,'14_Inversiones'!$B$5:$B$203,A123,'14_Inversiones'!$D$5:$D$203,C123,'14_Inversiones'!$C$5:$C$203,"Venta"))</f>
        <v/>
      </c>
      <c r="G123" s="176" t="str">
        <f t="shared" si="18"/>
        <v/>
      </c>
      <c r="H123" s="176" t="str">
        <f>IF(A123="","",IFERROR(INDEX('09_Posicion_Actual'!$G$5:$G$204,MATCH(A123,'09_Posicion_Actual'!$B$5:$B$204,0)),0))</f>
        <v/>
      </c>
      <c r="I123" s="171" t="str">
        <f>IF(A123="","",IFERROR(INDEX('09_Posicion_Actual'!$I$5:$I$204,MATCH(A123,'09_Posicion_Actual'!$B$5:$B$204,0)),0))</f>
        <v/>
      </c>
      <c r="J123" s="176" t="str">
        <f t="shared" si="19"/>
        <v/>
      </c>
      <c r="K123" s="171" t="str">
        <f>IF(A123="","",IF(C123="USD",J123*IFERROR(INDEX('09_Posicion_Actual'!$H$5:$H$204,MATCH(A123,'09_Posicion_Actual'!$B$5:$B$204,0)),950),J123))</f>
        <v/>
      </c>
      <c r="L123" s="180" t="str">
        <f t="shared" si="20"/>
        <v/>
      </c>
      <c r="M123" s="176" t="str">
        <f>IF(A123="","",IFERROR(INDEX('09_Posicion_Actual'!$F$5:$F$204,MATCH(A123,'09_Posicion_Actual'!$B$5:$B$204,0)),""))</f>
        <v/>
      </c>
      <c r="N123" s="177" t="str">
        <f>IF(A123="","",IFERROR(INDEX('09_Posicion_Actual'!$E$5:$E$204,MATCH(A123,'09_Posicion_Actual'!$B$5:$B$204,0)),""))</f>
        <v/>
      </c>
      <c r="O123" s="131" t="str">
        <f>IF(A123="","",IFERROR(INDEX('09_Posicion_Actual'!$A$5:$A$204,MATCH(A123,'09_Posicion_Actual'!$B$5:$B$204,0)),""))</f>
        <v/>
      </c>
      <c r="P123" s="132" t="str">
        <f t="shared" si="21"/>
        <v/>
      </c>
      <c r="Q123" s="132" t="str">
        <f t="shared" si="22"/>
        <v/>
      </c>
      <c r="R123" s="132" t="str">
        <f>IF(A123="","",IFERROR(INDEX('09_Posicion_Actual'!$P$5:$P$204,MATCH(A123,'09_Posicion_Actual'!$B$5:$B$204,0)),""))</f>
        <v/>
      </c>
      <c r="S123" s="132" t="str">
        <f t="shared" si="23"/>
        <v/>
      </c>
      <c r="T123" s="132"/>
      <c r="U123" s="132"/>
      <c r="V123" s="132"/>
      <c r="W123" s="132"/>
      <c r="X123" s="132"/>
    </row>
    <row r="124" spans="1:24">
      <c r="A124" s="132"/>
      <c r="B124" s="132"/>
      <c r="C124" s="132"/>
      <c r="D124" s="132"/>
      <c r="E124" s="176" t="str">
        <f>IF(A124="","",SUMIFS('14_Inversiones'!$E$5:$E$203,'14_Inversiones'!$B$5:$B$203,A124,'14_Inversiones'!$D$5:$D$203,C124,'14_Inversiones'!$C$5:$C$203,"Compra")+SUMIFS('14_Inversiones'!$E$5:$E$203,'14_Inversiones'!$B$5:$B$203,A124,'14_Inversiones'!$D$5:$D$203,C124,'14_Inversiones'!$C$5:$C$203,"Aporte")+SUMIFS('14_Inversiones'!$E$5:$E$203,'14_Inversiones'!$B$5:$B$203,A124,'14_Inversiones'!$D$5:$D$203,C124,'14_Inversiones'!$C$5:$C$203,"Ajuste"))</f>
        <v/>
      </c>
      <c r="F124" s="176" t="str">
        <f>IF(A124="","",SUMIFS('14_Inversiones'!$E$5:$E$203,'14_Inversiones'!$B$5:$B$203,A124,'14_Inversiones'!$D$5:$D$203,C124,'14_Inversiones'!$C$5:$C$203,"Retiro")+SUMIFS('14_Inversiones'!$E$5:$E$203,'14_Inversiones'!$B$5:$B$203,A124,'14_Inversiones'!$D$5:$D$203,C124,'14_Inversiones'!$C$5:$C$203,"Venta"))</f>
        <v/>
      </c>
      <c r="G124" s="176" t="str">
        <f t="shared" si="18"/>
        <v/>
      </c>
      <c r="H124" s="176" t="str">
        <f>IF(A124="","",IFERROR(INDEX('09_Posicion_Actual'!$G$5:$G$204,MATCH(A124,'09_Posicion_Actual'!$B$5:$B$204,0)),0))</f>
        <v/>
      </c>
      <c r="I124" s="171" t="str">
        <f>IF(A124="","",IFERROR(INDEX('09_Posicion_Actual'!$I$5:$I$204,MATCH(A124,'09_Posicion_Actual'!$B$5:$B$204,0)),0))</f>
        <v/>
      </c>
      <c r="J124" s="176" t="str">
        <f t="shared" si="19"/>
        <v/>
      </c>
      <c r="K124" s="171" t="str">
        <f>IF(A124="","",IF(C124="USD",J124*IFERROR(INDEX('09_Posicion_Actual'!$H$5:$H$204,MATCH(A124,'09_Posicion_Actual'!$B$5:$B$204,0)),950),J124))</f>
        <v/>
      </c>
      <c r="L124" s="180" t="str">
        <f t="shared" si="20"/>
        <v/>
      </c>
      <c r="M124" s="176" t="str">
        <f>IF(A124="","",IFERROR(INDEX('09_Posicion_Actual'!$F$5:$F$204,MATCH(A124,'09_Posicion_Actual'!$B$5:$B$204,0)),""))</f>
        <v/>
      </c>
      <c r="N124" s="177" t="str">
        <f>IF(A124="","",IFERROR(INDEX('09_Posicion_Actual'!$E$5:$E$204,MATCH(A124,'09_Posicion_Actual'!$B$5:$B$204,0)),""))</f>
        <v/>
      </c>
      <c r="O124" s="131" t="str">
        <f>IF(A124="","",IFERROR(INDEX('09_Posicion_Actual'!$A$5:$A$204,MATCH(A124,'09_Posicion_Actual'!$B$5:$B$204,0)),""))</f>
        <v/>
      </c>
      <c r="P124" s="132" t="str">
        <f t="shared" si="21"/>
        <v/>
      </c>
      <c r="Q124" s="132" t="str">
        <f t="shared" si="22"/>
        <v/>
      </c>
      <c r="R124" s="132" t="str">
        <f>IF(A124="","",IFERROR(INDEX('09_Posicion_Actual'!$P$5:$P$204,MATCH(A124,'09_Posicion_Actual'!$B$5:$B$204,0)),""))</f>
        <v/>
      </c>
      <c r="S124" s="132" t="str">
        <f t="shared" si="23"/>
        <v/>
      </c>
      <c r="T124" s="132"/>
      <c r="U124" s="132"/>
      <c r="V124" s="132"/>
      <c r="W124" s="132"/>
      <c r="X124" s="132"/>
    </row>
    <row r="125" spans="1:24">
      <c r="A125" s="132"/>
      <c r="B125" s="132"/>
      <c r="C125" s="132"/>
      <c r="D125" s="132"/>
      <c r="E125" s="176" t="str">
        <f>IF(A125="","",SUMIFS('14_Inversiones'!$E$5:$E$203,'14_Inversiones'!$B$5:$B$203,A125,'14_Inversiones'!$D$5:$D$203,C125,'14_Inversiones'!$C$5:$C$203,"Compra")+SUMIFS('14_Inversiones'!$E$5:$E$203,'14_Inversiones'!$B$5:$B$203,A125,'14_Inversiones'!$D$5:$D$203,C125,'14_Inversiones'!$C$5:$C$203,"Aporte")+SUMIFS('14_Inversiones'!$E$5:$E$203,'14_Inversiones'!$B$5:$B$203,A125,'14_Inversiones'!$D$5:$D$203,C125,'14_Inversiones'!$C$5:$C$203,"Ajuste"))</f>
        <v/>
      </c>
      <c r="F125" s="176" t="str">
        <f>IF(A125="","",SUMIFS('14_Inversiones'!$E$5:$E$203,'14_Inversiones'!$B$5:$B$203,A125,'14_Inversiones'!$D$5:$D$203,C125,'14_Inversiones'!$C$5:$C$203,"Retiro")+SUMIFS('14_Inversiones'!$E$5:$E$203,'14_Inversiones'!$B$5:$B$203,A125,'14_Inversiones'!$D$5:$D$203,C125,'14_Inversiones'!$C$5:$C$203,"Venta"))</f>
        <v/>
      </c>
      <c r="G125" s="176" t="str">
        <f t="shared" si="18"/>
        <v/>
      </c>
      <c r="H125" s="176" t="str">
        <f>IF(A125="","",IFERROR(INDEX('09_Posicion_Actual'!$G$5:$G$204,MATCH(A125,'09_Posicion_Actual'!$B$5:$B$204,0)),0))</f>
        <v/>
      </c>
      <c r="I125" s="171" t="str">
        <f>IF(A125="","",IFERROR(INDEX('09_Posicion_Actual'!$I$5:$I$204,MATCH(A125,'09_Posicion_Actual'!$B$5:$B$204,0)),0))</f>
        <v/>
      </c>
      <c r="J125" s="176" t="str">
        <f t="shared" si="19"/>
        <v/>
      </c>
      <c r="K125" s="171" t="str">
        <f>IF(A125="","",IF(C125="USD",J125*IFERROR(INDEX('09_Posicion_Actual'!$H$5:$H$204,MATCH(A125,'09_Posicion_Actual'!$B$5:$B$204,0)),950),J125))</f>
        <v/>
      </c>
      <c r="L125" s="180" t="str">
        <f t="shared" si="20"/>
        <v/>
      </c>
      <c r="M125" s="176" t="str">
        <f>IF(A125="","",IFERROR(INDEX('09_Posicion_Actual'!$F$5:$F$204,MATCH(A125,'09_Posicion_Actual'!$B$5:$B$204,0)),""))</f>
        <v/>
      </c>
      <c r="N125" s="177" t="str">
        <f>IF(A125="","",IFERROR(INDEX('09_Posicion_Actual'!$E$5:$E$204,MATCH(A125,'09_Posicion_Actual'!$B$5:$B$204,0)),""))</f>
        <v/>
      </c>
      <c r="O125" s="131" t="str">
        <f>IF(A125="","",IFERROR(INDEX('09_Posicion_Actual'!$A$5:$A$204,MATCH(A125,'09_Posicion_Actual'!$B$5:$B$204,0)),""))</f>
        <v/>
      </c>
      <c r="P125" s="132" t="str">
        <f t="shared" si="21"/>
        <v/>
      </c>
      <c r="Q125" s="132" t="str">
        <f t="shared" si="22"/>
        <v/>
      </c>
      <c r="R125" s="132" t="str">
        <f>IF(A125="","",IFERROR(INDEX('09_Posicion_Actual'!$P$5:$P$204,MATCH(A125,'09_Posicion_Actual'!$B$5:$B$204,0)),""))</f>
        <v/>
      </c>
      <c r="S125" s="132" t="str">
        <f t="shared" si="23"/>
        <v/>
      </c>
      <c r="T125" s="132"/>
      <c r="U125" s="132"/>
      <c r="V125" s="132"/>
      <c r="W125" s="132"/>
      <c r="X125" s="132"/>
    </row>
    <row r="126" spans="1:24">
      <c r="A126" s="132"/>
      <c r="B126" s="132"/>
      <c r="C126" s="132"/>
      <c r="D126" s="132"/>
      <c r="E126" s="176" t="str">
        <f>IF(A126="","",SUMIFS('14_Inversiones'!$E$5:$E$203,'14_Inversiones'!$B$5:$B$203,A126,'14_Inversiones'!$D$5:$D$203,C126,'14_Inversiones'!$C$5:$C$203,"Compra")+SUMIFS('14_Inversiones'!$E$5:$E$203,'14_Inversiones'!$B$5:$B$203,A126,'14_Inversiones'!$D$5:$D$203,C126,'14_Inversiones'!$C$5:$C$203,"Aporte")+SUMIFS('14_Inversiones'!$E$5:$E$203,'14_Inversiones'!$B$5:$B$203,A126,'14_Inversiones'!$D$5:$D$203,C126,'14_Inversiones'!$C$5:$C$203,"Ajuste"))</f>
        <v/>
      </c>
      <c r="F126" s="176" t="str">
        <f>IF(A126="","",SUMIFS('14_Inversiones'!$E$5:$E$203,'14_Inversiones'!$B$5:$B$203,A126,'14_Inversiones'!$D$5:$D$203,C126,'14_Inversiones'!$C$5:$C$203,"Retiro")+SUMIFS('14_Inversiones'!$E$5:$E$203,'14_Inversiones'!$B$5:$B$203,A126,'14_Inversiones'!$D$5:$D$203,C126,'14_Inversiones'!$C$5:$C$203,"Venta"))</f>
        <v/>
      </c>
      <c r="G126" s="176" t="str">
        <f t="shared" si="18"/>
        <v/>
      </c>
      <c r="H126" s="176" t="str">
        <f>IF(A126="","",IFERROR(INDEX('09_Posicion_Actual'!$G$5:$G$204,MATCH(A126,'09_Posicion_Actual'!$B$5:$B$204,0)),0))</f>
        <v/>
      </c>
      <c r="I126" s="171" t="str">
        <f>IF(A126="","",IFERROR(INDEX('09_Posicion_Actual'!$I$5:$I$204,MATCH(A126,'09_Posicion_Actual'!$B$5:$B$204,0)),0))</f>
        <v/>
      </c>
      <c r="J126" s="176" t="str">
        <f t="shared" si="19"/>
        <v/>
      </c>
      <c r="K126" s="171" t="str">
        <f>IF(A126="","",IF(C126="USD",J126*IFERROR(INDEX('09_Posicion_Actual'!$H$5:$H$204,MATCH(A126,'09_Posicion_Actual'!$B$5:$B$204,0)),950),J126))</f>
        <v/>
      </c>
      <c r="L126" s="180" t="str">
        <f t="shared" si="20"/>
        <v/>
      </c>
      <c r="M126" s="176" t="str">
        <f>IF(A126="","",IFERROR(INDEX('09_Posicion_Actual'!$F$5:$F$204,MATCH(A126,'09_Posicion_Actual'!$B$5:$B$204,0)),""))</f>
        <v/>
      </c>
      <c r="N126" s="177" t="str">
        <f>IF(A126="","",IFERROR(INDEX('09_Posicion_Actual'!$E$5:$E$204,MATCH(A126,'09_Posicion_Actual'!$B$5:$B$204,0)),""))</f>
        <v/>
      </c>
      <c r="O126" s="131" t="str">
        <f>IF(A126="","",IFERROR(INDEX('09_Posicion_Actual'!$A$5:$A$204,MATCH(A126,'09_Posicion_Actual'!$B$5:$B$204,0)),""))</f>
        <v/>
      </c>
      <c r="P126" s="132" t="str">
        <f t="shared" si="21"/>
        <v/>
      </c>
      <c r="Q126" s="132" t="str">
        <f t="shared" si="22"/>
        <v/>
      </c>
      <c r="R126" s="132" t="str">
        <f>IF(A126="","",IFERROR(INDEX('09_Posicion_Actual'!$P$5:$P$204,MATCH(A126,'09_Posicion_Actual'!$B$5:$B$204,0)),""))</f>
        <v/>
      </c>
      <c r="S126" s="132" t="str">
        <f t="shared" si="23"/>
        <v/>
      </c>
      <c r="T126" s="132"/>
      <c r="U126" s="132"/>
      <c r="V126" s="132"/>
      <c r="W126" s="132"/>
      <c r="X126" s="132"/>
    </row>
    <row r="127" spans="1:24">
      <c r="A127" s="132"/>
      <c r="B127" s="132"/>
      <c r="C127" s="132"/>
      <c r="D127" s="132"/>
      <c r="E127" s="176" t="str">
        <f>IF(A127="","",SUMIFS('14_Inversiones'!$E$5:$E$203,'14_Inversiones'!$B$5:$B$203,A127,'14_Inversiones'!$D$5:$D$203,C127,'14_Inversiones'!$C$5:$C$203,"Compra")+SUMIFS('14_Inversiones'!$E$5:$E$203,'14_Inversiones'!$B$5:$B$203,A127,'14_Inversiones'!$D$5:$D$203,C127,'14_Inversiones'!$C$5:$C$203,"Aporte")+SUMIFS('14_Inversiones'!$E$5:$E$203,'14_Inversiones'!$B$5:$B$203,A127,'14_Inversiones'!$D$5:$D$203,C127,'14_Inversiones'!$C$5:$C$203,"Ajuste"))</f>
        <v/>
      </c>
      <c r="F127" s="176" t="str">
        <f>IF(A127="","",SUMIFS('14_Inversiones'!$E$5:$E$203,'14_Inversiones'!$B$5:$B$203,A127,'14_Inversiones'!$D$5:$D$203,C127,'14_Inversiones'!$C$5:$C$203,"Retiro")+SUMIFS('14_Inversiones'!$E$5:$E$203,'14_Inversiones'!$B$5:$B$203,A127,'14_Inversiones'!$D$5:$D$203,C127,'14_Inversiones'!$C$5:$C$203,"Venta"))</f>
        <v/>
      </c>
      <c r="G127" s="176" t="str">
        <f t="shared" si="18"/>
        <v/>
      </c>
      <c r="H127" s="176" t="str">
        <f>IF(A127="","",IFERROR(INDEX('09_Posicion_Actual'!$G$5:$G$204,MATCH(A127,'09_Posicion_Actual'!$B$5:$B$204,0)),0))</f>
        <v/>
      </c>
      <c r="I127" s="171" t="str">
        <f>IF(A127="","",IFERROR(INDEX('09_Posicion_Actual'!$I$5:$I$204,MATCH(A127,'09_Posicion_Actual'!$B$5:$B$204,0)),0))</f>
        <v/>
      </c>
      <c r="J127" s="176" t="str">
        <f t="shared" si="19"/>
        <v/>
      </c>
      <c r="K127" s="171" t="str">
        <f>IF(A127="","",IF(C127="USD",J127*IFERROR(INDEX('09_Posicion_Actual'!$H$5:$H$204,MATCH(A127,'09_Posicion_Actual'!$B$5:$B$204,0)),950),J127))</f>
        <v/>
      </c>
      <c r="L127" s="180" t="str">
        <f t="shared" si="20"/>
        <v/>
      </c>
      <c r="M127" s="176" t="str">
        <f>IF(A127="","",IFERROR(INDEX('09_Posicion_Actual'!$F$5:$F$204,MATCH(A127,'09_Posicion_Actual'!$B$5:$B$204,0)),""))</f>
        <v/>
      </c>
      <c r="N127" s="177" t="str">
        <f>IF(A127="","",IFERROR(INDEX('09_Posicion_Actual'!$E$5:$E$204,MATCH(A127,'09_Posicion_Actual'!$B$5:$B$204,0)),""))</f>
        <v/>
      </c>
      <c r="O127" s="131" t="str">
        <f>IF(A127="","",IFERROR(INDEX('09_Posicion_Actual'!$A$5:$A$204,MATCH(A127,'09_Posicion_Actual'!$B$5:$B$204,0)),""))</f>
        <v/>
      </c>
      <c r="P127" s="132" t="str">
        <f t="shared" si="21"/>
        <v/>
      </c>
      <c r="Q127" s="132" t="str">
        <f t="shared" si="22"/>
        <v/>
      </c>
      <c r="R127" s="132" t="str">
        <f>IF(A127="","",IFERROR(INDEX('09_Posicion_Actual'!$P$5:$P$204,MATCH(A127,'09_Posicion_Actual'!$B$5:$B$204,0)),""))</f>
        <v/>
      </c>
      <c r="S127" s="132" t="str">
        <f t="shared" si="23"/>
        <v/>
      </c>
      <c r="T127" s="132"/>
      <c r="U127" s="132"/>
      <c r="V127" s="132"/>
      <c r="W127" s="132"/>
      <c r="X127" s="132"/>
    </row>
    <row r="128" spans="1:24">
      <c r="A128" s="132"/>
      <c r="B128" s="132"/>
      <c r="C128" s="132"/>
      <c r="D128" s="132"/>
      <c r="E128" s="176" t="str">
        <f>IF(A128="","",SUMIFS('14_Inversiones'!$E$5:$E$203,'14_Inversiones'!$B$5:$B$203,A128,'14_Inversiones'!$D$5:$D$203,C128,'14_Inversiones'!$C$5:$C$203,"Compra")+SUMIFS('14_Inversiones'!$E$5:$E$203,'14_Inversiones'!$B$5:$B$203,A128,'14_Inversiones'!$D$5:$D$203,C128,'14_Inversiones'!$C$5:$C$203,"Aporte")+SUMIFS('14_Inversiones'!$E$5:$E$203,'14_Inversiones'!$B$5:$B$203,A128,'14_Inversiones'!$D$5:$D$203,C128,'14_Inversiones'!$C$5:$C$203,"Ajuste"))</f>
        <v/>
      </c>
      <c r="F128" s="176" t="str">
        <f>IF(A128="","",SUMIFS('14_Inversiones'!$E$5:$E$203,'14_Inversiones'!$B$5:$B$203,A128,'14_Inversiones'!$D$5:$D$203,C128,'14_Inversiones'!$C$5:$C$203,"Retiro")+SUMIFS('14_Inversiones'!$E$5:$E$203,'14_Inversiones'!$B$5:$B$203,A128,'14_Inversiones'!$D$5:$D$203,C128,'14_Inversiones'!$C$5:$C$203,"Venta"))</f>
        <v/>
      </c>
      <c r="G128" s="176" t="str">
        <f t="shared" si="18"/>
        <v/>
      </c>
      <c r="H128" s="176" t="str">
        <f>IF(A128="","",IFERROR(INDEX('09_Posicion_Actual'!$G$5:$G$204,MATCH(A128,'09_Posicion_Actual'!$B$5:$B$204,0)),0))</f>
        <v/>
      </c>
      <c r="I128" s="171" t="str">
        <f>IF(A128="","",IFERROR(INDEX('09_Posicion_Actual'!$I$5:$I$204,MATCH(A128,'09_Posicion_Actual'!$B$5:$B$204,0)),0))</f>
        <v/>
      </c>
      <c r="J128" s="176" t="str">
        <f t="shared" si="19"/>
        <v/>
      </c>
      <c r="K128" s="171" t="str">
        <f>IF(A128="","",IF(C128="USD",J128*IFERROR(INDEX('09_Posicion_Actual'!$H$5:$H$204,MATCH(A128,'09_Posicion_Actual'!$B$5:$B$204,0)),950),J128))</f>
        <v/>
      </c>
      <c r="L128" s="180" t="str">
        <f t="shared" si="20"/>
        <v/>
      </c>
      <c r="M128" s="176" t="str">
        <f>IF(A128="","",IFERROR(INDEX('09_Posicion_Actual'!$F$5:$F$204,MATCH(A128,'09_Posicion_Actual'!$B$5:$B$204,0)),""))</f>
        <v/>
      </c>
      <c r="N128" s="177" t="str">
        <f>IF(A128="","",IFERROR(INDEX('09_Posicion_Actual'!$E$5:$E$204,MATCH(A128,'09_Posicion_Actual'!$B$5:$B$204,0)),""))</f>
        <v/>
      </c>
      <c r="O128" s="131" t="str">
        <f>IF(A128="","",IFERROR(INDEX('09_Posicion_Actual'!$A$5:$A$204,MATCH(A128,'09_Posicion_Actual'!$B$5:$B$204,0)),""))</f>
        <v/>
      </c>
      <c r="P128" s="132" t="str">
        <f t="shared" si="21"/>
        <v/>
      </c>
      <c r="Q128" s="132" t="str">
        <f t="shared" si="22"/>
        <v/>
      </c>
      <c r="R128" s="132" t="str">
        <f>IF(A128="","",IFERROR(INDEX('09_Posicion_Actual'!$P$5:$P$204,MATCH(A128,'09_Posicion_Actual'!$B$5:$B$204,0)),""))</f>
        <v/>
      </c>
      <c r="S128" s="132" t="str">
        <f t="shared" si="23"/>
        <v/>
      </c>
      <c r="T128" s="132"/>
      <c r="U128" s="132"/>
      <c r="V128" s="132"/>
      <c r="W128" s="132"/>
      <c r="X128" s="132"/>
    </row>
    <row r="129" spans="1:24">
      <c r="A129" s="132"/>
      <c r="B129" s="132"/>
      <c r="C129" s="132"/>
      <c r="D129" s="132"/>
      <c r="E129" s="176" t="str">
        <f>IF(A129="","",SUMIFS('14_Inversiones'!$E$5:$E$203,'14_Inversiones'!$B$5:$B$203,A129,'14_Inversiones'!$D$5:$D$203,C129,'14_Inversiones'!$C$5:$C$203,"Compra")+SUMIFS('14_Inversiones'!$E$5:$E$203,'14_Inversiones'!$B$5:$B$203,A129,'14_Inversiones'!$D$5:$D$203,C129,'14_Inversiones'!$C$5:$C$203,"Aporte")+SUMIFS('14_Inversiones'!$E$5:$E$203,'14_Inversiones'!$B$5:$B$203,A129,'14_Inversiones'!$D$5:$D$203,C129,'14_Inversiones'!$C$5:$C$203,"Ajuste"))</f>
        <v/>
      </c>
      <c r="F129" s="176" t="str">
        <f>IF(A129="","",SUMIFS('14_Inversiones'!$E$5:$E$203,'14_Inversiones'!$B$5:$B$203,A129,'14_Inversiones'!$D$5:$D$203,C129,'14_Inversiones'!$C$5:$C$203,"Retiro")+SUMIFS('14_Inversiones'!$E$5:$E$203,'14_Inversiones'!$B$5:$B$203,A129,'14_Inversiones'!$D$5:$D$203,C129,'14_Inversiones'!$C$5:$C$203,"Venta"))</f>
        <v/>
      </c>
      <c r="G129" s="176" t="str">
        <f t="shared" si="18"/>
        <v/>
      </c>
      <c r="H129" s="176" t="str">
        <f>IF(A129="","",IFERROR(INDEX('09_Posicion_Actual'!$G$5:$G$204,MATCH(A129,'09_Posicion_Actual'!$B$5:$B$204,0)),0))</f>
        <v/>
      </c>
      <c r="I129" s="171" t="str">
        <f>IF(A129="","",IFERROR(INDEX('09_Posicion_Actual'!$I$5:$I$204,MATCH(A129,'09_Posicion_Actual'!$B$5:$B$204,0)),0))</f>
        <v/>
      </c>
      <c r="J129" s="176" t="str">
        <f t="shared" si="19"/>
        <v/>
      </c>
      <c r="K129" s="171" t="str">
        <f>IF(A129="","",IF(C129="USD",J129*IFERROR(INDEX('09_Posicion_Actual'!$H$5:$H$204,MATCH(A129,'09_Posicion_Actual'!$B$5:$B$204,0)),950),J129))</f>
        <v/>
      </c>
      <c r="L129" s="180" t="str">
        <f t="shared" si="20"/>
        <v/>
      </c>
      <c r="M129" s="176" t="str">
        <f>IF(A129="","",IFERROR(INDEX('09_Posicion_Actual'!$F$5:$F$204,MATCH(A129,'09_Posicion_Actual'!$B$5:$B$204,0)),""))</f>
        <v/>
      </c>
      <c r="N129" s="177" t="str">
        <f>IF(A129="","",IFERROR(INDEX('09_Posicion_Actual'!$E$5:$E$204,MATCH(A129,'09_Posicion_Actual'!$B$5:$B$204,0)),""))</f>
        <v/>
      </c>
      <c r="O129" s="131" t="str">
        <f>IF(A129="","",IFERROR(INDEX('09_Posicion_Actual'!$A$5:$A$204,MATCH(A129,'09_Posicion_Actual'!$B$5:$B$204,0)),""))</f>
        <v/>
      </c>
      <c r="P129" s="132" t="str">
        <f t="shared" si="21"/>
        <v/>
      </c>
      <c r="Q129" s="132" t="str">
        <f t="shared" si="22"/>
        <v/>
      </c>
      <c r="R129" s="132" t="str">
        <f>IF(A129="","",IFERROR(INDEX('09_Posicion_Actual'!$P$5:$P$204,MATCH(A129,'09_Posicion_Actual'!$B$5:$B$204,0)),""))</f>
        <v/>
      </c>
      <c r="S129" s="132" t="str">
        <f t="shared" si="23"/>
        <v/>
      </c>
      <c r="T129" s="132"/>
      <c r="U129" s="132"/>
      <c r="V129" s="132"/>
      <c r="W129" s="132"/>
      <c r="X129" s="132"/>
    </row>
    <row r="130" spans="1:24">
      <c r="A130" s="132"/>
      <c r="B130" s="132"/>
      <c r="C130" s="132"/>
      <c r="D130" s="132"/>
      <c r="E130" s="176" t="str">
        <f>IF(A130="","",SUMIFS('14_Inversiones'!$E$5:$E$203,'14_Inversiones'!$B$5:$B$203,A130,'14_Inversiones'!$D$5:$D$203,C130,'14_Inversiones'!$C$5:$C$203,"Compra")+SUMIFS('14_Inversiones'!$E$5:$E$203,'14_Inversiones'!$B$5:$B$203,A130,'14_Inversiones'!$D$5:$D$203,C130,'14_Inversiones'!$C$5:$C$203,"Aporte")+SUMIFS('14_Inversiones'!$E$5:$E$203,'14_Inversiones'!$B$5:$B$203,A130,'14_Inversiones'!$D$5:$D$203,C130,'14_Inversiones'!$C$5:$C$203,"Ajuste"))</f>
        <v/>
      </c>
      <c r="F130" s="176" t="str">
        <f>IF(A130="","",SUMIFS('14_Inversiones'!$E$5:$E$203,'14_Inversiones'!$B$5:$B$203,A130,'14_Inversiones'!$D$5:$D$203,C130,'14_Inversiones'!$C$5:$C$203,"Retiro")+SUMIFS('14_Inversiones'!$E$5:$E$203,'14_Inversiones'!$B$5:$B$203,A130,'14_Inversiones'!$D$5:$D$203,C130,'14_Inversiones'!$C$5:$C$203,"Venta"))</f>
        <v/>
      </c>
      <c r="G130" s="176" t="str">
        <f t="shared" si="18"/>
        <v/>
      </c>
      <c r="H130" s="176" t="str">
        <f>IF(A130="","",IFERROR(INDEX('09_Posicion_Actual'!$G$5:$G$204,MATCH(A130,'09_Posicion_Actual'!$B$5:$B$204,0)),0))</f>
        <v/>
      </c>
      <c r="I130" s="171" t="str">
        <f>IF(A130="","",IFERROR(INDEX('09_Posicion_Actual'!$I$5:$I$204,MATCH(A130,'09_Posicion_Actual'!$B$5:$B$204,0)),0))</f>
        <v/>
      </c>
      <c r="J130" s="176" t="str">
        <f t="shared" si="19"/>
        <v/>
      </c>
      <c r="K130" s="171" t="str">
        <f>IF(A130="","",IF(C130="USD",J130*IFERROR(INDEX('09_Posicion_Actual'!$H$5:$H$204,MATCH(A130,'09_Posicion_Actual'!$B$5:$B$204,0)),950),J130))</f>
        <v/>
      </c>
      <c r="L130" s="180" t="str">
        <f t="shared" si="20"/>
        <v/>
      </c>
      <c r="M130" s="176" t="str">
        <f>IF(A130="","",IFERROR(INDEX('09_Posicion_Actual'!$F$5:$F$204,MATCH(A130,'09_Posicion_Actual'!$B$5:$B$204,0)),""))</f>
        <v/>
      </c>
      <c r="N130" s="177" t="str">
        <f>IF(A130="","",IFERROR(INDEX('09_Posicion_Actual'!$E$5:$E$204,MATCH(A130,'09_Posicion_Actual'!$B$5:$B$204,0)),""))</f>
        <v/>
      </c>
      <c r="O130" s="131" t="str">
        <f>IF(A130="","",IFERROR(INDEX('09_Posicion_Actual'!$A$5:$A$204,MATCH(A130,'09_Posicion_Actual'!$B$5:$B$204,0)),""))</f>
        <v/>
      </c>
      <c r="P130" s="132" t="str">
        <f t="shared" si="21"/>
        <v/>
      </c>
      <c r="Q130" s="132" t="str">
        <f t="shared" si="22"/>
        <v/>
      </c>
      <c r="R130" s="132" t="str">
        <f>IF(A130="","",IFERROR(INDEX('09_Posicion_Actual'!$P$5:$P$204,MATCH(A130,'09_Posicion_Actual'!$B$5:$B$204,0)),""))</f>
        <v/>
      </c>
      <c r="S130" s="132" t="str">
        <f t="shared" si="23"/>
        <v/>
      </c>
      <c r="T130" s="132"/>
      <c r="U130" s="132"/>
      <c r="V130" s="132"/>
      <c r="W130" s="132"/>
      <c r="X130" s="132"/>
    </row>
    <row r="131" spans="1:24">
      <c r="A131" s="132"/>
      <c r="B131" s="132"/>
      <c r="C131" s="132"/>
      <c r="D131" s="132"/>
      <c r="E131" s="176" t="str">
        <f>IF(A131="","",SUMIFS('14_Inversiones'!$E$5:$E$203,'14_Inversiones'!$B$5:$B$203,A131,'14_Inversiones'!$D$5:$D$203,C131,'14_Inversiones'!$C$5:$C$203,"Compra")+SUMIFS('14_Inversiones'!$E$5:$E$203,'14_Inversiones'!$B$5:$B$203,A131,'14_Inversiones'!$D$5:$D$203,C131,'14_Inversiones'!$C$5:$C$203,"Aporte")+SUMIFS('14_Inversiones'!$E$5:$E$203,'14_Inversiones'!$B$5:$B$203,A131,'14_Inversiones'!$D$5:$D$203,C131,'14_Inversiones'!$C$5:$C$203,"Ajuste"))</f>
        <v/>
      </c>
      <c r="F131" s="176" t="str">
        <f>IF(A131="","",SUMIFS('14_Inversiones'!$E$5:$E$203,'14_Inversiones'!$B$5:$B$203,A131,'14_Inversiones'!$D$5:$D$203,C131,'14_Inversiones'!$C$5:$C$203,"Retiro")+SUMIFS('14_Inversiones'!$E$5:$E$203,'14_Inversiones'!$B$5:$B$203,A131,'14_Inversiones'!$D$5:$D$203,C131,'14_Inversiones'!$C$5:$C$203,"Venta"))</f>
        <v/>
      </c>
      <c r="G131" s="176" t="str">
        <f t="shared" si="18"/>
        <v/>
      </c>
      <c r="H131" s="176" t="str">
        <f>IF(A131="","",IFERROR(INDEX('09_Posicion_Actual'!$G$5:$G$204,MATCH(A131,'09_Posicion_Actual'!$B$5:$B$204,0)),0))</f>
        <v/>
      </c>
      <c r="I131" s="171" t="str">
        <f>IF(A131="","",IFERROR(INDEX('09_Posicion_Actual'!$I$5:$I$204,MATCH(A131,'09_Posicion_Actual'!$B$5:$B$204,0)),0))</f>
        <v/>
      </c>
      <c r="J131" s="176" t="str">
        <f t="shared" si="19"/>
        <v/>
      </c>
      <c r="K131" s="171" t="str">
        <f>IF(A131="","",IF(C131="USD",J131*IFERROR(INDEX('09_Posicion_Actual'!$H$5:$H$204,MATCH(A131,'09_Posicion_Actual'!$B$5:$B$204,0)),950),J131))</f>
        <v/>
      </c>
      <c r="L131" s="180" t="str">
        <f t="shared" si="20"/>
        <v/>
      </c>
      <c r="M131" s="176" t="str">
        <f>IF(A131="","",IFERROR(INDEX('09_Posicion_Actual'!$F$5:$F$204,MATCH(A131,'09_Posicion_Actual'!$B$5:$B$204,0)),""))</f>
        <v/>
      </c>
      <c r="N131" s="177" t="str">
        <f>IF(A131="","",IFERROR(INDEX('09_Posicion_Actual'!$E$5:$E$204,MATCH(A131,'09_Posicion_Actual'!$B$5:$B$204,0)),""))</f>
        <v/>
      </c>
      <c r="O131" s="131" t="str">
        <f>IF(A131="","",IFERROR(INDEX('09_Posicion_Actual'!$A$5:$A$204,MATCH(A131,'09_Posicion_Actual'!$B$5:$B$204,0)),""))</f>
        <v/>
      </c>
      <c r="P131" s="132" t="str">
        <f t="shared" si="21"/>
        <v/>
      </c>
      <c r="Q131" s="132" t="str">
        <f t="shared" si="22"/>
        <v/>
      </c>
      <c r="R131" s="132" t="str">
        <f>IF(A131="","",IFERROR(INDEX('09_Posicion_Actual'!$P$5:$P$204,MATCH(A131,'09_Posicion_Actual'!$B$5:$B$204,0)),""))</f>
        <v/>
      </c>
      <c r="S131" s="132" t="str">
        <f t="shared" si="23"/>
        <v/>
      </c>
      <c r="T131" s="132"/>
      <c r="U131" s="132"/>
      <c r="V131" s="132"/>
      <c r="W131" s="132"/>
      <c r="X131" s="132"/>
    </row>
    <row r="132" spans="1:24">
      <c r="A132" s="132"/>
      <c r="B132" s="132"/>
      <c r="C132" s="132"/>
      <c r="D132" s="132"/>
      <c r="E132" s="176" t="str">
        <f>IF(A132="","",SUMIFS('14_Inversiones'!$E$5:$E$203,'14_Inversiones'!$B$5:$B$203,A132,'14_Inversiones'!$D$5:$D$203,C132,'14_Inversiones'!$C$5:$C$203,"Compra")+SUMIFS('14_Inversiones'!$E$5:$E$203,'14_Inversiones'!$B$5:$B$203,A132,'14_Inversiones'!$D$5:$D$203,C132,'14_Inversiones'!$C$5:$C$203,"Aporte")+SUMIFS('14_Inversiones'!$E$5:$E$203,'14_Inversiones'!$B$5:$B$203,A132,'14_Inversiones'!$D$5:$D$203,C132,'14_Inversiones'!$C$5:$C$203,"Ajuste"))</f>
        <v/>
      </c>
      <c r="F132" s="176" t="str">
        <f>IF(A132="","",SUMIFS('14_Inversiones'!$E$5:$E$203,'14_Inversiones'!$B$5:$B$203,A132,'14_Inversiones'!$D$5:$D$203,C132,'14_Inversiones'!$C$5:$C$203,"Retiro")+SUMIFS('14_Inversiones'!$E$5:$E$203,'14_Inversiones'!$B$5:$B$203,A132,'14_Inversiones'!$D$5:$D$203,C132,'14_Inversiones'!$C$5:$C$203,"Venta"))</f>
        <v/>
      </c>
      <c r="G132" s="176" t="str">
        <f t="shared" si="18"/>
        <v/>
      </c>
      <c r="H132" s="176" t="str">
        <f>IF(A132="","",IFERROR(INDEX('09_Posicion_Actual'!$G$5:$G$204,MATCH(A132,'09_Posicion_Actual'!$B$5:$B$204,0)),0))</f>
        <v/>
      </c>
      <c r="I132" s="171" t="str">
        <f>IF(A132="","",IFERROR(INDEX('09_Posicion_Actual'!$I$5:$I$204,MATCH(A132,'09_Posicion_Actual'!$B$5:$B$204,0)),0))</f>
        <v/>
      </c>
      <c r="J132" s="176" t="str">
        <f t="shared" si="19"/>
        <v/>
      </c>
      <c r="K132" s="171" t="str">
        <f>IF(A132="","",IF(C132="USD",J132*IFERROR(INDEX('09_Posicion_Actual'!$H$5:$H$204,MATCH(A132,'09_Posicion_Actual'!$B$5:$B$204,0)),950),J132))</f>
        <v/>
      </c>
      <c r="L132" s="180" t="str">
        <f t="shared" si="20"/>
        <v/>
      </c>
      <c r="M132" s="176" t="str">
        <f>IF(A132="","",IFERROR(INDEX('09_Posicion_Actual'!$F$5:$F$204,MATCH(A132,'09_Posicion_Actual'!$B$5:$B$204,0)),""))</f>
        <v/>
      </c>
      <c r="N132" s="177" t="str">
        <f>IF(A132="","",IFERROR(INDEX('09_Posicion_Actual'!$E$5:$E$204,MATCH(A132,'09_Posicion_Actual'!$B$5:$B$204,0)),""))</f>
        <v/>
      </c>
      <c r="O132" s="131" t="str">
        <f>IF(A132="","",IFERROR(INDEX('09_Posicion_Actual'!$A$5:$A$204,MATCH(A132,'09_Posicion_Actual'!$B$5:$B$204,0)),""))</f>
        <v/>
      </c>
      <c r="P132" s="132" t="str">
        <f t="shared" si="21"/>
        <v/>
      </c>
      <c r="Q132" s="132" t="str">
        <f t="shared" si="22"/>
        <v/>
      </c>
      <c r="R132" s="132" t="str">
        <f>IF(A132="","",IFERROR(INDEX('09_Posicion_Actual'!$P$5:$P$204,MATCH(A132,'09_Posicion_Actual'!$B$5:$B$204,0)),""))</f>
        <v/>
      </c>
      <c r="S132" s="132" t="str">
        <f t="shared" si="23"/>
        <v/>
      </c>
      <c r="T132" s="132"/>
      <c r="U132" s="132"/>
      <c r="V132" s="132"/>
      <c r="W132" s="132"/>
      <c r="X132" s="132"/>
    </row>
    <row r="133" spans="1:24">
      <c r="A133" s="132"/>
      <c r="B133" s="132"/>
      <c r="C133" s="132"/>
      <c r="D133" s="132"/>
      <c r="E133" s="176" t="str">
        <f>IF(A133="","",SUMIFS('14_Inversiones'!$E$5:$E$203,'14_Inversiones'!$B$5:$B$203,A133,'14_Inversiones'!$D$5:$D$203,C133,'14_Inversiones'!$C$5:$C$203,"Compra")+SUMIFS('14_Inversiones'!$E$5:$E$203,'14_Inversiones'!$B$5:$B$203,A133,'14_Inversiones'!$D$5:$D$203,C133,'14_Inversiones'!$C$5:$C$203,"Aporte")+SUMIFS('14_Inversiones'!$E$5:$E$203,'14_Inversiones'!$B$5:$B$203,A133,'14_Inversiones'!$D$5:$D$203,C133,'14_Inversiones'!$C$5:$C$203,"Ajuste"))</f>
        <v/>
      </c>
      <c r="F133" s="176" t="str">
        <f>IF(A133="","",SUMIFS('14_Inversiones'!$E$5:$E$203,'14_Inversiones'!$B$5:$B$203,A133,'14_Inversiones'!$D$5:$D$203,C133,'14_Inversiones'!$C$5:$C$203,"Retiro")+SUMIFS('14_Inversiones'!$E$5:$E$203,'14_Inversiones'!$B$5:$B$203,A133,'14_Inversiones'!$D$5:$D$203,C133,'14_Inversiones'!$C$5:$C$203,"Venta"))</f>
        <v/>
      </c>
      <c r="G133" s="176" t="str">
        <f t="shared" ref="G133:G164" si="24">IF(A133="","",E133-F133)</f>
        <v/>
      </c>
      <c r="H133" s="176" t="str">
        <f>IF(A133="","",IFERROR(INDEX('09_Posicion_Actual'!$G$5:$G$204,MATCH(A133,'09_Posicion_Actual'!$B$5:$B$204,0)),0))</f>
        <v/>
      </c>
      <c r="I133" s="171" t="str">
        <f>IF(A133="","",IFERROR(INDEX('09_Posicion_Actual'!$I$5:$I$204,MATCH(A133,'09_Posicion_Actual'!$B$5:$B$204,0)),0))</f>
        <v/>
      </c>
      <c r="J133" s="176" t="str">
        <f t="shared" ref="J133:J164" si="25">IF(A133="","",H133-G133)</f>
        <v/>
      </c>
      <c r="K133" s="171" t="str">
        <f>IF(A133="","",IF(C133="USD",J133*IFERROR(INDEX('09_Posicion_Actual'!$H$5:$H$204,MATCH(A133,'09_Posicion_Actual'!$B$5:$B$204,0)),950),J133))</f>
        <v/>
      </c>
      <c r="L133" s="180" t="str">
        <f t="shared" ref="L133:L164" si="26">IF(OR(A133="",G133&lt;=0),"",J133/G133)</f>
        <v/>
      </c>
      <c r="M133" s="176" t="str">
        <f>IF(A133="","",IFERROR(INDEX('09_Posicion_Actual'!$F$5:$F$204,MATCH(A133,'09_Posicion_Actual'!$B$5:$B$204,0)),""))</f>
        <v/>
      </c>
      <c r="N133" s="177" t="str">
        <f>IF(A133="","",IFERROR(INDEX('09_Posicion_Actual'!$E$5:$E$204,MATCH(A133,'09_Posicion_Actual'!$B$5:$B$204,0)),""))</f>
        <v/>
      </c>
      <c r="O133" s="131" t="str">
        <f>IF(A133="","",IFERROR(INDEX('09_Posicion_Actual'!$A$5:$A$204,MATCH(A133,'09_Posicion_Actual'!$B$5:$B$204,0)),""))</f>
        <v/>
      </c>
      <c r="P133" s="132" t="str">
        <f t="shared" ref="P133:P164" si="27">IF(A133="","",IF(G133&lt;=0,"🟡 Revisar aporte",IF(J133&gt;0,"🟢 Ganancia",IF(J133&lt;0,"🔴 Pérdida","🟡 Neutra"))))</f>
        <v/>
      </c>
      <c r="Q133" s="132" t="str">
        <f t="shared" ref="Q133:Q164" si="28">IF(A133="","","Rentabilidad acumulada desde aportes registrados; no diaria ni mensual")</f>
        <v/>
      </c>
      <c r="R133" s="132" t="str">
        <f>IF(A133="","",IFERROR(INDEX('09_Posicion_Actual'!$P$5:$P$204,MATCH(A133,'09_Posicion_Actual'!$B$5:$B$204,0)),""))</f>
        <v/>
      </c>
      <c r="S133" s="132" t="str">
        <f t="shared" ref="S133:S164" si="29">IF(A133="","","14_Inversiones + 09_Posicion_Actual")</f>
        <v/>
      </c>
      <c r="T133" s="132"/>
      <c r="U133" s="132"/>
      <c r="V133" s="132"/>
      <c r="W133" s="132"/>
      <c r="X133" s="132"/>
    </row>
    <row r="134" spans="1:24">
      <c r="A134" s="132"/>
      <c r="B134" s="132"/>
      <c r="C134" s="132"/>
      <c r="D134" s="132"/>
      <c r="E134" s="176" t="str">
        <f>IF(A134="","",SUMIFS('14_Inversiones'!$E$5:$E$203,'14_Inversiones'!$B$5:$B$203,A134,'14_Inversiones'!$D$5:$D$203,C134,'14_Inversiones'!$C$5:$C$203,"Compra")+SUMIFS('14_Inversiones'!$E$5:$E$203,'14_Inversiones'!$B$5:$B$203,A134,'14_Inversiones'!$D$5:$D$203,C134,'14_Inversiones'!$C$5:$C$203,"Aporte")+SUMIFS('14_Inversiones'!$E$5:$E$203,'14_Inversiones'!$B$5:$B$203,A134,'14_Inversiones'!$D$5:$D$203,C134,'14_Inversiones'!$C$5:$C$203,"Ajuste"))</f>
        <v/>
      </c>
      <c r="F134" s="176" t="str">
        <f>IF(A134="","",SUMIFS('14_Inversiones'!$E$5:$E$203,'14_Inversiones'!$B$5:$B$203,A134,'14_Inversiones'!$D$5:$D$203,C134,'14_Inversiones'!$C$5:$C$203,"Retiro")+SUMIFS('14_Inversiones'!$E$5:$E$203,'14_Inversiones'!$B$5:$B$203,A134,'14_Inversiones'!$D$5:$D$203,C134,'14_Inversiones'!$C$5:$C$203,"Venta"))</f>
        <v/>
      </c>
      <c r="G134" s="176" t="str">
        <f t="shared" si="24"/>
        <v/>
      </c>
      <c r="H134" s="176" t="str">
        <f>IF(A134="","",IFERROR(INDEX('09_Posicion_Actual'!$G$5:$G$204,MATCH(A134,'09_Posicion_Actual'!$B$5:$B$204,0)),0))</f>
        <v/>
      </c>
      <c r="I134" s="171" t="str">
        <f>IF(A134="","",IFERROR(INDEX('09_Posicion_Actual'!$I$5:$I$204,MATCH(A134,'09_Posicion_Actual'!$B$5:$B$204,0)),0))</f>
        <v/>
      </c>
      <c r="J134" s="176" t="str">
        <f t="shared" si="25"/>
        <v/>
      </c>
      <c r="K134" s="171" t="str">
        <f>IF(A134="","",IF(C134="USD",J134*IFERROR(INDEX('09_Posicion_Actual'!$H$5:$H$204,MATCH(A134,'09_Posicion_Actual'!$B$5:$B$204,0)),950),J134))</f>
        <v/>
      </c>
      <c r="L134" s="180" t="str">
        <f t="shared" si="26"/>
        <v/>
      </c>
      <c r="M134" s="176" t="str">
        <f>IF(A134="","",IFERROR(INDEX('09_Posicion_Actual'!$F$5:$F$204,MATCH(A134,'09_Posicion_Actual'!$B$5:$B$204,0)),""))</f>
        <v/>
      </c>
      <c r="N134" s="177" t="str">
        <f>IF(A134="","",IFERROR(INDEX('09_Posicion_Actual'!$E$5:$E$204,MATCH(A134,'09_Posicion_Actual'!$B$5:$B$204,0)),""))</f>
        <v/>
      </c>
      <c r="O134" s="131" t="str">
        <f>IF(A134="","",IFERROR(INDEX('09_Posicion_Actual'!$A$5:$A$204,MATCH(A134,'09_Posicion_Actual'!$B$5:$B$204,0)),""))</f>
        <v/>
      </c>
      <c r="P134" s="132" t="str">
        <f t="shared" si="27"/>
        <v/>
      </c>
      <c r="Q134" s="132" t="str">
        <f t="shared" si="28"/>
        <v/>
      </c>
      <c r="R134" s="132" t="str">
        <f>IF(A134="","",IFERROR(INDEX('09_Posicion_Actual'!$P$5:$P$204,MATCH(A134,'09_Posicion_Actual'!$B$5:$B$204,0)),""))</f>
        <v/>
      </c>
      <c r="S134" s="132" t="str">
        <f t="shared" si="29"/>
        <v/>
      </c>
      <c r="T134" s="132"/>
      <c r="U134" s="132"/>
      <c r="V134" s="132"/>
      <c r="W134" s="132"/>
      <c r="X134" s="132"/>
    </row>
    <row r="135" spans="1:24">
      <c r="A135" s="132"/>
      <c r="B135" s="132"/>
      <c r="C135" s="132"/>
      <c r="D135" s="132"/>
      <c r="E135" s="176" t="str">
        <f>IF(A135="","",SUMIFS('14_Inversiones'!$E$5:$E$203,'14_Inversiones'!$B$5:$B$203,A135,'14_Inversiones'!$D$5:$D$203,C135,'14_Inversiones'!$C$5:$C$203,"Compra")+SUMIFS('14_Inversiones'!$E$5:$E$203,'14_Inversiones'!$B$5:$B$203,A135,'14_Inversiones'!$D$5:$D$203,C135,'14_Inversiones'!$C$5:$C$203,"Aporte")+SUMIFS('14_Inversiones'!$E$5:$E$203,'14_Inversiones'!$B$5:$B$203,A135,'14_Inversiones'!$D$5:$D$203,C135,'14_Inversiones'!$C$5:$C$203,"Ajuste"))</f>
        <v/>
      </c>
      <c r="F135" s="176" t="str">
        <f>IF(A135="","",SUMIFS('14_Inversiones'!$E$5:$E$203,'14_Inversiones'!$B$5:$B$203,A135,'14_Inversiones'!$D$5:$D$203,C135,'14_Inversiones'!$C$5:$C$203,"Retiro")+SUMIFS('14_Inversiones'!$E$5:$E$203,'14_Inversiones'!$B$5:$B$203,A135,'14_Inversiones'!$D$5:$D$203,C135,'14_Inversiones'!$C$5:$C$203,"Venta"))</f>
        <v/>
      </c>
      <c r="G135" s="176" t="str">
        <f t="shared" si="24"/>
        <v/>
      </c>
      <c r="H135" s="176" t="str">
        <f>IF(A135="","",IFERROR(INDEX('09_Posicion_Actual'!$G$5:$G$204,MATCH(A135,'09_Posicion_Actual'!$B$5:$B$204,0)),0))</f>
        <v/>
      </c>
      <c r="I135" s="171" t="str">
        <f>IF(A135="","",IFERROR(INDEX('09_Posicion_Actual'!$I$5:$I$204,MATCH(A135,'09_Posicion_Actual'!$B$5:$B$204,0)),0))</f>
        <v/>
      </c>
      <c r="J135" s="176" t="str">
        <f t="shared" si="25"/>
        <v/>
      </c>
      <c r="K135" s="171" t="str">
        <f>IF(A135="","",IF(C135="USD",J135*IFERROR(INDEX('09_Posicion_Actual'!$H$5:$H$204,MATCH(A135,'09_Posicion_Actual'!$B$5:$B$204,0)),950),J135))</f>
        <v/>
      </c>
      <c r="L135" s="180" t="str">
        <f t="shared" si="26"/>
        <v/>
      </c>
      <c r="M135" s="176" t="str">
        <f>IF(A135="","",IFERROR(INDEX('09_Posicion_Actual'!$F$5:$F$204,MATCH(A135,'09_Posicion_Actual'!$B$5:$B$204,0)),""))</f>
        <v/>
      </c>
      <c r="N135" s="177" t="str">
        <f>IF(A135="","",IFERROR(INDEX('09_Posicion_Actual'!$E$5:$E$204,MATCH(A135,'09_Posicion_Actual'!$B$5:$B$204,0)),""))</f>
        <v/>
      </c>
      <c r="O135" s="131" t="str">
        <f>IF(A135="","",IFERROR(INDEX('09_Posicion_Actual'!$A$5:$A$204,MATCH(A135,'09_Posicion_Actual'!$B$5:$B$204,0)),""))</f>
        <v/>
      </c>
      <c r="P135" s="132" t="str">
        <f t="shared" si="27"/>
        <v/>
      </c>
      <c r="Q135" s="132" t="str">
        <f t="shared" si="28"/>
        <v/>
      </c>
      <c r="R135" s="132" t="str">
        <f>IF(A135="","",IFERROR(INDEX('09_Posicion_Actual'!$P$5:$P$204,MATCH(A135,'09_Posicion_Actual'!$B$5:$B$204,0)),""))</f>
        <v/>
      </c>
      <c r="S135" s="132" t="str">
        <f t="shared" si="29"/>
        <v/>
      </c>
      <c r="T135" s="132"/>
      <c r="U135" s="132"/>
      <c r="V135" s="132"/>
      <c r="W135" s="132"/>
      <c r="X135" s="132"/>
    </row>
    <row r="136" spans="1:24">
      <c r="A136" s="132"/>
      <c r="B136" s="132"/>
      <c r="C136" s="132"/>
      <c r="D136" s="132"/>
      <c r="E136" s="176" t="str">
        <f>IF(A136="","",SUMIFS('14_Inversiones'!$E$5:$E$203,'14_Inversiones'!$B$5:$B$203,A136,'14_Inversiones'!$D$5:$D$203,C136,'14_Inversiones'!$C$5:$C$203,"Compra")+SUMIFS('14_Inversiones'!$E$5:$E$203,'14_Inversiones'!$B$5:$B$203,A136,'14_Inversiones'!$D$5:$D$203,C136,'14_Inversiones'!$C$5:$C$203,"Aporte")+SUMIFS('14_Inversiones'!$E$5:$E$203,'14_Inversiones'!$B$5:$B$203,A136,'14_Inversiones'!$D$5:$D$203,C136,'14_Inversiones'!$C$5:$C$203,"Ajuste"))</f>
        <v/>
      </c>
      <c r="F136" s="176" t="str">
        <f>IF(A136="","",SUMIFS('14_Inversiones'!$E$5:$E$203,'14_Inversiones'!$B$5:$B$203,A136,'14_Inversiones'!$D$5:$D$203,C136,'14_Inversiones'!$C$5:$C$203,"Retiro")+SUMIFS('14_Inversiones'!$E$5:$E$203,'14_Inversiones'!$B$5:$B$203,A136,'14_Inversiones'!$D$5:$D$203,C136,'14_Inversiones'!$C$5:$C$203,"Venta"))</f>
        <v/>
      </c>
      <c r="G136" s="176" t="str">
        <f t="shared" si="24"/>
        <v/>
      </c>
      <c r="H136" s="176" t="str">
        <f>IF(A136="","",IFERROR(INDEX('09_Posicion_Actual'!$G$5:$G$204,MATCH(A136,'09_Posicion_Actual'!$B$5:$B$204,0)),0))</f>
        <v/>
      </c>
      <c r="I136" s="171" t="str">
        <f>IF(A136="","",IFERROR(INDEX('09_Posicion_Actual'!$I$5:$I$204,MATCH(A136,'09_Posicion_Actual'!$B$5:$B$204,0)),0))</f>
        <v/>
      </c>
      <c r="J136" s="176" t="str">
        <f t="shared" si="25"/>
        <v/>
      </c>
      <c r="K136" s="171" t="str">
        <f>IF(A136="","",IF(C136="USD",J136*IFERROR(INDEX('09_Posicion_Actual'!$H$5:$H$204,MATCH(A136,'09_Posicion_Actual'!$B$5:$B$204,0)),950),J136))</f>
        <v/>
      </c>
      <c r="L136" s="180" t="str">
        <f t="shared" si="26"/>
        <v/>
      </c>
      <c r="M136" s="176" t="str">
        <f>IF(A136="","",IFERROR(INDEX('09_Posicion_Actual'!$F$5:$F$204,MATCH(A136,'09_Posicion_Actual'!$B$5:$B$204,0)),""))</f>
        <v/>
      </c>
      <c r="N136" s="177" t="str">
        <f>IF(A136="","",IFERROR(INDEX('09_Posicion_Actual'!$E$5:$E$204,MATCH(A136,'09_Posicion_Actual'!$B$5:$B$204,0)),""))</f>
        <v/>
      </c>
      <c r="O136" s="131" t="str">
        <f>IF(A136="","",IFERROR(INDEX('09_Posicion_Actual'!$A$5:$A$204,MATCH(A136,'09_Posicion_Actual'!$B$5:$B$204,0)),""))</f>
        <v/>
      </c>
      <c r="P136" s="132" t="str">
        <f t="shared" si="27"/>
        <v/>
      </c>
      <c r="Q136" s="132" t="str">
        <f t="shared" si="28"/>
        <v/>
      </c>
      <c r="R136" s="132" t="str">
        <f>IF(A136="","",IFERROR(INDEX('09_Posicion_Actual'!$P$5:$P$204,MATCH(A136,'09_Posicion_Actual'!$B$5:$B$204,0)),""))</f>
        <v/>
      </c>
      <c r="S136" s="132" t="str">
        <f t="shared" si="29"/>
        <v/>
      </c>
      <c r="T136" s="132"/>
      <c r="U136" s="132"/>
      <c r="V136" s="132"/>
      <c r="W136" s="132"/>
      <c r="X136" s="132"/>
    </row>
    <row r="137" spans="1:24">
      <c r="A137" s="132"/>
      <c r="B137" s="132"/>
      <c r="C137" s="132"/>
      <c r="D137" s="132"/>
      <c r="E137" s="176" t="str">
        <f>IF(A137="","",SUMIFS('14_Inversiones'!$E$5:$E$203,'14_Inversiones'!$B$5:$B$203,A137,'14_Inversiones'!$D$5:$D$203,C137,'14_Inversiones'!$C$5:$C$203,"Compra")+SUMIFS('14_Inversiones'!$E$5:$E$203,'14_Inversiones'!$B$5:$B$203,A137,'14_Inversiones'!$D$5:$D$203,C137,'14_Inversiones'!$C$5:$C$203,"Aporte")+SUMIFS('14_Inversiones'!$E$5:$E$203,'14_Inversiones'!$B$5:$B$203,A137,'14_Inversiones'!$D$5:$D$203,C137,'14_Inversiones'!$C$5:$C$203,"Ajuste"))</f>
        <v/>
      </c>
      <c r="F137" s="176" t="str">
        <f>IF(A137="","",SUMIFS('14_Inversiones'!$E$5:$E$203,'14_Inversiones'!$B$5:$B$203,A137,'14_Inversiones'!$D$5:$D$203,C137,'14_Inversiones'!$C$5:$C$203,"Retiro")+SUMIFS('14_Inversiones'!$E$5:$E$203,'14_Inversiones'!$B$5:$B$203,A137,'14_Inversiones'!$D$5:$D$203,C137,'14_Inversiones'!$C$5:$C$203,"Venta"))</f>
        <v/>
      </c>
      <c r="G137" s="176" t="str">
        <f t="shared" si="24"/>
        <v/>
      </c>
      <c r="H137" s="176" t="str">
        <f>IF(A137="","",IFERROR(INDEX('09_Posicion_Actual'!$G$5:$G$204,MATCH(A137,'09_Posicion_Actual'!$B$5:$B$204,0)),0))</f>
        <v/>
      </c>
      <c r="I137" s="171" t="str">
        <f>IF(A137="","",IFERROR(INDEX('09_Posicion_Actual'!$I$5:$I$204,MATCH(A137,'09_Posicion_Actual'!$B$5:$B$204,0)),0))</f>
        <v/>
      </c>
      <c r="J137" s="176" t="str">
        <f t="shared" si="25"/>
        <v/>
      </c>
      <c r="K137" s="171" t="str">
        <f>IF(A137="","",IF(C137="USD",J137*IFERROR(INDEX('09_Posicion_Actual'!$H$5:$H$204,MATCH(A137,'09_Posicion_Actual'!$B$5:$B$204,0)),950),J137))</f>
        <v/>
      </c>
      <c r="L137" s="180" t="str">
        <f t="shared" si="26"/>
        <v/>
      </c>
      <c r="M137" s="176" t="str">
        <f>IF(A137="","",IFERROR(INDEX('09_Posicion_Actual'!$F$5:$F$204,MATCH(A137,'09_Posicion_Actual'!$B$5:$B$204,0)),""))</f>
        <v/>
      </c>
      <c r="N137" s="177" t="str">
        <f>IF(A137="","",IFERROR(INDEX('09_Posicion_Actual'!$E$5:$E$204,MATCH(A137,'09_Posicion_Actual'!$B$5:$B$204,0)),""))</f>
        <v/>
      </c>
      <c r="O137" s="131" t="str">
        <f>IF(A137="","",IFERROR(INDEX('09_Posicion_Actual'!$A$5:$A$204,MATCH(A137,'09_Posicion_Actual'!$B$5:$B$204,0)),""))</f>
        <v/>
      </c>
      <c r="P137" s="132" t="str">
        <f t="shared" si="27"/>
        <v/>
      </c>
      <c r="Q137" s="132" t="str">
        <f t="shared" si="28"/>
        <v/>
      </c>
      <c r="R137" s="132" t="str">
        <f>IF(A137="","",IFERROR(INDEX('09_Posicion_Actual'!$P$5:$P$204,MATCH(A137,'09_Posicion_Actual'!$B$5:$B$204,0)),""))</f>
        <v/>
      </c>
      <c r="S137" s="132" t="str">
        <f t="shared" si="29"/>
        <v/>
      </c>
      <c r="T137" s="132"/>
      <c r="U137" s="132"/>
      <c r="V137" s="132"/>
      <c r="W137" s="132"/>
      <c r="X137" s="132"/>
    </row>
    <row r="138" spans="1:24">
      <c r="A138" s="132"/>
      <c r="B138" s="132"/>
      <c r="C138" s="132"/>
      <c r="D138" s="132"/>
      <c r="E138" s="176" t="str">
        <f>IF(A138="","",SUMIFS('14_Inversiones'!$E$5:$E$203,'14_Inversiones'!$B$5:$B$203,A138,'14_Inversiones'!$D$5:$D$203,C138,'14_Inversiones'!$C$5:$C$203,"Compra")+SUMIFS('14_Inversiones'!$E$5:$E$203,'14_Inversiones'!$B$5:$B$203,A138,'14_Inversiones'!$D$5:$D$203,C138,'14_Inversiones'!$C$5:$C$203,"Aporte")+SUMIFS('14_Inversiones'!$E$5:$E$203,'14_Inversiones'!$B$5:$B$203,A138,'14_Inversiones'!$D$5:$D$203,C138,'14_Inversiones'!$C$5:$C$203,"Ajuste"))</f>
        <v/>
      </c>
      <c r="F138" s="176" t="str">
        <f>IF(A138="","",SUMIFS('14_Inversiones'!$E$5:$E$203,'14_Inversiones'!$B$5:$B$203,A138,'14_Inversiones'!$D$5:$D$203,C138,'14_Inversiones'!$C$5:$C$203,"Retiro")+SUMIFS('14_Inversiones'!$E$5:$E$203,'14_Inversiones'!$B$5:$B$203,A138,'14_Inversiones'!$D$5:$D$203,C138,'14_Inversiones'!$C$5:$C$203,"Venta"))</f>
        <v/>
      </c>
      <c r="G138" s="176" t="str">
        <f t="shared" si="24"/>
        <v/>
      </c>
      <c r="H138" s="176" t="str">
        <f>IF(A138="","",IFERROR(INDEX('09_Posicion_Actual'!$G$5:$G$204,MATCH(A138,'09_Posicion_Actual'!$B$5:$B$204,0)),0))</f>
        <v/>
      </c>
      <c r="I138" s="171" t="str">
        <f>IF(A138="","",IFERROR(INDEX('09_Posicion_Actual'!$I$5:$I$204,MATCH(A138,'09_Posicion_Actual'!$B$5:$B$204,0)),0))</f>
        <v/>
      </c>
      <c r="J138" s="176" t="str">
        <f t="shared" si="25"/>
        <v/>
      </c>
      <c r="K138" s="171" t="str">
        <f>IF(A138="","",IF(C138="USD",J138*IFERROR(INDEX('09_Posicion_Actual'!$H$5:$H$204,MATCH(A138,'09_Posicion_Actual'!$B$5:$B$204,0)),950),J138))</f>
        <v/>
      </c>
      <c r="L138" s="180" t="str">
        <f t="shared" si="26"/>
        <v/>
      </c>
      <c r="M138" s="176" t="str">
        <f>IF(A138="","",IFERROR(INDEX('09_Posicion_Actual'!$F$5:$F$204,MATCH(A138,'09_Posicion_Actual'!$B$5:$B$204,0)),""))</f>
        <v/>
      </c>
      <c r="N138" s="177" t="str">
        <f>IF(A138="","",IFERROR(INDEX('09_Posicion_Actual'!$E$5:$E$204,MATCH(A138,'09_Posicion_Actual'!$B$5:$B$204,0)),""))</f>
        <v/>
      </c>
      <c r="O138" s="131" t="str">
        <f>IF(A138="","",IFERROR(INDEX('09_Posicion_Actual'!$A$5:$A$204,MATCH(A138,'09_Posicion_Actual'!$B$5:$B$204,0)),""))</f>
        <v/>
      </c>
      <c r="P138" s="132" t="str">
        <f t="shared" si="27"/>
        <v/>
      </c>
      <c r="Q138" s="132" t="str">
        <f t="shared" si="28"/>
        <v/>
      </c>
      <c r="R138" s="132" t="str">
        <f>IF(A138="","",IFERROR(INDEX('09_Posicion_Actual'!$P$5:$P$204,MATCH(A138,'09_Posicion_Actual'!$B$5:$B$204,0)),""))</f>
        <v/>
      </c>
      <c r="S138" s="132" t="str">
        <f t="shared" si="29"/>
        <v/>
      </c>
      <c r="T138" s="132"/>
      <c r="U138" s="132"/>
      <c r="V138" s="132"/>
      <c r="W138" s="132"/>
      <c r="X138" s="132"/>
    </row>
    <row r="139" spans="1:24">
      <c r="A139" s="132"/>
      <c r="B139" s="132"/>
      <c r="C139" s="132"/>
      <c r="D139" s="132"/>
      <c r="E139" s="176" t="str">
        <f>IF(A139="","",SUMIFS('14_Inversiones'!$E$5:$E$203,'14_Inversiones'!$B$5:$B$203,A139,'14_Inversiones'!$D$5:$D$203,C139,'14_Inversiones'!$C$5:$C$203,"Compra")+SUMIFS('14_Inversiones'!$E$5:$E$203,'14_Inversiones'!$B$5:$B$203,A139,'14_Inversiones'!$D$5:$D$203,C139,'14_Inversiones'!$C$5:$C$203,"Aporte")+SUMIFS('14_Inversiones'!$E$5:$E$203,'14_Inversiones'!$B$5:$B$203,A139,'14_Inversiones'!$D$5:$D$203,C139,'14_Inversiones'!$C$5:$C$203,"Ajuste"))</f>
        <v/>
      </c>
      <c r="F139" s="176" t="str">
        <f>IF(A139="","",SUMIFS('14_Inversiones'!$E$5:$E$203,'14_Inversiones'!$B$5:$B$203,A139,'14_Inversiones'!$D$5:$D$203,C139,'14_Inversiones'!$C$5:$C$203,"Retiro")+SUMIFS('14_Inversiones'!$E$5:$E$203,'14_Inversiones'!$B$5:$B$203,A139,'14_Inversiones'!$D$5:$D$203,C139,'14_Inversiones'!$C$5:$C$203,"Venta"))</f>
        <v/>
      </c>
      <c r="G139" s="176" t="str">
        <f t="shared" si="24"/>
        <v/>
      </c>
      <c r="H139" s="176" t="str">
        <f>IF(A139="","",IFERROR(INDEX('09_Posicion_Actual'!$G$5:$G$204,MATCH(A139,'09_Posicion_Actual'!$B$5:$B$204,0)),0))</f>
        <v/>
      </c>
      <c r="I139" s="171" t="str">
        <f>IF(A139="","",IFERROR(INDEX('09_Posicion_Actual'!$I$5:$I$204,MATCH(A139,'09_Posicion_Actual'!$B$5:$B$204,0)),0))</f>
        <v/>
      </c>
      <c r="J139" s="176" t="str">
        <f t="shared" si="25"/>
        <v/>
      </c>
      <c r="K139" s="171" t="str">
        <f>IF(A139="","",IF(C139="USD",J139*IFERROR(INDEX('09_Posicion_Actual'!$H$5:$H$204,MATCH(A139,'09_Posicion_Actual'!$B$5:$B$204,0)),950),J139))</f>
        <v/>
      </c>
      <c r="L139" s="180" t="str">
        <f t="shared" si="26"/>
        <v/>
      </c>
      <c r="M139" s="176" t="str">
        <f>IF(A139="","",IFERROR(INDEX('09_Posicion_Actual'!$F$5:$F$204,MATCH(A139,'09_Posicion_Actual'!$B$5:$B$204,0)),""))</f>
        <v/>
      </c>
      <c r="N139" s="177" t="str">
        <f>IF(A139="","",IFERROR(INDEX('09_Posicion_Actual'!$E$5:$E$204,MATCH(A139,'09_Posicion_Actual'!$B$5:$B$204,0)),""))</f>
        <v/>
      </c>
      <c r="O139" s="131" t="str">
        <f>IF(A139="","",IFERROR(INDEX('09_Posicion_Actual'!$A$5:$A$204,MATCH(A139,'09_Posicion_Actual'!$B$5:$B$204,0)),""))</f>
        <v/>
      </c>
      <c r="P139" s="132" t="str">
        <f t="shared" si="27"/>
        <v/>
      </c>
      <c r="Q139" s="132" t="str">
        <f t="shared" si="28"/>
        <v/>
      </c>
      <c r="R139" s="132" t="str">
        <f>IF(A139="","",IFERROR(INDEX('09_Posicion_Actual'!$P$5:$P$204,MATCH(A139,'09_Posicion_Actual'!$B$5:$B$204,0)),""))</f>
        <v/>
      </c>
      <c r="S139" s="132" t="str">
        <f t="shared" si="29"/>
        <v/>
      </c>
      <c r="T139" s="132"/>
      <c r="U139" s="132"/>
      <c r="V139" s="132"/>
      <c r="W139" s="132"/>
      <c r="X139" s="132"/>
    </row>
    <row r="140" spans="1:24">
      <c r="A140" s="132"/>
      <c r="B140" s="132"/>
      <c r="C140" s="132"/>
      <c r="D140" s="132"/>
      <c r="E140" s="176" t="str">
        <f>IF(A140="","",SUMIFS('14_Inversiones'!$E$5:$E$203,'14_Inversiones'!$B$5:$B$203,A140,'14_Inversiones'!$D$5:$D$203,C140,'14_Inversiones'!$C$5:$C$203,"Compra")+SUMIFS('14_Inversiones'!$E$5:$E$203,'14_Inversiones'!$B$5:$B$203,A140,'14_Inversiones'!$D$5:$D$203,C140,'14_Inversiones'!$C$5:$C$203,"Aporte")+SUMIFS('14_Inversiones'!$E$5:$E$203,'14_Inversiones'!$B$5:$B$203,A140,'14_Inversiones'!$D$5:$D$203,C140,'14_Inversiones'!$C$5:$C$203,"Ajuste"))</f>
        <v/>
      </c>
      <c r="F140" s="176" t="str">
        <f>IF(A140="","",SUMIFS('14_Inversiones'!$E$5:$E$203,'14_Inversiones'!$B$5:$B$203,A140,'14_Inversiones'!$D$5:$D$203,C140,'14_Inversiones'!$C$5:$C$203,"Retiro")+SUMIFS('14_Inversiones'!$E$5:$E$203,'14_Inversiones'!$B$5:$B$203,A140,'14_Inversiones'!$D$5:$D$203,C140,'14_Inversiones'!$C$5:$C$203,"Venta"))</f>
        <v/>
      </c>
      <c r="G140" s="176" t="str">
        <f t="shared" si="24"/>
        <v/>
      </c>
      <c r="H140" s="176" t="str">
        <f>IF(A140="","",IFERROR(INDEX('09_Posicion_Actual'!$G$5:$G$204,MATCH(A140,'09_Posicion_Actual'!$B$5:$B$204,0)),0))</f>
        <v/>
      </c>
      <c r="I140" s="171" t="str">
        <f>IF(A140="","",IFERROR(INDEX('09_Posicion_Actual'!$I$5:$I$204,MATCH(A140,'09_Posicion_Actual'!$B$5:$B$204,0)),0))</f>
        <v/>
      </c>
      <c r="J140" s="176" t="str">
        <f t="shared" si="25"/>
        <v/>
      </c>
      <c r="K140" s="171" t="str">
        <f>IF(A140="","",IF(C140="USD",J140*IFERROR(INDEX('09_Posicion_Actual'!$H$5:$H$204,MATCH(A140,'09_Posicion_Actual'!$B$5:$B$204,0)),950),J140))</f>
        <v/>
      </c>
      <c r="L140" s="180" t="str">
        <f t="shared" si="26"/>
        <v/>
      </c>
      <c r="M140" s="176" t="str">
        <f>IF(A140="","",IFERROR(INDEX('09_Posicion_Actual'!$F$5:$F$204,MATCH(A140,'09_Posicion_Actual'!$B$5:$B$204,0)),""))</f>
        <v/>
      </c>
      <c r="N140" s="177" t="str">
        <f>IF(A140="","",IFERROR(INDEX('09_Posicion_Actual'!$E$5:$E$204,MATCH(A140,'09_Posicion_Actual'!$B$5:$B$204,0)),""))</f>
        <v/>
      </c>
      <c r="O140" s="131" t="str">
        <f>IF(A140="","",IFERROR(INDEX('09_Posicion_Actual'!$A$5:$A$204,MATCH(A140,'09_Posicion_Actual'!$B$5:$B$204,0)),""))</f>
        <v/>
      </c>
      <c r="P140" s="132" t="str">
        <f t="shared" si="27"/>
        <v/>
      </c>
      <c r="Q140" s="132" t="str">
        <f t="shared" si="28"/>
        <v/>
      </c>
      <c r="R140" s="132" t="str">
        <f>IF(A140="","",IFERROR(INDEX('09_Posicion_Actual'!$P$5:$P$204,MATCH(A140,'09_Posicion_Actual'!$B$5:$B$204,0)),""))</f>
        <v/>
      </c>
      <c r="S140" s="132" t="str">
        <f t="shared" si="29"/>
        <v/>
      </c>
      <c r="T140" s="132"/>
      <c r="U140" s="132"/>
      <c r="V140" s="132"/>
      <c r="W140" s="132"/>
      <c r="X140" s="132"/>
    </row>
    <row r="141" spans="1:24">
      <c r="A141" s="132"/>
      <c r="B141" s="132"/>
      <c r="C141" s="132"/>
      <c r="D141" s="132"/>
      <c r="E141" s="176" t="str">
        <f>IF(A141="","",SUMIFS('14_Inversiones'!$E$5:$E$203,'14_Inversiones'!$B$5:$B$203,A141,'14_Inversiones'!$D$5:$D$203,C141,'14_Inversiones'!$C$5:$C$203,"Compra")+SUMIFS('14_Inversiones'!$E$5:$E$203,'14_Inversiones'!$B$5:$B$203,A141,'14_Inversiones'!$D$5:$D$203,C141,'14_Inversiones'!$C$5:$C$203,"Aporte")+SUMIFS('14_Inversiones'!$E$5:$E$203,'14_Inversiones'!$B$5:$B$203,A141,'14_Inversiones'!$D$5:$D$203,C141,'14_Inversiones'!$C$5:$C$203,"Ajuste"))</f>
        <v/>
      </c>
      <c r="F141" s="176" t="str">
        <f>IF(A141="","",SUMIFS('14_Inversiones'!$E$5:$E$203,'14_Inversiones'!$B$5:$B$203,A141,'14_Inversiones'!$D$5:$D$203,C141,'14_Inversiones'!$C$5:$C$203,"Retiro")+SUMIFS('14_Inversiones'!$E$5:$E$203,'14_Inversiones'!$B$5:$B$203,A141,'14_Inversiones'!$D$5:$D$203,C141,'14_Inversiones'!$C$5:$C$203,"Venta"))</f>
        <v/>
      </c>
      <c r="G141" s="176" t="str">
        <f t="shared" si="24"/>
        <v/>
      </c>
      <c r="H141" s="176" t="str">
        <f>IF(A141="","",IFERROR(INDEX('09_Posicion_Actual'!$G$5:$G$204,MATCH(A141,'09_Posicion_Actual'!$B$5:$B$204,0)),0))</f>
        <v/>
      </c>
      <c r="I141" s="171" t="str">
        <f>IF(A141="","",IFERROR(INDEX('09_Posicion_Actual'!$I$5:$I$204,MATCH(A141,'09_Posicion_Actual'!$B$5:$B$204,0)),0))</f>
        <v/>
      </c>
      <c r="J141" s="176" t="str">
        <f t="shared" si="25"/>
        <v/>
      </c>
      <c r="K141" s="171" t="str">
        <f>IF(A141="","",IF(C141="USD",J141*IFERROR(INDEX('09_Posicion_Actual'!$H$5:$H$204,MATCH(A141,'09_Posicion_Actual'!$B$5:$B$204,0)),950),J141))</f>
        <v/>
      </c>
      <c r="L141" s="180" t="str">
        <f t="shared" si="26"/>
        <v/>
      </c>
      <c r="M141" s="176" t="str">
        <f>IF(A141="","",IFERROR(INDEX('09_Posicion_Actual'!$F$5:$F$204,MATCH(A141,'09_Posicion_Actual'!$B$5:$B$204,0)),""))</f>
        <v/>
      </c>
      <c r="N141" s="177" t="str">
        <f>IF(A141="","",IFERROR(INDEX('09_Posicion_Actual'!$E$5:$E$204,MATCH(A141,'09_Posicion_Actual'!$B$5:$B$204,0)),""))</f>
        <v/>
      </c>
      <c r="O141" s="131" t="str">
        <f>IF(A141="","",IFERROR(INDEX('09_Posicion_Actual'!$A$5:$A$204,MATCH(A141,'09_Posicion_Actual'!$B$5:$B$204,0)),""))</f>
        <v/>
      </c>
      <c r="P141" s="132" t="str">
        <f t="shared" si="27"/>
        <v/>
      </c>
      <c r="Q141" s="132" t="str">
        <f t="shared" si="28"/>
        <v/>
      </c>
      <c r="R141" s="132" t="str">
        <f>IF(A141="","",IFERROR(INDEX('09_Posicion_Actual'!$P$5:$P$204,MATCH(A141,'09_Posicion_Actual'!$B$5:$B$204,0)),""))</f>
        <v/>
      </c>
      <c r="S141" s="132" t="str">
        <f t="shared" si="29"/>
        <v/>
      </c>
      <c r="T141" s="132"/>
      <c r="U141" s="132"/>
      <c r="V141" s="132"/>
      <c r="W141" s="132"/>
      <c r="X141" s="132"/>
    </row>
    <row r="142" spans="1:24">
      <c r="A142" s="132"/>
      <c r="B142" s="132"/>
      <c r="C142" s="132"/>
      <c r="D142" s="132"/>
      <c r="E142" s="176" t="str">
        <f>IF(A142="","",SUMIFS('14_Inversiones'!$E$5:$E$203,'14_Inversiones'!$B$5:$B$203,A142,'14_Inversiones'!$D$5:$D$203,C142,'14_Inversiones'!$C$5:$C$203,"Compra")+SUMIFS('14_Inversiones'!$E$5:$E$203,'14_Inversiones'!$B$5:$B$203,A142,'14_Inversiones'!$D$5:$D$203,C142,'14_Inversiones'!$C$5:$C$203,"Aporte")+SUMIFS('14_Inversiones'!$E$5:$E$203,'14_Inversiones'!$B$5:$B$203,A142,'14_Inversiones'!$D$5:$D$203,C142,'14_Inversiones'!$C$5:$C$203,"Ajuste"))</f>
        <v/>
      </c>
      <c r="F142" s="176" t="str">
        <f>IF(A142="","",SUMIFS('14_Inversiones'!$E$5:$E$203,'14_Inversiones'!$B$5:$B$203,A142,'14_Inversiones'!$D$5:$D$203,C142,'14_Inversiones'!$C$5:$C$203,"Retiro")+SUMIFS('14_Inversiones'!$E$5:$E$203,'14_Inversiones'!$B$5:$B$203,A142,'14_Inversiones'!$D$5:$D$203,C142,'14_Inversiones'!$C$5:$C$203,"Venta"))</f>
        <v/>
      </c>
      <c r="G142" s="176" t="str">
        <f t="shared" si="24"/>
        <v/>
      </c>
      <c r="H142" s="176" t="str">
        <f>IF(A142="","",IFERROR(INDEX('09_Posicion_Actual'!$G$5:$G$204,MATCH(A142,'09_Posicion_Actual'!$B$5:$B$204,0)),0))</f>
        <v/>
      </c>
      <c r="I142" s="171" t="str">
        <f>IF(A142="","",IFERROR(INDEX('09_Posicion_Actual'!$I$5:$I$204,MATCH(A142,'09_Posicion_Actual'!$B$5:$B$204,0)),0))</f>
        <v/>
      </c>
      <c r="J142" s="176" t="str">
        <f t="shared" si="25"/>
        <v/>
      </c>
      <c r="K142" s="171" t="str">
        <f>IF(A142="","",IF(C142="USD",J142*IFERROR(INDEX('09_Posicion_Actual'!$H$5:$H$204,MATCH(A142,'09_Posicion_Actual'!$B$5:$B$204,0)),950),J142))</f>
        <v/>
      </c>
      <c r="L142" s="180" t="str">
        <f t="shared" si="26"/>
        <v/>
      </c>
      <c r="M142" s="176" t="str">
        <f>IF(A142="","",IFERROR(INDEX('09_Posicion_Actual'!$F$5:$F$204,MATCH(A142,'09_Posicion_Actual'!$B$5:$B$204,0)),""))</f>
        <v/>
      </c>
      <c r="N142" s="177" t="str">
        <f>IF(A142="","",IFERROR(INDEX('09_Posicion_Actual'!$E$5:$E$204,MATCH(A142,'09_Posicion_Actual'!$B$5:$B$204,0)),""))</f>
        <v/>
      </c>
      <c r="O142" s="131" t="str">
        <f>IF(A142="","",IFERROR(INDEX('09_Posicion_Actual'!$A$5:$A$204,MATCH(A142,'09_Posicion_Actual'!$B$5:$B$204,0)),""))</f>
        <v/>
      </c>
      <c r="P142" s="132" t="str">
        <f t="shared" si="27"/>
        <v/>
      </c>
      <c r="Q142" s="132" t="str">
        <f t="shared" si="28"/>
        <v/>
      </c>
      <c r="R142" s="132" t="str">
        <f>IF(A142="","",IFERROR(INDEX('09_Posicion_Actual'!$P$5:$P$204,MATCH(A142,'09_Posicion_Actual'!$B$5:$B$204,0)),""))</f>
        <v/>
      </c>
      <c r="S142" s="132" t="str">
        <f t="shared" si="29"/>
        <v/>
      </c>
      <c r="T142" s="132"/>
      <c r="U142" s="132"/>
      <c r="V142" s="132"/>
      <c r="W142" s="132"/>
      <c r="X142" s="132"/>
    </row>
    <row r="143" spans="1:24">
      <c r="A143" s="132"/>
      <c r="B143" s="132"/>
      <c r="C143" s="132"/>
      <c r="D143" s="132"/>
      <c r="E143" s="176" t="str">
        <f>IF(A143="","",SUMIFS('14_Inversiones'!$E$5:$E$203,'14_Inversiones'!$B$5:$B$203,A143,'14_Inversiones'!$D$5:$D$203,C143,'14_Inversiones'!$C$5:$C$203,"Compra")+SUMIFS('14_Inversiones'!$E$5:$E$203,'14_Inversiones'!$B$5:$B$203,A143,'14_Inversiones'!$D$5:$D$203,C143,'14_Inversiones'!$C$5:$C$203,"Aporte")+SUMIFS('14_Inversiones'!$E$5:$E$203,'14_Inversiones'!$B$5:$B$203,A143,'14_Inversiones'!$D$5:$D$203,C143,'14_Inversiones'!$C$5:$C$203,"Ajuste"))</f>
        <v/>
      </c>
      <c r="F143" s="176" t="str">
        <f>IF(A143="","",SUMIFS('14_Inversiones'!$E$5:$E$203,'14_Inversiones'!$B$5:$B$203,A143,'14_Inversiones'!$D$5:$D$203,C143,'14_Inversiones'!$C$5:$C$203,"Retiro")+SUMIFS('14_Inversiones'!$E$5:$E$203,'14_Inversiones'!$B$5:$B$203,A143,'14_Inversiones'!$D$5:$D$203,C143,'14_Inversiones'!$C$5:$C$203,"Venta"))</f>
        <v/>
      </c>
      <c r="G143" s="176" t="str">
        <f t="shared" si="24"/>
        <v/>
      </c>
      <c r="H143" s="176" t="str">
        <f>IF(A143="","",IFERROR(INDEX('09_Posicion_Actual'!$G$5:$G$204,MATCH(A143,'09_Posicion_Actual'!$B$5:$B$204,0)),0))</f>
        <v/>
      </c>
      <c r="I143" s="171" t="str">
        <f>IF(A143="","",IFERROR(INDEX('09_Posicion_Actual'!$I$5:$I$204,MATCH(A143,'09_Posicion_Actual'!$B$5:$B$204,0)),0))</f>
        <v/>
      </c>
      <c r="J143" s="176" t="str">
        <f t="shared" si="25"/>
        <v/>
      </c>
      <c r="K143" s="171" t="str">
        <f>IF(A143="","",IF(C143="USD",J143*IFERROR(INDEX('09_Posicion_Actual'!$H$5:$H$204,MATCH(A143,'09_Posicion_Actual'!$B$5:$B$204,0)),950),J143))</f>
        <v/>
      </c>
      <c r="L143" s="180" t="str">
        <f t="shared" si="26"/>
        <v/>
      </c>
      <c r="M143" s="176" t="str">
        <f>IF(A143="","",IFERROR(INDEX('09_Posicion_Actual'!$F$5:$F$204,MATCH(A143,'09_Posicion_Actual'!$B$5:$B$204,0)),""))</f>
        <v/>
      </c>
      <c r="N143" s="177" t="str">
        <f>IF(A143="","",IFERROR(INDEX('09_Posicion_Actual'!$E$5:$E$204,MATCH(A143,'09_Posicion_Actual'!$B$5:$B$204,0)),""))</f>
        <v/>
      </c>
      <c r="O143" s="131" t="str">
        <f>IF(A143="","",IFERROR(INDEX('09_Posicion_Actual'!$A$5:$A$204,MATCH(A143,'09_Posicion_Actual'!$B$5:$B$204,0)),""))</f>
        <v/>
      </c>
      <c r="P143" s="132" t="str">
        <f t="shared" si="27"/>
        <v/>
      </c>
      <c r="Q143" s="132" t="str">
        <f t="shared" si="28"/>
        <v/>
      </c>
      <c r="R143" s="132" t="str">
        <f>IF(A143="","",IFERROR(INDEX('09_Posicion_Actual'!$P$5:$P$204,MATCH(A143,'09_Posicion_Actual'!$B$5:$B$204,0)),""))</f>
        <v/>
      </c>
      <c r="S143" s="132" t="str">
        <f t="shared" si="29"/>
        <v/>
      </c>
      <c r="T143" s="132"/>
      <c r="U143" s="132"/>
      <c r="V143" s="132"/>
      <c r="W143" s="132"/>
      <c r="X143" s="132"/>
    </row>
    <row r="144" spans="1:24">
      <c r="A144" s="132"/>
      <c r="B144" s="132"/>
      <c r="C144" s="132"/>
      <c r="D144" s="132"/>
      <c r="E144" s="176" t="str">
        <f>IF(A144="","",SUMIFS('14_Inversiones'!$E$5:$E$203,'14_Inversiones'!$B$5:$B$203,A144,'14_Inversiones'!$D$5:$D$203,C144,'14_Inversiones'!$C$5:$C$203,"Compra")+SUMIFS('14_Inversiones'!$E$5:$E$203,'14_Inversiones'!$B$5:$B$203,A144,'14_Inversiones'!$D$5:$D$203,C144,'14_Inversiones'!$C$5:$C$203,"Aporte")+SUMIFS('14_Inversiones'!$E$5:$E$203,'14_Inversiones'!$B$5:$B$203,A144,'14_Inversiones'!$D$5:$D$203,C144,'14_Inversiones'!$C$5:$C$203,"Ajuste"))</f>
        <v/>
      </c>
      <c r="F144" s="176" t="str">
        <f>IF(A144="","",SUMIFS('14_Inversiones'!$E$5:$E$203,'14_Inversiones'!$B$5:$B$203,A144,'14_Inversiones'!$D$5:$D$203,C144,'14_Inversiones'!$C$5:$C$203,"Retiro")+SUMIFS('14_Inversiones'!$E$5:$E$203,'14_Inversiones'!$B$5:$B$203,A144,'14_Inversiones'!$D$5:$D$203,C144,'14_Inversiones'!$C$5:$C$203,"Venta"))</f>
        <v/>
      </c>
      <c r="G144" s="176" t="str">
        <f t="shared" si="24"/>
        <v/>
      </c>
      <c r="H144" s="176" t="str">
        <f>IF(A144="","",IFERROR(INDEX('09_Posicion_Actual'!$G$5:$G$204,MATCH(A144,'09_Posicion_Actual'!$B$5:$B$204,0)),0))</f>
        <v/>
      </c>
      <c r="I144" s="171" t="str">
        <f>IF(A144="","",IFERROR(INDEX('09_Posicion_Actual'!$I$5:$I$204,MATCH(A144,'09_Posicion_Actual'!$B$5:$B$204,0)),0))</f>
        <v/>
      </c>
      <c r="J144" s="176" t="str">
        <f t="shared" si="25"/>
        <v/>
      </c>
      <c r="K144" s="171" t="str">
        <f>IF(A144="","",IF(C144="USD",J144*IFERROR(INDEX('09_Posicion_Actual'!$H$5:$H$204,MATCH(A144,'09_Posicion_Actual'!$B$5:$B$204,0)),950),J144))</f>
        <v/>
      </c>
      <c r="L144" s="180" t="str">
        <f t="shared" si="26"/>
        <v/>
      </c>
      <c r="M144" s="176" t="str">
        <f>IF(A144="","",IFERROR(INDEX('09_Posicion_Actual'!$F$5:$F$204,MATCH(A144,'09_Posicion_Actual'!$B$5:$B$204,0)),""))</f>
        <v/>
      </c>
      <c r="N144" s="177" t="str">
        <f>IF(A144="","",IFERROR(INDEX('09_Posicion_Actual'!$E$5:$E$204,MATCH(A144,'09_Posicion_Actual'!$B$5:$B$204,0)),""))</f>
        <v/>
      </c>
      <c r="O144" s="131" t="str">
        <f>IF(A144="","",IFERROR(INDEX('09_Posicion_Actual'!$A$5:$A$204,MATCH(A144,'09_Posicion_Actual'!$B$5:$B$204,0)),""))</f>
        <v/>
      </c>
      <c r="P144" s="132" t="str">
        <f t="shared" si="27"/>
        <v/>
      </c>
      <c r="Q144" s="132" t="str">
        <f t="shared" si="28"/>
        <v/>
      </c>
      <c r="R144" s="132" t="str">
        <f>IF(A144="","",IFERROR(INDEX('09_Posicion_Actual'!$P$5:$P$204,MATCH(A144,'09_Posicion_Actual'!$B$5:$B$204,0)),""))</f>
        <v/>
      </c>
      <c r="S144" s="132" t="str">
        <f t="shared" si="29"/>
        <v/>
      </c>
      <c r="T144" s="132"/>
      <c r="U144" s="132"/>
      <c r="V144" s="132"/>
      <c r="W144" s="132"/>
      <c r="X144" s="132"/>
    </row>
    <row r="145" spans="1:24">
      <c r="A145" s="132"/>
      <c r="B145" s="132"/>
      <c r="C145" s="132"/>
      <c r="D145" s="132"/>
      <c r="E145" s="176" t="str">
        <f>IF(A145="","",SUMIFS('14_Inversiones'!$E$5:$E$203,'14_Inversiones'!$B$5:$B$203,A145,'14_Inversiones'!$D$5:$D$203,C145,'14_Inversiones'!$C$5:$C$203,"Compra")+SUMIFS('14_Inversiones'!$E$5:$E$203,'14_Inversiones'!$B$5:$B$203,A145,'14_Inversiones'!$D$5:$D$203,C145,'14_Inversiones'!$C$5:$C$203,"Aporte")+SUMIFS('14_Inversiones'!$E$5:$E$203,'14_Inversiones'!$B$5:$B$203,A145,'14_Inversiones'!$D$5:$D$203,C145,'14_Inversiones'!$C$5:$C$203,"Ajuste"))</f>
        <v/>
      </c>
      <c r="F145" s="176" t="str">
        <f>IF(A145="","",SUMIFS('14_Inversiones'!$E$5:$E$203,'14_Inversiones'!$B$5:$B$203,A145,'14_Inversiones'!$D$5:$D$203,C145,'14_Inversiones'!$C$5:$C$203,"Retiro")+SUMIFS('14_Inversiones'!$E$5:$E$203,'14_Inversiones'!$B$5:$B$203,A145,'14_Inversiones'!$D$5:$D$203,C145,'14_Inversiones'!$C$5:$C$203,"Venta"))</f>
        <v/>
      </c>
      <c r="G145" s="176" t="str">
        <f t="shared" si="24"/>
        <v/>
      </c>
      <c r="H145" s="176" t="str">
        <f>IF(A145="","",IFERROR(INDEX('09_Posicion_Actual'!$G$5:$G$204,MATCH(A145,'09_Posicion_Actual'!$B$5:$B$204,0)),0))</f>
        <v/>
      </c>
      <c r="I145" s="171" t="str">
        <f>IF(A145="","",IFERROR(INDEX('09_Posicion_Actual'!$I$5:$I$204,MATCH(A145,'09_Posicion_Actual'!$B$5:$B$204,0)),0))</f>
        <v/>
      </c>
      <c r="J145" s="176" t="str">
        <f t="shared" si="25"/>
        <v/>
      </c>
      <c r="K145" s="171" t="str">
        <f>IF(A145="","",IF(C145="USD",J145*IFERROR(INDEX('09_Posicion_Actual'!$H$5:$H$204,MATCH(A145,'09_Posicion_Actual'!$B$5:$B$204,0)),950),J145))</f>
        <v/>
      </c>
      <c r="L145" s="180" t="str">
        <f t="shared" si="26"/>
        <v/>
      </c>
      <c r="M145" s="176" t="str">
        <f>IF(A145="","",IFERROR(INDEX('09_Posicion_Actual'!$F$5:$F$204,MATCH(A145,'09_Posicion_Actual'!$B$5:$B$204,0)),""))</f>
        <v/>
      </c>
      <c r="N145" s="177" t="str">
        <f>IF(A145="","",IFERROR(INDEX('09_Posicion_Actual'!$E$5:$E$204,MATCH(A145,'09_Posicion_Actual'!$B$5:$B$204,0)),""))</f>
        <v/>
      </c>
      <c r="O145" s="131" t="str">
        <f>IF(A145="","",IFERROR(INDEX('09_Posicion_Actual'!$A$5:$A$204,MATCH(A145,'09_Posicion_Actual'!$B$5:$B$204,0)),""))</f>
        <v/>
      </c>
      <c r="P145" s="132" t="str">
        <f t="shared" si="27"/>
        <v/>
      </c>
      <c r="Q145" s="132" t="str">
        <f t="shared" si="28"/>
        <v/>
      </c>
      <c r="R145" s="132" t="str">
        <f>IF(A145="","",IFERROR(INDEX('09_Posicion_Actual'!$P$5:$P$204,MATCH(A145,'09_Posicion_Actual'!$B$5:$B$204,0)),""))</f>
        <v/>
      </c>
      <c r="S145" s="132" t="str">
        <f t="shared" si="29"/>
        <v/>
      </c>
      <c r="T145" s="132"/>
      <c r="U145" s="132"/>
      <c r="V145" s="132"/>
      <c r="W145" s="132"/>
      <c r="X145" s="132"/>
    </row>
    <row r="146" spans="1:24">
      <c r="A146" s="132"/>
      <c r="B146" s="132"/>
      <c r="C146" s="132"/>
      <c r="D146" s="132"/>
      <c r="E146" s="176" t="str">
        <f>IF(A146="","",SUMIFS('14_Inversiones'!$E$5:$E$203,'14_Inversiones'!$B$5:$B$203,A146,'14_Inversiones'!$D$5:$D$203,C146,'14_Inversiones'!$C$5:$C$203,"Compra")+SUMIFS('14_Inversiones'!$E$5:$E$203,'14_Inversiones'!$B$5:$B$203,A146,'14_Inversiones'!$D$5:$D$203,C146,'14_Inversiones'!$C$5:$C$203,"Aporte")+SUMIFS('14_Inversiones'!$E$5:$E$203,'14_Inversiones'!$B$5:$B$203,A146,'14_Inversiones'!$D$5:$D$203,C146,'14_Inversiones'!$C$5:$C$203,"Ajuste"))</f>
        <v/>
      </c>
      <c r="F146" s="176" t="str">
        <f>IF(A146="","",SUMIFS('14_Inversiones'!$E$5:$E$203,'14_Inversiones'!$B$5:$B$203,A146,'14_Inversiones'!$D$5:$D$203,C146,'14_Inversiones'!$C$5:$C$203,"Retiro")+SUMIFS('14_Inversiones'!$E$5:$E$203,'14_Inversiones'!$B$5:$B$203,A146,'14_Inversiones'!$D$5:$D$203,C146,'14_Inversiones'!$C$5:$C$203,"Venta"))</f>
        <v/>
      </c>
      <c r="G146" s="176" t="str">
        <f t="shared" si="24"/>
        <v/>
      </c>
      <c r="H146" s="176" t="str">
        <f>IF(A146="","",IFERROR(INDEX('09_Posicion_Actual'!$G$5:$G$204,MATCH(A146,'09_Posicion_Actual'!$B$5:$B$204,0)),0))</f>
        <v/>
      </c>
      <c r="I146" s="171" t="str">
        <f>IF(A146="","",IFERROR(INDEX('09_Posicion_Actual'!$I$5:$I$204,MATCH(A146,'09_Posicion_Actual'!$B$5:$B$204,0)),0))</f>
        <v/>
      </c>
      <c r="J146" s="176" t="str">
        <f t="shared" si="25"/>
        <v/>
      </c>
      <c r="K146" s="171" t="str">
        <f>IF(A146="","",IF(C146="USD",J146*IFERROR(INDEX('09_Posicion_Actual'!$H$5:$H$204,MATCH(A146,'09_Posicion_Actual'!$B$5:$B$204,0)),950),J146))</f>
        <v/>
      </c>
      <c r="L146" s="180" t="str">
        <f t="shared" si="26"/>
        <v/>
      </c>
      <c r="M146" s="176" t="str">
        <f>IF(A146="","",IFERROR(INDEX('09_Posicion_Actual'!$F$5:$F$204,MATCH(A146,'09_Posicion_Actual'!$B$5:$B$204,0)),""))</f>
        <v/>
      </c>
      <c r="N146" s="177" t="str">
        <f>IF(A146="","",IFERROR(INDEX('09_Posicion_Actual'!$E$5:$E$204,MATCH(A146,'09_Posicion_Actual'!$B$5:$B$204,0)),""))</f>
        <v/>
      </c>
      <c r="O146" s="131" t="str">
        <f>IF(A146="","",IFERROR(INDEX('09_Posicion_Actual'!$A$5:$A$204,MATCH(A146,'09_Posicion_Actual'!$B$5:$B$204,0)),""))</f>
        <v/>
      </c>
      <c r="P146" s="132" t="str">
        <f t="shared" si="27"/>
        <v/>
      </c>
      <c r="Q146" s="132" t="str">
        <f t="shared" si="28"/>
        <v/>
      </c>
      <c r="R146" s="132" t="str">
        <f>IF(A146="","",IFERROR(INDEX('09_Posicion_Actual'!$P$5:$P$204,MATCH(A146,'09_Posicion_Actual'!$B$5:$B$204,0)),""))</f>
        <v/>
      </c>
      <c r="S146" s="132" t="str">
        <f t="shared" si="29"/>
        <v/>
      </c>
      <c r="T146" s="132"/>
      <c r="U146" s="132"/>
      <c r="V146" s="132"/>
      <c r="W146" s="132"/>
      <c r="X146" s="132"/>
    </row>
    <row r="147" spans="1:24">
      <c r="A147" s="132"/>
      <c r="B147" s="132"/>
      <c r="C147" s="132"/>
      <c r="D147" s="132"/>
      <c r="E147" s="176" t="str">
        <f>IF(A147="","",SUMIFS('14_Inversiones'!$E$5:$E$203,'14_Inversiones'!$B$5:$B$203,A147,'14_Inversiones'!$D$5:$D$203,C147,'14_Inversiones'!$C$5:$C$203,"Compra")+SUMIFS('14_Inversiones'!$E$5:$E$203,'14_Inversiones'!$B$5:$B$203,A147,'14_Inversiones'!$D$5:$D$203,C147,'14_Inversiones'!$C$5:$C$203,"Aporte")+SUMIFS('14_Inversiones'!$E$5:$E$203,'14_Inversiones'!$B$5:$B$203,A147,'14_Inversiones'!$D$5:$D$203,C147,'14_Inversiones'!$C$5:$C$203,"Ajuste"))</f>
        <v/>
      </c>
      <c r="F147" s="176" t="str">
        <f>IF(A147="","",SUMIFS('14_Inversiones'!$E$5:$E$203,'14_Inversiones'!$B$5:$B$203,A147,'14_Inversiones'!$D$5:$D$203,C147,'14_Inversiones'!$C$5:$C$203,"Retiro")+SUMIFS('14_Inversiones'!$E$5:$E$203,'14_Inversiones'!$B$5:$B$203,A147,'14_Inversiones'!$D$5:$D$203,C147,'14_Inversiones'!$C$5:$C$203,"Venta"))</f>
        <v/>
      </c>
      <c r="G147" s="176" t="str">
        <f t="shared" si="24"/>
        <v/>
      </c>
      <c r="H147" s="176" t="str">
        <f>IF(A147="","",IFERROR(INDEX('09_Posicion_Actual'!$G$5:$G$204,MATCH(A147,'09_Posicion_Actual'!$B$5:$B$204,0)),0))</f>
        <v/>
      </c>
      <c r="I147" s="171" t="str">
        <f>IF(A147="","",IFERROR(INDEX('09_Posicion_Actual'!$I$5:$I$204,MATCH(A147,'09_Posicion_Actual'!$B$5:$B$204,0)),0))</f>
        <v/>
      </c>
      <c r="J147" s="176" t="str">
        <f t="shared" si="25"/>
        <v/>
      </c>
      <c r="K147" s="171" t="str">
        <f>IF(A147="","",IF(C147="USD",J147*IFERROR(INDEX('09_Posicion_Actual'!$H$5:$H$204,MATCH(A147,'09_Posicion_Actual'!$B$5:$B$204,0)),950),J147))</f>
        <v/>
      </c>
      <c r="L147" s="180" t="str">
        <f t="shared" si="26"/>
        <v/>
      </c>
      <c r="M147" s="176" t="str">
        <f>IF(A147="","",IFERROR(INDEX('09_Posicion_Actual'!$F$5:$F$204,MATCH(A147,'09_Posicion_Actual'!$B$5:$B$204,0)),""))</f>
        <v/>
      </c>
      <c r="N147" s="177" t="str">
        <f>IF(A147="","",IFERROR(INDEX('09_Posicion_Actual'!$E$5:$E$204,MATCH(A147,'09_Posicion_Actual'!$B$5:$B$204,0)),""))</f>
        <v/>
      </c>
      <c r="O147" s="131" t="str">
        <f>IF(A147="","",IFERROR(INDEX('09_Posicion_Actual'!$A$5:$A$204,MATCH(A147,'09_Posicion_Actual'!$B$5:$B$204,0)),""))</f>
        <v/>
      </c>
      <c r="P147" s="132" t="str">
        <f t="shared" si="27"/>
        <v/>
      </c>
      <c r="Q147" s="132" t="str">
        <f t="shared" si="28"/>
        <v/>
      </c>
      <c r="R147" s="132" t="str">
        <f>IF(A147="","",IFERROR(INDEX('09_Posicion_Actual'!$P$5:$P$204,MATCH(A147,'09_Posicion_Actual'!$B$5:$B$204,0)),""))</f>
        <v/>
      </c>
      <c r="S147" s="132" t="str">
        <f t="shared" si="29"/>
        <v/>
      </c>
      <c r="T147" s="132"/>
      <c r="U147" s="132"/>
      <c r="V147" s="132"/>
      <c r="W147" s="132"/>
      <c r="X147" s="132"/>
    </row>
    <row r="148" spans="1:24">
      <c r="A148" s="132"/>
      <c r="B148" s="132"/>
      <c r="C148" s="132"/>
      <c r="D148" s="132"/>
      <c r="E148" s="176" t="str">
        <f>IF(A148="","",SUMIFS('14_Inversiones'!$E$5:$E$203,'14_Inversiones'!$B$5:$B$203,A148,'14_Inversiones'!$D$5:$D$203,C148,'14_Inversiones'!$C$5:$C$203,"Compra")+SUMIFS('14_Inversiones'!$E$5:$E$203,'14_Inversiones'!$B$5:$B$203,A148,'14_Inversiones'!$D$5:$D$203,C148,'14_Inversiones'!$C$5:$C$203,"Aporte")+SUMIFS('14_Inversiones'!$E$5:$E$203,'14_Inversiones'!$B$5:$B$203,A148,'14_Inversiones'!$D$5:$D$203,C148,'14_Inversiones'!$C$5:$C$203,"Ajuste"))</f>
        <v/>
      </c>
      <c r="F148" s="176" t="str">
        <f>IF(A148="","",SUMIFS('14_Inversiones'!$E$5:$E$203,'14_Inversiones'!$B$5:$B$203,A148,'14_Inversiones'!$D$5:$D$203,C148,'14_Inversiones'!$C$5:$C$203,"Retiro")+SUMIFS('14_Inversiones'!$E$5:$E$203,'14_Inversiones'!$B$5:$B$203,A148,'14_Inversiones'!$D$5:$D$203,C148,'14_Inversiones'!$C$5:$C$203,"Venta"))</f>
        <v/>
      </c>
      <c r="G148" s="176" t="str">
        <f t="shared" si="24"/>
        <v/>
      </c>
      <c r="H148" s="176" t="str">
        <f>IF(A148="","",IFERROR(INDEX('09_Posicion_Actual'!$G$5:$G$204,MATCH(A148,'09_Posicion_Actual'!$B$5:$B$204,0)),0))</f>
        <v/>
      </c>
      <c r="I148" s="171" t="str">
        <f>IF(A148="","",IFERROR(INDEX('09_Posicion_Actual'!$I$5:$I$204,MATCH(A148,'09_Posicion_Actual'!$B$5:$B$204,0)),0))</f>
        <v/>
      </c>
      <c r="J148" s="176" t="str">
        <f t="shared" si="25"/>
        <v/>
      </c>
      <c r="K148" s="171" t="str">
        <f>IF(A148="","",IF(C148="USD",J148*IFERROR(INDEX('09_Posicion_Actual'!$H$5:$H$204,MATCH(A148,'09_Posicion_Actual'!$B$5:$B$204,0)),950),J148))</f>
        <v/>
      </c>
      <c r="L148" s="180" t="str">
        <f t="shared" si="26"/>
        <v/>
      </c>
      <c r="M148" s="176" t="str">
        <f>IF(A148="","",IFERROR(INDEX('09_Posicion_Actual'!$F$5:$F$204,MATCH(A148,'09_Posicion_Actual'!$B$5:$B$204,0)),""))</f>
        <v/>
      </c>
      <c r="N148" s="177" t="str">
        <f>IF(A148="","",IFERROR(INDEX('09_Posicion_Actual'!$E$5:$E$204,MATCH(A148,'09_Posicion_Actual'!$B$5:$B$204,0)),""))</f>
        <v/>
      </c>
      <c r="O148" s="131" t="str">
        <f>IF(A148="","",IFERROR(INDEX('09_Posicion_Actual'!$A$5:$A$204,MATCH(A148,'09_Posicion_Actual'!$B$5:$B$204,0)),""))</f>
        <v/>
      </c>
      <c r="P148" s="132" t="str">
        <f t="shared" si="27"/>
        <v/>
      </c>
      <c r="Q148" s="132" t="str">
        <f t="shared" si="28"/>
        <v/>
      </c>
      <c r="R148" s="132" t="str">
        <f>IF(A148="","",IFERROR(INDEX('09_Posicion_Actual'!$P$5:$P$204,MATCH(A148,'09_Posicion_Actual'!$B$5:$B$204,0)),""))</f>
        <v/>
      </c>
      <c r="S148" s="132" t="str">
        <f t="shared" si="29"/>
        <v/>
      </c>
      <c r="T148" s="132"/>
      <c r="U148" s="132"/>
      <c r="V148" s="132"/>
      <c r="W148" s="132"/>
      <c r="X148" s="132"/>
    </row>
    <row r="149" spans="1:24">
      <c r="A149" s="132"/>
      <c r="B149" s="132"/>
      <c r="C149" s="132"/>
      <c r="D149" s="132"/>
      <c r="E149" s="176" t="str">
        <f>IF(A149="","",SUMIFS('14_Inversiones'!$E$5:$E$203,'14_Inversiones'!$B$5:$B$203,A149,'14_Inversiones'!$D$5:$D$203,C149,'14_Inversiones'!$C$5:$C$203,"Compra")+SUMIFS('14_Inversiones'!$E$5:$E$203,'14_Inversiones'!$B$5:$B$203,A149,'14_Inversiones'!$D$5:$D$203,C149,'14_Inversiones'!$C$5:$C$203,"Aporte")+SUMIFS('14_Inversiones'!$E$5:$E$203,'14_Inversiones'!$B$5:$B$203,A149,'14_Inversiones'!$D$5:$D$203,C149,'14_Inversiones'!$C$5:$C$203,"Ajuste"))</f>
        <v/>
      </c>
      <c r="F149" s="176" t="str">
        <f>IF(A149="","",SUMIFS('14_Inversiones'!$E$5:$E$203,'14_Inversiones'!$B$5:$B$203,A149,'14_Inversiones'!$D$5:$D$203,C149,'14_Inversiones'!$C$5:$C$203,"Retiro")+SUMIFS('14_Inversiones'!$E$5:$E$203,'14_Inversiones'!$B$5:$B$203,A149,'14_Inversiones'!$D$5:$D$203,C149,'14_Inversiones'!$C$5:$C$203,"Venta"))</f>
        <v/>
      </c>
      <c r="G149" s="176" t="str">
        <f t="shared" si="24"/>
        <v/>
      </c>
      <c r="H149" s="176" t="str">
        <f>IF(A149="","",IFERROR(INDEX('09_Posicion_Actual'!$G$5:$G$204,MATCH(A149,'09_Posicion_Actual'!$B$5:$B$204,0)),0))</f>
        <v/>
      </c>
      <c r="I149" s="171" t="str">
        <f>IF(A149="","",IFERROR(INDEX('09_Posicion_Actual'!$I$5:$I$204,MATCH(A149,'09_Posicion_Actual'!$B$5:$B$204,0)),0))</f>
        <v/>
      </c>
      <c r="J149" s="176" t="str">
        <f t="shared" si="25"/>
        <v/>
      </c>
      <c r="K149" s="171" t="str">
        <f>IF(A149="","",IF(C149="USD",J149*IFERROR(INDEX('09_Posicion_Actual'!$H$5:$H$204,MATCH(A149,'09_Posicion_Actual'!$B$5:$B$204,0)),950),J149))</f>
        <v/>
      </c>
      <c r="L149" s="180" t="str">
        <f t="shared" si="26"/>
        <v/>
      </c>
      <c r="M149" s="176" t="str">
        <f>IF(A149="","",IFERROR(INDEX('09_Posicion_Actual'!$F$5:$F$204,MATCH(A149,'09_Posicion_Actual'!$B$5:$B$204,0)),""))</f>
        <v/>
      </c>
      <c r="N149" s="177" t="str">
        <f>IF(A149="","",IFERROR(INDEX('09_Posicion_Actual'!$E$5:$E$204,MATCH(A149,'09_Posicion_Actual'!$B$5:$B$204,0)),""))</f>
        <v/>
      </c>
      <c r="O149" s="131" t="str">
        <f>IF(A149="","",IFERROR(INDEX('09_Posicion_Actual'!$A$5:$A$204,MATCH(A149,'09_Posicion_Actual'!$B$5:$B$204,0)),""))</f>
        <v/>
      </c>
      <c r="P149" s="132" t="str">
        <f t="shared" si="27"/>
        <v/>
      </c>
      <c r="Q149" s="132" t="str">
        <f t="shared" si="28"/>
        <v/>
      </c>
      <c r="R149" s="132" t="str">
        <f>IF(A149="","",IFERROR(INDEX('09_Posicion_Actual'!$P$5:$P$204,MATCH(A149,'09_Posicion_Actual'!$B$5:$B$204,0)),""))</f>
        <v/>
      </c>
      <c r="S149" s="132" t="str">
        <f t="shared" si="29"/>
        <v/>
      </c>
      <c r="T149" s="132"/>
      <c r="U149" s="132"/>
      <c r="V149" s="132"/>
      <c r="W149" s="132"/>
      <c r="X149" s="132"/>
    </row>
    <row r="150" spans="1:24">
      <c r="A150" s="132"/>
      <c r="B150" s="132"/>
      <c r="C150" s="132"/>
      <c r="D150" s="132"/>
      <c r="E150" s="176" t="str">
        <f>IF(A150="","",SUMIFS('14_Inversiones'!$E$5:$E$203,'14_Inversiones'!$B$5:$B$203,A150,'14_Inversiones'!$D$5:$D$203,C150,'14_Inversiones'!$C$5:$C$203,"Compra")+SUMIFS('14_Inversiones'!$E$5:$E$203,'14_Inversiones'!$B$5:$B$203,A150,'14_Inversiones'!$D$5:$D$203,C150,'14_Inversiones'!$C$5:$C$203,"Aporte")+SUMIFS('14_Inversiones'!$E$5:$E$203,'14_Inversiones'!$B$5:$B$203,A150,'14_Inversiones'!$D$5:$D$203,C150,'14_Inversiones'!$C$5:$C$203,"Ajuste"))</f>
        <v/>
      </c>
      <c r="F150" s="176" t="str">
        <f>IF(A150="","",SUMIFS('14_Inversiones'!$E$5:$E$203,'14_Inversiones'!$B$5:$B$203,A150,'14_Inversiones'!$D$5:$D$203,C150,'14_Inversiones'!$C$5:$C$203,"Retiro")+SUMIFS('14_Inversiones'!$E$5:$E$203,'14_Inversiones'!$B$5:$B$203,A150,'14_Inversiones'!$D$5:$D$203,C150,'14_Inversiones'!$C$5:$C$203,"Venta"))</f>
        <v/>
      </c>
      <c r="G150" s="176" t="str">
        <f t="shared" si="24"/>
        <v/>
      </c>
      <c r="H150" s="176" t="str">
        <f>IF(A150="","",IFERROR(INDEX('09_Posicion_Actual'!$G$5:$G$204,MATCH(A150,'09_Posicion_Actual'!$B$5:$B$204,0)),0))</f>
        <v/>
      </c>
      <c r="I150" s="171" t="str">
        <f>IF(A150="","",IFERROR(INDEX('09_Posicion_Actual'!$I$5:$I$204,MATCH(A150,'09_Posicion_Actual'!$B$5:$B$204,0)),0))</f>
        <v/>
      </c>
      <c r="J150" s="176" t="str">
        <f t="shared" si="25"/>
        <v/>
      </c>
      <c r="K150" s="171" t="str">
        <f>IF(A150="","",IF(C150="USD",J150*IFERROR(INDEX('09_Posicion_Actual'!$H$5:$H$204,MATCH(A150,'09_Posicion_Actual'!$B$5:$B$204,0)),950),J150))</f>
        <v/>
      </c>
      <c r="L150" s="180" t="str">
        <f t="shared" si="26"/>
        <v/>
      </c>
      <c r="M150" s="176" t="str">
        <f>IF(A150="","",IFERROR(INDEX('09_Posicion_Actual'!$F$5:$F$204,MATCH(A150,'09_Posicion_Actual'!$B$5:$B$204,0)),""))</f>
        <v/>
      </c>
      <c r="N150" s="177" t="str">
        <f>IF(A150="","",IFERROR(INDEX('09_Posicion_Actual'!$E$5:$E$204,MATCH(A150,'09_Posicion_Actual'!$B$5:$B$204,0)),""))</f>
        <v/>
      </c>
      <c r="O150" s="131" t="str">
        <f>IF(A150="","",IFERROR(INDEX('09_Posicion_Actual'!$A$5:$A$204,MATCH(A150,'09_Posicion_Actual'!$B$5:$B$204,0)),""))</f>
        <v/>
      </c>
      <c r="P150" s="132" t="str">
        <f t="shared" si="27"/>
        <v/>
      </c>
      <c r="Q150" s="132" t="str">
        <f t="shared" si="28"/>
        <v/>
      </c>
      <c r="R150" s="132" t="str">
        <f>IF(A150="","",IFERROR(INDEX('09_Posicion_Actual'!$P$5:$P$204,MATCH(A150,'09_Posicion_Actual'!$B$5:$B$204,0)),""))</f>
        <v/>
      </c>
      <c r="S150" s="132" t="str">
        <f t="shared" si="29"/>
        <v/>
      </c>
      <c r="T150" s="132"/>
      <c r="U150" s="132"/>
      <c r="V150" s="132"/>
      <c r="W150" s="132"/>
      <c r="X150" s="132"/>
    </row>
    <row r="151" spans="1:24">
      <c r="A151" s="132"/>
      <c r="B151" s="132"/>
      <c r="C151" s="132"/>
      <c r="D151" s="132"/>
      <c r="E151" s="176" t="str">
        <f>IF(A151="","",SUMIFS('14_Inversiones'!$E$5:$E$203,'14_Inversiones'!$B$5:$B$203,A151,'14_Inversiones'!$D$5:$D$203,C151,'14_Inversiones'!$C$5:$C$203,"Compra")+SUMIFS('14_Inversiones'!$E$5:$E$203,'14_Inversiones'!$B$5:$B$203,A151,'14_Inversiones'!$D$5:$D$203,C151,'14_Inversiones'!$C$5:$C$203,"Aporte")+SUMIFS('14_Inversiones'!$E$5:$E$203,'14_Inversiones'!$B$5:$B$203,A151,'14_Inversiones'!$D$5:$D$203,C151,'14_Inversiones'!$C$5:$C$203,"Ajuste"))</f>
        <v/>
      </c>
      <c r="F151" s="176" t="str">
        <f>IF(A151="","",SUMIFS('14_Inversiones'!$E$5:$E$203,'14_Inversiones'!$B$5:$B$203,A151,'14_Inversiones'!$D$5:$D$203,C151,'14_Inversiones'!$C$5:$C$203,"Retiro")+SUMIFS('14_Inversiones'!$E$5:$E$203,'14_Inversiones'!$B$5:$B$203,A151,'14_Inversiones'!$D$5:$D$203,C151,'14_Inversiones'!$C$5:$C$203,"Venta"))</f>
        <v/>
      </c>
      <c r="G151" s="176" t="str">
        <f t="shared" si="24"/>
        <v/>
      </c>
      <c r="H151" s="176" t="str">
        <f>IF(A151="","",IFERROR(INDEX('09_Posicion_Actual'!$G$5:$G$204,MATCH(A151,'09_Posicion_Actual'!$B$5:$B$204,0)),0))</f>
        <v/>
      </c>
      <c r="I151" s="171" t="str">
        <f>IF(A151="","",IFERROR(INDEX('09_Posicion_Actual'!$I$5:$I$204,MATCH(A151,'09_Posicion_Actual'!$B$5:$B$204,0)),0))</f>
        <v/>
      </c>
      <c r="J151" s="176" t="str">
        <f t="shared" si="25"/>
        <v/>
      </c>
      <c r="K151" s="171" t="str">
        <f>IF(A151="","",IF(C151="USD",J151*IFERROR(INDEX('09_Posicion_Actual'!$H$5:$H$204,MATCH(A151,'09_Posicion_Actual'!$B$5:$B$204,0)),950),J151))</f>
        <v/>
      </c>
      <c r="L151" s="180" t="str">
        <f t="shared" si="26"/>
        <v/>
      </c>
      <c r="M151" s="176" t="str">
        <f>IF(A151="","",IFERROR(INDEX('09_Posicion_Actual'!$F$5:$F$204,MATCH(A151,'09_Posicion_Actual'!$B$5:$B$204,0)),""))</f>
        <v/>
      </c>
      <c r="N151" s="177" t="str">
        <f>IF(A151="","",IFERROR(INDEX('09_Posicion_Actual'!$E$5:$E$204,MATCH(A151,'09_Posicion_Actual'!$B$5:$B$204,0)),""))</f>
        <v/>
      </c>
      <c r="O151" s="131" t="str">
        <f>IF(A151="","",IFERROR(INDEX('09_Posicion_Actual'!$A$5:$A$204,MATCH(A151,'09_Posicion_Actual'!$B$5:$B$204,0)),""))</f>
        <v/>
      </c>
      <c r="P151" s="132" t="str">
        <f t="shared" si="27"/>
        <v/>
      </c>
      <c r="Q151" s="132" t="str">
        <f t="shared" si="28"/>
        <v/>
      </c>
      <c r="R151" s="132" t="str">
        <f>IF(A151="","",IFERROR(INDEX('09_Posicion_Actual'!$P$5:$P$204,MATCH(A151,'09_Posicion_Actual'!$B$5:$B$204,0)),""))</f>
        <v/>
      </c>
      <c r="S151" s="132" t="str">
        <f t="shared" si="29"/>
        <v/>
      </c>
      <c r="T151" s="132"/>
      <c r="U151" s="132"/>
      <c r="V151" s="132"/>
      <c r="W151" s="132"/>
      <c r="X151" s="132"/>
    </row>
    <row r="152" spans="1:24">
      <c r="A152" s="132"/>
      <c r="B152" s="132"/>
      <c r="C152" s="132"/>
      <c r="D152" s="132"/>
      <c r="E152" s="176" t="str">
        <f>IF(A152="","",SUMIFS('14_Inversiones'!$E$5:$E$203,'14_Inversiones'!$B$5:$B$203,A152,'14_Inversiones'!$D$5:$D$203,C152,'14_Inversiones'!$C$5:$C$203,"Compra")+SUMIFS('14_Inversiones'!$E$5:$E$203,'14_Inversiones'!$B$5:$B$203,A152,'14_Inversiones'!$D$5:$D$203,C152,'14_Inversiones'!$C$5:$C$203,"Aporte")+SUMIFS('14_Inversiones'!$E$5:$E$203,'14_Inversiones'!$B$5:$B$203,A152,'14_Inversiones'!$D$5:$D$203,C152,'14_Inversiones'!$C$5:$C$203,"Ajuste"))</f>
        <v/>
      </c>
      <c r="F152" s="176" t="str">
        <f>IF(A152="","",SUMIFS('14_Inversiones'!$E$5:$E$203,'14_Inversiones'!$B$5:$B$203,A152,'14_Inversiones'!$D$5:$D$203,C152,'14_Inversiones'!$C$5:$C$203,"Retiro")+SUMIFS('14_Inversiones'!$E$5:$E$203,'14_Inversiones'!$B$5:$B$203,A152,'14_Inversiones'!$D$5:$D$203,C152,'14_Inversiones'!$C$5:$C$203,"Venta"))</f>
        <v/>
      </c>
      <c r="G152" s="176" t="str">
        <f t="shared" si="24"/>
        <v/>
      </c>
      <c r="H152" s="176" t="str">
        <f>IF(A152="","",IFERROR(INDEX('09_Posicion_Actual'!$G$5:$G$204,MATCH(A152,'09_Posicion_Actual'!$B$5:$B$204,0)),0))</f>
        <v/>
      </c>
      <c r="I152" s="171" t="str">
        <f>IF(A152="","",IFERROR(INDEX('09_Posicion_Actual'!$I$5:$I$204,MATCH(A152,'09_Posicion_Actual'!$B$5:$B$204,0)),0))</f>
        <v/>
      </c>
      <c r="J152" s="176" t="str">
        <f t="shared" si="25"/>
        <v/>
      </c>
      <c r="K152" s="171" t="str">
        <f>IF(A152="","",IF(C152="USD",J152*IFERROR(INDEX('09_Posicion_Actual'!$H$5:$H$204,MATCH(A152,'09_Posicion_Actual'!$B$5:$B$204,0)),950),J152))</f>
        <v/>
      </c>
      <c r="L152" s="180" t="str">
        <f t="shared" si="26"/>
        <v/>
      </c>
      <c r="M152" s="176" t="str">
        <f>IF(A152="","",IFERROR(INDEX('09_Posicion_Actual'!$F$5:$F$204,MATCH(A152,'09_Posicion_Actual'!$B$5:$B$204,0)),""))</f>
        <v/>
      </c>
      <c r="N152" s="177" t="str">
        <f>IF(A152="","",IFERROR(INDEX('09_Posicion_Actual'!$E$5:$E$204,MATCH(A152,'09_Posicion_Actual'!$B$5:$B$204,0)),""))</f>
        <v/>
      </c>
      <c r="O152" s="131" t="str">
        <f>IF(A152="","",IFERROR(INDEX('09_Posicion_Actual'!$A$5:$A$204,MATCH(A152,'09_Posicion_Actual'!$B$5:$B$204,0)),""))</f>
        <v/>
      </c>
      <c r="P152" s="132" t="str">
        <f t="shared" si="27"/>
        <v/>
      </c>
      <c r="Q152" s="132" t="str">
        <f t="shared" si="28"/>
        <v/>
      </c>
      <c r="R152" s="132" t="str">
        <f>IF(A152="","",IFERROR(INDEX('09_Posicion_Actual'!$P$5:$P$204,MATCH(A152,'09_Posicion_Actual'!$B$5:$B$204,0)),""))</f>
        <v/>
      </c>
      <c r="S152" s="132" t="str">
        <f t="shared" si="29"/>
        <v/>
      </c>
      <c r="T152" s="132"/>
      <c r="U152" s="132"/>
      <c r="V152" s="132"/>
      <c r="W152" s="132"/>
      <c r="X152" s="132"/>
    </row>
    <row r="153" spans="1:24">
      <c r="A153" s="132"/>
      <c r="B153" s="132"/>
      <c r="C153" s="132"/>
      <c r="D153" s="132"/>
      <c r="E153" s="176" t="str">
        <f>IF(A153="","",SUMIFS('14_Inversiones'!$E$5:$E$203,'14_Inversiones'!$B$5:$B$203,A153,'14_Inversiones'!$D$5:$D$203,C153,'14_Inversiones'!$C$5:$C$203,"Compra")+SUMIFS('14_Inversiones'!$E$5:$E$203,'14_Inversiones'!$B$5:$B$203,A153,'14_Inversiones'!$D$5:$D$203,C153,'14_Inversiones'!$C$5:$C$203,"Aporte")+SUMIFS('14_Inversiones'!$E$5:$E$203,'14_Inversiones'!$B$5:$B$203,A153,'14_Inversiones'!$D$5:$D$203,C153,'14_Inversiones'!$C$5:$C$203,"Ajuste"))</f>
        <v/>
      </c>
      <c r="F153" s="176" t="str">
        <f>IF(A153="","",SUMIFS('14_Inversiones'!$E$5:$E$203,'14_Inversiones'!$B$5:$B$203,A153,'14_Inversiones'!$D$5:$D$203,C153,'14_Inversiones'!$C$5:$C$203,"Retiro")+SUMIFS('14_Inversiones'!$E$5:$E$203,'14_Inversiones'!$B$5:$B$203,A153,'14_Inversiones'!$D$5:$D$203,C153,'14_Inversiones'!$C$5:$C$203,"Venta"))</f>
        <v/>
      </c>
      <c r="G153" s="176" t="str">
        <f t="shared" si="24"/>
        <v/>
      </c>
      <c r="H153" s="176" t="str">
        <f>IF(A153="","",IFERROR(INDEX('09_Posicion_Actual'!$G$5:$G$204,MATCH(A153,'09_Posicion_Actual'!$B$5:$B$204,0)),0))</f>
        <v/>
      </c>
      <c r="I153" s="171" t="str">
        <f>IF(A153="","",IFERROR(INDEX('09_Posicion_Actual'!$I$5:$I$204,MATCH(A153,'09_Posicion_Actual'!$B$5:$B$204,0)),0))</f>
        <v/>
      </c>
      <c r="J153" s="176" t="str">
        <f t="shared" si="25"/>
        <v/>
      </c>
      <c r="K153" s="171" t="str">
        <f>IF(A153="","",IF(C153="USD",J153*IFERROR(INDEX('09_Posicion_Actual'!$H$5:$H$204,MATCH(A153,'09_Posicion_Actual'!$B$5:$B$204,0)),950),J153))</f>
        <v/>
      </c>
      <c r="L153" s="180" t="str">
        <f t="shared" si="26"/>
        <v/>
      </c>
      <c r="M153" s="176" t="str">
        <f>IF(A153="","",IFERROR(INDEX('09_Posicion_Actual'!$F$5:$F$204,MATCH(A153,'09_Posicion_Actual'!$B$5:$B$204,0)),""))</f>
        <v/>
      </c>
      <c r="N153" s="177" t="str">
        <f>IF(A153="","",IFERROR(INDEX('09_Posicion_Actual'!$E$5:$E$204,MATCH(A153,'09_Posicion_Actual'!$B$5:$B$204,0)),""))</f>
        <v/>
      </c>
      <c r="O153" s="131" t="str">
        <f>IF(A153="","",IFERROR(INDEX('09_Posicion_Actual'!$A$5:$A$204,MATCH(A153,'09_Posicion_Actual'!$B$5:$B$204,0)),""))</f>
        <v/>
      </c>
      <c r="P153" s="132" t="str">
        <f t="shared" si="27"/>
        <v/>
      </c>
      <c r="Q153" s="132" t="str">
        <f t="shared" si="28"/>
        <v/>
      </c>
      <c r="R153" s="132" t="str">
        <f>IF(A153="","",IFERROR(INDEX('09_Posicion_Actual'!$P$5:$P$204,MATCH(A153,'09_Posicion_Actual'!$B$5:$B$204,0)),""))</f>
        <v/>
      </c>
      <c r="S153" s="132" t="str">
        <f t="shared" si="29"/>
        <v/>
      </c>
      <c r="T153" s="132"/>
      <c r="U153" s="132"/>
      <c r="V153" s="132"/>
      <c r="W153" s="132"/>
      <c r="X153" s="132"/>
    </row>
    <row r="154" spans="1:24">
      <c r="A154" s="132"/>
      <c r="B154" s="132"/>
      <c r="C154" s="132"/>
      <c r="D154" s="132"/>
      <c r="E154" s="176" t="str">
        <f>IF(A154="","",SUMIFS('14_Inversiones'!$E$5:$E$203,'14_Inversiones'!$B$5:$B$203,A154,'14_Inversiones'!$D$5:$D$203,C154,'14_Inversiones'!$C$5:$C$203,"Compra")+SUMIFS('14_Inversiones'!$E$5:$E$203,'14_Inversiones'!$B$5:$B$203,A154,'14_Inversiones'!$D$5:$D$203,C154,'14_Inversiones'!$C$5:$C$203,"Aporte")+SUMIFS('14_Inversiones'!$E$5:$E$203,'14_Inversiones'!$B$5:$B$203,A154,'14_Inversiones'!$D$5:$D$203,C154,'14_Inversiones'!$C$5:$C$203,"Ajuste"))</f>
        <v/>
      </c>
      <c r="F154" s="176" t="str">
        <f>IF(A154="","",SUMIFS('14_Inversiones'!$E$5:$E$203,'14_Inversiones'!$B$5:$B$203,A154,'14_Inversiones'!$D$5:$D$203,C154,'14_Inversiones'!$C$5:$C$203,"Retiro")+SUMIFS('14_Inversiones'!$E$5:$E$203,'14_Inversiones'!$B$5:$B$203,A154,'14_Inversiones'!$D$5:$D$203,C154,'14_Inversiones'!$C$5:$C$203,"Venta"))</f>
        <v/>
      </c>
      <c r="G154" s="176" t="str">
        <f t="shared" si="24"/>
        <v/>
      </c>
      <c r="H154" s="176" t="str">
        <f>IF(A154="","",IFERROR(INDEX('09_Posicion_Actual'!$G$5:$G$204,MATCH(A154,'09_Posicion_Actual'!$B$5:$B$204,0)),0))</f>
        <v/>
      </c>
      <c r="I154" s="171" t="str">
        <f>IF(A154="","",IFERROR(INDEX('09_Posicion_Actual'!$I$5:$I$204,MATCH(A154,'09_Posicion_Actual'!$B$5:$B$204,0)),0))</f>
        <v/>
      </c>
      <c r="J154" s="176" t="str">
        <f t="shared" si="25"/>
        <v/>
      </c>
      <c r="K154" s="171" t="str">
        <f>IF(A154="","",IF(C154="USD",J154*IFERROR(INDEX('09_Posicion_Actual'!$H$5:$H$204,MATCH(A154,'09_Posicion_Actual'!$B$5:$B$204,0)),950),J154))</f>
        <v/>
      </c>
      <c r="L154" s="180" t="str">
        <f t="shared" si="26"/>
        <v/>
      </c>
      <c r="M154" s="176" t="str">
        <f>IF(A154="","",IFERROR(INDEX('09_Posicion_Actual'!$F$5:$F$204,MATCH(A154,'09_Posicion_Actual'!$B$5:$B$204,0)),""))</f>
        <v/>
      </c>
      <c r="N154" s="177" t="str">
        <f>IF(A154="","",IFERROR(INDEX('09_Posicion_Actual'!$E$5:$E$204,MATCH(A154,'09_Posicion_Actual'!$B$5:$B$204,0)),""))</f>
        <v/>
      </c>
      <c r="O154" s="131" t="str">
        <f>IF(A154="","",IFERROR(INDEX('09_Posicion_Actual'!$A$5:$A$204,MATCH(A154,'09_Posicion_Actual'!$B$5:$B$204,0)),""))</f>
        <v/>
      </c>
      <c r="P154" s="132" t="str">
        <f t="shared" si="27"/>
        <v/>
      </c>
      <c r="Q154" s="132" t="str">
        <f t="shared" si="28"/>
        <v/>
      </c>
      <c r="R154" s="132" t="str">
        <f>IF(A154="","",IFERROR(INDEX('09_Posicion_Actual'!$P$5:$P$204,MATCH(A154,'09_Posicion_Actual'!$B$5:$B$204,0)),""))</f>
        <v/>
      </c>
      <c r="S154" s="132" t="str">
        <f t="shared" si="29"/>
        <v/>
      </c>
      <c r="T154" s="132"/>
      <c r="U154" s="132"/>
      <c r="V154" s="132"/>
      <c r="W154" s="132"/>
      <c r="X154" s="132"/>
    </row>
    <row r="155" spans="1:24">
      <c r="A155" s="132"/>
      <c r="B155" s="132"/>
      <c r="C155" s="132"/>
      <c r="D155" s="132"/>
      <c r="E155" s="176" t="str">
        <f>IF(A155="","",SUMIFS('14_Inversiones'!$E$5:$E$203,'14_Inversiones'!$B$5:$B$203,A155,'14_Inversiones'!$D$5:$D$203,C155,'14_Inversiones'!$C$5:$C$203,"Compra")+SUMIFS('14_Inversiones'!$E$5:$E$203,'14_Inversiones'!$B$5:$B$203,A155,'14_Inversiones'!$D$5:$D$203,C155,'14_Inversiones'!$C$5:$C$203,"Aporte")+SUMIFS('14_Inversiones'!$E$5:$E$203,'14_Inversiones'!$B$5:$B$203,A155,'14_Inversiones'!$D$5:$D$203,C155,'14_Inversiones'!$C$5:$C$203,"Ajuste"))</f>
        <v/>
      </c>
      <c r="F155" s="176" t="str">
        <f>IF(A155="","",SUMIFS('14_Inversiones'!$E$5:$E$203,'14_Inversiones'!$B$5:$B$203,A155,'14_Inversiones'!$D$5:$D$203,C155,'14_Inversiones'!$C$5:$C$203,"Retiro")+SUMIFS('14_Inversiones'!$E$5:$E$203,'14_Inversiones'!$B$5:$B$203,A155,'14_Inversiones'!$D$5:$D$203,C155,'14_Inversiones'!$C$5:$C$203,"Venta"))</f>
        <v/>
      </c>
      <c r="G155" s="176" t="str">
        <f t="shared" si="24"/>
        <v/>
      </c>
      <c r="H155" s="176" t="str">
        <f>IF(A155="","",IFERROR(INDEX('09_Posicion_Actual'!$G$5:$G$204,MATCH(A155,'09_Posicion_Actual'!$B$5:$B$204,0)),0))</f>
        <v/>
      </c>
      <c r="I155" s="171" t="str">
        <f>IF(A155="","",IFERROR(INDEX('09_Posicion_Actual'!$I$5:$I$204,MATCH(A155,'09_Posicion_Actual'!$B$5:$B$204,0)),0))</f>
        <v/>
      </c>
      <c r="J155" s="176" t="str">
        <f t="shared" si="25"/>
        <v/>
      </c>
      <c r="K155" s="171" t="str">
        <f>IF(A155="","",IF(C155="USD",J155*IFERROR(INDEX('09_Posicion_Actual'!$H$5:$H$204,MATCH(A155,'09_Posicion_Actual'!$B$5:$B$204,0)),950),J155))</f>
        <v/>
      </c>
      <c r="L155" s="180" t="str">
        <f t="shared" si="26"/>
        <v/>
      </c>
      <c r="M155" s="176" t="str">
        <f>IF(A155="","",IFERROR(INDEX('09_Posicion_Actual'!$F$5:$F$204,MATCH(A155,'09_Posicion_Actual'!$B$5:$B$204,0)),""))</f>
        <v/>
      </c>
      <c r="N155" s="177" t="str">
        <f>IF(A155="","",IFERROR(INDEX('09_Posicion_Actual'!$E$5:$E$204,MATCH(A155,'09_Posicion_Actual'!$B$5:$B$204,0)),""))</f>
        <v/>
      </c>
      <c r="O155" s="131" t="str">
        <f>IF(A155="","",IFERROR(INDEX('09_Posicion_Actual'!$A$5:$A$204,MATCH(A155,'09_Posicion_Actual'!$B$5:$B$204,0)),""))</f>
        <v/>
      </c>
      <c r="P155" s="132" t="str">
        <f t="shared" si="27"/>
        <v/>
      </c>
      <c r="Q155" s="132" t="str">
        <f t="shared" si="28"/>
        <v/>
      </c>
      <c r="R155" s="132" t="str">
        <f>IF(A155="","",IFERROR(INDEX('09_Posicion_Actual'!$P$5:$P$204,MATCH(A155,'09_Posicion_Actual'!$B$5:$B$204,0)),""))</f>
        <v/>
      </c>
      <c r="S155" s="132" t="str">
        <f t="shared" si="29"/>
        <v/>
      </c>
      <c r="T155" s="132"/>
      <c r="U155" s="132"/>
      <c r="V155" s="132"/>
      <c r="W155" s="132"/>
      <c r="X155" s="132"/>
    </row>
    <row r="156" spans="1:24">
      <c r="A156" s="132"/>
      <c r="B156" s="132"/>
      <c r="C156" s="132"/>
      <c r="D156" s="132"/>
      <c r="E156" s="176" t="str">
        <f>IF(A156="","",SUMIFS('14_Inversiones'!$E$5:$E$203,'14_Inversiones'!$B$5:$B$203,A156,'14_Inversiones'!$D$5:$D$203,C156,'14_Inversiones'!$C$5:$C$203,"Compra")+SUMIFS('14_Inversiones'!$E$5:$E$203,'14_Inversiones'!$B$5:$B$203,A156,'14_Inversiones'!$D$5:$D$203,C156,'14_Inversiones'!$C$5:$C$203,"Aporte")+SUMIFS('14_Inversiones'!$E$5:$E$203,'14_Inversiones'!$B$5:$B$203,A156,'14_Inversiones'!$D$5:$D$203,C156,'14_Inversiones'!$C$5:$C$203,"Ajuste"))</f>
        <v/>
      </c>
      <c r="F156" s="176" t="str">
        <f>IF(A156="","",SUMIFS('14_Inversiones'!$E$5:$E$203,'14_Inversiones'!$B$5:$B$203,A156,'14_Inversiones'!$D$5:$D$203,C156,'14_Inversiones'!$C$5:$C$203,"Retiro")+SUMIFS('14_Inversiones'!$E$5:$E$203,'14_Inversiones'!$B$5:$B$203,A156,'14_Inversiones'!$D$5:$D$203,C156,'14_Inversiones'!$C$5:$C$203,"Venta"))</f>
        <v/>
      </c>
      <c r="G156" s="176" t="str">
        <f t="shared" si="24"/>
        <v/>
      </c>
      <c r="H156" s="176" t="str">
        <f>IF(A156="","",IFERROR(INDEX('09_Posicion_Actual'!$G$5:$G$204,MATCH(A156,'09_Posicion_Actual'!$B$5:$B$204,0)),0))</f>
        <v/>
      </c>
      <c r="I156" s="171" t="str">
        <f>IF(A156="","",IFERROR(INDEX('09_Posicion_Actual'!$I$5:$I$204,MATCH(A156,'09_Posicion_Actual'!$B$5:$B$204,0)),0))</f>
        <v/>
      </c>
      <c r="J156" s="176" t="str">
        <f t="shared" si="25"/>
        <v/>
      </c>
      <c r="K156" s="171" t="str">
        <f>IF(A156="","",IF(C156="USD",J156*IFERROR(INDEX('09_Posicion_Actual'!$H$5:$H$204,MATCH(A156,'09_Posicion_Actual'!$B$5:$B$204,0)),950),J156))</f>
        <v/>
      </c>
      <c r="L156" s="180" t="str">
        <f t="shared" si="26"/>
        <v/>
      </c>
      <c r="M156" s="176" t="str">
        <f>IF(A156="","",IFERROR(INDEX('09_Posicion_Actual'!$F$5:$F$204,MATCH(A156,'09_Posicion_Actual'!$B$5:$B$204,0)),""))</f>
        <v/>
      </c>
      <c r="N156" s="177" t="str">
        <f>IF(A156="","",IFERROR(INDEX('09_Posicion_Actual'!$E$5:$E$204,MATCH(A156,'09_Posicion_Actual'!$B$5:$B$204,0)),""))</f>
        <v/>
      </c>
      <c r="O156" s="131" t="str">
        <f>IF(A156="","",IFERROR(INDEX('09_Posicion_Actual'!$A$5:$A$204,MATCH(A156,'09_Posicion_Actual'!$B$5:$B$204,0)),""))</f>
        <v/>
      </c>
      <c r="P156" s="132" t="str">
        <f t="shared" si="27"/>
        <v/>
      </c>
      <c r="Q156" s="132" t="str">
        <f t="shared" si="28"/>
        <v/>
      </c>
      <c r="R156" s="132" t="str">
        <f>IF(A156="","",IFERROR(INDEX('09_Posicion_Actual'!$P$5:$P$204,MATCH(A156,'09_Posicion_Actual'!$B$5:$B$204,0)),""))</f>
        <v/>
      </c>
      <c r="S156" s="132" t="str">
        <f t="shared" si="29"/>
        <v/>
      </c>
      <c r="T156" s="132"/>
      <c r="U156" s="132"/>
      <c r="V156" s="132"/>
      <c r="W156" s="132"/>
      <c r="X156" s="132"/>
    </row>
    <row r="157" spans="1:24">
      <c r="A157" s="132"/>
      <c r="B157" s="132"/>
      <c r="C157" s="132"/>
      <c r="D157" s="132"/>
      <c r="E157" s="176" t="str">
        <f>IF(A157="","",SUMIFS('14_Inversiones'!$E$5:$E$203,'14_Inversiones'!$B$5:$B$203,A157,'14_Inversiones'!$D$5:$D$203,C157,'14_Inversiones'!$C$5:$C$203,"Compra")+SUMIFS('14_Inversiones'!$E$5:$E$203,'14_Inversiones'!$B$5:$B$203,A157,'14_Inversiones'!$D$5:$D$203,C157,'14_Inversiones'!$C$5:$C$203,"Aporte")+SUMIFS('14_Inversiones'!$E$5:$E$203,'14_Inversiones'!$B$5:$B$203,A157,'14_Inversiones'!$D$5:$D$203,C157,'14_Inversiones'!$C$5:$C$203,"Ajuste"))</f>
        <v/>
      </c>
      <c r="F157" s="176" t="str">
        <f>IF(A157="","",SUMIFS('14_Inversiones'!$E$5:$E$203,'14_Inversiones'!$B$5:$B$203,A157,'14_Inversiones'!$D$5:$D$203,C157,'14_Inversiones'!$C$5:$C$203,"Retiro")+SUMIFS('14_Inversiones'!$E$5:$E$203,'14_Inversiones'!$B$5:$B$203,A157,'14_Inversiones'!$D$5:$D$203,C157,'14_Inversiones'!$C$5:$C$203,"Venta"))</f>
        <v/>
      </c>
      <c r="G157" s="176" t="str">
        <f t="shared" si="24"/>
        <v/>
      </c>
      <c r="H157" s="176" t="str">
        <f>IF(A157="","",IFERROR(INDEX('09_Posicion_Actual'!$G$5:$G$204,MATCH(A157,'09_Posicion_Actual'!$B$5:$B$204,0)),0))</f>
        <v/>
      </c>
      <c r="I157" s="171" t="str">
        <f>IF(A157="","",IFERROR(INDEX('09_Posicion_Actual'!$I$5:$I$204,MATCH(A157,'09_Posicion_Actual'!$B$5:$B$204,0)),0))</f>
        <v/>
      </c>
      <c r="J157" s="176" t="str">
        <f t="shared" si="25"/>
        <v/>
      </c>
      <c r="K157" s="171" t="str">
        <f>IF(A157="","",IF(C157="USD",J157*IFERROR(INDEX('09_Posicion_Actual'!$H$5:$H$204,MATCH(A157,'09_Posicion_Actual'!$B$5:$B$204,0)),950),J157))</f>
        <v/>
      </c>
      <c r="L157" s="180" t="str">
        <f t="shared" si="26"/>
        <v/>
      </c>
      <c r="M157" s="176" t="str">
        <f>IF(A157="","",IFERROR(INDEX('09_Posicion_Actual'!$F$5:$F$204,MATCH(A157,'09_Posicion_Actual'!$B$5:$B$204,0)),""))</f>
        <v/>
      </c>
      <c r="N157" s="177" t="str">
        <f>IF(A157="","",IFERROR(INDEX('09_Posicion_Actual'!$E$5:$E$204,MATCH(A157,'09_Posicion_Actual'!$B$5:$B$204,0)),""))</f>
        <v/>
      </c>
      <c r="O157" s="131" t="str">
        <f>IF(A157="","",IFERROR(INDEX('09_Posicion_Actual'!$A$5:$A$204,MATCH(A157,'09_Posicion_Actual'!$B$5:$B$204,0)),""))</f>
        <v/>
      </c>
      <c r="P157" s="132" t="str">
        <f t="shared" si="27"/>
        <v/>
      </c>
      <c r="Q157" s="132" t="str">
        <f t="shared" si="28"/>
        <v/>
      </c>
      <c r="R157" s="132" t="str">
        <f>IF(A157="","",IFERROR(INDEX('09_Posicion_Actual'!$P$5:$P$204,MATCH(A157,'09_Posicion_Actual'!$B$5:$B$204,0)),""))</f>
        <v/>
      </c>
      <c r="S157" s="132" t="str">
        <f t="shared" si="29"/>
        <v/>
      </c>
      <c r="T157" s="132"/>
      <c r="U157" s="132"/>
      <c r="V157" s="132"/>
      <c r="W157" s="132"/>
      <c r="X157" s="132"/>
    </row>
    <row r="158" spans="1:24">
      <c r="A158" s="132"/>
      <c r="B158" s="132"/>
      <c r="C158" s="132"/>
      <c r="D158" s="132"/>
      <c r="E158" s="176" t="str">
        <f>IF(A158="","",SUMIFS('14_Inversiones'!$E$5:$E$203,'14_Inversiones'!$B$5:$B$203,A158,'14_Inversiones'!$D$5:$D$203,C158,'14_Inversiones'!$C$5:$C$203,"Compra")+SUMIFS('14_Inversiones'!$E$5:$E$203,'14_Inversiones'!$B$5:$B$203,A158,'14_Inversiones'!$D$5:$D$203,C158,'14_Inversiones'!$C$5:$C$203,"Aporte")+SUMIFS('14_Inversiones'!$E$5:$E$203,'14_Inversiones'!$B$5:$B$203,A158,'14_Inversiones'!$D$5:$D$203,C158,'14_Inversiones'!$C$5:$C$203,"Ajuste"))</f>
        <v/>
      </c>
      <c r="F158" s="176" t="str">
        <f>IF(A158="","",SUMIFS('14_Inversiones'!$E$5:$E$203,'14_Inversiones'!$B$5:$B$203,A158,'14_Inversiones'!$D$5:$D$203,C158,'14_Inversiones'!$C$5:$C$203,"Retiro")+SUMIFS('14_Inversiones'!$E$5:$E$203,'14_Inversiones'!$B$5:$B$203,A158,'14_Inversiones'!$D$5:$D$203,C158,'14_Inversiones'!$C$5:$C$203,"Venta"))</f>
        <v/>
      </c>
      <c r="G158" s="176" t="str">
        <f t="shared" si="24"/>
        <v/>
      </c>
      <c r="H158" s="176" t="str">
        <f>IF(A158="","",IFERROR(INDEX('09_Posicion_Actual'!$G$5:$G$204,MATCH(A158,'09_Posicion_Actual'!$B$5:$B$204,0)),0))</f>
        <v/>
      </c>
      <c r="I158" s="171" t="str">
        <f>IF(A158="","",IFERROR(INDEX('09_Posicion_Actual'!$I$5:$I$204,MATCH(A158,'09_Posicion_Actual'!$B$5:$B$204,0)),0))</f>
        <v/>
      </c>
      <c r="J158" s="176" t="str">
        <f t="shared" si="25"/>
        <v/>
      </c>
      <c r="K158" s="171" t="str">
        <f>IF(A158="","",IF(C158="USD",J158*IFERROR(INDEX('09_Posicion_Actual'!$H$5:$H$204,MATCH(A158,'09_Posicion_Actual'!$B$5:$B$204,0)),950),J158))</f>
        <v/>
      </c>
      <c r="L158" s="180" t="str">
        <f t="shared" si="26"/>
        <v/>
      </c>
      <c r="M158" s="176" t="str">
        <f>IF(A158="","",IFERROR(INDEX('09_Posicion_Actual'!$F$5:$F$204,MATCH(A158,'09_Posicion_Actual'!$B$5:$B$204,0)),""))</f>
        <v/>
      </c>
      <c r="N158" s="177" t="str">
        <f>IF(A158="","",IFERROR(INDEX('09_Posicion_Actual'!$E$5:$E$204,MATCH(A158,'09_Posicion_Actual'!$B$5:$B$204,0)),""))</f>
        <v/>
      </c>
      <c r="O158" s="131" t="str">
        <f>IF(A158="","",IFERROR(INDEX('09_Posicion_Actual'!$A$5:$A$204,MATCH(A158,'09_Posicion_Actual'!$B$5:$B$204,0)),""))</f>
        <v/>
      </c>
      <c r="P158" s="132" t="str">
        <f t="shared" si="27"/>
        <v/>
      </c>
      <c r="Q158" s="132" t="str">
        <f t="shared" si="28"/>
        <v/>
      </c>
      <c r="R158" s="132" t="str">
        <f>IF(A158="","",IFERROR(INDEX('09_Posicion_Actual'!$P$5:$P$204,MATCH(A158,'09_Posicion_Actual'!$B$5:$B$204,0)),""))</f>
        <v/>
      </c>
      <c r="S158" s="132" t="str">
        <f t="shared" si="29"/>
        <v/>
      </c>
      <c r="T158" s="132"/>
      <c r="U158" s="132"/>
      <c r="V158" s="132"/>
      <c r="W158" s="132"/>
      <c r="X158" s="132"/>
    </row>
    <row r="159" spans="1:24">
      <c r="A159" s="132"/>
      <c r="B159" s="132"/>
      <c r="C159" s="132"/>
      <c r="D159" s="132"/>
      <c r="E159" s="176" t="str">
        <f>IF(A159="","",SUMIFS('14_Inversiones'!$E$5:$E$203,'14_Inversiones'!$B$5:$B$203,A159,'14_Inversiones'!$D$5:$D$203,C159,'14_Inversiones'!$C$5:$C$203,"Compra")+SUMIFS('14_Inversiones'!$E$5:$E$203,'14_Inversiones'!$B$5:$B$203,A159,'14_Inversiones'!$D$5:$D$203,C159,'14_Inversiones'!$C$5:$C$203,"Aporte")+SUMIFS('14_Inversiones'!$E$5:$E$203,'14_Inversiones'!$B$5:$B$203,A159,'14_Inversiones'!$D$5:$D$203,C159,'14_Inversiones'!$C$5:$C$203,"Ajuste"))</f>
        <v/>
      </c>
      <c r="F159" s="176" t="str">
        <f>IF(A159="","",SUMIFS('14_Inversiones'!$E$5:$E$203,'14_Inversiones'!$B$5:$B$203,A159,'14_Inversiones'!$D$5:$D$203,C159,'14_Inversiones'!$C$5:$C$203,"Retiro")+SUMIFS('14_Inversiones'!$E$5:$E$203,'14_Inversiones'!$B$5:$B$203,A159,'14_Inversiones'!$D$5:$D$203,C159,'14_Inversiones'!$C$5:$C$203,"Venta"))</f>
        <v/>
      </c>
      <c r="G159" s="176" t="str">
        <f t="shared" si="24"/>
        <v/>
      </c>
      <c r="H159" s="176" t="str">
        <f>IF(A159="","",IFERROR(INDEX('09_Posicion_Actual'!$G$5:$G$204,MATCH(A159,'09_Posicion_Actual'!$B$5:$B$204,0)),0))</f>
        <v/>
      </c>
      <c r="I159" s="171" t="str">
        <f>IF(A159="","",IFERROR(INDEX('09_Posicion_Actual'!$I$5:$I$204,MATCH(A159,'09_Posicion_Actual'!$B$5:$B$204,0)),0))</f>
        <v/>
      </c>
      <c r="J159" s="176" t="str">
        <f t="shared" si="25"/>
        <v/>
      </c>
      <c r="K159" s="171" t="str">
        <f>IF(A159="","",IF(C159="USD",J159*IFERROR(INDEX('09_Posicion_Actual'!$H$5:$H$204,MATCH(A159,'09_Posicion_Actual'!$B$5:$B$204,0)),950),J159))</f>
        <v/>
      </c>
      <c r="L159" s="180" t="str">
        <f t="shared" si="26"/>
        <v/>
      </c>
      <c r="M159" s="176" t="str">
        <f>IF(A159="","",IFERROR(INDEX('09_Posicion_Actual'!$F$5:$F$204,MATCH(A159,'09_Posicion_Actual'!$B$5:$B$204,0)),""))</f>
        <v/>
      </c>
      <c r="N159" s="177" t="str">
        <f>IF(A159="","",IFERROR(INDEX('09_Posicion_Actual'!$E$5:$E$204,MATCH(A159,'09_Posicion_Actual'!$B$5:$B$204,0)),""))</f>
        <v/>
      </c>
      <c r="O159" s="131" t="str">
        <f>IF(A159="","",IFERROR(INDEX('09_Posicion_Actual'!$A$5:$A$204,MATCH(A159,'09_Posicion_Actual'!$B$5:$B$204,0)),""))</f>
        <v/>
      </c>
      <c r="P159" s="132" t="str">
        <f t="shared" si="27"/>
        <v/>
      </c>
      <c r="Q159" s="132" t="str">
        <f t="shared" si="28"/>
        <v/>
      </c>
      <c r="R159" s="132" t="str">
        <f>IF(A159="","",IFERROR(INDEX('09_Posicion_Actual'!$P$5:$P$204,MATCH(A159,'09_Posicion_Actual'!$B$5:$B$204,0)),""))</f>
        <v/>
      </c>
      <c r="S159" s="132" t="str">
        <f t="shared" si="29"/>
        <v/>
      </c>
      <c r="T159" s="132"/>
      <c r="U159" s="132"/>
      <c r="V159" s="132"/>
      <c r="W159" s="132"/>
      <c r="X159" s="132"/>
    </row>
    <row r="160" spans="1:24">
      <c r="A160" s="132"/>
      <c r="B160" s="132"/>
      <c r="C160" s="132"/>
      <c r="D160" s="132"/>
      <c r="E160" s="176" t="str">
        <f>IF(A160="","",SUMIFS('14_Inversiones'!$E$5:$E$203,'14_Inversiones'!$B$5:$B$203,A160,'14_Inversiones'!$D$5:$D$203,C160,'14_Inversiones'!$C$5:$C$203,"Compra")+SUMIFS('14_Inversiones'!$E$5:$E$203,'14_Inversiones'!$B$5:$B$203,A160,'14_Inversiones'!$D$5:$D$203,C160,'14_Inversiones'!$C$5:$C$203,"Aporte")+SUMIFS('14_Inversiones'!$E$5:$E$203,'14_Inversiones'!$B$5:$B$203,A160,'14_Inversiones'!$D$5:$D$203,C160,'14_Inversiones'!$C$5:$C$203,"Ajuste"))</f>
        <v/>
      </c>
      <c r="F160" s="176" t="str">
        <f>IF(A160="","",SUMIFS('14_Inversiones'!$E$5:$E$203,'14_Inversiones'!$B$5:$B$203,A160,'14_Inversiones'!$D$5:$D$203,C160,'14_Inversiones'!$C$5:$C$203,"Retiro")+SUMIFS('14_Inversiones'!$E$5:$E$203,'14_Inversiones'!$B$5:$B$203,A160,'14_Inversiones'!$D$5:$D$203,C160,'14_Inversiones'!$C$5:$C$203,"Venta"))</f>
        <v/>
      </c>
      <c r="G160" s="176" t="str">
        <f t="shared" si="24"/>
        <v/>
      </c>
      <c r="H160" s="176" t="str">
        <f>IF(A160="","",IFERROR(INDEX('09_Posicion_Actual'!$G$5:$G$204,MATCH(A160,'09_Posicion_Actual'!$B$5:$B$204,0)),0))</f>
        <v/>
      </c>
      <c r="I160" s="171" t="str">
        <f>IF(A160="","",IFERROR(INDEX('09_Posicion_Actual'!$I$5:$I$204,MATCH(A160,'09_Posicion_Actual'!$B$5:$B$204,0)),0))</f>
        <v/>
      </c>
      <c r="J160" s="176" t="str">
        <f t="shared" si="25"/>
        <v/>
      </c>
      <c r="K160" s="171" t="str">
        <f>IF(A160="","",IF(C160="USD",J160*IFERROR(INDEX('09_Posicion_Actual'!$H$5:$H$204,MATCH(A160,'09_Posicion_Actual'!$B$5:$B$204,0)),950),J160))</f>
        <v/>
      </c>
      <c r="L160" s="180" t="str">
        <f t="shared" si="26"/>
        <v/>
      </c>
      <c r="M160" s="176" t="str">
        <f>IF(A160="","",IFERROR(INDEX('09_Posicion_Actual'!$F$5:$F$204,MATCH(A160,'09_Posicion_Actual'!$B$5:$B$204,0)),""))</f>
        <v/>
      </c>
      <c r="N160" s="177" t="str">
        <f>IF(A160="","",IFERROR(INDEX('09_Posicion_Actual'!$E$5:$E$204,MATCH(A160,'09_Posicion_Actual'!$B$5:$B$204,0)),""))</f>
        <v/>
      </c>
      <c r="O160" s="131" t="str">
        <f>IF(A160="","",IFERROR(INDEX('09_Posicion_Actual'!$A$5:$A$204,MATCH(A160,'09_Posicion_Actual'!$B$5:$B$204,0)),""))</f>
        <v/>
      </c>
      <c r="P160" s="132" t="str">
        <f t="shared" si="27"/>
        <v/>
      </c>
      <c r="Q160" s="132" t="str">
        <f t="shared" si="28"/>
        <v/>
      </c>
      <c r="R160" s="132" t="str">
        <f>IF(A160="","",IFERROR(INDEX('09_Posicion_Actual'!$P$5:$P$204,MATCH(A160,'09_Posicion_Actual'!$B$5:$B$204,0)),""))</f>
        <v/>
      </c>
      <c r="S160" s="132" t="str">
        <f t="shared" si="29"/>
        <v/>
      </c>
      <c r="T160" s="132"/>
      <c r="U160" s="132"/>
      <c r="V160" s="132"/>
      <c r="W160" s="132"/>
      <c r="X160" s="132"/>
    </row>
    <row r="161" spans="1:24">
      <c r="A161" s="132"/>
      <c r="B161" s="132"/>
      <c r="C161" s="132"/>
      <c r="D161" s="132"/>
      <c r="E161" s="176" t="str">
        <f>IF(A161="","",SUMIFS('14_Inversiones'!$E$5:$E$203,'14_Inversiones'!$B$5:$B$203,A161,'14_Inversiones'!$D$5:$D$203,C161,'14_Inversiones'!$C$5:$C$203,"Compra")+SUMIFS('14_Inversiones'!$E$5:$E$203,'14_Inversiones'!$B$5:$B$203,A161,'14_Inversiones'!$D$5:$D$203,C161,'14_Inversiones'!$C$5:$C$203,"Aporte")+SUMIFS('14_Inversiones'!$E$5:$E$203,'14_Inversiones'!$B$5:$B$203,A161,'14_Inversiones'!$D$5:$D$203,C161,'14_Inversiones'!$C$5:$C$203,"Ajuste"))</f>
        <v/>
      </c>
      <c r="F161" s="176" t="str">
        <f>IF(A161="","",SUMIFS('14_Inversiones'!$E$5:$E$203,'14_Inversiones'!$B$5:$B$203,A161,'14_Inversiones'!$D$5:$D$203,C161,'14_Inversiones'!$C$5:$C$203,"Retiro")+SUMIFS('14_Inversiones'!$E$5:$E$203,'14_Inversiones'!$B$5:$B$203,A161,'14_Inversiones'!$D$5:$D$203,C161,'14_Inversiones'!$C$5:$C$203,"Venta"))</f>
        <v/>
      </c>
      <c r="G161" s="176" t="str">
        <f t="shared" si="24"/>
        <v/>
      </c>
      <c r="H161" s="176" t="str">
        <f>IF(A161="","",IFERROR(INDEX('09_Posicion_Actual'!$G$5:$G$204,MATCH(A161,'09_Posicion_Actual'!$B$5:$B$204,0)),0))</f>
        <v/>
      </c>
      <c r="I161" s="171" t="str">
        <f>IF(A161="","",IFERROR(INDEX('09_Posicion_Actual'!$I$5:$I$204,MATCH(A161,'09_Posicion_Actual'!$B$5:$B$204,0)),0))</f>
        <v/>
      </c>
      <c r="J161" s="176" t="str">
        <f t="shared" si="25"/>
        <v/>
      </c>
      <c r="K161" s="171" t="str">
        <f>IF(A161="","",IF(C161="USD",J161*IFERROR(INDEX('09_Posicion_Actual'!$H$5:$H$204,MATCH(A161,'09_Posicion_Actual'!$B$5:$B$204,0)),950),J161))</f>
        <v/>
      </c>
      <c r="L161" s="180" t="str">
        <f t="shared" si="26"/>
        <v/>
      </c>
      <c r="M161" s="176" t="str">
        <f>IF(A161="","",IFERROR(INDEX('09_Posicion_Actual'!$F$5:$F$204,MATCH(A161,'09_Posicion_Actual'!$B$5:$B$204,0)),""))</f>
        <v/>
      </c>
      <c r="N161" s="177" t="str">
        <f>IF(A161="","",IFERROR(INDEX('09_Posicion_Actual'!$E$5:$E$204,MATCH(A161,'09_Posicion_Actual'!$B$5:$B$204,0)),""))</f>
        <v/>
      </c>
      <c r="O161" s="131" t="str">
        <f>IF(A161="","",IFERROR(INDEX('09_Posicion_Actual'!$A$5:$A$204,MATCH(A161,'09_Posicion_Actual'!$B$5:$B$204,0)),""))</f>
        <v/>
      </c>
      <c r="P161" s="132" t="str">
        <f t="shared" si="27"/>
        <v/>
      </c>
      <c r="Q161" s="132" t="str">
        <f t="shared" si="28"/>
        <v/>
      </c>
      <c r="R161" s="132" t="str">
        <f>IF(A161="","",IFERROR(INDEX('09_Posicion_Actual'!$P$5:$P$204,MATCH(A161,'09_Posicion_Actual'!$B$5:$B$204,0)),""))</f>
        <v/>
      </c>
      <c r="S161" s="132" t="str">
        <f t="shared" si="29"/>
        <v/>
      </c>
      <c r="T161" s="132"/>
      <c r="U161" s="132"/>
      <c r="V161" s="132"/>
      <c r="W161" s="132"/>
      <c r="X161" s="132"/>
    </row>
    <row r="162" spans="1:24">
      <c r="A162" s="132"/>
      <c r="B162" s="132"/>
      <c r="C162" s="132"/>
      <c r="D162" s="132"/>
      <c r="E162" s="176" t="str">
        <f>IF(A162="","",SUMIFS('14_Inversiones'!$E$5:$E$203,'14_Inversiones'!$B$5:$B$203,A162,'14_Inversiones'!$D$5:$D$203,C162,'14_Inversiones'!$C$5:$C$203,"Compra")+SUMIFS('14_Inversiones'!$E$5:$E$203,'14_Inversiones'!$B$5:$B$203,A162,'14_Inversiones'!$D$5:$D$203,C162,'14_Inversiones'!$C$5:$C$203,"Aporte")+SUMIFS('14_Inversiones'!$E$5:$E$203,'14_Inversiones'!$B$5:$B$203,A162,'14_Inversiones'!$D$5:$D$203,C162,'14_Inversiones'!$C$5:$C$203,"Ajuste"))</f>
        <v/>
      </c>
      <c r="F162" s="176" t="str">
        <f>IF(A162="","",SUMIFS('14_Inversiones'!$E$5:$E$203,'14_Inversiones'!$B$5:$B$203,A162,'14_Inversiones'!$D$5:$D$203,C162,'14_Inversiones'!$C$5:$C$203,"Retiro")+SUMIFS('14_Inversiones'!$E$5:$E$203,'14_Inversiones'!$B$5:$B$203,A162,'14_Inversiones'!$D$5:$D$203,C162,'14_Inversiones'!$C$5:$C$203,"Venta"))</f>
        <v/>
      </c>
      <c r="G162" s="176" t="str">
        <f t="shared" si="24"/>
        <v/>
      </c>
      <c r="H162" s="176" t="str">
        <f>IF(A162="","",IFERROR(INDEX('09_Posicion_Actual'!$G$5:$G$204,MATCH(A162,'09_Posicion_Actual'!$B$5:$B$204,0)),0))</f>
        <v/>
      </c>
      <c r="I162" s="171" t="str">
        <f>IF(A162="","",IFERROR(INDEX('09_Posicion_Actual'!$I$5:$I$204,MATCH(A162,'09_Posicion_Actual'!$B$5:$B$204,0)),0))</f>
        <v/>
      </c>
      <c r="J162" s="176" t="str">
        <f t="shared" si="25"/>
        <v/>
      </c>
      <c r="K162" s="171" t="str">
        <f>IF(A162="","",IF(C162="USD",J162*IFERROR(INDEX('09_Posicion_Actual'!$H$5:$H$204,MATCH(A162,'09_Posicion_Actual'!$B$5:$B$204,0)),950),J162))</f>
        <v/>
      </c>
      <c r="L162" s="180" t="str">
        <f t="shared" si="26"/>
        <v/>
      </c>
      <c r="M162" s="176" t="str">
        <f>IF(A162="","",IFERROR(INDEX('09_Posicion_Actual'!$F$5:$F$204,MATCH(A162,'09_Posicion_Actual'!$B$5:$B$204,0)),""))</f>
        <v/>
      </c>
      <c r="N162" s="177" t="str">
        <f>IF(A162="","",IFERROR(INDEX('09_Posicion_Actual'!$E$5:$E$204,MATCH(A162,'09_Posicion_Actual'!$B$5:$B$204,0)),""))</f>
        <v/>
      </c>
      <c r="O162" s="131" t="str">
        <f>IF(A162="","",IFERROR(INDEX('09_Posicion_Actual'!$A$5:$A$204,MATCH(A162,'09_Posicion_Actual'!$B$5:$B$204,0)),""))</f>
        <v/>
      </c>
      <c r="P162" s="132" t="str">
        <f t="shared" si="27"/>
        <v/>
      </c>
      <c r="Q162" s="132" t="str">
        <f t="shared" si="28"/>
        <v/>
      </c>
      <c r="R162" s="132" t="str">
        <f>IF(A162="","",IFERROR(INDEX('09_Posicion_Actual'!$P$5:$P$204,MATCH(A162,'09_Posicion_Actual'!$B$5:$B$204,0)),""))</f>
        <v/>
      </c>
      <c r="S162" s="132" t="str">
        <f t="shared" si="29"/>
        <v/>
      </c>
      <c r="T162" s="132"/>
      <c r="U162" s="132"/>
      <c r="V162" s="132"/>
      <c r="W162" s="132"/>
      <c r="X162" s="132"/>
    </row>
    <row r="163" spans="1:24">
      <c r="A163" s="132"/>
      <c r="B163" s="132"/>
      <c r="C163" s="132"/>
      <c r="D163" s="132"/>
      <c r="E163" s="176" t="str">
        <f>IF(A163="","",SUMIFS('14_Inversiones'!$E$5:$E$203,'14_Inversiones'!$B$5:$B$203,A163,'14_Inversiones'!$D$5:$D$203,C163,'14_Inversiones'!$C$5:$C$203,"Compra")+SUMIFS('14_Inversiones'!$E$5:$E$203,'14_Inversiones'!$B$5:$B$203,A163,'14_Inversiones'!$D$5:$D$203,C163,'14_Inversiones'!$C$5:$C$203,"Aporte")+SUMIFS('14_Inversiones'!$E$5:$E$203,'14_Inversiones'!$B$5:$B$203,A163,'14_Inversiones'!$D$5:$D$203,C163,'14_Inversiones'!$C$5:$C$203,"Ajuste"))</f>
        <v/>
      </c>
      <c r="F163" s="176" t="str">
        <f>IF(A163="","",SUMIFS('14_Inversiones'!$E$5:$E$203,'14_Inversiones'!$B$5:$B$203,A163,'14_Inversiones'!$D$5:$D$203,C163,'14_Inversiones'!$C$5:$C$203,"Retiro")+SUMIFS('14_Inversiones'!$E$5:$E$203,'14_Inversiones'!$B$5:$B$203,A163,'14_Inversiones'!$D$5:$D$203,C163,'14_Inversiones'!$C$5:$C$203,"Venta"))</f>
        <v/>
      </c>
      <c r="G163" s="176" t="str">
        <f t="shared" si="24"/>
        <v/>
      </c>
      <c r="H163" s="176" t="str">
        <f>IF(A163="","",IFERROR(INDEX('09_Posicion_Actual'!$G$5:$G$204,MATCH(A163,'09_Posicion_Actual'!$B$5:$B$204,0)),0))</f>
        <v/>
      </c>
      <c r="I163" s="171" t="str">
        <f>IF(A163="","",IFERROR(INDEX('09_Posicion_Actual'!$I$5:$I$204,MATCH(A163,'09_Posicion_Actual'!$B$5:$B$204,0)),0))</f>
        <v/>
      </c>
      <c r="J163" s="176" t="str">
        <f t="shared" si="25"/>
        <v/>
      </c>
      <c r="K163" s="171" t="str">
        <f>IF(A163="","",IF(C163="USD",J163*IFERROR(INDEX('09_Posicion_Actual'!$H$5:$H$204,MATCH(A163,'09_Posicion_Actual'!$B$5:$B$204,0)),950),J163))</f>
        <v/>
      </c>
      <c r="L163" s="180" t="str">
        <f t="shared" si="26"/>
        <v/>
      </c>
      <c r="M163" s="176" t="str">
        <f>IF(A163="","",IFERROR(INDEX('09_Posicion_Actual'!$F$5:$F$204,MATCH(A163,'09_Posicion_Actual'!$B$5:$B$204,0)),""))</f>
        <v/>
      </c>
      <c r="N163" s="177" t="str">
        <f>IF(A163="","",IFERROR(INDEX('09_Posicion_Actual'!$E$5:$E$204,MATCH(A163,'09_Posicion_Actual'!$B$5:$B$204,0)),""))</f>
        <v/>
      </c>
      <c r="O163" s="131" t="str">
        <f>IF(A163="","",IFERROR(INDEX('09_Posicion_Actual'!$A$5:$A$204,MATCH(A163,'09_Posicion_Actual'!$B$5:$B$204,0)),""))</f>
        <v/>
      </c>
      <c r="P163" s="132" t="str">
        <f t="shared" si="27"/>
        <v/>
      </c>
      <c r="Q163" s="132" t="str">
        <f t="shared" si="28"/>
        <v/>
      </c>
      <c r="R163" s="132" t="str">
        <f>IF(A163="","",IFERROR(INDEX('09_Posicion_Actual'!$P$5:$P$204,MATCH(A163,'09_Posicion_Actual'!$B$5:$B$204,0)),""))</f>
        <v/>
      </c>
      <c r="S163" s="132" t="str">
        <f t="shared" si="29"/>
        <v/>
      </c>
      <c r="T163" s="132"/>
      <c r="U163" s="132"/>
      <c r="V163" s="132"/>
      <c r="W163" s="132"/>
      <c r="X163" s="132"/>
    </row>
    <row r="164" spans="1:24">
      <c r="A164" s="132"/>
      <c r="B164" s="132"/>
      <c r="C164" s="132"/>
      <c r="D164" s="132"/>
      <c r="E164" s="176" t="str">
        <f>IF(A164="","",SUMIFS('14_Inversiones'!$E$5:$E$203,'14_Inversiones'!$B$5:$B$203,A164,'14_Inversiones'!$D$5:$D$203,C164,'14_Inversiones'!$C$5:$C$203,"Compra")+SUMIFS('14_Inversiones'!$E$5:$E$203,'14_Inversiones'!$B$5:$B$203,A164,'14_Inversiones'!$D$5:$D$203,C164,'14_Inversiones'!$C$5:$C$203,"Aporte")+SUMIFS('14_Inversiones'!$E$5:$E$203,'14_Inversiones'!$B$5:$B$203,A164,'14_Inversiones'!$D$5:$D$203,C164,'14_Inversiones'!$C$5:$C$203,"Ajuste"))</f>
        <v/>
      </c>
      <c r="F164" s="176" t="str">
        <f>IF(A164="","",SUMIFS('14_Inversiones'!$E$5:$E$203,'14_Inversiones'!$B$5:$B$203,A164,'14_Inversiones'!$D$5:$D$203,C164,'14_Inversiones'!$C$5:$C$203,"Retiro")+SUMIFS('14_Inversiones'!$E$5:$E$203,'14_Inversiones'!$B$5:$B$203,A164,'14_Inversiones'!$D$5:$D$203,C164,'14_Inversiones'!$C$5:$C$203,"Venta"))</f>
        <v/>
      </c>
      <c r="G164" s="176" t="str">
        <f t="shared" si="24"/>
        <v/>
      </c>
      <c r="H164" s="176" t="str">
        <f>IF(A164="","",IFERROR(INDEX('09_Posicion_Actual'!$G$5:$G$204,MATCH(A164,'09_Posicion_Actual'!$B$5:$B$204,0)),0))</f>
        <v/>
      </c>
      <c r="I164" s="171" t="str">
        <f>IF(A164="","",IFERROR(INDEX('09_Posicion_Actual'!$I$5:$I$204,MATCH(A164,'09_Posicion_Actual'!$B$5:$B$204,0)),0))</f>
        <v/>
      </c>
      <c r="J164" s="176" t="str">
        <f t="shared" si="25"/>
        <v/>
      </c>
      <c r="K164" s="171" t="str">
        <f>IF(A164="","",IF(C164="USD",J164*IFERROR(INDEX('09_Posicion_Actual'!$H$5:$H$204,MATCH(A164,'09_Posicion_Actual'!$B$5:$B$204,0)),950),J164))</f>
        <v/>
      </c>
      <c r="L164" s="180" t="str">
        <f t="shared" si="26"/>
        <v/>
      </c>
      <c r="M164" s="176" t="str">
        <f>IF(A164="","",IFERROR(INDEX('09_Posicion_Actual'!$F$5:$F$204,MATCH(A164,'09_Posicion_Actual'!$B$5:$B$204,0)),""))</f>
        <v/>
      </c>
      <c r="N164" s="177" t="str">
        <f>IF(A164="","",IFERROR(INDEX('09_Posicion_Actual'!$E$5:$E$204,MATCH(A164,'09_Posicion_Actual'!$B$5:$B$204,0)),""))</f>
        <v/>
      </c>
      <c r="O164" s="131" t="str">
        <f>IF(A164="","",IFERROR(INDEX('09_Posicion_Actual'!$A$5:$A$204,MATCH(A164,'09_Posicion_Actual'!$B$5:$B$204,0)),""))</f>
        <v/>
      </c>
      <c r="P164" s="132" t="str">
        <f t="shared" si="27"/>
        <v/>
      </c>
      <c r="Q164" s="132" t="str">
        <f t="shared" si="28"/>
        <v/>
      </c>
      <c r="R164" s="132" t="str">
        <f>IF(A164="","",IFERROR(INDEX('09_Posicion_Actual'!$P$5:$P$204,MATCH(A164,'09_Posicion_Actual'!$B$5:$B$204,0)),""))</f>
        <v/>
      </c>
      <c r="S164" s="132" t="str">
        <f t="shared" si="29"/>
        <v/>
      </c>
      <c r="T164" s="132"/>
      <c r="U164" s="132"/>
      <c r="V164" s="132"/>
      <c r="W164" s="132"/>
      <c r="X164" s="132"/>
    </row>
    <row r="165" spans="1:24">
      <c r="A165" s="132"/>
      <c r="B165" s="132"/>
      <c r="C165" s="132"/>
      <c r="D165" s="132"/>
      <c r="E165" s="176" t="str">
        <f>IF(A165="","",SUMIFS('14_Inversiones'!$E$5:$E$203,'14_Inversiones'!$B$5:$B$203,A165,'14_Inversiones'!$D$5:$D$203,C165,'14_Inversiones'!$C$5:$C$203,"Compra")+SUMIFS('14_Inversiones'!$E$5:$E$203,'14_Inversiones'!$B$5:$B$203,A165,'14_Inversiones'!$D$5:$D$203,C165,'14_Inversiones'!$C$5:$C$203,"Aporte")+SUMIFS('14_Inversiones'!$E$5:$E$203,'14_Inversiones'!$B$5:$B$203,A165,'14_Inversiones'!$D$5:$D$203,C165,'14_Inversiones'!$C$5:$C$203,"Ajuste"))</f>
        <v/>
      </c>
      <c r="F165" s="176" t="str">
        <f>IF(A165="","",SUMIFS('14_Inversiones'!$E$5:$E$203,'14_Inversiones'!$B$5:$B$203,A165,'14_Inversiones'!$D$5:$D$203,C165,'14_Inversiones'!$C$5:$C$203,"Retiro")+SUMIFS('14_Inversiones'!$E$5:$E$203,'14_Inversiones'!$B$5:$B$203,A165,'14_Inversiones'!$D$5:$D$203,C165,'14_Inversiones'!$C$5:$C$203,"Venta"))</f>
        <v/>
      </c>
      <c r="G165" s="176" t="str">
        <f t="shared" ref="G165:G196" si="30">IF(A165="","",E165-F165)</f>
        <v/>
      </c>
      <c r="H165" s="176" t="str">
        <f>IF(A165="","",IFERROR(INDEX('09_Posicion_Actual'!$G$5:$G$204,MATCH(A165,'09_Posicion_Actual'!$B$5:$B$204,0)),0))</f>
        <v/>
      </c>
      <c r="I165" s="171" t="str">
        <f>IF(A165="","",IFERROR(INDEX('09_Posicion_Actual'!$I$5:$I$204,MATCH(A165,'09_Posicion_Actual'!$B$5:$B$204,0)),0))</f>
        <v/>
      </c>
      <c r="J165" s="176" t="str">
        <f t="shared" ref="J165:J196" si="31">IF(A165="","",H165-G165)</f>
        <v/>
      </c>
      <c r="K165" s="171" t="str">
        <f>IF(A165="","",IF(C165="USD",J165*IFERROR(INDEX('09_Posicion_Actual'!$H$5:$H$204,MATCH(A165,'09_Posicion_Actual'!$B$5:$B$204,0)),950),J165))</f>
        <v/>
      </c>
      <c r="L165" s="180" t="str">
        <f t="shared" ref="L165:L196" si="32">IF(OR(A165="",G165&lt;=0),"",J165/G165)</f>
        <v/>
      </c>
      <c r="M165" s="176" t="str">
        <f>IF(A165="","",IFERROR(INDEX('09_Posicion_Actual'!$F$5:$F$204,MATCH(A165,'09_Posicion_Actual'!$B$5:$B$204,0)),""))</f>
        <v/>
      </c>
      <c r="N165" s="177" t="str">
        <f>IF(A165="","",IFERROR(INDEX('09_Posicion_Actual'!$E$5:$E$204,MATCH(A165,'09_Posicion_Actual'!$B$5:$B$204,0)),""))</f>
        <v/>
      </c>
      <c r="O165" s="131" t="str">
        <f>IF(A165="","",IFERROR(INDEX('09_Posicion_Actual'!$A$5:$A$204,MATCH(A165,'09_Posicion_Actual'!$B$5:$B$204,0)),""))</f>
        <v/>
      </c>
      <c r="P165" s="132" t="str">
        <f t="shared" ref="P165:P196" si="33">IF(A165="","",IF(G165&lt;=0,"🟡 Revisar aporte",IF(J165&gt;0,"🟢 Ganancia",IF(J165&lt;0,"🔴 Pérdida","🟡 Neutra"))))</f>
        <v/>
      </c>
      <c r="Q165" s="132" t="str">
        <f t="shared" ref="Q165:Q196" si="34">IF(A165="","","Rentabilidad acumulada desde aportes registrados; no diaria ni mensual")</f>
        <v/>
      </c>
      <c r="R165" s="132" t="str">
        <f>IF(A165="","",IFERROR(INDEX('09_Posicion_Actual'!$P$5:$P$204,MATCH(A165,'09_Posicion_Actual'!$B$5:$B$204,0)),""))</f>
        <v/>
      </c>
      <c r="S165" s="132" t="str">
        <f t="shared" ref="S165:S196" si="35">IF(A165="","","14_Inversiones + 09_Posicion_Actual")</f>
        <v/>
      </c>
      <c r="T165" s="132"/>
      <c r="U165" s="132"/>
      <c r="V165" s="132"/>
      <c r="W165" s="132"/>
      <c r="X165" s="132"/>
    </row>
    <row r="166" spans="1:24">
      <c r="A166" s="132"/>
      <c r="B166" s="132"/>
      <c r="C166" s="132"/>
      <c r="D166" s="132"/>
      <c r="E166" s="176" t="str">
        <f>IF(A166="","",SUMIFS('14_Inversiones'!$E$5:$E$203,'14_Inversiones'!$B$5:$B$203,A166,'14_Inversiones'!$D$5:$D$203,C166,'14_Inversiones'!$C$5:$C$203,"Compra")+SUMIFS('14_Inversiones'!$E$5:$E$203,'14_Inversiones'!$B$5:$B$203,A166,'14_Inversiones'!$D$5:$D$203,C166,'14_Inversiones'!$C$5:$C$203,"Aporte")+SUMIFS('14_Inversiones'!$E$5:$E$203,'14_Inversiones'!$B$5:$B$203,A166,'14_Inversiones'!$D$5:$D$203,C166,'14_Inversiones'!$C$5:$C$203,"Ajuste"))</f>
        <v/>
      </c>
      <c r="F166" s="176" t="str">
        <f>IF(A166="","",SUMIFS('14_Inversiones'!$E$5:$E$203,'14_Inversiones'!$B$5:$B$203,A166,'14_Inversiones'!$D$5:$D$203,C166,'14_Inversiones'!$C$5:$C$203,"Retiro")+SUMIFS('14_Inversiones'!$E$5:$E$203,'14_Inversiones'!$B$5:$B$203,A166,'14_Inversiones'!$D$5:$D$203,C166,'14_Inversiones'!$C$5:$C$203,"Venta"))</f>
        <v/>
      </c>
      <c r="G166" s="176" t="str">
        <f t="shared" si="30"/>
        <v/>
      </c>
      <c r="H166" s="176" t="str">
        <f>IF(A166="","",IFERROR(INDEX('09_Posicion_Actual'!$G$5:$G$204,MATCH(A166,'09_Posicion_Actual'!$B$5:$B$204,0)),0))</f>
        <v/>
      </c>
      <c r="I166" s="171" t="str">
        <f>IF(A166="","",IFERROR(INDEX('09_Posicion_Actual'!$I$5:$I$204,MATCH(A166,'09_Posicion_Actual'!$B$5:$B$204,0)),0))</f>
        <v/>
      </c>
      <c r="J166" s="176" t="str">
        <f t="shared" si="31"/>
        <v/>
      </c>
      <c r="K166" s="171" t="str">
        <f>IF(A166="","",IF(C166="USD",J166*IFERROR(INDEX('09_Posicion_Actual'!$H$5:$H$204,MATCH(A166,'09_Posicion_Actual'!$B$5:$B$204,0)),950),J166))</f>
        <v/>
      </c>
      <c r="L166" s="180" t="str">
        <f t="shared" si="32"/>
        <v/>
      </c>
      <c r="M166" s="176" t="str">
        <f>IF(A166="","",IFERROR(INDEX('09_Posicion_Actual'!$F$5:$F$204,MATCH(A166,'09_Posicion_Actual'!$B$5:$B$204,0)),""))</f>
        <v/>
      </c>
      <c r="N166" s="177" t="str">
        <f>IF(A166="","",IFERROR(INDEX('09_Posicion_Actual'!$E$5:$E$204,MATCH(A166,'09_Posicion_Actual'!$B$5:$B$204,0)),""))</f>
        <v/>
      </c>
      <c r="O166" s="131" t="str">
        <f>IF(A166="","",IFERROR(INDEX('09_Posicion_Actual'!$A$5:$A$204,MATCH(A166,'09_Posicion_Actual'!$B$5:$B$204,0)),""))</f>
        <v/>
      </c>
      <c r="P166" s="132" t="str">
        <f t="shared" si="33"/>
        <v/>
      </c>
      <c r="Q166" s="132" t="str">
        <f t="shared" si="34"/>
        <v/>
      </c>
      <c r="R166" s="132" t="str">
        <f>IF(A166="","",IFERROR(INDEX('09_Posicion_Actual'!$P$5:$P$204,MATCH(A166,'09_Posicion_Actual'!$B$5:$B$204,0)),""))</f>
        <v/>
      </c>
      <c r="S166" s="132" t="str">
        <f t="shared" si="35"/>
        <v/>
      </c>
      <c r="T166" s="132"/>
      <c r="U166" s="132"/>
      <c r="V166" s="132"/>
      <c r="W166" s="132"/>
      <c r="X166" s="132"/>
    </row>
    <row r="167" spans="1:24">
      <c r="A167" s="132"/>
      <c r="B167" s="132"/>
      <c r="C167" s="132"/>
      <c r="D167" s="132"/>
      <c r="E167" s="176" t="str">
        <f>IF(A167="","",SUMIFS('14_Inversiones'!$E$5:$E$203,'14_Inversiones'!$B$5:$B$203,A167,'14_Inversiones'!$D$5:$D$203,C167,'14_Inversiones'!$C$5:$C$203,"Compra")+SUMIFS('14_Inversiones'!$E$5:$E$203,'14_Inversiones'!$B$5:$B$203,A167,'14_Inversiones'!$D$5:$D$203,C167,'14_Inversiones'!$C$5:$C$203,"Aporte")+SUMIFS('14_Inversiones'!$E$5:$E$203,'14_Inversiones'!$B$5:$B$203,A167,'14_Inversiones'!$D$5:$D$203,C167,'14_Inversiones'!$C$5:$C$203,"Ajuste"))</f>
        <v/>
      </c>
      <c r="F167" s="176" t="str">
        <f>IF(A167="","",SUMIFS('14_Inversiones'!$E$5:$E$203,'14_Inversiones'!$B$5:$B$203,A167,'14_Inversiones'!$D$5:$D$203,C167,'14_Inversiones'!$C$5:$C$203,"Retiro")+SUMIFS('14_Inversiones'!$E$5:$E$203,'14_Inversiones'!$B$5:$B$203,A167,'14_Inversiones'!$D$5:$D$203,C167,'14_Inversiones'!$C$5:$C$203,"Venta"))</f>
        <v/>
      </c>
      <c r="G167" s="176" t="str">
        <f t="shared" si="30"/>
        <v/>
      </c>
      <c r="H167" s="176" t="str">
        <f>IF(A167="","",IFERROR(INDEX('09_Posicion_Actual'!$G$5:$G$204,MATCH(A167,'09_Posicion_Actual'!$B$5:$B$204,0)),0))</f>
        <v/>
      </c>
      <c r="I167" s="171" t="str">
        <f>IF(A167="","",IFERROR(INDEX('09_Posicion_Actual'!$I$5:$I$204,MATCH(A167,'09_Posicion_Actual'!$B$5:$B$204,0)),0))</f>
        <v/>
      </c>
      <c r="J167" s="176" t="str">
        <f t="shared" si="31"/>
        <v/>
      </c>
      <c r="K167" s="171" t="str">
        <f>IF(A167="","",IF(C167="USD",J167*IFERROR(INDEX('09_Posicion_Actual'!$H$5:$H$204,MATCH(A167,'09_Posicion_Actual'!$B$5:$B$204,0)),950),J167))</f>
        <v/>
      </c>
      <c r="L167" s="180" t="str">
        <f t="shared" si="32"/>
        <v/>
      </c>
      <c r="M167" s="176" t="str">
        <f>IF(A167="","",IFERROR(INDEX('09_Posicion_Actual'!$F$5:$F$204,MATCH(A167,'09_Posicion_Actual'!$B$5:$B$204,0)),""))</f>
        <v/>
      </c>
      <c r="N167" s="177" t="str">
        <f>IF(A167="","",IFERROR(INDEX('09_Posicion_Actual'!$E$5:$E$204,MATCH(A167,'09_Posicion_Actual'!$B$5:$B$204,0)),""))</f>
        <v/>
      </c>
      <c r="O167" s="131" t="str">
        <f>IF(A167="","",IFERROR(INDEX('09_Posicion_Actual'!$A$5:$A$204,MATCH(A167,'09_Posicion_Actual'!$B$5:$B$204,0)),""))</f>
        <v/>
      </c>
      <c r="P167" s="132" t="str">
        <f t="shared" si="33"/>
        <v/>
      </c>
      <c r="Q167" s="132" t="str">
        <f t="shared" si="34"/>
        <v/>
      </c>
      <c r="R167" s="132" t="str">
        <f>IF(A167="","",IFERROR(INDEX('09_Posicion_Actual'!$P$5:$P$204,MATCH(A167,'09_Posicion_Actual'!$B$5:$B$204,0)),""))</f>
        <v/>
      </c>
      <c r="S167" s="132" t="str">
        <f t="shared" si="35"/>
        <v/>
      </c>
      <c r="T167" s="132"/>
      <c r="U167" s="132"/>
      <c r="V167" s="132"/>
      <c r="W167" s="132"/>
      <c r="X167" s="132"/>
    </row>
    <row r="168" spans="1:24">
      <c r="A168" s="132"/>
      <c r="B168" s="132"/>
      <c r="C168" s="132"/>
      <c r="D168" s="132"/>
      <c r="E168" s="176" t="str">
        <f>IF(A168="","",SUMIFS('14_Inversiones'!$E$5:$E$203,'14_Inversiones'!$B$5:$B$203,A168,'14_Inversiones'!$D$5:$D$203,C168,'14_Inversiones'!$C$5:$C$203,"Compra")+SUMIFS('14_Inversiones'!$E$5:$E$203,'14_Inversiones'!$B$5:$B$203,A168,'14_Inversiones'!$D$5:$D$203,C168,'14_Inversiones'!$C$5:$C$203,"Aporte")+SUMIFS('14_Inversiones'!$E$5:$E$203,'14_Inversiones'!$B$5:$B$203,A168,'14_Inversiones'!$D$5:$D$203,C168,'14_Inversiones'!$C$5:$C$203,"Ajuste"))</f>
        <v/>
      </c>
      <c r="F168" s="176" t="str">
        <f>IF(A168="","",SUMIFS('14_Inversiones'!$E$5:$E$203,'14_Inversiones'!$B$5:$B$203,A168,'14_Inversiones'!$D$5:$D$203,C168,'14_Inversiones'!$C$5:$C$203,"Retiro")+SUMIFS('14_Inversiones'!$E$5:$E$203,'14_Inversiones'!$B$5:$B$203,A168,'14_Inversiones'!$D$5:$D$203,C168,'14_Inversiones'!$C$5:$C$203,"Venta"))</f>
        <v/>
      </c>
      <c r="G168" s="176" t="str">
        <f t="shared" si="30"/>
        <v/>
      </c>
      <c r="H168" s="176" t="str">
        <f>IF(A168="","",IFERROR(INDEX('09_Posicion_Actual'!$G$5:$G$204,MATCH(A168,'09_Posicion_Actual'!$B$5:$B$204,0)),0))</f>
        <v/>
      </c>
      <c r="I168" s="171" t="str">
        <f>IF(A168="","",IFERROR(INDEX('09_Posicion_Actual'!$I$5:$I$204,MATCH(A168,'09_Posicion_Actual'!$B$5:$B$204,0)),0))</f>
        <v/>
      </c>
      <c r="J168" s="176" t="str">
        <f t="shared" si="31"/>
        <v/>
      </c>
      <c r="K168" s="171" t="str">
        <f>IF(A168="","",IF(C168="USD",J168*IFERROR(INDEX('09_Posicion_Actual'!$H$5:$H$204,MATCH(A168,'09_Posicion_Actual'!$B$5:$B$204,0)),950),J168))</f>
        <v/>
      </c>
      <c r="L168" s="180" t="str">
        <f t="shared" si="32"/>
        <v/>
      </c>
      <c r="M168" s="176" t="str">
        <f>IF(A168="","",IFERROR(INDEX('09_Posicion_Actual'!$F$5:$F$204,MATCH(A168,'09_Posicion_Actual'!$B$5:$B$204,0)),""))</f>
        <v/>
      </c>
      <c r="N168" s="177" t="str">
        <f>IF(A168="","",IFERROR(INDEX('09_Posicion_Actual'!$E$5:$E$204,MATCH(A168,'09_Posicion_Actual'!$B$5:$B$204,0)),""))</f>
        <v/>
      </c>
      <c r="O168" s="131" t="str">
        <f>IF(A168="","",IFERROR(INDEX('09_Posicion_Actual'!$A$5:$A$204,MATCH(A168,'09_Posicion_Actual'!$B$5:$B$204,0)),""))</f>
        <v/>
      </c>
      <c r="P168" s="132" t="str">
        <f t="shared" si="33"/>
        <v/>
      </c>
      <c r="Q168" s="132" t="str">
        <f t="shared" si="34"/>
        <v/>
      </c>
      <c r="R168" s="132" t="str">
        <f>IF(A168="","",IFERROR(INDEX('09_Posicion_Actual'!$P$5:$P$204,MATCH(A168,'09_Posicion_Actual'!$B$5:$B$204,0)),""))</f>
        <v/>
      </c>
      <c r="S168" s="132" t="str">
        <f t="shared" si="35"/>
        <v/>
      </c>
      <c r="T168" s="132"/>
      <c r="U168" s="132"/>
      <c r="V168" s="132"/>
      <c r="W168" s="132"/>
      <c r="X168" s="132"/>
    </row>
    <row r="169" spans="1:24">
      <c r="A169" s="132"/>
      <c r="B169" s="132"/>
      <c r="C169" s="132"/>
      <c r="D169" s="132"/>
      <c r="E169" s="176" t="str">
        <f>IF(A169="","",SUMIFS('14_Inversiones'!$E$5:$E$203,'14_Inversiones'!$B$5:$B$203,A169,'14_Inversiones'!$D$5:$D$203,C169,'14_Inversiones'!$C$5:$C$203,"Compra")+SUMIFS('14_Inversiones'!$E$5:$E$203,'14_Inversiones'!$B$5:$B$203,A169,'14_Inversiones'!$D$5:$D$203,C169,'14_Inversiones'!$C$5:$C$203,"Aporte")+SUMIFS('14_Inversiones'!$E$5:$E$203,'14_Inversiones'!$B$5:$B$203,A169,'14_Inversiones'!$D$5:$D$203,C169,'14_Inversiones'!$C$5:$C$203,"Ajuste"))</f>
        <v/>
      </c>
      <c r="F169" s="176" t="str">
        <f>IF(A169="","",SUMIFS('14_Inversiones'!$E$5:$E$203,'14_Inversiones'!$B$5:$B$203,A169,'14_Inversiones'!$D$5:$D$203,C169,'14_Inversiones'!$C$5:$C$203,"Retiro")+SUMIFS('14_Inversiones'!$E$5:$E$203,'14_Inversiones'!$B$5:$B$203,A169,'14_Inversiones'!$D$5:$D$203,C169,'14_Inversiones'!$C$5:$C$203,"Venta"))</f>
        <v/>
      </c>
      <c r="G169" s="176" t="str">
        <f t="shared" si="30"/>
        <v/>
      </c>
      <c r="H169" s="176" t="str">
        <f>IF(A169="","",IFERROR(INDEX('09_Posicion_Actual'!$G$5:$G$204,MATCH(A169,'09_Posicion_Actual'!$B$5:$B$204,0)),0))</f>
        <v/>
      </c>
      <c r="I169" s="171" t="str">
        <f>IF(A169="","",IFERROR(INDEX('09_Posicion_Actual'!$I$5:$I$204,MATCH(A169,'09_Posicion_Actual'!$B$5:$B$204,0)),0))</f>
        <v/>
      </c>
      <c r="J169" s="176" t="str">
        <f t="shared" si="31"/>
        <v/>
      </c>
      <c r="K169" s="171" t="str">
        <f>IF(A169="","",IF(C169="USD",J169*IFERROR(INDEX('09_Posicion_Actual'!$H$5:$H$204,MATCH(A169,'09_Posicion_Actual'!$B$5:$B$204,0)),950),J169))</f>
        <v/>
      </c>
      <c r="L169" s="180" t="str">
        <f t="shared" si="32"/>
        <v/>
      </c>
      <c r="M169" s="176" t="str">
        <f>IF(A169="","",IFERROR(INDEX('09_Posicion_Actual'!$F$5:$F$204,MATCH(A169,'09_Posicion_Actual'!$B$5:$B$204,0)),""))</f>
        <v/>
      </c>
      <c r="N169" s="177" t="str">
        <f>IF(A169="","",IFERROR(INDEX('09_Posicion_Actual'!$E$5:$E$204,MATCH(A169,'09_Posicion_Actual'!$B$5:$B$204,0)),""))</f>
        <v/>
      </c>
      <c r="O169" s="131" t="str">
        <f>IF(A169="","",IFERROR(INDEX('09_Posicion_Actual'!$A$5:$A$204,MATCH(A169,'09_Posicion_Actual'!$B$5:$B$204,0)),""))</f>
        <v/>
      </c>
      <c r="P169" s="132" t="str">
        <f t="shared" si="33"/>
        <v/>
      </c>
      <c r="Q169" s="132" t="str">
        <f t="shared" si="34"/>
        <v/>
      </c>
      <c r="R169" s="132" t="str">
        <f>IF(A169="","",IFERROR(INDEX('09_Posicion_Actual'!$P$5:$P$204,MATCH(A169,'09_Posicion_Actual'!$B$5:$B$204,0)),""))</f>
        <v/>
      </c>
      <c r="S169" s="132" t="str">
        <f t="shared" si="35"/>
        <v/>
      </c>
      <c r="T169" s="132"/>
      <c r="U169" s="132"/>
      <c r="V169" s="132"/>
      <c r="W169" s="132"/>
      <c r="X169" s="132"/>
    </row>
    <row r="170" spans="1:24">
      <c r="A170" s="132"/>
      <c r="B170" s="132"/>
      <c r="C170" s="132"/>
      <c r="D170" s="132"/>
      <c r="E170" s="176" t="str">
        <f>IF(A170="","",SUMIFS('14_Inversiones'!$E$5:$E$203,'14_Inversiones'!$B$5:$B$203,A170,'14_Inversiones'!$D$5:$D$203,C170,'14_Inversiones'!$C$5:$C$203,"Compra")+SUMIFS('14_Inversiones'!$E$5:$E$203,'14_Inversiones'!$B$5:$B$203,A170,'14_Inversiones'!$D$5:$D$203,C170,'14_Inversiones'!$C$5:$C$203,"Aporte")+SUMIFS('14_Inversiones'!$E$5:$E$203,'14_Inversiones'!$B$5:$B$203,A170,'14_Inversiones'!$D$5:$D$203,C170,'14_Inversiones'!$C$5:$C$203,"Ajuste"))</f>
        <v/>
      </c>
      <c r="F170" s="176" t="str">
        <f>IF(A170="","",SUMIFS('14_Inversiones'!$E$5:$E$203,'14_Inversiones'!$B$5:$B$203,A170,'14_Inversiones'!$D$5:$D$203,C170,'14_Inversiones'!$C$5:$C$203,"Retiro")+SUMIFS('14_Inversiones'!$E$5:$E$203,'14_Inversiones'!$B$5:$B$203,A170,'14_Inversiones'!$D$5:$D$203,C170,'14_Inversiones'!$C$5:$C$203,"Venta"))</f>
        <v/>
      </c>
      <c r="G170" s="176" t="str">
        <f t="shared" si="30"/>
        <v/>
      </c>
      <c r="H170" s="176" t="str">
        <f>IF(A170="","",IFERROR(INDEX('09_Posicion_Actual'!$G$5:$G$204,MATCH(A170,'09_Posicion_Actual'!$B$5:$B$204,0)),0))</f>
        <v/>
      </c>
      <c r="I170" s="171" t="str">
        <f>IF(A170="","",IFERROR(INDEX('09_Posicion_Actual'!$I$5:$I$204,MATCH(A170,'09_Posicion_Actual'!$B$5:$B$204,0)),0))</f>
        <v/>
      </c>
      <c r="J170" s="176" t="str">
        <f t="shared" si="31"/>
        <v/>
      </c>
      <c r="K170" s="171" t="str">
        <f>IF(A170="","",IF(C170="USD",J170*IFERROR(INDEX('09_Posicion_Actual'!$H$5:$H$204,MATCH(A170,'09_Posicion_Actual'!$B$5:$B$204,0)),950),J170))</f>
        <v/>
      </c>
      <c r="L170" s="180" t="str">
        <f t="shared" si="32"/>
        <v/>
      </c>
      <c r="M170" s="176" t="str">
        <f>IF(A170="","",IFERROR(INDEX('09_Posicion_Actual'!$F$5:$F$204,MATCH(A170,'09_Posicion_Actual'!$B$5:$B$204,0)),""))</f>
        <v/>
      </c>
      <c r="N170" s="177" t="str">
        <f>IF(A170="","",IFERROR(INDEX('09_Posicion_Actual'!$E$5:$E$204,MATCH(A170,'09_Posicion_Actual'!$B$5:$B$204,0)),""))</f>
        <v/>
      </c>
      <c r="O170" s="131" t="str">
        <f>IF(A170="","",IFERROR(INDEX('09_Posicion_Actual'!$A$5:$A$204,MATCH(A170,'09_Posicion_Actual'!$B$5:$B$204,0)),""))</f>
        <v/>
      </c>
      <c r="P170" s="132" t="str">
        <f t="shared" si="33"/>
        <v/>
      </c>
      <c r="Q170" s="132" t="str">
        <f t="shared" si="34"/>
        <v/>
      </c>
      <c r="R170" s="132" t="str">
        <f>IF(A170="","",IFERROR(INDEX('09_Posicion_Actual'!$P$5:$P$204,MATCH(A170,'09_Posicion_Actual'!$B$5:$B$204,0)),""))</f>
        <v/>
      </c>
      <c r="S170" s="132" t="str">
        <f t="shared" si="35"/>
        <v/>
      </c>
      <c r="T170" s="132"/>
      <c r="U170" s="132"/>
      <c r="V170" s="132"/>
      <c r="W170" s="132"/>
      <c r="X170" s="132"/>
    </row>
    <row r="171" spans="1:24">
      <c r="A171" s="132"/>
      <c r="B171" s="132"/>
      <c r="C171" s="132"/>
      <c r="D171" s="132"/>
      <c r="E171" s="176" t="str">
        <f>IF(A171="","",SUMIFS('14_Inversiones'!$E$5:$E$203,'14_Inversiones'!$B$5:$B$203,A171,'14_Inversiones'!$D$5:$D$203,C171,'14_Inversiones'!$C$5:$C$203,"Compra")+SUMIFS('14_Inversiones'!$E$5:$E$203,'14_Inversiones'!$B$5:$B$203,A171,'14_Inversiones'!$D$5:$D$203,C171,'14_Inversiones'!$C$5:$C$203,"Aporte")+SUMIFS('14_Inversiones'!$E$5:$E$203,'14_Inversiones'!$B$5:$B$203,A171,'14_Inversiones'!$D$5:$D$203,C171,'14_Inversiones'!$C$5:$C$203,"Ajuste"))</f>
        <v/>
      </c>
      <c r="F171" s="176" t="str">
        <f>IF(A171="","",SUMIFS('14_Inversiones'!$E$5:$E$203,'14_Inversiones'!$B$5:$B$203,A171,'14_Inversiones'!$D$5:$D$203,C171,'14_Inversiones'!$C$5:$C$203,"Retiro")+SUMIFS('14_Inversiones'!$E$5:$E$203,'14_Inversiones'!$B$5:$B$203,A171,'14_Inversiones'!$D$5:$D$203,C171,'14_Inversiones'!$C$5:$C$203,"Venta"))</f>
        <v/>
      </c>
      <c r="G171" s="176" t="str">
        <f t="shared" si="30"/>
        <v/>
      </c>
      <c r="H171" s="176" t="str">
        <f>IF(A171="","",IFERROR(INDEX('09_Posicion_Actual'!$G$5:$G$204,MATCH(A171,'09_Posicion_Actual'!$B$5:$B$204,0)),0))</f>
        <v/>
      </c>
      <c r="I171" s="171" t="str">
        <f>IF(A171="","",IFERROR(INDEX('09_Posicion_Actual'!$I$5:$I$204,MATCH(A171,'09_Posicion_Actual'!$B$5:$B$204,0)),0))</f>
        <v/>
      </c>
      <c r="J171" s="176" t="str">
        <f t="shared" si="31"/>
        <v/>
      </c>
      <c r="K171" s="171" t="str">
        <f>IF(A171="","",IF(C171="USD",J171*IFERROR(INDEX('09_Posicion_Actual'!$H$5:$H$204,MATCH(A171,'09_Posicion_Actual'!$B$5:$B$204,0)),950),J171))</f>
        <v/>
      </c>
      <c r="L171" s="180" t="str">
        <f t="shared" si="32"/>
        <v/>
      </c>
      <c r="M171" s="176" t="str">
        <f>IF(A171="","",IFERROR(INDEX('09_Posicion_Actual'!$F$5:$F$204,MATCH(A171,'09_Posicion_Actual'!$B$5:$B$204,0)),""))</f>
        <v/>
      </c>
      <c r="N171" s="177" t="str">
        <f>IF(A171="","",IFERROR(INDEX('09_Posicion_Actual'!$E$5:$E$204,MATCH(A171,'09_Posicion_Actual'!$B$5:$B$204,0)),""))</f>
        <v/>
      </c>
      <c r="O171" s="131" t="str">
        <f>IF(A171="","",IFERROR(INDEX('09_Posicion_Actual'!$A$5:$A$204,MATCH(A171,'09_Posicion_Actual'!$B$5:$B$204,0)),""))</f>
        <v/>
      </c>
      <c r="P171" s="132" t="str">
        <f t="shared" si="33"/>
        <v/>
      </c>
      <c r="Q171" s="132" t="str">
        <f t="shared" si="34"/>
        <v/>
      </c>
      <c r="R171" s="132" t="str">
        <f>IF(A171="","",IFERROR(INDEX('09_Posicion_Actual'!$P$5:$P$204,MATCH(A171,'09_Posicion_Actual'!$B$5:$B$204,0)),""))</f>
        <v/>
      </c>
      <c r="S171" s="132" t="str">
        <f t="shared" si="35"/>
        <v/>
      </c>
      <c r="T171" s="132"/>
      <c r="U171" s="132"/>
      <c r="V171" s="132"/>
      <c r="W171" s="132"/>
      <c r="X171" s="132"/>
    </row>
    <row r="172" spans="1:24">
      <c r="A172" s="132"/>
      <c r="B172" s="132"/>
      <c r="C172" s="132"/>
      <c r="D172" s="132"/>
      <c r="E172" s="176" t="str">
        <f>IF(A172="","",SUMIFS('14_Inversiones'!$E$5:$E$203,'14_Inversiones'!$B$5:$B$203,A172,'14_Inversiones'!$D$5:$D$203,C172,'14_Inversiones'!$C$5:$C$203,"Compra")+SUMIFS('14_Inversiones'!$E$5:$E$203,'14_Inversiones'!$B$5:$B$203,A172,'14_Inversiones'!$D$5:$D$203,C172,'14_Inversiones'!$C$5:$C$203,"Aporte")+SUMIFS('14_Inversiones'!$E$5:$E$203,'14_Inversiones'!$B$5:$B$203,A172,'14_Inversiones'!$D$5:$D$203,C172,'14_Inversiones'!$C$5:$C$203,"Ajuste"))</f>
        <v/>
      </c>
      <c r="F172" s="176" t="str">
        <f>IF(A172="","",SUMIFS('14_Inversiones'!$E$5:$E$203,'14_Inversiones'!$B$5:$B$203,A172,'14_Inversiones'!$D$5:$D$203,C172,'14_Inversiones'!$C$5:$C$203,"Retiro")+SUMIFS('14_Inversiones'!$E$5:$E$203,'14_Inversiones'!$B$5:$B$203,A172,'14_Inversiones'!$D$5:$D$203,C172,'14_Inversiones'!$C$5:$C$203,"Venta"))</f>
        <v/>
      </c>
      <c r="G172" s="176" t="str">
        <f t="shared" si="30"/>
        <v/>
      </c>
      <c r="H172" s="176" t="str">
        <f>IF(A172="","",IFERROR(INDEX('09_Posicion_Actual'!$G$5:$G$204,MATCH(A172,'09_Posicion_Actual'!$B$5:$B$204,0)),0))</f>
        <v/>
      </c>
      <c r="I172" s="171" t="str">
        <f>IF(A172="","",IFERROR(INDEX('09_Posicion_Actual'!$I$5:$I$204,MATCH(A172,'09_Posicion_Actual'!$B$5:$B$204,0)),0))</f>
        <v/>
      </c>
      <c r="J172" s="176" t="str">
        <f t="shared" si="31"/>
        <v/>
      </c>
      <c r="K172" s="171" t="str">
        <f>IF(A172="","",IF(C172="USD",J172*IFERROR(INDEX('09_Posicion_Actual'!$H$5:$H$204,MATCH(A172,'09_Posicion_Actual'!$B$5:$B$204,0)),950),J172))</f>
        <v/>
      </c>
      <c r="L172" s="180" t="str">
        <f t="shared" si="32"/>
        <v/>
      </c>
      <c r="M172" s="176" t="str">
        <f>IF(A172="","",IFERROR(INDEX('09_Posicion_Actual'!$F$5:$F$204,MATCH(A172,'09_Posicion_Actual'!$B$5:$B$204,0)),""))</f>
        <v/>
      </c>
      <c r="N172" s="177" t="str">
        <f>IF(A172="","",IFERROR(INDEX('09_Posicion_Actual'!$E$5:$E$204,MATCH(A172,'09_Posicion_Actual'!$B$5:$B$204,0)),""))</f>
        <v/>
      </c>
      <c r="O172" s="131" t="str">
        <f>IF(A172="","",IFERROR(INDEX('09_Posicion_Actual'!$A$5:$A$204,MATCH(A172,'09_Posicion_Actual'!$B$5:$B$204,0)),""))</f>
        <v/>
      </c>
      <c r="P172" s="132" t="str">
        <f t="shared" si="33"/>
        <v/>
      </c>
      <c r="Q172" s="132" t="str">
        <f t="shared" si="34"/>
        <v/>
      </c>
      <c r="R172" s="132" t="str">
        <f>IF(A172="","",IFERROR(INDEX('09_Posicion_Actual'!$P$5:$P$204,MATCH(A172,'09_Posicion_Actual'!$B$5:$B$204,0)),""))</f>
        <v/>
      </c>
      <c r="S172" s="132" t="str">
        <f t="shared" si="35"/>
        <v/>
      </c>
      <c r="T172" s="132"/>
      <c r="U172" s="132"/>
      <c r="V172" s="132"/>
      <c r="W172" s="132"/>
      <c r="X172" s="132"/>
    </row>
    <row r="173" spans="1:24">
      <c r="A173" s="132"/>
      <c r="B173" s="132"/>
      <c r="C173" s="132"/>
      <c r="D173" s="132"/>
      <c r="E173" s="176" t="str">
        <f>IF(A173="","",SUMIFS('14_Inversiones'!$E$5:$E$203,'14_Inversiones'!$B$5:$B$203,A173,'14_Inversiones'!$D$5:$D$203,C173,'14_Inversiones'!$C$5:$C$203,"Compra")+SUMIFS('14_Inversiones'!$E$5:$E$203,'14_Inversiones'!$B$5:$B$203,A173,'14_Inversiones'!$D$5:$D$203,C173,'14_Inversiones'!$C$5:$C$203,"Aporte")+SUMIFS('14_Inversiones'!$E$5:$E$203,'14_Inversiones'!$B$5:$B$203,A173,'14_Inversiones'!$D$5:$D$203,C173,'14_Inversiones'!$C$5:$C$203,"Ajuste"))</f>
        <v/>
      </c>
      <c r="F173" s="176" t="str">
        <f>IF(A173="","",SUMIFS('14_Inversiones'!$E$5:$E$203,'14_Inversiones'!$B$5:$B$203,A173,'14_Inversiones'!$D$5:$D$203,C173,'14_Inversiones'!$C$5:$C$203,"Retiro")+SUMIFS('14_Inversiones'!$E$5:$E$203,'14_Inversiones'!$B$5:$B$203,A173,'14_Inversiones'!$D$5:$D$203,C173,'14_Inversiones'!$C$5:$C$203,"Venta"))</f>
        <v/>
      </c>
      <c r="G173" s="176" t="str">
        <f t="shared" si="30"/>
        <v/>
      </c>
      <c r="H173" s="176" t="str">
        <f>IF(A173="","",IFERROR(INDEX('09_Posicion_Actual'!$G$5:$G$204,MATCH(A173,'09_Posicion_Actual'!$B$5:$B$204,0)),0))</f>
        <v/>
      </c>
      <c r="I173" s="171" t="str">
        <f>IF(A173="","",IFERROR(INDEX('09_Posicion_Actual'!$I$5:$I$204,MATCH(A173,'09_Posicion_Actual'!$B$5:$B$204,0)),0))</f>
        <v/>
      </c>
      <c r="J173" s="176" t="str">
        <f t="shared" si="31"/>
        <v/>
      </c>
      <c r="K173" s="171" t="str">
        <f>IF(A173="","",IF(C173="USD",J173*IFERROR(INDEX('09_Posicion_Actual'!$H$5:$H$204,MATCH(A173,'09_Posicion_Actual'!$B$5:$B$204,0)),950),J173))</f>
        <v/>
      </c>
      <c r="L173" s="180" t="str">
        <f t="shared" si="32"/>
        <v/>
      </c>
      <c r="M173" s="176" t="str">
        <f>IF(A173="","",IFERROR(INDEX('09_Posicion_Actual'!$F$5:$F$204,MATCH(A173,'09_Posicion_Actual'!$B$5:$B$204,0)),""))</f>
        <v/>
      </c>
      <c r="N173" s="177" t="str">
        <f>IF(A173="","",IFERROR(INDEX('09_Posicion_Actual'!$E$5:$E$204,MATCH(A173,'09_Posicion_Actual'!$B$5:$B$204,0)),""))</f>
        <v/>
      </c>
      <c r="O173" s="131" t="str">
        <f>IF(A173="","",IFERROR(INDEX('09_Posicion_Actual'!$A$5:$A$204,MATCH(A173,'09_Posicion_Actual'!$B$5:$B$204,0)),""))</f>
        <v/>
      </c>
      <c r="P173" s="132" t="str">
        <f t="shared" si="33"/>
        <v/>
      </c>
      <c r="Q173" s="132" t="str">
        <f t="shared" si="34"/>
        <v/>
      </c>
      <c r="R173" s="132" t="str">
        <f>IF(A173="","",IFERROR(INDEX('09_Posicion_Actual'!$P$5:$P$204,MATCH(A173,'09_Posicion_Actual'!$B$5:$B$204,0)),""))</f>
        <v/>
      </c>
      <c r="S173" s="132" t="str">
        <f t="shared" si="35"/>
        <v/>
      </c>
      <c r="T173" s="132"/>
      <c r="U173" s="132"/>
      <c r="V173" s="132"/>
      <c r="W173" s="132"/>
      <c r="X173" s="132"/>
    </row>
    <row r="174" spans="1:24">
      <c r="A174" s="132"/>
      <c r="B174" s="132"/>
      <c r="C174" s="132"/>
      <c r="D174" s="132"/>
      <c r="E174" s="176" t="str">
        <f>IF(A174="","",SUMIFS('14_Inversiones'!$E$5:$E$203,'14_Inversiones'!$B$5:$B$203,A174,'14_Inversiones'!$D$5:$D$203,C174,'14_Inversiones'!$C$5:$C$203,"Compra")+SUMIFS('14_Inversiones'!$E$5:$E$203,'14_Inversiones'!$B$5:$B$203,A174,'14_Inversiones'!$D$5:$D$203,C174,'14_Inversiones'!$C$5:$C$203,"Aporte")+SUMIFS('14_Inversiones'!$E$5:$E$203,'14_Inversiones'!$B$5:$B$203,A174,'14_Inversiones'!$D$5:$D$203,C174,'14_Inversiones'!$C$5:$C$203,"Ajuste"))</f>
        <v/>
      </c>
      <c r="F174" s="176" t="str">
        <f>IF(A174="","",SUMIFS('14_Inversiones'!$E$5:$E$203,'14_Inversiones'!$B$5:$B$203,A174,'14_Inversiones'!$D$5:$D$203,C174,'14_Inversiones'!$C$5:$C$203,"Retiro")+SUMIFS('14_Inversiones'!$E$5:$E$203,'14_Inversiones'!$B$5:$B$203,A174,'14_Inversiones'!$D$5:$D$203,C174,'14_Inversiones'!$C$5:$C$203,"Venta"))</f>
        <v/>
      </c>
      <c r="G174" s="176" t="str">
        <f t="shared" si="30"/>
        <v/>
      </c>
      <c r="H174" s="176" t="str">
        <f>IF(A174="","",IFERROR(INDEX('09_Posicion_Actual'!$G$5:$G$204,MATCH(A174,'09_Posicion_Actual'!$B$5:$B$204,0)),0))</f>
        <v/>
      </c>
      <c r="I174" s="171" t="str">
        <f>IF(A174="","",IFERROR(INDEX('09_Posicion_Actual'!$I$5:$I$204,MATCH(A174,'09_Posicion_Actual'!$B$5:$B$204,0)),0))</f>
        <v/>
      </c>
      <c r="J174" s="176" t="str">
        <f t="shared" si="31"/>
        <v/>
      </c>
      <c r="K174" s="171" t="str">
        <f>IF(A174="","",IF(C174="USD",J174*IFERROR(INDEX('09_Posicion_Actual'!$H$5:$H$204,MATCH(A174,'09_Posicion_Actual'!$B$5:$B$204,0)),950),J174))</f>
        <v/>
      </c>
      <c r="L174" s="180" t="str">
        <f t="shared" si="32"/>
        <v/>
      </c>
      <c r="M174" s="176" t="str">
        <f>IF(A174="","",IFERROR(INDEX('09_Posicion_Actual'!$F$5:$F$204,MATCH(A174,'09_Posicion_Actual'!$B$5:$B$204,0)),""))</f>
        <v/>
      </c>
      <c r="N174" s="177" t="str">
        <f>IF(A174="","",IFERROR(INDEX('09_Posicion_Actual'!$E$5:$E$204,MATCH(A174,'09_Posicion_Actual'!$B$5:$B$204,0)),""))</f>
        <v/>
      </c>
      <c r="O174" s="131" t="str">
        <f>IF(A174="","",IFERROR(INDEX('09_Posicion_Actual'!$A$5:$A$204,MATCH(A174,'09_Posicion_Actual'!$B$5:$B$204,0)),""))</f>
        <v/>
      </c>
      <c r="P174" s="132" t="str">
        <f t="shared" si="33"/>
        <v/>
      </c>
      <c r="Q174" s="132" t="str">
        <f t="shared" si="34"/>
        <v/>
      </c>
      <c r="R174" s="132" t="str">
        <f>IF(A174="","",IFERROR(INDEX('09_Posicion_Actual'!$P$5:$P$204,MATCH(A174,'09_Posicion_Actual'!$B$5:$B$204,0)),""))</f>
        <v/>
      </c>
      <c r="S174" s="132" t="str">
        <f t="shared" si="35"/>
        <v/>
      </c>
      <c r="T174" s="132"/>
      <c r="U174" s="132"/>
      <c r="V174" s="132"/>
      <c r="W174" s="132"/>
      <c r="X174" s="132"/>
    </row>
    <row r="175" spans="1:24">
      <c r="A175" s="132"/>
      <c r="B175" s="132"/>
      <c r="C175" s="132"/>
      <c r="D175" s="132"/>
      <c r="E175" s="176" t="str">
        <f>IF(A175="","",SUMIFS('14_Inversiones'!$E$5:$E$203,'14_Inversiones'!$B$5:$B$203,A175,'14_Inversiones'!$D$5:$D$203,C175,'14_Inversiones'!$C$5:$C$203,"Compra")+SUMIFS('14_Inversiones'!$E$5:$E$203,'14_Inversiones'!$B$5:$B$203,A175,'14_Inversiones'!$D$5:$D$203,C175,'14_Inversiones'!$C$5:$C$203,"Aporte")+SUMIFS('14_Inversiones'!$E$5:$E$203,'14_Inversiones'!$B$5:$B$203,A175,'14_Inversiones'!$D$5:$D$203,C175,'14_Inversiones'!$C$5:$C$203,"Ajuste"))</f>
        <v/>
      </c>
      <c r="F175" s="176" t="str">
        <f>IF(A175="","",SUMIFS('14_Inversiones'!$E$5:$E$203,'14_Inversiones'!$B$5:$B$203,A175,'14_Inversiones'!$D$5:$D$203,C175,'14_Inversiones'!$C$5:$C$203,"Retiro")+SUMIFS('14_Inversiones'!$E$5:$E$203,'14_Inversiones'!$B$5:$B$203,A175,'14_Inversiones'!$D$5:$D$203,C175,'14_Inversiones'!$C$5:$C$203,"Venta"))</f>
        <v/>
      </c>
      <c r="G175" s="176" t="str">
        <f t="shared" si="30"/>
        <v/>
      </c>
      <c r="H175" s="176" t="str">
        <f>IF(A175="","",IFERROR(INDEX('09_Posicion_Actual'!$G$5:$G$204,MATCH(A175,'09_Posicion_Actual'!$B$5:$B$204,0)),0))</f>
        <v/>
      </c>
      <c r="I175" s="171" t="str">
        <f>IF(A175="","",IFERROR(INDEX('09_Posicion_Actual'!$I$5:$I$204,MATCH(A175,'09_Posicion_Actual'!$B$5:$B$204,0)),0))</f>
        <v/>
      </c>
      <c r="J175" s="176" t="str">
        <f t="shared" si="31"/>
        <v/>
      </c>
      <c r="K175" s="171" t="str">
        <f>IF(A175="","",IF(C175="USD",J175*IFERROR(INDEX('09_Posicion_Actual'!$H$5:$H$204,MATCH(A175,'09_Posicion_Actual'!$B$5:$B$204,0)),950),J175))</f>
        <v/>
      </c>
      <c r="L175" s="180" t="str">
        <f t="shared" si="32"/>
        <v/>
      </c>
      <c r="M175" s="176" t="str">
        <f>IF(A175="","",IFERROR(INDEX('09_Posicion_Actual'!$F$5:$F$204,MATCH(A175,'09_Posicion_Actual'!$B$5:$B$204,0)),""))</f>
        <v/>
      </c>
      <c r="N175" s="177" t="str">
        <f>IF(A175="","",IFERROR(INDEX('09_Posicion_Actual'!$E$5:$E$204,MATCH(A175,'09_Posicion_Actual'!$B$5:$B$204,0)),""))</f>
        <v/>
      </c>
      <c r="O175" s="131" t="str">
        <f>IF(A175="","",IFERROR(INDEX('09_Posicion_Actual'!$A$5:$A$204,MATCH(A175,'09_Posicion_Actual'!$B$5:$B$204,0)),""))</f>
        <v/>
      </c>
      <c r="P175" s="132" t="str">
        <f t="shared" si="33"/>
        <v/>
      </c>
      <c r="Q175" s="132" t="str">
        <f t="shared" si="34"/>
        <v/>
      </c>
      <c r="R175" s="132" t="str">
        <f>IF(A175="","",IFERROR(INDEX('09_Posicion_Actual'!$P$5:$P$204,MATCH(A175,'09_Posicion_Actual'!$B$5:$B$204,0)),""))</f>
        <v/>
      </c>
      <c r="S175" s="132" t="str">
        <f t="shared" si="35"/>
        <v/>
      </c>
      <c r="T175" s="132"/>
      <c r="U175" s="132"/>
      <c r="V175" s="132"/>
      <c r="W175" s="132"/>
      <c r="X175" s="132"/>
    </row>
    <row r="176" spans="1:24">
      <c r="A176" s="132"/>
      <c r="B176" s="132"/>
      <c r="C176" s="132"/>
      <c r="D176" s="132"/>
      <c r="E176" s="176" t="str">
        <f>IF(A176="","",SUMIFS('14_Inversiones'!$E$5:$E$203,'14_Inversiones'!$B$5:$B$203,A176,'14_Inversiones'!$D$5:$D$203,C176,'14_Inversiones'!$C$5:$C$203,"Compra")+SUMIFS('14_Inversiones'!$E$5:$E$203,'14_Inversiones'!$B$5:$B$203,A176,'14_Inversiones'!$D$5:$D$203,C176,'14_Inversiones'!$C$5:$C$203,"Aporte")+SUMIFS('14_Inversiones'!$E$5:$E$203,'14_Inversiones'!$B$5:$B$203,A176,'14_Inversiones'!$D$5:$D$203,C176,'14_Inversiones'!$C$5:$C$203,"Ajuste"))</f>
        <v/>
      </c>
      <c r="F176" s="176" t="str">
        <f>IF(A176="","",SUMIFS('14_Inversiones'!$E$5:$E$203,'14_Inversiones'!$B$5:$B$203,A176,'14_Inversiones'!$D$5:$D$203,C176,'14_Inversiones'!$C$5:$C$203,"Retiro")+SUMIFS('14_Inversiones'!$E$5:$E$203,'14_Inversiones'!$B$5:$B$203,A176,'14_Inversiones'!$D$5:$D$203,C176,'14_Inversiones'!$C$5:$C$203,"Venta"))</f>
        <v/>
      </c>
      <c r="G176" s="176" t="str">
        <f t="shared" si="30"/>
        <v/>
      </c>
      <c r="H176" s="176" t="str">
        <f>IF(A176="","",IFERROR(INDEX('09_Posicion_Actual'!$G$5:$G$204,MATCH(A176,'09_Posicion_Actual'!$B$5:$B$204,0)),0))</f>
        <v/>
      </c>
      <c r="I176" s="171" t="str">
        <f>IF(A176="","",IFERROR(INDEX('09_Posicion_Actual'!$I$5:$I$204,MATCH(A176,'09_Posicion_Actual'!$B$5:$B$204,0)),0))</f>
        <v/>
      </c>
      <c r="J176" s="176" t="str">
        <f t="shared" si="31"/>
        <v/>
      </c>
      <c r="K176" s="171" t="str">
        <f>IF(A176="","",IF(C176="USD",J176*IFERROR(INDEX('09_Posicion_Actual'!$H$5:$H$204,MATCH(A176,'09_Posicion_Actual'!$B$5:$B$204,0)),950),J176))</f>
        <v/>
      </c>
      <c r="L176" s="180" t="str">
        <f t="shared" si="32"/>
        <v/>
      </c>
      <c r="M176" s="176" t="str">
        <f>IF(A176="","",IFERROR(INDEX('09_Posicion_Actual'!$F$5:$F$204,MATCH(A176,'09_Posicion_Actual'!$B$5:$B$204,0)),""))</f>
        <v/>
      </c>
      <c r="N176" s="177" t="str">
        <f>IF(A176="","",IFERROR(INDEX('09_Posicion_Actual'!$E$5:$E$204,MATCH(A176,'09_Posicion_Actual'!$B$5:$B$204,0)),""))</f>
        <v/>
      </c>
      <c r="O176" s="131" t="str">
        <f>IF(A176="","",IFERROR(INDEX('09_Posicion_Actual'!$A$5:$A$204,MATCH(A176,'09_Posicion_Actual'!$B$5:$B$204,0)),""))</f>
        <v/>
      </c>
      <c r="P176" s="132" t="str">
        <f t="shared" si="33"/>
        <v/>
      </c>
      <c r="Q176" s="132" t="str">
        <f t="shared" si="34"/>
        <v/>
      </c>
      <c r="R176" s="132" t="str">
        <f>IF(A176="","",IFERROR(INDEX('09_Posicion_Actual'!$P$5:$P$204,MATCH(A176,'09_Posicion_Actual'!$B$5:$B$204,0)),""))</f>
        <v/>
      </c>
      <c r="S176" s="132" t="str">
        <f t="shared" si="35"/>
        <v/>
      </c>
      <c r="T176" s="132"/>
      <c r="U176" s="132"/>
      <c r="V176" s="132"/>
      <c r="W176" s="132"/>
      <c r="X176" s="132"/>
    </row>
    <row r="177" spans="1:24">
      <c r="A177" s="132"/>
      <c r="B177" s="132"/>
      <c r="C177" s="132"/>
      <c r="D177" s="132"/>
      <c r="E177" s="176" t="str">
        <f>IF(A177="","",SUMIFS('14_Inversiones'!$E$5:$E$203,'14_Inversiones'!$B$5:$B$203,A177,'14_Inversiones'!$D$5:$D$203,C177,'14_Inversiones'!$C$5:$C$203,"Compra")+SUMIFS('14_Inversiones'!$E$5:$E$203,'14_Inversiones'!$B$5:$B$203,A177,'14_Inversiones'!$D$5:$D$203,C177,'14_Inversiones'!$C$5:$C$203,"Aporte")+SUMIFS('14_Inversiones'!$E$5:$E$203,'14_Inversiones'!$B$5:$B$203,A177,'14_Inversiones'!$D$5:$D$203,C177,'14_Inversiones'!$C$5:$C$203,"Ajuste"))</f>
        <v/>
      </c>
      <c r="F177" s="176" t="str">
        <f>IF(A177="","",SUMIFS('14_Inversiones'!$E$5:$E$203,'14_Inversiones'!$B$5:$B$203,A177,'14_Inversiones'!$D$5:$D$203,C177,'14_Inversiones'!$C$5:$C$203,"Retiro")+SUMIFS('14_Inversiones'!$E$5:$E$203,'14_Inversiones'!$B$5:$B$203,A177,'14_Inversiones'!$D$5:$D$203,C177,'14_Inversiones'!$C$5:$C$203,"Venta"))</f>
        <v/>
      </c>
      <c r="G177" s="176" t="str">
        <f t="shared" si="30"/>
        <v/>
      </c>
      <c r="H177" s="176" t="str">
        <f>IF(A177="","",IFERROR(INDEX('09_Posicion_Actual'!$G$5:$G$204,MATCH(A177,'09_Posicion_Actual'!$B$5:$B$204,0)),0))</f>
        <v/>
      </c>
      <c r="I177" s="171" t="str">
        <f>IF(A177="","",IFERROR(INDEX('09_Posicion_Actual'!$I$5:$I$204,MATCH(A177,'09_Posicion_Actual'!$B$5:$B$204,0)),0))</f>
        <v/>
      </c>
      <c r="J177" s="176" t="str">
        <f t="shared" si="31"/>
        <v/>
      </c>
      <c r="K177" s="171" t="str">
        <f>IF(A177="","",IF(C177="USD",J177*IFERROR(INDEX('09_Posicion_Actual'!$H$5:$H$204,MATCH(A177,'09_Posicion_Actual'!$B$5:$B$204,0)),950),J177))</f>
        <v/>
      </c>
      <c r="L177" s="180" t="str">
        <f t="shared" si="32"/>
        <v/>
      </c>
      <c r="M177" s="176" t="str">
        <f>IF(A177="","",IFERROR(INDEX('09_Posicion_Actual'!$F$5:$F$204,MATCH(A177,'09_Posicion_Actual'!$B$5:$B$204,0)),""))</f>
        <v/>
      </c>
      <c r="N177" s="177" t="str">
        <f>IF(A177="","",IFERROR(INDEX('09_Posicion_Actual'!$E$5:$E$204,MATCH(A177,'09_Posicion_Actual'!$B$5:$B$204,0)),""))</f>
        <v/>
      </c>
      <c r="O177" s="131" t="str">
        <f>IF(A177="","",IFERROR(INDEX('09_Posicion_Actual'!$A$5:$A$204,MATCH(A177,'09_Posicion_Actual'!$B$5:$B$204,0)),""))</f>
        <v/>
      </c>
      <c r="P177" s="132" t="str">
        <f t="shared" si="33"/>
        <v/>
      </c>
      <c r="Q177" s="132" t="str">
        <f t="shared" si="34"/>
        <v/>
      </c>
      <c r="R177" s="132" t="str">
        <f>IF(A177="","",IFERROR(INDEX('09_Posicion_Actual'!$P$5:$P$204,MATCH(A177,'09_Posicion_Actual'!$B$5:$B$204,0)),""))</f>
        <v/>
      </c>
      <c r="S177" s="132" t="str">
        <f t="shared" si="35"/>
        <v/>
      </c>
      <c r="T177" s="132"/>
      <c r="U177" s="132"/>
      <c r="V177" s="132"/>
      <c r="W177" s="132"/>
      <c r="X177" s="132"/>
    </row>
    <row r="178" spans="1:24">
      <c r="A178" s="132"/>
      <c r="B178" s="132"/>
      <c r="C178" s="132"/>
      <c r="D178" s="132"/>
      <c r="E178" s="176" t="str">
        <f>IF(A178="","",SUMIFS('14_Inversiones'!$E$5:$E$203,'14_Inversiones'!$B$5:$B$203,A178,'14_Inversiones'!$D$5:$D$203,C178,'14_Inversiones'!$C$5:$C$203,"Compra")+SUMIFS('14_Inversiones'!$E$5:$E$203,'14_Inversiones'!$B$5:$B$203,A178,'14_Inversiones'!$D$5:$D$203,C178,'14_Inversiones'!$C$5:$C$203,"Aporte")+SUMIFS('14_Inversiones'!$E$5:$E$203,'14_Inversiones'!$B$5:$B$203,A178,'14_Inversiones'!$D$5:$D$203,C178,'14_Inversiones'!$C$5:$C$203,"Ajuste"))</f>
        <v/>
      </c>
      <c r="F178" s="176" t="str">
        <f>IF(A178="","",SUMIFS('14_Inversiones'!$E$5:$E$203,'14_Inversiones'!$B$5:$B$203,A178,'14_Inversiones'!$D$5:$D$203,C178,'14_Inversiones'!$C$5:$C$203,"Retiro")+SUMIFS('14_Inversiones'!$E$5:$E$203,'14_Inversiones'!$B$5:$B$203,A178,'14_Inversiones'!$D$5:$D$203,C178,'14_Inversiones'!$C$5:$C$203,"Venta"))</f>
        <v/>
      </c>
      <c r="G178" s="176" t="str">
        <f t="shared" si="30"/>
        <v/>
      </c>
      <c r="H178" s="176" t="str">
        <f>IF(A178="","",IFERROR(INDEX('09_Posicion_Actual'!$G$5:$G$204,MATCH(A178,'09_Posicion_Actual'!$B$5:$B$204,0)),0))</f>
        <v/>
      </c>
      <c r="I178" s="171" t="str">
        <f>IF(A178="","",IFERROR(INDEX('09_Posicion_Actual'!$I$5:$I$204,MATCH(A178,'09_Posicion_Actual'!$B$5:$B$204,0)),0))</f>
        <v/>
      </c>
      <c r="J178" s="176" t="str">
        <f t="shared" si="31"/>
        <v/>
      </c>
      <c r="K178" s="171" t="str">
        <f>IF(A178="","",IF(C178="USD",J178*IFERROR(INDEX('09_Posicion_Actual'!$H$5:$H$204,MATCH(A178,'09_Posicion_Actual'!$B$5:$B$204,0)),950),J178))</f>
        <v/>
      </c>
      <c r="L178" s="180" t="str">
        <f t="shared" si="32"/>
        <v/>
      </c>
      <c r="M178" s="176" t="str">
        <f>IF(A178="","",IFERROR(INDEX('09_Posicion_Actual'!$F$5:$F$204,MATCH(A178,'09_Posicion_Actual'!$B$5:$B$204,0)),""))</f>
        <v/>
      </c>
      <c r="N178" s="177" t="str">
        <f>IF(A178="","",IFERROR(INDEX('09_Posicion_Actual'!$E$5:$E$204,MATCH(A178,'09_Posicion_Actual'!$B$5:$B$204,0)),""))</f>
        <v/>
      </c>
      <c r="O178" s="131" t="str">
        <f>IF(A178="","",IFERROR(INDEX('09_Posicion_Actual'!$A$5:$A$204,MATCH(A178,'09_Posicion_Actual'!$B$5:$B$204,0)),""))</f>
        <v/>
      </c>
      <c r="P178" s="132" t="str">
        <f t="shared" si="33"/>
        <v/>
      </c>
      <c r="Q178" s="132" t="str">
        <f t="shared" si="34"/>
        <v/>
      </c>
      <c r="R178" s="132" t="str">
        <f>IF(A178="","",IFERROR(INDEX('09_Posicion_Actual'!$P$5:$P$204,MATCH(A178,'09_Posicion_Actual'!$B$5:$B$204,0)),""))</f>
        <v/>
      </c>
      <c r="S178" s="132" t="str">
        <f t="shared" si="35"/>
        <v/>
      </c>
      <c r="T178" s="132"/>
      <c r="U178" s="132"/>
      <c r="V178" s="132"/>
      <c r="W178" s="132"/>
      <c r="X178" s="132"/>
    </row>
    <row r="179" spans="1:24">
      <c r="A179" s="132"/>
      <c r="B179" s="132"/>
      <c r="C179" s="132"/>
      <c r="D179" s="132"/>
      <c r="E179" s="176" t="str">
        <f>IF(A179="","",SUMIFS('14_Inversiones'!$E$5:$E$203,'14_Inversiones'!$B$5:$B$203,A179,'14_Inversiones'!$D$5:$D$203,C179,'14_Inversiones'!$C$5:$C$203,"Compra")+SUMIFS('14_Inversiones'!$E$5:$E$203,'14_Inversiones'!$B$5:$B$203,A179,'14_Inversiones'!$D$5:$D$203,C179,'14_Inversiones'!$C$5:$C$203,"Aporte")+SUMIFS('14_Inversiones'!$E$5:$E$203,'14_Inversiones'!$B$5:$B$203,A179,'14_Inversiones'!$D$5:$D$203,C179,'14_Inversiones'!$C$5:$C$203,"Ajuste"))</f>
        <v/>
      </c>
      <c r="F179" s="176" t="str">
        <f>IF(A179="","",SUMIFS('14_Inversiones'!$E$5:$E$203,'14_Inversiones'!$B$5:$B$203,A179,'14_Inversiones'!$D$5:$D$203,C179,'14_Inversiones'!$C$5:$C$203,"Retiro")+SUMIFS('14_Inversiones'!$E$5:$E$203,'14_Inversiones'!$B$5:$B$203,A179,'14_Inversiones'!$D$5:$D$203,C179,'14_Inversiones'!$C$5:$C$203,"Venta"))</f>
        <v/>
      </c>
      <c r="G179" s="176" t="str">
        <f t="shared" si="30"/>
        <v/>
      </c>
      <c r="H179" s="176" t="str">
        <f>IF(A179="","",IFERROR(INDEX('09_Posicion_Actual'!$G$5:$G$204,MATCH(A179,'09_Posicion_Actual'!$B$5:$B$204,0)),0))</f>
        <v/>
      </c>
      <c r="I179" s="171" t="str">
        <f>IF(A179="","",IFERROR(INDEX('09_Posicion_Actual'!$I$5:$I$204,MATCH(A179,'09_Posicion_Actual'!$B$5:$B$204,0)),0))</f>
        <v/>
      </c>
      <c r="J179" s="176" t="str">
        <f t="shared" si="31"/>
        <v/>
      </c>
      <c r="K179" s="171" t="str">
        <f>IF(A179="","",IF(C179="USD",J179*IFERROR(INDEX('09_Posicion_Actual'!$H$5:$H$204,MATCH(A179,'09_Posicion_Actual'!$B$5:$B$204,0)),950),J179))</f>
        <v/>
      </c>
      <c r="L179" s="180" t="str">
        <f t="shared" si="32"/>
        <v/>
      </c>
      <c r="M179" s="176" t="str">
        <f>IF(A179="","",IFERROR(INDEX('09_Posicion_Actual'!$F$5:$F$204,MATCH(A179,'09_Posicion_Actual'!$B$5:$B$204,0)),""))</f>
        <v/>
      </c>
      <c r="N179" s="177" t="str">
        <f>IF(A179="","",IFERROR(INDEX('09_Posicion_Actual'!$E$5:$E$204,MATCH(A179,'09_Posicion_Actual'!$B$5:$B$204,0)),""))</f>
        <v/>
      </c>
      <c r="O179" s="131" t="str">
        <f>IF(A179="","",IFERROR(INDEX('09_Posicion_Actual'!$A$5:$A$204,MATCH(A179,'09_Posicion_Actual'!$B$5:$B$204,0)),""))</f>
        <v/>
      </c>
      <c r="P179" s="132" t="str">
        <f t="shared" si="33"/>
        <v/>
      </c>
      <c r="Q179" s="132" t="str">
        <f t="shared" si="34"/>
        <v/>
      </c>
      <c r="R179" s="132" t="str">
        <f>IF(A179="","",IFERROR(INDEX('09_Posicion_Actual'!$P$5:$P$204,MATCH(A179,'09_Posicion_Actual'!$B$5:$B$204,0)),""))</f>
        <v/>
      </c>
      <c r="S179" s="132" t="str">
        <f t="shared" si="35"/>
        <v/>
      </c>
      <c r="T179" s="132"/>
      <c r="U179" s="132"/>
      <c r="V179" s="132"/>
      <c r="W179" s="132"/>
      <c r="X179" s="132"/>
    </row>
    <row r="180" spans="1:24">
      <c r="A180" s="132"/>
      <c r="B180" s="132"/>
      <c r="C180" s="132"/>
      <c r="D180" s="132"/>
      <c r="E180" s="176" t="str">
        <f>IF(A180="","",SUMIFS('14_Inversiones'!$E$5:$E$203,'14_Inversiones'!$B$5:$B$203,A180,'14_Inversiones'!$D$5:$D$203,C180,'14_Inversiones'!$C$5:$C$203,"Compra")+SUMIFS('14_Inversiones'!$E$5:$E$203,'14_Inversiones'!$B$5:$B$203,A180,'14_Inversiones'!$D$5:$D$203,C180,'14_Inversiones'!$C$5:$C$203,"Aporte")+SUMIFS('14_Inversiones'!$E$5:$E$203,'14_Inversiones'!$B$5:$B$203,A180,'14_Inversiones'!$D$5:$D$203,C180,'14_Inversiones'!$C$5:$C$203,"Ajuste"))</f>
        <v/>
      </c>
      <c r="F180" s="176" t="str">
        <f>IF(A180="","",SUMIFS('14_Inversiones'!$E$5:$E$203,'14_Inversiones'!$B$5:$B$203,A180,'14_Inversiones'!$D$5:$D$203,C180,'14_Inversiones'!$C$5:$C$203,"Retiro")+SUMIFS('14_Inversiones'!$E$5:$E$203,'14_Inversiones'!$B$5:$B$203,A180,'14_Inversiones'!$D$5:$D$203,C180,'14_Inversiones'!$C$5:$C$203,"Venta"))</f>
        <v/>
      </c>
      <c r="G180" s="176" t="str">
        <f t="shared" si="30"/>
        <v/>
      </c>
      <c r="H180" s="176" t="str">
        <f>IF(A180="","",IFERROR(INDEX('09_Posicion_Actual'!$G$5:$G$204,MATCH(A180,'09_Posicion_Actual'!$B$5:$B$204,0)),0))</f>
        <v/>
      </c>
      <c r="I180" s="171" t="str">
        <f>IF(A180="","",IFERROR(INDEX('09_Posicion_Actual'!$I$5:$I$204,MATCH(A180,'09_Posicion_Actual'!$B$5:$B$204,0)),0))</f>
        <v/>
      </c>
      <c r="J180" s="176" t="str">
        <f t="shared" si="31"/>
        <v/>
      </c>
      <c r="K180" s="171" t="str">
        <f>IF(A180="","",IF(C180="USD",J180*IFERROR(INDEX('09_Posicion_Actual'!$H$5:$H$204,MATCH(A180,'09_Posicion_Actual'!$B$5:$B$204,0)),950),J180))</f>
        <v/>
      </c>
      <c r="L180" s="180" t="str">
        <f t="shared" si="32"/>
        <v/>
      </c>
      <c r="M180" s="176" t="str">
        <f>IF(A180="","",IFERROR(INDEX('09_Posicion_Actual'!$F$5:$F$204,MATCH(A180,'09_Posicion_Actual'!$B$5:$B$204,0)),""))</f>
        <v/>
      </c>
      <c r="N180" s="177" t="str">
        <f>IF(A180="","",IFERROR(INDEX('09_Posicion_Actual'!$E$5:$E$204,MATCH(A180,'09_Posicion_Actual'!$B$5:$B$204,0)),""))</f>
        <v/>
      </c>
      <c r="O180" s="131" t="str">
        <f>IF(A180="","",IFERROR(INDEX('09_Posicion_Actual'!$A$5:$A$204,MATCH(A180,'09_Posicion_Actual'!$B$5:$B$204,0)),""))</f>
        <v/>
      </c>
      <c r="P180" s="132" t="str">
        <f t="shared" si="33"/>
        <v/>
      </c>
      <c r="Q180" s="132" t="str">
        <f t="shared" si="34"/>
        <v/>
      </c>
      <c r="R180" s="132" t="str">
        <f>IF(A180="","",IFERROR(INDEX('09_Posicion_Actual'!$P$5:$P$204,MATCH(A180,'09_Posicion_Actual'!$B$5:$B$204,0)),""))</f>
        <v/>
      </c>
      <c r="S180" s="132" t="str">
        <f t="shared" si="35"/>
        <v/>
      </c>
      <c r="T180" s="132"/>
      <c r="U180" s="132"/>
      <c r="V180" s="132"/>
      <c r="W180" s="132"/>
      <c r="X180" s="132"/>
    </row>
    <row r="181" spans="1:24">
      <c r="A181" s="132"/>
      <c r="B181" s="132"/>
      <c r="C181" s="132"/>
      <c r="D181" s="132"/>
      <c r="E181" s="176" t="str">
        <f>IF(A181="","",SUMIFS('14_Inversiones'!$E$5:$E$203,'14_Inversiones'!$B$5:$B$203,A181,'14_Inversiones'!$D$5:$D$203,C181,'14_Inversiones'!$C$5:$C$203,"Compra")+SUMIFS('14_Inversiones'!$E$5:$E$203,'14_Inversiones'!$B$5:$B$203,A181,'14_Inversiones'!$D$5:$D$203,C181,'14_Inversiones'!$C$5:$C$203,"Aporte")+SUMIFS('14_Inversiones'!$E$5:$E$203,'14_Inversiones'!$B$5:$B$203,A181,'14_Inversiones'!$D$5:$D$203,C181,'14_Inversiones'!$C$5:$C$203,"Ajuste"))</f>
        <v/>
      </c>
      <c r="F181" s="176" t="str">
        <f>IF(A181="","",SUMIFS('14_Inversiones'!$E$5:$E$203,'14_Inversiones'!$B$5:$B$203,A181,'14_Inversiones'!$D$5:$D$203,C181,'14_Inversiones'!$C$5:$C$203,"Retiro")+SUMIFS('14_Inversiones'!$E$5:$E$203,'14_Inversiones'!$B$5:$B$203,A181,'14_Inversiones'!$D$5:$D$203,C181,'14_Inversiones'!$C$5:$C$203,"Venta"))</f>
        <v/>
      </c>
      <c r="G181" s="176" t="str">
        <f t="shared" si="30"/>
        <v/>
      </c>
      <c r="H181" s="176" t="str">
        <f>IF(A181="","",IFERROR(INDEX('09_Posicion_Actual'!$G$5:$G$204,MATCH(A181,'09_Posicion_Actual'!$B$5:$B$204,0)),0))</f>
        <v/>
      </c>
      <c r="I181" s="171" t="str">
        <f>IF(A181="","",IFERROR(INDEX('09_Posicion_Actual'!$I$5:$I$204,MATCH(A181,'09_Posicion_Actual'!$B$5:$B$204,0)),0))</f>
        <v/>
      </c>
      <c r="J181" s="176" t="str">
        <f t="shared" si="31"/>
        <v/>
      </c>
      <c r="K181" s="171" t="str">
        <f>IF(A181="","",IF(C181="USD",J181*IFERROR(INDEX('09_Posicion_Actual'!$H$5:$H$204,MATCH(A181,'09_Posicion_Actual'!$B$5:$B$204,0)),950),J181))</f>
        <v/>
      </c>
      <c r="L181" s="180" t="str">
        <f t="shared" si="32"/>
        <v/>
      </c>
      <c r="M181" s="176" t="str">
        <f>IF(A181="","",IFERROR(INDEX('09_Posicion_Actual'!$F$5:$F$204,MATCH(A181,'09_Posicion_Actual'!$B$5:$B$204,0)),""))</f>
        <v/>
      </c>
      <c r="N181" s="177" t="str">
        <f>IF(A181="","",IFERROR(INDEX('09_Posicion_Actual'!$E$5:$E$204,MATCH(A181,'09_Posicion_Actual'!$B$5:$B$204,0)),""))</f>
        <v/>
      </c>
      <c r="O181" s="131" t="str">
        <f>IF(A181="","",IFERROR(INDEX('09_Posicion_Actual'!$A$5:$A$204,MATCH(A181,'09_Posicion_Actual'!$B$5:$B$204,0)),""))</f>
        <v/>
      </c>
      <c r="P181" s="132" t="str">
        <f t="shared" si="33"/>
        <v/>
      </c>
      <c r="Q181" s="132" t="str">
        <f t="shared" si="34"/>
        <v/>
      </c>
      <c r="R181" s="132" t="str">
        <f>IF(A181="","",IFERROR(INDEX('09_Posicion_Actual'!$P$5:$P$204,MATCH(A181,'09_Posicion_Actual'!$B$5:$B$204,0)),""))</f>
        <v/>
      </c>
      <c r="S181" s="132" t="str">
        <f t="shared" si="35"/>
        <v/>
      </c>
      <c r="T181" s="132"/>
      <c r="U181" s="132"/>
      <c r="V181" s="132"/>
      <c r="W181" s="132"/>
      <c r="X181" s="132"/>
    </row>
    <row r="182" spans="1:24">
      <c r="A182" s="132"/>
      <c r="B182" s="132"/>
      <c r="C182" s="132"/>
      <c r="D182" s="132"/>
      <c r="E182" s="176" t="str">
        <f>IF(A182="","",SUMIFS('14_Inversiones'!$E$5:$E$203,'14_Inversiones'!$B$5:$B$203,A182,'14_Inversiones'!$D$5:$D$203,C182,'14_Inversiones'!$C$5:$C$203,"Compra")+SUMIFS('14_Inversiones'!$E$5:$E$203,'14_Inversiones'!$B$5:$B$203,A182,'14_Inversiones'!$D$5:$D$203,C182,'14_Inversiones'!$C$5:$C$203,"Aporte")+SUMIFS('14_Inversiones'!$E$5:$E$203,'14_Inversiones'!$B$5:$B$203,A182,'14_Inversiones'!$D$5:$D$203,C182,'14_Inversiones'!$C$5:$C$203,"Ajuste"))</f>
        <v/>
      </c>
      <c r="F182" s="176" t="str">
        <f>IF(A182="","",SUMIFS('14_Inversiones'!$E$5:$E$203,'14_Inversiones'!$B$5:$B$203,A182,'14_Inversiones'!$D$5:$D$203,C182,'14_Inversiones'!$C$5:$C$203,"Retiro")+SUMIFS('14_Inversiones'!$E$5:$E$203,'14_Inversiones'!$B$5:$B$203,A182,'14_Inversiones'!$D$5:$D$203,C182,'14_Inversiones'!$C$5:$C$203,"Venta"))</f>
        <v/>
      </c>
      <c r="G182" s="176" t="str">
        <f t="shared" si="30"/>
        <v/>
      </c>
      <c r="H182" s="176" t="str">
        <f>IF(A182="","",IFERROR(INDEX('09_Posicion_Actual'!$G$5:$G$204,MATCH(A182,'09_Posicion_Actual'!$B$5:$B$204,0)),0))</f>
        <v/>
      </c>
      <c r="I182" s="171" t="str">
        <f>IF(A182="","",IFERROR(INDEX('09_Posicion_Actual'!$I$5:$I$204,MATCH(A182,'09_Posicion_Actual'!$B$5:$B$204,0)),0))</f>
        <v/>
      </c>
      <c r="J182" s="176" t="str">
        <f t="shared" si="31"/>
        <v/>
      </c>
      <c r="K182" s="171" t="str">
        <f>IF(A182="","",IF(C182="USD",J182*IFERROR(INDEX('09_Posicion_Actual'!$H$5:$H$204,MATCH(A182,'09_Posicion_Actual'!$B$5:$B$204,0)),950),J182))</f>
        <v/>
      </c>
      <c r="L182" s="180" t="str">
        <f t="shared" si="32"/>
        <v/>
      </c>
      <c r="M182" s="176" t="str">
        <f>IF(A182="","",IFERROR(INDEX('09_Posicion_Actual'!$F$5:$F$204,MATCH(A182,'09_Posicion_Actual'!$B$5:$B$204,0)),""))</f>
        <v/>
      </c>
      <c r="N182" s="177" t="str">
        <f>IF(A182="","",IFERROR(INDEX('09_Posicion_Actual'!$E$5:$E$204,MATCH(A182,'09_Posicion_Actual'!$B$5:$B$204,0)),""))</f>
        <v/>
      </c>
      <c r="O182" s="131" t="str">
        <f>IF(A182="","",IFERROR(INDEX('09_Posicion_Actual'!$A$5:$A$204,MATCH(A182,'09_Posicion_Actual'!$B$5:$B$204,0)),""))</f>
        <v/>
      </c>
      <c r="P182" s="132" t="str">
        <f t="shared" si="33"/>
        <v/>
      </c>
      <c r="Q182" s="132" t="str">
        <f t="shared" si="34"/>
        <v/>
      </c>
      <c r="R182" s="132" t="str">
        <f>IF(A182="","",IFERROR(INDEX('09_Posicion_Actual'!$P$5:$P$204,MATCH(A182,'09_Posicion_Actual'!$B$5:$B$204,0)),""))</f>
        <v/>
      </c>
      <c r="S182" s="132" t="str">
        <f t="shared" si="35"/>
        <v/>
      </c>
      <c r="T182" s="132"/>
      <c r="U182" s="132"/>
      <c r="V182" s="132"/>
      <c r="W182" s="132"/>
      <c r="X182" s="132"/>
    </row>
    <row r="183" spans="1:24">
      <c r="A183" s="132"/>
      <c r="B183" s="132"/>
      <c r="C183" s="132"/>
      <c r="D183" s="132"/>
      <c r="E183" s="176" t="str">
        <f>IF(A183="","",SUMIFS('14_Inversiones'!$E$5:$E$203,'14_Inversiones'!$B$5:$B$203,A183,'14_Inversiones'!$D$5:$D$203,C183,'14_Inversiones'!$C$5:$C$203,"Compra")+SUMIFS('14_Inversiones'!$E$5:$E$203,'14_Inversiones'!$B$5:$B$203,A183,'14_Inversiones'!$D$5:$D$203,C183,'14_Inversiones'!$C$5:$C$203,"Aporte")+SUMIFS('14_Inversiones'!$E$5:$E$203,'14_Inversiones'!$B$5:$B$203,A183,'14_Inversiones'!$D$5:$D$203,C183,'14_Inversiones'!$C$5:$C$203,"Ajuste"))</f>
        <v/>
      </c>
      <c r="F183" s="176" t="str">
        <f>IF(A183="","",SUMIFS('14_Inversiones'!$E$5:$E$203,'14_Inversiones'!$B$5:$B$203,A183,'14_Inversiones'!$D$5:$D$203,C183,'14_Inversiones'!$C$5:$C$203,"Retiro")+SUMIFS('14_Inversiones'!$E$5:$E$203,'14_Inversiones'!$B$5:$B$203,A183,'14_Inversiones'!$D$5:$D$203,C183,'14_Inversiones'!$C$5:$C$203,"Venta"))</f>
        <v/>
      </c>
      <c r="G183" s="176" t="str">
        <f t="shared" si="30"/>
        <v/>
      </c>
      <c r="H183" s="176" t="str">
        <f>IF(A183="","",IFERROR(INDEX('09_Posicion_Actual'!$G$5:$G$204,MATCH(A183,'09_Posicion_Actual'!$B$5:$B$204,0)),0))</f>
        <v/>
      </c>
      <c r="I183" s="171" t="str">
        <f>IF(A183="","",IFERROR(INDEX('09_Posicion_Actual'!$I$5:$I$204,MATCH(A183,'09_Posicion_Actual'!$B$5:$B$204,0)),0))</f>
        <v/>
      </c>
      <c r="J183" s="176" t="str">
        <f t="shared" si="31"/>
        <v/>
      </c>
      <c r="K183" s="171" t="str">
        <f>IF(A183="","",IF(C183="USD",J183*IFERROR(INDEX('09_Posicion_Actual'!$H$5:$H$204,MATCH(A183,'09_Posicion_Actual'!$B$5:$B$204,0)),950),J183))</f>
        <v/>
      </c>
      <c r="L183" s="180" t="str">
        <f t="shared" si="32"/>
        <v/>
      </c>
      <c r="M183" s="176" t="str">
        <f>IF(A183="","",IFERROR(INDEX('09_Posicion_Actual'!$F$5:$F$204,MATCH(A183,'09_Posicion_Actual'!$B$5:$B$204,0)),""))</f>
        <v/>
      </c>
      <c r="N183" s="177" t="str">
        <f>IF(A183="","",IFERROR(INDEX('09_Posicion_Actual'!$E$5:$E$204,MATCH(A183,'09_Posicion_Actual'!$B$5:$B$204,0)),""))</f>
        <v/>
      </c>
      <c r="O183" s="131" t="str">
        <f>IF(A183="","",IFERROR(INDEX('09_Posicion_Actual'!$A$5:$A$204,MATCH(A183,'09_Posicion_Actual'!$B$5:$B$204,0)),""))</f>
        <v/>
      </c>
      <c r="P183" s="132" t="str">
        <f t="shared" si="33"/>
        <v/>
      </c>
      <c r="Q183" s="132" t="str">
        <f t="shared" si="34"/>
        <v/>
      </c>
      <c r="R183" s="132" t="str">
        <f>IF(A183="","",IFERROR(INDEX('09_Posicion_Actual'!$P$5:$P$204,MATCH(A183,'09_Posicion_Actual'!$B$5:$B$204,0)),""))</f>
        <v/>
      </c>
      <c r="S183" s="132" t="str">
        <f t="shared" si="35"/>
        <v/>
      </c>
      <c r="T183" s="132"/>
      <c r="U183" s="132"/>
      <c r="V183" s="132"/>
      <c r="W183" s="132"/>
      <c r="X183" s="132"/>
    </row>
    <row r="184" spans="1:24">
      <c r="A184" s="132"/>
      <c r="B184" s="132"/>
      <c r="C184" s="132"/>
      <c r="D184" s="132"/>
      <c r="E184" s="176" t="str">
        <f>IF(A184="","",SUMIFS('14_Inversiones'!$E$5:$E$203,'14_Inversiones'!$B$5:$B$203,A184,'14_Inversiones'!$D$5:$D$203,C184,'14_Inversiones'!$C$5:$C$203,"Compra")+SUMIFS('14_Inversiones'!$E$5:$E$203,'14_Inversiones'!$B$5:$B$203,A184,'14_Inversiones'!$D$5:$D$203,C184,'14_Inversiones'!$C$5:$C$203,"Aporte")+SUMIFS('14_Inversiones'!$E$5:$E$203,'14_Inversiones'!$B$5:$B$203,A184,'14_Inversiones'!$D$5:$D$203,C184,'14_Inversiones'!$C$5:$C$203,"Ajuste"))</f>
        <v/>
      </c>
      <c r="F184" s="176" t="str">
        <f>IF(A184="","",SUMIFS('14_Inversiones'!$E$5:$E$203,'14_Inversiones'!$B$5:$B$203,A184,'14_Inversiones'!$D$5:$D$203,C184,'14_Inversiones'!$C$5:$C$203,"Retiro")+SUMIFS('14_Inversiones'!$E$5:$E$203,'14_Inversiones'!$B$5:$B$203,A184,'14_Inversiones'!$D$5:$D$203,C184,'14_Inversiones'!$C$5:$C$203,"Venta"))</f>
        <v/>
      </c>
      <c r="G184" s="176" t="str">
        <f t="shared" si="30"/>
        <v/>
      </c>
      <c r="H184" s="176" t="str">
        <f>IF(A184="","",IFERROR(INDEX('09_Posicion_Actual'!$G$5:$G$204,MATCH(A184,'09_Posicion_Actual'!$B$5:$B$204,0)),0))</f>
        <v/>
      </c>
      <c r="I184" s="171" t="str">
        <f>IF(A184="","",IFERROR(INDEX('09_Posicion_Actual'!$I$5:$I$204,MATCH(A184,'09_Posicion_Actual'!$B$5:$B$204,0)),0))</f>
        <v/>
      </c>
      <c r="J184" s="176" t="str">
        <f t="shared" si="31"/>
        <v/>
      </c>
      <c r="K184" s="171" t="str">
        <f>IF(A184="","",IF(C184="USD",J184*IFERROR(INDEX('09_Posicion_Actual'!$H$5:$H$204,MATCH(A184,'09_Posicion_Actual'!$B$5:$B$204,0)),950),J184))</f>
        <v/>
      </c>
      <c r="L184" s="180" t="str">
        <f t="shared" si="32"/>
        <v/>
      </c>
      <c r="M184" s="176" t="str">
        <f>IF(A184="","",IFERROR(INDEX('09_Posicion_Actual'!$F$5:$F$204,MATCH(A184,'09_Posicion_Actual'!$B$5:$B$204,0)),""))</f>
        <v/>
      </c>
      <c r="N184" s="177" t="str">
        <f>IF(A184="","",IFERROR(INDEX('09_Posicion_Actual'!$E$5:$E$204,MATCH(A184,'09_Posicion_Actual'!$B$5:$B$204,0)),""))</f>
        <v/>
      </c>
      <c r="O184" s="131" t="str">
        <f>IF(A184="","",IFERROR(INDEX('09_Posicion_Actual'!$A$5:$A$204,MATCH(A184,'09_Posicion_Actual'!$B$5:$B$204,0)),""))</f>
        <v/>
      </c>
      <c r="P184" s="132" t="str">
        <f t="shared" si="33"/>
        <v/>
      </c>
      <c r="Q184" s="132" t="str">
        <f t="shared" si="34"/>
        <v/>
      </c>
      <c r="R184" s="132" t="str">
        <f>IF(A184="","",IFERROR(INDEX('09_Posicion_Actual'!$P$5:$P$204,MATCH(A184,'09_Posicion_Actual'!$B$5:$B$204,0)),""))</f>
        <v/>
      </c>
      <c r="S184" s="132" t="str">
        <f t="shared" si="35"/>
        <v/>
      </c>
      <c r="T184" s="132"/>
      <c r="U184" s="132"/>
      <c r="V184" s="132"/>
      <c r="W184" s="132"/>
      <c r="X184" s="132"/>
    </row>
    <row r="185" spans="1:24">
      <c r="A185" s="132"/>
      <c r="B185" s="132"/>
      <c r="C185" s="132"/>
      <c r="D185" s="132"/>
      <c r="E185" s="176" t="str">
        <f>IF(A185="","",SUMIFS('14_Inversiones'!$E$5:$E$203,'14_Inversiones'!$B$5:$B$203,A185,'14_Inversiones'!$D$5:$D$203,C185,'14_Inversiones'!$C$5:$C$203,"Compra")+SUMIFS('14_Inversiones'!$E$5:$E$203,'14_Inversiones'!$B$5:$B$203,A185,'14_Inversiones'!$D$5:$D$203,C185,'14_Inversiones'!$C$5:$C$203,"Aporte")+SUMIFS('14_Inversiones'!$E$5:$E$203,'14_Inversiones'!$B$5:$B$203,A185,'14_Inversiones'!$D$5:$D$203,C185,'14_Inversiones'!$C$5:$C$203,"Ajuste"))</f>
        <v/>
      </c>
      <c r="F185" s="176" t="str">
        <f>IF(A185="","",SUMIFS('14_Inversiones'!$E$5:$E$203,'14_Inversiones'!$B$5:$B$203,A185,'14_Inversiones'!$D$5:$D$203,C185,'14_Inversiones'!$C$5:$C$203,"Retiro")+SUMIFS('14_Inversiones'!$E$5:$E$203,'14_Inversiones'!$B$5:$B$203,A185,'14_Inversiones'!$D$5:$D$203,C185,'14_Inversiones'!$C$5:$C$203,"Venta"))</f>
        <v/>
      </c>
      <c r="G185" s="176" t="str">
        <f t="shared" si="30"/>
        <v/>
      </c>
      <c r="H185" s="176" t="str">
        <f>IF(A185="","",IFERROR(INDEX('09_Posicion_Actual'!$G$5:$G$204,MATCH(A185,'09_Posicion_Actual'!$B$5:$B$204,0)),0))</f>
        <v/>
      </c>
      <c r="I185" s="171" t="str">
        <f>IF(A185="","",IFERROR(INDEX('09_Posicion_Actual'!$I$5:$I$204,MATCH(A185,'09_Posicion_Actual'!$B$5:$B$204,0)),0))</f>
        <v/>
      </c>
      <c r="J185" s="176" t="str">
        <f t="shared" si="31"/>
        <v/>
      </c>
      <c r="K185" s="171" t="str">
        <f>IF(A185="","",IF(C185="USD",J185*IFERROR(INDEX('09_Posicion_Actual'!$H$5:$H$204,MATCH(A185,'09_Posicion_Actual'!$B$5:$B$204,0)),950),J185))</f>
        <v/>
      </c>
      <c r="L185" s="180" t="str">
        <f t="shared" si="32"/>
        <v/>
      </c>
      <c r="M185" s="176" t="str">
        <f>IF(A185="","",IFERROR(INDEX('09_Posicion_Actual'!$F$5:$F$204,MATCH(A185,'09_Posicion_Actual'!$B$5:$B$204,0)),""))</f>
        <v/>
      </c>
      <c r="N185" s="177" t="str">
        <f>IF(A185="","",IFERROR(INDEX('09_Posicion_Actual'!$E$5:$E$204,MATCH(A185,'09_Posicion_Actual'!$B$5:$B$204,0)),""))</f>
        <v/>
      </c>
      <c r="O185" s="131" t="str">
        <f>IF(A185="","",IFERROR(INDEX('09_Posicion_Actual'!$A$5:$A$204,MATCH(A185,'09_Posicion_Actual'!$B$5:$B$204,0)),""))</f>
        <v/>
      </c>
      <c r="P185" s="132" t="str">
        <f t="shared" si="33"/>
        <v/>
      </c>
      <c r="Q185" s="132" t="str">
        <f t="shared" si="34"/>
        <v/>
      </c>
      <c r="R185" s="132" t="str">
        <f>IF(A185="","",IFERROR(INDEX('09_Posicion_Actual'!$P$5:$P$204,MATCH(A185,'09_Posicion_Actual'!$B$5:$B$204,0)),""))</f>
        <v/>
      </c>
      <c r="S185" s="132" t="str">
        <f t="shared" si="35"/>
        <v/>
      </c>
      <c r="T185" s="132"/>
      <c r="U185" s="132"/>
      <c r="V185" s="132"/>
      <c r="W185" s="132"/>
      <c r="X185" s="132"/>
    </row>
    <row r="186" spans="1:24">
      <c r="A186" s="132"/>
      <c r="B186" s="132"/>
      <c r="C186" s="132"/>
      <c r="D186" s="132"/>
      <c r="E186" s="176" t="str">
        <f>IF(A186="","",SUMIFS('14_Inversiones'!$E$5:$E$203,'14_Inversiones'!$B$5:$B$203,A186,'14_Inversiones'!$D$5:$D$203,C186,'14_Inversiones'!$C$5:$C$203,"Compra")+SUMIFS('14_Inversiones'!$E$5:$E$203,'14_Inversiones'!$B$5:$B$203,A186,'14_Inversiones'!$D$5:$D$203,C186,'14_Inversiones'!$C$5:$C$203,"Aporte")+SUMIFS('14_Inversiones'!$E$5:$E$203,'14_Inversiones'!$B$5:$B$203,A186,'14_Inversiones'!$D$5:$D$203,C186,'14_Inversiones'!$C$5:$C$203,"Ajuste"))</f>
        <v/>
      </c>
      <c r="F186" s="176" t="str">
        <f>IF(A186="","",SUMIFS('14_Inversiones'!$E$5:$E$203,'14_Inversiones'!$B$5:$B$203,A186,'14_Inversiones'!$D$5:$D$203,C186,'14_Inversiones'!$C$5:$C$203,"Retiro")+SUMIFS('14_Inversiones'!$E$5:$E$203,'14_Inversiones'!$B$5:$B$203,A186,'14_Inversiones'!$D$5:$D$203,C186,'14_Inversiones'!$C$5:$C$203,"Venta"))</f>
        <v/>
      </c>
      <c r="G186" s="176" t="str">
        <f t="shared" si="30"/>
        <v/>
      </c>
      <c r="H186" s="176" t="str">
        <f>IF(A186="","",IFERROR(INDEX('09_Posicion_Actual'!$G$5:$G$204,MATCH(A186,'09_Posicion_Actual'!$B$5:$B$204,0)),0))</f>
        <v/>
      </c>
      <c r="I186" s="171" t="str">
        <f>IF(A186="","",IFERROR(INDEX('09_Posicion_Actual'!$I$5:$I$204,MATCH(A186,'09_Posicion_Actual'!$B$5:$B$204,0)),0))</f>
        <v/>
      </c>
      <c r="J186" s="176" t="str">
        <f t="shared" si="31"/>
        <v/>
      </c>
      <c r="K186" s="171" t="str">
        <f>IF(A186="","",IF(C186="USD",J186*IFERROR(INDEX('09_Posicion_Actual'!$H$5:$H$204,MATCH(A186,'09_Posicion_Actual'!$B$5:$B$204,0)),950),J186))</f>
        <v/>
      </c>
      <c r="L186" s="180" t="str">
        <f t="shared" si="32"/>
        <v/>
      </c>
      <c r="M186" s="176" t="str">
        <f>IF(A186="","",IFERROR(INDEX('09_Posicion_Actual'!$F$5:$F$204,MATCH(A186,'09_Posicion_Actual'!$B$5:$B$204,0)),""))</f>
        <v/>
      </c>
      <c r="N186" s="177" t="str">
        <f>IF(A186="","",IFERROR(INDEX('09_Posicion_Actual'!$E$5:$E$204,MATCH(A186,'09_Posicion_Actual'!$B$5:$B$204,0)),""))</f>
        <v/>
      </c>
      <c r="O186" s="131" t="str">
        <f>IF(A186="","",IFERROR(INDEX('09_Posicion_Actual'!$A$5:$A$204,MATCH(A186,'09_Posicion_Actual'!$B$5:$B$204,0)),""))</f>
        <v/>
      </c>
      <c r="P186" s="132" t="str">
        <f t="shared" si="33"/>
        <v/>
      </c>
      <c r="Q186" s="132" t="str">
        <f t="shared" si="34"/>
        <v/>
      </c>
      <c r="R186" s="132" t="str">
        <f>IF(A186="","",IFERROR(INDEX('09_Posicion_Actual'!$P$5:$P$204,MATCH(A186,'09_Posicion_Actual'!$B$5:$B$204,0)),""))</f>
        <v/>
      </c>
      <c r="S186" s="132" t="str">
        <f t="shared" si="35"/>
        <v/>
      </c>
      <c r="T186" s="132"/>
      <c r="U186" s="132"/>
      <c r="V186" s="132"/>
      <c r="W186" s="132"/>
      <c r="X186" s="132"/>
    </row>
    <row r="187" spans="1:24">
      <c r="A187" s="132"/>
      <c r="B187" s="132"/>
      <c r="C187" s="132"/>
      <c r="D187" s="132"/>
      <c r="E187" s="176" t="str">
        <f>IF(A187="","",SUMIFS('14_Inversiones'!$E$5:$E$203,'14_Inversiones'!$B$5:$B$203,A187,'14_Inversiones'!$D$5:$D$203,C187,'14_Inversiones'!$C$5:$C$203,"Compra")+SUMIFS('14_Inversiones'!$E$5:$E$203,'14_Inversiones'!$B$5:$B$203,A187,'14_Inversiones'!$D$5:$D$203,C187,'14_Inversiones'!$C$5:$C$203,"Aporte")+SUMIFS('14_Inversiones'!$E$5:$E$203,'14_Inversiones'!$B$5:$B$203,A187,'14_Inversiones'!$D$5:$D$203,C187,'14_Inversiones'!$C$5:$C$203,"Ajuste"))</f>
        <v/>
      </c>
      <c r="F187" s="176" t="str">
        <f>IF(A187="","",SUMIFS('14_Inversiones'!$E$5:$E$203,'14_Inversiones'!$B$5:$B$203,A187,'14_Inversiones'!$D$5:$D$203,C187,'14_Inversiones'!$C$5:$C$203,"Retiro")+SUMIFS('14_Inversiones'!$E$5:$E$203,'14_Inversiones'!$B$5:$B$203,A187,'14_Inversiones'!$D$5:$D$203,C187,'14_Inversiones'!$C$5:$C$203,"Venta"))</f>
        <v/>
      </c>
      <c r="G187" s="176" t="str">
        <f t="shared" si="30"/>
        <v/>
      </c>
      <c r="H187" s="176" t="str">
        <f>IF(A187="","",IFERROR(INDEX('09_Posicion_Actual'!$G$5:$G$204,MATCH(A187,'09_Posicion_Actual'!$B$5:$B$204,0)),0))</f>
        <v/>
      </c>
      <c r="I187" s="171" t="str">
        <f>IF(A187="","",IFERROR(INDEX('09_Posicion_Actual'!$I$5:$I$204,MATCH(A187,'09_Posicion_Actual'!$B$5:$B$204,0)),0))</f>
        <v/>
      </c>
      <c r="J187" s="176" t="str">
        <f t="shared" si="31"/>
        <v/>
      </c>
      <c r="K187" s="171" t="str">
        <f>IF(A187="","",IF(C187="USD",J187*IFERROR(INDEX('09_Posicion_Actual'!$H$5:$H$204,MATCH(A187,'09_Posicion_Actual'!$B$5:$B$204,0)),950),J187))</f>
        <v/>
      </c>
      <c r="L187" s="180" t="str">
        <f t="shared" si="32"/>
        <v/>
      </c>
      <c r="M187" s="176" t="str">
        <f>IF(A187="","",IFERROR(INDEX('09_Posicion_Actual'!$F$5:$F$204,MATCH(A187,'09_Posicion_Actual'!$B$5:$B$204,0)),""))</f>
        <v/>
      </c>
      <c r="N187" s="177" t="str">
        <f>IF(A187="","",IFERROR(INDEX('09_Posicion_Actual'!$E$5:$E$204,MATCH(A187,'09_Posicion_Actual'!$B$5:$B$204,0)),""))</f>
        <v/>
      </c>
      <c r="O187" s="131" t="str">
        <f>IF(A187="","",IFERROR(INDEX('09_Posicion_Actual'!$A$5:$A$204,MATCH(A187,'09_Posicion_Actual'!$B$5:$B$204,0)),""))</f>
        <v/>
      </c>
      <c r="P187" s="132" t="str">
        <f t="shared" si="33"/>
        <v/>
      </c>
      <c r="Q187" s="132" t="str">
        <f t="shared" si="34"/>
        <v/>
      </c>
      <c r="R187" s="132" t="str">
        <f>IF(A187="","",IFERROR(INDEX('09_Posicion_Actual'!$P$5:$P$204,MATCH(A187,'09_Posicion_Actual'!$B$5:$B$204,0)),""))</f>
        <v/>
      </c>
      <c r="S187" s="132" t="str">
        <f t="shared" si="35"/>
        <v/>
      </c>
      <c r="T187" s="132"/>
      <c r="U187" s="132"/>
      <c r="V187" s="132"/>
      <c r="W187" s="132"/>
      <c r="X187" s="132"/>
    </row>
    <row r="188" spans="1:24">
      <c r="A188" s="132"/>
      <c r="B188" s="132"/>
      <c r="C188" s="132"/>
      <c r="D188" s="132"/>
      <c r="E188" s="176" t="str">
        <f>IF(A188="","",SUMIFS('14_Inversiones'!$E$5:$E$203,'14_Inversiones'!$B$5:$B$203,A188,'14_Inversiones'!$D$5:$D$203,C188,'14_Inversiones'!$C$5:$C$203,"Compra")+SUMIFS('14_Inversiones'!$E$5:$E$203,'14_Inversiones'!$B$5:$B$203,A188,'14_Inversiones'!$D$5:$D$203,C188,'14_Inversiones'!$C$5:$C$203,"Aporte")+SUMIFS('14_Inversiones'!$E$5:$E$203,'14_Inversiones'!$B$5:$B$203,A188,'14_Inversiones'!$D$5:$D$203,C188,'14_Inversiones'!$C$5:$C$203,"Ajuste"))</f>
        <v/>
      </c>
      <c r="F188" s="176" t="str">
        <f>IF(A188="","",SUMIFS('14_Inversiones'!$E$5:$E$203,'14_Inversiones'!$B$5:$B$203,A188,'14_Inversiones'!$D$5:$D$203,C188,'14_Inversiones'!$C$5:$C$203,"Retiro")+SUMIFS('14_Inversiones'!$E$5:$E$203,'14_Inversiones'!$B$5:$B$203,A188,'14_Inversiones'!$D$5:$D$203,C188,'14_Inversiones'!$C$5:$C$203,"Venta"))</f>
        <v/>
      </c>
      <c r="G188" s="176" t="str">
        <f t="shared" si="30"/>
        <v/>
      </c>
      <c r="H188" s="176" t="str">
        <f>IF(A188="","",IFERROR(INDEX('09_Posicion_Actual'!$G$5:$G$204,MATCH(A188,'09_Posicion_Actual'!$B$5:$B$204,0)),0))</f>
        <v/>
      </c>
      <c r="I188" s="171" t="str">
        <f>IF(A188="","",IFERROR(INDEX('09_Posicion_Actual'!$I$5:$I$204,MATCH(A188,'09_Posicion_Actual'!$B$5:$B$204,0)),0))</f>
        <v/>
      </c>
      <c r="J188" s="176" t="str">
        <f t="shared" si="31"/>
        <v/>
      </c>
      <c r="K188" s="171" t="str">
        <f>IF(A188="","",IF(C188="USD",J188*IFERROR(INDEX('09_Posicion_Actual'!$H$5:$H$204,MATCH(A188,'09_Posicion_Actual'!$B$5:$B$204,0)),950),J188))</f>
        <v/>
      </c>
      <c r="L188" s="180" t="str">
        <f t="shared" si="32"/>
        <v/>
      </c>
      <c r="M188" s="176" t="str">
        <f>IF(A188="","",IFERROR(INDEX('09_Posicion_Actual'!$F$5:$F$204,MATCH(A188,'09_Posicion_Actual'!$B$5:$B$204,0)),""))</f>
        <v/>
      </c>
      <c r="N188" s="177" t="str">
        <f>IF(A188="","",IFERROR(INDEX('09_Posicion_Actual'!$E$5:$E$204,MATCH(A188,'09_Posicion_Actual'!$B$5:$B$204,0)),""))</f>
        <v/>
      </c>
      <c r="O188" s="131" t="str">
        <f>IF(A188="","",IFERROR(INDEX('09_Posicion_Actual'!$A$5:$A$204,MATCH(A188,'09_Posicion_Actual'!$B$5:$B$204,0)),""))</f>
        <v/>
      </c>
      <c r="P188" s="132" t="str">
        <f t="shared" si="33"/>
        <v/>
      </c>
      <c r="Q188" s="132" t="str">
        <f t="shared" si="34"/>
        <v/>
      </c>
      <c r="R188" s="132" t="str">
        <f>IF(A188="","",IFERROR(INDEX('09_Posicion_Actual'!$P$5:$P$204,MATCH(A188,'09_Posicion_Actual'!$B$5:$B$204,0)),""))</f>
        <v/>
      </c>
      <c r="S188" s="132" t="str">
        <f t="shared" si="35"/>
        <v/>
      </c>
      <c r="T188" s="132"/>
      <c r="U188" s="132"/>
      <c r="V188" s="132"/>
      <c r="W188" s="132"/>
      <c r="X188" s="132"/>
    </row>
    <row r="189" spans="1:24">
      <c r="A189" s="132"/>
      <c r="B189" s="132"/>
      <c r="C189" s="132"/>
      <c r="D189" s="132"/>
      <c r="E189" s="176" t="str">
        <f>IF(A189="","",SUMIFS('14_Inversiones'!$E$5:$E$203,'14_Inversiones'!$B$5:$B$203,A189,'14_Inversiones'!$D$5:$D$203,C189,'14_Inversiones'!$C$5:$C$203,"Compra")+SUMIFS('14_Inversiones'!$E$5:$E$203,'14_Inversiones'!$B$5:$B$203,A189,'14_Inversiones'!$D$5:$D$203,C189,'14_Inversiones'!$C$5:$C$203,"Aporte")+SUMIFS('14_Inversiones'!$E$5:$E$203,'14_Inversiones'!$B$5:$B$203,A189,'14_Inversiones'!$D$5:$D$203,C189,'14_Inversiones'!$C$5:$C$203,"Ajuste"))</f>
        <v/>
      </c>
      <c r="F189" s="176" t="str">
        <f>IF(A189="","",SUMIFS('14_Inversiones'!$E$5:$E$203,'14_Inversiones'!$B$5:$B$203,A189,'14_Inversiones'!$D$5:$D$203,C189,'14_Inversiones'!$C$5:$C$203,"Retiro")+SUMIFS('14_Inversiones'!$E$5:$E$203,'14_Inversiones'!$B$5:$B$203,A189,'14_Inversiones'!$D$5:$D$203,C189,'14_Inversiones'!$C$5:$C$203,"Venta"))</f>
        <v/>
      </c>
      <c r="G189" s="176" t="str">
        <f t="shared" si="30"/>
        <v/>
      </c>
      <c r="H189" s="176" t="str">
        <f>IF(A189="","",IFERROR(INDEX('09_Posicion_Actual'!$G$5:$G$204,MATCH(A189,'09_Posicion_Actual'!$B$5:$B$204,0)),0))</f>
        <v/>
      </c>
      <c r="I189" s="171" t="str">
        <f>IF(A189="","",IFERROR(INDEX('09_Posicion_Actual'!$I$5:$I$204,MATCH(A189,'09_Posicion_Actual'!$B$5:$B$204,0)),0))</f>
        <v/>
      </c>
      <c r="J189" s="176" t="str">
        <f t="shared" si="31"/>
        <v/>
      </c>
      <c r="K189" s="171" t="str">
        <f>IF(A189="","",IF(C189="USD",J189*IFERROR(INDEX('09_Posicion_Actual'!$H$5:$H$204,MATCH(A189,'09_Posicion_Actual'!$B$5:$B$204,0)),950),J189))</f>
        <v/>
      </c>
      <c r="L189" s="180" t="str">
        <f t="shared" si="32"/>
        <v/>
      </c>
      <c r="M189" s="176" t="str">
        <f>IF(A189="","",IFERROR(INDEX('09_Posicion_Actual'!$F$5:$F$204,MATCH(A189,'09_Posicion_Actual'!$B$5:$B$204,0)),""))</f>
        <v/>
      </c>
      <c r="N189" s="177" t="str">
        <f>IF(A189="","",IFERROR(INDEX('09_Posicion_Actual'!$E$5:$E$204,MATCH(A189,'09_Posicion_Actual'!$B$5:$B$204,0)),""))</f>
        <v/>
      </c>
      <c r="O189" s="131" t="str">
        <f>IF(A189="","",IFERROR(INDEX('09_Posicion_Actual'!$A$5:$A$204,MATCH(A189,'09_Posicion_Actual'!$B$5:$B$204,0)),""))</f>
        <v/>
      </c>
      <c r="P189" s="132" t="str">
        <f t="shared" si="33"/>
        <v/>
      </c>
      <c r="Q189" s="132" t="str">
        <f t="shared" si="34"/>
        <v/>
      </c>
      <c r="R189" s="132" t="str">
        <f>IF(A189="","",IFERROR(INDEX('09_Posicion_Actual'!$P$5:$P$204,MATCH(A189,'09_Posicion_Actual'!$B$5:$B$204,0)),""))</f>
        <v/>
      </c>
      <c r="S189" s="132" t="str">
        <f t="shared" si="35"/>
        <v/>
      </c>
      <c r="T189" s="132"/>
      <c r="U189" s="132"/>
      <c r="V189" s="132"/>
      <c r="W189" s="132"/>
      <c r="X189" s="132"/>
    </row>
    <row r="190" spans="1:24">
      <c r="A190" s="132"/>
      <c r="B190" s="132"/>
      <c r="C190" s="132"/>
      <c r="D190" s="132"/>
      <c r="E190" s="176" t="str">
        <f>IF(A190="","",SUMIFS('14_Inversiones'!$E$5:$E$203,'14_Inversiones'!$B$5:$B$203,A190,'14_Inversiones'!$D$5:$D$203,C190,'14_Inversiones'!$C$5:$C$203,"Compra")+SUMIFS('14_Inversiones'!$E$5:$E$203,'14_Inversiones'!$B$5:$B$203,A190,'14_Inversiones'!$D$5:$D$203,C190,'14_Inversiones'!$C$5:$C$203,"Aporte")+SUMIFS('14_Inversiones'!$E$5:$E$203,'14_Inversiones'!$B$5:$B$203,A190,'14_Inversiones'!$D$5:$D$203,C190,'14_Inversiones'!$C$5:$C$203,"Ajuste"))</f>
        <v/>
      </c>
      <c r="F190" s="176" t="str">
        <f>IF(A190="","",SUMIFS('14_Inversiones'!$E$5:$E$203,'14_Inversiones'!$B$5:$B$203,A190,'14_Inversiones'!$D$5:$D$203,C190,'14_Inversiones'!$C$5:$C$203,"Retiro")+SUMIFS('14_Inversiones'!$E$5:$E$203,'14_Inversiones'!$B$5:$B$203,A190,'14_Inversiones'!$D$5:$D$203,C190,'14_Inversiones'!$C$5:$C$203,"Venta"))</f>
        <v/>
      </c>
      <c r="G190" s="176" t="str">
        <f t="shared" si="30"/>
        <v/>
      </c>
      <c r="H190" s="176" t="str">
        <f>IF(A190="","",IFERROR(INDEX('09_Posicion_Actual'!$G$5:$G$204,MATCH(A190,'09_Posicion_Actual'!$B$5:$B$204,0)),0))</f>
        <v/>
      </c>
      <c r="I190" s="171" t="str">
        <f>IF(A190="","",IFERROR(INDEX('09_Posicion_Actual'!$I$5:$I$204,MATCH(A190,'09_Posicion_Actual'!$B$5:$B$204,0)),0))</f>
        <v/>
      </c>
      <c r="J190" s="176" t="str">
        <f t="shared" si="31"/>
        <v/>
      </c>
      <c r="K190" s="171" t="str">
        <f>IF(A190="","",IF(C190="USD",J190*IFERROR(INDEX('09_Posicion_Actual'!$H$5:$H$204,MATCH(A190,'09_Posicion_Actual'!$B$5:$B$204,0)),950),J190))</f>
        <v/>
      </c>
      <c r="L190" s="180" t="str">
        <f t="shared" si="32"/>
        <v/>
      </c>
      <c r="M190" s="176" t="str">
        <f>IF(A190="","",IFERROR(INDEX('09_Posicion_Actual'!$F$5:$F$204,MATCH(A190,'09_Posicion_Actual'!$B$5:$B$204,0)),""))</f>
        <v/>
      </c>
      <c r="N190" s="177" t="str">
        <f>IF(A190="","",IFERROR(INDEX('09_Posicion_Actual'!$E$5:$E$204,MATCH(A190,'09_Posicion_Actual'!$B$5:$B$204,0)),""))</f>
        <v/>
      </c>
      <c r="O190" s="131" t="str">
        <f>IF(A190="","",IFERROR(INDEX('09_Posicion_Actual'!$A$5:$A$204,MATCH(A190,'09_Posicion_Actual'!$B$5:$B$204,0)),""))</f>
        <v/>
      </c>
      <c r="P190" s="132" t="str">
        <f t="shared" si="33"/>
        <v/>
      </c>
      <c r="Q190" s="132" t="str">
        <f t="shared" si="34"/>
        <v/>
      </c>
      <c r="R190" s="132" t="str">
        <f>IF(A190="","",IFERROR(INDEX('09_Posicion_Actual'!$P$5:$P$204,MATCH(A190,'09_Posicion_Actual'!$B$5:$B$204,0)),""))</f>
        <v/>
      </c>
      <c r="S190" s="132" t="str">
        <f t="shared" si="35"/>
        <v/>
      </c>
      <c r="T190" s="132"/>
      <c r="U190" s="132"/>
      <c r="V190" s="132"/>
      <c r="W190" s="132"/>
      <c r="X190" s="132"/>
    </row>
    <row r="191" spans="1:24">
      <c r="A191" s="132"/>
      <c r="B191" s="132"/>
      <c r="C191" s="132"/>
      <c r="D191" s="132"/>
      <c r="E191" s="176" t="str">
        <f>IF(A191="","",SUMIFS('14_Inversiones'!$E$5:$E$203,'14_Inversiones'!$B$5:$B$203,A191,'14_Inversiones'!$D$5:$D$203,C191,'14_Inversiones'!$C$5:$C$203,"Compra")+SUMIFS('14_Inversiones'!$E$5:$E$203,'14_Inversiones'!$B$5:$B$203,A191,'14_Inversiones'!$D$5:$D$203,C191,'14_Inversiones'!$C$5:$C$203,"Aporte")+SUMIFS('14_Inversiones'!$E$5:$E$203,'14_Inversiones'!$B$5:$B$203,A191,'14_Inversiones'!$D$5:$D$203,C191,'14_Inversiones'!$C$5:$C$203,"Ajuste"))</f>
        <v/>
      </c>
      <c r="F191" s="176" t="str">
        <f>IF(A191="","",SUMIFS('14_Inversiones'!$E$5:$E$203,'14_Inversiones'!$B$5:$B$203,A191,'14_Inversiones'!$D$5:$D$203,C191,'14_Inversiones'!$C$5:$C$203,"Retiro")+SUMIFS('14_Inversiones'!$E$5:$E$203,'14_Inversiones'!$B$5:$B$203,A191,'14_Inversiones'!$D$5:$D$203,C191,'14_Inversiones'!$C$5:$C$203,"Venta"))</f>
        <v/>
      </c>
      <c r="G191" s="176" t="str">
        <f t="shared" si="30"/>
        <v/>
      </c>
      <c r="H191" s="176" t="str">
        <f>IF(A191="","",IFERROR(INDEX('09_Posicion_Actual'!$G$5:$G$204,MATCH(A191,'09_Posicion_Actual'!$B$5:$B$204,0)),0))</f>
        <v/>
      </c>
      <c r="I191" s="171" t="str">
        <f>IF(A191="","",IFERROR(INDEX('09_Posicion_Actual'!$I$5:$I$204,MATCH(A191,'09_Posicion_Actual'!$B$5:$B$204,0)),0))</f>
        <v/>
      </c>
      <c r="J191" s="176" t="str">
        <f t="shared" si="31"/>
        <v/>
      </c>
      <c r="K191" s="171" t="str">
        <f>IF(A191="","",IF(C191="USD",J191*IFERROR(INDEX('09_Posicion_Actual'!$H$5:$H$204,MATCH(A191,'09_Posicion_Actual'!$B$5:$B$204,0)),950),J191))</f>
        <v/>
      </c>
      <c r="L191" s="180" t="str">
        <f t="shared" si="32"/>
        <v/>
      </c>
      <c r="M191" s="176" t="str">
        <f>IF(A191="","",IFERROR(INDEX('09_Posicion_Actual'!$F$5:$F$204,MATCH(A191,'09_Posicion_Actual'!$B$5:$B$204,0)),""))</f>
        <v/>
      </c>
      <c r="N191" s="177" t="str">
        <f>IF(A191="","",IFERROR(INDEX('09_Posicion_Actual'!$E$5:$E$204,MATCH(A191,'09_Posicion_Actual'!$B$5:$B$204,0)),""))</f>
        <v/>
      </c>
      <c r="O191" s="131" t="str">
        <f>IF(A191="","",IFERROR(INDEX('09_Posicion_Actual'!$A$5:$A$204,MATCH(A191,'09_Posicion_Actual'!$B$5:$B$204,0)),""))</f>
        <v/>
      </c>
      <c r="P191" s="132" t="str">
        <f t="shared" si="33"/>
        <v/>
      </c>
      <c r="Q191" s="132" t="str">
        <f t="shared" si="34"/>
        <v/>
      </c>
      <c r="R191" s="132" t="str">
        <f>IF(A191="","",IFERROR(INDEX('09_Posicion_Actual'!$P$5:$P$204,MATCH(A191,'09_Posicion_Actual'!$B$5:$B$204,0)),""))</f>
        <v/>
      </c>
      <c r="S191" s="132" t="str">
        <f t="shared" si="35"/>
        <v/>
      </c>
      <c r="T191" s="132"/>
      <c r="U191" s="132"/>
      <c r="V191" s="132"/>
      <c r="W191" s="132"/>
      <c r="X191" s="132"/>
    </row>
    <row r="192" spans="1:24">
      <c r="A192" s="132"/>
      <c r="B192" s="132"/>
      <c r="C192" s="132"/>
      <c r="D192" s="132"/>
      <c r="E192" s="176" t="str">
        <f>IF(A192="","",SUMIFS('14_Inversiones'!$E$5:$E$203,'14_Inversiones'!$B$5:$B$203,A192,'14_Inversiones'!$D$5:$D$203,C192,'14_Inversiones'!$C$5:$C$203,"Compra")+SUMIFS('14_Inversiones'!$E$5:$E$203,'14_Inversiones'!$B$5:$B$203,A192,'14_Inversiones'!$D$5:$D$203,C192,'14_Inversiones'!$C$5:$C$203,"Aporte")+SUMIFS('14_Inversiones'!$E$5:$E$203,'14_Inversiones'!$B$5:$B$203,A192,'14_Inversiones'!$D$5:$D$203,C192,'14_Inversiones'!$C$5:$C$203,"Ajuste"))</f>
        <v/>
      </c>
      <c r="F192" s="176" t="str">
        <f>IF(A192="","",SUMIFS('14_Inversiones'!$E$5:$E$203,'14_Inversiones'!$B$5:$B$203,A192,'14_Inversiones'!$D$5:$D$203,C192,'14_Inversiones'!$C$5:$C$203,"Retiro")+SUMIFS('14_Inversiones'!$E$5:$E$203,'14_Inversiones'!$B$5:$B$203,A192,'14_Inversiones'!$D$5:$D$203,C192,'14_Inversiones'!$C$5:$C$203,"Venta"))</f>
        <v/>
      </c>
      <c r="G192" s="176" t="str">
        <f t="shared" si="30"/>
        <v/>
      </c>
      <c r="H192" s="176" t="str">
        <f>IF(A192="","",IFERROR(INDEX('09_Posicion_Actual'!$G$5:$G$204,MATCH(A192,'09_Posicion_Actual'!$B$5:$B$204,0)),0))</f>
        <v/>
      </c>
      <c r="I192" s="171" t="str">
        <f>IF(A192="","",IFERROR(INDEX('09_Posicion_Actual'!$I$5:$I$204,MATCH(A192,'09_Posicion_Actual'!$B$5:$B$204,0)),0))</f>
        <v/>
      </c>
      <c r="J192" s="176" t="str">
        <f t="shared" si="31"/>
        <v/>
      </c>
      <c r="K192" s="171" t="str">
        <f>IF(A192="","",IF(C192="USD",J192*IFERROR(INDEX('09_Posicion_Actual'!$H$5:$H$204,MATCH(A192,'09_Posicion_Actual'!$B$5:$B$204,0)),950),J192))</f>
        <v/>
      </c>
      <c r="L192" s="180" t="str">
        <f t="shared" si="32"/>
        <v/>
      </c>
      <c r="M192" s="176" t="str">
        <f>IF(A192="","",IFERROR(INDEX('09_Posicion_Actual'!$F$5:$F$204,MATCH(A192,'09_Posicion_Actual'!$B$5:$B$204,0)),""))</f>
        <v/>
      </c>
      <c r="N192" s="177" t="str">
        <f>IF(A192="","",IFERROR(INDEX('09_Posicion_Actual'!$E$5:$E$204,MATCH(A192,'09_Posicion_Actual'!$B$5:$B$204,0)),""))</f>
        <v/>
      </c>
      <c r="O192" s="131" t="str">
        <f>IF(A192="","",IFERROR(INDEX('09_Posicion_Actual'!$A$5:$A$204,MATCH(A192,'09_Posicion_Actual'!$B$5:$B$204,0)),""))</f>
        <v/>
      </c>
      <c r="P192" s="132" t="str">
        <f t="shared" si="33"/>
        <v/>
      </c>
      <c r="Q192" s="132" t="str">
        <f t="shared" si="34"/>
        <v/>
      </c>
      <c r="R192" s="132" t="str">
        <f>IF(A192="","",IFERROR(INDEX('09_Posicion_Actual'!$P$5:$P$204,MATCH(A192,'09_Posicion_Actual'!$B$5:$B$204,0)),""))</f>
        <v/>
      </c>
      <c r="S192" s="132" t="str">
        <f t="shared" si="35"/>
        <v/>
      </c>
      <c r="T192" s="132"/>
      <c r="U192" s="132"/>
      <c r="V192" s="132"/>
      <c r="W192" s="132"/>
      <c r="X192" s="132"/>
    </row>
    <row r="193" spans="1:24">
      <c r="A193" s="132"/>
      <c r="B193" s="132"/>
      <c r="C193" s="132"/>
      <c r="D193" s="132"/>
      <c r="E193" s="176" t="str">
        <f>IF(A193="","",SUMIFS('14_Inversiones'!$E$5:$E$203,'14_Inversiones'!$B$5:$B$203,A193,'14_Inversiones'!$D$5:$D$203,C193,'14_Inversiones'!$C$5:$C$203,"Compra")+SUMIFS('14_Inversiones'!$E$5:$E$203,'14_Inversiones'!$B$5:$B$203,A193,'14_Inversiones'!$D$5:$D$203,C193,'14_Inversiones'!$C$5:$C$203,"Aporte")+SUMIFS('14_Inversiones'!$E$5:$E$203,'14_Inversiones'!$B$5:$B$203,A193,'14_Inversiones'!$D$5:$D$203,C193,'14_Inversiones'!$C$5:$C$203,"Ajuste"))</f>
        <v/>
      </c>
      <c r="F193" s="176" t="str">
        <f>IF(A193="","",SUMIFS('14_Inversiones'!$E$5:$E$203,'14_Inversiones'!$B$5:$B$203,A193,'14_Inversiones'!$D$5:$D$203,C193,'14_Inversiones'!$C$5:$C$203,"Retiro")+SUMIFS('14_Inversiones'!$E$5:$E$203,'14_Inversiones'!$B$5:$B$203,A193,'14_Inversiones'!$D$5:$D$203,C193,'14_Inversiones'!$C$5:$C$203,"Venta"))</f>
        <v/>
      </c>
      <c r="G193" s="176" t="str">
        <f t="shared" si="30"/>
        <v/>
      </c>
      <c r="H193" s="176" t="str">
        <f>IF(A193="","",IFERROR(INDEX('09_Posicion_Actual'!$G$5:$G$204,MATCH(A193,'09_Posicion_Actual'!$B$5:$B$204,0)),0))</f>
        <v/>
      </c>
      <c r="I193" s="171" t="str">
        <f>IF(A193="","",IFERROR(INDEX('09_Posicion_Actual'!$I$5:$I$204,MATCH(A193,'09_Posicion_Actual'!$B$5:$B$204,0)),0))</f>
        <v/>
      </c>
      <c r="J193" s="176" t="str">
        <f t="shared" si="31"/>
        <v/>
      </c>
      <c r="K193" s="171" t="str">
        <f>IF(A193="","",IF(C193="USD",J193*IFERROR(INDEX('09_Posicion_Actual'!$H$5:$H$204,MATCH(A193,'09_Posicion_Actual'!$B$5:$B$204,0)),950),J193))</f>
        <v/>
      </c>
      <c r="L193" s="180" t="str">
        <f t="shared" si="32"/>
        <v/>
      </c>
      <c r="M193" s="176" t="str">
        <f>IF(A193="","",IFERROR(INDEX('09_Posicion_Actual'!$F$5:$F$204,MATCH(A193,'09_Posicion_Actual'!$B$5:$B$204,0)),""))</f>
        <v/>
      </c>
      <c r="N193" s="177" t="str">
        <f>IF(A193="","",IFERROR(INDEX('09_Posicion_Actual'!$E$5:$E$204,MATCH(A193,'09_Posicion_Actual'!$B$5:$B$204,0)),""))</f>
        <v/>
      </c>
      <c r="O193" s="131" t="str">
        <f>IF(A193="","",IFERROR(INDEX('09_Posicion_Actual'!$A$5:$A$204,MATCH(A193,'09_Posicion_Actual'!$B$5:$B$204,0)),""))</f>
        <v/>
      </c>
      <c r="P193" s="132" t="str">
        <f t="shared" si="33"/>
        <v/>
      </c>
      <c r="Q193" s="132" t="str">
        <f t="shared" si="34"/>
        <v/>
      </c>
      <c r="R193" s="132" t="str">
        <f>IF(A193="","",IFERROR(INDEX('09_Posicion_Actual'!$P$5:$P$204,MATCH(A193,'09_Posicion_Actual'!$B$5:$B$204,0)),""))</f>
        <v/>
      </c>
      <c r="S193" s="132" t="str">
        <f t="shared" si="35"/>
        <v/>
      </c>
      <c r="T193" s="132"/>
      <c r="U193" s="132"/>
      <c r="V193" s="132"/>
      <c r="W193" s="132"/>
      <c r="X193" s="132"/>
    </row>
    <row r="194" spans="1:24">
      <c r="A194" s="132"/>
      <c r="B194" s="132"/>
      <c r="C194" s="132"/>
      <c r="D194" s="132"/>
      <c r="E194" s="176" t="str">
        <f>IF(A194="","",SUMIFS('14_Inversiones'!$E$5:$E$203,'14_Inversiones'!$B$5:$B$203,A194,'14_Inversiones'!$D$5:$D$203,C194,'14_Inversiones'!$C$5:$C$203,"Compra")+SUMIFS('14_Inversiones'!$E$5:$E$203,'14_Inversiones'!$B$5:$B$203,A194,'14_Inversiones'!$D$5:$D$203,C194,'14_Inversiones'!$C$5:$C$203,"Aporte")+SUMIFS('14_Inversiones'!$E$5:$E$203,'14_Inversiones'!$B$5:$B$203,A194,'14_Inversiones'!$D$5:$D$203,C194,'14_Inversiones'!$C$5:$C$203,"Ajuste"))</f>
        <v/>
      </c>
      <c r="F194" s="176" t="str">
        <f>IF(A194="","",SUMIFS('14_Inversiones'!$E$5:$E$203,'14_Inversiones'!$B$5:$B$203,A194,'14_Inversiones'!$D$5:$D$203,C194,'14_Inversiones'!$C$5:$C$203,"Retiro")+SUMIFS('14_Inversiones'!$E$5:$E$203,'14_Inversiones'!$B$5:$B$203,A194,'14_Inversiones'!$D$5:$D$203,C194,'14_Inversiones'!$C$5:$C$203,"Venta"))</f>
        <v/>
      </c>
      <c r="G194" s="176" t="str">
        <f t="shared" si="30"/>
        <v/>
      </c>
      <c r="H194" s="176" t="str">
        <f>IF(A194="","",IFERROR(INDEX('09_Posicion_Actual'!$G$5:$G$204,MATCH(A194,'09_Posicion_Actual'!$B$5:$B$204,0)),0))</f>
        <v/>
      </c>
      <c r="I194" s="171" t="str">
        <f>IF(A194="","",IFERROR(INDEX('09_Posicion_Actual'!$I$5:$I$204,MATCH(A194,'09_Posicion_Actual'!$B$5:$B$204,0)),0))</f>
        <v/>
      </c>
      <c r="J194" s="176" t="str">
        <f t="shared" si="31"/>
        <v/>
      </c>
      <c r="K194" s="171" t="str">
        <f>IF(A194="","",IF(C194="USD",J194*IFERROR(INDEX('09_Posicion_Actual'!$H$5:$H$204,MATCH(A194,'09_Posicion_Actual'!$B$5:$B$204,0)),950),J194))</f>
        <v/>
      </c>
      <c r="L194" s="180" t="str">
        <f t="shared" si="32"/>
        <v/>
      </c>
      <c r="M194" s="176" t="str">
        <f>IF(A194="","",IFERROR(INDEX('09_Posicion_Actual'!$F$5:$F$204,MATCH(A194,'09_Posicion_Actual'!$B$5:$B$204,0)),""))</f>
        <v/>
      </c>
      <c r="N194" s="177" t="str">
        <f>IF(A194="","",IFERROR(INDEX('09_Posicion_Actual'!$E$5:$E$204,MATCH(A194,'09_Posicion_Actual'!$B$5:$B$204,0)),""))</f>
        <v/>
      </c>
      <c r="O194" s="131" t="str">
        <f>IF(A194="","",IFERROR(INDEX('09_Posicion_Actual'!$A$5:$A$204,MATCH(A194,'09_Posicion_Actual'!$B$5:$B$204,0)),""))</f>
        <v/>
      </c>
      <c r="P194" s="132" t="str">
        <f t="shared" si="33"/>
        <v/>
      </c>
      <c r="Q194" s="132" t="str">
        <f t="shared" si="34"/>
        <v/>
      </c>
      <c r="R194" s="132" t="str">
        <f>IF(A194="","",IFERROR(INDEX('09_Posicion_Actual'!$P$5:$P$204,MATCH(A194,'09_Posicion_Actual'!$B$5:$B$204,0)),""))</f>
        <v/>
      </c>
      <c r="S194" s="132" t="str">
        <f t="shared" si="35"/>
        <v/>
      </c>
      <c r="T194" s="132"/>
      <c r="U194" s="132"/>
      <c r="V194" s="132"/>
      <c r="W194" s="132"/>
      <c r="X194" s="132"/>
    </row>
    <row r="195" spans="1:24">
      <c r="A195" s="132"/>
      <c r="B195" s="132"/>
      <c r="C195" s="132"/>
      <c r="D195" s="132"/>
      <c r="E195" s="176" t="str">
        <f>IF(A195="","",SUMIFS('14_Inversiones'!$E$5:$E$203,'14_Inversiones'!$B$5:$B$203,A195,'14_Inversiones'!$D$5:$D$203,C195,'14_Inversiones'!$C$5:$C$203,"Compra")+SUMIFS('14_Inversiones'!$E$5:$E$203,'14_Inversiones'!$B$5:$B$203,A195,'14_Inversiones'!$D$5:$D$203,C195,'14_Inversiones'!$C$5:$C$203,"Aporte")+SUMIFS('14_Inversiones'!$E$5:$E$203,'14_Inversiones'!$B$5:$B$203,A195,'14_Inversiones'!$D$5:$D$203,C195,'14_Inversiones'!$C$5:$C$203,"Ajuste"))</f>
        <v/>
      </c>
      <c r="F195" s="176" t="str">
        <f>IF(A195="","",SUMIFS('14_Inversiones'!$E$5:$E$203,'14_Inversiones'!$B$5:$B$203,A195,'14_Inversiones'!$D$5:$D$203,C195,'14_Inversiones'!$C$5:$C$203,"Retiro")+SUMIFS('14_Inversiones'!$E$5:$E$203,'14_Inversiones'!$B$5:$B$203,A195,'14_Inversiones'!$D$5:$D$203,C195,'14_Inversiones'!$C$5:$C$203,"Venta"))</f>
        <v/>
      </c>
      <c r="G195" s="176" t="str">
        <f t="shared" si="30"/>
        <v/>
      </c>
      <c r="H195" s="176" t="str">
        <f>IF(A195="","",IFERROR(INDEX('09_Posicion_Actual'!$G$5:$G$204,MATCH(A195,'09_Posicion_Actual'!$B$5:$B$204,0)),0))</f>
        <v/>
      </c>
      <c r="I195" s="171" t="str">
        <f>IF(A195="","",IFERROR(INDEX('09_Posicion_Actual'!$I$5:$I$204,MATCH(A195,'09_Posicion_Actual'!$B$5:$B$204,0)),0))</f>
        <v/>
      </c>
      <c r="J195" s="176" t="str">
        <f t="shared" si="31"/>
        <v/>
      </c>
      <c r="K195" s="171" t="str">
        <f>IF(A195="","",IF(C195="USD",J195*IFERROR(INDEX('09_Posicion_Actual'!$H$5:$H$204,MATCH(A195,'09_Posicion_Actual'!$B$5:$B$204,0)),950),J195))</f>
        <v/>
      </c>
      <c r="L195" s="180" t="str">
        <f t="shared" si="32"/>
        <v/>
      </c>
      <c r="M195" s="176" t="str">
        <f>IF(A195="","",IFERROR(INDEX('09_Posicion_Actual'!$F$5:$F$204,MATCH(A195,'09_Posicion_Actual'!$B$5:$B$204,0)),""))</f>
        <v/>
      </c>
      <c r="N195" s="177" t="str">
        <f>IF(A195="","",IFERROR(INDEX('09_Posicion_Actual'!$E$5:$E$204,MATCH(A195,'09_Posicion_Actual'!$B$5:$B$204,0)),""))</f>
        <v/>
      </c>
      <c r="O195" s="131" t="str">
        <f>IF(A195="","",IFERROR(INDEX('09_Posicion_Actual'!$A$5:$A$204,MATCH(A195,'09_Posicion_Actual'!$B$5:$B$204,0)),""))</f>
        <v/>
      </c>
      <c r="P195" s="132" t="str">
        <f t="shared" si="33"/>
        <v/>
      </c>
      <c r="Q195" s="132" t="str">
        <f t="shared" si="34"/>
        <v/>
      </c>
      <c r="R195" s="132" t="str">
        <f>IF(A195="","",IFERROR(INDEX('09_Posicion_Actual'!$P$5:$P$204,MATCH(A195,'09_Posicion_Actual'!$B$5:$B$204,0)),""))</f>
        <v/>
      </c>
      <c r="S195" s="132" t="str">
        <f t="shared" si="35"/>
        <v/>
      </c>
      <c r="T195" s="132"/>
      <c r="U195" s="132"/>
      <c r="V195" s="132"/>
      <c r="W195" s="132"/>
      <c r="X195" s="132"/>
    </row>
    <row r="196" spans="1:24">
      <c r="A196" s="132"/>
      <c r="B196" s="132"/>
      <c r="C196" s="132"/>
      <c r="D196" s="132"/>
      <c r="E196" s="176" t="str">
        <f>IF(A196="","",SUMIFS('14_Inversiones'!$E$5:$E$203,'14_Inversiones'!$B$5:$B$203,A196,'14_Inversiones'!$D$5:$D$203,C196,'14_Inversiones'!$C$5:$C$203,"Compra")+SUMIFS('14_Inversiones'!$E$5:$E$203,'14_Inversiones'!$B$5:$B$203,A196,'14_Inversiones'!$D$5:$D$203,C196,'14_Inversiones'!$C$5:$C$203,"Aporte")+SUMIFS('14_Inversiones'!$E$5:$E$203,'14_Inversiones'!$B$5:$B$203,A196,'14_Inversiones'!$D$5:$D$203,C196,'14_Inversiones'!$C$5:$C$203,"Ajuste"))</f>
        <v/>
      </c>
      <c r="F196" s="176" t="str">
        <f>IF(A196="","",SUMIFS('14_Inversiones'!$E$5:$E$203,'14_Inversiones'!$B$5:$B$203,A196,'14_Inversiones'!$D$5:$D$203,C196,'14_Inversiones'!$C$5:$C$203,"Retiro")+SUMIFS('14_Inversiones'!$E$5:$E$203,'14_Inversiones'!$B$5:$B$203,A196,'14_Inversiones'!$D$5:$D$203,C196,'14_Inversiones'!$C$5:$C$203,"Venta"))</f>
        <v/>
      </c>
      <c r="G196" s="176" t="str">
        <f t="shared" si="30"/>
        <v/>
      </c>
      <c r="H196" s="176" t="str">
        <f>IF(A196="","",IFERROR(INDEX('09_Posicion_Actual'!$G$5:$G$204,MATCH(A196,'09_Posicion_Actual'!$B$5:$B$204,0)),0))</f>
        <v/>
      </c>
      <c r="I196" s="171" t="str">
        <f>IF(A196="","",IFERROR(INDEX('09_Posicion_Actual'!$I$5:$I$204,MATCH(A196,'09_Posicion_Actual'!$B$5:$B$204,0)),0))</f>
        <v/>
      </c>
      <c r="J196" s="176" t="str">
        <f t="shared" si="31"/>
        <v/>
      </c>
      <c r="K196" s="171" t="str">
        <f>IF(A196="","",IF(C196="USD",J196*IFERROR(INDEX('09_Posicion_Actual'!$H$5:$H$204,MATCH(A196,'09_Posicion_Actual'!$B$5:$B$204,0)),950),J196))</f>
        <v/>
      </c>
      <c r="L196" s="180" t="str">
        <f t="shared" si="32"/>
        <v/>
      </c>
      <c r="M196" s="176" t="str">
        <f>IF(A196="","",IFERROR(INDEX('09_Posicion_Actual'!$F$5:$F$204,MATCH(A196,'09_Posicion_Actual'!$B$5:$B$204,0)),""))</f>
        <v/>
      </c>
      <c r="N196" s="177" t="str">
        <f>IF(A196="","",IFERROR(INDEX('09_Posicion_Actual'!$E$5:$E$204,MATCH(A196,'09_Posicion_Actual'!$B$5:$B$204,0)),""))</f>
        <v/>
      </c>
      <c r="O196" s="131" t="str">
        <f>IF(A196="","",IFERROR(INDEX('09_Posicion_Actual'!$A$5:$A$204,MATCH(A196,'09_Posicion_Actual'!$B$5:$B$204,0)),""))</f>
        <v/>
      </c>
      <c r="P196" s="132" t="str">
        <f t="shared" si="33"/>
        <v/>
      </c>
      <c r="Q196" s="132" t="str">
        <f t="shared" si="34"/>
        <v/>
      </c>
      <c r="R196" s="132" t="str">
        <f>IF(A196="","",IFERROR(INDEX('09_Posicion_Actual'!$P$5:$P$204,MATCH(A196,'09_Posicion_Actual'!$B$5:$B$204,0)),""))</f>
        <v/>
      </c>
      <c r="S196" s="132" t="str">
        <f t="shared" si="35"/>
        <v/>
      </c>
      <c r="T196" s="132"/>
      <c r="U196" s="132"/>
      <c r="V196" s="132"/>
      <c r="W196" s="132"/>
      <c r="X196" s="132"/>
    </row>
    <row r="197" spans="1:24">
      <c r="A197" s="132"/>
      <c r="B197" s="132"/>
      <c r="C197" s="132"/>
      <c r="D197" s="132"/>
      <c r="E197" s="176" t="str">
        <f>IF(A197="","",SUMIFS('14_Inversiones'!$E$5:$E$203,'14_Inversiones'!$B$5:$B$203,A197,'14_Inversiones'!$D$5:$D$203,C197,'14_Inversiones'!$C$5:$C$203,"Compra")+SUMIFS('14_Inversiones'!$E$5:$E$203,'14_Inversiones'!$B$5:$B$203,A197,'14_Inversiones'!$D$5:$D$203,C197,'14_Inversiones'!$C$5:$C$203,"Aporte")+SUMIFS('14_Inversiones'!$E$5:$E$203,'14_Inversiones'!$B$5:$B$203,A197,'14_Inversiones'!$D$5:$D$203,C197,'14_Inversiones'!$C$5:$C$203,"Ajuste"))</f>
        <v/>
      </c>
      <c r="F197" s="176" t="str">
        <f>IF(A197="","",SUMIFS('14_Inversiones'!$E$5:$E$203,'14_Inversiones'!$B$5:$B$203,A197,'14_Inversiones'!$D$5:$D$203,C197,'14_Inversiones'!$C$5:$C$203,"Retiro")+SUMIFS('14_Inversiones'!$E$5:$E$203,'14_Inversiones'!$B$5:$B$203,A197,'14_Inversiones'!$D$5:$D$203,C197,'14_Inversiones'!$C$5:$C$203,"Venta"))</f>
        <v/>
      </c>
      <c r="G197" s="176" t="str">
        <f t="shared" ref="G197:G204" si="36">IF(A197="","",E197-F197)</f>
        <v/>
      </c>
      <c r="H197" s="176" t="str">
        <f>IF(A197="","",IFERROR(INDEX('09_Posicion_Actual'!$G$5:$G$204,MATCH(A197,'09_Posicion_Actual'!$B$5:$B$204,0)),0))</f>
        <v/>
      </c>
      <c r="I197" s="171" t="str">
        <f>IF(A197="","",IFERROR(INDEX('09_Posicion_Actual'!$I$5:$I$204,MATCH(A197,'09_Posicion_Actual'!$B$5:$B$204,0)),0))</f>
        <v/>
      </c>
      <c r="J197" s="176" t="str">
        <f t="shared" ref="J197:J204" si="37">IF(A197="","",H197-G197)</f>
        <v/>
      </c>
      <c r="K197" s="171" t="str">
        <f>IF(A197="","",IF(C197="USD",J197*IFERROR(INDEX('09_Posicion_Actual'!$H$5:$H$204,MATCH(A197,'09_Posicion_Actual'!$B$5:$B$204,0)),950),J197))</f>
        <v/>
      </c>
      <c r="L197" s="180" t="str">
        <f t="shared" ref="L197:L204" si="38">IF(OR(A197="",G197&lt;=0),"",J197/G197)</f>
        <v/>
      </c>
      <c r="M197" s="176" t="str">
        <f>IF(A197="","",IFERROR(INDEX('09_Posicion_Actual'!$F$5:$F$204,MATCH(A197,'09_Posicion_Actual'!$B$5:$B$204,0)),""))</f>
        <v/>
      </c>
      <c r="N197" s="177" t="str">
        <f>IF(A197="","",IFERROR(INDEX('09_Posicion_Actual'!$E$5:$E$204,MATCH(A197,'09_Posicion_Actual'!$B$5:$B$204,0)),""))</f>
        <v/>
      </c>
      <c r="O197" s="131" t="str">
        <f>IF(A197="","",IFERROR(INDEX('09_Posicion_Actual'!$A$5:$A$204,MATCH(A197,'09_Posicion_Actual'!$B$5:$B$204,0)),""))</f>
        <v/>
      </c>
      <c r="P197" s="132" t="str">
        <f t="shared" ref="P197:P204" si="39">IF(A197="","",IF(G197&lt;=0,"🟡 Revisar aporte",IF(J197&gt;0,"🟢 Ganancia",IF(J197&lt;0,"🔴 Pérdida","🟡 Neutra"))))</f>
        <v/>
      </c>
      <c r="Q197" s="132" t="str">
        <f t="shared" ref="Q197:Q204" si="40">IF(A197="","","Rentabilidad acumulada desde aportes registrados; no diaria ni mensual")</f>
        <v/>
      </c>
      <c r="R197" s="132" t="str">
        <f>IF(A197="","",IFERROR(INDEX('09_Posicion_Actual'!$P$5:$P$204,MATCH(A197,'09_Posicion_Actual'!$B$5:$B$204,0)),""))</f>
        <v/>
      </c>
      <c r="S197" s="132" t="str">
        <f t="shared" ref="S197:S204" si="41">IF(A197="","","14_Inversiones + 09_Posicion_Actual")</f>
        <v/>
      </c>
      <c r="T197" s="132"/>
      <c r="U197" s="132"/>
      <c r="V197" s="132"/>
      <c r="W197" s="132"/>
      <c r="X197" s="132"/>
    </row>
    <row r="198" spans="1:24">
      <c r="A198" s="132"/>
      <c r="B198" s="132"/>
      <c r="C198" s="132"/>
      <c r="D198" s="132"/>
      <c r="E198" s="176" t="str">
        <f>IF(A198="","",SUMIFS('14_Inversiones'!$E$5:$E$203,'14_Inversiones'!$B$5:$B$203,A198,'14_Inversiones'!$D$5:$D$203,C198,'14_Inversiones'!$C$5:$C$203,"Compra")+SUMIFS('14_Inversiones'!$E$5:$E$203,'14_Inversiones'!$B$5:$B$203,A198,'14_Inversiones'!$D$5:$D$203,C198,'14_Inversiones'!$C$5:$C$203,"Aporte")+SUMIFS('14_Inversiones'!$E$5:$E$203,'14_Inversiones'!$B$5:$B$203,A198,'14_Inversiones'!$D$5:$D$203,C198,'14_Inversiones'!$C$5:$C$203,"Ajuste"))</f>
        <v/>
      </c>
      <c r="F198" s="176" t="str">
        <f>IF(A198="","",SUMIFS('14_Inversiones'!$E$5:$E$203,'14_Inversiones'!$B$5:$B$203,A198,'14_Inversiones'!$D$5:$D$203,C198,'14_Inversiones'!$C$5:$C$203,"Retiro")+SUMIFS('14_Inversiones'!$E$5:$E$203,'14_Inversiones'!$B$5:$B$203,A198,'14_Inversiones'!$D$5:$D$203,C198,'14_Inversiones'!$C$5:$C$203,"Venta"))</f>
        <v/>
      </c>
      <c r="G198" s="176" t="str">
        <f t="shared" si="36"/>
        <v/>
      </c>
      <c r="H198" s="176" t="str">
        <f>IF(A198="","",IFERROR(INDEX('09_Posicion_Actual'!$G$5:$G$204,MATCH(A198,'09_Posicion_Actual'!$B$5:$B$204,0)),0))</f>
        <v/>
      </c>
      <c r="I198" s="171" t="str">
        <f>IF(A198="","",IFERROR(INDEX('09_Posicion_Actual'!$I$5:$I$204,MATCH(A198,'09_Posicion_Actual'!$B$5:$B$204,0)),0))</f>
        <v/>
      </c>
      <c r="J198" s="176" t="str">
        <f t="shared" si="37"/>
        <v/>
      </c>
      <c r="K198" s="171" t="str">
        <f>IF(A198="","",IF(C198="USD",J198*IFERROR(INDEX('09_Posicion_Actual'!$H$5:$H$204,MATCH(A198,'09_Posicion_Actual'!$B$5:$B$204,0)),950),J198))</f>
        <v/>
      </c>
      <c r="L198" s="180" t="str">
        <f t="shared" si="38"/>
        <v/>
      </c>
      <c r="M198" s="176" t="str">
        <f>IF(A198="","",IFERROR(INDEX('09_Posicion_Actual'!$F$5:$F$204,MATCH(A198,'09_Posicion_Actual'!$B$5:$B$204,0)),""))</f>
        <v/>
      </c>
      <c r="N198" s="177" t="str">
        <f>IF(A198="","",IFERROR(INDEX('09_Posicion_Actual'!$E$5:$E$204,MATCH(A198,'09_Posicion_Actual'!$B$5:$B$204,0)),""))</f>
        <v/>
      </c>
      <c r="O198" s="131" t="str">
        <f>IF(A198="","",IFERROR(INDEX('09_Posicion_Actual'!$A$5:$A$204,MATCH(A198,'09_Posicion_Actual'!$B$5:$B$204,0)),""))</f>
        <v/>
      </c>
      <c r="P198" s="132" t="str">
        <f t="shared" si="39"/>
        <v/>
      </c>
      <c r="Q198" s="132" t="str">
        <f t="shared" si="40"/>
        <v/>
      </c>
      <c r="R198" s="132" t="str">
        <f>IF(A198="","",IFERROR(INDEX('09_Posicion_Actual'!$P$5:$P$204,MATCH(A198,'09_Posicion_Actual'!$B$5:$B$204,0)),""))</f>
        <v/>
      </c>
      <c r="S198" s="132" t="str">
        <f t="shared" si="41"/>
        <v/>
      </c>
      <c r="T198" s="132"/>
      <c r="U198" s="132"/>
      <c r="V198" s="132"/>
      <c r="W198" s="132"/>
      <c r="X198" s="132"/>
    </row>
    <row r="199" spans="1:24">
      <c r="A199" s="132"/>
      <c r="B199" s="132"/>
      <c r="C199" s="132"/>
      <c r="D199" s="132"/>
      <c r="E199" s="176" t="str">
        <f>IF(A199="","",SUMIFS('14_Inversiones'!$E$5:$E$203,'14_Inversiones'!$B$5:$B$203,A199,'14_Inversiones'!$D$5:$D$203,C199,'14_Inversiones'!$C$5:$C$203,"Compra")+SUMIFS('14_Inversiones'!$E$5:$E$203,'14_Inversiones'!$B$5:$B$203,A199,'14_Inversiones'!$D$5:$D$203,C199,'14_Inversiones'!$C$5:$C$203,"Aporte")+SUMIFS('14_Inversiones'!$E$5:$E$203,'14_Inversiones'!$B$5:$B$203,A199,'14_Inversiones'!$D$5:$D$203,C199,'14_Inversiones'!$C$5:$C$203,"Ajuste"))</f>
        <v/>
      </c>
      <c r="F199" s="176" t="str">
        <f>IF(A199="","",SUMIFS('14_Inversiones'!$E$5:$E$203,'14_Inversiones'!$B$5:$B$203,A199,'14_Inversiones'!$D$5:$D$203,C199,'14_Inversiones'!$C$5:$C$203,"Retiro")+SUMIFS('14_Inversiones'!$E$5:$E$203,'14_Inversiones'!$B$5:$B$203,A199,'14_Inversiones'!$D$5:$D$203,C199,'14_Inversiones'!$C$5:$C$203,"Venta"))</f>
        <v/>
      </c>
      <c r="G199" s="176" t="str">
        <f t="shared" si="36"/>
        <v/>
      </c>
      <c r="H199" s="176" t="str">
        <f>IF(A199="","",IFERROR(INDEX('09_Posicion_Actual'!$G$5:$G$204,MATCH(A199,'09_Posicion_Actual'!$B$5:$B$204,0)),0))</f>
        <v/>
      </c>
      <c r="I199" s="171" t="str">
        <f>IF(A199="","",IFERROR(INDEX('09_Posicion_Actual'!$I$5:$I$204,MATCH(A199,'09_Posicion_Actual'!$B$5:$B$204,0)),0))</f>
        <v/>
      </c>
      <c r="J199" s="176" t="str">
        <f t="shared" si="37"/>
        <v/>
      </c>
      <c r="K199" s="171" t="str">
        <f>IF(A199="","",IF(C199="USD",J199*IFERROR(INDEX('09_Posicion_Actual'!$H$5:$H$204,MATCH(A199,'09_Posicion_Actual'!$B$5:$B$204,0)),950),J199))</f>
        <v/>
      </c>
      <c r="L199" s="180" t="str">
        <f t="shared" si="38"/>
        <v/>
      </c>
      <c r="M199" s="176" t="str">
        <f>IF(A199="","",IFERROR(INDEX('09_Posicion_Actual'!$F$5:$F$204,MATCH(A199,'09_Posicion_Actual'!$B$5:$B$204,0)),""))</f>
        <v/>
      </c>
      <c r="N199" s="177" t="str">
        <f>IF(A199="","",IFERROR(INDEX('09_Posicion_Actual'!$E$5:$E$204,MATCH(A199,'09_Posicion_Actual'!$B$5:$B$204,0)),""))</f>
        <v/>
      </c>
      <c r="O199" s="131" t="str">
        <f>IF(A199="","",IFERROR(INDEX('09_Posicion_Actual'!$A$5:$A$204,MATCH(A199,'09_Posicion_Actual'!$B$5:$B$204,0)),""))</f>
        <v/>
      </c>
      <c r="P199" s="132" t="str">
        <f t="shared" si="39"/>
        <v/>
      </c>
      <c r="Q199" s="132" t="str">
        <f t="shared" si="40"/>
        <v/>
      </c>
      <c r="R199" s="132" t="str">
        <f>IF(A199="","",IFERROR(INDEX('09_Posicion_Actual'!$P$5:$P$204,MATCH(A199,'09_Posicion_Actual'!$B$5:$B$204,0)),""))</f>
        <v/>
      </c>
      <c r="S199" s="132" t="str">
        <f t="shared" si="41"/>
        <v/>
      </c>
      <c r="T199" s="132"/>
      <c r="U199" s="132"/>
      <c r="V199" s="132"/>
      <c r="W199" s="132"/>
      <c r="X199" s="132"/>
    </row>
    <row r="200" spans="1:24">
      <c r="A200" s="132"/>
      <c r="B200" s="132"/>
      <c r="C200" s="132"/>
      <c r="D200" s="132"/>
      <c r="E200" s="176" t="str">
        <f>IF(A200="","",SUMIFS('14_Inversiones'!$E$5:$E$203,'14_Inversiones'!$B$5:$B$203,A200,'14_Inversiones'!$D$5:$D$203,C200,'14_Inversiones'!$C$5:$C$203,"Compra")+SUMIFS('14_Inversiones'!$E$5:$E$203,'14_Inversiones'!$B$5:$B$203,A200,'14_Inversiones'!$D$5:$D$203,C200,'14_Inversiones'!$C$5:$C$203,"Aporte")+SUMIFS('14_Inversiones'!$E$5:$E$203,'14_Inversiones'!$B$5:$B$203,A200,'14_Inversiones'!$D$5:$D$203,C200,'14_Inversiones'!$C$5:$C$203,"Ajuste"))</f>
        <v/>
      </c>
      <c r="F200" s="176" t="str">
        <f>IF(A200="","",SUMIFS('14_Inversiones'!$E$5:$E$203,'14_Inversiones'!$B$5:$B$203,A200,'14_Inversiones'!$D$5:$D$203,C200,'14_Inversiones'!$C$5:$C$203,"Retiro")+SUMIFS('14_Inversiones'!$E$5:$E$203,'14_Inversiones'!$B$5:$B$203,A200,'14_Inversiones'!$D$5:$D$203,C200,'14_Inversiones'!$C$5:$C$203,"Venta"))</f>
        <v/>
      </c>
      <c r="G200" s="176" t="str">
        <f t="shared" si="36"/>
        <v/>
      </c>
      <c r="H200" s="176" t="str">
        <f>IF(A200="","",IFERROR(INDEX('09_Posicion_Actual'!$G$5:$G$204,MATCH(A200,'09_Posicion_Actual'!$B$5:$B$204,0)),0))</f>
        <v/>
      </c>
      <c r="I200" s="171" t="str">
        <f>IF(A200="","",IFERROR(INDEX('09_Posicion_Actual'!$I$5:$I$204,MATCH(A200,'09_Posicion_Actual'!$B$5:$B$204,0)),0))</f>
        <v/>
      </c>
      <c r="J200" s="176" t="str">
        <f t="shared" si="37"/>
        <v/>
      </c>
      <c r="K200" s="171" t="str">
        <f>IF(A200="","",IF(C200="USD",J200*IFERROR(INDEX('09_Posicion_Actual'!$H$5:$H$204,MATCH(A200,'09_Posicion_Actual'!$B$5:$B$204,0)),950),J200))</f>
        <v/>
      </c>
      <c r="L200" s="180" t="str">
        <f t="shared" si="38"/>
        <v/>
      </c>
      <c r="M200" s="176" t="str">
        <f>IF(A200="","",IFERROR(INDEX('09_Posicion_Actual'!$F$5:$F$204,MATCH(A200,'09_Posicion_Actual'!$B$5:$B$204,0)),""))</f>
        <v/>
      </c>
      <c r="N200" s="177" t="str">
        <f>IF(A200="","",IFERROR(INDEX('09_Posicion_Actual'!$E$5:$E$204,MATCH(A200,'09_Posicion_Actual'!$B$5:$B$204,0)),""))</f>
        <v/>
      </c>
      <c r="O200" s="131" t="str">
        <f>IF(A200="","",IFERROR(INDEX('09_Posicion_Actual'!$A$5:$A$204,MATCH(A200,'09_Posicion_Actual'!$B$5:$B$204,0)),""))</f>
        <v/>
      </c>
      <c r="P200" s="132" t="str">
        <f t="shared" si="39"/>
        <v/>
      </c>
      <c r="Q200" s="132" t="str">
        <f t="shared" si="40"/>
        <v/>
      </c>
      <c r="R200" s="132" t="str">
        <f>IF(A200="","",IFERROR(INDEX('09_Posicion_Actual'!$P$5:$P$204,MATCH(A200,'09_Posicion_Actual'!$B$5:$B$204,0)),""))</f>
        <v/>
      </c>
      <c r="S200" s="132" t="str">
        <f t="shared" si="41"/>
        <v/>
      </c>
      <c r="T200" s="132"/>
      <c r="U200" s="132"/>
      <c r="V200" s="132"/>
      <c r="W200" s="132"/>
      <c r="X200" s="132"/>
    </row>
    <row r="201" spans="1:24">
      <c r="A201" s="132"/>
      <c r="B201" s="132"/>
      <c r="C201" s="132"/>
      <c r="D201" s="132"/>
      <c r="E201" s="176" t="str">
        <f>IF(A201="","",SUMIFS('14_Inversiones'!$E$5:$E$203,'14_Inversiones'!$B$5:$B$203,A201,'14_Inversiones'!$D$5:$D$203,C201,'14_Inversiones'!$C$5:$C$203,"Compra")+SUMIFS('14_Inversiones'!$E$5:$E$203,'14_Inversiones'!$B$5:$B$203,A201,'14_Inversiones'!$D$5:$D$203,C201,'14_Inversiones'!$C$5:$C$203,"Aporte")+SUMIFS('14_Inversiones'!$E$5:$E$203,'14_Inversiones'!$B$5:$B$203,A201,'14_Inversiones'!$D$5:$D$203,C201,'14_Inversiones'!$C$5:$C$203,"Ajuste"))</f>
        <v/>
      </c>
      <c r="F201" s="176" t="str">
        <f>IF(A201="","",SUMIFS('14_Inversiones'!$E$5:$E$203,'14_Inversiones'!$B$5:$B$203,A201,'14_Inversiones'!$D$5:$D$203,C201,'14_Inversiones'!$C$5:$C$203,"Retiro")+SUMIFS('14_Inversiones'!$E$5:$E$203,'14_Inversiones'!$B$5:$B$203,A201,'14_Inversiones'!$D$5:$D$203,C201,'14_Inversiones'!$C$5:$C$203,"Venta"))</f>
        <v/>
      </c>
      <c r="G201" s="176" t="str">
        <f t="shared" si="36"/>
        <v/>
      </c>
      <c r="H201" s="176" t="str">
        <f>IF(A201="","",IFERROR(INDEX('09_Posicion_Actual'!$G$5:$G$204,MATCH(A201,'09_Posicion_Actual'!$B$5:$B$204,0)),0))</f>
        <v/>
      </c>
      <c r="I201" s="171" t="str">
        <f>IF(A201="","",IFERROR(INDEX('09_Posicion_Actual'!$I$5:$I$204,MATCH(A201,'09_Posicion_Actual'!$B$5:$B$204,0)),0))</f>
        <v/>
      </c>
      <c r="J201" s="176" t="str">
        <f t="shared" si="37"/>
        <v/>
      </c>
      <c r="K201" s="171" t="str">
        <f>IF(A201="","",IF(C201="USD",J201*IFERROR(INDEX('09_Posicion_Actual'!$H$5:$H$204,MATCH(A201,'09_Posicion_Actual'!$B$5:$B$204,0)),950),J201))</f>
        <v/>
      </c>
      <c r="L201" s="180" t="str">
        <f t="shared" si="38"/>
        <v/>
      </c>
      <c r="M201" s="176" t="str">
        <f>IF(A201="","",IFERROR(INDEX('09_Posicion_Actual'!$F$5:$F$204,MATCH(A201,'09_Posicion_Actual'!$B$5:$B$204,0)),""))</f>
        <v/>
      </c>
      <c r="N201" s="177" t="str">
        <f>IF(A201="","",IFERROR(INDEX('09_Posicion_Actual'!$E$5:$E$204,MATCH(A201,'09_Posicion_Actual'!$B$5:$B$204,0)),""))</f>
        <v/>
      </c>
      <c r="O201" s="131" t="str">
        <f>IF(A201="","",IFERROR(INDEX('09_Posicion_Actual'!$A$5:$A$204,MATCH(A201,'09_Posicion_Actual'!$B$5:$B$204,0)),""))</f>
        <v/>
      </c>
      <c r="P201" s="132" t="str">
        <f t="shared" si="39"/>
        <v/>
      </c>
      <c r="Q201" s="132" t="str">
        <f t="shared" si="40"/>
        <v/>
      </c>
      <c r="R201" s="132" t="str">
        <f>IF(A201="","",IFERROR(INDEX('09_Posicion_Actual'!$P$5:$P$204,MATCH(A201,'09_Posicion_Actual'!$B$5:$B$204,0)),""))</f>
        <v/>
      </c>
      <c r="S201" s="132" t="str">
        <f t="shared" si="41"/>
        <v/>
      </c>
      <c r="T201" s="132"/>
      <c r="U201" s="132"/>
      <c r="V201" s="132"/>
      <c r="W201" s="132"/>
      <c r="X201" s="132"/>
    </row>
    <row r="202" spans="1:24">
      <c r="A202" s="132"/>
      <c r="B202" s="132"/>
      <c r="C202" s="132"/>
      <c r="D202" s="132"/>
      <c r="E202" s="176" t="str">
        <f>IF(A202="","",SUMIFS('14_Inversiones'!$E$5:$E$203,'14_Inversiones'!$B$5:$B$203,A202,'14_Inversiones'!$D$5:$D$203,C202,'14_Inversiones'!$C$5:$C$203,"Compra")+SUMIFS('14_Inversiones'!$E$5:$E$203,'14_Inversiones'!$B$5:$B$203,A202,'14_Inversiones'!$D$5:$D$203,C202,'14_Inversiones'!$C$5:$C$203,"Aporte")+SUMIFS('14_Inversiones'!$E$5:$E$203,'14_Inversiones'!$B$5:$B$203,A202,'14_Inversiones'!$D$5:$D$203,C202,'14_Inversiones'!$C$5:$C$203,"Ajuste"))</f>
        <v/>
      </c>
      <c r="F202" s="176" t="str">
        <f>IF(A202="","",SUMIFS('14_Inversiones'!$E$5:$E$203,'14_Inversiones'!$B$5:$B$203,A202,'14_Inversiones'!$D$5:$D$203,C202,'14_Inversiones'!$C$5:$C$203,"Retiro")+SUMIFS('14_Inversiones'!$E$5:$E$203,'14_Inversiones'!$B$5:$B$203,A202,'14_Inversiones'!$D$5:$D$203,C202,'14_Inversiones'!$C$5:$C$203,"Venta"))</f>
        <v/>
      </c>
      <c r="G202" s="176" t="str">
        <f t="shared" si="36"/>
        <v/>
      </c>
      <c r="H202" s="176" t="str">
        <f>IF(A202="","",IFERROR(INDEX('09_Posicion_Actual'!$G$5:$G$204,MATCH(A202,'09_Posicion_Actual'!$B$5:$B$204,0)),0))</f>
        <v/>
      </c>
      <c r="I202" s="171" t="str">
        <f>IF(A202="","",IFERROR(INDEX('09_Posicion_Actual'!$I$5:$I$204,MATCH(A202,'09_Posicion_Actual'!$B$5:$B$204,0)),0))</f>
        <v/>
      </c>
      <c r="J202" s="176" t="str">
        <f t="shared" si="37"/>
        <v/>
      </c>
      <c r="K202" s="171" t="str">
        <f>IF(A202="","",IF(C202="USD",J202*IFERROR(INDEX('09_Posicion_Actual'!$H$5:$H$204,MATCH(A202,'09_Posicion_Actual'!$B$5:$B$204,0)),950),J202))</f>
        <v/>
      </c>
      <c r="L202" s="180" t="str">
        <f t="shared" si="38"/>
        <v/>
      </c>
      <c r="M202" s="176" t="str">
        <f>IF(A202="","",IFERROR(INDEX('09_Posicion_Actual'!$F$5:$F$204,MATCH(A202,'09_Posicion_Actual'!$B$5:$B$204,0)),""))</f>
        <v/>
      </c>
      <c r="N202" s="177" t="str">
        <f>IF(A202="","",IFERROR(INDEX('09_Posicion_Actual'!$E$5:$E$204,MATCH(A202,'09_Posicion_Actual'!$B$5:$B$204,0)),""))</f>
        <v/>
      </c>
      <c r="O202" s="131" t="str">
        <f>IF(A202="","",IFERROR(INDEX('09_Posicion_Actual'!$A$5:$A$204,MATCH(A202,'09_Posicion_Actual'!$B$5:$B$204,0)),""))</f>
        <v/>
      </c>
      <c r="P202" s="132" t="str">
        <f t="shared" si="39"/>
        <v/>
      </c>
      <c r="Q202" s="132" t="str">
        <f t="shared" si="40"/>
        <v/>
      </c>
      <c r="R202" s="132" t="str">
        <f>IF(A202="","",IFERROR(INDEX('09_Posicion_Actual'!$P$5:$P$204,MATCH(A202,'09_Posicion_Actual'!$B$5:$B$204,0)),""))</f>
        <v/>
      </c>
      <c r="S202" s="132" t="str">
        <f t="shared" si="41"/>
        <v/>
      </c>
      <c r="T202" s="132"/>
      <c r="U202" s="132"/>
      <c r="V202" s="132"/>
      <c r="W202" s="132"/>
      <c r="X202" s="132"/>
    </row>
    <row r="203" spans="1:24">
      <c r="A203" s="132"/>
      <c r="B203" s="132"/>
      <c r="C203" s="132"/>
      <c r="D203" s="132"/>
      <c r="E203" s="176" t="str">
        <f>IF(A203="","",SUMIFS('14_Inversiones'!$E$5:$E$203,'14_Inversiones'!$B$5:$B$203,A203,'14_Inversiones'!$D$5:$D$203,C203,'14_Inversiones'!$C$5:$C$203,"Compra")+SUMIFS('14_Inversiones'!$E$5:$E$203,'14_Inversiones'!$B$5:$B$203,A203,'14_Inversiones'!$D$5:$D$203,C203,'14_Inversiones'!$C$5:$C$203,"Aporte")+SUMIFS('14_Inversiones'!$E$5:$E$203,'14_Inversiones'!$B$5:$B$203,A203,'14_Inversiones'!$D$5:$D$203,C203,'14_Inversiones'!$C$5:$C$203,"Ajuste"))</f>
        <v/>
      </c>
      <c r="F203" s="176" t="str">
        <f>IF(A203="","",SUMIFS('14_Inversiones'!$E$5:$E$203,'14_Inversiones'!$B$5:$B$203,A203,'14_Inversiones'!$D$5:$D$203,C203,'14_Inversiones'!$C$5:$C$203,"Retiro")+SUMIFS('14_Inversiones'!$E$5:$E$203,'14_Inversiones'!$B$5:$B$203,A203,'14_Inversiones'!$D$5:$D$203,C203,'14_Inversiones'!$C$5:$C$203,"Venta"))</f>
        <v/>
      </c>
      <c r="G203" s="176" t="str">
        <f t="shared" si="36"/>
        <v/>
      </c>
      <c r="H203" s="176" t="str">
        <f>IF(A203="","",IFERROR(INDEX('09_Posicion_Actual'!$G$5:$G$204,MATCH(A203,'09_Posicion_Actual'!$B$5:$B$204,0)),0))</f>
        <v/>
      </c>
      <c r="I203" s="171" t="str">
        <f>IF(A203="","",IFERROR(INDEX('09_Posicion_Actual'!$I$5:$I$204,MATCH(A203,'09_Posicion_Actual'!$B$5:$B$204,0)),0))</f>
        <v/>
      </c>
      <c r="J203" s="176" t="str">
        <f t="shared" si="37"/>
        <v/>
      </c>
      <c r="K203" s="171" t="str">
        <f>IF(A203="","",IF(C203="USD",J203*IFERROR(INDEX('09_Posicion_Actual'!$H$5:$H$204,MATCH(A203,'09_Posicion_Actual'!$B$5:$B$204,0)),950),J203))</f>
        <v/>
      </c>
      <c r="L203" s="180" t="str">
        <f t="shared" si="38"/>
        <v/>
      </c>
      <c r="M203" s="176" t="str">
        <f>IF(A203="","",IFERROR(INDEX('09_Posicion_Actual'!$F$5:$F$204,MATCH(A203,'09_Posicion_Actual'!$B$5:$B$204,0)),""))</f>
        <v/>
      </c>
      <c r="N203" s="177" t="str">
        <f>IF(A203="","",IFERROR(INDEX('09_Posicion_Actual'!$E$5:$E$204,MATCH(A203,'09_Posicion_Actual'!$B$5:$B$204,0)),""))</f>
        <v/>
      </c>
      <c r="O203" s="131" t="str">
        <f>IF(A203="","",IFERROR(INDEX('09_Posicion_Actual'!$A$5:$A$204,MATCH(A203,'09_Posicion_Actual'!$B$5:$B$204,0)),""))</f>
        <v/>
      </c>
      <c r="P203" s="132" t="str">
        <f t="shared" si="39"/>
        <v/>
      </c>
      <c r="Q203" s="132" t="str">
        <f t="shared" si="40"/>
        <v/>
      </c>
      <c r="R203" s="132" t="str">
        <f>IF(A203="","",IFERROR(INDEX('09_Posicion_Actual'!$P$5:$P$204,MATCH(A203,'09_Posicion_Actual'!$B$5:$B$204,0)),""))</f>
        <v/>
      </c>
      <c r="S203" s="132" t="str">
        <f t="shared" si="41"/>
        <v/>
      </c>
      <c r="T203" s="132"/>
      <c r="U203" s="132"/>
      <c r="V203" s="132"/>
      <c r="W203" s="132"/>
      <c r="X203" s="132"/>
    </row>
    <row r="204" spans="1:24">
      <c r="A204" s="132"/>
      <c r="B204" s="132"/>
      <c r="C204" s="132"/>
      <c r="D204" s="132"/>
      <c r="E204" s="176" t="str">
        <f>IF(A204="","",SUMIFS('14_Inversiones'!$E$5:$E$203,'14_Inversiones'!$B$5:$B$203,A204,'14_Inversiones'!$D$5:$D$203,C204,'14_Inversiones'!$C$5:$C$203,"Compra")+SUMIFS('14_Inversiones'!$E$5:$E$203,'14_Inversiones'!$B$5:$B$203,A204,'14_Inversiones'!$D$5:$D$203,C204,'14_Inversiones'!$C$5:$C$203,"Aporte")+SUMIFS('14_Inversiones'!$E$5:$E$203,'14_Inversiones'!$B$5:$B$203,A204,'14_Inversiones'!$D$5:$D$203,C204,'14_Inversiones'!$C$5:$C$203,"Ajuste"))</f>
        <v/>
      </c>
      <c r="F204" s="176" t="str">
        <f>IF(A204="","",SUMIFS('14_Inversiones'!$E$5:$E$203,'14_Inversiones'!$B$5:$B$203,A204,'14_Inversiones'!$D$5:$D$203,C204,'14_Inversiones'!$C$5:$C$203,"Retiro")+SUMIFS('14_Inversiones'!$E$5:$E$203,'14_Inversiones'!$B$5:$B$203,A204,'14_Inversiones'!$D$5:$D$203,C204,'14_Inversiones'!$C$5:$C$203,"Venta"))</f>
        <v/>
      </c>
      <c r="G204" s="176" t="str">
        <f t="shared" si="36"/>
        <v/>
      </c>
      <c r="H204" s="176" t="str">
        <f>IF(A204="","",IFERROR(INDEX('09_Posicion_Actual'!$G$5:$G$204,MATCH(A204,'09_Posicion_Actual'!$B$5:$B$204,0)),0))</f>
        <v/>
      </c>
      <c r="I204" s="171" t="str">
        <f>IF(A204="","",IFERROR(INDEX('09_Posicion_Actual'!$I$5:$I$204,MATCH(A204,'09_Posicion_Actual'!$B$5:$B$204,0)),0))</f>
        <v/>
      </c>
      <c r="J204" s="176" t="str">
        <f t="shared" si="37"/>
        <v/>
      </c>
      <c r="K204" s="171" t="str">
        <f>IF(A204="","",IF(C204="USD",J204*IFERROR(INDEX('09_Posicion_Actual'!$H$5:$H$204,MATCH(A204,'09_Posicion_Actual'!$B$5:$B$204,0)),950),J204))</f>
        <v/>
      </c>
      <c r="L204" s="180" t="str">
        <f t="shared" si="38"/>
        <v/>
      </c>
      <c r="M204" s="176" t="str">
        <f>IF(A204="","",IFERROR(INDEX('09_Posicion_Actual'!$F$5:$F$204,MATCH(A204,'09_Posicion_Actual'!$B$5:$B$204,0)),""))</f>
        <v/>
      </c>
      <c r="N204" s="177" t="str">
        <f>IF(A204="","",IFERROR(INDEX('09_Posicion_Actual'!$E$5:$E$204,MATCH(A204,'09_Posicion_Actual'!$B$5:$B$204,0)),""))</f>
        <v/>
      </c>
      <c r="O204" s="131" t="str">
        <f>IF(A204="","",IFERROR(INDEX('09_Posicion_Actual'!$A$5:$A$204,MATCH(A204,'09_Posicion_Actual'!$B$5:$B$204,0)),""))</f>
        <v/>
      </c>
      <c r="P204" s="132" t="str">
        <f t="shared" si="39"/>
        <v/>
      </c>
      <c r="Q204" s="132" t="str">
        <f t="shared" si="40"/>
        <v/>
      </c>
      <c r="R204" s="132" t="str">
        <f>IF(A204="","",IFERROR(INDEX('09_Posicion_Actual'!$P$5:$P$204,MATCH(A204,'09_Posicion_Actual'!$B$5:$B$204,0)),""))</f>
        <v/>
      </c>
      <c r="S204" s="132" t="str">
        <f t="shared" si="41"/>
        <v/>
      </c>
      <c r="T204" s="132"/>
      <c r="U204" s="132"/>
      <c r="V204" s="132"/>
      <c r="W204" s="132"/>
      <c r="X204" s="132"/>
    </row>
    <row r="205" spans="1:24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</row>
    <row r="206" spans="1:24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</row>
    <row r="207" spans="1:24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</row>
    <row r="208" spans="1:24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</row>
    <row r="209" spans="1:24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</row>
    <row r="210" spans="1:24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</row>
    <row r="211" spans="1:24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</row>
    <row r="212" spans="1:24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</row>
    <row r="213" spans="1:24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</row>
    <row r="214" spans="1:24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</row>
    <row r="215" spans="1:24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</row>
    <row r="216" spans="1:24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</row>
    <row r="217" spans="1:24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</row>
    <row r="218" spans="1:24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</row>
    <row r="219" spans="1:24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</row>
    <row r="220" spans="1:24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</row>
  </sheetData>
  <mergeCells count="2">
    <mergeCell ref="A1:K1"/>
    <mergeCell ref="A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BFBFBF"/>
  </sheetPr>
  <dimension ref="A1:I80"/>
  <sheetViews>
    <sheetView showGridLines="0" workbookViewId="0"/>
  </sheetViews>
  <sheetFormatPr baseColWidth="10" defaultColWidth="8.7265625" defaultRowHeight="14.5"/>
  <cols>
    <col min="1" max="1" width="14" customWidth="1"/>
    <col min="2" max="3" width="12" customWidth="1"/>
    <col min="4" max="4" width="18" customWidth="1"/>
    <col min="5" max="5" width="12" customWidth="1"/>
    <col min="6" max="6" width="22" customWidth="1"/>
    <col min="7" max="7" width="18" customWidth="1"/>
    <col min="8" max="8" width="14" customWidth="1"/>
    <col min="9" max="9" width="34" customWidth="1"/>
  </cols>
  <sheetData>
    <row r="1" spans="1:9" ht="28" customHeight="1">
      <c r="A1" s="446" t="s">
        <v>1863</v>
      </c>
      <c r="B1" s="426"/>
      <c r="C1" s="426"/>
      <c r="D1" s="426"/>
      <c r="E1" s="426"/>
      <c r="F1" s="426"/>
      <c r="G1" s="426"/>
      <c r="H1" s="426"/>
      <c r="I1" s="426"/>
    </row>
    <row r="2" spans="1:9">
      <c r="A2" s="447" t="s">
        <v>1864</v>
      </c>
      <c r="B2" s="426"/>
      <c r="C2" s="426"/>
      <c r="D2" s="426"/>
      <c r="E2" s="426"/>
      <c r="F2" s="426"/>
      <c r="G2" s="426"/>
      <c r="H2" s="426"/>
      <c r="I2" s="426"/>
    </row>
    <row r="3" spans="1:9">
      <c r="A3" s="132"/>
      <c r="B3" s="132"/>
      <c r="C3" s="132"/>
      <c r="D3" s="132"/>
      <c r="E3" s="132"/>
      <c r="F3" s="132"/>
      <c r="G3" s="132"/>
      <c r="H3" s="132"/>
      <c r="I3" s="132"/>
    </row>
    <row r="4" spans="1:9">
      <c r="A4" s="175" t="s">
        <v>1061</v>
      </c>
      <c r="B4" s="175" t="s">
        <v>1865</v>
      </c>
      <c r="C4" s="175" t="s">
        <v>1866</v>
      </c>
      <c r="D4" s="175" t="s">
        <v>1867</v>
      </c>
      <c r="E4" s="175" t="s">
        <v>1868</v>
      </c>
      <c r="F4" s="175" t="s">
        <v>1708</v>
      </c>
      <c r="G4" s="175" t="s">
        <v>1671</v>
      </c>
      <c r="H4" s="175" t="s">
        <v>655</v>
      </c>
      <c r="I4" s="175" t="s">
        <v>656</v>
      </c>
    </row>
    <row r="5" spans="1:9">
      <c r="A5" s="132" t="s">
        <v>1197</v>
      </c>
      <c r="B5" s="180"/>
      <c r="C5" s="180"/>
      <c r="D5" s="180"/>
      <c r="E5" s="180">
        <f t="shared" ref="E5:E12" si="0">IFERROR(AVERAGE(B5:D5),0)</f>
        <v>0</v>
      </c>
      <c r="F5" s="171">
        <f>IF(A5="junio",'08_Rentabilidad_Inversiones'!V6,0)</f>
        <v>0</v>
      </c>
      <c r="G5" s="171">
        <f>IF(A5="junio",'08_Rentabilidad_Inversiones'!V5,0)</f>
        <v>0</v>
      </c>
      <c r="H5" s="132" t="str">
        <f t="shared" ref="H5:H12" si="1">IF(F5&gt;0,"🟢 Ganancia",IF(F5&lt;0,"🔴 Pérdida","🟡 Neutra"))</f>
        <v>🟡 Neutra</v>
      </c>
      <c r="I5" s="132"/>
    </row>
    <row r="6" spans="1:9">
      <c r="A6" s="132" t="s">
        <v>1188</v>
      </c>
      <c r="B6" s="180"/>
      <c r="C6" s="180"/>
      <c r="D6" s="180"/>
      <c r="E6" s="180">
        <f t="shared" si="0"/>
        <v>0</v>
      </c>
      <c r="F6" s="171">
        <f>IF(A6="junio",'08_Rentabilidad_Inversiones'!V6,0)</f>
        <v>-4197.5</v>
      </c>
      <c r="G6" s="171">
        <f>IF(A6="junio",'08_Rentabilidad_Inversiones'!V5,0)</f>
        <v>236224</v>
      </c>
      <c r="H6" s="132" t="str">
        <f t="shared" si="1"/>
        <v>🔴 Pérdida</v>
      </c>
      <c r="I6" s="132"/>
    </row>
    <row r="7" spans="1:9">
      <c r="A7" s="132" t="s">
        <v>1208</v>
      </c>
      <c r="B7" s="180"/>
      <c r="C7" s="180"/>
      <c r="D7" s="180"/>
      <c r="E7" s="180">
        <f t="shared" si="0"/>
        <v>0</v>
      </c>
      <c r="F7" s="171">
        <f>IF(A7="junio",'08_Rentabilidad_Inversiones'!V6,0)</f>
        <v>0</v>
      </c>
      <c r="G7" s="171">
        <f>IF(A7="junio",'08_Rentabilidad_Inversiones'!V5,0)</f>
        <v>0</v>
      </c>
      <c r="H7" s="132" t="str">
        <f t="shared" si="1"/>
        <v>🟡 Neutra</v>
      </c>
      <c r="I7" s="132"/>
    </row>
    <row r="8" spans="1:9">
      <c r="A8" s="132" t="s">
        <v>1210</v>
      </c>
      <c r="B8" s="180"/>
      <c r="C8" s="180"/>
      <c r="D8" s="180"/>
      <c r="E8" s="180">
        <f t="shared" si="0"/>
        <v>0</v>
      </c>
      <c r="F8" s="171">
        <f>IF(A8="junio",'08_Rentabilidad_Inversiones'!V6,0)</f>
        <v>0</v>
      </c>
      <c r="G8" s="171">
        <f>IF(A8="junio",'08_Rentabilidad_Inversiones'!V5,0)</f>
        <v>0</v>
      </c>
      <c r="H8" s="132" t="str">
        <f t="shared" si="1"/>
        <v>🟡 Neutra</v>
      </c>
      <c r="I8" s="132"/>
    </row>
    <row r="9" spans="1:9">
      <c r="A9" s="132" t="s">
        <v>1212</v>
      </c>
      <c r="B9" s="180"/>
      <c r="C9" s="180"/>
      <c r="D9" s="180"/>
      <c r="E9" s="180">
        <f t="shared" si="0"/>
        <v>0</v>
      </c>
      <c r="F9" s="171">
        <f>IF(A9="junio",'08_Rentabilidad_Inversiones'!V6,0)</f>
        <v>0</v>
      </c>
      <c r="G9" s="171">
        <f>IF(A9="junio",'08_Rentabilidad_Inversiones'!V5,0)</f>
        <v>0</v>
      </c>
      <c r="H9" s="132" t="str">
        <f t="shared" si="1"/>
        <v>🟡 Neutra</v>
      </c>
      <c r="I9" s="132"/>
    </row>
    <row r="10" spans="1:9">
      <c r="A10" s="132" t="s">
        <v>1214</v>
      </c>
      <c r="B10" s="180"/>
      <c r="C10" s="180"/>
      <c r="D10" s="180"/>
      <c r="E10" s="180">
        <f t="shared" si="0"/>
        <v>0</v>
      </c>
      <c r="F10" s="171">
        <f>IF(A10="junio",'08_Rentabilidad_Inversiones'!V6,0)</f>
        <v>0</v>
      </c>
      <c r="G10" s="171">
        <f>IF(A10="junio",'08_Rentabilidad_Inversiones'!V5,0)</f>
        <v>0</v>
      </c>
      <c r="H10" s="132" t="str">
        <f t="shared" si="1"/>
        <v>🟡 Neutra</v>
      </c>
      <c r="I10" s="132"/>
    </row>
    <row r="11" spans="1:9">
      <c r="A11" s="132" t="s">
        <v>1215</v>
      </c>
      <c r="B11" s="180"/>
      <c r="C11" s="180"/>
      <c r="D11" s="180"/>
      <c r="E11" s="180">
        <f t="shared" si="0"/>
        <v>0</v>
      </c>
      <c r="F11" s="171">
        <f>IF(A11="junio",'08_Rentabilidad_Inversiones'!V6,0)</f>
        <v>0</v>
      </c>
      <c r="G11" s="171">
        <f>IF(A11="junio",'08_Rentabilidad_Inversiones'!V5,0)</f>
        <v>0</v>
      </c>
      <c r="H11" s="132" t="str">
        <f t="shared" si="1"/>
        <v>🟡 Neutra</v>
      </c>
      <c r="I11" s="132"/>
    </row>
    <row r="12" spans="1:9">
      <c r="A12" s="132" t="s">
        <v>1217</v>
      </c>
      <c r="B12" s="180"/>
      <c r="C12" s="180"/>
      <c r="D12" s="180"/>
      <c r="E12" s="180">
        <f t="shared" si="0"/>
        <v>0</v>
      </c>
      <c r="F12" s="171">
        <f>IF(A12="junio",'08_Rentabilidad_Inversiones'!V6,0)</f>
        <v>0</v>
      </c>
      <c r="G12" s="171">
        <f>IF(A12="junio",'08_Rentabilidad_Inversiones'!V5,0)</f>
        <v>0</v>
      </c>
      <c r="H12" s="132" t="str">
        <f t="shared" si="1"/>
        <v>🟡 Neutra</v>
      </c>
      <c r="I12" s="132"/>
    </row>
    <row r="13" spans="1:9">
      <c r="A13" s="132"/>
      <c r="B13" s="132"/>
      <c r="C13" s="132"/>
      <c r="D13" s="132"/>
      <c r="E13" s="132"/>
      <c r="F13" s="132"/>
      <c r="G13" s="132"/>
      <c r="H13" s="132"/>
      <c r="I13" s="132"/>
    </row>
    <row r="14" spans="1:9">
      <c r="A14" s="132"/>
      <c r="B14" s="132"/>
      <c r="C14" s="132"/>
      <c r="D14" s="132"/>
      <c r="E14" s="132"/>
      <c r="F14" s="132"/>
      <c r="G14" s="132"/>
      <c r="H14" s="132"/>
      <c r="I14" s="132"/>
    </row>
    <row r="15" spans="1:9">
      <c r="A15" s="132"/>
      <c r="B15" s="132"/>
      <c r="C15" s="132"/>
      <c r="D15" s="132"/>
      <c r="E15" s="132"/>
      <c r="F15" s="132"/>
      <c r="G15" s="132"/>
      <c r="H15" s="132"/>
      <c r="I15" s="132"/>
    </row>
    <row r="16" spans="1:9">
      <c r="A16" s="132"/>
      <c r="B16" s="132"/>
      <c r="C16" s="132"/>
      <c r="D16" s="132"/>
      <c r="E16" s="132"/>
      <c r="F16" s="132"/>
      <c r="G16" s="132"/>
      <c r="H16" s="132"/>
      <c r="I16" s="132"/>
    </row>
    <row r="17" spans="1:9">
      <c r="A17" s="132"/>
      <c r="B17" s="132"/>
      <c r="C17" s="132"/>
      <c r="D17" s="132"/>
      <c r="E17" s="132"/>
      <c r="F17" s="132"/>
      <c r="G17" s="132"/>
      <c r="H17" s="132"/>
      <c r="I17" s="132"/>
    </row>
    <row r="18" spans="1:9">
      <c r="A18" s="132"/>
      <c r="B18" s="132"/>
      <c r="C18" s="132"/>
      <c r="D18" s="132"/>
      <c r="E18" s="132"/>
      <c r="F18" s="132"/>
      <c r="G18" s="132"/>
      <c r="H18" s="132"/>
      <c r="I18" s="132"/>
    </row>
    <row r="19" spans="1:9">
      <c r="A19" s="132"/>
      <c r="B19" s="132"/>
      <c r="C19" s="132"/>
      <c r="D19" s="132"/>
      <c r="E19" s="132"/>
      <c r="F19" s="132"/>
      <c r="G19" s="132"/>
      <c r="H19" s="132"/>
      <c r="I19" s="132"/>
    </row>
    <row r="20" spans="1:9">
      <c r="A20" s="132"/>
      <c r="B20" s="132"/>
      <c r="C20" s="132"/>
      <c r="D20" s="132"/>
      <c r="E20" s="132"/>
      <c r="F20" s="132"/>
      <c r="G20" s="132"/>
      <c r="H20" s="132"/>
      <c r="I20" s="132"/>
    </row>
    <row r="21" spans="1:9">
      <c r="A21" s="132"/>
      <c r="B21" s="132"/>
      <c r="C21" s="132"/>
      <c r="D21" s="132"/>
      <c r="E21" s="132"/>
      <c r="F21" s="132"/>
      <c r="G21" s="132"/>
      <c r="H21" s="132"/>
      <c r="I21" s="132"/>
    </row>
    <row r="22" spans="1:9">
      <c r="A22" s="132"/>
      <c r="B22" s="132"/>
      <c r="C22" s="132"/>
      <c r="D22" s="132"/>
      <c r="E22" s="132"/>
      <c r="F22" s="132"/>
      <c r="G22" s="132"/>
      <c r="H22" s="132"/>
      <c r="I22" s="132"/>
    </row>
    <row r="23" spans="1:9">
      <c r="A23" s="132"/>
      <c r="B23" s="132"/>
      <c r="C23" s="132"/>
      <c r="D23" s="132"/>
      <c r="E23" s="132"/>
      <c r="F23" s="132"/>
      <c r="G23" s="132"/>
      <c r="H23" s="132"/>
      <c r="I23" s="132"/>
    </row>
    <row r="24" spans="1:9">
      <c r="A24" s="132"/>
      <c r="B24" s="132"/>
      <c r="C24" s="132"/>
      <c r="D24" s="132"/>
      <c r="E24" s="132"/>
      <c r="F24" s="132"/>
      <c r="G24" s="132"/>
      <c r="H24" s="132"/>
      <c r="I24" s="132"/>
    </row>
    <row r="25" spans="1:9">
      <c r="A25" s="132"/>
      <c r="B25" s="132"/>
      <c r="C25" s="132"/>
      <c r="D25" s="132"/>
      <c r="E25" s="132"/>
      <c r="F25" s="132"/>
      <c r="G25" s="132"/>
      <c r="H25" s="132"/>
      <c r="I25" s="132"/>
    </row>
    <row r="26" spans="1:9">
      <c r="A26" s="132"/>
      <c r="B26" s="132"/>
      <c r="C26" s="132"/>
      <c r="D26" s="132"/>
      <c r="E26" s="132"/>
      <c r="F26" s="132"/>
      <c r="G26" s="132"/>
      <c r="H26" s="132"/>
      <c r="I26" s="132"/>
    </row>
    <row r="27" spans="1:9">
      <c r="A27" s="132"/>
      <c r="B27" s="132"/>
      <c r="C27" s="132"/>
      <c r="D27" s="132"/>
      <c r="E27" s="132"/>
      <c r="F27" s="132"/>
      <c r="G27" s="132"/>
      <c r="H27" s="132"/>
      <c r="I27" s="132"/>
    </row>
    <row r="28" spans="1:9">
      <c r="A28" s="132"/>
      <c r="B28" s="132"/>
      <c r="C28" s="132"/>
      <c r="D28" s="132"/>
      <c r="E28" s="132"/>
      <c r="F28" s="132"/>
      <c r="G28" s="132"/>
      <c r="H28" s="132"/>
      <c r="I28" s="132"/>
    </row>
    <row r="29" spans="1:9">
      <c r="A29" s="132"/>
      <c r="B29" s="132"/>
      <c r="C29" s="132"/>
      <c r="D29" s="132"/>
      <c r="E29" s="132"/>
      <c r="F29" s="132"/>
      <c r="G29" s="132"/>
      <c r="H29" s="132"/>
      <c r="I29" s="132"/>
    </row>
    <row r="30" spans="1:9">
      <c r="A30" s="132"/>
      <c r="B30" s="132"/>
      <c r="C30" s="132"/>
      <c r="D30" s="132"/>
      <c r="E30" s="132"/>
      <c r="F30" s="132"/>
      <c r="G30" s="132"/>
      <c r="H30" s="132"/>
      <c r="I30" s="132"/>
    </row>
    <row r="31" spans="1:9">
      <c r="A31" s="132"/>
      <c r="B31" s="132"/>
      <c r="C31" s="132"/>
      <c r="D31" s="132"/>
      <c r="E31" s="132"/>
      <c r="F31" s="132"/>
      <c r="G31" s="132"/>
      <c r="H31" s="132"/>
      <c r="I31" s="132"/>
    </row>
    <row r="32" spans="1:9">
      <c r="A32" s="132"/>
      <c r="B32" s="132"/>
      <c r="C32" s="132"/>
      <c r="D32" s="132"/>
      <c r="E32" s="132"/>
      <c r="F32" s="132"/>
      <c r="G32" s="132"/>
      <c r="H32" s="132"/>
      <c r="I32" s="132"/>
    </row>
    <row r="33" spans="1:9">
      <c r="A33" s="132"/>
      <c r="B33" s="132"/>
      <c r="C33" s="132"/>
      <c r="D33" s="132"/>
      <c r="E33" s="132"/>
      <c r="F33" s="132"/>
      <c r="G33" s="132"/>
      <c r="H33" s="132"/>
      <c r="I33" s="132"/>
    </row>
    <row r="34" spans="1:9">
      <c r="A34" s="132"/>
      <c r="B34" s="132"/>
      <c r="C34" s="132"/>
      <c r="D34" s="132"/>
      <c r="E34" s="132"/>
      <c r="F34" s="132"/>
      <c r="G34" s="132"/>
      <c r="H34" s="132"/>
      <c r="I34" s="132"/>
    </row>
    <row r="35" spans="1:9">
      <c r="A35" s="132"/>
      <c r="B35" s="132"/>
      <c r="C35" s="132"/>
      <c r="D35" s="132"/>
      <c r="E35" s="132"/>
      <c r="F35" s="132"/>
      <c r="G35" s="132"/>
      <c r="H35" s="132"/>
      <c r="I35" s="132"/>
    </row>
    <row r="36" spans="1:9">
      <c r="A36" s="132"/>
      <c r="B36" s="132"/>
      <c r="C36" s="132"/>
      <c r="D36" s="132"/>
      <c r="E36" s="132"/>
      <c r="F36" s="132"/>
      <c r="G36" s="132"/>
      <c r="H36" s="132"/>
      <c r="I36" s="132"/>
    </row>
    <row r="37" spans="1:9">
      <c r="A37" s="132"/>
      <c r="B37" s="132"/>
      <c r="C37" s="132"/>
      <c r="D37" s="132"/>
      <c r="E37" s="132"/>
      <c r="F37" s="132"/>
      <c r="G37" s="132"/>
      <c r="H37" s="132"/>
      <c r="I37" s="132"/>
    </row>
    <row r="38" spans="1:9">
      <c r="A38" s="132"/>
      <c r="B38" s="132"/>
      <c r="C38" s="132"/>
      <c r="D38" s="132"/>
      <c r="E38" s="132"/>
      <c r="F38" s="132"/>
      <c r="G38" s="132"/>
      <c r="H38" s="132"/>
      <c r="I38" s="132"/>
    </row>
    <row r="39" spans="1:9">
      <c r="A39" s="132"/>
      <c r="B39" s="132"/>
      <c r="C39" s="132"/>
      <c r="D39" s="132"/>
      <c r="E39" s="132"/>
      <c r="F39" s="132"/>
      <c r="G39" s="132"/>
      <c r="H39" s="132"/>
      <c r="I39" s="132"/>
    </row>
    <row r="40" spans="1:9">
      <c r="A40" s="132"/>
      <c r="B40" s="132"/>
      <c r="C40" s="132"/>
      <c r="D40" s="132"/>
      <c r="E40" s="132"/>
      <c r="F40" s="132"/>
      <c r="G40" s="132"/>
      <c r="H40" s="132"/>
      <c r="I40" s="132"/>
    </row>
    <row r="41" spans="1:9">
      <c r="A41" s="132"/>
      <c r="B41" s="132"/>
      <c r="C41" s="132"/>
      <c r="D41" s="132"/>
      <c r="E41" s="132"/>
      <c r="F41" s="132"/>
      <c r="G41" s="132"/>
      <c r="H41" s="132"/>
      <c r="I41" s="132"/>
    </row>
    <row r="42" spans="1:9">
      <c r="A42" s="132"/>
      <c r="B42" s="132"/>
      <c r="C42" s="132"/>
      <c r="D42" s="132"/>
      <c r="E42" s="132"/>
      <c r="F42" s="132"/>
      <c r="G42" s="132"/>
      <c r="H42" s="132"/>
      <c r="I42" s="132"/>
    </row>
    <row r="43" spans="1:9">
      <c r="A43" s="132"/>
      <c r="B43" s="132"/>
      <c r="C43" s="132"/>
      <c r="D43" s="132"/>
      <c r="E43" s="132"/>
      <c r="F43" s="132"/>
      <c r="G43" s="132"/>
      <c r="H43" s="132"/>
      <c r="I43" s="132"/>
    </row>
    <row r="44" spans="1:9">
      <c r="A44" s="132"/>
      <c r="B44" s="132"/>
      <c r="C44" s="132"/>
      <c r="D44" s="132"/>
      <c r="E44" s="132"/>
      <c r="F44" s="132"/>
      <c r="G44" s="132"/>
      <c r="H44" s="132"/>
      <c r="I44" s="132"/>
    </row>
    <row r="45" spans="1:9">
      <c r="A45" s="132"/>
      <c r="B45" s="132"/>
      <c r="C45" s="132"/>
      <c r="D45" s="132"/>
      <c r="E45" s="132"/>
      <c r="F45" s="132"/>
      <c r="G45" s="132"/>
      <c r="H45" s="132"/>
      <c r="I45" s="132"/>
    </row>
    <row r="46" spans="1:9">
      <c r="A46" s="132"/>
      <c r="B46" s="132"/>
      <c r="C46" s="132"/>
      <c r="D46" s="132"/>
      <c r="E46" s="132"/>
      <c r="F46" s="132"/>
      <c r="G46" s="132"/>
      <c r="H46" s="132"/>
      <c r="I46" s="132"/>
    </row>
    <row r="47" spans="1:9">
      <c r="A47" s="132"/>
      <c r="B47" s="132"/>
      <c r="C47" s="132"/>
      <c r="D47" s="132"/>
      <c r="E47" s="132"/>
      <c r="F47" s="132"/>
      <c r="G47" s="132"/>
      <c r="H47" s="132"/>
      <c r="I47" s="132"/>
    </row>
    <row r="48" spans="1:9">
      <c r="A48" s="132"/>
      <c r="B48" s="132"/>
      <c r="C48" s="132"/>
      <c r="D48" s="132"/>
      <c r="E48" s="132"/>
      <c r="F48" s="132"/>
      <c r="G48" s="132"/>
      <c r="H48" s="132"/>
      <c r="I48" s="132"/>
    </row>
    <row r="49" spans="1:9">
      <c r="A49" s="132"/>
      <c r="B49" s="132"/>
      <c r="C49" s="132"/>
      <c r="D49" s="132"/>
      <c r="E49" s="132"/>
      <c r="F49" s="132"/>
      <c r="G49" s="132"/>
      <c r="H49" s="132"/>
      <c r="I49" s="132"/>
    </row>
    <row r="50" spans="1:9">
      <c r="A50" s="132"/>
      <c r="B50" s="132"/>
      <c r="C50" s="132"/>
      <c r="D50" s="132"/>
      <c r="E50" s="132"/>
      <c r="F50" s="132"/>
      <c r="G50" s="132"/>
      <c r="H50" s="132"/>
      <c r="I50" s="132"/>
    </row>
    <row r="51" spans="1:9">
      <c r="A51" s="132"/>
      <c r="B51" s="132"/>
      <c r="C51" s="132"/>
      <c r="D51" s="132"/>
      <c r="E51" s="132"/>
      <c r="F51" s="132"/>
      <c r="G51" s="132"/>
      <c r="H51" s="132"/>
      <c r="I51" s="132"/>
    </row>
    <row r="52" spans="1:9">
      <c r="A52" s="132"/>
      <c r="B52" s="132"/>
      <c r="C52" s="132"/>
      <c r="D52" s="132"/>
      <c r="E52" s="132"/>
      <c r="F52" s="132"/>
      <c r="G52" s="132"/>
      <c r="H52" s="132"/>
      <c r="I52" s="132"/>
    </row>
    <row r="53" spans="1:9">
      <c r="A53" s="132"/>
      <c r="B53" s="132"/>
      <c r="C53" s="132"/>
      <c r="D53" s="132"/>
      <c r="E53" s="132"/>
      <c r="F53" s="132"/>
      <c r="G53" s="132"/>
      <c r="H53" s="132"/>
      <c r="I53" s="132"/>
    </row>
    <row r="54" spans="1:9">
      <c r="A54" s="132"/>
      <c r="B54" s="132"/>
      <c r="C54" s="132"/>
      <c r="D54" s="132"/>
      <c r="E54" s="132"/>
      <c r="F54" s="132"/>
      <c r="G54" s="132"/>
      <c r="H54" s="132"/>
      <c r="I54" s="132"/>
    </row>
    <row r="55" spans="1:9">
      <c r="A55" s="132"/>
      <c r="B55" s="132"/>
      <c r="C55" s="132"/>
      <c r="D55" s="132"/>
      <c r="E55" s="132"/>
      <c r="F55" s="132"/>
      <c r="G55" s="132"/>
      <c r="H55" s="132"/>
      <c r="I55" s="132"/>
    </row>
    <row r="56" spans="1:9">
      <c r="A56" s="132"/>
      <c r="B56" s="132"/>
      <c r="C56" s="132"/>
      <c r="D56" s="132"/>
      <c r="E56" s="132"/>
      <c r="F56" s="132"/>
      <c r="G56" s="132"/>
      <c r="H56" s="132"/>
      <c r="I56" s="132"/>
    </row>
    <row r="57" spans="1:9">
      <c r="A57" s="132"/>
      <c r="B57" s="132"/>
      <c r="C57" s="132"/>
      <c r="D57" s="132"/>
      <c r="E57" s="132"/>
      <c r="F57" s="132"/>
      <c r="G57" s="132"/>
      <c r="H57" s="132"/>
      <c r="I57" s="132"/>
    </row>
    <row r="58" spans="1:9">
      <c r="A58" s="132"/>
      <c r="B58" s="132"/>
      <c r="C58" s="132"/>
      <c r="D58" s="132"/>
      <c r="E58" s="132"/>
      <c r="F58" s="132"/>
      <c r="G58" s="132"/>
      <c r="H58" s="132"/>
      <c r="I58" s="132"/>
    </row>
    <row r="59" spans="1:9">
      <c r="A59" s="132"/>
      <c r="B59" s="132"/>
      <c r="C59" s="132"/>
      <c r="D59" s="132"/>
      <c r="E59" s="132"/>
      <c r="F59" s="132"/>
      <c r="G59" s="132"/>
      <c r="H59" s="132"/>
      <c r="I59" s="132"/>
    </row>
    <row r="60" spans="1:9">
      <c r="A60" s="132"/>
      <c r="B60" s="132"/>
      <c r="C60" s="132"/>
      <c r="D60" s="132"/>
      <c r="E60" s="132"/>
      <c r="F60" s="132"/>
      <c r="G60" s="132"/>
      <c r="H60" s="132"/>
      <c r="I60" s="132"/>
    </row>
    <row r="61" spans="1:9">
      <c r="A61" s="132"/>
      <c r="B61" s="132"/>
      <c r="C61" s="132"/>
      <c r="D61" s="132"/>
      <c r="E61" s="132"/>
      <c r="F61" s="132"/>
      <c r="G61" s="132"/>
      <c r="H61" s="132"/>
      <c r="I61" s="132"/>
    </row>
    <row r="62" spans="1:9">
      <c r="A62" s="132"/>
      <c r="B62" s="132"/>
      <c r="C62" s="132"/>
      <c r="D62" s="132"/>
      <c r="E62" s="132"/>
      <c r="F62" s="132"/>
      <c r="G62" s="132"/>
      <c r="H62" s="132"/>
      <c r="I62" s="132"/>
    </row>
    <row r="63" spans="1:9">
      <c r="A63" s="132"/>
      <c r="B63" s="132"/>
      <c r="C63" s="132"/>
      <c r="D63" s="132"/>
      <c r="E63" s="132"/>
      <c r="F63" s="132"/>
      <c r="G63" s="132"/>
      <c r="H63" s="132"/>
      <c r="I63" s="132"/>
    </row>
    <row r="64" spans="1:9">
      <c r="A64" s="132"/>
      <c r="B64" s="132"/>
      <c r="C64" s="132"/>
      <c r="D64" s="132"/>
      <c r="E64" s="132"/>
      <c r="F64" s="132"/>
      <c r="G64" s="132"/>
      <c r="H64" s="132"/>
      <c r="I64" s="132"/>
    </row>
    <row r="65" spans="1:9">
      <c r="A65" s="132"/>
      <c r="B65" s="132"/>
      <c r="C65" s="132"/>
      <c r="D65" s="132"/>
      <c r="E65" s="132"/>
      <c r="F65" s="132"/>
      <c r="G65" s="132"/>
      <c r="H65" s="132"/>
      <c r="I65" s="132"/>
    </row>
    <row r="66" spans="1:9">
      <c r="A66" s="132"/>
      <c r="B66" s="132"/>
      <c r="C66" s="132"/>
      <c r="D66" s="132"/>
      <c r="E66" s="132"/>
      <c r="F66" s="132"/>
      <c r="G66" s="132"/>
      <c r="H66" s="132"/>
      <c r="I66" s="132"/>
    </row>
    <row r="67" spans="1:9">
      <c r="A67" s="132"/>
      <c r="B67" s="132"/>
      <c r="C67" s="132"/>
      <c r="D67" s="132"/>
      <c r="E67" s="132"/>
      <c r="F67" s="132"/>
      <c r="G67" s="132"/>
      <c r="H67" s="132"/>
      <c r="I67" s="132"/>
    </row>
    <row r="68" spans="1:9">
      <c r="A68" s="132"/>
      <c r="B68" s="132"/>
      <c r="C68" s="132"/>
      <c r="D68" s="132"/>
      <c r="E68" s="132"/>
      <c r="F68" s="132"/>
      <c r="G68" s="132"/>
      <c r="H68" s="132"/>
      <c r="I68" s="132"/>
    </row>
    <row r="69" spans="1:9">
      <c r="A69" s="132"/>
      <c r="B69" s="132"/>
      <c r="C69" s="132"/>
      <c r="D69" s="132"/>
      <c r="E69" s="132"/>
      <c r="F69" s="132"/>
      <c r="G69" s="132"/>
      <c r="H69" s="132"/>
      <c r="I69" s="132"/>
    </row>
    <row r="70" spans="1:9">
      <c r="A70" s="132"/>
      <c r="B70" s="132"/>
      <c r="C70" s="132"/>
      <c r="D70" s="132"/>
      <c r="E70" s="132"/>
      <c r="F70" s="132"/>
      <c r="G70" s="132"/>
      <c r="H70" s="132"/>
      <c r="I70" s="132"/>
    </row>
    <row r="71" spans="1:9">
      <c r="A71" s="132"/>
      <c r="B71" s="132"/>
      <c r="C71" s="132"/>
      <c r="D71" s="132"/>
      <c r="E71" s="132"/>
      <c r="F71" s="132"/>
      <c r="G71" s="132"/>
      <c r="H71" s="132"/>
      <c r="I71" s="132"/>
    </row>
    <row r="72" spans="1:9">
      <c r="A72" s="132"/>
      <c r="B72" s="132"/>
      <c r="C72" s="132"/>
      <c r="D72" s="132"/>
      <c r="E72" s="132"/>
      <c r="F72" s="132"/>
      <c r="G72" s="132"/>
      <c r="H72" s="132"/>
      <c r="I72" s="132"/>
    </row>
    <row r="73" spans="1:9">
      <c r="A73" s="132"/>
      <c r="B73" s="132"/>
      <c r="C73" s="132"/>
      <c r="D73" s="132"/>
      <c r="E73" s="132"/>
      <c r="F73" s="132"/>
      <c r="G73" s="132"/>
      <c r="H73" s="132"/>
      <c r="I73" s="132"/>
    </row>
    <row r="74" spans="1:9">
      <c r="A74" s="132"/>
      <c r="B74" s="132"/>
      <c r="C74" s="132"/>
      <c r="D74" s="132"/>
      <c r="E74" s="132"/>
      <c r="F74" s="132"/>
      <c r="G74" s="132"/>
      <c r="H74" s="132"/>
      <c r="I74" s="132"/>
    </row>
    <row r="75" spans="1:9">
      <c r="A75" s="132"/>
      <c r="B75" s="132"/>
      <c r="C75" s="132"/>
      <c r="D75" s="132"/>
      <c r="E75" s="132"/>
      <c r="F75" s="132"/>
      <c r="G75" s="132"/>
      <c r="H75" s="132"/>
      <c r="I75" s="132"/>
    </row>
    <row r="76" spans="1:9">
      <c r="A76" s="132"/>
      <c r="B76" s="132"/>
      <c r="C76" s="132"/>
      <c r="D76" s="132"/>
      <c r="E76" s="132"/>
      <c r="F76" s="132"/>
      <c r="G76" s="132"/>
      <c r="H76" s="132"/>
      <c r="I76" s="132"/>
    </row>
    <row r="77" spans="1:9">
      <c r="A77" s="132"/>
      <c r="B77" s="132"/>
      <c r="C77" s="132"/>
      <c r="D77" s="132"/>
      <c r="E77" s="132"/>
      <c r="F77" s="132"/>
      <c r="G77" s="132"/>
      <c r="H77" s="132"/>
      <c r="I77" s="132"/>
    </row>
    <row r="78" spans="1:9">
      <c r="A78" s="132"/>
      <c r="B78" s="132"/>
      <c r="C78" s="132"/>
      <c r="D78" s="132"/>
      <c r="E78" s="132"/>
      <c r="F78" s="132"/>
      <c r="G78" s="132"/>
      <c r="H78" s="132"/>
      <c r="I78" s="132"/>
    </row>
    <row r="79" spans="1:9">
      <c r="A79" s="132"/>
      <c r="B79" s="132"/>
      <c r="C79" s="132"/>
      <c r="D79" s="132"/>
      <c r="E79" s="132"/>
      <c r="F79" s="132"/>
      <c r="G79" s="132"/>
      <c r="H79" s="132"/>
      <c r="I79" s="132"/>
    </row>
    <row r="80" spans="1:9">
      <c r="A80" s="132"/>
      <c r="B80" s="132"/>
      <c r="C80" s="132"/>
      <c r="D80" s="132"/>
      <c r="E80" s="132"/>
      <c r="F80" s="132"/>
      <c r="G80" s="132"/>
      <c r="H80" s="132"/>
      <c r="I80" s="132"/>
    </row>
  </sheetData>
  <mergeCells count="2">
    <mergeCell ref="A1:I1"/>
    <mergeCell ref="A2:I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BFBFBF"/>
  </sheetPr>
  <dimension ref="A1:K80"/>
  <sheetViews>
    <sheetView showGridLines="0" workbookViewId="0"/>
  </sheetViews>
  <sheetFormatPr baseColWidth="10" defaultColWidth="8.7265625" defaultRowHeight="14.5"/>
  <cols>
    <col min="1" max="1" width="14" customWidth="1"/>
    <col min="2" max="2" width="18" customWidth="1"/>
    <col min="3" max="3" width="24" customWidth="1"/>
    <col min="4" max="4" width="14" customWidth="1"/>
    <col min="5" max="5" width="18" customWidth="1"/>
    <col min="6" max="8" width="14" customWidth="1"/>
    <col min="9" max="9" width="45.90625" customWidth="1"/>
    <col min="10" max="10" width="18" customWidth="1"/>
    <col min="11" max="11" width="22" customWidth="1"/>
  </cols>
  <sheetData>
    <row r="1" spans="1:11" ht="28" customHeight="1">
      <c r="A1" s="459" t="s">
        <v>1869</v>
      </c>
      <c r="B1" s="426"/>
      <c r="C1" s="426"/>
      <c r="D1" s="426"/>
      <c r="E1" s="426"/>
      <c r="F1" s="426"/>
      <c r="G1" s="426"/>
      <c r="H1" s="426"/>
      <c r="I1" s="460"/>
      <c r="J1" s="178"/>
      <c r="K1" s="178"/>
    </row>
    <row r="2" spans="1:11">
      <c r="A2" s="447" t="s">
        <v>1870</v>
      </c>
      <c r="B2" s="426"/>
      <c r="C2" s="426"/>
      <c r="D2" s="426"/>
      <c r="E2" s="426"/>
      <c r="F2" s="426"/>
      <c r="G2" s="426"/>
      <c r="H2" s="426"/>
      <c r="I2" s="426"/>
      <c r="J2" s="174"/>
      <c r="K2" s="174"/>
    </row>
    <row r="3" spans="1:11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</row>
    <row r="4" spans="1:11">
      <c r="A4" s="179" t="s">
        <v>1061</v>
      </c>
      <c r="B4" s="179" t="s">
        <v>1871</v>
      </c>
      <c r="C4" s="179" t="s">
        <v>1872</v>
      </c>
      <c r="D4" s="179" t="s">
        <v>1285</v>
      </c>
      <c r="E4" s="179" t="s">
        <v>1873</v>
      </c>
      <c r="F4" s="179" t="s">
        <v>1874</v>
      </c>
      <c r="G4" s="179" t="s">
        <v>1875</v>
      </c>
      <c r="H4" s="179" t="s">
        <v>655</v>
      </c>
      <c r="I4" s="179" t="s">
        <v>656</v>
      </c>
      <c r="J4" s="179" t="s">
        <v>1876</v>
      </c>
      <c r="K4" s="179" t="s">
        <v>696</v>
      </c>
    </row>
    <row r="5" spans="1:11" ht="29" customHeight="1">
      <c r="A5" s="132" t="s">
        <v>1197</v>
      </c>
      <c r="B5" s="171">
        <f>'15_Conciliacion'!B22</f>
        <v>90470</v>
      </c>
      <c r="C5" s="171"/>
      <c r="D5" s="171"/>
      <c r="E5" s="171">
        <f t="shared" ref="E5:E12" si="0">IFERROR(B5+C5-D5,"")</f>
        <v>90470</v>
      </c>
      <c r="F5" s="171">
        <f>0</f>
        <v>0</v>
      </c>
      <c r="G5" s="180">
        <f>0</f>
        <v>0</v>
      </c>
      <c r="H5" s="132" t="str">
        <f t="shared" ref="H5:H12" si="1">IF(E5="","Pendiente",IF(F5&gt;0,"🟢 Crece",IF(F5=0,"🟡 Estable","🔴 Baja")))</f>
        <v>🟡 Estable</v>
      </c>
      <c r="I5" s="132" t="s">
        <v>1877</v>
      </c>
      <c r="J5" s="171"/>
      <c r="K5" s="132"/>
    </row>
    <row r="6" spans="1:11">
      <c r="A6" s="132" t="s">
        <v>1188</v>
      </c>
      <c r="B6" s="171">
        <f>'10_Patrimonio_Financiero'!G5</f>
        <v>13858</v>
      </c>
      <c r="C6" s="171">
        <f>'10_Patrimonio_Financiero'!G6</f>
        <v>236224</v>
      </c>
      <c r="D6" s="171">
        <f>'10_Patrimonio_Financiero'!G8</f>
        <v>-653763</v>
      </c>
      <c r="E6" s="171">
        <f t="shared" si="0"/>
        <v>903845</v>
      </c>
      <c r="F6" s="171">
        <f t="shared" ref="F6:F12" si="2">IFERROR(E6-E5,"")</f>
        <v>813375</v>
      </c>
      <c r="G6" s="180">
        <f t="shared" ref="G6:G12" si="3">IFERROR(F6/ABS(E5),"")</f>
        <v>8.9905493533768102</v>
      </c>
      <c r="H6" s="132" t="str">
        <f t="shared" si="1"/>
        <v>🟢 Crece</v>
      </c>
      <c r="I6" s="132" t="s">
        <v>1878</v>
      </c>
      <c r="J6" s="171"/>
      <c r="K6" s="132"/>
    </row>
    <row r="7" spans="1:11">
      <c r="A7" s="132" t="s">
        <v>1208</v>
      </c>
      <c r="B7" s="171"/>
      <c r="C7" s="171"/>
      <c r="D7" s="171"/>
      <c r="E7" s="171">
        <f t="shared" si="0"/>
        <v>0</v>
      </c>
      <c r="F7" s="171">
        <f t="shared" si="2"/>
        <v>-903845</v>
      </c>
      <c r="G7" s="180">
        <f t="shared" si="3"/>
        <v>-1</v>
      </c>
      <c r="H7" s="132" t="str">
        <f t="shared" si="1"/>
        <v>🔴 Baja</v>
      </c>
      <c r="I7" s="132"/>
      <c r="J7" s="171"/>
      <c r="K7" s="132"/>
    </row>
    <row r="8" spans="1:11">
      <c r="A8" s="132" t="s">
        <v>1210</v>
      </c>
      <c r="B8" s="171"/>
      <c r="C8" s="171"/>
      <c r="D8" s="171"/>
      <c r="E8" s="171">
        <f t="shared" si="0"/>
        <v>0</v>
      </c>
      <c r="F8" s="171">
        <f t="shared" si="2"/>
        <v>0</v>
      </c>
      <c r="G8" s="180" t="str">
        <f t="shared" si="3"/>
        <v/>
      </c>
      <c r="H8" s="132" t="str">
        <f t="shared" si="1"/>
        <v>🟡 Estable</v>
      </c>
      <c r="I8" s="132"/>
      <c r="J8" s="171"/>
      <c r="K8" s="132"/>
    </row>
    <row r="9" spans="1:11">
      <c r="A9" s="132" t="s">
        <v>1212</v>
      </c>
      <c r="B9" s="171"/>
      <c r="C9" s="171"/>
      <c r="D9" s="171"/>
      <c r="E9" s="171">
        <f t="shared" si="0"/>
        <v>0</v>
      </c>
      <c r="F9" s="171">
        <f t="shared" si="2"/>
        <v>0</v>
      </c>
      <c r="G9" s="180" t="str">
        <f t="shared" si="3"/>
        <v/>
      </c>
      <c r="H9" s="132" t="str">
        <f t="shared" si="1"/>
        <v>🟡 Estable</v>
      </c>
      <c r="I9" s="132"/>
      <c r="J9" s="171"/>
      <c r="K9" s="132"/>
    </row>
    <row r="10" spans="1:11">
      <c r="A10" s="132" t="s">
        <v>1214</v>
      </c>
      <c r="B10" s="171"/>
      <c r="C10" s="171"/>
      <c r="D10" s="171"/>
      <c r="E10" s="171">
        <f t="shared" si="0"/>
        <v>0</v>
      </c>
      <c r="F10" s="171">
        <f t="shared" si="2"/>
        <v>0</v>
      </c>
      <c r="G10" s="180" t="str">
        <f t="shared" si="3"/>
        <v/>
      </c>
      <c r="H10" s="132" t="str">
        <f t="shared" si="1"/>
        <v>🟡 Estable</v>
      </c>
      <c r="I10" s="132"/>
      <c r="J10" s="171"/>
      <c r="K10" s="132"/>
    </row>
    <row r="11" spans="1:11">
      <c r="A11" s="132" t="s">
        <v>1215</v>
      </c>
      <c r="B11" s="171"/>
      <c r="C11" s="171"/>
      <c r="D11" s="171"/>
      <c r="E11" s="171">
        <f t="shared" si="0"/>
        <v>0</v>
      </c>
      <c r="F11" s="171">
        <f t="shared" si="2"/>
        <v>0</v>
      </c>
      <c r="G11" s="180" t="str">
        <f t="shared" si="3"/>
        <v/>
      </c>
      <c r="H11" s="132" t="str">
        <f t="shared" si="1"/>
        <v>🟡 Estable</v>
      </c>
      <c r="I11" s="132"/>
      <c r="J11" s="171"/>
      <c r="K11" s="132"/>
    </row>
    <row r="12" spans="1:11">
      <c r="A12" s="132" t="s">
        <v>1217</v>
      </c>
      <c r="B12" s="171"/>
      <c r="C12" s="171"/>
      <c r="D12" s="171"/>
      <c r="E12" s="171">
        <f t="shared" si="0"/>
        <v>0</v>
      </c>
      <c r="F12" s="171">
        <f t="shared" si="2"/>
        <v>0</v>
      </c>
      <c r="G12" s="180" t="str">
        <f t="shared" si="3"/>
        <v/>
      </c>
      <c r="H12" s="132" t="str">
        <f t="shared" si="1"/>
        <v>🟡 Estable</v>
      </c>
      <c r="I12" s="132"/>
      <c r="J12" s="171"/>
      <c r="K12" s="132"/>
    </row>
    <row r="13" spans="1:11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</row>
    <row r="14" spans="1:11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</row>
    <row r="15" spans="1:11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</row>
    <row r="16" spans="1:11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</row>
    <row r="17" spans="1:11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</row>
    <row r="18" spans="1:11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</row>
    <row r="19" spans="1:11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</row>
    <row r="20" spans="1:11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</row>
    <row r="21" spans="1:11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</row>
    <row r="22" spans="1:11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</row>
    <row r="23" spans="1:11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</row>
    <row r="24" spans="1:11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</row>
    <row r="25" spans="1:11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</row>
    <row r="26" spans="1:11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</row>
    <row r="27" spans="1:11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</row>
    <row r="28" spans="1:11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</row>
    <row r="29" spans="1:11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</row>
    <row r="30" spans="1:11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</row>
    <row r="31" spans="1:1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</row>
    <row r="32" spans="1:11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</row>
    <row r="33" spans="1:11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</row>
    <row r="34" spans="1:11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</row>
    <row r="35" spans="1:1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</row>
    <row r="36" spans="1:11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</row>
    <row r="37" spans="1:11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</row>
    <row r="38" spans="1:1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</row>
    <row r="39" spans="1:1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</row>
    <row r="40" spans="1:1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</row>
    <row r="41" spans="1:1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</row>
    <row r="42" spans="1:1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</row>
    <row r="43" spans="1:11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</row>
    <row r="44" spans="1:11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</row>
    <row r="45" spans="1:1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</row>
    <row r="46" spans="1:1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</row>
    <row r="47" spans="1:1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</row>
    <row r="48" spans="1:1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</row>
    <row r="49" spans="1:1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</row>
    <row r="50" spans="1:1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</row>
    <row r="51" spans="1:1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</row>
    <row r="52" spans="1:1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</row>
    <row r="53" spans="1:11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</row>
    <row r="54" spans="1:11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</row>
    <row r="55" spans="1:1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</row>
    <row r="56" spans="1:1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</row>
    <row r="57" spans="1:1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</row>
    <row r="58" spans="1:1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</row>
    <row r="59" spans="1:1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</row>
    <row r="60" spans="1:1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</row>
    <row r="61" spans="1:1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</row>
    <row r="62" spans="1:1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</row>
    <row r="63" spans="1:1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</row>
    <row r="64" spans="1:1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</row>
    <row r="65" spans="1:1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</row>
    <row r="66" spans="1:1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</row>
    <row r="67" spans="1:1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</row>
    <row r="68" spans="1:1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</row>
    <row r="69" spans="1:1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spans="1:1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spans="1:1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spans="1:1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</row>
    <row r="73" spans="1:1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</row>
    <row r="74" spans="1:1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</row>
    <row r="75" spans="1:1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</row>
    <row r="76" spans="1:1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</row>
    <row r="77" spans="1:1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</row>
    <row r="78" spans="1:1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</row>
    <row r="79" spans="1:1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</row>
    <row r="80" spans="1:1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</row>
  </sheetData>
  <mergeCells count="2">
    <mergeCell ref="A1:I1"/>
    <mergeCell ref="A2:I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BFBFBF"/>
  </sheetPr>
  <dimension ref="A1:I60"/>
  <sheetViews>
    <sheetView showGridLines="0" workbookViewId="0"/>
  </sheetViews>
  <sheetFormatPr baseColWidth="10" defaultColWidth="8.7265625" defaultRowHeight="14.5"/>
  <cols>
    <col min="1" max="3" width="42" customWidth="1"/>
    <col min="4" max="4" width="15" customWidth="1"/>
    <col min="5" max="5" width="16" customWidth="1"/>
    <col min="6" max="7" width="14" customWidth="1"/>
    <col min="8" max="9" width="15" customWidth="1"/>
  </cols>
  <sheetData>
    <row r="1" spans="1:9">
      <c r="A1" s="432" t="s">
        <v>1879</v>
      </c>
      <c r="B1" s="426"/>
      <c r="C1" s="426"/>
      <c r="D1" s="426"/>
      <c r="E1" s="426"/>
      <c r="F1" s="426"/>
      <c r="G1" s="426"/>
      <c r="H1" s="426"/>
      <c r="I1" s="426"/>
    </row>
    <row r="2" spans="1:9" ht="6" customHeight="1">
      <c r="A2" s="71"/>
      <c r="B2" s="71"/>
      <c r="C2" s="71"/>
      <c r="D2" s="71"/>
      <c r="E2" s="71"/>
      <c r="F2" s="71"/>
      <c r="G2" s="71"/>
      <c r="H2" s="71"/>
      <c r="I2" s="71"/>
    </row>
    <row r="3" spans="1:9" ht="7" customHeight="1">
      <c r="A3" s="71"/>
      <c r="B3" s="71"/>
      <c r="C3" s="71"/>
      <c r="D3" s="71"/>
      <c r="E3" s="71"/>
      <c r="F3" s="71"/>
      <c r="G3" s="71"/>
      <c r="H3" s="71"/>
      <c r="I3" s="71"/>
    </row>
    <row r="4" spans="1:9">
      <c r="A4" s="72" t="s">
        <v>1786</v>
      </c>
      <c r="B4" s="72" t="s">
        <v>1880</v>
      </c>
      <c r="C4" s="72" t="s">
        <v>1881</v>
      </c>
      <c r="D4" s="72" t="s">
        <v>1882</v>
      </c>
      <c r="E4" s="72" t="s">
        <v>1883</v>
      </c>
      <c r="F4" s="72" t="s">
        <v>79</v>
      </c>
      <c r="G4" s="72" t="s">
        <v>1884</v>
      </c>
      <c r="H4" s="72" t="s">
        <v>1885</v>
      </c>
      <c r="I4" s="72" t="s">
        <v>1886</v>
      </c>
    </row>
    <row r="5" spans="1:9">
      <c r="A5" s="73" t="s">
        <v>1887</v>
      </c>
      <c r="B5" s="74">
        <f>SUM('10_Apertura'!C3:C8)+SUMIF('11_Ingresos'!K:K,"mayo",'11_Ingresos'!C:C)</f>
        <v>1144342</v>
      </c>
      <c r="C5" s="74">
        <f>SUMIF('12_Gastos'!I:I,"mayo",'12_Gastos'!D:D)+SUMIFS('14_Inversiones'!D:D,'14_Inversiones'!A:A,"&gt;="&amp;DATE(2026,5,1),'14_Inversiones'!A:A,"&lt;"&amp;DATE(2026,6,1))</f>
        <v>1339017</v>
      </c>
      <c r="D5" s="74">
        <f>MAX(B5-C5,0)</f>
        <v>0</v>
      </c>
      <c r="E5" s="74">
        <f>MAX(C5-B5,0)</f>
        <v>194675</v>
      </c>
      <c r="F5" s="74">
        <f>D5</f>
        <v>0</v>
      </c>
      <c r="G5" s="74"/>
      <c r="H5" s="74"/>
      <c r="I5" s="74"/>
    </row>
    <row r="6" spans="1:9">
      <c r="A6" s="73" t="s">
        <v>1324</v>
      </c>
      <c r="B6" s="74">
        <f>SUM('14_Inversiones'!D5:D203)+SUM('14_Inversiones'!G5:G203)</f>
        <v>1924.0900000000001</v>
      </c>
      <c r="C6" s="74">
        <f>SUM('14_Inversiones'!E5:E203)</f>
        <v>221264.39</v>
      </c>
      <c r="D6" s="74">
        <f>MAX(B6-C6,0)</f>
        <v>0</v>
      </c>
      <c r="E6" s="74">
        <f>MAX(C6-B6,0)</f>
        <v>219340.30000000002</v>
      </c>
      <c r="F6" s="74">
        <f>D6</f>
        <v>0</v>
      </c>
      <c r="G6" s="74"/>
      <c r="H6" s="74"/>
      <c r="I6" s="74"/>
    </row>
    <row r="7" spans="1:9">
      <c r="A7" s="73" t="s">
        <v>905</v>
      </c>
      <c r="B7" s="74">
        <f>SUM('13_Deudas'!E5:E204)</f>
        <v>954219</v>
      </c>
      <c r="C7" s="74">
        <f>SUM('13_Deudas'!C5:C204)+SUM('13_Deudas'!F5:F204)</f>
        <v>1614693</v>
      </c>
      <c r="D7" s="74">
        <f>MAX(B7-C7,0)</f>
        <v>0</v>
      </c>
      <c r="E7" s="74">
        <f>MAX(C7-B7,0)</f>
        <v>660474</v>
      </c>
      <c r="F7" s="74"/>
      <c r="G7" s="74">
        <f>E7</f>
        <v>660474</v>
      </c>
      <c r="H7" s="74"/>
      <c r="I7" s="74"/>
    </row>
    <row r="8" spans="1:9">
      <c r="A8" s="73" t="s">
        <v>1888</v>
      </c>
      <c r="B8" s="74"/>
      <c r="C8" s="74">
        <f>SUMIF('11_Ingresos'!K:K,"mayo",'11_Ingresos'!C:C)</f>
        <v>1130484</v>
      </c>
      <c r="D8" s="74"/>
      <c r="E8" s="74">
        <f>C8</f>
        <v>1130484</v>
      </c>
      <c r="F8" s="74"/>
      <c r="G8" s="74"/>
      <c r="H8" s="74"/>
      <c r="I8" s="74">
        <f>E8</f>
        <v>1130484</v>
      </c>
    </row>
    <row r="9" spans="1:9">
      <c r="A9" s="73" t="s">
        <v>1889</v>
      </c>
      <c r="B9" s="74">
        <f>SUMIF('12_Gastos'!I:I,"mayo",'12_Gastos'!D:D)</f>
        <v>1339017</v>
      </c>
      <c r="C9" s="74"/>
      <c r="D9" s="74">
        <f>B9</f>
        <v>1339017</v>
      </c>
      <c r="E9" s="74"/>
      <c r="F9" s="74"/>
      <c r="G9" s="74"/>
      <c r="H9" s="74">
        <f>D9</f>
        <v>1339017</v>
      </c>
      <c r="I9" s="74"/>
    </row>
    <row r="10" spans="1:9">
      <c r="A10" s="73" t="s">
        <v>1890</v>
      </c>
      <c r="B10" s="74"/>
      <c r="C10" s="74"/>
      <c r="D10" s="74"/>
      <c r="E10" s="74"/>
      <c r="F10" s="74"/>
      <c r="G10" s="74"/>
      <c r="H10" s="74">
        <f>MAX(H9-I8,0)</f>
        <v>208533</v>
      </c>
      <c r="I10" s="74">
        <f>MAX(I8-H9,0)</f>
        <v>0</v>
      </c>
    </row>
    <row r="11" spans="1:9">
      <c r="A11" s="76" t="s">
        <v>1891</v>
      </c>
      <c r="B11" s="77">
        <f t="shared" ref="B11:I11" si="0">SUM(B5:B10)</f>
        <v>3439502.09</v>
      </c>
      <c r="C11" s="77">
        <f t="shared" si="0"/>
        <v>4305458.3900000006</v>
      </c>
      <c r="D11" s="77">
        <f t="shared" si="0"/>
        <v>1339017</v>
      </c>
      <c r="E11" s="77">
        <f t="shared" si="0"/>
        <v>2204973.2999999998</v>
      </c>
      <c r="F11" s="77">
        <f t="shared" si="0"/>
        <v>0</v>
      </c>
      <c r="G11" s="77">
        <f t="shared" si="0"/>
        <v>660474</v>
      </c>
      <c r="H11" s="77">
        <f t="shared" si="0"/>
        <v>1547550</v>
      </c>
      <c r="I11" s="77">
        <f t="shared" si="0"/>
        <v>1130484</v>
      </c>
    </row>
    <row r="12" spans="1:9">
      <c r="A12" s="71"/>
      <c r="B12" s="71"/>
      <c r="C12" s="71"/>
      <c r="D12" s="71"/>
      <c r="E12" s="71"/>
      <c r="F12" s="71"/>
      <c r="G12" s="71"/>
      <c r="H12" s="71"/>
      <c r="I12" s="71"/>
    </row>
    <row r="13" spans="1:9">
      <c r="A13" s="71"/>
      <c r="B13" s="71"/>
      <c r="C13" s="71"/>
      <c r="D13" s="71"/>
      <c r="E13" s="71"/>
      <c r="F13" s="71"/>
      <c r="G13" s="71"/>
      <c r="H13" s="71"/>
      <c r="I13" s="71"/>
    </row>
    <row r="14" spans="1:9">
      <c r="A14" s="71"/>
      <c r="B14" s="71"/>
      <c r="C14" s="71"/>
      <c r="D14" s="71"/>
      <c r="E14" s="71"/>
      <c r="F14" s="71"/>
      <c r="G14" s="71"/>
      <c r="H14" s="71"/>
      <c r="I14" s="71"/>
    </row>
    <row r="15" spans="1:9">
      <c r="A15" s="71"/>
      <c r="B15" s="71"/>
      <c r="C15" s="71"/>
      <c r="D15" s="71"/>
      <c r="E15" s="71"/>
      <c r="F15" s="71"/>
      <c r="G15" s="71"/>
      <c r="H15" s="71"/>
      <c r="I15" s="71"/>
    </row>
    <row r="16" spans="1:9">
      <c r="A16" s="71"/>
      <c r="B16" s="71"/>
      <c r="C16" s="71"/>
      <c r="D16" s="71"/>
      <c r="E16" s="71"/>
      <c r="F16" s="71"/>
      <c r="G16" s="71"/>
      <c r="H16" s="71"/>
      <c r="I16" s="71"/>
    </row>
    <row r="17" spans="1:9">
      <c r="A17" s="71"/>
      <c r="B17" s="71"/>
      <c r="C17" s="71"/>
      <c r="D17" s="71"/>
      <c r="E17" s="71"/>
      <c r="F17" s="71"/>
      <c r="G17" s="71"/>
      <c r="H17" s="71"/>
      <c r="I17" s="71"/>
    </row>
    <row r="18" spans="1:9">
      <c r="A18" s="71"/>
      <c r="B18" s="71"/>
      <c r="C18" s="71"/>
      <c r="D18" s="71"/>
      <c r="E18" s="71"/>
      <c r="F18" s="71"/>
      <c r="G18" s="71"/>
      <c r="H18" s="71"/>
      <c r="I18" s="71"/>
    </row>
    <row r="19" spans="1:9">
      <c r="A19" s="71"/>
      <c r="B19" s="71"/>
      <c r="C19" s="71"/>
      <c r="D19" s="71"/>
      <c r="E19" s="71"/>
      <c r="F19" s="71"/>
      <c r="G19" s="71"/>
      <c r="H19" s="71"/>
      <c r="I19" s="71"/>
    </row>
    <row r="20" spans="1:9">
      <c r="A20" s="71"/>
      <c r="B20" s="71"/>
      <c r="C20" s="71"/>
      <c r="D20" s="71"/>
      <c r="E20" s="71"/>
      <c r="F20" s="71"/>
      <c r="G20" s="71"/>
      <c r="H20" s="71"/>
      <c r="I20" s="71"/>
    </row>
    <row r="21" spans="1:9">
      <c r="A21" s="71"/>
      <c r="B21" s="71"/>
      <c r="C21" s="71"/>
      <c r="D21" s="71"/>
      <c r="E21" s="71"/>
      <c r="F21" s="71"/>
      <c r="G21" s="71"/>
      <c r="H21" s="71"/>
      <c r="I21" s="71"/>
    </row>
    <row r="22" spans="1:9">
      <c r="A22" s="71"/>
      <c r="B22" s="71"/>
      <c r="C22" s="71"/>
      <c r="D22" s="71"/>
      <c r="E22" s="71"/>
      <c r="F22" s="71"/>
      <c r="G22" s="71"/>
      <c r="H22" s="71"/>
      <c r="I22" s="71"/>
    </row>
    <row r="23" spans="1:9">
      <c r="A23" s="71"/>
      <c r="B23" s="71"/>
      <c r="C23" s="71"/>
      <c r="D23" s="71"/>
      <c r="E23" s="71"/>
      <c r="F23" s="71"/>
      <c r="G23" s="71"/>
      <c r="H23" s="71"/>
      <c r="I23" s="71"/>
    </row>
    <row r="24" spans="1:9">
      <c r="A24" s="71"/>
      <c r="B24" s="71"/>
      <c r="C24" s="71"/>
      <c r="D24" s="71"/>
      <c r="E24" s="71"/>
      <c r="F24" s="71"/>
      <c r="G24" s="71"/>
      <c r="H24" s="71"/>
      <c r="I24" s="71"/>
    </row>
    <row r="25" spans="1:9">
      <c r="A25" s="71"/>
      <c r="B25" s="71"/>
      <c r="C25" s="71"/>
      <c r="D25" s="71"/>
      <c r="E25" s="71"/>
      <c r="F25" s="71"/>
      <c r="G25" s="71"/>
      <c r="H25" s="71"/>
      <c r="I25" s="71"/>
    </row>
    <row r="26" spans="1:9">
      <c r="A26" s="71"/>
      <c r="B26" s="71"/>
      <c r="C26" s="71"/>
      <c r="D26" s="71"/>
      <c r="E26" s="71"/>
      <c r="F26" s="71"/>
      <c r="G26" s="71"/>
      <c r="H26" s="71"/>
      <c r="I26" s="71"/>
    </row>
    <row r="27" spans="1:9">
      <c r="A27" s="71"/>
      <c r="B27" s="71"/>
      <c r="C27" s="71"/>
      <c r="D27" s="71"/>
      <c r="E27" s="71"/>
      <c r="F27" s="71"/>
      <c r="G27" s="71"/>
      <c r="H27" s="71"/>
      <c r="I27" s="71"/>
    </row>
    <row r="28" spans="1:9">
      <c r="A28" s="71"/>
      <c r="B28" s="71"/>
      <c r="C28" s="71"/>
      <c r="D28" s="71"/>
      <c r="E28" s="71"/>
      <c r="F28" s="71"/>
      <c r="G28" s="71"/>
      <c r="H28" s="71"/>
      <c r="I28" s="71"/>
    </row>
    <row r="29" spans="1:9">
      <c r="A29" s="71"/>
      <c r="B29" s="71"/>
      <c r="C29" s="71"/>
      <c r="D29" s="71"/>
      <c r="E29" s="71"/>
      <c r="F29" s="71"/>
      <c r="G29" s="71"/>
      <c r="H29" s="71"/>
      <c r="I29" s="71"/>
    </row>
    <row r="30" spans="1:9">
      <c r="A30" s="71"/>
      <c r="B30" s="71"/>
      <c r="C30" s="71"/>
      <c r="D30" s="71"/>
      <c r="E30" s="71"/>
      <c r="F30" s="71"/>
      <c r="G30" s="71"/>
      <c r="H30" s="71"/>
      <c r="I30" s="71"/>
    </row>
    <row r="31" spans="1:9">
      <c r="A31" s="71"/>
      <c r="B31" s="71"/>
      <c r="C31" s="71"/>
      <c r="D31" s="71"/>
      <c r="E31" s="71"/>
      <c r="F31" s="71"/>
      <c r="G31" s="71"/>
      <c r="H31" s="71"/>
      <c r="I31" s="71"/>
    </row>
    <row r="32" spans="1:9">
      <c r="A32" s="71"/>
      <c r="B32" s="71"/>
      <c r="C32" s="71"/>
      <c r="D32" s="71"/>
      <c r="E32" s="71"/>
      <c r="F32" s="71"/>
      <c r="G32" s="71"/>
      <c r="H32" s="71"/>
      <c r="I32" s="71"/>
    </row>
    <row r="33" spans="1:9">
      <c r="A33" s="71"/>
      <c r="B33" s="71"/>
      <c r="C33" s="71"/>
      <c r="D33" s="71"/>
      <c r="E33" s="71"/>
      <c r="F33" s="71"/>
      <c r="G33" s="71"/>
      <c r="H33" s="71"/>
      <c r="I33" s="71"/>
    </row>
    <row r="34" spans="1:9">
      <c r="A34" s="71"/>
      <c r="B34" s="71"/>
      <c r="C34" s="71"/>
      <c r="D34" s="71"/>
      <c r="E34" s="71"/>
      <c r="F34" s="71"/>
      <c r="G34" s="71"/>
      <c r="H34" s="71"/>
      <c r="I34" s="71"/>
    </row>
    <row r="35" spans="1:9">
      <c r="A35" s="71"/>
      <c r="B35" s="71"/>
      <c r="C35" s="71"/>
      <c r="D35" s="71"/>
      <c r="E35" s="71"/>
      <c r="F35" s="71"/>
      <c r="G35" s="71"/>
      <c r="H35" s="71"/>
      <c r="I35" s="71"/>
    </row>
    <row r="36" spans="1:9">
      <c r="A36" s="71"/>
      <c r="B36" s="71"/>
      <c r="C36" s="71"/>
      <c r="D36" s="71"/>
      <c r="E36" s="71"/>
      <c r="F36" s="71"/>
      <c r="G36" s="71"/>
      <c r="H36" s="71"/>
      <c r="I36" s="71"/>
    </row>
    <row r="37" spans="1:9">
      <c r="A37" s="71"/>
      <c r="B37" s="71"/>
      <c r="C37" s="71"/>
      <c r="D37" s="71"/>
      <c r="E37" s="71"/>
      <c r="F37" s="71"/>
      <c r="G37" s="71"/>
      <c r="H37" s="71"/>
      <c r="I37" s="71"/>
    </row>
    <row r="38" spans="1:9">
      <c r="A38" s="71"/>
      <c r="B38" s="71"/>
      <c r="C38" s="71"/>
      <c r="D38" s="71"/>
      <c r="E38" s="71"/>
      <c r="F38" s="71"/>
      <c r="G38" s="71"/>
      <c r="H38" s="71"/>
      <c r="I38" s="71"/>
    </row>
    <row r="39" spans="1:9">
      <c r="A39" s="71"/>
      <c r="B39" s="71"/>
      <c r="C39" s="71"/>
      <c r="D39" s="71"/>
      <c r="E39" s="71"/>
      <c r="F39" s="71"/>
      <c r="G39" s="71"/>
      <c r="H39" s="71"/>
      <c r="I39" s="71"/>
    </row>
    <row r="40" spans="1:9">
      <c r="A40" s="71"/>
      <c r="B40" s="71"/>
      <c r="C40" s="71"/>
      <c r="D40" s="71"/>
      <c r="E40" s="71"/>
      <c r="F40" s="71"/>
      <c r="G40" s="71"/>
      <c r="H40" s="71"/>
      <c r="I40" s="71"/>
    </row>
    <row r="41" spans="1:9">
      <c r="A41" s="71"/>
      <c r="B41" s="71"/>
      <c r="C41" s="71"/>
      <c r="D41" s="71"/>
      <c r="E41" s="71"/>
      <c r="F41" s="71"/>
      <c r="G41" s="71"/>
      <c r="H41" s="71"/>
      <c r="I41" s="71"/>
    </row>
    <row r="42" spans="1:9">
      <c r="A42" s="71"/>
      <c r="B42" s="71"/>
      <c r="C42" s="71"/>
      <c r="D42" s="71"/>
      <c r="E42" s="71"/>
      <c r="F42" s="71"/>
      <c r="G42" s="71"/>
      <c r="H42" s="71"/>
      <c r="I42" s="71"/>
    </row>
    <row r="43" spans="1:9">
      <c r="A43" s="71"/>
      <c r="B43" s="71"/>
      <c r="C43" s="71"/>
      <c r="D43" s="71"/>
      <c r="E43" s="71"/>
      <c r="F43" s="71"/>
      <c r="G43" s="71"/>
      <c r="H43" s="71"/>
      <c r="I43" s="71"/>
    </row>
    <row r="44" spans="1:9">
      <c r="A44" s="71"/>
      <c r="B44" s="71"/>
      <c r="C44" s="71"/>
      <c r="D44" s="71"/>
      <c r="E44" s="71"/>
      <c r="F44" s="71"/>
      <c r="G44" s="71"/>
      <c r="H44" s="71"/>
      <c r="I44" s="71"/>
    </row>
    <row r="45" spans="1:9">
      <c r="A45" s="71"/>
      <c r="B45" s="71"/>
      <c r="C45" s="71"/>
      <c r="D45" s="71"/>
      <c r="E45" s="71"/>
      <c r="F45" s="71"/>
      <c r="G45" s="71"/>
      <c r="H45" s="71"/>
      <c r="I45" s="71"/>
    </row>
    <row r="46" spans="1:9">
      <c r="A46" s="71"/>
      <c r="B46" s="71"/>
      <c r="C46" s="71"/>
      <c r="D46" s="71"/>
      <c r="E46" s="71"/>
      <c r="F46" s="71"/>
      <c r="G46" s="71"/>
      <c r="H46" s="71"/>
      <c r="I46" s="71"/>
    </row>
    <row r="47" spans="1:9">
      <c r="A47" s="71"/>
      <c r="B47" s="71"/>
      <c r="C47" s="71"/>
      <c r="D47" s="71"/>
      <c r="E47" s="71"/>
      <c r="F47" s="71"/>
      <c r="G47" s="71"/>
      <c r="H47" s="71"/>
      <c r="I47" s="71"/>
    </row>
    <row r="48" spans="1:9">
      <c r="A48" s="71"/>
      <c r="B48" s="71"/>
      <c r="C48" s="71"/>
      <c r="D48" s="71"/>
      <c r="E48" s="71"/>
      <c r="F48" s="71"/>
      <c r="G48" s="71"/>
      <c r="H48" s="71"/>
      <c r="I48" s="71"/>
    </row>
    <row r="49" spans="1:9">
      <c r="A49" s="71"/>
      <c r="B49" s="71"/>
      <c r="C49" s="71"/>
      <c r="D49" s="71"/>
      <c r="E49" s="71"/>
      <c r="F49" s="71"/>
      <c r="G49" s="71"/>
      <c r="H49" s="71"/>
      <c r="I49" s="71"/>
    </row>
    <row r="50" spans="1:9">
      <c r="A50" s="71"/>
      <c r="B50" s="71"/>
      <c r="C50" s="71"/>
      <c r="D50" s="71"/>
      <c r="E50" s="71"/>
      <c r="F50" s="71"/>
      <c r="G50" s="71"/>
      <c r="H50" s="71"/>
      <c r="I50" s="71"/>
    </row>
    <row r="51" spans="1:9">
      <c r="A51" s="71"/>
      <c r="B51" s="71"/>
      <c r="C51" s="71"/>
      <c r="D51" s="71"/>
      <c r="E51" s="71"/>
      <c r="F51" s="71"/>
      <c r="G51" s="71"/>
      <c r="H51" s="71"/>
      <c r="I51" s="71"/>
    </row>
    <row r="52" spans="1:9">
      <c r="A52" s="71"/>
      <c r="B52" s="71"/>
      <c r="C52" s="71"/>
      <c r="D52" s="71"/>
      <c r="E52" s="71"/>
      <c r="F52" s="71"/>
      <c r="G52" s="71"/>
      <c r="H52" s="71"/>
      <c r="I52" s="71"/>
    </row>
    <row r="53" spans="1:9">
      <c r="A53" s="71"/>
      <c r="B53" s="71"/>
      <c r="C53" s="71"/>
      <c r="D53" s="71"/>
      <c r="E53" s="71"/>
      <c r="F53" s="71"/>
      <c r="G53" s="71"/>
      <c r="H53" s="71"/>
      <c r="I53" s="71"/>
    </row>
    <row r="54" spans="1:9">
      <c r="A54" s="71"/>
      <c r="B54" s="71"/>
      <c r="C54" s="71"/>
      <c r="D54" s="71"/>
      <c r="E54" s="71"/>
      <c r="F54" s="71"/>
      <c r="G54" s="71"/>
      <c r="H54" s="71"/>
      <c r="I54" s="71"/>
    </row>
    <row r="55" spans="1:9">
      <c r="A55" s="71"/>
      <c r="B55" s="71"/>
      <c r="C55" s="71"/>
      <c r="D55" s="71"/>
      <c r="E55" s="71"/>
      <c r="F55" s="71"/>
      <c r="G55" s="71"/>
      <c r="H55" s="71"/>
      <c r="I55" s="71"/>
    </row>
    <row r="56" spans="1:9">
      <c r="A56" s="71"/>
      <c r="B56" s="71"/>
      <c r="C56" s="71"/>
      <c r="D56" s="71"/>
      <c r="E56" s="71"/>
      <c r="F56" s="71"/>
      <c r="G56" s="71"/>
      <c r="H56" s="71"/>
      <c r="I56" s="71"/>
    </row>
    <row r="57" spans="1:9">
      <c r="A57" s="71"/>
      <c r="B57" s="71"/>
      <c r="C57" s="71"/>
      <c r="D57" s="71"/>
      <c r="E57" s="71"/>
      <c r="F57" s="71"/>
      <c r="G57" s="71"/>
      <c r="H57" s="71"/>
      <c r="I57" s="71"/>
    </row>
    <row r="58" spans="1:9">
      <c r="A58" s="71"/>
      <c r="B58" s="71"/>
      <c r="C58" s="71"/>
      <c r="D58" s="71"/>
      <c r="E58" s="71"/>
      <c r="F58" s="71"/>
      <c r="G58" s="71"/>
      <c r="H58" s="71"/>
      <c r="I58" s="71"/>
    </row>
    <row r="59" spans="1:9">
      <c r="A59" s="71"/>
      <c r="B59" s="71"/>
      <c r="C59" s="71"/>
      <c r="D59" s="71"/>
      <c r="E59" s="71"/>
      <c r="F59" s="71"/>
      <c r="G59" s="71"/>
      <c r="H59" s="71"/>
      <c r="I59" s="71"/>
    </row>
    <row r="60" spans="1:9">
      <c r="A60" s="71"/>
      <c r="B60" s="71"/>
      <c r="C60" s="71"/>
      <c r="D60" s="71"/>
      <c r="E60" s="71"/>
      <c r="F60" s="71"/>
      <c r="G60" s="71"/>
      <c r="H60" s="71"/>
      <c r="I60" s="71"/>
    </row>
  </sheetData>
  <mergeCells count="1">
    <mergeCell ref="A1:I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1"/>
  </sheetPr>
  <dimension ref="A1:H2"/>
  <sheetViews>
    <sheetView showGridLines="0" workbookViewId="0"/>
  </sheetViews>
  <sheetFormatPr baseColWidth="10" defaultColWidth="8.7265625" defaultRowHeight="14.5"/>
  <sheetData>
    <row r="1" spans="1:8" ht="21" customHeight="1">
      <c r="A1" s="462" t="s">
        <v>1892</v>
      </c>
      <c r="B1" s="426"/>
      <c r="C1" s="426"/>
      <c r="D1" s="426"/>
      <c r="E1" s="426"/>
      <c r="F1" s="426"/>
      <c r="G1" s="426"/>
      <c r="H1" s="426"/>
    </row>
    <row r="2" spans="1:8">
      <c r="A2" s="461" t="s">
        <v>1893</v>
      </c>
      <c r="B2" s="426"/>
      <c r="C2" s="426"/>
      <c r="D2" s="426"/>
      <c r="E2" s="426"/>
      <c r="F2" s="426"/>
      <c r="G2" s="426"/>
      <c r="H2" s="426"/>
    </row>
  </sheetData>
  <mergeCells count="2">
    <mergeCell ref="A2:H2"/>
    <mergeCell ref="A1:H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4"/>
  <sheetViews>
    <sheetView showGridLines="0" workbookViewId="0"/>
  </sheetViews>
  <sheetFormatPr baseColWidth="10" defaultColWidth="8.7265625" defaultRowHeight="14.5"/>
  <cols>
    <col min="1" max="6" width="18" customWidth="1"/>
    <col min="7" max="7" width="28" customWidth="1"/>
    <col min="8" max="10" width="14" customWidth="1"/>
  </cols>
  <sheetData>
    <row r="1" spans="1:10" ht="24" customHeight="1">
      <c r="A1" s="474" t="s">
        <v>1894</v>
      </c>
      <c r="B1" s="475"/>
      <c r="C1" s="475"/>
      <c r="D1" s="475"/>
      <c r="E1" s="475"/>
      <c r="F1" s="475"/>
      <c r="G1" s="475"/>
      <c r="H1" s="475"/>
      <c r="I1" s="475"/>
      <c r="J1" s="473"/>
    </row>
    <row r="2" spans="1:10" ht="20" customHeight="1">
      <c r="A2" s="476" t="s">
        <v>1895</v>
      </c>
      <c r="B2" s="475"/>
      <c r="C2" s="475"/>
      <c r="D2" s="475"/>
      <c r="E2" s="475"/>
      <c r="F2" s="475"/>
      <c r="G2" s="475"/>
      <c r="H2" s="475"/>
      <c r="I2" s="475"/>
      <c r="J2" s="473"/>
    </row>
    <row r="4" spans="1:10">
      <c r="A4" s="472" t="s">
        <v>1896</v>
      </c>
      <c r="B4" s="473"/>
      <c r="C4" s="472" t="s">
        <v>1897</v>
      </c>
      <c r="D4" s="473"/>
      <c r="E4" s="472" t="s">
        <v>1898</v>
      </c>
      <c r="F4" s="473"/>
      <c r="G4" s="472" t="s">
        <v>1899</v>
      </c>
      <c r="H4" s="473"/>
    </row>
    <row r="5" spans="1:10">
      <c r="A5" s="471">
        <f>COUNTIF(H01_Maestro_Salud!P:P,"Vencido")</f>
        <v>0</v>
      </c>
      <c r="B5" s="465"/>
      <c r="C5" s="471">
        <f>COUNTIF(H01_Maestro_Salud!P:P,"Próximo")</f>
        <v>0</v>
      </c>
      <c r="D5" s="465"/>
      <c r="E5" s="471">
        <f>COUNTIF(H01_Maestro_Salud!G:G,"Crítica")</f>
        <v>8</v>
      </c>
      <c r="F5" s="465"/>
      <c r="G5" s="471">
        <f>COUNTIF(H03_Documentos!J:J,"Sin link")</f>
        <v>0</v>
      </c>
      <c r="H5" s="465"/>
    </row>
    <row r="6" spans="1:10">
      <c r="A6" s="468"/>
      <c r="B6" s="470"/>
      <c r="C6" s="468"/>
      <c r="D6" s="470"/>
      <c r="E6" s="468"/>
      <c r="F6" s="470"/>
      <c r="G6" s="468"/>
      <c r="H6" s="470"/>
    </row>
    <row r="7" spans="1:10">
      <c r="A7" s="472" t="s">
        <v>1900</v>
      </c>
      <c r="B7" s="473"/>
      <c r="C7" s="472" t="s">
        <v>1901</v>
      </c>
      <c r="D7" s="473"/>
      <c r="E7" s="472" t="s">
        <v>1902</v>
      </c>
      <c r="F7" s="473"/>
      <c r="G7" s="472" t="s">
        <v>1903</v>
      </c>
      <c r="H7" s="473"/>
    </row>
    <row r="8" spans="1:10">
      <c r="A8" s="471">
        <f>IFERROR(LOOKUP(2,1/(H02_Registro_Salud!D:D&lt;&gt;""),H02_Registro_Salud!D:D),"Pendiente")</f>
        <v>148</v>
      </c>
      <c r="B8" s="465"/>
      <c r="C8" s="471">
        <f>IFERROR(LOOKUP(2,1/(H02_Registro_Salud!E:E&lt;&gt;""),H02_Registro_Salud!E:E),"Pendiente")</f>
        <v>96</v>
      </c>
      <c r="D8" s="465"/>
      <c r="E8" s="471">
        <f>IFERROR(AVERAGE(H02_Registro_Salud!J:J),"")</f>
        <v>7.666666666666667</v>
      </c>
      <c r="F8" s="465"/>
      <c r="G8" s="471">
        <f>IFERROR(AVERAGE(H02_Registro_Salud!I:I),"")</f>
        <v>5.166666666666667</v>
      </c>
      <c r="H8" s="465"/>
    </row>
    <row r="9" spans="1:10">
      <c r="A9" s="468"/>
      <c r="B9" s="470"/>
      <c r="C9" s="468"/>
      <c r="D9" s="470"/>
      <c r="E9" s="468"/>
      <c r="F9" s="470"/>
      <c r="G9" s="468"/>
      <c r="H9" s="470"/>
    </row>
    <row r="12" spans="1:10">
      <c r="A12" s="268" t="s">
        <v>248</v>
      </c>
      <c r="B12" s="268" t="s">
        <v>1904</v>
      </c>
      <c r="C12" s="268" t="s">
        <v>1905</v>
      </c>
      <c r="D12" s="268" t="s">
        <v>655</v>
      </c>
      <c r="E12" s="268" t="s">
        <v>696</v>
      </c>
      <c r="G12" s="269" t="s">
        <v>1906</v>
      </c>
    </row>
    <row r="13" spans="1:10" ht="43.5" customHeight="1">
      <c r="A13" s="270" t="s">
        <v>1907</v>
      </c>
      <c r="B13" s="270" t="s">
        <v>1908</v>
      </c>
      <c r="C13" s="270" t="s">
        <v>49</v>
      </c>
      <c r="D13" s="270" t="s">
        <v>1909</v>
      </c>
      <c r="E13" s="270" t="s">
        <v>1910</v>
      </c>
      <c r="G13" s="271" t="s">
        <v>1911</v>
      </c>
    </row>
    <row r="14" spans="1:10" ht="72.5" customHeight="1">
      <c r="A14" s="272" t="s">
        <v>1907</v>
      </c>
      <c r="B14" s="272" t="s">
        <v>1912</v>
      </c>
      <c r="C14" s="272" t="s">
        <v>49</v>
      </c>
      <c r="D14" s="272" t="s">
        <v>1909</v>
      </c>
      <c r="E14" s="272" t="s">
        <v>1913</v>
      </c>
      <c r="G14" s="271" t="s">
        <v>50</v>
      </c>
    </row>
    <row r="15" spans="1:10" ht="72.5" customHeight="1">
      <c r="A15" s="270" t="s">
        <v>332</v>
      </c>
      <c r="B15" s="270" t="s">
        <v>1914</v>
      </c>
      <c r="C15" s="270" t="s">
        <v>49</v>
      </c>
      <c r="D15" s="270" t="s">
        <v>1909</v>
      </c>
      <c r="E15" s="270" t="s">
        <v>1915</v>
      </c>
      <c r="G15" s="271" t="s">
        <v>1916</v>
      </c>
    </row>
    <row r="16" spans="1:10" ht="43.5" customHeight="1">
      <c r="A16" s="272" t="s">
        <v>332</v>
      </c>
      <c r="B16" s="272" t="s">
        <v>1917</v>
      </c>
      <c r="C16" s="272" t="s">
        <v>49</v>
      </c>
      <c r="D16" s="272" t="s">
        <v>1909</v>
      </c>
      <c r="E16" s="272" t="s">
        <v>1918</v>
      </c>
      <c r="G16" s="271" t="s">
        <v>1919</v>
      </c>
    </row>
    <row r="17" spans="1:10" ht="43.5" customHeight="1">
      <c r="A17" s="270" t="s">
        <v>332</v>
      </c>
      <c r="B17" s="270" t="s">
        <v>1920</v>
      </c>
      <c r="C17" s="270" t="s">
        <v>1921</v>
      </c>
      <c r="D17" s="270" t="s">
        <v>79</v>
      </c>
      <c r="E17" s="270" t="s">
        <v>1922</v>
      </c>
    </row>
    <row r="21" spans="1:10">
      <c r="A21" s="268" t="s">
        <v>1923</v>
      </c>
      <c r="B21" s="267"/>
      <c r="C21" s="267"/>
      <c r="D21" s="267"/>
      <c r="E21" s="267"/>
      <c r="F21" s="267"/>
      <c r="G21" s="267"/>
      <c r="H21" s="267"/>
      <c r="I21" s="267"/>
      <c r="J21" s="267"/>
    </row>
    <row r="22" spans="1:10">
      <c r="A22" s="463" t="s">
        <v>1924</v>
      </c>
      <c r="B22" s="464"/>
      <c r="C22" s="464"/>
      <c r="D22" s="464"/>
      <c r="E22" s="464"/>
      <c r="F22" s="464"/>
      <c r="G22" s="464"/>
      <c r="H22" s="464"/>
      <c r="I22" s="464"/>
      <c r="J22" s="465"/>
    </row>
    <row r="23" spans="1:10">
      <c r="A23" s="466"/>
      <c r="B23" s="426"/>
      <c r="C23" s="426"/>
      <c r="D23" s="426"/>
      <c r="E23" s="426"/>
      <c r="F23" s="426"/>
      <c r="G23" s="426"/>
      <c r="H23" s="426"/>
      <c r="I23" s="426"/>
      <c r="J23" s="467"/>
    </row>
    <row r="24" spans="1:10">
      <c r="A24" s="468"/>
      <c r="B24" s="469"/>
      <c r="C24" s="469"/>
      <c r="D24" s="469"/>
      <c r="E24" s="469"/>
      <c r="F24" s="469"/>
      <c r="G24" s="469"/>
      <c r="H24" s="469"/>
      <c r="I24" s="469"/>
      <c r="J24" s="470"/>
    </row>
  </sheetData>
  <mergeCells count="19">
    <mergeCell ref="A1:J1"/>
    <mergeCell ref="C5:D6"/>
    <mergeCell ref="E5:F6"/>
    <mergeCell ref="E8:F9"/>
    <mergeCell ref="G8:H9"/>
    <mergeCell ref="A4:B4"/>
    <mergeCell ref="G4:H4"/>
    <mergeCell ref="C7:D7"/>
    <mergeCell ref="E7:F7"/>
    <mergeCell ref="A2:J2"/>
    <mergeCell ref="A5:B6"/>
    <mergeCell ref="G5:H6"/>
    <mergeCell ref="A8:B9"/>
    <mergeCell ref="C4:D4"/>
    <mergeCell ref="A22:J24"/>
    <mergeCell ref="C8:D9"/>
    <mergeCell ref="E4:F4"/>
    <mergeCell ref="A7:B7"/>
    <mergeCell ref="G7:H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500"/>
  <sheetViews>
    <sheetView showGridLines="0" workbookViewId="0"/>
  </sheetViews>
  <sheetFormatPr baseColWidth="10" defaultColWidth="8.7265625" defaultRowHeight="14.5"/>
  <cols>
    <col min="1" max="1" width="6.7265625" customWidth="1"/>
    <col min="2" max="2" width="14.54296875" customWidth="1"/>
    <col min="3" max="3" width="18.1796875" customWidth="1"/>
    <col min="4" max="4" width="17.36328125" customWidth="1"/>
    <col min="5" max="5" width="27.7265625" customWidth="1"/>
    <col min="6" max="6" width="38.453125" customWidth="1"/>
    <col min="7" max="7" width="8.54296875" customWidth="1"/>
    <col min="8" max="8" width="11.08984375" customWidth="1"/>
    <col min="9" max="9" width="12.90625" customWidth="1"/>
    <col min="10" max="10" width="10.08984375" customWidth="1"/>
    <col min="11" max="11" width="10.1796875" customWidth="1"/>
    <col min="12" max="12" width="25.90625" customWidth="1"/>
    <col min="13" max="13" width="18.7265625" customWidth="1"/>
    <col min="14" max="14" width="22.90625" customWidth="1"/>
    <col min="15" max="15" width="33.1796875" customWidth="1"/>
    <col min="16" max="16" width="12.453125" customWidth="1"/>
  </cols>
  <sheetData>
    <row r="1" spans="1:16" ht="24" customHeight="1">
      <c r="A1" s="474" t="s">
        <v>1925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3"/>
    </row>
    <row r="2" spans="1:16" ht="20" customHeight="1">
      <c r="A2" s="477" t="s">
        <v>1926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3"/>
    </row>
    <row r="4" spans="1:16" ht="29" customHeight="1">
      <c r="A4" s="273" t="s">
        <v>73</v>
      </c>
      <c r="B4" s="273" t="s">
        <v>1927</v>
      </c>
      <c r="C4" s="273" t="s">
        <v>66</v>
      </c>
      <c r="D4" s="273" t="s">
        <v>8</v>
      </c>
      <c r="E4" s="273" t="s">
        <v>1904</v>
      </c>
      <c r="F4" s="273" t="s">
        <v>1928</v>
      </c>
      <c r="G4" s="273" t="s">
        <v>248</v>
      </c>
      <c r="H4" s="273" t="s">
        <v>655</v>
      </c>
      <c r="I4" s="273" t="s">
        <v>1929</v>
      </c>
      <c r="J4" s="273" t="s">
        <v>1905</v>
      </c>
      <c r="K4" s="273" t="s">
        <v>1930</v>
      </c>
      <c r="L4" s="273" t="s">
        <v>1931</v>
      </c>
      <c r="M4" s="273" t="s">
        <v>1932</v>
      </c>
      <c r="N4" s="273" t="s">
        <v>1933</v>
      </c>
      <c r="O4" s="273" t="s">
        <v>1934</v>
      </c>
      <c r="P4" s="273" t="s">
        <v>1303</v>
      </c>
    </row>
    <row r="5" spans="1:16">
      <c r="A5" s="270" t="s">
        <v>1935</v>
      </c>
      <c r="B5" s="270" t="s">
        <v>1936</v>
      </c>
      <c r="C5" s="270" t="s">
        <v>1937</v>
      </c>
      <c r="D5" s="270" t="s">
        <v>1938</v>
      </c>
      <c r="E5" s="270" t="s">
        <v>1939</v>
      </c>
      <c r="F5" s="270" t="s">
        <v>1940</v>
      </c>
      <c r="G5" s="270" t="s">
        <v>1907</v>
      </c>
      <c r="H5" s="270" t="s">
        <v>1664</v>
      </c>
      <c r="I5" s="274">
        <v>43257</v>
      </c>
      <c r="J5" s="274"/>
      <c r="K5" s="270"/>
      <c r="L5" s="270" t="s">
        <v>1941</v>
      </c>
      <c r="M5" s="270"/>
      <c r="N5" s="270"/>
      <c r="O5" s="270"/>
      <c r="P5" s="270"/>
    </row>
    <row r="6" spans="1:16">
      <c r="A6" s="272" t="s">
        <v>1942</v>
      </c>
      <c r="B6" s="272" t="s">
        <v>1936</v>
      </c>
      <c r="C6" s="272" t="s">
        <v>1943</v>
      </c>
      <c r="D6" s="272" t="s">
        <v>1938</v>
      </c>
      <c r="E6" s="272" t="s">
        <v>1944</v>
      </c>
      <c r="F6" s="272" t="s">
        <v>1945</v>
      </c>
      <c r="G6" s="272" t="s">
        <v>1946</v>
      </c>
      <c r="H6" s="272" t="s">
        <v>1664</v>
      </c>
      <c r="I6" s="275">
        <v>45950</v>
      </c>
      <c r="J6" s="275"/>
      <c r="K6" s="272"/>
      <c r="L6" s="272" t="s">
        <v>1947</v>
      </c>
      <c r="M6" s="272"/>
      <c r="N6" s="272"/>
      <c r="O6" s="272"/>
      <c r="P6" s="272"/>
    </row>
    <row r="7" spans="1:16">
      <c r="A7" s="270" t="s">
        <v>1948</v>
      </c>
      <c r="B7" s="270" t="s">
        <v>1936</v>
      </c>
      <c r="C7" s="270" t="s">
        <v>1937</v>
      </c>
      <c r="D7" s="270" t="s">
        <v>1938</v>
      </c>
      <c r="E7" s="270" t="s">
        <v>1949</v>
      </c>
      <c r="F7" s="270" t="s">
        <v>1950</v>
      </c>
      <c r="G7" s="270" t="s">
        <v>1946</v>
      </c>
      <c r="H7" s="270" t="s">
        <v>1664</v>
      </c>
      <c r="I7" s="274">
        <v>46058</v>
      </c>
      <c r="J7" s="274"/>
      <c r="K7" s="270"/>
      <c r="L7" s="270" t="s">
        <v>1947</v>
      </c>
      <c r="M7" s="270"/>
      <c r="N7" s="270"/>
      <c r="O7" s="270"/>
      <c r="P7" s="270"/>
    </row>
    <row r="8" spans="1:16" ht="29" customHeight="1">
      <c r="A8" s="272" t="s">
        <v>1951</v>
      </c>
      <c r="B8" s="272" t="s">
        <v>1936</v>
      </c>
      <c r="C8" s="272" t="s">
        <v>1952</v>
      </c>
      <c r="D8" s="272" t="s">
        <v>1938</v>
      </c>
      <c r="E8" s="272" t="s">
        <v>1953</v>
      </c>
      <c r="F8" s="272" t="s">
        <v>1954</v>
      </c>
      <c r="G8" s="272" t="s">
        <v>1955</v>
      </c>
      <c r="H8" s="272" t="s">
        <v>1664</v>
      </c>
      <c r="I8" s="275">
        <v>46157</v>
      </c>
      <c r="J8" s="275"/>
      <c r="K8" s="272"/>
      <c r="L8" s="272" t="s">
        <v>1956</v>
      </c>
      <c r="M8" s="272"/>
      <c r="N8" s="272"/>
      <c r="O8" s="272"/>
      <c r="P8" s="272"/>
    </row>
    <row r="9" spans="1:16" ht="29" customHeight="1">
      <c r="A9" s="270" t="s">
        <v>1957</v>
      </c>
      <c r="B9" s="270" t="s">
        <v>1936</v>
      </c>
      <c r="C9" s="270" t="s">
        <v>1958</v>
      </c>
      <c r="D9" s="270" t="s">
        <v>1938</v>
      </c>
      <c r="E9" s="270" t="s">
        <v>1959</v>
      </c>
      <c r="F9" s="270" t="s">
        <v>1960</v>
      </c>
      <c r="G9" s="270" t="s">
        <v>1764</v>
      </c>
      <c r="H9" s="270" t="s">
        <v>1664</v>
      </c>
      <c r="I9" s="274">
        <v>46113</v>
      </c>
      <c r="J9" s="274"/>
      <c r="K9" s="270"/>
      <c r="L9" s="270" t="s">
        <v>1961</v>
      </c>
      <c r="M9" s="270"/>
      <c r="N9" s="270"/>
      <c r="O9" s="270"/>
      <c r="P9" s="270"/>
    </row>
    <row r="10" spans="1:16">
      <c r="A10" s="272" t="s">
        <v>1962</v>
      </c>
      <c r="B10" s="272" t="s">
        <v>1936</v>
      </c>
      <c r="C10" s="272" t="s">
        <v>1963</v>
      </c>
      <c r="D10" s="272" t="s">
        <v>1964</v>
      </c>
      <c r="E10" s="272" t="s">
        <v>1965</v>
      </c>
      <c r="F10" s="272"/>
      <c r="G10" s="272" t="s">
        <v>332</v>
      </c>
      <c r="H10" s="272" t="s">
        <v>49</v>
      </c>
      <c r="I10" s="275"/>
      <c r="J10" s="275" t="str">
        <f t="shared" ref="J10:J15" si="0">IFERROR(IF(OR(I10="",NOT(ISNUMBER(I10))),"Pendiente",EDATE(I10,12)),"Pendiente")</f>
        <v>Pendiente</v>
      </c>
      <c r="K10" s="272">
        <v>12</v>
      </c>
      <c r="L10" s="272"/>
      <c r="M10" s="272"/>
      <c r="N10" s="272"/>
      <c r="O10" s="272"/>
      <c r="P10" s="272"/>
    </row>
    <row r="11" spans="1:16">
      <c r="A11" s="270" t="s">
        <v>1966</v>
      </c>
      <c r="B11" s="270" t="s">
        <v>1936</v>
      </c>
      <c r="C11" s="270" t="s">
        <v>1967</v>
      </c>
      <c r="D11" s="270" t="s">
        <v>1964</v>
      </c>
      <c r="E11" s="270" t="s">
        <v>1968</v>
      </c>
      <c r="F11" s="270"/>
      <c r="G11" s="270" t="s">
        <v>332</v>
      </c>
      <c r="H11" s="270" t="s">
        <v>49</v>
      </c>
      <c r="I11" s="274"/>
      <c r="J11" s="274" t="str">
        <f t="shared" si="0"/>
        <v>Pendiente</v>
      </c>
      <c r="K11" s="270">
        <v>12</v>
      </c>
      <c r="L11" s="270"/>
      <c r="M11" s="270"/>
      <c r="N11" s="270"/>
      <c r="O11" s="270"/>
      <c r="P11" s="270"/>
    </row>
    <row r="12" spans="1:16">
      <c r="A12" s="272" t="s">
        <v>1969</v>
      </c>
      <c r="B12" s="272" t="s">
        <v>1936</v>
      </c>
      <c r="C12" s="272" t="s">
        <v>1914</v>
      </c>
      <c r="D12" s="272" t="s">
        <v>1964</v>
      </c>
      <c r="E12" s="272" t="s">
        <v>1970</v>
      </c>
      <c r="F12" s="272" t="s">
        <v>1954</v>
      </c>
      <c r="G12" s="272" t="s">
        <v>332</v>
      </c>
      <c r="H12" s="272" t="s">
        <v>918</v>
      </c>
      <c r="I12" s="275">
        <v>46158</v>
      </c>
      <c r="J12" s="275">
        <f t="shared" si="0"/>
        <v>46523</v>
      </c>
      <c r="K12" s="272">
        <v>12</v>
      </c>
      <c r="L12" s="272" t="s">
        <v>1971</v>
      </c>
      <c r="M12" s="272"/>
      <c r="N12" s="272"/>
      <c r="O12" s="272"/>
      <c r="P12" s="272"/>
    </row>
    <row r="13" spans="1:16">
      <c r="A13" s="270" t="s">
        <v>1972</v>
      </c>
      <c r="B13" s="270" t="s">
        <v>1936</v>
      </c>
      <c r="C13" s="270" t="s">
        <v>1914</v>
      </c>
      <c r="D13" s="270" t="s">
        <v>1964</v>
      </c>
      <c r="E13" s="270" t="s">
        <v>1973</v>
      </c>
      <c r="F13" s="270" t="s">
        <v>1974</v>
      </c>
      <c r="G13" s="270" t="s">
        <v>332</v>
      </c>
      <c r="H13" s="270" t="s">
        <v>49</v>
      </c>
      <c r="I13" s="274"/>
      <c r="J13" s="274" t="str">
        <f t="shared" si="0"/>
        <v>Pendiente</v>
      </c>
      <c r="K13" s="270">
        <v>12</v>
      </c>
      <c r="L13" s="270"/>
      <c r="M13" s="270"/>
      <c r="N13" s="270"/>
      <c r="O13" s="270"/>
      <c r="P13" s="270"/>
    </row>
    <row r="14" spans="1:16">
      <c r="A14" s="272" t="s">
        <v>1975</v>
      </c>
      <c r="B14" s="272" t="s">
        <v>1936</v>
      </c>
      <c r="C14" s="272" t="s">
        <v>1937</v>
      </c>
      <c r="D14" s="272" t="s">
        <v>1964</v>
      </c>
      <c r="E14" s="272" t="s">
        <v>1976</v>
      </c>
      <c r="F14" s="272"/>
      <c r="G14" s="272" t="s">
        <v>1289</v>
      </c>
      <c r="H14" s="272" t="s">
        <v>49</v>
      </c>
      <c r="I14" s="275"/>
      <c r="J14" s="275" t="str">
        <f t="shared" si="0"/>
        <v>Pendiente</v>
      </c>
      <c r="K14" s="272">
        <v>12</v>
      </c>
      <c r="L14" s="272"/>
      <c r="M14" s="272"/>
      <c r="N14" s="272"/>
      <c r="O14" s="272"/>
      <c r="P14" s="272"/>
    </row>
    <row r="15" spans="1:16">
      <c r="A15" s="270" t="s">
        <v>1977</v>
      </c>
      <c r="B15" s="270" t="s">
        <v>1936</v>
      </c>
      <c r="C15" s="270" t="s">
        <v>1937</v>
      </c>
      <c r="D15" s="270" t="s">
        <v>1964</v>
      </c>
      <c r="E15" s="270" t="s">
        <v>1978</v>
      </c>
      <c r="F15" s="270"/>
      <c r="G15" s="270" t="s">
        <v>1289</v>
      </c>
      <c r="H15" s="270" t="s">
        <v>49</v>
      </c>
      <c r="I15" s="274"/>
      <c r="J15" s="274" t="str">
        <f t="shared" si="0"/>
        <v>Pendiente</v>
      </c>
      <c r="K15" s="270">
        <v>12</v>
      </c>
      <c r="L15" s="270"/>
      <c r="M15" s="270"/>
      <c r="N15" s="270"/>
      <c r="O15" s="270"/>
      <c r="P15" s="270"/>
    </row>
    <row r="16" spans="1:16" ht="29" customHeight="1">
      <c r="A16" s="272" t="s">
        <v>1979</v>
      </c>
      <c r="B16" s="272" t="s">
        <v>1936</v>
      </c>
      <c r="C16" s="272" t="s">
        <v>1980</v>
      </c>
      <c r="D16" s="272" t="s">
        <v>1981</v>
      </c>
      <c r="E16" s="272" t="s">
        <v>1980</v>
      </c>
      <c r="F16" s="272" t="s">
        <v>1982</v>
      </c>
      <c r="G16" s="272" t="s">
        <v>1907</v>
      </c>
      <c r="H16" s="272" t="s">
        <v>49</v>
      </c>
      <c r="I16" s="275"/>
      <c r="J16" s="275"/>
      <c r="K16" s="272"/>
      <c r="L16" s="272"/>
      <c r="M16" s="272"/>
      <c r="N16" s="272" t="s">
        <v>1983</v>
      </c>
      <c r="O16" s="272"/>
      <c r="P16" s="272"/>
    </row>
    <row r="17" spans="1:16" ht="29" customHeight="1">
      <c r="A17" s="270" t="s">
        <v>1984</v>
      </c>
      <c r="B17" s="270" t="s">
        <v>1936</v>
      </c>
      <c r="C17" s="270" t="s">
        <v>1985</v>
      </c>
      <c r="D17" s="270" t="s">
        <v>1981</v>
      </c>
      <c r="E17" s="270" t="s">
        <v>1985</v>
      </c>
      <c r="F17" s="270" t="s">
        <v>1986</v>
      </c>
      <c r="G17" s="270" t="s">
        <v>332</v>
      </c>
      <c r="H17" s="270" t="s">
        <v>49</v>
      </c>
      <c r="I17" s="274"/>
      <c r="J17" s="274"/>
      <c r="K17" s="270"/>
      <c r="L17" s="270"/>
      <c r="M17" s="270"/>
      <c r="N17" s="270" t="s">
        <v>1987</v>
      </c>
      <c r="O17" s="270"/>
      <c r="P17" s="270"/>
    </row>
    <row r="18" spans="1:16" ht="29" customHeight="1">
      <c r="A18" s="272" t="s">
        <v>1988</v>
      </c>
      <c r="B18" s="272" t="s">
        <v>1936</v>
      </c>
      <c r="C18" s="272" t="s">
        <v>1912</v>
      </c>
      <c r="D18" s="272" t="s">
        <v>1981</v>
      </c>
      <c r="E18" s="272" t="s">
        <v>1912</v>
      </c>
      <c r="F18" s="272" t="s">
        <v>1989</v>
      </c>
      <c r="G18" s="272" t="s">
        <v>1907</v>
      </c>
      <c r="H18" s="272" t="s">
        <v>49</v>
      </c>
      <c r="I18" s="275"/>
      <c r="J18" s="275"/>
      <c r="K18" s="272"/>
      <c r="L18" s="272"/>
      <c r="M18" s="272"/>
      <c r="N18" s="272" t="s">
        <v>1990</v>
      </c>
      <c r="O18" s="272"/>
      <c r="P18" s="272"/>
    </row>
    <row r="19" spans="1:16">
      <c r="A19" s="270" t="s">
        <v>1991</v>
      </c>
      <c r="B19" s="270" t="s">
        <v>1936</v>
      </c>
      <c r="C19" s="270" t="s">
        <v>1992</v>
      </c>
      <c r="D19" s="270" t="s">
        <v>1981</v>
      </c>
      <c r="E19" s="270" t="s">
        <v>1992</v>
      </c>
      <c r="F19" s="270" t="s">
        <v>1993</v>
      </c>
      <c r="G19" s="270" t="s">
        <v>332</v>
      </c>
      <c r="H19" s="270" t="s">
        <v>49</v>
      </c>
      <c r="I19" s="274"/>
      <c r="J19" s="274"/>
      <c r="K19" s="270"/>
      <c r="L19" s="270"/>
      <c r="M19" s="270"/>
      <c r="N19" s="270" t="s">
        <v>1994</v>
      </c>
      <c r="O19" s="270"/>
      <c r="P19" s="270"/>
    </row>
    <row r="20" spans="1:16">
      <c r="A20" s="272" t="s">
        <v>1995</v>
      </c>
      <c r="B20" s="272" t="s">
        <v>1936</v>
      </c>
      <c r="C20" s="272" t="s">
        <v>1996</v>
      </c>
      <c r="D20" s="272" t="s">
        <v>1981</v>
      </c>
      <c r="E20" s="272" t="s">
        <v>1996</v>
      </c>
      <c r="F20" s="272" t="s">
        <v>1997</v>
      </c>
      <c r="G20" s="272" t="s">
        <v>1289</v>
      </c>
      <c r="H20" s="272" t="s">
        <v>49</v>
      </c>
      <c r="I20" s="275"/>
      <c r="J20" s="275"/>
      <c r="K20" s="272"/>
      <c r="L20" s="272"/>
      <c r="M20" s="272"/>
      <c r="N20" s="272" t="s">
        <v>1998</v>
      </c>
      <c r="O20" s="272"/>
      <c r="P20" s="272"/>
    </row>
    <row r="21" spans="1:16">
      <c r="A21" s="270" t="s">
        <v>1999</v>
      </c>
      <c r="B21" s="270" t="s">
        <v>1936</v>
      </c>
      <c r="C21" s="270" t="s">
        <v>2000</v>
      </c>
      <c r="D21" s="270" t="s">
        <v>1981</v>
      </c>
      <c r="E21" s="270" t="s">
        <v>2000</v>
      </c>
      <c r="F21" s="270" t="s">
        <v>2001</v>
      </c>
      <c r="G21" s="270" t="s">
        <v>1289</v>
      </c>
      <c r="H21" s="270" t="s">
        <v>49</v>
      </c>
      <c r="I21" s="274"/>
      <c r="J21" s="274"/>
      <c r="K21" s="270"/>
      <c r="L21" s="270"/>
      <c r="M21" s="270"/>
      <c r="N21" s="270" t="s">
        <v>2002</v>
      </c>
      <c r="O21" s="270"/>
      <c r="P21" s="270"/>
    </row>
    <row r="22" spans="1:16">
      <c r="A22" s="272" t="s">
        <v>2003</v>
      </c>
      <c r="B22" s="272" t="s">
        <v>1936</v>
      </c>
      <c r="C22" s="272" t="s">
        <v>2004</v>
      </c>
      <c r="D22" s="272" t="s">
        <v>1981</v>
      </c>
      <c r="E22" s="272" t="s">
        <v>2004</v>
      </c>
      <c r="F22" s="272" t="s">
        <v>2005</v>
      </c>
      <c r="G22" s="272" t="s">
        <v>2006</v>
      </c>
      <c r="H22" s="272" t="s">
        <v>49</v>
      </c>
      <c r="I22" s="275"/>
      <c r="J22" s="275"/>
      <c r="K22" s="272"/>
      <c r="L22" s="272"/>
      <c r="M22" s="272"/>
      <c r="N22" s="272" t="s">
        <v>2007</v>
      </c>
      <c r="O22" s="272"/>
      <c r="P22" s="272"/>
    </row>
    <row r="23" spans="1:16" ht="29">
      <c r="A23" s="270" t="s">
        <v>2008</v>
      </c>
      <c r="B23" s="270" t="s">
        <v>1936</v>
      </c>
      <c r="C23" s="270" t="s">
        <v>2009</v>
      </c>
      <c r="D23" s="270" t="s">
        <v>2010</v>
      </c>
      <c r="E23" s="270" t="s">
        <v>2011</v>
      </c>
      <c r="F23" s="270" t="s">
        <v>2012</v>
      </c>
      <c r="G23" s="270" t="s">
        <v>1907</v>
      </c>
      <c r="H23" s="270" t="s">
        <v>79</v>
      </c>
      <c r="I23" s="274">
        <v>46158</v>
      </c>
      <c r="J23" s="274" t="s">
        <v>5023</v>
      </c>
      <c r="K23" s="270"/>
      <c r="L23" s="270"/>
      <c r="M23" s="270" t="s">
        <v>2013</v>
      </c>
      <c r="N23" s="270"/>
      <c r="O23" s="270"/>
      <c r="P23" s="270"/>
    </row>
    <row r="24" spans="1:16">
      <c r="A24" s="272" t="s">
        <v>2014</v>
      </c>
      <c r="B24" s="272" t="s">
        <v>1936</v>
      </c>
      <c r="C24" s="272" t="s">
        <v>1952</v>
      </c>
      <c r="D24" s="272" t="s">
        <v>2015</v>
      </c>
      <c r="E24" s="272" t="s">
        <v>2016</v>
      </c>
      <c r="F24" s="272" t="s">
        <v>2017</v>
      </c>
      <c r="G24" s="272" t="s">
        <v>1907</v>
      </c>
      <c r="H24" s="272" t="str">
        <f t="shared" ref="H24:H31" ca="1" si="1">IF(E5="Pendiente","Pendiente",IF(E5&lt;TODAY(),"Vencido",IF(E5&lt;=TODAY()+30,"Próximo","Vigente")))</f>
        <v>Vigente</v>
      </c>
      <c r="I24" s="275"/>
      <c r="J24" s="275" t="str">
        <f t="shared" ref="J24:J31" si="2">IFERROR(IF(OR(I24="",NOT(ISNUMBER(I24))),"Pendiente",EDATE(I24,12)),"Pendiente")</f>
        <v>Pendiente</v>
      </c>
      <c r="K24" s="272"/>
      <c r="L24" s="272"/>
      <c r="M24" s="272"/>
      <c r="N24" s="272"/>
      <c r="O24" s="272"/>
      <c r="P24" s="272"/>
    </row>
    <row r="25" spans="1:16">
      <c r="A25" s="270" t="s">
        <v>2018</v>
      </c>
      <c r="B25" s="270" t="s">
        <v>1936</v>
      </c>
      <c r="C25" s="270" t="s">
        <v>1937</v>
      </c>
      <c r="D25" s="270" t="s">
        <v>2015</v>
      </c>
      <c r="E25" s="270" t="s">
        <v>2019</v>
      </c>
      <c r="F25" s="270" t="s">
        <v>2020</v>
      </c>
      <c r="G25" s="270" t="s">
        <v>1907</v>
      </c>
      <c r="H25" s="270" t="str">
        <f t="shared" ca="1" si="1"/>
        <v>Vigente</v>
      </c>
      <c r="I25" s="274"/>
      <c r="J25" s="274" t="str">
        <f t="shared" si="2"/>
        <v>Pendiente</v>
      </c>
      <c r="K25" s="270"/>
      <c r="L25" s="270"/>
      <c r="M25" s="270"/>
      <c r="N25" s="270"/>
      <c r="O25" s="270"/>
      <c r="P25" s="270"/>
    </row>
    <row r="26" spans="1:16">
      <c r="A26" s="272" t="s">
        <v>2021</v>
      </c>
      <c r="B26" s="272" t="s">
        <v>1936</v>
      </c>
      <c r="C26" s="272" t="s">
        <v>1967</v>
      </c>
      <c r="D26" s="272" t="s">
        <v>2015</v>
      </c>
      <c r="E26" s="272" t="s">
        <v>1968</v>
      </c>
      <c r="F26" s="272" t="s">
        <v>2020</v>
      </c>
      <c r="G26" s="272" t="s">
        <v>332</v>
      </c>
      <c r="H26" s="272" t="str">
        <f t="shared" ca="1" si="1"/>
        <v>Vigente</v>
      </c>
      <c r="I26" s="275"/>
      <c r="J26" s="275" t="str">
        <f t="shared" si="2"/>
        <v>Pendiente</v>
      </c>
      <c r="K26" s="272"/>
      <c r="L26" s="272"/>
      <c r="M26" s="272"/>
      <c r="N26" s="272"/>
      <c r="O26" s="272"/>
      <c r="P26" s="272"/>
    </row>
    <row r="27" spans="1:16">
      <c r="A27" s="270" t="s">
        <v>2022</v>
      </c>
      <c r="B27" s="270" t="s">
        <v>1936</v>
      </c>
      <c r="C27" s="270" t="s">
        <v>1963</v>
      </c>
      <c r="D27" s="270" t="s">
        <v>2015</v>
      </c>
      <c r="E27" s="270" t="s">
        <v>2023</v>
      </c>
      <c r="F27" s="270" t="s">
        <v>2020</v>
      </c>
      <c r="G27" s="270" t="s">
        <v>332</v>
      </c>
      <c r="H27" s="270" t="str">
        <f t="shared" ca="1" si="1"/>
        <v>Vigente</v>
      </c>
      <c r="I27" s="274"/>
      <c r="J27" s="274" t="str">
        <f t="shared" si="2"/>
        <v>Pendiente</v>
      </c>
      <c r="K27" s="270"/>
      <c r="L27" s="270"/>
      <c r="M27" s="270"/>
      <c r="N27" s="270"/>
      <c r="O27" s="270"/>
      <c r="P27" s="270"/>
    </row>
    <row r="28" spans="1:16">
      <c r="A28" s="272" t="s">
        <v>2024</v>
      </c>
      <c r="B28" s="272" t="s">
        <v>1936</v>
      </c>
      <c r="C28" s="272" t="s">
        <v>2025</v>
      </c>
      <c r="D28" s="272" t="s">
        <v>2015</v>
      </c>
      <c r="E28" s="272" t="s">
        <v>2026</v>
      </c>
      <c r="F28" s="272" t="s">
        <v>2027</v>
      </c>
      <c r="G28" s="272" t="s">
        <v>1289</v>
      </c>
      <c r="H28" s="272" t="str">
        <f t="shared" ca="1" si="1"/>
        <v>Vigente</v>
      </c>
      <c r="I28" s="275"/>
      <c r="J28" s="275" t="str">
        <f t="shared" si="2"/>
        <v>Pendiente</v>
      </c>
      <c r="K28" s="272"/>
      <c r="L28" s="272"/>
      <c r="M28" s="272"/>
      <c r="N28" s="272"/>
      <c r="O28" s="272"/>
      <c r="P28" s="272"/>
    </row>
    <row r="29" spans="1:16">
      <c r="A29" s="270" t="s">
        <v>2028</v>
      </c>
      <c r="B29" s="270" t="s">
        <v>1936</v>
      </c>
      <c r="C29" s="270" t="s">
        <v>2029</v>
      </c>
      <c r="D29" s="270" t="s">
        <v>2015</v>
      </c>
      <c r="E29" s="270" t="s">
        <v>2030</v>
      </c>
      <c r="F29" s="270" t="s">
        <v>2031</v>
      </c>
      <c r="G29" s="270" t="s">
        <v>1289</v>
      </c>
      <c r="H29" s="270" t="str">
        <f t="shared" ca="1" si="1"/>
        <v>Vigente</v>
      </c>
      <c r="I29" s="274"/>
      <c r="J29" s="274" t="str">
        <f t="shared" si="2"/>
        <v>Pendiente</v>
      </c>
      <c r="K29" s="270"/>
      <c r="L29" s="270"/>
      <c r="M29" s="270"/>
      <c r="N29" s="270"/>
      <c r="O29" s="270"/>
      <c r="P29" s="270"/>
    </row>
    <row r="30" spans="1:16">
      <c r="A30" s="272" t="s">
        <v>2032</v>
      </c>
      <c r="B30" s="272" t="s">
        <v>1936</v>
      </c>
      <c r="C30" s="272" t="s">
        <v>2033</v>
      </c>
      <c r="D30" s="272" t="s">
        <v>2015</v>
      </c>
      <c r="E30" s="272" t="s">
        <v>2007</v>
      </c>
      <c r="F30" s="272" t="s">
        <v>2031</v>
      </c>
      <c r="G30" s="272" t="s">
        <v>1289</v>
      </c>
      <c r="H30" s="272" t="str">
        <f t="shared" ca="1" si="1"/>
        <v>Vigente</v>
      </c>
      <c r="I30" s="275"/>
      <c r="J30" s="275" t="str">
        <f t="shared" si="2"/>
        <v>Pendiente</v>
      </c>
      <c r="K30" s="272"/>
      <c r="L30" s="272"/>
      <c r="M30" s="272"/>
      <c r="N30" s="272"/>
      <c r="O30" s="272"/>
      <c r="P30" s="272"/>
    </row>
    <row r="31" spans="1:16">
      <c r="A31" s="270" t="s">
        <v>2034</v>
      </c>
      <c r="B31" s="270" t="s">
        <v>1936</v>
      </c>
      <c r="C31" s="270" t="s">
        <v>2035</v>
      </c>
      <c r="D31" s="270" t="s">
        <v>2015</v>
      </c>
      <c r="E31" s="270" t="s">
        <v>2036</v>
      </c>
      <c r="F31" s="270" t="s">
        <v>1006</v>
      </c>
      <c r="G31" s="270" t="s">
        <v>332</v>
      </c>
      <c r="H31" s="270" t="str">
        <f t="shared" ca="1" si="1"/>
        <v>Vigente</v>
      </c>
      <c r="I31" s="274"/>
      <c r="J31" s="274" t="str">
        <f t="shared" si="2"/>
        <v>Pendiente</v>
      </c>
      <c r="K31" s="270"/>
      <c r="L31" s="270"/>
      <c r="M31" s="270"/>
      <c r="N31" s="270"/>
      <c r="O31" s="270"/>
      <c r="P31" s="270"/>
    </row>
    <row r="32" spans="1:16">
      <c r="A32" s="272" t="s">
        <v>2037</v>
      </c>
      <c r="B32" s="272" t="s">
        <v>1314</v>
      </c>
      <c r="C32" s="272" t="s">
        <v>2025</v>
      </c>
      <c r="D32" s="272" t="s">
        <v>2025</v>
      </c>
      <c r="E32" s="272" t="s">
        <v>2026</v>
      </c>
      <c r="F32" s="272"/>
      <c r="G32" s="272" t="s">
        <v>1289</v>
      </c>
      <c r="H32" s="272" t="str">
        <f t="shared" ref="H32:H51" ca="1" si="3">IF(G5="","Pendiente",IF(G5&lt;TODAY(),"Vencido",IF(G5&lt;=TODAY()+30,"Próximo","Vigente")))</f>
        <v>Vigente</v>
      </c>
      <c r="I32" s="275"/>
      <c r="J32" s="275"/>
      <c r="K32" s="272"/>
      <c r="L32" s="272"/>
      <c r="M32" s="272"/>
      <c r="N32" s="272"/>
      <c r="O32" s="272"/>
      <c r="P32" s="272"/>
    </row>
    <row r="33" spans="1:16">
      <c r="A33" s="270" t="s">
        <v>2038</v>
      </c>
      <c r="B33" s="270" t="s">
        <v>1314</v>
      </c>
      <c r="C33" s="270" t="s">
        <v>2025</v>
      </c>
      <c r="D33" s="270" t="s">
        <v>2025</v>
      </c>
      <c r="E33" s="270" t="s">
        <v>2026</v>
      </c>
      <c r="F33" s="270"/>
      <c r="G33" s="270" t="s">
        <v>1289</v>
      </c>
      <c r="H33" s="270" t="str">
        <f t="shared" ca="1" si="3"/>
        <v>Vigente</v>
      </c>
      <c r="I33" s="274"/>
      <c r="J33" s="274"/>
      <c r="K33" s="270"/>
      <c r="L33" s="270"/>
      <c r="M33" s="270"/>
      <c r="N33" s="270"/>
      <c r="O33" s="270"/>
      <c r="P33" s="270"/>
    </row>
    <row r="34" spans="1:16">
      <c r="A34" s="272" t="s">
        <v>2039</v>
      </c>
      <c r="B34" s="272" t="s">
        <v>1314</v>
      </c>
      <c r="C34" s="272" t="s">
        <v>2025</v>
      </c>
      <c r="D34" s="272" t="s">
        <v>2025</v>
      </c>
      <c r="E34" s="272" t="s">
        <v>2026</v>
      </c>
      <c r="F34" s="272"/>
      <c r="G34" s="272" t="s">
        <v>1289</v>
      </c>
      <c r="H34" s="272" t="str">
        <f t="shared" ca="1" si="3"/>
        <v>Vigente</v>
      </c>
      <c r="I34" s="275"/>
      <c r="J34" s="275"/>
      <c r="K34" s="272"/>
      <c r="L34" s="272"/>
      <c r="M34" s="272"/>
      <c r="N34" s="272"/>
      <c r="O34" s="272"/>
      <c r="P34" s="272"/>
    </row>
    <row r="35" spans="1:16">
      <c r="A35" s="270" t="s">
        <v>2040</v>
      </c>
      <c r="B35" s="270" t="s">
        <v>1314</v>
      </c>
      <c r="C35" s="270" t="s">
        <v>2025</v>
      </c>
      <c r="D35" s="270" t="s">
        <v>2025</v>
      </c>
      <c r="E35" s="270" t="s">
        <v>2026</v>
      </c>
      <c r="F35" s="270"/>
      <c r="G35" s="270" t="s">
        <v>1289</v>
      </c>
      <c r="H35" s="270" t="str">
        <f t="shared" ca="1" si="3"/>
        <v>Vigente</v>
      </c>
      <c r="I35" s="274"/>
      <c r="J35" s="274"/>
      <c r="K35" s="270"/>
      <c r="L35" s="270"/>
      <c r="M35" s="270"/>
      <c r="N35" s="270"/>
      <c r="O35" s="270"/>
      <c r="P35" s="270"/>
    </row>
    <row r="36" spans="1:16">
      <c r="A36" s="272" t="s">
        <v>2041</v>
      </c>
      <c r="B36" s="272" t="s">
        <v>1314</v>
      </c>
      <c r="C36" s="272" t="s">
        <v>2025</v>
      </c>
      <c r="D36" s="272" t="s">
        <v>2025</v>
      </c>
      <c r="E36" s="272" t="s">
        <v>2026</v>
      </c>
      <c r="F36" s="272"/>
      <c r="G36" s="272" t="s">
        <v>1289</v>
      </c>
      <c r="H36" s="272" t="str">
        <f t="shared" ca="1" si="3"/>
        <v>Vigente</v>
      </c>
      <c r="I36" s="275"/>
      <c r="J36" s="275"/>
      <c r="K36" s="272"/>
      <c r="L36" s="272"/>
      <c r="M36" s="272"/>
      <c r="N36" s="272"/>
      <c r="O36" s="272"/>
      <c r="P36" s="272"/>
    </row>
    <row r="37" spans="1:16">
      <c r="A37" s="270" t="s">
        <v>2042</v>
      </c>
      <c r="B37" s="270" t="s">
        <v>1314</v>
      </c>
      <c r="C37" s="270" t="s">
        <v>2025</v>
      </c>
      <c r="D37" s="270" t="s">
        <v>2025</v>
      </c>
      <c r="E37" s="270" t="s">
        <v>2026</v>
      </c>
      <c r="F37" s="270"/>
      <c r="G37" s="270" t="s">
        <v>1289</v>
      </c>
      <c r="H37" s="270" t="str">
        <f t="shared" ca="1" si="3"/>
        <v>Vigente</v>
      </c>
      <c r="I37" s="274"/>
      <c r="J37" s="274"/>
      <c r="K37" s="270"/>
      <c r="L37" s="270"/>
      <c r="M37" s="270"/>
      <c r="N37" s="270"/>
      <c r="O37" s="270"/>
      <c r="P37" s="270"/>
    </row>
    <row r="38" spans="1:16">
      <c r="A38" s="272" t="s">
        <v>2043</v>
      </c>
      <c r="B38" s="272" t="s">
        <v>1314</v>
      </c>
      <c r="C38" s="272" t="s">
        <v>2025</v>
      </c>
      <c r="D38" s="272" t="s">
        <v>2025</v>
      </c>
      <c r="E38" s="272" t="s">
        <v>2026</v>
      </c>
      <c r="F38" s="272"/>
      <c r="G38" s="272" t="s">
        <v>1289</v>
      </c>
      <c r="H38" s="272" t="str">
        <f t="shared" ca="1" si="3"/>
        <v>Vigente</v>
      </c>
      <c r="I38" s="275"/>
      <c r="J38" s="275"/>
      <c r="K38" s="272"/>
      <c r="L38" s="272"/>
      <c r="M38" s="272"/>
      <c r="N38" s="272"/>
      <c r="O38" s="272"/>
      <c r="P38" s="272"/>
    </row>
    <row r="39" spans="1:16">
      <c r="A39" s="270" t="s">
        <v>2044</v>
      </c>
      <c r="B39" s="270" t="s">
        <v>1314</v>
      </c>
      <c r="C39" s="270" t="s">
        <v>2025</v>
      </c>
      <c r="D39" s="270" t="s">
        <v>2025</v>
      </c>
      <c r="E39" s="270" t="s">
        <v>2026</v>
      </c>
      <c r="F39" s="270"/>
      <c r="G39" s="270" t="s">
        <v>1289</v>
      </c>
      <c r="H39" s="270" t="str">
        <f t="shared" ca="1" si="3"/>
        <v>Vigente</v>
      </c>
      <c r="I39" s="274"/>
      <c r="J39" s="274"/>
      <c r="K39" s="270"/>
      <c r="L39" s="270"/>
      <c r="M39" s="270"/>
      <c r="N39" s="270"/>
      <c r="O39" s="270"/>
      <c r="P39" s="270"/>
    </row>
    <row r="40" spans="1:16">
      <c r="A40" s="272" t="s">
        <v>2045</v>
      </c>
      <c r="B40" s="272" t="s">
        <v>1314</v>
      </c>
      <c r="C40" s="272" t="s">
        <v>2025</v>
      </c>
      <c r="D40" s="272" t="s">
        <v>2025</v>
      </c>
      <c r="E40" s="272" t="s">
        <v>2026</v>
      </c>
      <c r="F40" s="272"/>
      <c r="G40" s="272" t="s">
        <v>1289</v>
      </c>
      <c r="H40" s="272" t="str">
        <f t="shared" ca="1" si="3"/>
        <v>Vigente</v>
      </c>
      <c r="I40" s="275"/>
      <c r="J40" s="275"/>
      <c r="K40" s="272"/>
      <c r="L40" s="272"/>
      <c r="M40" s="272"/>
      <c r="N40" s="272"/>
      <c r="O40" s="272"/>
      <c r="P40" s="272"/>
    </row>
    <row r="41" spans="1:16">
      <c r="A41" s="270" t="s">
        <v>2046</v>
      </c>
      <c r="B41" s="270" t="s">
        <v>1314</v>
      </c>
      <c r="C41" s="270" t="s">
        <v>2025</v>
      </c>
      <c r="D41" s="270" t="s">
        <v>2025</v>
      </c>
      <c r="E41" s="270" t="s">
        <v>2026</v>
      </c>
      <c r="F41" s="270"/>
      <c r="G41" s="270" t="s">
        <v>1289</v>
      </c>
      <c r="H41" s="270" t="str">
        <f t="shared" ca="1" si="3"/>
        <v>Vigente</v>
      </c>
      <c r="I41" s="274"/>
      <c r="J41" s="274"/>
      <c r="K41" s="270"/>
      <c r="L41" s="270"/>
      <c r="M41" s="270"/>
      <c r="N41" s="270"/>
      <c r="O41" s="270"/>
      <c r="P41" s="270"/>
    </row>
    <row r="42" spans="1:16">
      <c r="A42" s="272" t="s">
        <v>2047</v>
      </c>
      <c r="B42" s="272" t="s">
        <v>1314</v>
      </c>
      <c r="C42" s="272" t="s">
        <v>2025</v>
      </c>
      <c r="D42" s="272" t="s">
        <v>2025</v>
      </c>
      <c r="E42" s="272" t="s">
        <v>2026</v>
      </c>
      <c r="F42" s="272"/>
      <c r="G42" s="272" t="s">
        <v>1289</v>
      </c>
      <c r="H42" s="272" t="str">
        <f t="shared" ca="1" si="3"/>
        <v>Vigente</v>
      </c>
      <c r="I42" s="275"/>
      <c r="J42" s="275"/>
      <c r="K42" s="272"/>
      <c r="L42" s="272"/>
      <c r="M42" s="272"/>
      <c r="N42" s="272"/>
      <c r="O42" s="272"/>
      <c r="P42" s="272"/>
    </row>
    <row r="43" spans="1:16">
      <c r="A43" s="270" t="s">
        <v>2048</v>
      </c>
      <c r="B43" s="270" t="s">
        <v>1314</v>
      </c>
      <c r="C43" s="270" t="s">
        <v>2025</v>
      </c>
      <c r="D43" s="270" t="s">
        <v>2025</v>
      </c>
      <c r="E43" s="270" t="s">
        <v>2026</v>
      </c>
      <c r="F43" s="270"/>
      <c r="G43" s="270" t="s">
        <v>1289</v>
      </c>
      <c r="H43" s="270" t="str">
        <f t="shared" ca="1" si="3"/>
        <v>Vigente</v>
      </c>
      <c r="I43" s="274"/>
      <c r="J43" s="274"/>
      <c r="K43" s="270"/>
      <c r="L43" s="270"/>
      <c r="M43" s="270"/>
      <c r="N43" s="270"/>
      <c r="O43" s="270"/>
      <c r="P43" s="270"/>
    </row>
    <row r="44" spans="1:16">
      <c r="A44" s="272" t="s">
        <v>2049</v>
      </c>
      <c r="B44" s="272" t="s">
        <v>1314</v>
      </c>
      <c r="C44" s="272" t="s">
        <v>2025</v>
      </c>
      <c r="D44" s="272" t="s">
        <v>2025</v>
      </c>
      <c r="E44" s="272" t="s">
        <v>2026</v>
      </c>
      <c r="F44" s="272"/>
      <c r="G44" s="272" t="s">
        <v>1289</v>
      </c>
      <c r="H44" s="272" t="str">
        <f t="shared" ca="1" si="3"/>
        <v>Vigente</v>
      </c>
      <c r="I44" s="275"/>
      <c r="J44" s="275"/>
      <c r="K44" s="272"/>
      <c r="L44" s="272"/>
      <c r="M44" s="272"/>
      <c r="N44" s="272"/>
      <c r="O44" s="272"/>
      <c r="P44" s="272"/>
    </row>
    <row r="45" spans="1:16">
      <c r="A45" s="270" t="s">
        <v>2050</v>
      </c>
      <c r="B45" s="270" t="s">
        <v>1314</v>
      </c>
      <c r="C45" s="270" t="s">
        <v>2025</v>
      </c>
      <c r="D45" s="270" t="s">
        <v>2025</v>
      </c>
      <c r="E45" s="270" t="s">
        <v>2026</v>
      </c>
      <c r="F45" s="270"/>
      <c r="G45" s="270" t="s">
        <v>1289</v>
      </c>
      <c r="H45" s="270" t="str">
        <f t="shared" ca="1" si="3"/>
        <v>Vigente</v>
      </c>
      <c r="I45" s="274"/>
      <c r="J45" s="274"/>
      <c r="K45" s="270"/>
      <c r="L45" s="270"/>
      <c r="M45" s="270"/>
      <c r="N45" s="270"/>
      <c r="O45" s="270"/>
      <c r="P45" s="270"/>
    </row>
    <row r="46" spans="1:16">
      <c r="A46" s="272" t="s">
        <v>2051</v>
      </c>
      <c r="B46" s="272" t="s">
        <v>1314</v>
      </c>
      <c r="C46" s="272" t="s">
        <v>2025</v>
      </c>
      <c r="D46" s="272" t="s">
        <v>2025</v>
      </c>
      <c r="E46" s="272" t="s">
        <v>2026</v>
      </c>
      <c r="F46" s="272"/>
      <c r="G46" s="272" t="s">
        <v>1289</v>
      </c>
      <c r="H46" s="272" t="str">
        <f t="shared" ca="1" si="3"/>
        <v>Vigente</v>
      </c>
      <c r="I46" s="275"/>
      <c r="J46" s="275"/>
      <c r="K46" s="272"/>
      <c r="L46" s="272"/>
      <c r="M46" s="272"/>
      <c r="N46" s="272"/>
      <c r="O46" s="272"/>
      <c r="P46" s="272"/>
    </row>
    <row r="47" spans="1:16">
      <c r="A47" s="270" t="s">
        <v>2052</v>
      </c>
      <c r="B47" s="270" t="s">
        <v>1314</v>
      </c>
      <c r="C47" s="270" t="s">
        <v>2025</v>
      </c>
      <c r="D47" s="270" t="s">
        <v>2025</v>
      </c>
      <c r="E47" s="270" t="s">
        <v>2026</v>
      </c>
      <c r="F47" s="270"/>
      <c r="G47" s="270" t="s">
        <v>1289</v>
      </c>
      <c r="H47" s="270" t="str">
        <f t="shared" ca="1" si="3"/>
        <v>Vigente</v>
      </c>
      <c r="I47" s="274"/>
      <c r="J47" s="274"/>
      <c r="K47" s="270"/>
      <c r="L47" s="270"/>
      <c r="M47" s="270"/>
      <c r="N47" s="270"/>
      <c r="O47" s="270"/>
      <c r="P47" s="270"/>
    </row>
    <row r="48" spans="1:16">
      <c r="A48" s="272" t="s">
        <v>2053</v>
      </c>
      <c r="B48" s="272" t="s">
        <v>1314</v>
      </c>
      <c r="C48" s="272" t="s">
        <v>2025</v>
      </c>
      <c r="D48" s="272" t="s">
        <v>2025</v>
      </c>
      <c r="E48" s="272" t="s">
        <v>2026</v>
      </c>
      <c r="F48" s="272"/>
      <c r="G48" s="272" t="s">
        <v>1289</v>
      </c>
      <c r="H48" s="272" t="str">
        <f t="shared" ca="1" si="3"/>
        <v>Vigente</v>
      </c>
      <c r="I48" s="275"/>
      <c r="J48" s="275"/>
      <c r="K48" s="272"/>
      <c r="L48" s="272"/>
      <c r="M48" s="272"/>
      <c r="N48" s="272"/>
      <c r="O48" s="272"/>
      <c r="P48" s="272"/>
    </row>
    <row r="49" spans="1:16">
      <c r="A49" s="270" t="s">
        <v>2054</v>
      </c>
      <c r="B49" s="270" t="s">
        <v>1314</v>
      </c>
      <c r="C49" s="270" t="s">
        <v>2025</v>
      </c>
      <c r="D49" s="270" t="s">
        <v>2025</v>
      </c>
      <c r="E49" s="270" t="s">
        <v>2026</v>
      </c>
      <c r="F49" s="270"/>
      <c r="G49" s="270" t="s">
        <v>1289</v>
      </c>
      <c r="H49" s="270" t="str">
        <f t="shared" ca="1" si="3"/>
        <v>Vigente</v>
      </c>
      <c r="I49" s="274"/>
      <c r="J49" s="274"/>
      <c r="K49" s="270"/>
      <c r="L49" s="270"/>
      <c r="M49" s="270"/>
      <c r="N49" s="270"/>
      <c r="O49" s="270"/>
      <c r="P49" s="270"/>
    </row>
    <row r="50" spans="1:16">
      <c r="A50" s="272" t="s">
        <v>2055</v>
      </c>
      <c r="B50" s="272" t="s">
        <v>1314</v>
      </c>
      <c r="C50" s="272" t="s">
        <v>2025</v>
      </c>
      <c r="D50" s="272" t="s">
        <v>2025</v>
      </c>
      <c r="E50" s="272" t="s">
        <v>2026</v>
      </c>
      <c r="F50" s="272"/>
      <c r="G50" s="272" t="s">
        <v>1289</v>
      </c>
      <c r="H50" s="272" t="str">
        <f t="shared" ca="1" si="3"/>
        <v>Vigente</v>
      </c>
      <c r="I50" s="275"/>
      <c r="J50" s="275"/>
      <c r="K50" s="272"/>
      <c r="L50" s="272"/>
      <c r="M50" s="272"/>
      <c r="N50" s="272"/>
      <c r="O50" s="272"/>
      <c r="P50" s="272"/>
    </row>
    <row r="51" spans="1:16">
      <c r="A51" s="270" t="s">
        <v>2056</v>
      </c>
      <c r="B51" s="270" t="s">
        <v>1314</v>
      </c>
      <c r="C51" s="270" t="s">
        <v>2025</v>
      </c>
      <c r="D51" s="270" t="s">
        <v>2025</v>
      </c>
      <c r="E51" s="270" t="s">
        <v>2026</v>
      </c>
      <c r="F51" s="270"/>
      <c r="G51" s="270" t="s">
        <v>1289</v>
      </c>
      <c r="H51" s="270" t="str">
        <f t="shared" ca="1" si="3"/>
        <v>Vigente</v>
      </c>
      <c r="I51" s="274"/>
      <c r="J51" s="274"/>
      <c r="K51" s="270"/>
      <c r="L51" s="270"/>
      <c r="M51" s="270"/>
      <c r="N51" s="270"/>
      <c r="O51" s="270"/>
      <c r="P51" s="270"/>
    </row>
    <row r="52" spans="1:16" ht="43.5" customHeight="1">
      <c r="A52" s="272" t="s">
        <v>2057</v>
      </c>
      <c r="B52" s="272" t="s">
        <v>1936</v>
      </c>
      <c r="C52" s="272" t="s">
        <v>2058</v>
      </c>
      <c r="D52" s="272" t="s">
        <v>2059</v>
      </c>
      <c r="E52" s="272" t="s">
        <v>2060</v>
      </c>
      <c r="F52" s="272" t="s">
        <v>2061</v>
      </c>
      <c r="G52" s="272" t="s">
        <v>1907</v>
      </c>
      <c r="H52" s="272" t="str">
        <f ca="1">IF(H5="","Pendiente",IF(H5&lt;TODAY(),"Vencido",IF(H5&lt;=TODAY()+30,"Próximo","Vigente")))</f>
        <v>Vigente</v>
      </c>
      <c r="I52" s="275"/>
      <c r="J52" s="275"/>
      <c r="K52" s="272"/>
      <c r="L52" s="272" t="s">
        <v>2062</v>
      </c>
      <c r="M52" s="272" t="s">
        <v>2063</v>
      </c>
      <c r="N52" s="272"/>
      <c r="O52" s="272"/>
      <c r="P52" s="272"/>
    </row>
    <row r="53" spans="1:16">
      <c r="A53" s="270" t="s">
        <v>2064</v>
      </c>
      <c r="B53" s="270" t="s">
        <v>2065</v>
      </c>
      <c r="C53" s="270" t="s">
        <v>2058</v>
      </c>
      <c r="D53" s="270" t="s">
        <v>2059</v>
      </c>
      <c r="E53" s="270" t="s">
        <v>2066</v>
      </c>
      <c r="F53" s="270"/>
      <c r="G53" s="270" t="s">
        <v>1289</v>
      </c>
      <c r="H53" s="270" t="str">
        <f ca="1">IF(H6="","Pendiente",IF(H6&lt;TODAY(),"Vencido",IF(H6&lt;=TODAY()+30,"Próximo","Vigente")))</f>
        <v>Vigente</v>
      </c>
      <c r="I53" s="274"/>
      <c r="J53" s="274"/>
      <c r="K53" s="270"/>
      <c r="L53" s="270"/>
      <c r="M53" s="270"/>
      <c r="N53" s="270"/>
      <c r="O53" s="270"/>
      <c r="P53" s="270"/>
    </row>
    <row r="54" spans="1:16">
      <c r="A54" s="272" t="s">
        <v>2067</v>
      </c>
      <c r="B54" s="272" t="s">
        <v>2068</v>
      </c>
      <c r="C54" s="272" t="s">
        <v>2058</v>
      </c>
      <c r="D54" s="272" t="s">
        <v>2059</v>
      </c>
      <c r="E54" s="272" t="s">
        <v>2068</v>
      </c>
      <c r="F54" s="272"/>
      <c r="G54" s="272" t="s">
        <v>1289</v>
      </c>
      <c r="H54" s="272" t="str">
        <f ca="1">IF(H7="","Pendiente",IF(H7&lt;TODAY(),"Vencido",IF(H7&lt;=TODAY()+30,"Próximo","Vigente")))</f>
        <v>Vigente</v>
      </c>
      <c r="I54" s="275"/>
      <c r="J54" s="275"/>
      <c r="K54" s="272"/>
      <c r="L54" s="272"/>
      <c r="M54" s="272"/>
      <c r="N54" s="272"/>
      <c r="O54" s="272"/>
      <c r="P54" s="272"/>
    </row>
    <row r="55" spans="1:16" ht="29" customHeight="1">
      <c r="A55" s="270" t="s">
        <v>2069</v>
      </c>
      <c r="B55" s="270" t="s">
        <v>1936</v>
      </c>
      <c r="C55" s="270" t="s">
        <v>1917</v>
      </c>
      <c r="D55" s="270" t="s">
        <v>2070</v>
      </c>
      <c r="E55" s="270" t="s">
        <v>2071</v>
      </c>
      <c r="F55" s="270" t="s">
        <v>2072</v>
      </c>
      <c r="G55" s="270" t="s">
        <v>332</v>
      </c>
      <c r="H55" s="270" t="s">
        <v>49</v>
      </c>
      <c r="I55" s="274"/>
      <c r="J55" s="274"/>
      <c r="K55" s="270">
        <v>6</v>
      </c>
      <c r="L55" s="270"/>
      <c r="M55" s="270"/>
      <c r="N55" s="270"/>
      <c r="O55" s="270" t="s">
        <v>2073</v>
      </c>
      <c r="P55" s="270"/>
    </row>
    <row r="56" spans="1:16">
      <c r="A56" s="272" t="s">
        <v>2074</v>
      </c>
      <c r="B56" s="272" t="s">
        <v>1936</v>
      </c>
      <c r="C56" s="272" t="s">
        <v>1920</v>
      </c>
      <c r="D56" s="272" t="s">
        <v>2070</v>
      </c>
      <c r="E56" s="272" t="s">
        <v>2075</v>
      </c>
      <c r="F56" s="272" t="s">
        <v>2076</v>
      </c>
      <c r="G56" s="272" t="s">
        <v>332</v>
      </c>
      <c r="H56" s="272" t="s">
        <v>79</v>
      </c>
      <c r="I56" s="275"/>
      <c r="J56" s="275"/>
      <c r="K56" s="272"/>
      <c r="L56" s="272"/>
      <c r="M56" s="272"/>
      <c r="N56" s="272"/>
      <c r="O56" s="272" t="s">
        <v>2077</v>
      </c>
      <c r="P56" s="272"/>
    </row>
    <row r="57" spans="1:16" ht="29" customHeight="1">
      <c r="A57" s="270" t="s">
        <v>2078</v>
      </c>
      <c r="B57" s="270" t="s">
        <v>1936</v>
      </c>
      <c r="C57" s="270" t="s">
        <v>2079</v>
      </c>
      <c r="D57" s="270" t="s">
        <v>2070</v>
      </c>
      <c r="E57" s="270" t="s">
        <v>2080</v>
      </c>
      <c r="F57" s="270" t="s">
        <v>2081</v>
      </c>
      <c r="G57" s="270" t="s">
        <v>1907</v>
      </c>
      <c r="H57" s="270" t="s">
        <v>79</v>
      </c>
      <c r="I57" s="274"/>
      <c r="J57" s="274"/>
      <c r="K57" s="270"/>
      <c r="L57" s="270"/>
      <c r="M57" s="270"/>
      <c r="N57" s="270"/>
      <c r="O57" s="270" t="s">
        <v>2082</v>
      </c>
      <c r="P57" s="270"/>
    </row>
    <row r="58" spans="1:16">
      <c r="I58" s="59"/>
      <c r="J58" s="59"/>
    </row>
    <row r="59" spans="1:16">
      <c r="I59" s="59"/>
      <c r="J59" s="59"/>
    </row>
    <row r="60" spans="1:16">
      <c r="I60" s="59"/>
      <c r="J60" s="59"/>
    </row>
    <row r="61" spans="1:16">
      <c r="I61" s="59"/>
      <c r="J61" s="59"/>
    </row>
    <row r="62" spans="1:16">
      <c r="I62" s="59"/>
      <c r="J62" s="59"/>
    </row>
    <row r="63" spans="1:16">
      <c r="I63" s="59"/>
      <c r="J63" s="59"/>
    </row>
    <row r="64" spans="1:16">
      <c r="I64" s="59"/>
      <c r="J64" s="59"/>
    </row>
    <row r="65" spans="9:10">
      <c r="I65" s="59"/>
      <c r="J65" s="59"/>
    </row>
    <row r="66" spans="9:10">
      <c r="I66" s="59"/>
      <c r="J66" s="59"/>
    </row>
    <row r="67" spans="9:10">
      <c r="I67" s="59"/>
      <c r="J67" s="59"/>
    </row>
    <row r="68" spans="9:10">
      <c r="I68" s="59"/>
      <c r="J68" s="59"/>
    </row>
    <row r="69" spans="9:10">
      <c r="I69" s="59"/>
      <c r="J69" s="59"/>
    </row>
    <row r="70" spans="9:10">
      <c r="I70" s="59"/>
      <c r="J70" s="59"/>
    </row>
    <row r="71" spans="9:10">
      <c r="I71" s="59"/>
      <c r="J71" s="59"/>
    </row>
    <row r="72" spans="9:10">
      <c r="I72" s="59"/>
      <c r="J72" s="59"/>
    </row>
    <row r="73" spans="9:10">
      <c r="I73" s="59"/>
      <c r="J73" s="59"/>
    </row>
    <row r="74" spans="9:10">
      <c r="I74" s="59"/>
      <c r="J74" s="59"/>
    </row>
    <row r="75" spans="9:10">
      <c r="I75" s="59"/>
      <c r="J75" s="59"/>
    </row>
    <row r="76" spans="9:10">
      <c r="I76" s="59"/>
      <c r="J76" s="59"/>
    </row>
    <row r="77" spans="9:10">
      <c r="I77" s="59"/>
      <c r="J77" s="59"/>
    </row>
    <row r="78" spans="9:10">
      <c r="I78" s="59"/>
      <c r="J78" s="59"/>
    </row>
    <row r="79" spans="9:10">
      <c r="I79" s="59"/>
      <c r="J79" s="59"/>
    </row>
    <row r="80" spans="9:10">
      <c r="I80" s="59"/>
      <c r="J80" s="59"/>
    </row>
    <row r="81" spans="9:10">
      <c r="I81" s="59"/>
      <c r="J81" s="59"/>
    </row>
    <row r="82" spans="9:10">
      <c r="I82" s="59"/>
      <c r="J82" s="59"/>
    </row>
    <row r="83" spans="9:10">
      <c r="I83" s="59"/>
      <c r="J83" s="59"/>
    </row>
    <row r="84" spans="9:10">
      <c r="I84" s="59"/>
      <c r="J84" s="59"/>
    </row>
    <row r="85" spans="9:10">
      <c r="I85" s="59"/>
      <c r="J85" s="59"/>
    </row>
    <row r="86" spans="9:10">
      <c r="I86" s="59"/>
      <c r="J86" s="59"/>
    </row>
    <row r="87" spans="9:10">
      <c r="I87" s="59"/>
      <c r="J87" s="59"/>
    </row>
    <row r="88" spans="9:10">
      <c r="I88" s="59"/>
      <c r="J88" s="59"/>
    </row>
    <row r="89" spans="9:10">
      <c r="I89" s="59"/>
      <c r="J89" s="59"/>
    </row>
    <row r="90" spans="9:10">
      <c r="I90" s="59"/>
      <c r="J90" s="59"/>
    </row>
    <row r="91" spans="9:10">
      <c r="I91" s="59"/>
      <c r="J91" s="59"/>
    </row>
    <row r="92" spans="9:10">
      <c r="I92" s="59"/>
      <c r="J92" s="59"/>
    </row>
    <row r="93" spans="9:10">
      <c r="I93" s="59"/>
      <c r="J93" s="59"/>
    </row>
    <row r="94" spans="9:10">
      <c r="I94" s="59"/>
      <c r="J94" s="59"/>
    </row>
    <row r="95" spans="9:10">
      <c r="I95" s="59"/>
      <c r="J95" s="59"/>
    </row>
    <row r="96" spans="9:10">
      <c r="I96" s="59"/>
      <c r="J96" s="59"/>
    </row>
    <row r="97" spans="9:10">
      <c r="I97" s="59"/>
      <c r="J97" s="59"/>
    </row>
    <row r="98" spans="9:10">
      <c r="I98" s="59"/>
      <c r="J98" s="59"/>
    </row>
    <row r="99" spans="9:10">
      <c r="I99" s="59"/>
      <c r="J99" s="59"/>
    </row>
    <row r="100" spans="9:10">
      <c r="I100" s="59"/>
      <c r="J100" s="59"/>
    </row>
    <row r="101" spans="9:10">
      <c r="I101" s="59"/>
      <c r="J101" s="59"/>
    </row>
    <row r="102" spans="9:10">
      <c r="I102" s="59"/>
      <c r="J102" s="59"/>
    </row>
    <row r="103" spans="9:10">
      <c r="I103" s="59"/>
      <c r="J103" s="59"/>
    </row>
    <row r="104" spans="9:10">
      <c r="I104" s="59"/>
      <c r="J104" s="59"/>
    </row>
    <row r="105" spans="9:10">
      <c r="I105" s="59"/>
      <c r="J105" s="59"/>
    </row>
    <row r="106" spans="9:10">
      <c r="I106" s="59"/>
      <c r="J106" s="59"/>
    </row>
    <row r="107" spans="9:10">
      <c r="I107" s="59"/>
      <c r="J107" s="59"/>
    </row>
    <row r="108" spans="9:10">
      <c r="I108" s="59"/>
      <c r="J108" s="59"/>
    </row>
    <row r="109" spans="9:10">
      <c r="I109" s="59"/>
      <c r="J109" s="59"/>
    </row>
    <row r="110" spans="9:10">
      <c r="I110" s="59"/>
      <c r="J110" s="59"/>
    </row>
    <row r="111" spans="9:10">
      <c r="I111" s="59"/>
      <c r="J111" s="59"/>
    </row>
    <row r="112" spans="9:10">
      <c r="I112" s="59"/>
      <c r="J112" s="59"/>
    </row>
    <row r="113" spans="9:10">
      <c r="I113" s="59"/>
      <c r="J113" s="59"/>
    </row>
    <row r="114" spans="9:10">
      <c r="I114" s="59"/>
      <c r="J114" s="59"/>
    </row>
    <row r="115" spans="9:10">
      <c r="I115" s="59"/>
      <c r="J115" s="59"/>
    </row>
    <row r="116" spans="9:10">
      <c r="I116" s="59"/>
      <c r="J116" s="59"/>
    </row>
    <row r="117" spans="9:10">
      <c r="I117" s="59"/>
      <c r="J117" s="59"/>
    </row>
    <row r="118" spans="9:10">
      <c r="I118" s="59"/>
      <c r="J118" s="59"/>
    </row>
    <row r="119" spans="9:10">
      <c r="I119" s="59"/>
      <c r="J119" s="59"/>
    </row>
    <row r="120" spans="9:10">
      <c r="I120" s="59"/>
      <c r="J120" s="59"/>
    </row>
    <row r="121" spans="9:10">
      <c r="I121" s="59"/>
      <c r="J121" s="59"/>
    </row>
    <row r="122" spans="9:10">
      <c r="I122" s="59"/>
      <c r="J122" s="59"/>
    </row>
    <row r="123" spans="9:10">
      <c r="I123" s="59"/>
      <c r="J123" s="59"/>
    </row>
    <row r="124" spans="9:10">
      <c r="I124" s="59"/>
      <c r="J124" s="59"/>
    </row>
    <row r="125" spans="9:10">
      <c r="I125" s="59"/>
      <c r="J125" s="59"/>
    </row>
    <row r="126" spans="9:10">
      <c r="I126" s="59"/>
      <c r="J126" s="59"/>
    </row>
    <row r="127" spans="9:10">
      <c r="I127" s="59"/>
      <c r="J127" s="59"/>
    </row>
    <row r="128" spans="9:10">
      <c r="I128" s="59"/>
      <c r="J128" s="59"/>
    </row>
    <row r="129" spans="9:10">
      <c r="I129" s="59"/>
      <c r="J129" s="59"/>
    </row>
    <row r="130" spans="9:10">
      <c r="I130" s="59"/>
      <c r="J130" s="59"/>
    </row>
    <row r="131" spans="9:10">
      <c r="I131" s="59"/>
      <c r="J131" s="59"/>
    </row>
    <row r="132" spans="9:10">
      <c r="I132" s="59"/>
      <c r="J132" s="59"/>
    </row>
    <row r="133" spans="9:10">
      <c r="I133" s="59"/>
      <c r="J133" s="59"/>
    </row>
    <row r="134" spans="9:10">
      <c r="I134" s="59"/>
      <c r="J134" s="59"/>
    </row>
    <row r="135" spans="9:10">
      <c r="I135" s="59"/>
      <c r="J135" s="59"/>
    </row>
    <row r="136" spans="9:10">
      <c r="I136" s="59"/>
      <c r="J136" s="59"/>
    </row>
    <row r="137" spans="9:10">
      <c r="I137" s="59"/>
      <c r="J137" s="59"/>
    </row>
    <row r="138" spans="9:10">
      <c r="I138" s="59"/>
      <c r="J138" s="59"/>
    </row>
    <row r="139" spans="9:10">
      <c r="I139" s="59"/>
      <c r="J139" s="59"/>
    </row>
    <row r="140" spans="9:10">
      <c r="I140" s="59"/>
      <c r="J140" s="59"/>
    </row>
    <row r="141" spans="9:10">
      <c r="I141" s="59"/>
      <c r="J141" s="59"/>
    </row>
    <row r="142" spans="9:10">
      <c r="I142" s="59"/>
      <c r="J142" s="59"/>
    </row>
    <row r="143" spans="9:10">
      <c r="I143" s="59"/>
      <c r="J143" s="59"/>
    </row>
    <row r="144" spans="9:10">
      <c r="I144" s="59"/>
      <c r="J144" s="59"/>
    </row>
    <row r="145" spans="9:10">
      <c r="I145" s="59"/>
      <c r="J145" s="59"/>
    </row>
    <row r="146" spans="9:10">
      <c r="I146" s="59"/>
      <c r="J146" s="59"/>
    </row>
    <row r="147" spans="9:10">
      <c r="I147" s="59"/>
      <c r="J147" s="59"/>
    </row>
    <row r="148" spans="9:10">
      <c r="I148" s="59"/>
      <c r="J148" s="59"/>
    </row>
    <row r="149" spans="9:10">
      <c r="I149" s="59"/>
      <c r="J149" s="59"/>
    </row>
    <row r="150" spans="9:10">
      <c r="I150" s="59"/>
      <c r="J150" s="59"/>
    </row>
    <row r="151" spans="9:10">
      <c r="I151" s="59"/>
      <c r="J151" s="59"/>
    </row>
    <row r="152" spans="9:10">
      <c r="I152" s="59"/>
      <c r="J152" s="59"/>
    </row>
    <row r="153" spans="9:10">
      <c r="I153" s="59"/>
      <c r="J153" s="59"/>
    </row>
    <row r="154" spans="9:10">
      <c r="I154" s="59"/>
      <c r="J154" s="59"/>
    </row>
    <row r="155" spans="9:10">
      <c r="I155" s="59"/>
      <c r="J155" s="59"/>
    </row>
    <row r="156" spans="9:10">
      <c r="I156" s="59"/>
      <c r="J156" s="59"/>
    </row>
    <row r="157" spans="9:10">
      <c r="I157" s="59"/>
      <c r="J157" s="59"/>
    </row>
    <row r="158" spans="9:10">
      <c r="I158" s="59"/>
      <c r="J158" s="59"/>
    </row>
    <row r="159" spans="9:10">
      <c r="I159" s="59"/>
      <c r="J159" s="59"/>
    </row>
    <row r="160" spans="9:10">
      <c r="I160" s="59"/>
      <c r="J160" s="59"/>
    </row>
    <row r="161" spans="9:10">
      <c r="I161" s="59"/>
      <c r="J161" s="59"/>
    </row>
    <row r="162" spans="9:10">
      <c r="I162" s="59"/>
      <c r="J162" s="59"/>
    </row>
    <row r="163" spans="9:10">
      <c r="I163" s="59"/>
      <c r="J163" s="59"/>
    </row>
    <row r="164" spans="9:10">
      <c r="I164" s="59"/>
      <c r="J164" s="59"/>
    </row>
    <row r="165" spans="9:10">
      <c r="I165" s="59"/>
      <c r="J165" s="59"/>
    </row>
    <row r="166" spans="9:10">
      <c r="I166" s="59"/>
      <c r="J166" s="59"/>
    </row>
    <row r="167" spans="9:10">
      <c r="I167" s="59"/>
      <c r="J167" s="59"/>
    </row>
    <row r="168" spans="9:10">
      <c r="I168" s="59"/>
      <c r="J168" s="59"/>
    </row>
    <row r="169" spans="9:10">
      <c r="I169" s="59"/>
      <c r="J169" s="59"/>
    </row>
    <row r="170" spans="9:10">
      <c r="I170" s="59"/>
      <c r="J170" s="59"/>
    </row>
    <row r="171" spans="9:10">
      <c r="I171" s="59"/>
      <c r="J171" s="59"/>
    </row>
    <row r="172" spans="9:10">
      <c r="I172" s="59"/>
      <c r="J172" s="59"/>
    </row>
    <row r="173" spans="9:10">
      <c r="I173" s="59"/>
      <c r="J173" s="59"/>
    </row>
    <row r="174" spans="9:10">
      <c r="I174" s="59"/>
      <c r="J174" s="59"/>
    </row>
    <row r="175" spans="9:10">
      <c r="I175" s="59"/>
      <c r="J175" s="59"/>
    </row>
    <row r="176" spans="9:10">
      <c r="I176" s="59"/>
      <c r="J176" s="59"/>
    </row>
    <row r="177" spans="9:10">
      <c r="I177" s="59"/>
      <c r="J177" s="59"/>
    </row>
    <row r="178" spans="9:10">
      <c r="I178" s="59"/>
      <c r="J178" s="59"/>
    </row>
    <row r="179" spans="9:10">
      <c r="I179" s="59"/>
      <c r="J179" s="59"/>
    </row>
    <row r="180" spans="9:10">
      <c r="I180" s="59"/>
      <c r="J180" s="59"/>
    </row>
    <row r="181" spans="9:10">
      <c r="I181" s="59"/>
      <c r="J181" s="59"/>
    </row>
    <row r="182" spans="9:10">
      <c r="I182" s="59"/>
      <c r="J182" s="59"/>
    </row>
    <row r="183" spans="9:10">
      <c r="I183" s="59"/>
      <c r="J183" s="59"/>
    </row>
    <row r="184" spans="9:10">
      <c r="I184" s="59"/>
      <c r="J184" s="59"/>
    </row>
    <row r="185" spans="9:10">
      <c r="I185" s="59"/>
      <c r="J185" s="59"/>
    </row>
    <row r="186" spans="9:10">
      <c r="I186" s="59"/>
      <c r="J186" s="59"/>
    </row>
    <row r="187" spans="9:10">
      <c r="I187" s="59"/>
      <c r="J187" s="59"/>
    </row>
    <row r="188" spans="9:10">
      <c r="I188" s="59"/>
      <c r="J188" s="59"/>
    </row>
    <row r="189" spans="9:10">
      <c r="I189" s="59"/>
      <c r="J189" s="59"/>
    </row>
    <row r="190" spans="9:10">
      <c r="I190" s="59"/>
      <c r="J190" s="59"/>
    </row>
    <row r="191" spans="9:10">
      <c r="I191" s="59"/>
      <c r="J191" s="59"/>
    </row>
    <row r="192" spans="9:10">
      <c r="I192" s="59"/>
      <c r="J192" s="59"/>
    </row>
    <row r="193" spans="9:10">
      <c r="I193" s="59"/>
      <c r="J193" s="59"/>
    </row>
    <row r="194" spans="9:10">
      <c r="I194" s="59"/>
      <c r="J194" s="59"/>
    </row>
    <row r="195" spans="9:10">
      <c r="I195" s="59"/>
      <c r="J195" s="59"/>
    </row>
    <row r="196" spans="9:10">
      <c r="I196" s="59"/>
      <c r="J196" s="59"/>
    </row>
    <row r="197" spans="9:10">
      <c r="I197" s="59"/>
      <c r="J197" s="59"/>
    </row>
    <row r="198" spans="9:10">
      <c r="I198" s="59"/>
      <c r="J198" s="59"/>
    </row>
    <row r="199" spans="9:10">
      <c r="I199" s="59"/>
      <c r="J199" s="59"/>
    </row>
    <row r="200" spans="9:10">
      <c r="I200" s="59"/>
      <c r="J200" s="59"/>
    </row>
    <row r="201" spans="9:10">
      <c r="I201" s="59"/>
      <c r="J201" s="59"/>
    </row>
    <row r="202" spans="9:10">
      <c r="I202" s="59"/>
      <c r="J202" s="59"/>
    </row>
    <row r="203" spans="9:10">
      <c r="I203" s="59"/>
      <c r="J203" s="59"/>
    </row>
    <row r="204" spans="9:10">
      <c r="I204" s="59"/>
      <c r="J204" s="59"/>
    </row>
    <row r="205" spans="9:10">
      <c r="I205" s="59"/>
      <c r="J205" s="59"/>
    </row>
    <row r="206" spans="9:10">
      <c r="I206" s="59"/>
      <c r="J206" s="59"/>
    </row>
    <row r="207" spans="9:10">
      <c r="I207" s="59"/>
      <c r="J207" s="59"/>
    </row>
    <row r="208" spans="9:10">
      <c r="I208" s="59"/>
      <c r="J208" s="59"/>
    </row>
    <row r="209" spans="9:10">
      <c r="I209" s="59"/>
      <c r="J209" s="59"/>
    </row>
    <row r="210" spans="9:10">
      <c r="I210" s="59"/>
      <c r="J210" s="59"/>
    </row>
    <row r="211" spans="9:10">
      <c r="I211" s="59"/>
      <c r="J211" s="59"/>
    </row>
    <row r="212" spans="9:10">
      <c r="I212" s="59"/>
      <c r="J212" s="59"/>
    </row>
    <row r="213" spans="9:10">
      <c r="I213" s="59"/>
      <c r="J213" s="59"/>
    </row>
    <row r="214" spans="9:10">
      <c r="I214" s="59"/>
      <c r="J214" s="59"/>
    </row>
    <row r="215" spans="9:10">
      <c r="I215" s="59"/>
      <c r="J215" s="59"/>
    </row>
    <row r="216" spans="9:10">
      <c r="I216" s="59"/>
      <c r="J216" s="59"/>
    </row>
    <row r="217" spans="9:10">
      <c r="I217" s="59"/>
      <c r="J217" s="59"/>
    </row>
    <row r="218" spans="9:10">
      <c r="I218" s="59"/>
      <c r="J218" s="59"/>
    </row>
    <row r="219" spans="9:10">
      <c r="I219" s="59"/>
      <c r="J219" s="59"/>
    </row>
    <row r="220" spans="9:10">
      <c r="I220" s="59"/>
      <c r="J220" s="59"/>
    </row>
    <row r="221" spans="9:10">
      <c r="I221" s="59"/>
      <c r="J221" s="59"/>
    </row>
    <row r="222" spans="9:10">
      <c r="I222" s="59"/>
      <c r="J222" s="59"/>
    </row>
    <row r="223" spans="9:10">
      <c r="I223" s="59"/>
      <c r="J223" s="59"/>
    </row>
    <row r="224" spans="9:10">
      <c r="I224" s="59"/>
      <c r="J224" s="59"/>
    </row>
    <row r="225" spans="9:10">
      <c r="I225" s="59"/>
      <c r="J225" s="59"/>
    </row>
    <row r="226" spans="9:10">
      <c r="I226" s="59"/>
      <c r="J226" s="59"/>
    </row>
    <row r="227" spans="9:10">
      <c r="I227" s="59"/>
      <c r="J227" s="59"/>
    </row>
    <row r="228" spans="9:10">
      <c r="I228" s="59"/>
      <c r="J228" s="59"/>
    </row>
    <row r="229" spans="9:10">
      <c r="I229" s="59"/>
      <c r="J229" s="59"/>
    </row>
    <row r="230" spans="9:10">
      <c r="I230" s="59"/>
      <c r="J230" s="59"/>
    </row>
    <row r="231" spans="9:10">
      <c r="I231" s="59"/>
      <c r="J231" s="59"/>
    </row>
    <row r="232" spans="9:10">
      <c r="I232" s="59"/>
      <c r="J232" s="59"/>
    </row>
    <row r="233" spans="9:10">
      <c r="I233" s="59"/>
      <c r="J233" s="59"/>
    </row>
    <row r="234" spans="9:10">
      <c r="I234" s="59"/>
      <c r="J234" s="59"/>
    </row>
    <row r="235" spans="9:10">
      <c r="I235" s="59"/>
      <c r="J235" s="59"/>
    </row>
    <row r="236" spans="9:10">
      <c r="I236" s="59"/>
      <c r="J236" s="59"/>
    </row>
    <row r="237" spans="9:10">
      <c r="I237" s="59"/>
      <c r="J237" s="59"/>
    </row>
    <row r="238" spans="9:10">
      <c r="I238" s="59"/>
      <c r="J238" s="59"/>
    </row>
    <row r="239" spans="9:10">
      <c r="I239" s="59"/>
      <c r="J239" s="59"/>
    </row>
    <row r="240" spans="9:10">
      <c r="I240" s="59"/>
      <c r="J240" s="59"/>
    </row>
    <row r="241" spans="9:10">
      <c r="I241" s="59"/>
      <c r="J241" s="59"/>
    </row>
    <row r="242" spans="9:10">
      <c r="I242" s="59"/>
      <c r="J242" s="59"/>
    </row>
    <row r="243" spans="9:10">
      <c r="I243" s="59"/>
      <c r="J243" s="59"/>
    </row>
    <row r="244" spans="9:10">
      <c r="I244" s="59"/>
      <c r="J244" s="59"/>
    </row>
    <row r="245" spans="9:10">
      <c r="I245" s="59"/>
      <c r="J245" s="59"/>
    </row>
    <row r="246" spans="9:10">
      <c r="I246" s="59"/>
      <c r="J246" s="59"/>
    </row>
    <row r="247" spans="9:10">
      <c r="I247" s="59"/>
      <c r="J247" s="59"/>
    </row>
    <row r="248" spans="9:10">
      <c r="I248" s="59"/>
      <c r="J248" s="59"/>
    </row>
    <row r="249" spans="9:10">
      <c r="I249" s="59"/>
      <c r="J249" s="59"/>
    </row>
    <row r="250" spans="9:10">
      <c r="I250" s="59"/>
      <c r="J250" s="59"/>
    </row>
    <row r="251" spans="9:10">
      <c r="I251" s="59"/>
      <c r="J251" s="59"/>
    </row>
    <row r="252" spans="9:10">
      <c r="I252" s="59"/>
      <c r="J252" s="59"/>
    </row>
    <row r="253" spans="9:10">
      <c r="I253" s="59"/>
      <c r="J253" s="59"/>
    </row>
    <row r="254" spans="9:10">
      <c r="I254" s="59"/>
      <c r="J254" s="59"/>
    </row>
    <row r="255" spans="9:10">
      <c r="I255" s="59"/>
      <c r="J255" s="59"/>
    </row>
    <row r="256" spans="9:10">
      <c r="I256" s="59"/>
      <c r="J256" s="59"/>
    </row>
    <row r="257" spans="9:10">
      <c r="I257" s="59"/>
      <c r="J257" s="59"/>
    </row>
    <row r="258" spans="9:10">
      <c r="I258" s="59"/>
      <c r="J258" s="59"/>
    </row>
    <row r="259" spans="9:10">
      <c r="I259" s="59"/>
      <c r="J259" s="59"/>
    </row>
    <row r="260" spans="9:10">
      <c r="I260" s="59"/>
      <c r="J260" s="59"/>
    </row>
    <row r="261" spans="9:10">
      <c r="I261" s="59"/>
      <c r="J261" s="59"/>
    </row>
    <row r="262" spans="9:10">
      <c r="I262" s="59"/>
      <c r="J262" s="59"/>
    </row>
    <row r="263" spans="9:10">
      <c r="I263" s="59"/>
      <c r="J263" s="59"/>
    </row>
    <row r="264" spans="9:10">
      <c r="I264" s="59"/>
      <c r="J264" s="59"/>
    </row>
    <row r="265" spans="9:10">
      <c r="I265" s="59"/>
      <c r="J265" s="59"/>
    </row>
    <row r="266" spans="9:10">
      <c r="I266" s="59"/>
      <c r="J266" s="59"/>
    </row>
    <row r="267" spans="9:10">
      <c r="I267" s="59"/>
      <c r="J267" s="59"/>
    </row>
    <row r="268" spans="9:10">
      <c r="I268" s="59"/>
      <c r="J268" s="59"/>
    </row>
    <row r="269" spans="9:10">
      <c r="I269" s="59"/>
      <c r="J269" s="59"/>
    </row>
    <row r="270" spans="9:10">
      <c r="I270" s="59"/>
      <c r="J270" s="59"/>
    </row>
    <row r="271" spans="9:10">
      <c r="I271" s="59"/>
      <c r="J271" s="59"/>
    </row>
    <row r="272" spans="9:10">
      <c r="I272" s="59"/>
      <c r="J272" s="59"/>
    </row>
    <row r="273" spans="9:10">
      <c r="I273" s="59"/>
      <c r="J273" s="59"/>
    </row>
    <row r="274" spans="9:10">
      <c r="I274" s="59"/>
      <c r="J274" s="59"/>
    </row>
    <row r="275" spans="9:10">
      <c r="I275" s="59"/>
      <c r="J275" s="59"/>
    </row>
    <row r="276" spans="9:10">
      <c r="I276" s="59"/>
      <c r="J276" s="59"/>
    </row>
    <row r="277" spans="9:10">
      <c r="I277" s="59"/>
      <c r="J277" s="59"/>
    </row>
    <row r="278" spans="9:10">
      <c r="I278" s="59"/>
      <c r="J278" s="59"/>
    </row>
    <row r="279" spans="9:10">
      <c r="I279" s="59"/>
      <c r="J279" s="59"/>
    </row>
    <row r="280" spans="9:10">
      <c r="I280" s="59"/>
      <c r="J280" s="59"/>
    </row>
    <row r="281" spans="9:10">
      <c r="I281" s="59"/>
      <c r="J281" s="59"/>
    </row>
    <row r="282" spans="9:10">
      <c r="I282" s="59"/>
      <c r="J282" s="59"/>
    </row>
    <row r="283" spans="9:10">
      <c r="I283" s="59"/>
      <c r="J283" s="59"/>
    </row>
    <row r="284" spans="9:10">
      <c r="I284" s="59"/>
      <c r="J284" s="59"/>
    </row>
    <row r="285" spans="9:10">
      <c r="I285" s="59"/>
      <c r="J285" s="59"/>
    </row>
    <row r="286" spans="9:10">
      <c r="I286" s="59"/>
      <c r="J286" s="59"/>
    </row>
    <row r="287" spans="9:10">
      <c r="I287" s="59"/>
      <c r="J287" s="59"/>
    </row>
    <row r="288" spans="9:10">
      <c r="I288" s="59"/>
      <c r="J288" s="59"/>
    </row>
    <row r="289" spans="9:10">
      <c r="I289" s="59"/>
      <c r="J289" s="59"/>
    </row>
    <row r="290" spans="9:10">
      <c r="I290" s="59"/>
      <c r="J290" s="59"/>
    </row>
    <row r="291" spans="9:10">
      <c r="I291" s="59"/>
      <c r="J291" s="59"/>
    </row>
    <row r="292" spans="9:10">
      <c r="I292" s="59"/>
      <c r="J292" s="59"/>
    </row>
    <row r="293" spans="9:10">
      <c r="I293" s="59"/>
      <c r="J293" s="59"/>
    </row>
    <row r="294" spans="9:10">
      <c r="I294" s="59"/>
      <c r="J294" s="59"/>
    </row>
    <row r="295" spans="9:10">
      <c r="I295" s="59"/>
      <c r="J295" s="59"/>
    </row>
    <row r="296" spans="9:10">
      <c r="I296" s="59"/>
      <c r="J296" s="59"/>
    </row>
    <row r="297" spans="9:10">
      <c r="I297" s="59"/>
      <c r="J297" s="59"/>
    </row>
    <row r="298" spans="9:10">
      <c r="I298" s="59"/>
      <c r="J298" s="59"/>
    </row>
    <row r="299" spans="9:10">
      <c r="I299" s="59"/>
      <c r="J299" s="59"/>
    </row>
    <row r="300" spans="9:10">
      <c r="I300" s="59"/>
      <c r="J300" s="59"/>
    </row>
    <row r="301" spans="9:10">
      <c r="I301" s="59"/>
      <c r="J301" s="59"/>
    </row>
    <row r="302" spans="9:10">
      <c r="I302" s="59"/>
      <c r="J302" s="59"/>
    </row>
    <row r="303" spans="9:10">
      <c r="I303" s="59"/>
      <c r="J303" s="59"/>
    </row>
    <row r="304" spans="9:10">
      <c r="I304" s="59"/>
      <c r="J304" s="59"/>
    </row>
    <row r="305" spans="9:10">
      <c r="I305" s="59"/>
      <c r="J305" s="59"/>
    </row>
    <row r="306" spans="9:10">
      <c r="I306" s="59"/>
      <c r="J306" s="59"/>
    </row>
    <row r="307" spans="9:10">
      <c r="I307" s="59"/>
      <c r="J307" s="59"/>
    </row>
    <row r="308" spans="9:10">
      <c r="I308" s="59"/>
      <c r="J308" s="59"/>
    </row>
    <row r="309" spans="9:10">
      <c r="I309" s="59"/>
      <c r="J309" s="59"/>
    </row>
    <row r="310" spans="9:10">
      <c r="I310" s="59"/>
      <c r="J310" s="59"/>
    </row>
    <row r="311" spans="9:10">
      <c r="I311" s="59"/>
      <c r="J311" s="59"/>
    </row>
    <row r="312" spans="9:10">
      <c r="I312" s="59"/>
      <c r="J312" s="59"/>
    </row>
    <row r="313" spans="9:10">
      <c r="I313" s="59"/>
      <c r="J313" s="59"/>
    </row>
    <row r="314" spans="9:10">
      <c r="I314" s="59"/>
      <c r="J314" s="59"/>
    </row>
    <row r="315" spans="9:10">
      <c r="I315" s="59"/>
      <c r="J315" s="59"/>
    </row>
    <row r="316" spans="9:10">
      <c r="I316" s="59"/>
      <c r="J316" s="59"/>
    </row>
    <row r="317" spans="9:10">
      <c r="I317" s="59"/>
      <c r="J317" s="59"/>
    </row>
    <row r="318" spans="9:10">
      <c r="I318" s="59"/>
      <c r="J318" s="59"/>
    </row>
    <row r="319" spans="9:10">
      <c r="I319" s="59"/>
      <c r="J319" s="59"/>
    </row>
    <row r="320" spans="9:10">
      <c r="I320" s="59"/>
      <c r="J320" s="59"/>
    </row>
    <row r="321" spans="9:10">
      <c r="I321" s="59"/>
      <c r="J321" s="59"/>
    </row>
    <row r="322" spans="9:10">
      <c r="I322" s="59"/>
      <c r="J322" s="59"/>
    </row>
    <row r="323" spans="9:10">
      <c r="I323" s="59"/>
      <c r="J323" s="59"/>
    </row>
    <row r="324" spans="9:10">
      <c r="I324" s="59"/>
      <c r="J324" s="59"/>
    </row>
    <row r="325" spans="9:10">
      <c r="I325" s="59"/>
      <c r="J325" s="59"/>
    </row>
    <row r="326" spans="9:10">
      <c r="I326" s="59"/>
      <c r="J326" s="59"/>
    </row>
    <row r="327" spans="9:10">
      <c r="I327" s="59"/>
      <c r="J327" s="59"/>
    </row>
    <row r="328" spans="9:10">
      <c r="I328" s="59"/>
      <c r="J328" s="59"/>
    </row>
    <row r="329" spans="9:10">
      <c r="I329" s="59"/>
      <c r="J329" s="59"/>
    </row>
    <row r="330" spans="9:10">
      <c r="I330" s="59"/>
      <c r="J330" s="59"/>
    </row>
    <row r="331" spans="9:10">
      <c r="I331" s="59"/>
      <c r="J331" s="59"/>
    </row>
    <row r="332" spans="9:10">
      <c r="I332" s="59"/>
      <c r="J332" s="59"/>
    </row>
    <row r="333" spans="9:10">
      <c r="I333" s="59"/>
      <c r="J333" s="59"/>
    </row>
    <row r="334" spans="9:10">
      <c r="I334" s="59"/>
      <c r="J334" s="59"/>
    </row>
    <row r="335" spans="9:10">
      <c r="I335" s="59"/>
      <c r="J335" s="59"/>
    </row>
    <row r="336" spans="9:10">
      <c r="I336" s="59"/>
      <c r="J336" s="59"/>
    </row>
    <row r="337" spans="9:10">
      <c r="I337" s="59"/>
      <c r="J337" s="59"/>
    </row>
    <row r="338" spans="9:10">
      <c r="I338" s="59"/>
      <c r="J338" s="59"/>
    </row>
    <row r="339" spans="9:10">
      <c r="I339" s="59"/>
      <c r="J339" s="59"/>
    </row>
    <row r="340" spans="9:10">
      <c r="I340" s="59"/>
      <c r="J340" s="59"/>
    </row>
    <row r="341" spans="9:10">
      <c r="I341" s="59"/>
      <c r="J341" s="59"/>
    </row>
    <row r="342" spans="9:10">
      <c r="I342" s="59"/>
      <c r="J342" s="59"/>
    </row>
    <row r="343" spans="9:10">
      <c r="I343" s="59"/>
      <c r="J343" s="59"/>
    </row>
    <row r="344" spans="9:10">
      <c r="I344" s="59"/>
      <c r="J344" s="59"/>
    </row>
    <row r="345" spans="9:10">
      <c r="I345" s="59"/>
      <c r="J345" s="59"/>
    </row>
    <row r="346" spans="9:10">
      <c r="I346" s="59"/>
      <c r="J346" s="59"/>
    </row>
    <row r="347" spans="9:10">
      <c r="I347" s="59"/>
      <c r="J347" s="59"/>
    </row>
    <row r="348" spans="9:10">
      <c r="I348" s="59"/>
      <c r="J348" s="59"/>
    </row>
    <row r="349" spans="9:10">
      <c r="I349" s="59"/>
      <c r="J349" s="59"/>
    </row>
    <row r="350" spans="9:10">
      <c r="I350" s="59"/>
      <c r="J350" s="59"/>
    </row>
    <row r="351" spans="9:10">
      <c r="I351" s="59"/>
      <c r="J351" s="59"/>
    </row>
    <row r="352" spans="9:10">
      <c r="I352" s="59"/>
      <c r="J352" s="59"/>
    </row>
    <row r="353" spans="9:10">
      <c r="I353" s="59"/>
      <c r="J353" s="59"/>
    </row>
    <row r="354" spans="9:10">
      <c r="I354" s="59"/>
      <c r="J354" s="59"/>
    </row>
    <row r="355" spans="9:10">
      <c r="I355" s="59"/>
      <c r="J355" s="59"/>
    </row>
    <row r="356" spans="9:10">
      <c r="I356" s="59"/>
      <c r="J356" s="59"/>
    </row>
    <row r="357" spans="9:10">
      <c r="I357" s="59"/>
      <c r="J357" s="59"/>
    </row>
    <row r="358" spans="9:10">
      <c r="I358" s="59"/>
      <c r="J358" s="59"/>
    </row>
    <row r="359" spans="9:10">
      <c r="I359" s="59"/>
      <c r="J359" s="59"/>
    </row>
    <row r="360" spans="9:10">
      <c r="I360" s="59"/>
      <c r="J360" s="59"/>
    </row>
    <row r="361" spans="9:10">
      <c r="I361" s="59"/>
      <c r="J361" s="59"/>
    </row>
    <row r="362" spans="9:10">
      <c r="I362" s="59"/>
      <c r="J362" s="59"/>
    </row>
    <row r="363" spans="9:10">
      <c r="I363" s="59"/>
      <c r="J363" s="59"/>
    </row>
    <row r="364" spans="9:10">
      <c r="I364" s="59"/>
      <c r="J364" s="59"/>
    </row>
    <row r="365" spans="9:10">
      <c r="I365" s="59"/>
      <c r="J365" s="59"/>
    </row>
    <row r="366" spans="9:10">
      <c r="I366" s="59"/>
      <c r="J366" s="59"/>
    </row>
    <row r="367" spans="9:10">
      <c r="I367" s="59"/>
      <c r="J367" s="59"/>
    </row>
    <row r="368" spans="9:10">
      <c r="I368" s="59"/>
      <c r="J368" s="59"/>
    </row>
    <row r="369" spans="9:10">
      <c r="I369" s="59"/>
      <c r="J369" s="59"/>
    </row>
    <row r="370" spans="9:10">
      <c r="I370" s="59"/>
      <c r="J370" s="59"/>
    </row>
    <row r="371" spans="9:10">
      <c r="I371" s="59"/>
      <c r="J371" s="59"/>
    </row>
    <row r="372" spans="9:10">
      <c r="I372" s="59"/>
      <c r="J372" s="59"/>
    </row>
    <row r="373" spans="9:10">
      <c r="I373" s="59"/>
      <c r="J373" s="59"/>
    </row>
    <row r="374" spans="9:10">
      <c r="I374" s="59"/>
      <c r="J374" s="59"/>
    </row>
    <row r="375" spans="9:10">
      <c r="I375" s="59"/>
      <c r="J375" s="59"/>
    </row>
    <row r="376" spans="9:10">
      <c r="I376" s="59"/>
      <c r="J376" s="59"/>
    </row>
    <row r="377" spans="9:10">
      <c r="I377" s="59"/>
      <c r="J377" s="59"/>
    </row>
    <row r="378" spans="9:10">
      <c r="I378" s="59"/>
      <c r="J378" s="59"/>
    </row>
    <row r="379" spans="9:10">
      <c r="I379" s="59"/>
      <c r="J379" s="59"/>
    </row>
    <row r="380" spans="9:10">
      <c r="I380" s="59"/>
      <c r="J380" s="59"/>
    </row>
    <row r="381" spans="9:10">
      <c r="I381" s="59"/>
      <c r="J381" s="59"/>
    </row>
    <row r="382" spans="9:10">
      <c r="I382" s="59"/>
      <c r="J382" s="59"/>
    </row>
    <row r="383" spans="9:10">
      <c r="I383" s="59"/>
      <c r="J383" s="59"/>
    </row>
    <row r="384" spans="9:10">
      <c r="I384" s="59"/>
      <c r="J384" s="59"/>
    </row>
    <row r="385" spans="9:10">
      <c r="I385" s="59"/>
      <c r="J385" s="59"/>
    </row>
    <row r="386" spans="9:10">
      <c r="I386" s="59"/>
      <c r="J386" s="59"/>
    </row>
    <row r="387" spans="9:10">
      <c r="I387" s="59"/>
      <c r="J387" s="59"/>
    </row>
    <row r="388" spans="9:10">
      <c r="I388" s="59"/>
      <c r="J388" s="59"/>
    </row>
    <row r="389" spans="9:10">
      <c r="I389" s="59"/>
      <c r="J389" s="59"/>
    </row>
    <row r="390" spans="9:10">
      <c r="I390" s="59"/>
      <c r="J390" s="59"/>
    </row>
    <row r="391" spans="9:10">
      <c r="I391" s="59"/>
      <c r="J391" s="59"/>
    </row>
    <row r="392" spans="9:10">
      <c r="I392" s="59"/>
      <c r="J392" s="59"/>
    </row>
    <row r="393" spans="9:10">
      <c r="I393" s="59"/>
      <c r="J393" s="59"/>
    </row>
    <row r="394" spans="9:10">
      <c r="I394" s="59"/>
      <c r="J394" s="59"/>
    </row>
    <row r="395" spans="9:10">
      <c r="I395" s="59"/>
      <c r="J395" s="59"/>
    </row>
    <row r="396" spans="9:10">
      <c r="I396" s="59"/>
      <c r="J396" s="59"/>
    </row>
    <row r="397" spans="9:10">
      <c r="I397" s="59"/>
      <c r="J397" s="59"/>
    </row>
    <row r="398" spans="9:10">
      <c r="I398" s="59"/>
      <c r="J398" s="59"/>
    </row>
    <row r="399" spans="9:10">
      <c r="I399" s="59"/>
      <c r="J399" s="59"/>
    </row>
    <row r="400" spans="9:10">
      <c r="I400" s="59"/>
      <c r="J400" s="59"/>
    </row>
    <row r="401" spans="9:10">
      <c r="I401" s="59"/>
      <c r="J401" s="59"/>
    </row>
    <row r="402" spans="9:10">
      <c r="I402" s="59"/>
      <c r="J402" s="59"/>
    </row>
    <row r="403" spans="9:10">
      <c r="I403" s="59"/>
      <c r="J403" s="59"/>
    </row>
    <row r="404" spans="9:10">
      <c r="I404" s="59"/>
      <c r="J404" s="59"/>
    </row>
    <row r="405" spans="9:10">
      <c r="I405" s="59"/>
      <c r="J405" s="59"/>
    </row>
    <row r="406" spans="9:10">
      <c r="I406" s="59"/>
      <c r="J406" s="59"/>
    </row>
    <row r="407" spans="9:10">
      <c r="I407" s="59"/>
      <c r="J407" s="59"/>
    </row>
    <row r="408" spans="9:10">
      <c r="I408" s="59"/>
      <c r="J408" s="59"/>
    </row>
    <row r="409" spans="9:10">
      <c r="I409" s="59"/>
      <c r="J409" s="59"/>
    </row>
    <row r="410" spans="9:10">
      <c r="I410" s="59"/>
      <c r="J410" s="59"/>
    </row>
    <row r="411" spans="9:10">
      <c r="I411" s="59"/>
      <c r="J411" s="59"/>
    </row>
    <row r="412" spans="9:10">
      <c r="I412" s="59"/>
      <c r="J412" s="59"/>
    </row>
    <row r="413" spans="9:10">
      <c r="I413" s="59"/>
      <c r="J413" s="59"/>
    </row>
    <row r="414" spans="9:10">
      <c r="I414" s="59"/>
      <c r="J414" s="59"/>
    </row>
    <row r="415" spans="9:10">
      <c r="I415" s="59"/>
      <c r="J415" s="59"/>
    </row>
    <row r="416" spans="9:10">
      <c r="I416" s="59"/>
      <c r="J416" s="59"/>
    </row>
    <row r="417" spans="9:10">
      <c r="I417" s="59"/>
      <c r="J417" s="59"/>
    </row>
    <row r="418" spans="9:10">
      <c r="I418" s="59"/>
      <c r="J418" s="59"/>
    </row>
    <row r="419" spans="9:10">
      <c r="I419" s="59"/>
      <c r="J419" s="59"/>
    </row>
    <row r="420" spans="9:10">
      <c r="I420" s="59"/>
      <c r="J420" s="59"/>
    </row>
    <row r="421" spans="9:10">
      <c r="I421" s="59"/>
      <c r="J421" s="59"/>
    </row>
    <row r="422" spans="9:10">
      <c r="I422" s="59"/>
      <c r="J422" s="59"/>
    </row>
    <row r="423" spans="9:10">
      <c r="I423" s="59"/>
      <c r="J423" s="59"/>
    </row>
    <row r="424" spans="9:10">
      <c r="I424" s="59"/>
      <c r="J424" s="59"/>
    </row>
    <row r="425" spans="9:10">
      <c r="I425" s="59"/>
      <c r="J425" s="59"/>
    </row>
    <row r="426" spans="9:10">
      <c r="I426" s="59"/>
      <c r="J426" s="59"/>
    </row>
    <row r="427" spans="9:10">
      <c r="I427" s="59"/>
      <c r="J427" s="59"/>
    </row>
    <row r="428" spans="9:10">
      <c r="I428" s="59"/>
      <c r="J428" s="59"/>
    </row>
    <row r="429" spans="9:10">
      <c r="I429" s="59"/>
      <c r="J429" s="59"/>
    </row>
    <row r="430" spans="9:10">
      <c r="I430" s="59"/>
      <c r="J430" s="59"/>
    </row>
    <row r="431" spans="9:10">
      <c r="I431" s="59"/>
      <c r="J431" s="59"/>
    </row>
    <row r="432" spans="9:10">
      <c r="I432" s="59"/>
      <c r="J432" s="59"/>
    </row>
    <row r="433" spans="9:10">
      <c r="I433" s="59"/>
      <c r="J433" s="59"/>
    </row>
    <row r="434" spans="9:10">
      <c r="I434" s="59"/>
      <c r="J434" s="59"/>
    </row>
    <row r="435" spans="9:10">
      <c r="I435" s="59"/>
      <c r="J435" s="59"/>
    </row>
    <row r="436" spans="9:10">
      <c r="I436" s="59"/>
      <c r="J436" s="59"/>
    </row>
    <row r="437" spans="9:10">
      <c r="I437" s="59"/>
      <c r="J437" s="59"/>
    </row>
    <row r="438" spans="9:10">
      <c r="I438" s="59"/>
      <c r="J438" s="59"/>
    </row>
    <row r="439" spans="9:10">
      <c r="I439" s="59"/>
      <c r="J439" s="59"/>
    </row>
    <row r="440" spans="9:10">
      <c r="I440" s="59"/>
      <c r="J440" s="59"/>
    </row>
    <row r="441" spans="9:10">
      <c r="I441" s="59"/>
      <c r="J441" s="59"/>
    </row>
    <row r="442" spans="9:10">
      <c r="I442" s="59"/>
      <c r="J442" s="59"/>
    </row>
    <row r="443" spans="9:10">
      <c r="I443" s="59"/>
      <c r="J443" s="59"/>
    </row>
    <row r="444" spans="9:10">
      <c r="I444" s="59"/>
      <c r="J444" s="59"/>
    </row>
    <row r="445" spans="9:10">
      <c r="I445" s="59"/>
      <c r="J445" s="59"/>
    </row>
    <row r="446" spans="9:10">
      <c r="I446" s="59"/>
      <c r="J446" s="59"/>
    </row>
    <row r="447" spans="9:10">
      <c r="I447" s="59"/>
      <c r="J447" s="59"/>
    </row>
    <row r="448" spans="9:10">
      <c r="I448" s="59"/>
      <c r="J448" s="59"/>
    </row>
    <row r="449" spans="9:10">
      <c r="I449" s="59"/>
      <c r="J449" s="59"/>
    </row>
    <row r="450" spans="9:10">
      <c r="I450" s="59"/>
      <c r="J450" s="59"/>
    </row>
    <row r="451" spans="9:10">
      <c r="I451" s="59"/>
      <c r="J451" s="59"/>
    </row>
    <row r="452" spans="9:10">
      <c r="I452" s="59"/>
      <c r="J452" s="59"/>
    </row>
    <row r="453" spans="9:10">
      <c r="I453" s="59"/>
      <c r="J453" s="59"/>
    </row>
    <row r="454" spans="9:10">
      <c r="I454" s="59"/>
      <c r="J454" s="59"/>
    </row>
    <row r="455" spans="9:10">
      <c r="I455" s="59"/>
      <c r="J455" s="59"/>
    </row>
    <row r="456" spans="9:10">
      <c r="I456" s="59"/>
      <c r="J456" s="59"/>
    </row>
    <row r="457" spans="9:10">
      <c r="I457" s="59"/>
      <c r="J457" s="59"/>
    </row>
    <row r="458" spans="9:10">
      <c r="I458" s="59"/>
      <c r="J458" s="59"/>
    </row>
    <row r="459" spans="9:10">
      <c r="I459" s="59"/>
      <c r="J459" s="59"/>
    </row>
    <row r="460" spans="9:10">
      <c r="I460" s="59"/>
      <c r="J460" s="59"/>
    </row>
    <row r="461" spans="9:10">
      <c r="I461" s="59"/>
      <c r="J461" s="59"/>
    </row>
    <row r="462" spans="9:10">
      <c r="I462" s="59"/>
      <c r="J462" s="59"/>
    </row>
    <row r="463" spans="9:10">
      <c r="I463" s="59"/>
      <c r="J463" s="59"/>
    </row>
    <row r="464" spans="9:10">
      <c r="I464" s="59"/>
      <c r="J464" s="59"/>
    </row>
    <row r="465" spans="9:10">
      <c r="I465" s="59"/>
      <c r="J465" s="59"/>
    </row>
    <row r="466" spans="9:10">
      <c r="I466" s="59"/>
      <c r="J466" s="59"/>
    </row>
    <row r="467" spans="9:10">
      <c r="I467" s="59"/>
      <c r="J467" s="59"/>
    </row>
    <row r="468" spans="9:10">
      <c r="I468" s="59"/>
      <c r="J468" s="59"/>
    </row>
    <row r="469" spans="9:10">
      <c r="I469" s="59"/>
      <c r="J469" s="59"/>
    </row>
    <row r="470" spans="9:10">
      <c r="I470" s="59"/>
      <c r="J470" s="59"/>
    </row>
    <row r="471" spans="9:10">
      <c r="I471" s="59"/>
      <c r="J471" s="59"/>
    </row>
    <row r="472" spans="9:10">
      <c r="I472" s="59"/>
      <c r="J472" s="59"/>
    </row>
    <row r="473" spans="9:10">
      <c r="I473" s="59"/>
      <c r="J473" s="59"/>
    </row>
    <row r="474" spans="9:10">
      <c r="I474" s="59"/>
      <c r="J474" s="59"/>
    </row>
    <row r="475" spans="9:10">
      <c r="I475" s="59"/>
      <c r="J475" s="59"/>
    </row>
    <row r="476" spans="9:10">
      <c r="I476" s="59"/>
      <c r="J476" s="59"/>
    </row>
    <row r="477" spans="9:10">
      <c r="I477" s="59"/>
      <c r="J477" s="59"/>
    </row>
    <row r="478" spans="9:10">
      <c r="I478" s="59"/>
      <c r="J478" s="59"/>
    </row>
    <row r="479" spans="9:10">
      <c r="I479" s="59"/>
      <c r="J479" s="59"/>
    </row>
    <row r="480" spans="9:10">
      <c r="I480" s="59"/>
      <c r="J480" s="59"/>
    </row>
    <row r="481" spans="9:10">
      <c r="I481" s="59"/>
      <c r="J481" s="59"/>
    </row>
    <row r="482" spans="9:10">
      <c r="I482" s="59"/>
      <c r="J482" s="59"/>
    </row>
    <row r="483" spans="9:10">
      <c r="I483" s="59"/>
      <c r="J483" s="59"/>
    </row>
    <row r="484" spans="9:10">
      <c r="I484" s="59"/>
      <c r="J484" s="59"/>
    </row>
    <row r="485" spans="9:10">
      <c r="I485" s="59"/>
      <c r="J485" s="59"/>
    </row>
    <row r="486" spans="9:10">
      <c r="I486" s="59"/>
      <c r="J486" s="59"/>
    </row>
    <row r="487" spans="9:10">
      <c r="I487" s="59"/>
      <c r="J487" s="59"/>
    </row>
    <row r="488" spans="9:10">
      <c r="I488" s="59"/>
      <c r="J488" s="59"/>
    </row>
    <row r="489" spans="9:10">
      <c r="I489" s="59"/>
      <c r="J489" s="59"/>
    </row>
    <row r="490" spans="9:10">
      <c r="I490" s="59"/>
      <c r="J490" s="59"/>
    </row>
    <row r="491" spans="9:10">
      <c r="I491" s="59"/>
      <c r="J491" s="59"/>
    </row>
    <row r="492" spans="9:10">
      <c r="I492" s="59"/>
      <c r="J492" s="59"/>
    </row>
    <row r="493" spans="9:10">
      <c r="I493" s="59"/>
      <c r="J493" s="59"/>
    </row>
    <row r="494" spans="9:10">
      <c r="I494" s="59"/>
      <c r="J494" s="59"/>
    </row>
    <row r="495" spans="9:10">
      <c r="I495" s="59"/>
      <c r="J495" s="59"/>
    </row>
    <row r="496" spans="9:10">
      <c r="I496" s="59"/>
      <c r="J496" s="59"/>
    </row>
    <row r="497" spans="9:10">
      <c r="I497" s="59"/>
      <c r="J497" s="59"/>
    </row>
    <row r="498" spans="9:10">
      <c r="I498" s="59"/>
      <c r="J498" s="59"/>
    </row>
    <row r="499" spans="9:10">
      <c r="I499" s="59"/>
      <c r="J499" s="59"/>
    </row>
    <row r="500" spans="9:10">
      <c r="I500" s="59"/>
      <c r="J500" s="59"/>
    </row>
  </sheetData>
  <mergeCells count="2">
    <mergeCell ref="A1:P1"/>
    <mergeCell ref="A2:P2"/>
  </mergeCells>
  <conditionalFormatting sqref="G5:G57">
    <cfRule type="cellIs" dxfId="782" priority="3" operator="equal">
      <formula>"Crítica"</formula>
    </cfRule>
  </conditionalFormatting>
  <conditionalFormatting sqref="P5:P57">
    <cfRule type="cellIs" dxfId="781" priority="1" operator="equal">
      <formula>"Vencido"</formula>
    </cfRule>
    <cfRule type="cellIs" dxfId="780" priority="2" operator="equal">
      <formula>"Próximo"</formula>
    </cfRule>
  </conditionalFormatting>
  <dataValidations count="2">
    <dataValidation type="list" allowBlank="1" sqref="G5:G500" xr:uid="{00000000-0002-0000-2500-000000000000}">
      <formula1>"Crítica,Alta,Media,Baja"</formula1>
    </dataValidation>
    <dataValidation type="list" allowBlank="1" sqref="H5:H500" xr:uid="{00000000-0002-0000-2500-000001000000}">
      <formula1>"Pendiente,Activo,Seguimiento,Registrado,Cerrado,Vencido"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500"/>
  <sheetViews>
    <sheetView showGridLines="0" workbookViewId="0"/>
  </sheetViews>
  <sheetFormatPr baseColWidth="10" defaultColWidth="8.7265625" defaultRowHeight="14.5"/>
  <cols>
    <col min="1" max="1" width="14" customWidth="1"/>
    <col min="2" max="2" width="18" customWidth="1"/>
    <col min="3" max="5" width="12" customWidth="1"/>
    <col min="6" max="6" width="10" customWidth="1"/>
    <col min="7" max="7" width="18" customWidth="1"/>
    <col min="8" max="8" width="10" customWidth="1"/>
    <col min="9" max="10" width="12" customWidth="1"/>
    <col min="11" max="11" width="22" customWidth="1"/>
    <col min="12" max="12" width="12" customWidth="1"/>
    <col min="13" max="13" width="20" customWidth="1"/>
    <col min="14" max="14" width="35" customWidth="1"/>
    <col min="15" max="15" width="14" customWidth="1"/>
    <col min="16" max="16" width="36" customWidth="1"/>
  </cols>
  <sheetData>
    <row r="1" spans="1:16" ht="24" customHeight="1">
      <c r="A1" s="474" t="s">
        <v>2083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3"/>
    </row>
    <row r="2" spans="1:16" ht="20" customHeight="1">
      <c r="A2" s="477" t="s">
        <v>2084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3"/>
    </row>
    <row r="4" spans="1:16" ht="29" customHeight="1">
      <c r="A4" s="273" t="s">
        <v>13</v>
      </c>
      <c r="B4" s="273" t="s">
        <v>1927</v>
      </c>
      <c r="C4" s="273" t="s">
        <v>2085</v>
      </c>
      <c r="D4" s="273" t="s">
        <v>2086</v>
      </c>
      <c r="E4" s="273" t="s">
        <v>2087</v>
      </c>
      <c r="F4" s="273" t="s">
        <v>2088</v>
      </c>
      <c r="G4" s="273" t="s">
        <v>2089</v>
      </c>
      <c r="H4" s="273" t="s">
        <v>1238</v>
      </c>
      <c r="I4" s="273" t="s">
        <v>2090</v>
      </c>
      <c r="J4" s="273" t="s">
        <v>2091</v>
      </c>
      <c r="K4" s="273" t="s">
        <v>1920</v>
      </c>
      <c r="L4" s="273" t="s">
        <v>2092</v>
      </c>
      <c r="M4" s="273" t="s">
        <v>2093</v>
      </c>
      <c r="N4" s="273" t="s">
        <v>1934</v>
      </c>
      <c r="O4" s="273" t="s">
        <v>2094</v>
      </c>
      <c r="P4" s="273" t="s">
        <v>1303</v>
      </c>
    </row>
    <row r="5" spans="1:16">
      <c r="A5" s="274">
        <v>46191</v>
      </c>
      <c r="B5" s="270" t="s">
        <v>1936</v>
      </c>
      <c r="C5" s="270" t="s">
        <v>324</v>
      </c>
      <c r="D5" s="270">
        <v>158</v>
      </c>
      <c r="E5" s="270">
        <v>101</v>
      </c>
      <c r="F5" s="270">
        <v>68</v>
      </c>
      <c r="G5" s="270" t="s">
        <v>58</v>
      </c>
      <c r="H5" s="270"/>
      <c r="I5" s="270"/>
      <c r="J5" s="270"/>
      <c r="K5" s="270"/>
      <c r="L5" s="270" t="s">
        <v>2095</v>
      </c>
      <c r="M5" s="270" t="s">
        <v>1272</v>
      </c>
      <c r="N5" s="270" t="str">
        <f>IF(C5="","Sin dato",IF(OR(C5&gt;=140,D5&gt;=90),"Alto",IF(OR(C5&gt;=130,D5&gt;=80),"Vigilar","Controlado")))</f>
        <v>Alto</v>
      </c>
      <c r="O5" s="270"/>
      <c r="P5" s="270"/>
    </row>
    <row r="6" spans="1:16">
      <c r="A6" s="275">
        <v>46165</v>
      </c>
      <c r="B6" s="272" t="s">
        <v>1936</v>
      </c>
      <c r="C6" s="272" t="s">
        <v>2096</v>
      </c>
      <c r="D6" s="272">
        <v>122</v>
      </c>
      <c r="E6" s="272">
        <v>83</v>
      </c>
      <c r="F6" s="272">
        <v>64</v>
      </c>
      <c r="G6" s="272" t="s">
        <v>58</v>
      </c>
      <c r="H6" s="272"/>
      <c r="I6" s="272"/>
      <c r="J6" s="272"/>
      <c r="K6" s="272"/>
      <c r="L6" s="272"/>
      <c r="M6" s="272"/>
      <c r="N6" s="272" t="s">
        <v>2097</v>
      </c>
      <c r="O6" s="272"/>
      <c r="P6" s="272"/>
    </row>
    <row r="7" spans="1:16">
      <c r="A7" s="274">
        <v>46165</v>
      </c>
      <c r="B7" s="270" t="s">
        <v>1936</v>
      </c>
      <c r="C7" s="270" t="s">
        <v>2098</v>
      </c>
      <c r="D7" s="270">
        <v>136</v>
      </c>
      <c r="E7" s="270">
        <v>94</v>
      </c>
      <c r="F7" s="270">
        <v>64</v>
      </c>
      <c r="G7" s="270" t="s">
        <v>87</v>
      </c>
      <c r="H7" s="270"/>
      <c r="I7" s="270"/>
      <c r="J7" s="270"/>
      <c r="K7" s="270"/>
      <c r="L7" s="270"/>
      <c r="M7" s="270"/>
      <c r="N7" s="270" t="s">
        <v>2097</v>
      </c>
      <c r="O7" s="270"/>
      <c r="P7" s="270"/>
    </row>
    <row r="8" spans="1:16">
      <c r="A8" s="275">
        <v>46166</v>
      </c>
      <c r="B8" s="272" t="s">
        <v>1936</v>
      </c>
      <c r="C8" s="272" t="s">
        <v>2096</v>
      </c>
      <c r="D8" s="272">
        <v>155</v>
      </c>
      <c r="E8" s="272">
        <v>92</v>
      </c>
      <c r="F8" s="272">
        <v>62</v>
      </c>
      <c r="G8" s="272" t="s">
        <v>58</v>
      </c>
      <c r="H8" s="272"/>
      <c r="I8" s="272"/>
      <c r="J8" s="272"/>
      <c r="K8" s="272"/>
      <c r="L8" s="272"/>
      <c r="M8" s="272"/>
      <c r="N8" s="272" t="s">
        <v>2097</v>
      </c>
      <c r="O8" s="272"/>
      <c r="P8" s="272"/>
    </row>
    <row r="9" spans="1:16">
      <c r="A9" s="274">
        <v>46166</v>
      </c>
      <c r="B9" s="270" t="s">
        <v>1936</v>
      </c>
      <c r="C9" s="270" t="s">
        <v>2098</v>
      </c>
      <c r="D9" s="270">
        <v>115</v>
      </c>
      <c r="E9" s="270">
        <v>94</v>
      </c>
      <c r="F9" s="270">
        <v>64</v>
      </c>
      <c r="G9" s="270" t="s">
        <v>87</v>
      </c>
      <c r="H9" s="270"/>
      <c r="I9" s="270"/>
      <c r="J9" s="270"/>
      <c r="K9" s="270"/>
      <c r="L9" s="270"/>
      <c r="M9" s="270"/>
      <c r="N9" s="270" t="s">
        <v>2097</v>
      </c>
      <c r="O9" s="270"/>
      <c r="P9" s="270"/>
    </row>
    <row r="10" spans="1:16">
      <c r="A10" s="275">
        <v>46167</v>
      </c>
      <c r="B10" s="272" t="s">
        <v>1936</v>
      </c>
      <c r="C10" s="272" t="s">
        <v>2096</v>
      </c>
      <c r="D10" s="272">
        <v>145</v>
      </c>
      <c r="E10" s="272">
        <v>92</v>
      </c>
      <c r="F10" s="272">
        <v>62</v>
      </c>
      <c r="G10" s="272" t="s">
        <v>58</v>
      </c>
      <c r="H10" s="272"/>
      <c r="I10" s="272"/>
      <c r="J10" s="272"/>
      <c r="K10" s="272"/>
      <c r="L10" s="272"/>
      <c r="M10" s="272"/>
      <c r="N10" s="272" t="s">
        <v>2097</v>
      </c>
      <c r="O10" s="272"/>
      <c r="P10" s="272"/>
    </row>
    <row r="11" spans="1:16">
      <c r="A11" s="274">
        <v>46167</v>
      </c>
      <c r="B11" s="270" t="s">
        <v>1936</v>
      </c>
      <c r="C11" s="270" t="s">
        <v>2098</v>
      </c>
      <c r="D11" s="270">
        <v>115</v>
      </c>
      <c r="E11" s="270">
        <v>79</v>
      </c>
      <c r="F11" s="270">
        <v>71</v>
      </c>
      <c r="G11" s="270" t="s">
        <v>87</v>
      </c>
      <c r="H11" s="270"/>
      <c r="I11" s="270"/>
      <c r="J11" s="270"/>
      <c r="K11" s="270"/>
      <c r="L11" s="270"/>
      <c r="M11" s="270"/>
      <c r="N11" s="270" t="s">
        <v>2097</v>
      </c>
      <c r="O11" s="270"/>
      <c r="P11" s="270"/>
    </row>
    <row r="12" spans="1:16">
      <c r="A12" s="275">
        <v>46168</v>
      </c>
      <c r="B12" s="272" t="s">
        <v>1936</v>
      </c>
      <c r="C12" s="272" t="s">
        <v>2096</v>
      </c>
      <c r="D12" s="272">
        <v>123</v>
      </c>
      <c r="E12" s="272">
        <v>81</v>
      </c>
      <c r="F12" s="272">
        <v>65</v>
      </c>
      <c r="G12" s="272" t="s">
        <v>58</v>
      </c>
      <c r="H12" s="272"/>
      <c r="I12" s="272"/>
      <c r="J12" s="272"/>
      <c r="K12" s="272"/>
      <c r="L12" s="272"/>
      <c r="M12" s="272"/>
      <c r="N12" s="272" t="s">
        <v>2097</v>
      </c>
      <c r="O12" s="272"/>
      <c r="P12" s="272"/>
    </row>
    <row r="13" spans="1:16">
      <c r="A13" s="274">
        <v>46168</v>
      </c>
      <c r="B13" s="270" t="s">
        <v>1936</v>
      </c>
      <c r="C13" s="270" t="s">
        <v>2098</v>
      </c>
      <c r="D13" s="270">
        <v>129</v>
      </c>
      <c r="E13" s="270">
        <v>86</v>
      </c>
      <c r="F13" s="270">
        <v>64</v>
      </c>
      <c r="G13" s="270" t="s">
        <v>87</v>
      </c>
      <c r="H13" s="270"/>
      <c r="I13" s="270"/>
      <c r="J13" s="270"/>
      <c r="K13" s="270"/>
      <c r="L13" s="270"/>
      <c r="M13" s="270"/>
      <c r="N13" s="270" t="s">
        <v>2097</v>
      </c>
      <c r="O13" s="270"/>
      <c r="P13" s="270"/>
    </row>
    <row r="14" spans="1:16">
      <c r="A14" s="275">
        <v>46169</v>
      </c>
      <c r="B14" s="272" t="s">
        <v>1936</v>
      </c>
      <c r="C14" s="272" t="s">
        <v>2096</v>
      </c>
      <c r="D14" s="272">
        <v>136</v>
      </c>
      <c r="E14" s="272">
        <v>91</v>
      </c>
      <c r="F14" s="272">
        <v>64</v>
      </c>
      <c r="G14" s="272" t="s">
        <v>58</v>
      </c>
      <c r="H14" s="272"/>
      <c r="I14" s="272"/>
      <c r="J14" s="272"/>
      <c r="K14" s="272"/>
      <c r="L14" s="272"/>
      <c r="M14" s="272"/>
      <c r="N14" s="272" t="s">
        <v>2097</v>
      </c>
      <c r="O14" s="272"/>
      <c r="P14" s="272"/>
    </row>
    <row r="15" spans="1:16">
      <c r="A15" s="274">
        <v>46169</v>
      </c>
      <c r="B15" s="270" t="s">
        <v>1936</v>
      </c>
      <c r="C15" s="270" t="s">
        <v>2098</v>
      </c>
      <c r="D15" s="270">
        <v>147</v>
      </c>
      <c r="E15" s="270">
        <v>97</v>
      </c>
      <c r="F15" s="270">
        <v>66</v>
      </c>
      <c r="G15" s="270" t="s">
        <v>87</v>
      </c>
      <c r="H15" s="270"/>
      <c r="I15" s="270"/>
      <c r="J15" s="270"/>
      <c r="K15" s="270"/>
      <c r="L15" s="270"/>
      <c r="M15" s="270"/>
      <c r="N15" s="270" t="s">
        <v>2097</v>
      </c>
      <c r="O15" s="270"/>
      <c r="P15" s="270"/>
    </row>
    <row r="16" spans="1:16">
      <c r="A16" s="275">
        <v>46170</v>
      </c>
      <c r="B16" s="272" t="s">
        <v>1936</v>
      </c>
      <c r="C16" s="272" t="s">
        <v>2096</v>
      </c>
      <c r="D16" s="272">
        <v>140</v>
      </c>
      <c r="E16" s="272">
        <v>94</v>
      </c>
      <c r="F16" s="272">
        <v>65</v>
      </c>
      <c r="G16" s="272" t="s">
        <v>58</v>
      </c>
      <c r="H16" s="272"/>
      <c r="I16" s="272"/>
      <c r="J16" s="272"/>
      <c r="K16" s="272"/>
      <c r="L16" s="272"/>
      <c r="M16" s="272"/>
      <c r="N16" s="272" t="s">
        <v>2097</v>
      </c>
      <c r="O16" s="272"/>
      <c r="P16" s="272"/>
    </row>
    <row r="17" spans="1:16">
      <c r="A17" s="274">
        <v>46170</v>
      </c>
      <c r="B17" s="270" t="s">
        <v>1936</v>
      </c>
      <c r="C17" s="270" t="s">
        <v>2098</v>
      </c>
      <c r="D17" s="270">
        <v>144</v>
      </c>
      <c r="E17" s="270">
        <v>102</v>
      </c>
      <c r="F17" s="270">
        <v>67</v>
      </c>
      <c r="G17" s="270" t="s">
        <v>87</v>
      </c>
      <c r="H17" s="270"/>
      <c r="I17" s="270"/>
      <c r="J17" s="270"/>
      <c r="K17" s="270"/>
      <c r="L17" s="270"/>
      <c r="M17" s="270"/>
      <c r="N17" s="270" t="s">
        <v>2097</v>
      </c>
      <c r="O17" s="270"/>
      <c r="P17" s="270"/>
    </row>
    <row r="18" spans="1:16">
      <c r="A18" s="275">
        <v>46171</v>
      </c>
      <c r="B18" s="272" t="s">
        <v>1936</v>
      </c>
      <c r="C18" s="272" t="s">
        <v>2096</v>
      </c>
      <c r="D18" s="272">
        <v>129</v>
      </c>
      <c r="E18" s="272">
        <v>89</v>
      </c>
      <c r="F18" s="272">
        <v>61</v>
      </c>
      <c r="G18" s="272" t="s">
        <v>58</v>
      </c>
      <c r="H18" s="272"/>
      <c r="I18" s="272"/>
      <c r="J18" s="272"/>
      <c r="K18" s="272"/>
      <c r="L18" s="272"/>
      <c r="M18" s="272"/>
      <c r="N18" s="272" t="s">
        <v>2097</v>
      </c>
      <c r="O18" s="272"/>
      <c r="P18" s="272"/>
    </row>
    <row r="19" spans="1:16">
      <c r="A19" s="274">
        <v>46171</v>
      </c>
      <c r="B19" s="270" t="s">
        <v>1936</v>
      </c>
      <c r="C19" s="270" t="s">
        <v>2098</v>
      </c>
      <c r="D19" s="270">
        <v>130</v>
      </c>
      <c r="E19" s="270">
        <v>78</v>
      </c>
      <c r="F19" s="270">
        <v>77</v>
      </c>
      <c r="G19" s="270" t="s">
        <v>87</v>
      </c>
      <c r="H19" s="270"/>
      <c r="I19" s="270"/>
      <c r="J19" s="270"/>
      <c r="K19" s="270"/>
      <c r="L19" s="270"/>
      <c r="M19" s="270"/>
      <c r="N19" s="270" t="s">
        <v>2097</v>
      </c>
      <c r="O19" s="270"/>
      <c r="P19" s="270"/>
    </row>
    <row r="20" spans="1:16">
      <c r="A20" s="275" t="str">
        <f>IFERROR(AVERAGE(M5:M11),"")</f>
        <v/>
      </c>
      <c r="B20" s="272" t="s">
        <v>1936</v>
      </c>
      <c r="C20" s="272" t="s">
        <v>2096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 t="s">
        <v>2097</v>
      </c>
      <c r="O20" s="272"/>
      <c r="P20" s="272"/>
    </row>
    <row r="21" spans="1:16">
      <c r="A21" s="274" t="str">
        <f>IFERROR(AVERAGE(M5:M11),"")</f>
        <v/>
      </c>
      <c r="B21" s="270" t="s">
        <v>1936</v>
      </c>
      <c r="C21" s="270" t="s">
        <v>2098</v>
      </c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 t="s">
        <v>2097</v>
      </c>
      <c r="O21" s="270"/>
      <c r="P21" s="270"/>
    </row>
    <row r="22" spans="1:16">
      <c r="A22" s="275" t="str">
        <f>IFERROR(AVERAGE(N5:N11),"")</f>
        <v/>
      </c>
      <c r="B22" s="272" t="s">
        <v>1936</v>
      </c>
      <c r="C22" s="272" t="s">
        <v>2096</v>
      </c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 t="s">
        <v>2097</v>
      </c>
      <c r="O22" s="272"/>
      <c r="P22" s="272"/>
    </row>
    <row r="23" spans="1:16">
      <c r="A23" s="274" t="str">
        <f>IFERROR(AVERAGE(N5:N11),"")</f>
        <v/>
      </c>
      <c r="B23" s="270" t="s">
        <v>1936</v>
      </c>
      <c r="C23" s="270" t="s">
        <v>2098</v>
      </c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 t="s">
        <v>2097</v>
      </c>
      <c r="O23" s="270"/>
      <c r="P23" s="270"/>
    </row>
    <row r="24" spans="1:16">
      <c r="A24" s="275">
        <f>IFERROR(MAX(D5:D11,I5:I11),"")</f>
        <v>158</v>
      </c>
      <c r="B24" s="272" t="s">
        <v>1936</v>
      </c>
      <c r="C24" s="272" t="s">
        <v>2096</v>
      </c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 t="s">
        <v>2097</v>
      </c>
      <c r="O24" s="272"/>
      <c r="P24" s="272"/>
    </row>
    <row r="25" spans="1:16">
      <c r="A25" s="274">
        <f>IFERROR(MAX(D5:D11,I5:I11),"")</f>
        <v>158</v>
      </c>
      <c r="B25" s="270" t="s">
        <v>1936</v>
      </c>
      <c r="C25" s="270" t="s">
        <v>2098</v>
      </c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 t="s">
        <v>2097</v>
      </c>
      <c r="O25" s="270"/>
      <c r="P25" s="270"/>
    </row>
    <row r="26" spans="1:16">
      <c r="A26" s="275">
        <f>IFERROR(MAX(E5:E11,J5:J11),"")</f>
        <v>101</v>
      </c>
      <c r="B26" s="272" t="s">
        <v>1936</v>
      </c>
      <c r="C26" s="272" t="s">
        <v>2096</v>
      </c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 t="s">
        <v>2097</v>
      </c>
      <c r="O26" s="272"/>
      <c r="P26" s="272"/>
    </row>
    <row r="27" spans="1:16">
      <c r="A27" s="274">
        <f>IFERROR(MAX(E5:E11,J5:J11),"")</f>
        <v>101</v>
      </c>
      <c r="B27" s="270" t="s">
        <v>1936</v>
      </c>
      <c r="C27" s="270" t="s">
        <v>2098</v>
      </c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 t="s">
        <v>2097</v>
      </c>
      <c r="O27" s="270"/>
      <c r="P27" s="270"/>
    </row>
    <row r="28" spans="1:16">
      <c r="A28" s="275">
        <f>COUNT(D5:D11)+COUNT(I5:I11)</f>
        <v>7</v>
      </c>
      <c r="B28" s="272" t="s">
        <v>1936</v>
      </c>
      <c r="C28" s="272" t="s">
        <v>2096</v>
      </c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 t="s">
        <v>2097</v>
      </c>
      <c r="O28" s="272"/>
      <c r="P28" s="272"/>
    </row>
    <row r="29" spans="1:16">
      <c r="A29" s="274">
        <f>COUNT(D5:D11)+COUNT(I5:I11)</f>
        <v>7</v>
      </c>
      <c r="B29" s="270" t="s">
        <v>1936</v>
      </c>
      <c r="C29" s="270" t="s">
        <v>2098</v>
      </c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 t="s">
        <v>2097</v>
      </c>
      <c r="O29" s="270"/>
      <c r="P29" s="270"/>
    </row>
    <row r="30" spans="1:16">
      <c r="A30" s="275">
        <v>46195</v>
      </c>
      <c r="B30" s="272" t="s">
        <v>1936</v>
      </c>
      <c r="C30" s="272" t="s">
        <v>2096</v>
      </c>
      <c r="D30" s="272"/>
      <c r="E30" s="272"/>
      <c r="F30" s="272"/>
      <c r="G30" s="272"/>
      <c r="H30" s="272"/>
      <c r="I30" s="272">
        <v>3</v>
      </c>
      <c r="J30" s="272">
        <v>7</v>
      </c>
      <c r="K30" s="272" t="s">
        <v>58</v>
      </c>
      <c r="L30" s="272" t="s">
        <v>58</v>
      </c>
      <c r="M30" s="342" t="s">
        <v>1272</v>
      </c>
      <c r="N30" s="342" t="s">
        <v>2099</v>
      </c>
      <c r="O30" s="272"/>
      <c r="P30" s="272"/>
    </row>
    <row r="31" spans="1:16">
      <c r="A31" s="274">
        <v>46196</v>
      </c>
      <c r="B31" s="270" t="s">
        <v>1936</v>
      </c>
      <c r="C31" s="270" t="s">
        <v>2098</v>
      </c>
      <c r="D31" s="270"/>
      <c r="E31" s="270"/>
      <c r="F31" s="270"/>
      <c r="G31" s="270"/>
      <c r="H31" s="270"/>
      <c r="I31" s="270">
        <v>8</v>
      </c>
      <c r="J31" s="270">
        <v>9</v>
      </c>
      <c r="K31" s="270" t="s">
        <v>58</v>
      </c>
      <c r="L31" s="270" t="s">
        <v>58</v>
      </c>
      <c r="M31" s="270" t="s">
        <v>2100</v>
      </c>
      <c r="N31" s="270" t="s">
        <v>2101</v>
      </c>
      <c r="O31" s="270"/>
      <c r="P31" s="270"/>
    </row>
    <row r="32" spans="1:16" ht="29">
      <c r="A32" s="275">
        <v>46199</v>
      </c>
      <c r="B32" s="272" t="s">
        <v>1936</v>
      </c>
      <c r="C32" s="272" t="s">
        <v>2098</v>
      </c>
      <c r="D32" s="272">
        <v>148</v>
      </c>
      <c r="E32" s="272">
        <v>96</v>
      </c>
      <c r="F32" s="272">
        <v>70</v>
      </c>
      <c r="G32" s="272" t="s">
        <v>58</v>
      </c>
      <c r="H32" s="272"/>
      <c r="I32" s="272">
        <v>4.5</v>
      </c>
      <c r="J32" s="272">
        <v>7</v>
      </c>
      <c r="K32" s="272" t="s">
        <v>324</v>
      </c>
      <c r="L32" s="272" t="s">
        <v>58</v>
      </c>
      <c r="M32" s="272" t="s">
        <v>1272</v>
      </c>
      <c r="N32" s="272" t="s">
        <v>2102</v>
      </c>
      <c r="O32" s="272"/>
      <c r="P32" s="272" t="s">
        <v>2103</v>
      </c>
    </row>
    <row r="33" spans="1:16">
      <c r="A33" s="274"/>
      <c r="B33" s="270" t="s">
        <v>1936</v>
      </c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</row>
    <row r="34" spans="1:16">
      <c r="A34" s="275"/>
      <c r="B34" s="272" t="s">
        <v>1936</v>
      </c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</row>
    <row r="35" spans="1:16">
      <c r="A35" s="274"/>
      <c r="B35" s="270" t="s">
        <v>1936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</row>
    <row r="36" spans="1:16">
      <c r="A36" s="275"/>
      <c r="B36" s="272" t="s">
        <v>1936</v>
      </c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</row>
    <row r="37" spans="1:16">
      <c r="A37" s="274"/>
      <c r="B37" s="270" t="s">
        <v>1936</v>
      </c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</row>
    <row r="38" spans="1:16">
      <c r="A38" s="275"/>
      <c r="B38" s="272" t="s">
        <v>1936</v>
      </c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</row>
    <row r="39" spans="1:16">
      <c r="A39" s="274"/>
      <c r="B39" s="270" t="s">
        <v>1936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</row>
    <row r="40" spans="1:16">
      <c r="A40" s="275"/>
      <c r="B40" s="272" t="s">
        <v>1936</v>
      </c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</row>
    <row r="41" spans="1:16">
      <c r="A41" s="274"/>
      <c r="B41" s="270" t="s">
        <v>1936</v>
      </c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</row>
    <row r="42" spans="1:16">
      <c r="A42" s="275"/>
      <c r="B42" s="272" t="s">
        <v>1936</v>
      </c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</row>
    <row r="43" spans="1:16">
      <c r="A43" s="274"/>
      <c r="B43" s="270" t="s">
        <v>1936</v>
      </c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</row>
    <row r="44" spans="1:16">
      <c r="A44" s="275"/>
      <c r="B44" s="272" t="s">
        <v>1936</v>
      </c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</row>
    <row r="45" spans="1:16">
      <c r="A45" s="274"/>
      <c r="B45" s="270" t="s">
        <v>1936</v>
      </c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</row>
    <row r="46" spans="1:16">
      <c r="A46" s="275"/>
      <c r="B46" s="272" t="s">
        <v>1936</v>
      </c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</row>
    <row r="47" spans="1:16">
      <c r="A47" s="274"/>
      <c r="B47" s="270" t="s">
        <v>1936</v>
      </c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</row>
    <row r="48" spans="1:16">
      <c r="A48" s="275"/>
      <c r="B48" s="272" t="s">
        <v>1936</v>
      </c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</row>
    <row r="49" spans="1:16">
      <c r="A49" s="274"/>
      <c r="B49" s="270" t="s">
        <v>1936</v>
      </c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</row>
    <row r="50" spans="1:16">
      <c r="A50" s="275"/>
      <c r="B50" s="272" t="s">
        <v>1936</v>
      </c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</row>
    <row r="51" spans="1:16">
      <c r="A51" s="274"/>
      <c r="B51" s="270" t="s">
        <v>1936</v>
      </c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</row>
    <row r="52" spans="1:16">
      <c r="A52" s="275"/>
      <c r="B52" s="272" t="s">
        <v>1936</v>
      </c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</row>
    <row r="53" spans="1:16">
      <c r="A53" s="274"/>
      <c r="B53" s="270" t="s">
        <v>1936</v>
      </c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</row>
    <row r="54" spans="1:16">
      <c r="A54" s="275"/>
      <c r="B54" s="272" t="s">
        <v>1936</v>
      </c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</row>
    <row r="55" spans="1:16">
      <c r="A55" s="274"/>
      <c r="B55" s="270" t="s">
        <v>1936</v>
      </c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</row>
    <row r="56" spans="1:16">
      <c r="A56" s="275"/>
      <c r="B56" s="272" t="s">
        <v>1936</v>
      </c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</row>
    <row r="57" spans="1:16">
      <c r="A57" s="274"/>
      <c r="B57" s="270" t="s">
        <v>1936</v>
      </c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</row>
    <row r="58" spans="1:16">
      <c r="A58" s="275"/>
      <c r="B58" s="272" t="s">
        <v>1936</v>
      </c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</row>
    <row r="59" spans="1:16">
      <c r="A59" s="274"/>
      <c r="B59" s="270" t="s">
        <v>1936</v>
      </c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</row>
    <row r="60" spans="1:16">
      <c r="A60" s="275"/>
      <c r="B60" s="272" t="s">
        <v>1936</v>
      </c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</row>
    <row r="61" spans="1:16">
      <c r="A61" s="274"/>
      <c r="B61" s="270" t="s">
        <v>1936</v>
      </c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</row>
    <row r="62" spans="1:16">
      <c r="A62" s="59"/>
    </row>
    <row r="63" spans="1:16">
      <c r="A63" s="59"/>
    </row>
    <row r="64" spans="1:16">
      <c r="A64" s="59"/>
    </row>
    <row r="65" spans="1:1">
      <c r="A65" s="59"/>
    </row>
    <row r="66" spans="1:1">
      <c r="A66" s="59"/>
    </row>
    <row r="67" spans="1:1">
      <c r="A67" s="59"/>
    </row>
    <row r="68" spans="1:1">
      <c r="A68" s="59"/>
    </row>
    <row r="69" spans="1:1">
      <c r="A69" s="59"/>
    </row>
    <row r="70" spans="1:1">
      <c r="A70" s="59"/>
    </row>
    <row r="71" spans="1:1">
      <c r="A71" s="59"/>
    </row>
    <row r="72" spans="1:1">
      <c r="A72" s="59"/>
    </row>
    <row r="73" spans="1:1">
      <c r="A73" s="59"/>
    </row>
    <row r="74" spans="1:1">
      <c r="A74" s="59"/>
    </row>
    <row r="75" spans="1:1">
      <c r="A75" s="59"/>
    </row>
    <row r="76" spans="1:1">
      <c r="A76" s="59"/>
    </row>
    <row r="77" spans="1:1">
      <c r="A77" s="59"/>
    </row>
    <row r="78" spans="1:1">
      <c r="A78" s="59"/>
    </row>
    <row r="79" spans="1:1">
      <c r="A79" s="59"/>
    </row>
    <row r="80" spans="1:1">
      <c r="A80" s="59"/>
    </row>
    <row r="81" spans="1:1">
      <c r="A81" s="59"/>
    </row>
    <row r="82" spans="1:1">
      <c r="A82" s="59"/>
    </row>
    <row r="83" spans="1:1">
      <c r="A83" s="59"/>
    </row>
    <row r="84" spans="1:1">
      <c r="A84" s="59"/>
    </row>
    <row r="85" spans="1:1">
      <c r="A85" s="59"/>
    </row>
    <row r="86" spans="1:1">
      <c r="A86" s="59"/>
    </row>
    <row r="87" spans="1:1">
      <c r="A87" s="59"/>
    </row>
    <row r="88" spans="1:1">
      <c r="A88" s="59"/>
    </row>
    <row r="89" spans="1:1">
      <c r="A89" s="59"/>
    </row>
    <row r="90" spans="1:1">
      <c r="A90" s="59"/>
    </row>
    <row r="91" spans="1:1">
      <c r="A91" s="59"/>
    </row>
    <row r="92" spans="1:1">
      <c r="A92" s="59"/>
    </row>
    <row r="93" spans="1:1">
      <c r="A93" s="59"/>
    </row>
    <row r="94" spans="1:1">
      <c r="A94" s="59"/>
    </row>
    <row r="95" spans="1:1">
      <c r="A95" s="59"/>
    </row>
    <row r="96" spans="1:1">
      <c r="A96" s="59"/>
    </row>
    <row r="97" spans="1:1">
      <c r="A97" s="59"/>
    </row>
    <row r="98" spans="1:1">
      <c r="A98" s="59"/>
    </row>
    <row r="99" spans="1:1">
      <c r="A99" s="59"/>
    </row>
    <row r="100" spans="1:1">
      <c r="A100" s="59"/>
    </row>
    <row r="101" spans="1:1">
      <c r="A101" s="59"/>
    </row>
    <row r="102" spans="1:1">
      <c r="A102" s="59"/>
    </row>
    <row r="103" spans="1:1">
      <c r="A103" s="59"/>
    </row>
    <row r="104" spans="1:1">
      <c r="A104" s="59"/>
    </row>
    <row r="105" spans="1:1">
      <c r="A105" s="59"/>
    </row>
    <row r="106" spans="1:1">
      <c r="A106" s="59"/>
    </row>
    <row r="107" spans="1:1">
      <c r="A107" s="59"/>
    </row>
    <row r="108" spans="1:1">
      <c r="A108" s="59"/>
    </row>
    <row r="109" spans="1:1">
      <c r="A109" s="59"/>
    </row>
    <row r="110" spans="1:1">
      <c r="A110" s="59"/>
    </row>
    <row r="111" spans="1:1">
      <c r="A111" s="59"/>
    </row>
    <row r="112" spans="1:1">
      <c r="A112" s="59"/>
    </row>
    <row r="113" spans="1:1">
      <c r="A113" s="59"/>
    </row>
    <row r="114" spans="1:1">
      <c r="A114" s="59"/>
    </row>
    <row r="115" spans="1:1">
      <c r="A115" s="59"/>
    </row>
    <row r="116" spans="1:1">
      <c r="A116" s="59"/>
    </row>
    <row r="117" spans="1:1">
      <c r="A117" s="59"/>
    </row>
    <row r="118" spans="1:1">
      <c r="A118" s="59"/>
    </row>
    <row r="119" spans="1:1">
      <c r="A119" s="59"/>
    </row>
    <row r="120" spans="1:1">
      <c r="A120" s="59"/>
    </row>
    <row r="121" spans="1:1">
      <c r="A121" s="59"/>
    </row>
    <row r="122" spans="1:1">
      <c r="A122" s="59"/>
    </row>
    <row r="123" spans="1:1">
      <c r="A123" s="59"/>
    </row>
    <row r="124" spans="1:1">
      <c r="A124" s="59"/>
    </row>
    <row r="125" spans="1:1">
      <c r="A125" s="59"/>
    </row>
    <row r="126" spans="1:1">
      <c r="A126" s="59"/>
    </row>
    <row r="127" spans="1:1">
      <c r="A127" s="59"/>
    </row>
    <row r="128" spans="1:1">
      <c r="A128" s="59"/>
    </row>
    <row r="129" spans="1:1">
      <c r="A129" s="59"/>
    </row>
    <row r="130" spans="1:1">
      <c r="A130" s="59"/>
    </row>
    <row r="131" spans="1:1">
      <c r="A131" s="59"/>
    </row>
    <row r="132" spans="1:1">
      <c r="A132" s="59"/>
    </row>
    <row r="133" spans="1:1">
      <c r="A133" s="59"/>
    </row>
    <row r="134" spans="1:1">
      <c r="A134" s="59"/>
    </row>
    <row r="135" spans="1:1">
      <c r="A135" s="59"/>
    </row>
    <row r="136" spans="1:1">
      <c r="A136" s="59"/>
    </row>
    <row r="137" spans="1:1">
      <c r="A137" s="59"/>
    </row>
    <row r="138" spans="1:1">
      <c r="A138" s="59"/>
    </row>
    <row r="139" spans="1:1">
      <c r="A139" s="59"/>
    </row>
    <row r="140" spans="1:1">
      <c r="A140" s="59"/>
    </row>
    <row r="141" spans="1:1">
      <c r="A141" s="59"/>
    </row>
    <row r="142" spans="1:1">
      <c r="A142" s="59"/>
    </row>
    <row r="143" spans="1:1">
      <c r="A143" s="59"/>
    </row>
    <row r="144" spans="1:1">
      <c r="A144" s="59"/>
    </row>
    <row r="145" spans="1:1">
      <c r="A145" s="59"/>
    </row>
    <row r="146" spans="1:1">
      <c r="A146" s="59"/>
    </row>
    <row r="147" spans="1:1">
      <c r="A147" s="59"/>
    </row>
    <row r="148" spans="1:1">
      <c r="A148" s="59"/>
    </row>
    <row r="149" spans="1:1">
      <c r="A149" s="59"/>
    </row>
    <row r="150" spans="1:1">
      <c r="A150" s="59"/>
    </row>
    <row r="151" spans="1:1">
      <c r="A151" s="59"/>
    </row>
    <row r="152" spans="1:1">
      <c r="A152" s="59"/>
    </row>
    <row r="153" spans="1:1">
      <c r="A153" s="59"/>
    </row>
    <row r="154" spans="1:1">
      <c r="A154" s="59"/>
    </row>
    <row r="155" spans="1:1">
      <c r="A155" s="59"/>
    </row>
    <row r="156" spans="1:1">
      <c r="A156" s="59"/>
    </row>
    <row r="157" spans="1:1">
      <c r="A157" s="59"/>
    </row>
    <row r="158" spans="1:1">
      <c r="A158" s="59"/>
    </row>
    <row r="159" spans="1:1">
      <c r="A159" s="59"/>
    </row>
    <row r="160" spans="1:1">
      <c r="A160" s="59"/>
    </row>
    <row r="161" spans="1:1">
      <c r="A161" s="59"/>
    </row>
    <row r="162" spans="1:1">
      <c r="A162" s="59"/>
    </row>
    <row r="163" spans="1:1">
      <c r="A163" s="59"/>
    </row>
    <row r="164" spans="1:1">
      <c r="A164" s="59"/>
    </row>
    <row r="165" spans="1:1">
      <c r="A165" s="59"/>
    </row>
    <row r="166" spans="1:1">
      <c r="A166" s="59"/>
    </row>
    <row r="167" spans="1:1">
      <c r="A167" s="59"/>
    </row>
    <row r="168" spans="1:1">
      <c r="A168" s="59"/>
    </row>
    <row r="169" spans="1:1">
      <c r="A169" s="59"/>
    </row>
    <row r="170" spans="1:1">
      <c r="A170" s="59"/>
    </row>
    <row r="171" spans="1:1">
      <c r="A171" s="59"/>
    </row>
    <row r="172" spans="1:1">
      <c r="A172" s="59"/>
    </row>
    <row r="173" spans="1:1">
      <c r="A173" s="59"/>
    </row>
    <row r="174" spans="1:1">
      <c r="A174" s="59"/>
    </row>
    <row r="175" spans="1:1">
      <c r="A175" s="59"/>
    </row>
    <row r="176" spans="1:1">
      <c r="A176" s="59"/>
    </row>
    <row r="177" spans="1:1">
      <c r="A177" s="59"/>
    </row>
    <row r="178" spans="1:1">
      <c r="A178" s="59"/>
    </row>
    <row r="179" spans="1:1">
      <c r="A179" s="59"/>
    </row>
    <row r="180" spans="1:1">
      <c r="A180" s="59"/>
    </row>
    <row r="181" spans="1:1">
      <c r="A181" s="59"/>
    </row>
    <row r="182" spans="1:1">
      <c r="A182" s="59"/>
    </row>
    <row r="183" spans="1:1">
      <c r="A183" s="59"/>
    </row>
    <row r="184" spans="1:1">
      <c r="A184" s="59"/>
    </row>
    <row r="185" spans="1:1">
      <c r="A185" s="59"/>
    </row>
    <row r="186" spans="1:1">
      <c r="A186" s="59"/>
    </row>
    <row r="187" spans="1:1">
      <c r="A187" s="59"/>
    </row>
    <row r="188" spans="1:1">
      <c r="A188" s="59"/>
    </row>
    <row r="189" spans="1:1">
      <c r="A189" s="59"/>
    </row>
    <row r="190" spans="1:1">
      <c r="A190" s="59"/>
    </row>
    <row r="191" spans="1:1">
      <c r="A191" s="59"/>
    </row>
    <row r="192" spans="1:1">
      <c r="A192" s="59"/>
    </row>
    <row r="193" spans="1:1">
      <c r="A193" s="59"/>
    </row>
    <row r="194" spans="1:1">
      <c r="A194" s="59"/>
    </row>
    <row r="195" spans="1:1">
      <c r="A195" s="59"/>
    </row>
    <row r="196" spans="1:1">
      <c r="A196" s="59"/>
    </row>
    <row r="197" spans="1:1">
      <c r="A197" s="59"/>
    </row>
    <row r="198" spans="1:1">
      <c r="A198" s="59"/>
    </row>
    <row r="199" spans="1:1">
      <c r="A199" s="59"/>
    </row>
    <row r="200" spans="1:1">
      <c r="A200" s="59"/>
    </row>
    <row r="201" spans="1:1">
      <c r="A201" s="59"/>
    </row>
    <row r="202" spans="1:1">
      <c r="A202" s="59"/>
    </row>
    <row r="203" spans="1:1">
      <c r="A203" s="59"/>
    </row>
    <row r="204" spans="1:1">
      <c r="A204" s="59"/>
    </row>
    <row r="205" spans="1:1">
      <c r="A205" s="59"/>
    </row>
    <row r="206" spans="1:1">
      <c r="A206" s="59"/>
    </row>
    <row r="207" spans="1:1">
      <c r="A207" s="59"/>
    </row>
    <row r="208" spans="1:1">
      <c r="A208" s="59"/>
    </row>
    <row r="209" spans="1:1">
      <c r="A209" s="59"/>
    </row>
    <row r="210" spans="1:1">
      <c r="A210" s="59"/>
    </row>
    <row r="211" spans="1:1">
      <c r="A211" s="59"/>
    </row>
    <row r="212" spans="1:1">
      <c r="A212" s="59"/>
    </row>
    <row r="213" spans="1:1">
      <c r="A213" s="59"/>
    </row>
    <row r="214" spans="1:1">
      <c r="A214" s="59"/>
    </row>
    <row r="215" spans="1:1">
      <c r="A215" s="59"/>
    </row>
    <row r="216" spans="1:1">
      <c r="A216" s="59"/>
    </row>
    <row r="217" spans="1:1">
      <c r="A217" s="59"/>
    </row>
    <row r="218" spans="1:1">
      <c r="A218" s="59"/>
    </row>
    <row r="219" spans="1:1">
      <c r="A219" s="59"/>
    </row>
    <row r="220" spans="1:1">
      <c r="A220" s="59"/>
    </row>
    <row r="221" spans="1:1">
      <c r="A221" s="59"/>
    </row>
    <row r="222" spans="1:1">
      <c r="A222" s="59"/>
    </row>
    <row r="223" spans="1:1">
      <c r="A223" s="59"/>
    </row>
    <row r="224" spans="1:1">
      <c r="A224" s="59"/>
    </row>
    <row r="225" spans="1:1">
      <c r="A225" s="59"/>
    </row>
    <row r="226" spans="1:1">
      <c r="A226" s="59"/>
    </row>
    <row r="227" spans="1:1">
      <c r="A227" s="59"/>
    </row>
    <row r="228" spans="1:1">
      <c r="A228" s="59"/>
    </row>
    <row r="229" spans="1:1">
      <c r="A229" s="59"/>
    </row>
    <row r="230" spans="1:1">
      <c r="A230" s="59"/>
    </row>
    <row r="231" spans="1:1">
      <c r="A231" s="59"/>
    </row>
    <row r="232" spans="1:1">
      <c r="A232" s="59"/>
    </row>
    <row r="233" spans="1:1">
      <c r="A233" s="59"/>
    </row>
    <row r="234" spans="1:1">
      <c r="A234" s="59"/>
    </row>
    <row r="235" spans="1:1">
      <c r="A235" s="59"/>
    </row>
    <row r="236" spans="1:1">
      <c r="A236" s="59"/>
    </row>
    <row r="237" spans="1:1">
      <c r="A237" s="59"/>
    </row>
    <row r="238" spans="1:1">
      <c r="A238" s="59"/>
    </row>
    <row r="239" spans="1:1">
      <c r="A239" s="59"/>
    </row>
    <row r="240" spans="1:1">
      <c r="A240" s="59"/>
    </row>
    <row r="241" spans="1:1">
      <c r="A241" s="59"/>
    </row>
    <row r="242" spans="1:1">
      <c r="A242" s="59"/>
    </row>
    <row r="243" spans="1:1">
      <c r="A243" s="59"/>
    </row>
    <row r="244" spans="1:1">
      <c r="A244" s="59"/>
    </row>
    <row r="245" spans="1:1">
      <c r="A245" s="59"/>
    </row>
    <row r="246" spans="1:1">
      <c r="A246" s="59"/>
    </row>
    <row r="247" spans="1:1">
      <c r="A247" s="59"/>
    </row>
    <row r="248" spans="1:1">
      <c r="A248" s="59"/>
    </row>
    <row r="249" spans="1:1">
      <c r="A249" s="59"/>
    </row>
    <row r="250" spans="1:1">
      <c r="A250" s="59"/>
    </row>
    <row r="251" spans="1:1">
      <c r="A251" s="59"/>
    </row>
    <row r="252" spans="1:1">
      <c r="A252" s="59"/>
    </row>
    <row r="253" spans="1:1">
      <c r="A253" s="59"/>
    </row>
    <row r="254" spans="1:1">
      <c r="A254" s="59"/>
    </row>
    <row r="255" spans="1:1">
      <c r="A255" s="59"/>
    </row>
    <row r="256" spans="1:1">
      <c r="A256" s="59"/>
    </row>
    <row r="257" spans="1:1">
      <c r="A257" s="59"/>
    </row>
    <row r="258" spans="1:1">
      <c r="A258" s="59"/>
    </row>
    <row r="259" spans="1:1">
      <c r="A259" s="59"/>
    </row>
    <row r="260" spans="1:1">
      <c r="A260" s="59"/>
    </row>
    <row r="261" spans="1:1">
      <c r="A261" s="59"/>
    </row>
    <row r="262" spans="1:1">
      <c r="A262" s="59"/>
    </row>
    <row r="263" spans="1:1">
      <c r="A263" s="59"/>
    </row>
    <row r="264" spans="1:1">
      <c r="A264" s="59"/>
    </row>
    <row r="265" spans="1:1">
      <c r="A265" s="59"/>
    </row>
    <row r="266" spans="1:1">
      <c r="A266" s="59"/>
    </row>
    <row r="267" spans="1:1">
      <c r="A267" s="59"/>
    </row>
    <row r="268" spans="1:1">
      <c r="A268" s="59"/>
    </row>
    <row r="269" spans="1:1">
      <c r="A269" s="59"/>
    </row>
    <row r="270" spans="1:1">
      <c r="A270" s="59"/>
    </row>
    <row r="271" spans="1:1">
      <c r="A271" s="59"/>
    </row>
    <row r="272" spans="1:1">
      <c r="A272" s="59"/>
    </row>
    <row r="273" spans="1:1">
      <c r="A273" s="59"/>
    </row>
    <row r="274" spans="1:1">
      <c r="A274" s="59"/>
    </row>
    <row r="275" spans="1:1">
      <c r="A275" s="59"/>
    </row>
    <row r="276" spans="1:1">
      <c r="A276" s="59"/>
    </row>
    <row r="277" spans="1:1">
      <c r="A277" s="59"/>
    </row>
    <row r="278" spans="1:1">
      <c r="A278" s="59"/>
    </row>
    <row r="279" spans="1:1">
      <c r="A279" s="59"/>
    </row>
    <row r="280" spans="1:1">
      <c r="A280" s="59"/>
    </row>
    <row r="281" spans="1:1">
      <c r="A281" s="59"/>
    </row>
    <row r="282" spans="1:1">
      <c r="A282" s="59"/>
    </row>
    <row r="283" spans="1:1">
      <c r="A283" s="59"/>
    </row>
    <row r="284" spans="1:1">
      <c r="A284" s="59"/>
    </row>
    <row r="285" spans="1:1">
      <c r="A285" s="59"/>
    </row>
    <row r="286" spans="1:1">
      <c r="A286" s="59"/>
    </row>
    <row r="287" spans="1:1">
      <c r="A287" s="59"/>
    </row>
    <row r="288" spans="1:1">
      <c r="A288" s="59"/>
    </row>
    <row r="289" spans="1:1">
      <c r="A289" s="59"/>
    </row>
    <row r="290" spans="1:1">
      <c r="A290" s="59"/>
    </row>
    <row r="291" spans="1:1">
      <c r="A291" s="59"/>
    </row>
    <row r="292" spans="1:1">
      <c r="A292" s="59"/>
    </row>
    <row r="293" spans="1:1">
      <c r="A293" s="59"/>
    </row>
    <row r="294" spans="1:1">
      <c r="A294" s="59"/>
    </row>
    <row r="295" spans="1:1">
      <c r="A295" s="59"/>
    </row>
    <row r="296" spans="1:1">
      <c r="A296" s="59"/>
    </row>
    <row r="297" spans="1:1">
      <c r="A297" s="59"/>
    </row>
    <row r="298" spans="1:1">
      <c r="A298" s="59"/>
    </row>
    <row r="299" spans="1:1">
      <c r="A299" s="59"/>
    </row>
    <row r="300" spans="1:1">
      <c r="A300" s="59"/>
    </row>
    <row r="301" spans="1:1">
      <c r="A301" s="59"/>
    </row>
    <row r="302" spans="1:1">
      <c r="A302" s="59"/>
    </row>
    <row r="303" spans="1:1">
      <c r="A303" s="59"/>
    </row>
    <row r="304" spans="1:1">
      <c r="A304" s="59"/>
    </row>
    <row r="305" spans="1:1">
      <c r="A305" s="59"/>
    </row>
    <row r="306" spans="1:1">
      <c r="A306" s="59"/>
    </row>
    <row r="307" spans="1:1">
      <c r="A307" s="59"/>
    </row>
    <row r="308" spans="1:1">
      <c r="A308" s="59"/>
    </row>
    <row r="309" spans="1:1">
      <c r="A309" s="59"/>
    </row>
    <row r="310" spans="1:1">
      <c r="A310" s="59"/>
    </row>
    <row r="311" spans="1:1">
      <c r="A311" s="59"/>
    </row>
    <row r="312" spans="1:1">
      <c r="A312" s="59"/>
    </row>
    <row r="313" spans="1:1">
      <c r="A313" s="59"/>
    </row>
    <row r="314" spans="1:1">
      <c r="A314" s="59"/>
    </row>
    <row r="315" spans="1:1">
      <c r="A315" s="59"/>
    </row>
    <row r="316" spans="1:1">
      <c r="A316" s="59"/>
    </row>
    <row r="317" spans="1:1">
      <c r="A317" s="59"/>
    </row>
    <row r="318" spans="1:1">
      <c r="A318" s="59"/>
    </row>
    <row r="319" spans="1:1">
      <c r="A319" s="59"/>
    </row>
    <row r="320" spans="1:1">
      <c r="A320" s="59"/>
    </row>
    <row r="321" spans="1:1">
      <c r="A321" s="59"/>
    </row>
    <row r="322" spans="1:1">
      <c r="A322" s="59"/>
    </row>
    <row r="323" spans="1:1">
      <c r="A323" s="59"/>
    </row>
    <row r="324" spans="1:1">
      <c r="A324" s="59"/>
    </row>
    <row r="325" spans="1:1">
      <c r="A325" s="59"/>
    </row>
    <row r="326" spans="1:1">
      <c r="A326" s="59"/>
    </row>
    <row r="327" spans="1:1">
      <c r="A327" s="59"/>
    </row>
    <row r="328" spans="1:1">
      <c r="A328" s="59"/>
    </row>
    <row r="329" spans="1:1">
      <c r="A329" s="59"/>
    </row>
    <row r="330" spans="1:1">
      <c r="A330" s="59"/>
    </row>
    <row r="331" spans="1:1">
      <c r="A331" s="59"/>
    </row>
    <row r="332" spans="1:1">
      <c r="A332" s="59"/>
    </row>
    <row r="333" spans="1:1">
      <c r="A333" s="59"/>
    </row>
    <row r="334" spans="1:1">
      <c r="A334" s="59"/>
    </row>
    <row r="335" spans="1:1">
      <c r="A335" s="59"/>
    </row>
    <row r="336" spans="1:1">
      <c r="A336" s="59"/>
    </row>
    <row r="337" spans="1:1">
      <c r="A337" s="59"/>
    </row>
    <row r="338" spans="1:1">
      <c r="A338" s="59"/>
    </row>
    <row r="339" spans="1:1">
      <c r="A339" s="59"/>
    </row>
    <row r="340" spans="1:1">
      <c r="A340" s="59"/>
    </row>
    <row r="341" spans="1:1">
      <c r="A341" s="59"/>
    </row>
    <row r="342" spans="1:1">
      <c r="A342" s="59"/>
    </row>
    <row r="343" spans="1:1">
      <c r="A343" s="59"/>
    </row>
    <row r="344" spans="1:1">
      <c r="A344" s="59"/>
    </row>
    <row r="345" spans="1:1">
      <c r="A345" s="59"/>
    </row>
    <row r="346" spans="1:1">
      <c r="A346" s="59"/>
    </row>
    <row r="347" spans="1:1">
      <c r="A347" s="59"/>
    </row>
    <row r="348" spans="1:1">
      <c r="A348" s="59"/>
    </row>
    <row r="349" spans="1:1">
      <c r="A349" s="59"/>
    </row>
    <row r="350" spans="1:1">
      <c r="A350" s="59"/>
    </row>
    <row r="351" spans="1:1">
      <c r="A351" s="59"/>
    </row>
    <row r="352" spans="1:1">
      <c r="A352" s="59"/>
    </row>
    <row r="353" spans="1:1">
      <c r="A353" s="59"/>
    </row>
    <row r="354" spans="1:1">
      <c r="A354" s="59"/>
    </row>
    <row r="355" spans="1:1">
      <c r="A355" s="59"/>
    </row>
    <row r="356" spans="1:1">
      <c r="A356" s="59"/>
    </row>
    <row r="357" spans="1:1">
      <c r="A357" s="59"/>
    </row>
    <row r="358" spans="1:1">
      <c r="A358" s="59"/>
    </row>
    <row r="359" spans="1:1">
      <c r="A359" s="59"/>
    </row>
    <row r="360" spans="1:1">
      <c r="A360" s="59"/>
    </row>
    <row r="361" spans="1:1">
      <c r="A361" s="59"/>
    </row>
    <row r="362" spans="1:1">
      <c r="A362" s="59"/>
    </row>
    <row r="363" spans="1:1">
      <c r="A363" s="59"/>
    </row>
    <row r="364" spans="1:1">
      <c r="A364" s="59"/>
    </row>
    <row r="365" spans="1:1">
      <c r="A365" s="59"/>
    </row>
    <row r="366" spans="1:1">
      <c r="A366" s="59"/>
    </row>
    <row r="367" spans="1:1">
      <c r="A367" s="59"/>
    </row>
    <row r="368" spans="1:1">
      <c r="A368" s="59"/>
    </row>
    <row r="369" spans="1:1">
      <c r="A369" s="59"/>
    </row>
    <row r="370" spans="1:1">
      <c r="A370" s="59"/>
    </row>
    <row r="371" spans="1:1">
      <c r="A371" s="59"/>
    </row>
    <row r="372" spans="1:1">
      <c r="A372" s="59"/>
    </row>
    <row r="373" spans="1:1">
      <c r="A373" s="59"/>
    </row>
    <row r="374" spans="1:1">
      <c r="A374" s="59"/>
    </row>
    <row r="375" spans="1:1">
      <c r="A375" s="59"/>
    </row>
    <row r="376" spans="1:1">
      <c r="A376" s="59"/>
    </row>
    <row r="377" spans="1:1">
      <c r="A377" s="59"/>
    </row>
    <row r="378" spans="1:1">
      <c r="A378" s="59"/>
    </row>
    <row r="379" spans="1:1">
      <c r="A379" s="59"/>
    </row>
    <row r="380" spans="1:1">
      <c r="A380" s="59"/>
    </row>
    <row r="381" spans="1:1">
      <c r="A381" s="59"/>
    </row>
    <row r="382" spans="1:1">
      <c r="A382" s="59"/>
    </row>
    <row r="383" spans="1:1">
      <c r="A383" s="59"/>
    </row>
    <row r="384" spans="1:1">
      <c r="A384" s="59"/>
    </row>
    <row r="385" spans="1:1">
      <c r="A385" s="59"/>
    </row>
    <row r="386" spans="1:1">
      <c r="A386" s="59"/>
    </row>
    <row r="387" spans="1:1">
      <c r="A387" s="59"/>
    </row>
    <row r="388" spans="1:1">
      <c r="A388" s="59"/>
    </row>
    <row r="389" spans="1:1">
      <c r="A389" s="59"/>
    </row>
    <row r="390" spans="1:1">
      <c r="A390" s="59"/>
    </row>
    <row r="391" spans="1:1">
      <c r="A391" s="59"/>
    </row>
    <row r="392" spans="1:1">
      <c r="A392" s="59"/>
    </row>
    <row r="393" spans="1:1">
      <c r="A393" s="59"/>
    </row>
    <row r="394" spans="1:1">
      <c r="A394" s="59"/>
    </row>
    <row r="395" spans="1:1">
      <c r="A395" s="59"/>
    </row>
    <row r="396" spans="1:1">
      <c r="A396" s="59"/>
    </row>
    <row r="397" spans="1:1">
      <c r="A397" s="59"/>
    </row>
    <row r="398" spans="1:1">
      <c r="A398" s="59"/>
    </row>
    <row r="399" spans="1:1">
      <c r="A399" s="59"/>
    </row>
    <row r="400" spans="1:1">
      <c r="A400" s="59"/>
    </row>
    <row r="401" spans="1:1">
      <c r="A401" s="59"/>
    </row>
    <row r="402" spans="1:1">
      <c r="A402" s="59"/>
    </row>
    <row r="403" spans="1:1">
      <c r="A403" s="59"/>
    </row>
    <row r="404" spans="1:1">
      <c r="A404" s="59"/>
    </row>
    <row r="405" spans="1:1">
      <c r="A405" s="59"/>
    </row>
    <row r="406" spans="1:1">
      <c r="A406" s="59"/>
    </row>
    <row r="407" spans="1:1">
      <c r="A407" s="59"/>
    </row>
    <row r="408" spans="1:1">
      <c r="A408" s="59"/>
    </row>
    <row r="409" spans="1:1">
      <c r="A409" s="59"/>
    </row>
    <row r="410" spans="1:1">
      <c r="A410" s="59"/>
    </row>
    <row r="411" spans="1:1">
      <c r="A411" s="59"/>
    </row>
    <row r="412" spans="1:1">
      <c r="A412" s="59"/>
    </row>
    <row r="413" spans="1:1">
      <c r="A413" s="59"/>
    </row>
    <row r="414" spans="1:1">
      <c r="A414" s="59"/>
    </row>
    <row r="415" spans="1:1">
      <c r="A415" s="59"/>
    </row>
    <row r="416" spans="1:1">
      <c r="A416" s="59"/>
    </row>
    <row r="417" spans="1:1">
      <c r="A417" s="59"/>
    </row>
    <row r="418" spans="1:1">
      <c r="A418" s="59"/>
    </row>
    <row r="419" spans="1:1">
      <c r="A419" s="59"/>
    </row>
    <row r="420" spans="1:1">
      <c r="A420" s="59"/>
    </row>
    <row r="421" spans="1:1">
      <c r="A421" s="59"/>
    </row>
    <row r="422" spans="1:1">
      <c r="A422" s="59"/>
    </row>
    <row r="423" spans="1:1">
      <c r="A423" s="59"/>
    </row>
    <row r="424" spans="1:1">
      <c r="A424" s="59"/>
    </row>
    <row r="425" spans="1:1">
      <c r="A425" s="59"/>
    </row>
    <row r="426" spans="1:1">
      <c r="A426" s="59"/>
    </row>
    <row r="427" spans="1:1">
      <c r="A427" s="59"/>
    </row>
    <row r="428" spans="1:1">
      <c r="A428" s="59"/>
    </row>
    <row r="429" spans="1:1">
      <c r="A429" s="59"/>
    </row>
    <row r="430" spans="1:1">
      <c r="A430" s="59"/>
    </row>
    <row r="431" spans="1:1">
      <c r="A431" s="59"/>
    </row>
    <row r="432" spans="1:1">
      <c r="A432" s="59"/>
    </row>
    <row r="433" spans="1:1">
      <c r="A433" s="59"/>
    </row>
    <row r="434" spans="1:1">
      <c r="A434" s="59"/>
    </row>
    <row r="435" spans="1:1">
      <c r="A435" s="59"/>
    </row>
    <row r="436" spans="1:1">
      <c r="A436" s="59"/>
    </row>
    <row r="437" spans="1:1">
      <c r="A437" s="59"/>
    </row>
    <row r="438" spans="1:1">
      <c r="A438" s="59"/>
    </row>
    <row r="439" spans="1:1">
      <c r="A439" s="59"/>
    </row>
    <row r="440" spans="1:1">
      <c r="A440" s="59"/>
    </row>
    <row r="441" spans="1:1">
      <c r="A441" s="59"/>
    </row>
    <row r="442" spans="1:1">
      <c r="A442" s="59"/>
    </row>
    <row r="443" spans="1:1">
      <c r="A443" s="59"/>
    </row>
    <row r="444" spans="1:1">
      <c r="A444" s="59"/>
    </row>
    <row r="445" spans="1:1">
      <c r="A445" s="59"/>
    </row>
    <row r="446" spans="1:1">
      <c r="A446" s="59"/>
    </row>
    <row r="447" spans="1:1">
      <c r="A447" s="59"/>
    </row>
    <row r="448" spans="1:1">
      <c r="A448" s="59"/>
    </row>
    <row r="449" spans="1:1">
      <c r="A449" s="59"/>
    </row>
    <row r="450" spans="1:1">
      <c r="A450" s="59"/>
    </row>
    <row r="451" spans="1:1">
      <c r="A451" s="59"/>
    </row>
    <row r="452" spans="1:1">
      <c r="A452" s="59"/>
    </row>
    <row r="453" spans="1:1">
      <c r="A453" s="59"/>
    </row>
    <row r="454" spans="1:1">
      <c r="A454" s="59"/>
    </row>
    <row r="455" spans="1:1">
      <c r="A455" s="59"/>
    </row>
    <row r="456" spans="1:1">
      <c r="A456" s="59"/>
    </row>
    <row r="457" spans="1:1">
      <c r="A457" s="59"/>
    </row>
    <row r="458" spans="1:1">
      <c r="A458" s="59"/>
    </row>
    <row r="459" spans="1:1">
      <c r="A459" s="59"/>
    </row>
    <row r="460" spans="1:1">
      <c r="A460" s="59"/>
    </row>
    <row r="461" spans="1:1">
      <c r="A461" s="59"/>
    </row>
    <row r="462" spans="1:1">
      <c r="A462" s="59"/>
    </row>
    <row r="463" spans="1:1">
      <c r="A463" s="59"/>
    </row>
    <row r="464" spans="1:1">
      <c r="A464" s="59"/>
    </row>
    <row r="465" spans="1:1">
      <c r="A465" s="59"/>
    </row>
    <row r="466" spans="1:1">
      <c r="A466" s="59"/>
    </row>
    <row r="467" spans="1:1">
      <c r="A467" s="59"/>
    </row>
    <row r="468" spans="1:1">
      <c r="A468" s="59"/>
    </row>
    <row r="469" spans="1:1">
      <c r="A469" s="59"/>
    </row>
    <row r="470" spans="1:1">
      <c r="A470" s="59"/>
    </row>
    <row r="471" spans="1:1">
      <c r="A471" s="59"/>
    </row>
    <row r="472" spans="1:1">
      <c r="A472" s="59"/>
    </row>
    <row r="473" spans="1:1">
      <c r="A473" s="59"/>
    </row>
    <row r="474" spans="1:1">
      <c r="A474" s="59"/>
    </row>
    <row r="475" spans="1:1">
      <c r="A475" s="59"/>
    </row>
    <row r="476" spans="1:1">
      <c r="A476" s="59"/>
    </row>
    <row r="477" spans="1:1">
      <c r="A477" s="59"/>
    </row>
    <row r="478" spans="1:1">
      <c r="A478" s="59"/>
    </row>
    <row r="479" spans="1:1">
      <c r="A479" s="59"/>
    </row>
    <row r="480" spans="1:1">
      <c r="A480" s="59"/>
    </row>
    <row r="481" spans="1:1">
      <c r="A481" s="59"/>
    </row>
    <row r="482" spans="1:1">
      <c r="A482" s="59"/>
    </row>
    <row r="483" spans="1:1">
      <c r="A483" s="59"/>
    </row>
    <row r="484" spans="1:1">
      <c r="A484" s="59"/>
    </row>
    <row r="485" spans="1:1">
      <c r="A485" s="59"/>
    </row>
    <row r="486" spans="1:1">
      <c r="A486" s="59"/>
    </row>
    <row r="487" spans="1:1">
      <c r="A487" s="59"/>
    </row>
    <row r="488" spans="1:1">
      <c r="A488" s="59"/>
    </row>
    <row r="489" spans="1:1">
      <c r="A489" s="59"/>
    </row>
    <row r="490" spans="1:1">
      <c r="A490" s="59"/>
    </row>
    <row r="491" spans="1:1">
      <c r="A491" s="59"/>
    </row>
    <row r="492" spans="1:1">
      <c r="A492" s="59"/>
    </row>
    <row r="493" spans="1:1">
      <c r="A493" s="59"/>
    </row>
    <row r="494" spans="1:1">
      <c r="A494" s="59"/>
    </row>
    <row r="495" spans="1:1">
      <c r="A495" s="59"/>
    </row>
    <row r="496" spans="1:1">
      <c r="A496" s="59"/>
    </row>
    <row r="497" spans="1:1">
      <c r="A497" s="59"/>
    </row>
    <row r="498" spans="1:1">
      <c r="A498" s="59"/>
    </row>
    <row r="499" spans="1:1">
      <c r="A499" s="59"/>
    </row>
    <row r="500" spans="1:1">
      <c r="A500" s="59"/>
    </row>
  </sheetData>
  <mergeCells count="2">
    <mergeCell ref="A1:P1"/>
    <mergeCell ref="A2:P2"/>
  </mergeCells>
  <conditionalFormatting sqref="O5:O61">
    <cfRule type="cellIs" dxfId="779" priority="1" operator="equal">
      <formula>"Alta"</formula>
    </cfRule>
    <cfRule type="cellIs" dxfId="778" priority="2" operator="equal">
      <formula>"Elevada"</formula>
    </cfRule>
  </conditionalFormatting>
  <dataValidations count="1">
    <dataValidation type="list" allowBlank="1" sqref="C5:C500 G5:G500 K5:L500" xr:uid="{00000000-0002-0000-2600-000000000000}">
      <formula1>"AM,PM,Noche,Mañana,Libre,Sí,No,Bajo,Medio,Alto"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500"/>
  <sheetViews>
    <sheetView showGridLines="0" workbookViewId="0"/>
  </sheetViews>
  <sheetFormatPr baseColWidth="10" defaultColWidth="8.7265625" defaultRowHeight="14.5"/>
  <cols>
    <col min="1" max="1" width="14" customWidth="1"/>
    <col min="2" max="4" width="18" customWidth="1"/>
    <col min="5" max="5" width="35" customWidth="1"/>
    <col min="6" max="6" width="25" customWidth="1"/>
    <col min="7" max="7" width="45" customWidth="1"/>
    <col min="8" max="8" width="18" customWidth="1"/>
    <col min="9" max="9" width="14" customWidth="1"/>
    <col min="10" max="10" width="16" customWidth="1"/>
    <col min="11" max="11" width="35" customWidth="1"/>
  </cols>
  <sheetData>
    <row r="1" spans="1:11" ht="24" customHeight="1">
      <c r="A1" s="474" t="s">
        <v>2104</v>
      </c>
      <c r="B1" s="475"/>
      <c r="C1" s="475"/>
      <c r="D1" s="475"/>
      <c r="E1" s="475"/>
      <c r="F1" s="475"/>
      <c r="G1" s="475"/>
      <c r="H1" s="475"/>
      <c r="I1" s="475"/>
      <c r="J1" s="475"/>
      <c r="K1" s="473"/>
    </row>
    <row r="2" spans="1:11" ht="20" customHeight="1">
      <c r="A2" s="477" t="s">
        <v>2105</v>
      </c>
      <c r="B2" s="475"/>
      <c r="C2" s="475"/>
      <c r="D2" s="475"/>
      <c r="E2" s="475"/>
      <c r="F2" s="475"/>
      <c r="G2" s="475"/>
      <c r="H2" s="475"/>
      <c r="I2" s="475"/>
      <c r="J2" s="475"/>
      <c r="K2" s="473"/>
    </row>
    <row r="4" spans="1:11" ht="29" customHeight="1">
      <c r="A4" s="273" t="s">
        <v>13</v>
      </c>
      <c r="B4" s="273" t="s">
        <v>2106</v>
      </c>
      <c r="C4" s="273" t="s">
        <v>1927</v>
      </c>
      <c r="D4" s="273" t="s">
        <v>66</v>
      </c>
      <c r="E4" s="273" t="s">
        <v>2107</v>
      </c>
      <c r="F4" s="273" t="s">
        <v>1931</v>
      </c>
      <c r="G4" s="273" t="s">
        <v>2108</v>
      </c>
      <c r="H4" s="273" t="s">
        <v>2109</v>
      </c>
      <c r="I4" s="273" t="s">
        <v>2110</v>
      </c>
      <c r="J4" s="273" t="s">
        <v>2111</v>
      </c>
      <c r="K4" s="273" t="s">
        <v>1934</v>
      </c>
    </row>
    <row r="5" spans="1:11" ht="29" customHeight="1">
      <c r="A5" s="274">
        <v>46191</v>
      </c>
      <c r="B5" s="270" t="s">
        <v>2112</v>
      </c>
      <c r="C5" s="270" t="s">
        <v>1936</v>
      </c>
      <c r="D5" s="270" t="s">
        <v>2113</v>
      </c>
      <c r="E5" s="270" t="s">
        <v>2011</v>
      </c>
      <c r="F5" s="270" t="s">
        <v>2114</v>
      </c>
      <c r="G5" s="270"/>
      <c r="H5" s="270" t="s">
        <v>724</v>
      </c>
      <c r="I5" s="274">
        <v>46189</v>
      </c>
      <c r="J5" s="270"/>
      <c r="K5" s="270" t="s">
        <v>49</v>
      </c>
    </row>
    <row r="6" spans="1:11">
      <c r="A6" s="275"/>
      <c r="B6" s="272" t="s">
        <v>2115</v>
      </c>
      <c r="C6" s="272" t="s">
        <v>1936</v>
      </c>
      <c r="D6" s="272" t="s">
        <v>1937</v>
      </c>
      <c r="E6" s="272" t="s">
        <v>2116</v>
      </c>
      <c r="F6" s="272"/>
      <c r="G6" s="272"/>
      <c r="H6" s="272" t="s">
        <v>722</v>
      </c>
      <c r="I6" s="275"/>
      <c r="J6" s="272"/>
      <c r="K6" s="272" t="s">
        <v>49</v>
      </c>
    </row>
    <row r="7" spans="1:11">
      <c r="A7" s="274"/>
      <c r="B7" s="270" t="s">
        <v>2117</v>
      </c>
      <c r="C7" s="270" t="s">
        <v>1936</v>
      </c>
      <c r="D7" s="270" t="s">
        <v>1914</v>
      </c>
      <c r="E7" s="270" t="s">
        <v>2118</v>
      </c>
      <c r="F7" s="270"/>
      <c r="G7" s="270"/>
      <c r="H7" s="270" t="s">
        <v>722</v>
      </c>
      <c r="I7" s="274"/>
      <c r="J7" s="270"/>
      <c r="K7" s="270" t="s">
        <v>49</v>
      </c>
    </row>
    <row r="8" spans="1:11">
      <c r="A8" s="275"/>
      <c r="B8" s="272"/>
      <c r="C8" s="272" t="s">
        <v>1936</v>
      </c>
      <c r="D8" s="272"/>
      <c r="E8" s="272"/>
      <c r="F8" s="272"/>
      <c r="G8" s="272"/>
      <c r="H8" s="272"/>
      <c r="I8" s="275"/>
      <c r="J8" s="272"/>
      <c r="K8" s="272"/>
    </row>
    <row r="9" spans="1:11">
      <c r="A9" s="274"/>
      <c r="B9" s="270"/>
      <c r="C9" s="270" t="s">
        <v>1936</v>
      </c>
      <c r="D9" s="270"/>
      <c r="E9" s="270"/>
      <c r="F9" s="270"/>
      <c r="G9" s="270"/>
      <c r="H9" s="270"/>
      <c r="I9" s="274"/>
      <c r="J9" s="270"/>
      <c r="K9" s="270"/>
    </row>
    <row r="10" spans="1:11">
      <c r="A10" s="275"/>
      <c r="B10" s="272"/>
      <c r="C10" s="272" t="s">
        <v>1936</v>
      </c>
      <c r="D10" s="272"/>
      <c r="E10" s="272"/>
      <c r="F10" s="272"/>
      <c r="G10" s="272"/>
      <c r="H10" s="272"/>
      <c r="I10" s="275"/>
      <c r="J10" s="272"/>
      <c r="K10" s="272"/>
    </row>
    <row r="11" spans="1:11">
      <c r="A11" s="274"/>
      <c r="B11" s="270"/>
      <c r="C11" s="270" t="s">
        <v>1936</v>
      </c>
      <c r="D11" s="270"/>
      <c r="E11" s="270"/>
      <c r="F11" s="270"/>
      <c r="G11" s="270"/>
      <c r="H11" s="270"/>
      <c r="I11" s="274"/>
      <c r="J11" s="270"/>
      <c r="K11" s="270"/>
    </row>
    <row r="12" spans="1:11">
      <c r="A12" s="275"/>
      <c r="B12" s="272"/>
      <c r="C12" s="272" t="s">
        <v>1936</v>
      </c>
      <c r="D12" s="272"/>
      <c r="E12" s="272"/>
      <c r="F12" s="272"/>
      <c r="G12" s="272"/>
      <c r="H12" s="272"/>
      <c r="I12" s="275"/>
      <c r="J12" s="272"/>
      <c r="K12" s="272"/>
    </row>
    <row r="13" spans="1:11">
      <c r="A13" s="274"/>
      <c r="B13" s="270"/>
      <c r="C13" s="270" t="s">
        <v>1936</v>
      </c>
      <c r="D13" s="270"/>
      <c r="E13" s="270"/>
      <c r="F13" s="270"/>
      <c r="G13" s="270"/>
      <c r="H13" s="270"/>
      <c r="I13" s="274"/>
      <c r="J13" s="270"/>
      <c r="K13" s="270"/>
    </row>
    <row r="14" spans="1:11">
      <c r="A14" s="275"/>
      <c r="B14" s="272"/>
      <c r="C14" s="272" t="s">
        <v>1936</v>
      </c>
      <c r="D14" s="272"/>
      <c r="E14" s="272"/>
      <c r="F14" s="272"/>
      <c r="G14" s="272"/>
      <c r="H14" s="272"/>
      <c r="I14" s="275"/>
      <c r="J14" s="272"/>
      <c r="K14" s="272"/>
    </row>
    <row r="15" spans="1:11">
      <c r="A15" s="274"/>
      <c r="B15" s="270"/>
      <c r="C15" s="270" t="s">
        <v>1936</v>
      </c>
      <c r="D15" s="270"/>
      <c r="E15" s="270"/>
      <c r="F15" s="270"/>
      <c r="G15" s="270"/>
      <c r="H15" s="270"/>
      <c r="I15" s="274"/>
      <c r="J15" s="270"/>
      <c r="K15" s="270"/>
    </row>
    <row r="16" spans="1:11">
      <c r="A16" s="275"/>
      <c r="B16" s="272"/>
      <c r="C16" s="272" t="s">
        <v>1936</v>
      </c>
      <c r="D16" s="272"/>
      <c r="E16" s="272"/>
      <c r="F16" s="272"/>
      <c r="G16" s="272"/>
      <c r="H16" s="272"/>
      <c r="I16" s="275"/>
      <c r="J16" s="272"/>
      <c r="K16" s="272"/>
    </row>
    <row r="17" spans="1:11">
      <c r="A17" s="274"/>
      <c r="B17" s="270"/>
      <c r="C17" s="270" t="s">
        <v>1936</v>
      </c>
      <c r="D17" s="270"/>
      <c r="E17" s="270"/>
      <c r="F17" s="270"/>
      <c r="G17" s="270"/>
      <c r="H17" s="270"/>
      <c r="I17" s="274"/>
      <c r="J17" s="270"/>
      <c r="K17" s="270"/>
    </row>
    <row r="18" spans="1:11">
      <c r="A18" s="275"/>
      <c r="B18" s="272"/>
      <c r="C18" s="272" t="s">
        <v>1936</v>
      </c>
      <c r="D18" s="272"/>
      <c r="E18" s="272"/>
      <c r="F18" s="272"/>
      <c r="G18" s="272"/>
      <c r="H18" s="272"/>
      <c r="I18" s="275"/>
      <c r="J18" s="272"/>
      <c r="K18" s="272"/>
    </row>
    <row r="19" spans="1:11">
      <c r="A19" s="274"/>
      <c r="B19" s="270"/>
      <c r="C19" s="270" t="s">
        <v>1936</v>
      </c>
      <c r="D19" s="270"/>
      <c r="E19" s="270"/>
      <c r="F19" s="270"/>
      <c r="G19" s="270"/>
      <c r="H19" s="270"/>
      <c r="I19" s="274"/>
      <c r="J19" s="270"/>
      <c r="K19" s="270"/>
    </row>
    <row r="20" spans="1:11">
      <c r="A20" s="275"/>
      <c r="B20" s="272"/>
      <c r="C20" s="272" t="s">
        <v>1936</v>
      </c>
      <c r="D20" s="272"/>
      <c r="E20" s="272"/>
      <c r="F20" s="272"/>
      <c r="G20" s="272"/>
      <c r="H20" s="272"/>
      <c r="I20" s="275"/>
      <c r="J20" s="272"/>
      <c r="K20" s="272"/>
    </row>
    <row r="21" spans="1:11">
      <c r="A21" s="274"/>
      <c r="B21" s="270"/>
      <c r="C21" s="270" t="s">
        <v>1936</v>
      </c>
      <c r="D21" s="270"/>
      <c r="E21" s="270"/>
      <c r="F21" s="270"/>
      <c r="G21" s="270"/>
      <c r="H21" s="270"/>
      <c r="I21" s="274"/>
      <c r="J21" s="270"/>
      <c r="K21" s="270"/>
    </row>
    <row r="22" spans="1:11">
      <c r="A22" s="275"/>
      <c r="B22" s="272"/>
      <c r="C22" s="272" t="s">
        <v>1936</v>
      </c>
      <c r="D22" s="272"/>
      <c r="E22" s="272"/>
      <c r="F22" s="272"/>
      <c r="G22" s="272"/>
      <c r="H22" s="272"/>
      <c r="I22" s="275"/>
      <c r="J22" s="272"/>
      <c r="K22" s="272"/>
    </row>
    <row r="23" spans="1:11">
      <c r="A23" s="274"/>
      <c r="B23" s="270"/>
      <c r="C23" s="270" t="s">
        <v>1936</v>
      </c>
      <c r="D23" s="270"/>
      <c r="E23" s="270"/>
      <c r="F23" s="270"/>
      <c r="G23" s="270"/>
      <c r="H23" s="270"/>
      <c r="I23" s="274"/>
      <c r="J23" s="270"/>
      <c r="K23" s="270"/>
    </row>
    <row r="24" spans="1:11">
      <c r="A24" s="275"/>
      <c r="B24" s="272"/>
      <c r="C24" s="272" t="s">
        <v>1936</v>
      </c>
      <c r="D24" s="272"/>
      <c r="E24" s="272"/>
      <c r="F24" s="272"/>
      <c r="G24" s="272"/>
      <c r="H24" s="272"/>
      <c r="I24" s="275"/>
      <c r="J24" s="272"/>
      <c r="K24" s="272"/>
    </row>
    <row r="25" spans="1:11">
      <c r="A25" s="274"/>
      <c r="B25" s="270"/>
      <c r="C25" s="270" t="s">
        <v>1936</v>
      </c>
      <c r="D25" s="270"/>
      <c r="E25" s="270"/>
      <c r="F25" s="270"/>
      <c r="G25" s="270"/>
      <c r="H25" s="270"/>
      <c r="I25" s="274"/>
      <c r="J25" s="270"/>
      <c r="K25" s="270"/>
    </row>
    <row r="26" spans="1:11">
      <c r="A26" s="275"/>
      <c r="B26" s="272"/>
      <c r="C26" s="272" t="s">
        <v>1936</v>
      </c>
      <c r="D26" s="272"/>
      <c r="E26" s="272"/>
      <c r="F26" s="272"/>
      <c r="G26" s="272"/>
      <c r="H26" s="272"/>
      <c r="I26" s="275"/>
      <c r="J26" s="272"/>
      <c r="K26" s="272"/>
    </row>
    <row r="27" spans="1:11">
      <c r="A27" s="274"/>
      <c r="B27" s="270"/>
      <c r="C27" s="270" t="s">
        <v>1936</v>
      </c>
      <c r="D27" s="270"/>
      <c r="E27" s="270"/>
      <c r="F27" s="270"/>
      <c r="G27" s="270"/>
      <c r="H27" s="270"/>
      <c r="I27" s="274"/>
      <c r="J27" s="270"/>
      <c r="K27" s="270"/>
    </row>
    <row r="28" spans="1:11">
      <c r="A28" s="275"/>
      <c r="B28" s="272"/>
      <c r="C28" s="272" t="s">
        <v>1936</v>
      </c>
      <c r="D28" s="272"/>
      <c r="E28" s="272"/>
      <c r="F28" s="272"/>
      <c r="G28" s="272"/>
      <c r="H28" s="272"/>
      <c r="I28" s="275"/>
      <c r="J28" s="272"/>
      <c r="K28" s="272"/>
    </row>
    <row r="29" spans="1:11">
      <c r="A29" s="274"/>
      <c r="B29" s="270"/>
      <c r="C29" s="270" t="s">
        <v>1936</v>
      </c>
      <c r="D29" s="270"/>
      <c r="E29" s="270"/>
      <c r="F29" s="270"/>
      <c r="G29" s="270"/>
      <c r="H29" s="270"/>
      <c r="I29" s="274"/>
      <c r="J29" s="270"/>
      <c r="K29" s="270"/>
    </row>
    <row r="30" spans="1:11">
      <c r="A30" s="275"/>
      <c r="B30" s="272"/>
      <c r="C30" s="272" t="s">
        <v>1936</v>
      </c>
      <c r="D30" s="272"/>
      <c r="E30" s="272"/>
      <c r="F30" s="272"/>
      <c r="G30" s="272"/>
      <c r="H30" s="272"/>
      <c r="I30" s="275"/>
      <c r="J30" s="272"/>
      <c r="K30" s="272"/>
    </row>
    <row r="31" spans="1:11">
      <c r="A31" s="274"/>
      <c r="B31" s="270"/>
      <c r="C31" s="270" t="s">
        <v>1936</v>
      </c>
      <c r="D31" s="270"/>
      <c r="E31" s="270"/>
      <c r="F31" s="270"/>
      <c r="G31" s="270"/>
      <c r="H31" s="270"/>
      <c r="I31" s="274"/>
      <c r="J31" s="270"/>
      <c r="K31" s="270"/>
    </row>
    <row r="32" spans="1:11">
      <c r="A32" s="275"/>
      <c r="B32" s="272"/>
      <c r="C32" s="272" t="s">
        <v>1936</v>
      </c>
      <c r="D32" s="272"/>
      <c r="E32" s="272"/>
      <c r="F32" s="272"/>
      <c r="G32" s="272"/>
      <c r="H32" s="272"/>
      <c r="I32" s="275"/>
      <c r="J32" s="272"/>
      <c r="K32" s="272"/>
    </row>
    <row r="33" spans="1:9">
      <c r="A33" s="59"/>
      <c r="I33" s="59"/>
    </row>
    <row r="34" spans="1:9">
      <c r="A34" s="59"/>
      <c r="I34" s="59"/>
    </row>
    <row r="35" spans="1:9">
      <c r="A35" s="59"/>
      <c r="I35" s="59"/>
    </row>
    <row r="36" spans="1:9">
      <c r="A36" s="59"/>
      <c r="I36" s="59"/>
    </row>
    <row r="37" spans="1:9">
      <c r="A37" s="59"/>
      <c r="I37" s="59"/>
    </row>
    <row r="38" spans="1:9">
      <c r="A38" s="59"/>
      <c r="I38" s="59"/>
    </row>
    <row r="39" spans="1:9">
      <c r="A39" s="59"/>
      <c r="I39" s="59"/>
    </row>
    <row r="40" spans="1:9">
      <c r="A40" s="59"/>
      <c r="I40" s="59"/>
    </row>
    <row r="41" spans="1:9">
      <c r="A41" s="59"/>
      <c r="I41" s="59"/>
    </row>
    <row r="42" spans="1:9">
      <c r="A42" s="59"/>
      <c r="I42" s="59"/>
    </row>
    <row r="43" spans="1:9">
      <c r="A43" s="59"/>
      <c r="I43" s="59"/>
    </row>
    <row r="44" spans="1:9">
      <c r="A44" s="59"/>
      <c r="I44" s="59"/>
    </row>
    <row r="45" spans="1:9">
      <c r="A45" s="59"/>
      <c r="I45" s="59"/>
    </row>
    <row r="46" spans="1:9">
      <c r="A46" s="59"/>
      <c r="I46" s="59"/>
    </row>
    <row r="47" spans="1:9">
      <c r="A47" s="59"/>
      <c r="I47" s="59"/>
    </row>
    <row r="48" spans="1:9">
      <c r="A48" s="59"/>
      <c r="I48" s="59"/>
    </row>
    <row r="49" spans="1:9">
      <c r="A49" s="59"/>
      <c r="I49" s="59"/>
    </row>
    <row r="50" spans="1:9">
      <c r="A50" s="59"/>
      <c r="I50" s="59"/>
    </row>
    <row r="51" spans="1:9">
      <c r="A51" s="59"/>
      <c r="I51" s="59"/>
    </row>
    <row r="52" spans="1:9">
      <c r="A52" s="59"/>
      <c r="I52" s="59"/>
    </row>
    <row r="53" spans="1:9">
      <c r="A53" s="59"/>
      <c r="I53" s="59"/>
    </row>
    <row r="54" spans="1:9">
      <c r="A54" s="59"/>
      <c r="I54" s="59"/>
    </row>
    <row r="55" spans="1:9">
      <c r="A55" s="59"/>
      <c r="I55" s="59"/>
    </row>
    <row r="56" spans="1:9">
      <c r="A56" s="59"/>
      <c r="I56" s="59"/>
    </row>
    <row r="57" spans="1:9">
      <c r="A57" s="59"/>
      <c r="I57" s="59"/>
    </row>
    <row r="58" spans="1:9">
      <c r="A58" s="59"/>
      <c r="I58" s="59"/>
    </row>
    <row r="59" spans="1:9">
      <c r="A59" s="59"/>
      <c r="I59" s="59"/>
    </row>
    <row r="60" spans="1:9">
      <c r="A60" s="59"/>
      <c r="I60" s="59"/>
    </row>
    <row r="61" spans="1:9">
      <c r="A61" s="59"/>
      <c r="I61" s="59"/>
    </row>
    <row r="62" spans="1:9">
      <c r="A62" s="59"/>
      <c r="I62" s="59"/>
    </row>
    <row r="63" spans="1:9">
      <c r="A63" s="59"/>
      <c r="I63" s="59"/>
    </row>
    <row r="64" spans="1:9">
      <c r="A64" s="59"/>
      <c r="I64" s="59"/>
    </row>
    <row r="65" spans="1:9">
      <c r="A65" s="59"/>
      <c r="I65" s="59"/>
    </row>
    <row r="66" spans="1:9">
      <c r="A66" s="59"/>
      <c r="I66" s="59"/>
    </row>
    <row r="67" spans="1:9">
      <c r="A67" s="59"/>
      <c r="I67" s="59"/>
    </row>
    <row r="68" spans="1:9">
      <c r="A68" s="59"/>
      <c r="I68" s="59"/>
    </row>
    <row r="69" spans="1:9">
      <c r="A69" s="59"/>
      <c r="I69" s="59"/>
    </row>
    <row r="70" spans="1:9">
      <c r="A70" s="59"/>
      <c r="I70" s="59"/>
    </row>
    <row r="71" spans="1:9">
      <c r="A71" s="59"/>
      <c r="I71" s="59"/>
    </row>
    <row r="72" spans="1:9">
      <c r="A72" s="59"/>
      <c r="I72" s="59"/>
    </row>
    <row r="73" spans="1:9">
      <c r="A73" s="59"/>
      <c r="I73" s="59"/>
    </row>
    <row r="74" spans="1:9">
      <c r="A74" s="59"/>
      <c r="I74" s="59"/>
    </row>
    <row r="75" spans="1:9">
      <c r="A75" s="59"/>
      <c r="I75" s="59"/>
    </row>
    <row r="76" spans="1:9">
      <c r="A76" s="59"/>
      <c r="I76" s="59"/>
    </row>
    <row r="77" spans="1:9">
      <c r="A77" s="59"/>
      <c r="I77" s="59"/>
    </row>
    <row r="78" spans="1:9">
      <c r="A78" s="59"/>
      <c r="I78" s="59"/>
    </row>
    <row r="79" spans="1:9">
      <c r="A79" s="59"/>
      <c r="I79" s="59"/>
    </row>
    <row r="80" spans="1:9">
      <c r="A80" s="59"/>
      <c r="I80" s="59"/>
    </row>
    <row r="81" spans="1:9">
      <c r="A81" s="59"/>
      <c r="I81" s="59"/>
    </row>
    <row r="82" spans="1:9">
      <c r="A82" s="59"/>
      <c r="I82" s="59"/>
    </row>
    <row r="83" spans="1:9">
      <c r="A83" s="59"/>
      <c r="I83" s="59"/>
    </row>
    <row r="84" spans="1:9">
      <c r="A84" s="59"/>
      <c r="I84" s="59"/>
    </row>
    <row r="85" spans="1:9">
      <c r="A85" s="59"/>
      <c r="I85" s="59"/>
    </row>
    <row r="86" spans="1:9">
      <c r="A86" s="59"/>
      <c r="I86" s="59"/>
    </row>
    <row r="87" spans="1:9">
      <c r="A87" s="59"/>
      <c r="I87" s="59"/>
    </row>
    <row r="88" spans="1:9">
      <c r="A88" s="59"/>
      <c r="I88" s="59"/>
    </row>
    <row r="89" spans="1:9">
      <c r="A89" s="59"/>
      <c r="I89" s="59"/>
    </row>
    <row r="90" spans="1:9">
      <c r="A90" s="59"/>
      <c r="I90" s="59"/>
    </row>
    <row r="91" spans="1:9">
      <c r="A91" s="59"/>
      <c r="I91" s="59"/>
    </row>
    <row r="92" spans="1:9">
      <c r="A92" s="59"/>
      <c r="I92" s="59"/>
    </row>
    <row r="93" spans="1:9">
      <c r="A93" s="59"/>
      <c r="I93" s="59"/>
    </row>
    <row r="94" spans="1:9">
      <c r="A94" s="59"/>
      <c r="I94" s="59"/>
    </row>
    <row r="95" spans="1:9">
      <c r="A95" s="59"/>
      <c r="I95" s="59"/>
    </row>
    <row r="96" spans="1:9">
      <c r="A96" s="59"/>
      <c r="I96" s="59"/>
    </row>
    <row r="97" spans="1:9">
      <c r="A97" s="59"/>
      <c r="I97" s="59"/>
    </row>
    <row r="98" spans="1:9">
      <c r="A98" s="59"/>
      <c r="I98" s="59"/>
    </row>
    <row r="99" spans="1:9">
      <c r="A99" s="59"/>
      <c r="I99" s="59"/>
    </row>
    <row r="100" spans="1:9">
      <c r="A100" s="59"/>
      <c r="I100" s="59"/>
    </row>
    <row r="101" spans="1:9">
      <c r="A101" s="59"/>
      <c r="I101" s="59"/>
    </row>
    <row r="102" spans="1:9">
      <c r="A102" s="59"/>
      <c r="I102" s="59"/>
    </row>
    <row r="103" spans="1:9">
      <c r="A103" s="59"/>
      <c r="I103" s="59"/>
    </row>
    <row r="104" spans="1:9">
      <c r="A104" s="59"/>
      <c r="I104" s="59"/>
    </row>
    <row r="105" spans="1:9">
      <c r="A105" s="59"/>
      <c r="I105" s="59"/>
    </row>
    <row r="106" spans="1:9">
      <c r="A106" s="59"/>
      <c r="I106" s="59"/>
    </row>
    <row r="107" spans="1:9">
      <c r="A107" s="59"/>
      <c r="I107" s="59"/>
    </row>
    <row r="108" spans="1:9">
      <c r="A108" s="59"/>
      <c r="I108" s="59"/>
    </row>
    <row r="109" spans="1:9">
      <c r="A109" s="59"/>
      <c r="I109" s="59"/>
    </row>
    <row r="110" spans="1:9">
      <c r="A110" s="59"/>
      <c r="I110" s="59"/>
    </row>
    <row r="111" spans="1:9">
      <c r="A111" s="59"/>
      <c r="I111" s="59"/>
    </row>
    <row r="112" spans="1:9">
      <c r="A112" s="59"/>
      <c r="I112" s="59"/>
    </row>
    <row r="113" spans="1:9">
      <c r="A113" s="59"/>
      <c r="I113" s="59"/>
    </row>
    <row r="114" spans="1:9">
      <c r="A114" s="59"/>
      <c r="I114" s="59"/>
    </row>
    <row r="115" spans="1:9">
      <c r="A115" s="59"/>
      <c r="I115" s="59"/>
    </row>
    <row r="116" spans="1:9">
      <c r="A116" s="59"/>
      <c r="I116" s="59"/>
    </row>
    <row r="117" spans="1:9">
      <c r="A117" s="59"/>
      <c r="I117" s="59"/>
    </row>
    <row r="118" spans="1:9">
      <c r="A118" s="59"/>
      <c r="I118" s="59"/>
    </row>
    <row r="119" spans="1:9">
      <c r="A119" s="59"/>
      <c r="I119" s="59"/>
    </row>
    <row r="120" spans="1:9">
      <c r="A120" s="59"/>
      <c r="I120" s="59"/>
    </row>
    <row r="121" spans="1:9">
      <c r="A121" s="59"/>
      <c r="I121" s="59"/>
    </row>
    <row r="122" spans="1:9">
      <c r="A122" s="59"/>
      <c r="I122" s="59"/>
    </row>
    <row r="123" spans="1:9">
      <c r="A123" s="59"/>
      <c r="I123" s="59"/>
    </row>
    <row r="124" spans="1:9">
      <c r="A124" s="59"/>
      <c r="I124" s="59"/>
    </row>
    <row r="125" spans="1:9">
      <c r="A125" s="59"/>
      <c r="I125" s="59"/>
    </row>
    <row r="126" spans="1:9">
      <c r="A126" s="59"/>
      <c r="I126" s="59"/>
    </row>
    <row r="127" spans="1:9">
      <c r="A127" s="59"/>
      <c r="I127" s="59"/>
    </row>
    <row r="128" spans="1:9">
      <c r="A128" s="59"/>
      <c r="I128" s="59"/>
    </row>
    <row r="129" spans="1:9">
      <c r="A129" s="59"/>
      <c r="I129" s="59"/>
    </row>
    <row r="130" spans="1:9">
      <c r="A130" s="59"/>
      <c r="I130" s="59"/>
    </row>
    <row r="131" spans="1:9">
      <c r="A131" s="59"/>
      <c r="I131" s="59"/>
    </row>
    <row r="132" spans="1:9">
      <c r="A132" s="59"/>
      <c r="I132" s="59"/>
    </row>
    <row r="133" spans="1:9">
      <c r="A133" s="59"/>
      <c r="I133" s="59"/>
    </row>
    <row r="134" spans="1:9">
      <c r="A134" s="59"/>
      <c r="I134" s="59"/>
    </row>
    <row r="135" spans="1:9">
      <c r="A135" s="59"/>
      <c r="I135" s="59"/>
    </row>
    <row r="136" spans="1:9">
      <c r="A136" s="59"/>
      <c r="I136" s="59"/>
    </row>
    <row r="137" spans="1:9">
      <c r="A137" s="59"/>
      <c r="I137" s="59"/>
    </row>
    <row r="138" spans="1:9">
      <c r="A138" s="59"/>
      <c r="I138" s="59"/>
    </row>
    <row r="139" spans="1:9">
      <c r="A139" s="59"/>
      <c r="I139" s="59"/>
    </row>
    <row r="140" spans="1:9">
      <c r="A140" s="59"/>
      <c r="I140" s="59"/>
    </row>
    <row r="141" spans="1:9">
      <c r="A141" s="59"/>
      <c r="I141" s="59"/>
    </row>
    <row r="142" spans="1:9">
      <c r="A142" s="59"/>
      <c r="I142" s="59"/>
    </row>
    <row r="143" spans="1:9">
      <c r="A143" s="59"/>
      <c r="I143" s="59"/>
    </row>
    <row r="144" spans="1:9">
      <c r="A144" s="59"/>
      <c r="I144" s="59"/>
    </row>
    <row r="145" spans="1:9">
      <c r="A145" s="59"/>
      <c r="I145" s="59"/>
    </row>
    <row r="146" spans="1:9">
      <c r="A146" s="59"/>
      <c r="I146" s="59"/>
    </row>
    <row r="147" spans="1:9">
      <c r="A147" s="59"/>
      <c r="I147" s="59"/>
    </row>
    <row r="148" spans="1:9">
      <c r="A148" s="59"/>
      <c r="I148" s="59"/>
    </row>
    <row r="149" spans="1:9">
      <c r="A149" s="59"/>
      <c r="I149" s="59"/>
    </row>
    <row r="150" spans="1:9">
      <c r="A150" s="59"/>
      <c r="I150" s="59"/>
    </row>
    <row r="151" spans="1:9">
      <c r="A151" s="59"/>
      <c r="I151" s="59"/>
    </row>
    <row r="152" spans="1:9">
      <c r="A152" s="59"/>
      <c r="I152" s="59"/>
    </row>
    <row r="153" spans="1:9">
      <c r="A153" s="59"/>
      <c r="I153" s="59"/>
    </row>
    <row r="154" spans="1:9">
      <c r="A154" s="59"/>
      <c r="I154" s="59"/>
    </row>
    <row r="155" spans="1:9">
      <c r="A155" s="59"/>
      <c r="I155" s="59"/>
    </row>
    <row r="156" spans="1:9">
      <c r="A156" s="59"/>
      <c r="I156" s="59"/>
    </row>
    <row r="157" spans="1:9">
      <c r="A157" s="59"/>
      <c r="I157" s="59"/>
    </row>
    <row r="158" spans="1:9">
      <c r="A158" s="59"/>
      <c r="I158" s="59"/>
    </row>
    <row r="159" spans="1:9">
      <c r="A159" s="59"/>
      <c r="I159" s="59"/>
    </row>
    <row r="160" spans="1:9">
      <c r="A160" s="59"/>
      <c r="I160" s="59"/>
    </row>
    <row r="161" spans="1:9">
      <c r="A161" s="59"/>
      <c r="I161" s="59"/>
    </row>
    <row r="162" spans="1:9">
      <c r="A162" s="59"/>
      <c r="I162" s="59"/>
    </row>
    <row r="163" spans="1:9">
      <c r="A163" s="59"/>
      <c r="I163" s="59"/>
    </row>
    <row r="164" spans="1:9">
      <c r="A164" s="59"/>
      <c r="I164" s="59"/>
    </row>
    <row r="165" spans="1:9">
      <c r="A165" s="59"/>
      <c r="I165" s="59"/>
    </row>
    <row r="166" spans="1:9">
      <c r="A166" s="59"/>
      <c r="I166" s="59"/>
    </row>
    <row r="167" spans="1:9">
      <c r="A167" s="59"/>
      <c r="I167" s="59"/>
    </row>
    <row r="168" spans="1:9">
      <c r="A168" s="59"/>
      <c r="I168" s="59"/>
    </row>
    <row r="169" spans="1:9">
      <c r="A169" s="59"/>
      <c r="I169" s="59"/>
    </row>
    <row r="170" spans="1:9">
      <c r="A170" s="59"/>
      <c r="I170" s="59"/>
    </row>
    <row r="171" spans="1:9">
      <c r="A171" s="59"/>
      <c r="I171" s="59"/>
    </row>
    <row r="172" spans="1:9">
      <c r="A172" s="59"/>
      <c r="I172" s="59"/>
    </row>
    <row r="173" spans="1:9">
      <c r="A173" s="59"/>
      <c r="I173" s="59"/>
    </row>
    <row r="174" spans="1:9">
      <c r="A174" s="59"/>
      <c r="I174" s="59"/>
    </row>
    <row r="175" spans="1:9">
      <c r="A175" s="59"/>
      <c r="I175" s="59"/>
    </row>
    <row r="176" spans="1:9">
      <c r="A176" s="59"/>
      <c r="I176" s="59"/>
    </row>
    <row r="177" spans="1:9">
      <c r="A177" s="59"/>
      <c r="I177" s="59"/>
    </row>
    <row r="178" spans="1:9">
      <c r="A178" s="59"/>
      <c r="I178" s="59"/>
    </row>
    <row r="179" spans="1:9">
      <c r="A179" s="59"/>
      <c r="I179" s="59"/>
    </row>
    <row r="180" spans="1:9">
      <c r="A180" s="59"/>
      <c r="I180" s="59"/>
    </row>
    <row r="181" spans="1:9">
      <c r="A181" s="59"/>
      <c r="I181" s="59"/>
    </row>
    <row r="182" spans="1:9">
      <c r="A182" s="59"/>
      <c r="I182" s="59"/>
    </row>
    <row r="183" spans="1:9">
      <c r="A183" s="59"/>
      <c r="I183" s="59"/>
    </row>
    <row r="184" spans="1:9">
      <c r="A184" s="59"/>
      <c r="I184" s="59"/>
    </row>
    <row r="185" spans="1:9">
      <c r="A185" s="59"/>
      <c r="I185" s="59"/>
    </row>
    <row r="186" spans="1:9">
      <c r="A186" s="59"/>
      <c r="I186" s="59"/>
    </row>
    <row r="187" spans="1:9">
      <c r="A187" s="59"/>
      <c r="I187" s="59"/>
    </row>
    <row r="188" spans="1:9">
      <c r="A188" s="59"/>
      <c r="I188" s="59"/>
    </row>
    <row r="189" spans="1:9">
      <c r="A189" s="59"/>
      <c r="I189" s="59"/>
    </row>
    <row r="190" spans="1:9">
      <c r="A190" s="59"/>
      <c r="I190" s="59"/>
    </row>
    <row r="191" spans="1:9">
      <c r="A191" s="59"/>
      <c r="I191" s="59"/>
    </row>
    <row r="192" spans="1:9">
      <c r="A192" s="59"/>
      <c r="I192" s="59"/>
    </row>
    <row r="193" spans="1:9">
      <c r="A193" s="59"/>
      <c r="I193" s="59"/>
    </row>
    <row r="194" spans="1:9">
      <c r="A194" s="59"/>
      <c r="I194" s="59"/>
    </row>
    <row r="195" spans="1:9">
      <c r="A195" s="59"/>
      <c r="I195" s="59"/>
    </row>
    <row r="196" spans="1:9">
      <c r="A196" s="59"/>
      <c r="I196" s="59"/>
    </row>
    <row r="197" spans="1:9">
      <c r="A197" s="59"/>
      <c r="I197" s="59"/>
    </row>
    <row r="198" spans="1:9">
      <c r="A198" s="59"/>
      <c r="I198" s="59"/>
    </row>
    <row r="199" spans="1:9">
      <c r="A199" s="59"/>
      <c r="I199" s="59"/>
    </row>
    <row r="200" spans="1:9">
      <c r="A200" s="59"/>
      <c r="I200" s="59"/>
    </row>
    <row r="201" spans="1:9">
      <c r="A201" s="59"/>
      <c r="I201" s="59"/>
    </row>
    <row r="202" spans="1:9">
      <c r="A202" s="59"/>
      <c r="I202" s="59"/>
    </row>
    <row r="203" spans="1:9">
      <c r="A203" s="59"/>
      <c r="I203" s="59"/>
    </row>
    <row r="204" spans="1:9">
      <c r="A204" s="59"/>
      <c r="I204" s="59"/>
    </row>
    <row r="205" spans="1:9">
      <c r="A205" s="59"/>
      <c r="I205" s="59"/>
    </row>
    <row r="206" spans="1:9">
      <c r="A206" s="59"/>
      <c r="I206" s="59"/>
    </row>
    <row r="207" spans="1:9">
      <c r="A207" s="59"/>
      <c r="I207" s="59"/>
    </row>
    <row r="208" spans="1:9">
      <c r="A208" s="59"/>
      <c r="I208" s="59"/>
    </row>
    <row r="209" spans="1:9">
      <c r="A209" s="59"/>
      <c r="I209" s="59"/>
    </row>
    <row r="210" spans="1:9">
      <c r="A210" s="59"/>
      <c r="I210" s="59"/>
    </row>
    <row r="211" spans="1:9">
      <c r="A211" s="59"/>
      <c r="I211" s="59"/>
    </row>
    <row r="212" spans="1:9">
      <c r="A212" s="59"/>
      <c r="I212" s="59"/>
    </row>
    <row r="213" spans="1:9">
      <c r="A213" s="59"/>
      <c r="I213" s="59"/>
    </row>
    <row r="214" spans="1:9">
      <c r="A214" s="59"/>
      <c r="I214" s="59"/>
    </row>
    <row r="215" spans="1:9">
      <c r="A215" s="59"/>
      <c r="I215" s="59"/>
    </row>
    <row r="216" spans="1:9">
      <c r="A216" s="59"/>
      <c r="I216" s="59"/>
    </row>
    <row r="217" spans="1:9">
      <c r="A217" s="59"/>
      <c r="I217" s="59"/>
    </row>
    <row r="218" spans="1:9">
      <c r="A218" s="59"/>
      <c r="I218" s="59"/>
    </row>
    <row r="219" spans="1:9">
      <c r="A219" s="59"/>
      <c r="I219" s="59"/>
    </row>
    <row r="220" spans="1:9">
      <c r="A220" s="59"/>
      <c r="I220" s="59"/>
    </row>
    <row r="221" spans="1:9">
      <c r="A221" s="59"/>
      <c r="I221" s="59"/>
    </row>
    <row r="222" spans="1:9">
      <c r="A222" s="59"/>
      <c r="I222" s="59"/>
    </row>
    <row r="223" spans="1:9">
      <c r="A223" s="59"/>
      <c r="I223" s="59"/>
    </row>
    <row r="224" spans="1:9">
      <c r="A224" s="59"/>
      <c r="I224" s="59"/>
    </row>
    <row r="225" spans="1:9">
      <c r="A225" s="59"/>
      <c r="I225" s="59"/>
    </row>
    <row r="226" spans="1:9">
      <c r="A226" s="59"/>
      <c r="I226" s="59"/>
    </row>
    <row r="227" spans="1:9">
      <c r="A227" s="59"/>
      <c r="I227" s="59"/>
    </row>
    <row r="228" spans="1:9">
      <c r="A228" s="59"/>
      <c r="I228" s="59"/>
    </row>
    <row r="229" spans="1:9">
      <c r="A229" s="59"/>
      <c r="I229" s="59"/>
    </row>
    <row r="230" spans="1:9">
      <c r="A230" s="59"/>
      <c r="I230" s="59"/>
    </row>
    <row r="231" spans="1:9">
      <c r="A231" s="59"/>
      <c r="I231" s="59"/>
    </row>
    <row r="232" spans="1:9">
      <c r="A232" s="59"/>
      <c r="I232" s="59"/>
    </row>
    <row r="233" spans="1:9">
      <c r="A233" s="59"/>
      <c r="I233" s="59"/>
    </row>
    <row r="234" spans="1:9">
      <c r="A234" s="59"/>
      <c r="I234" s="59"/>
    </row>
    <row r="235" spans="1:9">
      <c r="A235" s="59"/>
      <c r="I235" s="59"/>
    </row>
    <row r="236" spans="1:9">
      <c r="A236" s="59"/>
      <c r="I236" s="59"/>
    </row>
    <row r="237" spans="1:9">
      <c r="A237" s="59"/>
      <c r="I237" s="59"/>
    </row>
    <row r="238" spans="1:9">
      <c r="A238" s="59"/>
      <c r="I238" s="59"/>
    </row>
    <row r="239" spans="1:9">
      <c r="A239" s="59"/>
      <c r="I239" s="59"/>
    </row>
    <row r="240" spans="1:9">
      <c r="A240" s="59"/>
      <c r="I240" s="59"/>
    </row>
    <row r="241" spans="1:9">
      <c r="A241" s="59"/>
      <c r="I241" s="59"/>
    </row>
    <row r="242" spans="1:9">
      <c r="A242" s="59"/>
      <c r="I242" s="59"/>
    </row>
    <row r="243" spans="1:9">
      <c r="A243" s="59"/>
      <c r="I243" s="59"/>
    </row>
    <row r="244" spans="1:9">
      <c r="A244" s="59"/>
      <c r="I244" s="59"/>
    </row>
    <row r="245" spans="1:9">
      <c r="A245" s="59"/>
      <c r="I245" s="59"/>
    </row>
    <row r="246" spans="1:9">
      <c r="A246" s="59"/>
      <c r="I246" s="59"/>
    </row>
    <row r="247" spans="1:9">
      <c r="A247" s="59"/>
      <c r="I247" s="59"/>
    </row>
    <row r="248" spans="1:9">
      <c r="A248" s="59"/>
      <c r="I248" s="59"/>
    </row>
    <row r="249" spans="1:9">
      <c r="A249" s="59"/>
      <c r="I249" s="59"/>
    </row>
    <row r="250" spans="1:9">
      <c r="A250" s="59"/>
      <c r="I250" s="59"/>
    </row>
    <row r="251" spans="1:9">
      <c r="A251" s="59"/>
      <c r="I251" s="59"/>
    </row>
    <row r="252" spans="1:9">
      <c r="A252" s="59"/>
      <c r="I252" s="59"/>
    </row>
    <row r="253" spans="1:9">
      <c r="A253" s="59"/>
      <c r="I253" s="59"/>
    </row>
    <row r="254" spans="1:9">
      <c r="A254" s="59"/>
      <c r="I254" s="59"/>
    </row>
    <row r="255" spans="1:9">
      <c r="A255" s="59"/>
      <c r="I255" s="59"/>
    </row>
    <row r="256" spans="1:9">
      <c r="A256" s="59"/>
      <c r="I256" s="59"/>
    </row>
    <row r="257" spans="1:9">
      <c r="A257" s="59"/>
      <c r="I257" s="59"/>
    </row>
    <row r="258" spans="1:9">
      <c r="A258" s="59"/>
      <c r="I258" s="59"/>
    </row>
    <row r="259" spans="1:9">
      <c r="A259" s="59"/>
      <c r="I259" s="59"/>
    </row>
    <row r="260" spans="1:9">
      <c r="A260" s="59"/>
      <c r="I260" s="59"/>
    </row>
    <row r="261" spans="1:9">
      <c r="A261" s="59"/>
      <c r="I261" s="59"/>
    </row>
    <row r="262" spans="1:9">
      <c r="A262" s="59"/>
      <c r="I262" s="59"/>
    </row>
    <row r="263" spans="1:9">
      <c r="A263" s="59"/>
      <c r="I263" s="59"/>
    </row>
    <row r="264" spans="1:9">
      <c r="A264" s="59"/>
      <c r="I264" s="59"/>
    </row>
    <row r="265" spans="1:9">
      <c r="A265" s="59"/>
      <c r="I265" s="59"/>
    </row>
    <row r="266" spans="1:9">
      <c r="A266" s="59"/>
      <c r="I266" s="59"/>
    </row>
    <row r="267" spans="1:9">
      <c r="A267" s="59"/>
      <c r="I267" s="59"/>
    </row>
    <row r="268" spans="1:9">
      <c r="A268" s="59"/>
      <c r="I268" s="59"/>
    </row>
    <row r="269" spans="1:9">
      <c r="A269" s="59"/>
      <c r="I269" s="59"/>
    </row>
    <row r="270" spans="1:9">
      <c r="A270" s="59"/>
      <c r="I270" s="59"/>
    </row>
    <row r="271" spans="1:9">
      <c r="A271" s="59"/>
      <c r="I271" s="59"/>
    </row>
    <row r="272" spans="1:9">
      <c r="A272" s="59"/>
      <c r="I272" s="59"/>
    </row>
    <row r="273" spans="1:9">
      <c r="A273" s="59"/>
      <c r="I273" s="59"/>
    </row>
    <row r="274" spans="1:9">
      <c r="A274" s="59"/>
      <c r="I274" s="59"/>
    </row>
    <row r="275" spans="1:9">
      <c r="A275" s="59"/>
      <c r="I275" s="59"/>
    </row>
    <row r="276" spans="1:9">
      <c r="A276" s="59"/>
      <c r="I276" s="59"/>
    </row>
    <row r="277" spans="1:9">
      <c r="A277" s="59"/>
      <c r="I277" s="59"/>
    </row>
    <row r="278" spans="1:9">
      <c r="A278" s="59"/>
      <c r="I278" s="59"/>
    </row>
    <row r="279" spans="1:9">
      <c r="A279" s="59"/>
      <c r="I279" s="59"/>
    </row>
    <row r="280" spans="1:9">
      <c r="A280" s="59"/>
      <c r="I280" s="59"/>
    </row>
    <row r="281" spans="1:9">
      <c r="A281" s="59"/>
      <c r="I281" s="59"/>
    </row>
    <row r="282" spans="1:9">
      <c r="A282" s="59"/>
      <c r="I282" s="59"/>
    </row>
    <row r="283" spans="1:9">
      <c r="A283" s="59"/>
      <c r="I283" s="59"/>
    </row>
    <row r="284" spans="1:9">
      <c r="A284" s="59"/>
      <c r="I284" s="59"/>
    </row>
    <row r="285" spans="1:9">
      <c r="A285" s="59"/>
      <c r="I285" s="59"/>
    </row>
    <row r="286" spans="1:9">
      <c r="A286" s="59"/>
      <c r="I286" s="59"/>
    </row>
    <row r="287" spans="1:9">
      <c r="A287" s="59"/>
      <c r="I287" s="59"/>
    </row>
    <row r="288" spans="1:9">
      <c r="A288" s="59"/>
      <c r="I288" s="59"/>
    </row>
    <row r="289" spans="1:9">
      <c r="A289" s="59"/>
      <c r="I289" s="59"/>
    </row>
    <row r="290" spans="1:9">
      <c r="A290" s="59"/>
      <c r="I290" s="59"/>
    </row>
    <row r="291" spans="1:9">
      <c r="A291" s="59"/>
      <c r="I291" s="59"/>
    </row>
    <row r="292" spans="1:9">
      <c r="A292" s="59"/>
      <c r="I292" s="59"/>
    </row>
    <row r="293" spans="1:9">
      <c r="A293" s="59"/>
      <c r="I293" s="59"/>
    </row>
    <row r="294" spans="1:9">
      <c r="A294" s="59"/>
      <c r="I294" s="59"/>
    </row>
    <row r="295" spans="1:9">
      <c r="A295" s="59"/>
      <c r="I295" s="59"/>
    </row>
    <row r="296" spans="1:9">
      <c r="A296" s="59"/>
      <c r="I296" s="59"/>
    </row>
    <row r="297" spans="1:9">
      <c r="A297" s="59"/>
      <c r="I297" s="59"/>
    </row>
    <row r="298" spans="1:9">
      <c r="A298" s="59"/>
      <c r="I298" s="59"/>
    </row>
    <row r="299" spans="1:9">
      <c r="A299" s="59"/>
      <c r="I299" s="59"/>
    </row>
    <row r="300" spans="1:9">
      <c r="A300" s="59"/>
      <c r="I300" s="59"/>
    </row>
    <row r="301" spans="1:9">
      <c r="A301" s="59"/>
      <c r="I301" s="59"/>
    </row>
    <row r="302" spans="1:9">
      <c r="A302" s="59"/>
      <c r="I302" s="59"/>
    </row>
    <row r="303" spans="1:9">
      <c r="A303" s="59"/>
      <c r="I303" s="59"/>
    </row>
    <row r="304" spans="1:9">
      <c r="A304" s="59"/>
      <c r="I304" s="59"/>
    </row>
    <row r="305" spans="1:9">
      <c r="A305" s="59"/>
      <c r="I305" s="59"/>
    </row>
    <row r="306" spans="1:9">
      <c r="A306" s="59"/>
      <c r="I306" s="59"/>
    </row>
    <row r="307" spans="1:9">
      <c r="A307" s="59"/>
      <c r="I307" s="59"/>
    </row>
    <row r="308" spans="1:9">
      <c r="A308" s="59"/>
      <c r="I308" s="59"/>
    </row>
    <row r="309" spans="1:9">
      <c r="A309" s="59"/>
      <c r="I309" s="59"/>
    </row>
    <row r="310" spans="1:9">
      <c r="A310" s="59"/>
      <c r="I310" s="59"/>
    </row>
    <row r="311" spans="1:9">
      <c r="A311" s="59"/>
      <c r="I311" s="59"/>
    </row>
    <row r="312" spans="1:9">
      <c r="A312" s="59"/>
      <c r="I312" s="59"/>
    </row>
    <row r="313" spans="1:9">
      <c r="A313" s="59"/>
      <c r="I313" s="59"/>
    </row>
    <row r="314" spans="1:9">
      <c r="A314" s="59"/>
      <c r="I314" s="59"/>
    </row>
    <row r="315" spans="1:9">
      <c r="A315" s="59"/>
      <c r="I315" s="59"/>
    </row>
    <row r="316" spans="1:9">
      <c r="A316" s="59"/>
      <c r="I316" s="59"/>
    </row>
    <row r="317" spans="1:9">
      <c r="A317" s="59"/>
      <c r="I317" s="59"/>
    </row>
    <row r="318" spans="1:9">
      <c r="A318" s="59"/>
      <c r="I318" s="59"/>
    </row>
    <row r="319" spans="1:9">
      <c r="A319" s="59"/>
      <c r="I319" s="59"/>
    </row>
    <row r="320" spans="1:9">
      <c r="A320" s="59"/>
      <c r="I320" s="59"/>
    </row>
    <row r="321" spans="1:9">
      <c r="A321" s="59"/>
      <c r="I321" s="59"/>
    </row>
    <row r="322" spans="1:9">
      <c r="A322" s="59"/>
      <c r="I322" s="59"/>
    </row>
    <row r="323" spans="1:9">
      <c r="A323" s="59"/>
      <c r="I323" s="59"/>
    </row>
    <row r="324" spans="1:9">
      <c r="A324" s="59"/>
      <c r="I324" s="59"/>
    </row>
    <row r="325" spans="1:9">
      <c r="A325" s="59"/>
      <c r="I325" s="59"/>
    </row>
    <row r="326" spans="1:9">
      <c r="A326" s="59"/>
      <c r="I326" s="59"/>
    </row>
    <row r="327" spans="1:9">
      <c r="A327" s="59"/>
      <c r="I327" s="59"/>
    </row>
    <row r="328" spans="1:9">
      <c r="A328" s="59"/>
      <c r="I328" s="59"/>
    </row>
    <row r="329" spans="1:9">
      <c r="A329" s="59"/>
      <c r="I329" s="59"/>
    </row>
    <row r="330" spans="1:9">
      <c r="A330" s="59"/>
      <c r="I330" s="59"/>
    </row>
    <row r="331" spans="1:9">
      <c r="A331" s="59"/>
      <c r="I331" s="59"/>
    </row>
    <row r="332" spans="1:9">
      <c r="A332" s="59"/>
      <c r="I332" s="59"/>
    </row>
    <row r="333" spans="1:9">
      <c r="A333" s="59"/>
      <c r="I333" s="59"/>
    </row>
    <row r="334" spans="1:9">
      <c r="A334" s="59"/>
      <c r="I334" s="59"/>
    </row>
    <row r="335" spans="1:9">
      <c r="A335" s="59"/>
      <c r="I335" s="59"/>
    </row>
    <row r="336" spans="1:9">
      <c r="A336" s="59"/>
      <c r="I336" s="59"/>
    </row>
    <row r="337" spans="1:9">
      <c r="A337" s="59"/>
      <c r="I337" s="59"/>
    </row>
    <row r="338" spans="1:9">
      <c r="A338" s="59"/>
      <c r="I338" s="59"/>
    </row>
    <row r="339" spans="1:9">
      <c r="A339" s="59"/>
      <c r="I339" s="59"/>
    </row>
    <row r="340" spans="1:9">
      <c r="A340" s="59"/>
      <c r="I340" s="59"/>
    </row>
    <row r="341" spans="1:9">
      <c r="A341" s="59"/>
      <c r="I341" s="59"/>
    </row>
    <row r="342" spans="1:9">
      <c r="A342" s="59"/>
      <c r="I342" s="59"/>
    </row>
    <row r="343" spans="1:9">
      <c r="A343" s="59"/>
      <c r="I343" s="59"/>
    </row>
    <row r="344" spans="1:9">
      <c r="A344" s="59"/>
      <c r="I344" s="59"/>
    </row>
    <row r="345" spans="1:9">
      <c r="A345" s="59"/>
      <c r="I345" s="59"/>
    </row>
    <row r="346" spans="1:9">
      <c r="A346" s="59"/>
      <c r="I346" s="59"/>
    </row>
    <row r="347" spans="1:9">
      <c r="A347" s="59"/>
      <c r="I347" s="59"/>
    </row>
    <row r="348" spans="1:9">
      <c r="A348" s="59"/>
      <c r="I348" s="59"/>
    </row>
    <row r="349" spans="1:9">
      <c r="A349" s="59"/>
      <c r="I349" s="59"/>
    </row>
    <row r="350" spans="1:9">
      <c r="A350" s="59"/>
      <c r="I350" s="59"/>
    </row>
    <row r="351" spans="1:9">
      <c r="A351" s="59"/>
      <c r="I351" s="59"/>
    </row>
    <row r="352" spans="1:9">
      <c r="A352" s="59"/>
      <c r="I352" s="59"/>
    </row>
    <row r="353" spans="1:9">
      <c r="A353" s="59"/>
      <c r="I353" s="59"/>
    </row>
    <row r="354" spans="1:9">
      <c r="A354" s="59"/>
      <c r="I354" s="59"/>
    </row>
    <row r="355" spans="1:9">
      <c r="A355" s="59"/>
      <c r="I355" s="59"/>
    </row>
    <row r="356" spans="1:9">
      <c r="A356" s="59"/>
      <c r="I356" s="59"/>
    </row>
    <row r="357" spans="1:9">
      <c r="A357" s="59"/>
      <c r="I357" s="59"/>
    </row>
    <row r="358" spans="1:9">
      <c r="A358" s="59"/>
      <c r="I358" s="59"/>
    </row>
    <row r="359" spans="1:9">
      <c r="A359" s="59"/>
      <c r="I359" s="59"/>
    </row>
    <row r="360" spans="1:9">
      <c r="A360" s="59"/>
      <c r="I360" s="59"/>
    </row>
    <row r="361" spans="1:9">
      <c r="A361" s="59"/>
      <c r="I361" s="59"/>
    </row>
    <row r="362" spans="1:9">
      <c r="A362" s="59"/>
      <c r="I362" s="59"/>
    </row>
    <row r="363" spans="1:9">
      <c r="A363" s="59"/>
      <c r="I363" s="59"/>
    </row>
    <row r="364" spans="1:9">
      <c r="A364" s="59"/>
      <c r="I364" s="59"/>
    </row>
    <row r="365" spans="1:9">
      <c r="A365" s="59"/>
      <c r="I365" s="59"/>
    </row>
    <row r="366" spans="1:9">
      <c r="A366" s="59"/>
      <c r="I366" s="59"/>
    </row>
    <row r="367" spans="1:9">
      <c r="A367" s="59"/>
      <c r="I367" s="59"/>
    </row>
    <row r="368" spans="1:9">
      <c r="A368" s="59"/>
      <c r="I368" s="59"/>
    </row>
    <row r="369" spans="1:9">
      <c r="A369" s="59"/>
      <c r="I369" s="59"/>
    </row>
    <row r="370" spans="1:9">
      <c r="A370" s="59"/>
      <c r="I370" s="59"/>
    </row>
    <row r="371" spans="1:9">
      <c r="A371" s="59"/>
      <c r="I371" s="59"/>
    </row>
    <row r="372" spans="1:9">
      <c r="A372" s="59"/>
      <c r="I372" s="59"/>
    </row>
    <row r="373" spans="1:9">
      <c r="A373" s="59"/>
      <c r="I373" s="59"/>
    </row>
    <row r="374" spans="1:9">
      <c r="A374" s="59"/>
      <c r="I374" s="59"/>
    </row>
    <row r="375" spans="1:9">
      <c r="A375" s="59"/>
      <c r="I375" s="59"/>
    </row>
    <row r="376" spans="1:9">
      <c r="A376" s="59"/>
      <c r="I376" s="59"/>
    </row>
    <row r="377" spans="1:9">
      <c r="A377" s="59"/>
      <c r="I377" s="59"/>
    </row>
    <row r="378" spans="1:9">
      <c r="A378" s="59"/>
      <c r="I378" s="59"/>
    </row>
    <row r="379" spans="1:9">
      <c r="A379" s="59"/>
      <c r="I379" s="59"/>
    </row>
    <row r="380" spans="1:9">
      <c r="A380" s="59"/>
      <c r="I380" s="59"/>
    </row>
    <row r="381" spans="1:9">
      <c r="A381" s="59"/>
      <c r="I381" s="59"/>
    </row>
    <row r="382" spans="1:9">
      <c r="A382" s="59"/>
      <c r="I382" s="59"/>
    </row>
    <row r="383" spans="1:9">
      <c r="A383" s="59"/>
      <c r="I383" s="59"/>
    </row>
    <row r="384" spans="1:9">
      <c r="A384" s="59"/>
      <c r="I384" s="59"/>
    </row>
    <row r="385" spans="1:9">
      <c r="A385" s="59"/>
      <c r="I385" s="59"/>
    </row>
    <row r="386" spans="1:9">
      <c r="A386" s="59"/>
      <c r="I386" s="59"/>
    </row>
    <row r="387" spans="1:9">
      <c r="A387" s="59"/>
      <c r="I387" s="59"/>
    </row>
    <row r="388" spans="1:9">
      <c r="A388" s="59"/>
      <c r="I388" s="59"/>
    </row>
    <row r="389" spans="1:9">
      <c r="A389" s="59"/>
      <c r="I389" s="59"/>
    </row>
    <row r="390" spans="1:9">
      <c r="A390" s="59"/>
      <c r="I390" s="59"/>
    </row>
    <row r="391" spans="1:9">
      <c r="A391" s="59"/>
      <c r="I391" s="59"/>
    </row>
    <row r="392" spans="1:9">
      <c r="A392" s="59"/>
      <c r="I392" s="59"/>
    </row>
    <row r="393" spans="1:9">
      <c r="A393" s="59"/>
      <c r="I393" s="59"/>
    </row>
    <row r="394" spans="1:9">
      <c r="A394" s="59"/>
      <c r="I394" s="59"/>
    </row>
    <row r="395" spans="1:9">
      <c r="A395" s="59"/>
      <c r="I395" s="59"/>
    </row>
    <row r="396" spans="1:9">
      <c r="A396" s="59"/>
      <c r="I396" s="59"/>
    </row>
    <row r="397" spans="1:9">
      <c r="A397" s="59"/>
      <c r="I397" s="59"/>
    </row>
    <row r="398" spans="1:9">
      <c r="A398" s="59"/>
      <c r="I398" s="59"/>
    </row>
    <row r="399" spans="1:9">
      <c r="A399" s="59"/>
      <c r="I399" s="59"/>
    </row>
    <row r="400" spans="1:9">
      <c r="A400" s="59"/>
      <c r="I400" s="59"/>
    </row>
    <row r="401" spans="1:9">
      <c r="A401" s="59"/>
      <c r="I401" s="59"/>
    </row>
    <row r="402" spans="1:9">
      <c r="A402" s="59"/>
      <c r="I402" s="59"/>
    </row>
    <row r="403" spans="1:9">
      <c r="A403" s="59"/>
      <c r="I403" s="59"/>
    </row>
    <row r="404" spans="1:9">
      <c r="A404" s="59"/>
      <c r="I404" s="59"/>
    </row>
    <row r="405" spans="1:9">
      <c r="A405" s="59"/>
      <c r="I405" s="59"/>
    </row>
    <row r="406" spans="1:9">
      <c r="A406" s="59"/>
      <c r="I406" s="59"/>
    </row>
    <row r="407" spans="1:9">
      <c r="A407" s="59"/>
      <c r="I407" s="59"/>
    </row>
    <row r="408" spans="1:9">
      <c r="A408" s="59"/>
      <c r="I408" s="59"/>
    </row>
    <row r="409" spans="1:9">
      <c r="A409" s="59"/>
      <c r="I409" s="59"/>
    </row>
    <row r="410" spans="1:9">
      <c r="A410" s="59"/>
      <c r="I410" s="59"/>
    </row>
    <row r="411" spans="1:9">
      <c r="A411" s="59"/>
      <c r="I411" s="59"/>
    </row>
    <row r="412" spans="1:9">
      <c r="A412" s="59"/>
      <c r="I412" s="59"/>
    </row>
    <row r="413" spans="1:9">
      <c r="A413" s="59"/>
      <c r="I413" s="59"/>
    </row>
    <row r="414" spans="1:9">
      <c r="A414" s="59"/>
      <c r="I414" s="59"/>
    </row>
    <row r="415" spans="1:9">
      <c r="A415" s="59"/>
      <c r="I415" s="59"/>
    </row>
    <row r="416" spans="1:9">
      <c r="A416" s="59"/>
      <c r="I416" s="59"/>
    </row>
    <row r="417" spans="1:9">
      <c r="A417" s="59"/>
      <c r="I417" s="59"/>
    </row>
    <row r="418" spans="1:9">
      <c r="A418" s="59"/>
      <c r="I418" s="59"/>
    </row>
    <row r="419" spans="1:9">
      <c r="A419" s="59"/>
      <c r="I419" s="59"/>
    </row>
    <row r="420" spans="1:9">
      <c r="A420" s="59"/>
      <c r="I420" s="59"/>
    </row>
    <row r="421" spans="1:9">
      <c r="A421" s="59"/>
      <c r="I421" s="59"/>
    </row>
    <row r="422" spans="1:9">
      <c r="A422" s="59"/>
      <c r="I422" s="59"/>
    </row>
    <row r="423" spans="1:9">
      <c r="A423" s="59"/>
      <c r="I423" s="59"/>
    </row>
    <row r="424" spans="1:9">
      <c r="A424" s="59"/>
      <c r="I424" s="59"/>
    </row>
    <row r="425" spans="1:9">
      <c r="A425" s="59"/>
      <c r="I425" s="59"/>
    </row>
    <row r="426" spans="1:9">
      <c r="A426" s="59"/>
      <c r="I426" s="59"/>
    </row>
    <row r="427" spans="1:9">
      <c r="A427" s="59"/>
      <c r="I427" s="59"/>
    </row>
    <row r="428" spans="1:9">
      <c r="A428" s="59"/>
      <c r="I428" s="59"/>
    </row>
    <row r="429" spans="1:9">
      <c r="A429" s="59"/>
      <c r="I429" s="59"/>
    </row>
    <row r="430" spans="1:9">
      <c r="A430" s="59"/>
      <c r="I430" s="59"/>
    </row>
    <row r="431" spans="1:9">
      <c r="A431" s="59"/>
      <c r="I431" s="59"/>
    </row>
    <row r="432" spans="1:9">
      <c r="A432" s="59"/>
      <c r="I432" s="59"/>
    </row>
    <row r="433" spans="1:9">
      <c r="A433" s="59"/>
      <c r="I433" s="59"/>
    </row>
    <row r="434" spans="1:9">
      <c r="A434" s="59"/>
      <c r="I434" s="59"/>
    </row>
    <row r="435" spans="1:9">
      <c r="A435" s="59"/>
      <c r="I435" s="59"/>
    </row>
    <row r="436" spans="1:9">
      <c r="A436" s="59"/>
      <c r="I436" s="59"/>
    </row>
    <row r="437" spans="1:9">
      <c r="A437" s="59"/>
      <c r="I437" s="59"/>
    </row>
    <row r="438" spans="1:9">
      <c r="A438" s="59"/>
      <c r="I438" s="59"/>
    </row>
    <row r="439" spans="1:9">
      <c r="A439" s="59"/>
      <c r="I439" s="59"/>
    </row>
    <row r="440" spans="1:9">
      <c r="A440" s="59"/>
      <c r="I440" s="59"/>
    </row>
    <row r="441" spans="1:9">
      <c r="A441" s="59"/>
      <c r="I441" s="59"/>
    </row>
    <row r="442" spans="1:9">
      <c r="A442" s="59"/>
      <c r="I442" s="59"/>
    </row>
    <row r="443" spans="1:9">
      <c r="A443" s="59"/>
      <c r="I443" s="59"/>
    </row>
    <row r="444" spans="1:9">
      <c r="A444" s="59"/>
      <c r="I444" s="59"/>
    </row>
    <row r="445" spans="1:9">
      <c r="A445" s="59"/>
      <c r="I445" s="59"/>
    </row>
    <row r="446" spans="1:9">
      <c r="A446" s="59"/>
      <c r="I446" s="59"/>
    </row>
    <row r="447" spans="1:9">
      <c r="A447" s="59"/>
      <c r="I447" s="59"/>
    </row>
    <row r="448" spans="1:9">
      <c r="A448" s="59"/>
      <c r="I448" s="59"/>
    </row>
    <row r="449" spans="1:9">
      <c r="A449" s="59"/>
      <c r="I449" s="59"/>
    </row>
    <row r="450" spans="1:9">
      <c r="A450" s="59"/>
      <c r="I450" s="59"/>
    </row>
    <row r="451" spans="1:9">
      <c r="A451" s="59"/>
      <c r="I451" s="59"/>
    </row>
    <row r="452" spans="1:9">
      <c r="A452" s="59"/>
      <c r="I452" s="59"/>
    </row>
    <row r="453" spans="1:9">
      <c r="A453" s="59"/>
      <c r="I453" s="59"/>
    </row>
    <row r="454" spans="1:9">
      <c r="A454" s="59"/>
      <c r="I454" s="59"/>
    </row>
    <row r="455" spans="1:9">
      <c r="A455" s="59"/>
      <c r="I455" s="59"/>
    </row>
    <row r="456" spans="1:9">
      <c r="A456" s="59"/>
      <c r="I456" s="59"/>
    </row>
    <row r="457" spans="1:9">
      <c r="A457" s="59"/>
      <c r="I457" s="59"/>
    </row>
    <row r="458" spans="1:9">
      <c r="A458" s="59"/>
      <c r="I458" s="59"/>
    </row>
    <row r="459" spans="1:9">
      <c r="A459" s="59"/>
      <c r="I459" s="59"/>
    </row>
    <row r="460" spans="1:9">
      <c r="A460" s="59"/>
      <c r="I460" s="59"/>
    </row>
    <row r="461" spans="1:9">
      <c r="A461" s="59"/>
      <c r="I461" s="59"/>
    </row>
    <row r="462" spans="1:9">
      <c r="A462" s="59"/>
      <c r="I462" s="59"/>
    </row>
    <row r="463" spans="1:9">
      <c r="A463" s="59"/>
      <c r="I463" s="59"/>
    </row>
    <row r="464" spans="1:9">
      <c r="A464" s="59"/>
      <c r="I464" s="59"/>
    </row>
    <row r="465" spans="1:9">
      <c r="A465" s="59"/>
      <c r="I465" s="59"/>
    </row>
    <row r="466" spans="1:9">
      <c r="A466" s="59"/>
      <c r="I466" s="59"/>
    </row>
    <row r="467" spans="1:9">
      <c r="A467" s="59"/>
      <c r="I467" s="59"/>
    </row>
    <row r="468" spans="1:9">
      <c r="A468" s="59"/>
      <c r="I468" s="59"/>
    </row>
    <row r="469" spans="1:9">
      <c r="A469" s="59"/>
      <c r="I469" s="59"/>
    </row>
    <row r="470" spans="1:9">
      <c r="A470" s="59"/>
      <c r="I470" s="59"/>
    </row>
    <row r="471" spans="1:9">
      <c r="A471" s="59"/>
      <c r="I471" s="59"/>
    </row>
    <row r="472" spans="1:9">
      <c r="A472" s="59"/>
      <c r="I472" s="59"/>
    </row>
    <row r="473" spans="1:9">
      <c r="A473" s="59"/>
      <c r="I473" s="59"/>
    </row>
    <row r="474" spans="1:9">
      <c r="A474" s="59"/>
      <c r="I474" s="59"/>
    </row>
    <row r="475" spans="1:9">
      <c r="A475" s="59"/>
      <c r="I475" s="59"/>
    </row>
    <row r="476" spans="1:9">
      <c r="A476" s="59"/>
      <c r="I476" s="59"/>
    </row>
    <row r="477" spans="1:9">
      <c r="A477" s="59"/>
      <c r="I477" s="59"/>
    </row>
    <row r="478" spans="1:9">
      <c r="A478" s="59"/>
      <c r="I478" s="59"/>
    </row>
    <row r="479" spans="1:9">
      <c r="A479" s="59"/>
      <c r="I479" s="59"/>
    </row>
    <row r="480" spans="1:9">
      <c r="A480" s="59"/>
      <c r="I480" s="59"/>
    </row>
    <row r="481" spans="1:9">
      <c r="A481" s="59"/>
      <c r="I481" s="59"/>
    </row>
    <row r="482" spans="1:9">
      <c r="A482" s="59"/>
      <c r="I482" s="59"/>
    </row>
    <row r="483" spans="1:9">
      <c r="A483" s="59"/>
      <c r="I483" s="59"/>
    </row>
    <row r="484" spans="1:9">
      <c r="A484" s="59"/>
      <c r="I484" s="59"/>
    </row>
    <row r="485" spans="1:9">
      <c r="A485" s="59"/>
      <c r="I485" s="59"/>
    </row>
    <row r="486" spans="1:9">
      <c r="A486" s="59"/>
      <c r="I486" s="59"/>
    </row>
    <row r="487" spans="1:9">
      <c r="A487" s="59"/>
      <c r="I487" s="59"/>
    </row>
    <row r="488" spans="1:9">
      <c r="A488" s="59"/>
      <c r="I488" s="59"/>
    </row>
    <row r="489" spans="1:9">
      <c r="A489" s="59"/>
      <c r="I489" s="59"/>
    </row>
    <row r="490" spans="1:9">
      <c r="A490" s="59"/>
      <c r="I490" s="59"/>
    </row>
    <row r="491" spans="1:9">
      <c r="A491" s="59"/>
      <c r="I491" s="59"/>
    </row>
    <row r="492" spans="1:9">
      <c r="A492" s="59"/>
      <c r="I492" s="59"/>
    </row>
    <row r="493" spans="1:9">
      <c r="A493" s="59"/>
      <c r="I493" s="59"/>
    </row>
    <row r="494" spans="1:9">
      <c r="A494" s="59"/>
      <c r="I494" s="59"/>
    </row>
    <row r="495" spans="1:9">
      <c r="A495" s="59"/>
      <c r="I495" s="59"/>
    </row>
    <row r="496" spans="1:9">
      <c r="A496" s="59"/>
      <c r="I496" s="59"/>
    </row>
    <row r="497" spans="1:9">
      <c r="A497" s="59"/>
      <c r="I497" s="59"/>
    </row>
    <row r="498" spans="1:9">
      <c r="A498" s="59"/>
      <c r="I498" s="59"/>
    </row>
    <row r="499" spans="1:9">
      <c r="A499" s="59"/>
      <c r="I499" s="59"/>
    </row>
    <row r="500" spans="1:9">
      <c r="A500" s="59"/>
      <c r="I500" s="59"/>
    </row>
  </sheetData>
  <mergeCells count="2">
    <mergeCell ref="A2:K2"/>
    <mergeCell ref="A1:K1"/>
  </mergeCells>
  <conditionalFormatting sqref="J5:J32">
    <cfRule type="cellIs" dxfId="777" priority="1" operator="equal">
      <formula>"Sin link"</formula>
    </cfRule>
    <cfRule type="cellIs" dxfId="776" priority="2" operator="equal">
      <formula>"Vencido"</formula>
    </cfRule>
  </conditionalFormatting>
  <dataValidations count="1">
    <dataValidation type="list" allowBlank="1" sqref="B5:B500" xr:uid="{00000000-0002-0000-2700-000000000000}">
      <formula1>"Receta médica,Solicitud examen,Resultado examen,Imagenología,Informe médico,Presupuesto,Licencia,Seguro,Otro"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500"/>
  <sheetViews>
    <sheetView showGridLines="0" workbookViewId="0"/>
  </sheetViews>
  <sheetFormatPr baseColWidth="10" defaultColWidth="8.7265625" defaultRowHeight="14.5"/>
  <cols>
    <col min="1" max="1" width="36" customWidth="1"/>
    <col min="2" max="2" width="15" customWidth="1"/>
    <col min="3" max="3" width="22" customWidth="1"/>
    <col min="4" max="4" width="45" customWidth="1"/>
    <col min="5" max="5" width="15" customWidth="1"/>
    <col min="6" max="7" width="12" customWidth="1"/>
    <col min="8" max="8" width="15" customWidth="1"/>
    <col min="9" max="9" width="16" customWidth="1"/>
    <col min="10" max="10" width="22" customWidth="1"/>
    <col min="11" max="11" width="14" customWidth="1"/>
    <col min="12" max="12" width="38" customWidth="1"/>
  </cols>
  <sheetData>
    <row r="1" spans="1:12" ht="24" customHeight="1">
      <c r="A1" s="474" t="s">
        <v>2119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3"/>
    </row>
    <row r="2" spans="1:12" ht="20" customHeight="1">
      <c r="A2" s="477" t="s">
        <v>2120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3"/>
    </row>
    <row r="4" spans="1:12">
      <c r="A4" s="273" t="s">
        <v>2121</v>
      </c>
      <c r="B4" s="273" t="s">
        <v>2122</v>
      </c>
      <c r="C4" s="273" t="s">
        <v>2123</v>
      </c>
      <c r="D4" s="273" t="s">
        <v>2124</v>
      </c>
      <c r="E4" s="273" t="s">
        <v>2125</v>
      </c>
      <c r="F4" s="273" t="s">
        <v>2126</v>
      </c>
      <c r="G4" s="273" t="s">
        <v>2127</v>
      </c>
      <c r="H4" s="273" t="s">
        <v>2128</v>
      </c>
      <c r="I4" s="273" t="s">
        <v>2129</v>
      </c>
      <c r="J4" s="273" t="s">
        <v>2130</v>
      </c>
      <c r="K4" s="273" t="s">
        <v>655</v>
      </c>
      <c r="L4" s="273" t="s">
        <v>1934</v>
      </c>
    </row>
    <row r="5" spans="1:12" ht="29" customHeight="1">
      <c r="A5" s="270" t="s">
        <v>2131</v>
      </c>
      <c r="B5" s="276">
        <v>56000</v>
      </c>
      <c r="C5" s="270" t="s">
        <v>2132</v>
      </c>
      <c r="D5" s="270" t="s">
        <v>2133</v>
      </c>
      <c r="E5" s="270"/>
      <c r="F5" s="270"/>
      <c r="G5" s="270"/>
      <c r="H5" s="270"/>
      <c r="I5" s="270" t="s">
        <v>2134</v>
      </c>
      <c r="J5" s="270"/>
      <c r="K5" s="270" t="s">
        <v>2135</v>
      </c>
      <c r="L5" s="270" t="s">
        <v>2136</v>
      </c>
    </row>
    <row r="6" spans="1:12" ht="43.5" customHeight="1">
      <c r="A6" s="272" t="s">
        <v>2137</v>
      </c>
      <c r="B6" s="277">
        <v>56000</v>
      </c>
      <c r="C6" s="272" t="s">
        <v>2132</v>
      </c>
      <c r="D6" s="272" t="s">
        <v>2138</v>
      </c>
      <c r="E6" s="272" t="s">
        <v>2139</v>
      </c>
      <c r="F6" s="272" t="s">
        <v>2140</v>
      </c>
      <c r="G6" s="272" t="s">
        <v>2141</v>
      </c>
      <c r="H6" s="272" t="s">
        <v>2142</v>
      </c>
      <c r="I6" s="272" t="s">
        <v>2143</v>
      </c>
      <c r="J6" s="272" t="s">
        <v>2144</v>
      </c>
      <c r="K6" s="272" t="s">
        <v>2135</v>
      </c>
      <c r="L6" s="272" t="s">
        <v>2145</v>
      </c>
    </row>
    <row r="7" spans="1:12" ht="29" customHeight="1">
      <c r="A7" s="270" t="s">
        <v>2146</v>
      </c>
      <c r="B7" s="276">
        <v>56000</v>
      </c>
      <c r="C7" s="270" t="s">
        <v>2132</v>
      </c>
      <c r="D7" s="270" t="s">
        <v>2147</v>
      </c>
      <c r="E7" s="270" t="s">
        <v>2139</v>
      </c>
      <c r="F7" s="270" t="s">
        <v>2140</v>
      </c>
      <c r="G7" s="270" t="s">
        <v>2141</v>
      </c>
      <c r="H7" s="270" t="s">
        <v>2148</v>
      </c>
      <c r="I7" s="270" t="s">
        <v>2149</v>
      </c>
      <c r="J7" s="270" t="s">
        <v>2144</v>
      </c>
      <c r="K7" s="270" t="s">
        <v>2135</v>
      </c>
      <c r="L7" s="270" t="s">
        <v>2150</v>
      </c>
    </row>
    <row r="8" spans="1:12" ht="43.5" customHeight="1">
      <c r="A8" s="272" t="s">
        <v>2151</v>
      </c>
      <c r="B8" s="277">
        <v>56000</v>
      </c>
      <c r="C8" s="272" t="s">
        <v>2132</v>
      </c>
      <c r="D8" s="272" t="s">
        <v>2152</v>
      </c>
      <c r="E8" s="272" t="s">
        <v>2153</v>
      </c>
      <c r="F8" s="272" t="s">
        <v>2154</v>
      </c>
      <c r="G8" s="272" t="s">
        <v>2141</v>
      </c>
      <c r="H8" s="272" t="s">
        <v>2142</v>
      </c>
      <c r="I8" s="272" t="s">
        <v>2155</v>
      </c>
      <c r="J8" s="272" t="s">
        <v>2156</v>
      </c>
      <c r="K8" s="272" t="s">
        <v>2135</v>
      </c>
      <c r="L8" s="272" t="s">
        <v>2157</v>
      </c>
    </row>
    <row r="9" spans="1:12" ht="29" customHeight="1">
      <c r="A9" s="270" t="s">
        <v>2158</v>
      </c>
      <c r="B9" s="276">
        <v>56000</v>
      </c>
      <c r="C9" s="270" t="s">
        <v>2132</v>
      </c>
      <c r="D9" s="270" t="s">
        <v>2159</v>
      </c>
      <c r="E9" s="270" t="s">
        <v>2153</v>
      </c>
      <c r="F9" s="270" t="s">
        <v>2154</v>
      </c>
      <c r="G9" s="270" t="s">
        <v>2141</v>
      </c>
      <c r="H9" s="270" t="s">
        <v>2142</v>
      </c>
      <c r="I9" s="270" t="s">
        <v>2160</v>
      </c>
      <c r="J9" s="270" t="s">
        <v>2156</v>
      </c>
      <c r="K9" s="270" t="s">
        <v>2135</v>
      </c>
      <c r="L9" s="270" t="s">
        <v>2161</v>
      </c>
    </row>
    <row r="10" spans="1:12" ht="29">
      <c r="A10" s="272" t="s">
        <v>2162</v>
      </c>
      <c r="B10" s="277">
        <v>0</v>
      </c>
      <c r="C10" s="272" t="s">
        <v>1314</v>
      </c>
      <c r="D10" s="272" t="s">
        <v>2163</v>
      </c>
      <c r="E10" s="272"/>
      <c r="F10" s="272"/>
      <c r="G10" s="272"/>
      <c r="H10" s="272"/>
      <c r="I10" s="272" t="s">
        <v>2164</v>
      </c>
      <c r="J10" s="272">
        <v>3</v>
      </c>
      <c r="K10" s="272">
        <v>5</v>
      </c>
      <c r="L10" s="272" t="s">
        <v>5024</v>
      </c>
    </row>
    <row r="11" spans="1:12" ht="29" customHeight="1">
      <c r="A11" s="270" t="s">
        <v>2165</v>
      </c>
      <c r="B11" s="276">
        <v>125000</v>
      </c>
      <c r="C11" s="270" t="s">
        <v>2166</v>
      </c>
      <c r="D11" s="270" t="s">
        <v>2167</v>
      </c>
      <c r="E11" s="270"/>
      <c r="F11" s="270"/>
      <c r="G11" s="270"/>
      <c r="H11" s="270"/>
      <c r="I11" s="270" t="s">
        <v>2168</v>
      </c>
      <c r="J11" s="270">
        <v>5</v>
      </c>
      <c r="K11" s="270">
        <v>3</v>
      </c>
      <c r="L11" s="270" t="s">
        <v>5025</v>
      </c>
    </row>
    <row r="12" spans="1:12" ht="29" customHeight="1">
      <c r="A12" s="272" t="s">
        <v>2169</v>
      </c>
      <c r="B12" s="277">
        <v>75000</v>
      </c>
      <c r="C12" s="272" t="s">
        <v>2166</v>
      </c>
      <c r="D12" s="272" t="s">
        <v>2170</v>
      </c>
      <c r="E12" s="272"/>
      <c r="F12" s="272"/>
      <c r="G12" s="272"/>
      <c r="H12" s="272"/>
      <c r="I12" s="272" t="s">
        <v>2168</v>
      </c>
      <c r="J12" s="272">
        <v>4</v>
      </c>
      <c r="K12" s="272">
        <v>4</v>
      </c>
      <c r="L12" s="272" t="s">
        <v>5026</v>
      </c>
    </row>
    <row r="13" spans="1:12" ht="29" customHeight="1">
      <c r="A13" s="270" t="s">
        <v>2171</v>
      </c>
      <c r="B13" s="276"/>
      <c r="C13" s="270" t="s">
        <v>2172</v>
      </c>
      <c r="D13" s="270" t="s">
        <v>2173</v>
      </c>
      <c r="E13" s="270"/>
      <c r="F13" s="270"/>
      <c r="G13" s="270"/>
      <c r="H13" s="270"/>
      <c r="I13" s="270" t="s">
        <v>2174</v>
      </c>
      <c r="J13" s="270"/>
      <c r="K13" s="270"/>
      <c r="L13" s="270" t="s">
        <v>5027</v>
      </c>
    </row>
    <row r="14" spans="1:12" ht="29">
      <c r="A14" s="272" t="s">
        <v>2175</v>
      </c>
      <c r="B14" s="277">
        <v>131742</v>
      </c>
      <c r="C14" s="272" t="s">
        <v>2166</v>
      </c>
      <c r="D14" s="272" t="s">
        <v>2176</v>
      </c>
      <c r="E14" s="272"/>
      <c r="F14" s="272"/>
      <c r="G14" s="272"/>
      <c r="H14" s="272"/>
      <c r="I14" s="272" t="s">
        <v>2174</v>
      </c>
      <c r="J14" s="272">
        <v>7</v>
      </c>
      <c r="K14" s="272">
        <v>4</v>
      </c>
      <c r="L14" s="272" t="s">
        <v>5028</v>
      </c>
    </row>
    <row r="15" spans="1:12">
      <c r="A15" s="270"/>
      <c r="B15" s="276"/>
      <c r="C15" s="270"/>
      <c r="D15" s="270"/>
      <c r="E15" s="270"/>
      <c r="F15" s="270"/>
      <c r="G15" s="270"/>
      <c r="H15" s="270"/>
      <c r="I15" s="270"/>
      <c r="J15" s="270"/>
      <c r="K15" s="270"/>
      <c r="L15" s="270"/>
    </row>
    <row r="16" spans="1:12">
      <c r="A16" s="272"/>
      <c r="B16" s="277"/>
      <c r="C16" s="272"/>
      <c r="D16" s="272"/>
      <c r="E16" s="272"/>
      <c r="F16" s="272"/>
      <c r="G16" s="272"/>
      <c r="H16" s="272"/>
      <c r="I16" s="272"/>
      <c r="J16" s="272"/>
      <c r="K16" s="272"/>
      <c r="L16" s="272"/>
    </row>
    <row r="17" spans="1:12">
      <c r="A17" s="270"/>
      <c r="B17" s="276"/>
      <c r="C17" s="270"/>
      <c r="D17" s="270"/>
      <c r="E17" s="270"/>
      <c r="F17" s="270"/>
      <c r="G17" s="270"/>
      <c r="H17" s="270"/>
      <c r="I17" s="270"/>
      <c r="J17" s="270"/>
      <c r="K17" s="270"/>
      <c r="L17" s="270"/>
    </row>
    <row r="18" spans="1:12">
      <c r="A18" s="272"/>
      <c r="B18" s="277"/>
      <c r="C18" s="272"/>
      <c r="D18" s="272"/>
      <c r="E18" s="272"/>
      <c r="F18" s="272"/>
      <c r="G18" s="272"/>
      <c r="H18" s="272"/>
      <c r="I18" s="272"/>
      <c r="J18" s="272"/>
      <c r="K18" s="272"/>
      <c r="L18" s="272"/>
    </row>
    <row r="19" spans="1:12">
      <c r="A19" s="270"/>
      <c r="B19" s="276"/>
      <c r="C19" s="270"/>
      <c r="D19" s="270"/>
      <c r="E19" s="270"/>
      <c r="F19" s="270"/>
      <c r="G19" s="270"/>
      <c r="H19" s="270"/>
      <c r="I19" s="270"/>
      <c r="J19" s="270"/>
      <c r="K19" s="270"/>
      <c r="L19" s="270"/>
    </row>
    <row r="20" spans="1:12">
      <c r="A20" s="272"/>
      <c r="B20" s="277"/>
      <c r="C20" s="272"/>
      <c r="D20" s="272"/>
      <c r="E20" s="272"/>
      <c r="F20" s="272"/>
      <c r="G20" s="272"/>
      <c r="H20" s="272"/>
      <c r="I20" s="272"/>
      <c r="J20" s="272"/>
      <c r="K20" s="272"/>
      <c r="L20" s="272"/>
    </row>
    <row r="21" spans="1:12">
      <c r="A21" s="270"/>
      <c r="B21" s="276"/>
      <c r="C21" s="270"/>
      <c r="D21" s="270"/>
      <c r="E21" s="270"/>
      <c r="F21" s="270"/>
      <c r="G21" s="270"/>
      <c r="H21" s="270"/>
      <c r="I21" s="270"/>
      <c r="J21" s="270"/>
      <c r="K21" s="270"/>
      <c r="L21" s="270"/>
    </row>
    <row r="22" spans="1:12">
      <c r="A22" s="272"/>
      <c r="B22" s="277"/>
      <c r="C22" s="272"/>
      <c r="D22" s="272"/>
      <c r="E22" s="272"/>
      <c r="F22" s="272"/>
      <c r="G22" s="272"/>
      <c r="H22" s="272"/>
      <c r="I22" s="272"/>
      <c r="J22" s="272"/>
      <c r="K22" s="272"/>
      <c r="L22" s="272"/>
    </row>
    <row r="23" spans="1:12">
      <c r="A23" s="270"/>
      <c r="B23" s="276"/>
      <c r="C23" s="270"/>
      <c r="D23" s="270"/>
      <c r="E23" s="270"/>
      <c r="F23" s="270"/>
      <c r="G23" s="270"/>
      <c r="H23" s="270"/>
      <c r="I23" s="270"/>
      <c r="J23" s="270"/>
      <c r="K23" s="270"/>
      <c r="L23" s="270"/>
    </row>
    <row r="24" spans="1:12">
      <c r="A24" s="272"/>
      <c r="B24" s="277"/>
      <c r="C24" s="272"/>
      <c r="D24" s="272"/>
      <c r="E24" s="272"/>
      <c r="F24" s="272"/>
      <c r="G24" s="272"/>
      <c r="H24" s="272"/>
      <c r="I24" s="272"/>
      <c r="J24" s="272"/>
      <c r="K24" s="272"/>
      <c r="L24" s="272"/>
    </row>
    <row r="25" spans="1:12">
      <c r="A25" s="270"/>
      <c r="B25" s="276"/>
      <c r="C25" s="270"/>
      <c r="D25" s="270"/>
      <c r="E25" s="270"/>
      <c r="F25" s="270"/>
      <c r="G25" s="270"/>
      <c r="H25" s="270"/>
      <c r="I25" s="270"/>
      <c r="J25" s="270"/>
      <c r="K25" s="270"/>
      <c r="L25" s="270"/>
    </row>
    <row r="26" spans="1:12">
      <c r="A26" s="272"/>
      <c r="B26" s="277"/>
      <c r="C26" s="272"/>
      <c r="D26" s="272"/>
      <c r="E26" s="272"/>
      <c r="F26" s="272"/>
      <c r="G26" s="272"/>
      <c r="H26" s="272"/>
      <c r="I26" s="272"/>
      <c r="J26" s="272"/>
      <c r="K26" s="272"/>
      <c r="L26" s="272"/>
    </row>
    <row r="27" spans="1:12">
      <c r="A27" s="270"/>
      <c r="B27" s="276"/>
      <c r="C27" s="270"/>
      <c r="D27" s="270"/>
      <c r="E27" s="270"/>
      <c r="F27" s="270"/>
      <c r="G27" s="270"/>
      <c r="H27" s="270"/>
      <c r="I27" s="270"/>
      <c r="J27" s="270"/>
      <c r="K27" s="270"/>
      <c r="L27" s="270"/>
    </row>
    <row r="28" spans="1:12">
      <c r="A28" s="272"/>
      <c r="B28" s="277"/>
      <c r="C28" s="272"/>
      <c r="D28" s="272"/>
      <c r="E28" s="272"/>
      <c r="F28" s="272"/>
      <c r="G28" s="272"/>
      <c r="H28" s="272"/>
      <c r="I28" s="272"/>
      <c r="J28" s="272"/>
      <c r="K28" s="272"/>
      <c r="L28" s="272"/>
    </row>
    <row r="29" spans="1:12">
      <c r="A29" s="270"/>
      <c r="B29" s="276"/>
      <c r="C29" s="270"/>
      <c r="D29" s="270"/>
      <c r="E29" s="270"/>
      <c r="F29" s="270"/>
      <c r="G29" s="270"/>
      <c r="H29" s="270"/>
      <c r="I29" s="270"/>
      <c r="J29" s="270"/>
      <c r="K29" s="270"/>
      <c r="L29" s="270"/>
    </row>
    <row r="30" spans="1:12">
      <c r="B30" s="63"/>
    </row>
    <row r="31" spans="1:12">
      <c r="B31" s="63"/>
    </row>
    <row r="32" spans="1:12">
      <c r="B32" s="63"/>
    </row>
    <row r="33" spans="2:2">
      <c r="B33" s="63"/>
    </row>
    <row r="34" spans="2:2">
      <c r="B34" s="63"/>
    </row>
    <row r="35" spans="2:2">
      <c r="B35" s="63"/>
    </row>
    <row r="36" spans="2:2">
      <c r="B36" s="63"/>
    </row>
    <row r="37" spans="2:2">
      <c r="B37" s="63"/>
    </row>
    <row r="38" spans="2:2">
      <c r="B38" s="63"/>
    </row>
    <row r="39" spans="2:2">
      <c r="B39" s="63"/>
    </row>
    <row r="40" spans="2:2">
      <c r="B40" s="63"/>
    </row>
    <row r="41" spans="2:2">
      <c r="B41" s="63"/>
    </row>
    <row r="42" spans="2:2">
      <c r="B42" s="63"/>
    </row>
    <row r="43" spans="2:2">
      <c r="B43" s="63"/>
    </row>
    <row r="44" spans="2:2">
      <c r="B44" s="63"/>
    </row>
    <row r="45" spans="2:2">
      <c r="B45" s="63"/>
    </row>
    <row r="46" spans="2:2">
      <c r="B46" s="63"/>
    </row>
    <row r="47" spans="2:2">
      <c r="B47" s="63"/>
    </row>
    <row r="48" spans="2:2">
      <c r="B48" s="63"/>
    </row>
    <row r="49" spans="2:2">
      <c r="B49" s="63"/>
    </row>
    <row r="50" spans="2:2">
      <c r="B50" s="63"/>
    </row>
    <row r="51" spans="2:2">
      <c r="B51" s="63"/>
    </row>
    <row r="52" spans="2:2">
      <c r="B52" s="63"/>
    </row>
    <row r="53" spans="2:2">
      <c r="B53" s="63"/>
    </row>
    <row r="54" spans="2:2">
      <c r="B54" s="63"/>
    </row>
    <row r="55" spans="2:2">
      <c r="B55" s="63"/>
    </row>
    <row r="56" spans="2:2">
      <c r="B56" s="63"/>
    </row>
    <row r="57" spans="2:2">
      <c r="B57" s="63"/>
    </row>
    <row r="58" spans="2:2">
      <c r="B58" s="63"/>
    </row>
    <row r="59" spans="2:2">
      <c r="B59" s="63"/>
    </row>
    <row r="60" spans="2:2">
      <c r="B60" s="63"/>
    </row>
    <row r="61" spans="2:2">
      <c r="B61" s="63"/>
    </row>
    <row r="62" spans="2:2">
      <c r="B62" s="63"/>
    </row>
    <row r="63" spans="2:2">
      <c r="B63" s="63"/>
    </row>
    <row r="64" spans="2:2">
      <c r="B64" s="63"/>
    </row>
    <row r="65" spans="2:2">
      <c r="B65" s="63"/>
    </row>
    <row r="66" spans="2:2">
      <c r="B66" s="63"/>
    </row>
    <row r="67" spans="2:2">
      <c r="B67" s="63"/>
    </row>
    <row r="68" spans="2:2">
      <c r="B68" s="63"/>
    </row>
    <row r="69" spans="2:2">
      <c r="B69" s="63"/>
    </row>
    <row r="70" spans="2:2">
      <c r="B70" s="63"/>
    </row>
    <row r="71" spans="2:2">
      <c r="B71" s="63"/>
    </row>
    <row r="72" spans="2:2">
      <c r="B72" s="63"/>
    </row>
    <row r="73" spans="2:2">
      <c r="B73" s="63"/>
    </row>
    <row r="74" spans="2:2">
      <c r="B74" s="63"/>
    </row>
    <row r="75" spans="2:2">
      <c r="B75" s="63"/>
    </row>
    <row r="76" spans="2:2">
      <c r="B76" s="63"/>
    </row>
    <row r="77" spans="2:2">
      <c r="B77" s="63"/>
    </row>
    <row r="78" spans="2:2">
      <c r="B78" s="63"/>
    </row>
    <row r="79" spans="2:2">
      <c r="B79" s="63"/>
    </row>
    <row r="80" spans="2:2">
      <c r="B80" s="63"/>
    </row>
    <row r="81" spans="2:2">
      <c r="B81" s="63"/>
    </row>
    <row r="82" spans="2:2">
      <c r="B82" s="63"/>
    </row>
    <row r="83" spans="2:2">
      <c r="B83" s="63"/>
    </row>
    <row r="84" spans="2:2">
      <c r="B84" s="63"/>
    </row>
    <row r="85" spans="2:2">
      <c r="B85" s="63"/>
    </row>
    <row r="86" spans="2:2">
      <c r="B86" s="63"/>
    </row>
    <row r="87" spans="2:2">
      <c r="B87" s="63"/>
    </row>
    <row r="88" spans="2:2">
      <c r="B88" s="63"/>
    </row>
    <row r="89" spans="2:2">
      <c r="B89" s="63"/>
    </row>
    <row r="90" spans="2:2">
      <c r="B90" s="63"/>
    </row>
    <row r="91" spans="2:2">
      <c r="B91" s="63"/>
    </row>
    <row r="92" spans="2:2">
      <c r="B92" s="63"/>
    </row>
    <row r="93" spans="2:2">
      <c r="B93" s="63"/>
    </row>
    <row r="94" spans="2:2">
      <c r="B94" s="63"/>
    </row>
    <row r="95" spans="2:2">
      <c r="B95" s="63"/>
    </row>
    <row r="96" spans="2:2">
      <c r="B96" s="63"/>
    </row>
    <row r="97" spans="2:2">
      <c r="B97" s="63"/>
    </row>
    <row r="98" spans="2:2">
      <c r="B98" s="63"/>
    </row>
    <row r="99" spans="2:2">
      <c r="B99" s="63"/>
    </row>
    <row r="100" spans="2:2">
      <c r="B100" s="63"/>
    </row>
    <row r="101" spans="2:2">
      <c r="B101" s="63"/>
    </row>
    <row r="102" spans="2:2">
      <c r="B102" s="63"/>
    </row>
    <row r="103" spans="2:2">
      <c r="B103" s="63"/>
    </row>
    <row r="104" spans="2:2">
      <c r="B104" s="63"/>
    </row>
    <row r="105" spans="2:2">
      <c r="B105" s="63"/>
    </row>
    <row r="106" spans="2:2">
      <c r="B106" s="63"/>
    </row>
    <row r="107" spans="2:2">
      <c r="B107" s="63"/>
    </row>
    <row r="108" spans="2:2">
      <c r="B108" s="63"/>
    </row>
    <row r="109" spans="2:2">
      <c r="B109" s="63"/>
    </row>
    <row r="110" spans="2:2">
      <c r="B110" s="63"/>
    </row>
    <row r="111" spans="2:2">
      <c r="B111" s="63"/>
    </row>
    <row r="112" spans="2:2">
      <c r="B112" s="63"/>
    </row>
    <row r="113" spans="2:2">
      <c r="B113" s="63"/>
    </row>
    <row r="114" spans="2:2">
      <c r="B114" s="63"/>
    </row>
    <row r="115" spans="2:2">
      <c r="B115" s="63"/>
    </row>
    <row r="116" spans="2:2">
      <c r="B116" s="63"/>
    </row>
    <row r="117" spans="2:2">
      <c r="B117" s="63"/>
    </row>
    <row r="118" spans="2:2">
      <c r="B118" s="63"/>
    </row>
    <row r="119" spans="2:2">
      <c r="B119" s="63"/>
    </row>
    <row r="120" spans="2:2">
      <c r="B120" s="63"/>
    </row>
    <row r="121" spans="2:2">
      <c r="B121" s="63"/>
    </row>
    <row r="122" spans="2:2">
      <c r="B122" s="63"/>
    </row>
    <row r="123" spans="2:2">
      <c r="B123" s="63"/>
    </row>
    <row r="124" spans="2:2">
      <c r="B124" s="63"/>
    </row>
    <row r="125" spans="2:2">
      <c r="B125" s="63"/>
    </row>
    <row r="126" spans="2:2">
      <c r="B126" s="63"/>
    </row>
    <row r="127" spans="2:2">
      <c r="B127" s="63"/>
    </row>
    <row r="128" spans="2:2">
      <c r="B128" s="63"/>
    </row>
    <row r="129" spans="2:2">
      <c r="B129" s="63"/>
    </row>
    <row r="130" spans="2:2">
      <c r="B130" s="63"/>
    </row>
    <row r="131" spans="2:2">
      <c r="B131" s="63"/>
    </row>
    <row r="132" spans="2:2">
      <c r="B132" s="63"/>
    </row>
    <row r="133" spans="2:2">
      <c r="B133" s="63"/>
    </row>
    <row r="134" spans="2:2">
      <c r="B134" s="63"/>
    </row>
    <row r="135" spans="2:2">
      <c r="B135" s="63"/>
    </row>
    <row r="136" spans="2:2">
      <c r="B136" s="63"/>
    </row>
    <row r="137" spans="2:2">
      <c r="B137" s="63"/>
    </row>
    <row r="138" spans="2:2">
      <c r="B138" s="63"/>
    </row>
    <row r="139" spans="2:2">
      <c r="B139" s="63"/>
    </row>
    <row r="140" spans="2:2">
      <c r="B140" s="63"/>
    </row>
    <row r="141" spans="2:2">
      <c r="B141" s="63"/>
    </row>
    <row r="142" spans="2:2">
      <c r="B142" s="63"/>
    </row>
    <row r="143" spans="2:2">
      <c r="B143" s="63"/>
    </row>
    <row r="144" spans="2:2">
      <c r="B144" s="63"/>
    </row>
    <row r="145" spans="2:2">
      <c r="B145" s="63"/>
    </row>
    <row r="146" spans="2:2">
      <c r="B146" s="63"/>
    </row>
    <row r="147" spans="2:2">
      <c r="B147" s="63"/>
    </row>
    <row r="148" spans="2:2">
      <c r="B148" s="63"/>
    </row>
    <row r="149" spans="2:2">
      <c r="B149" s="63"/>
    </row>
    <row r="150" spans="2:2">
      <c r="B150" s="63"/>
    </row>
    <row r="151" spans="2:2">
      <c r="B151" s="63"/>
    </row>
    <row r="152" spans="2:2">
      <c r="B152" s="63"/>
    </row>
    <row r="153" spans="2:2">
      <c r="B153" s="63"/>
    </row>
    <row r="154" spans="2:2">
      <c r="B154" s="63"/>
    </row>
    <row r="155" spans="2:2">
      <c r="B155" s="63"/>
    </row>
    <row r="156" spans="2:2">
      <c r="B156" s="63"/>
    </row>
    <row r="157" spans="2:2">
      <c r="B157" s="63"/>
    </row>
    <row r="158" spans="2:2">
      <c r="B158" s="63"/>
    </row>
    <row r="159" spans="2:2">
      <c r="B159" s="63"/>
    </row>
    <row r="160" spans="2:2">
      <c r="B160" s="63"/>
    </row>
    <row r="161" spans="2:2">
      <c r="B161" s="63"/>
    </row>
    <row r="162" spans="2:2">
      <c r="B162" s="63"/>
    </row>
    <row r="163" spans="2:2">
      <c r="B163" s="63"/>
    </row>
    <row r="164" spans="2:2">
      <c r="B164" s="63"/>
    </row>
    <row r="165" spans="2:2">
      <c r="B165" s="63"/>
    </row>
    <row r="166" spans="2:2">
      <c r="B166" s="63"/>
    </row>
    <row r="167" spans="2:2">
      <c r="B167" s="63"/>
    </row>
    <row r="168" spans="2:2">
      <c r="B168" s="63"/>
    </row>
    <row r="169" spans="2:2">
      <c r="B169" s="63"/>
    </row>
    <row r="170" spans="2:2">
      <c r="B170" s="63"/>
    </row>
    <row r="171" spans="2:2">
      <c r="B171" s="63"/>
    </row>
    <row r="172" spans="2:2">
      <c r="B172" s="63"/>
    </row>
    <row r="173" spans="2:2">
      <c r="B173" s="63"/>
    </row>
    <row r="174" spans="2:2">
      <c r="B174" s="63"/>
    </row>
    <row r="175" spans="2:2">
      <c r="B175" s="63"/>
    </row>
    <row r="176" spans="2:2">
      <c r="B176" s="63"/>
    </row>
    <row r="177" spans="2:2">
      <c r="B177" s="63"/>
    </row>
    <row r="178" spans="2:2">
      <c r="B178" s="63"/>
    </row>
    <row r="179" spans="2:2">
      <c r="B179" s="63"/>
    </row>
    <row r="180" spans="2:2">
      <c r="B180" s="63"/>
    </row>
    <row r="181" spans="2:2">
      <c r="B181" s="63"/>
    </row>
    <row r="182" spans="2:2">
      <c r="B182" s="63"/>
    </row>
    <row r="183" spans="2:2">
      <c r="B183" s="63"/>
    </row>
    <row r="184" spans="2:2">
      <c r="B184" s="63"/>
    </row>
    <row r="185" spans="2:2">
      <c r="B185" s="63"/>
    </row>
    <row r="186" spans="2:2">
      <c r="B186" s="63"/>
    </row>
    <row r="187" spans="2:2">
      <c r="B187" s="63"/>
    </row>
    <row r="188" spans="2:2">
      <c r="B188" s="63"/>
    </row>
    <row r="189" spans="2:2">
      <c r="B189" s="63"/>
    </row>
    <row r="190" spans="2:2">
      <c r="B190" s="63"/>
    </row>
    <row r="191" spans="2:2">
      <c r="B191" s="63"/>
    </row>
    <row r="192" spans="2:2">
      <c r="B192" s="63"/>
    </row>
    <row r="193" spans="2:2">
      <c r="B193" s="63"/>
    </row>
    <row r="194" spans="2:2">
      <c r="B194" s="63"/>
    </row>
    <row r="195" spans="2:2">
      <c r="B195" s="63"/>
    </row>
    <row r="196" spans="2:2">
      <c r="B196" s="63"/>
    </row>
    <row r="197" spans="2:2">
      <c r="B197" s="63"/>
    </row>
    <row r="198" spans="2:2">
      <c r="B198" s="63"/>
    </row>
    <row r="199" spans="2:2">
      <c r="B199" s="63"/>
    </row>
    <row r="200" spans="2:2">
      <c r="B200" s="63"/>
    </row>
    <row r="201" spans="2:2">
      <c r="B201" s="63"/>
    </row>
    <row r="202" spans="2:2">
      <c r="B202" s="63"/>
    </row>
    <row r="203" spans="2:2">
      <c r="B203" s="63"/>
    </row>
    <row r="204" spans="2:2">
      <c r="B204" s="63"/>
    </row>
    <row r="205" spans="2:2">
      <c r="B205" s="63"/>
    </row>
    <row r="206" spans="2:2">
      <c r="B206" s="63"/>
    </row>
    <row r="207" spans="2:2">
      <c r="B207" s="63"/>
    </row>
    <row r="208" spans="2:2">
      <c r="B208" s="63"/>
    </row>
    <row r="209" spans="2:2">
      <c r="B209" s="63"/>
    </row>
    <row r="210" spans="2:2">
      <c r="B210" s="63"/>
    </row>
    <row r="211" spans="2:2">
      <c r="B211" s="63"/>
    </row>
    <row r="212" spans="2:2">
      <c r="B212" s="63"/>
    </row>
    <row r="213" spans="2:2">
      <c r="B213" s="63"/>
    </row>
    <row r="214" spans="2:2">
      <c r="B214" s="63"/>
    </row>
    <row r="215" spans="2:2">
      <c r="B215" s="63"/>
    </row>
    <row r="216" spans="2:2">
      <c r="B216" s="63"/>
    </row>
    <row r="217" spans="2:2">
      <c r="B217" s="63"/>
    </row>
    <row r="218" spans="2:2">
      <c r="B218" s="63"/>
    </row>
    <row r="219" spans="2:2">
      <c r="B219" s="63"/>
    </row>
    <row r="220" spans="2:2">
      <c r="B220" s="63"/>
    </row>
    <row r="221" spans="2:2">
      <c r="B221" s="63"/>
    </row>
    <row r="222" spans="2:2">
      <c r="B222" s="63"/>
    </row>
    <row r="223" spans="2:2">
      <c r="B223" s="63"/>
    </row>
    <row r="224" spans="2:2">
      <c r="B224" s="63"/>
    </row>
    <row r="225" spans="2:2">
      <c r="B225" s="63"/>
    </row>
    <row r="226" spans="2:2">
      <c r="B226" s="63"/>
    </row>
    <row r="227" spans="2:2">
      <c r="B227" s="63"/>
    </row>
    <row r="228" spans="2:2">
      <c r="B228" s="63"/>
    </row>
    <row r="229" spans="2:2">
      <c r="B229" s="63"/>
    </row>
    <row r="230" spans="2:2">
      <c r="B230" s="63"/>
    </row>
    <row r="231" spans="2:2">
      <c r="B231" s="63"/>
    </row>
    <row r="232" spans="2:2">
      <c r="B232" s="63"/>
    </row>
    <row r="233" spans="2:2">
      <c r="B233" s="63"/>
    </row>
    <row r="234" spans="2:2">
      <c r="B234" s="63"/>
    </row>
    <row r="235" spans="2:2">
      <c r="B235" s="63"/>
    </row>
    <row r="236" spans="2:2">
      <c r="B236" s="63"/>
    </row>
    <row r="237" spans="2:2">
      <c r="B237" s="63"/>
    </row>
    <row r="238" spans="2:2">
      <c r="B238" s="63"/>
    </row>
    <row r="239" spans="2:2">
      <c r="B239" s="63"/>
    </row>
    <row r="240" spans="2:2">
      <c r="B240" s="63"/>
    </row>
    <row r="241" spans="2:2">
      <c r="B241" s="63"/>
    </row>
    <row r="242" spans="2:2">
      <c r="B242" s="63"/>
    </row>
    <row r="243" spans="2:2">
      <c r="B243" s="63"/>
    </row>
    <row r="244" spans="2:2">
      <c r="B244" s="63"/>
    </row>
    <row r="245" spans="2:2">
      <c r="B245" s="63"/>
    </row>
    <row r="246" spans="2:2">
      <c r="B246" s="63"/>
    </row>
    <row r="247" spans="2:2">
      <c r="B247" s="63"/>
    </row>
    <row r="248" spans="2:2">
      <c r="B248" s="63"/>
    </row>
    <row r="249" spans="2:2">
      <c r="B249" s="63"/>
    </row>
    <row r="250" spans="2:2">
      <c r="B250" s="63"/>
    </row>
    <row r="251" spans="2:2">
      <c r="B251" s="63"/>
    </row>
    <row r="252" spans="2:2">
      <c r="B252" s="63"/>
    </row>
    <row r="253" spans="2:2">
      <c r="B253" s="63"/>
    </row>
    <row r="254" spans="2:2">
      <c r="B254" s="63"/>
    </row>
    <row r="255" spans="2:2">
      <c r="B255" s="63"/>
    </row>
    <row r="256" spans="2:2">
      <c r="B256" s="63"/>
    </row>
    <row r="257" spans="2:2">
      <c r="B257" s="63"/>
    </row>
    <row r="258" spans="2:2">
      <c r="B258" s="63"/>
    </row>
    <row r="259" spans="2:2">
      <c r="B259" s="63"/>
    </row>
    <row r="260" spans="2:2">
      <c r="B260" s="63"/>
    </row>
    <row r="261" spans="2:2">
      <c r="B261" s="63"/>
    </row>
    <row r="262" spans="2:2">
      <c r="B262" s="63"/>
    </row>
    <row r="263" spans="2:2">
      <c r="B263" s="63"/>
    </row>
    <row r="264" spans="2:2">
      <c r="B264" s="63"/>
    </row>
    <row r="265" spans="2:2">
      <c r="B265" s="63"/>
    </row>
    <row r="266" spans="2:2">
      <c r="B266" s="63"/>
    </row>
    <row r="267" spans="2:2">
      <c r="B267" s="63"/>
    </row>
    <row r="268" spans="2:2">
      <c r="B268" s="63"/>
    </row>
    <row r="269" spans="2:2">
      <c r="B269" s="63"/>
    </row>
    <row r="270" spans="2:2">
      <c r="B270" s="63"/>
    </row>
    <row r="271" spans="2:2">
      <c r="B271" s="63"/>
    </row>
    <row r="272" spans="2:2">
      <c r="B272" s="63"/>
    </row>
    <row r="273" spans="2:2">
      <c r="B273" s="63"/>
    </row>
    <row r="274" spans="2:2">
      <c r="B274" s="63"/>
    </row>
    <row r="275" spans="2:2">
      <c r="B275" s="63"/>
    </row>
    <row r="276" spans="2:2">
      <c r="B276" s="63"/>
    </row>
    <row r="277" spans="2:2">
      <c r="B277" s="63"/>
    </row>
    <row r="278" spans="2:2">
      <c r="B278" s="63"/>
    </row>
    <row r="279" spans="2:2">
      <c r="B279" s="63"/>
    </row>
    <row r="280" spans="2:2">
      <c r="B280" s="63"/>
    </row>
    <row r="281" spans="2:2">
      <c r="B281" s="63"/>
    </row>
    <row r="282" spans="2:2">
      <c r="B282" s="63"/>
    </row>
    <row r="283" spans="2:2">
      <c r="B283" s="63"/>
    </row>
    <row r="284" spans="2:2">
      <c r="B284" s="63"/>
    </row>
    <row r="285" spans="2:2">
      <c r="B285" s="63"/>
    </row>
    <row r="286" spans="2:2">
      <c r="B286" s="63"/>
    </row>
    <row r="287" spans="2:2">
      <c r="B287" s="63"/>
    </row>
    <row r="288" spans="2:2">
      <c r="B288" s="63"/>
    </row>
    <row r="289" spans="2:2">
      <c r="B289" s="63"/>
    </row>
    <row r="290" spans="2:2">
      <c r="B290" s="63"/>
    </row>
    <row r="291" spans="2:2">
      <c r="B291" s="63"/>
    </row>
    <row r="292" spans="2:2">
      <c r="B292" s="63"/>
    </row>
    <row r="293" spans="2:2">
      <c r="B293" s="63"/>
    </row>
    <row r="294" spans="2:2">
      <c r="B294" s="63"/>
    </row>
    <row r="295" spans="2:2">
      <c r="B295" s="63"/>
    </row>
    <row r="296" spans="2:2">
      <c r="B296" s="63"/>
    </row>
    <row r="297" spans="2:2">
      <c r="B297" s="63"/>
    </row>
    <row r="298" spans="2:2">
      <c r="B298" s="63"/>
    </row>
    <row r="299" spans="2:2">
      <c r="B299" s="63"/>
    </row>
    <row r="300" spans="2:2">
      <c r="B300" s="63"/>
    </row>
    <row r="301" spans="2:2">
      <c r="B301" s="63"/>
    </row>
    <row r="302" spans="2:2">
      <c r="B302" s="63"/>
    </row>
    <row r="303" spans="2:2">
      <c r="B303" s="63"/>
    </row>
    <row r="304" spans="2:2">
      <c r="B304" s="63"/>
    </row>
    <row r="305" spans="2:2">
      <c r="B305" s="63"/>
    </row>
    <row r="306" spans="2:2">
      <c r="B306" s="63"/>
    </row>
    <row r="307" spans="2:2">
      <c r="B307" s="63"/>
    </row>
    <row r="308" spans="2:2">
      <c r="B308" s="63"/>
    </row>
    <row r="309" spans="2:2">
      <c r="B309" s="63"/>
    </row>
    <row r="310" spans="2:2">
      <c r="B310" s="63"/>
    </row>
    <row r="311" spans="2:2">
      <c r="B311" s="63"/>
    </row>
    <row r="312" spans="2:2">
      <c r="B312" s="63"/>
    </row>
    <row r="313" spans="2:2">
      <c r="B313" s="63"/>
    </row>
    <row r="314" spans="2:2">
      <c r="B314" s="63"/>
    </row>
    <row r="315" spans="2:2">
      <c r="B315" s="63"/>
    </row>
    <row r="316" spans="2:2">
      <c r="B316" s="63"/>
    </row>
    <row r="317" spans="2:2">
      <c r="B317" s="63"/>
    </row>
    <row r="318" spans="2:2">
      <c r="B318" s="63"/>
    </row>
    <row r="319" spans="2:2">
      <c r="B319" s="63"/>
    </row>
    <row r="320" spans="2:2">
      <c r="B320" s="63"/>
    </row>
    <row r="321" spans="2:2">
      <c r="B321" s="63"/>
    </row>
    <row r="322" spans="2:2">
      <c r="B322" s="63"/>
    </row>
    <row r="323" spans="2:2">
      <c r="B323" s="63"/>
    </row>
    <row r="324" spans="2:2">
      <c r="B324" s="63"/>
    </row>
    <row r="325" spans="2:2">
      <c r="B325" s="63"/>
    </row>
    <row r="326" spans="2:2">
      <c r="B326" s="63"/>
    </row>
    <row r="327" spans="2:2">
      <c r="B327" s="63"/>
    </row>
    <row r="328" spans="2:2">
      <c r="B328" s="63"/>
    </row>
    <row r="329" spans="2:2">
      <c r="B329" s="63"/>
    </row>
    <row r="330" spans="2:2">
      <c r="B330" s="63"/>
    </row>
    <row r="331" spans="2:2">
      <c r="B331" s="63"/>
    </row>
    <row r="332" spans="2:2">
      <c r="B332" s="63"/>
    </row>
    <row r="333" spans="2:2">
      <c r="B333" s="63"/>
    </row>
    <row r="334" spans="2:2">
      <c r="B334" s="63"/>
    </row>
    <row r="335" spans="2:2">
      <c r="B335" s="63"/>
    </row>
    <row r="336" spans="2:2">
      <c r="B336" s="63"/>
    </row>
    <row r="337" spans="2:2">
      <c r="B337" s="63"/>
    </row>
    <row r="338" spans="2:2">
      <c r="B338" s="63"/>
    </row>
    <row r="339" spans="2:2">
      <c r="B339" s="63"/>
    </row>
    <row r="340" spans="2:2">
      <c r="B340" s="63"/>
    </row>
    <row r="341" spans="2:2">
      <c r="B341" s="63"/>
    </row>
    <row r="342" spans="2:2">
      <c r="B342" s="63"/>
    </row>
    <row r="343" spans="2:2">
      <c r="B343" s="63"/>
    </row>
    <row r="344" spans="2:2">
      <c r="B344" s="63"/>
    </row>
    <row r="345" spans="2:2">
      <c r="B345" s="63"/>
    </row>
    <row r="346" spans="2:2">
      <c r="B346" s="63"/>
    </row>
    <row r="347" spans="2:2">
      <c r="B347" s="63"/>
    </row>
    <row r="348" spans="2:2">
      <c r="B348" s="63"/>
    </row>
    <row r="349" spans="2:2">
      <c r="B349" s="63"/>
    </row>
    <row r="350" spans="2:2">
      <c r="B350" s="63"/>
    </row>
    <row r="351" spans="2:2">
      <c r="B351" s="63"/>
    </row>
    <row r="352" spans="2:2">
      <c r="B352" s="63"/>
    </row>
    <row r="353" spans="2:2">
      <c r="B353" s="63"/>
    </row>
    <row r="354" spans="2:2">
      <c r="B354" s="63"/>
    </row>
    <row r="355" spans="2:2">
      <c r="B355" s="63"/>
    </row>
    <row r="356" spans="2:2">
      <c r="B356" s="63"/>
    </row>
    <row r="357" spans="2:2">
      <c r="B357" s="63"/>
    </row>
    <row r="358" spans="2:2">
      <c r="B358" s="63"/>
    </row>
    <row r="359" spans="2:2">
      <c r="B359" s="63"/>
    </row>
    <row r="360" spans="2:2">
      <c r="B360" s="63"/>
    </row>
    <row r="361" spans="2:2">
      <c r="B361" s="63"/>
    </row>
    <row r="362" spans="2:2">
      <c r="B362" s="63"/>
    </row>
    <row r="363" spans="2:2">
      <c r="B363" s="63"/>
    </row>
    <row r="364" spans="2:2">
      <c r="B364" s="63"/>
    </row>
    <row r="365" spans="2:2">
      <c r="B365" s="63"/>
    </row>
    <row r="366" spans="2:2">
      <c r="B366" s="63"/>
    </row>
    <row r="367" spans="2:2">
      <c r="B367" s="63"/>
    </row>
    <row r="368" spans="2:2">
      <c r="B368" s="63"/>
    </row>
    <row r="369" spans="2:2">
      <c r="B369" s="63"/>
    </row>
    <row r="370" spans="2:2">
      <c r="B370" s="63"/>
    </row>
    <row r="371" spans="2:2">
      <c r="B371" s="63"/>
    </row>
    <row r="372" spans="2:2">
      <c r="B372" s="63"/>
    </row>
    <row r="373" spans="2:2">
      <c r="B373" s="63"/>
    </row>
    <row r="374" spans="2:2">
      <c r="B374" s="63"/>
    </row>
    <row r="375" spans="2:2">
      <c r="B375" s="63"/>
    </row>
    <row r="376" spans="2:2">
      <c r="B376" s="63"/>
    </row>
    <row r="377" spans="2:2">
      <c r="B377" s="63"/>
    </row>
    <row r="378" spans="2:2">
      <c r="B378" s="63"/>
    </row>
    <row r="379" spans="2:2">
      <c r="B379" s="63"/>
    </row>
    <row r="380" spans="2:2">
      <c r="B380" s="63"/>
    </row>
    <row r="381" spans="2:2">
      <c r="B381" s="63"/>
    </row>
    <row r="382" spans="2:2">
      <c r="B382" s="63"/>
    </row>
    <row r="383" spans="2:2">
      <c r="B383" s="63"/>
    </row>
    <row r="384" spans="2:2">
      <c r="B384" s="63"/>
    </row>
    <row r="385" spans="2:2">
      <c r="B385" s="63"/>
    </row>
    <row r="386" spans="2:2">
      <c r="B386" s="63"/>
    </row>
    <row r="387" spans="2:2">
      <c r="B387" s="63"/>
    </row>
    <row r="388" spans="2:2">
      <c r="B388" s="63"/>
    </row>
    <row r="389" spans="2:2">
      <c r="B389" s="63"/>
    </row>
    <row r="390" spans="2:2">
      <c r="B390" s="63"/>
    </row>
    <row r="391" spans="2:2">
      <c r="B391" s="63"/>
    </row>
    <row r="392" spans="2:2">
      <c r="B392" s="63"/>
    </row>
    <row r="393" spans="2:2">
      <c r="B393" s="63"/>
    </row>
    <row r="394" spans="2:2">
      <c r="B394" s="63"/>
    </row>
    <row r="395" spans="2:2">
      <c r="B395" s="63"/>
    </row>
    <row r="396" spans="2:2">
      <c r="B396" s="63"/>
    </row>
    <row r="397" spans="2:2">
      <c r="B397" s="63"/>
    </row>
    <row r="398" spans="2:2">
      <c r="B398" s="63"/>
    </row>
    <row r="399" spans="2:2">
      <c r="B399" s="63"/>
    </row>
    <row r="400" spans="2:2">
      <c r="B400" s="63"/>
    </row>
    <row r="401" spans="2:2">
      <c r="B401" s="63"/>
    </row>
    <row r="402" spans="2:2">
      <c r="B402" s="63"/>
    </row>
    <row r="403" spans="2:2">
      <c r="B403" s="63"/>
    </row>
    <row r="404" spans="2:2">
      <c r="B404" s="63"/>
    </row>
    <row r="405" spans="2:2">
      <c r="B405" s="63"/>
    </row>
    <row r="406" spans="2:2">
      <c r="B406" s="63"/>
    </row>
    <row r="407" spans="2:2">
      <c r="B407" s="63"/>
    </row>
    <row r="408" spans="2:2">
      <c r="B408" s="63"/>
    </row>
    <row r="409" spans="2:2">
      <c r="B409" s="63"/>
    </row>
    <row r="410" spans="2:2">
      <c r="B410" s="63"/>
    </row>
    <row r="411" spans="2:2">
      <c r="B411" s="63"/>
    </row>
    <row r="412" spans="2:2">
      <c r="B412" s="63"/>
    </row>
    <row r="413" spans="2:2">
      <c r="B413" s="63"/>
    </row>
    <row r="414" spans="2:2">
      <c r="B414" s="63"/>
    </row>
    <row r="415" spans="2:2">
      <c r="B415" s="63"/>
    </row>
    <row r="416" spans="2:2">
      <c r="B416" s="63"/>
    </row>
    <row r="417" spans="2:2">
      <c r="B417" s="63"/>
    </row>
    <row r="418" spans="2:2">
      <c r="B418" s="63"/>
    </row>
    <row r="419" spans="2:2">
      <c r="B419" s="63"/>
    </row>
    <row r="420" spans="2:2">
      <c r="B420" s="63"/>
    </row>
    <row r="421" spans="2:2">
      <c r="B421" s="63"/>
    </row>
    <row r="422" spans="2:2">
      <c r="B422" s="63"/>
    </row>
    <row r="423" spans="2:2">
      <c r="B423" s="63"/>
    </row>
    <row r="424" spans="2:2">
      <c r="B424" s="63"/>
    </row>
    <row r="425" spans="2:2">
      <c r="B425" s="63"/>
    </row>
    <row r="426" spans="2:2">
      <c r="B426" s="63"/>
    </row>
    <row r="427" spans="2:2">
      <c r="B427" s="63"/>
    </row>
    <row r="428" spans="2:2">
      <c r="B428" s="63"/>
    </row>
    <row r="429" spans="2:2">
      <c r="B429" s="63"/>
    </row>
    <row r="430" spans="2:2">
      <c r="B430" s="63"/>
    </row>
    <row r="431" spans="2:2">
      <c r="B431" s="63"/>
    </row>
    <row r="432" spans="2:2">
      <c r="B432" s="63"/>
    </row>
    <row r="433" spans="2:2">
      <c r="B433" s="63"/>
    </row>
    <row r="434" spans="2:2">
      <c r="B434" s="63"/>
    </row>
    <row r="435" spans="2:2">
      <c r="B435" s="63"/>
    </row>
    <row r="436" spans="2:2">
      <c r="B436" s="63"/>
    </row>
    <row r="437" spans="2:2">
      <c r="B437" s="63"/>
    </row>
    <row r="438" spans="2:2">
      <c r="B438" s="63"/>
    </row>
    <row r="439" spans="2:2">
      <c r="B439" s="63"/>
    </row>
    <row r="440" spans="2:2">
      <c r="B440" s="63"/>
    </row>
    <row r="441" spans="2:2">
      <c r="B441" s="63"/>
    </row>
    <row r="442" spans="2:2">
      <c r="B442" s="63"/>
    </row>
    <row r="443" spans="2:2">
      <c r="B443" s="63"/>
    </row>
    <row r="444" spans="2:2">
      <c r="B444" s="63"/>
    </row>
    <row r="445" spans="2:2">
      <c r="B445" s="63"/>
    </row>
    <row r="446" spans="2:2">
      <c r="B446" s="63"/>
    </row>
    <row r="447" spans="2:2">
      <c r="B447" s="63"/>
    </row>
    <row r="448" spans="2:2">
      <c r="B448" s="63"/>
    </row>
    <row r="449" spans="2:2">
      <c r="B449" s="63"/>
    </row>
    <row r="450" spans="2:2">
      <c r="B450" s="63"/>
    </row>
    <row r="451" spans="2:2">
      <c r="B451" s="63"/>
    </row>
    <row r="452" spans="2:2">
      <c r="B452" s="63"/>
    </row>
    <row r="453" spans="2:2">
      <c r="B453" s="63"/>
    </row>
    <row r="454" spans="2:2">
      <c r="B454" s="63"/>
    </row>
    <row r="455" spans="2:2">
      <c r="B455" s="63"/>
    </row>
    <row r="456" spans="2:2">
      <c r="B456" s="63"/>
    </row>
    <row r="457" spans="2:2">
      <c r="B457" s="63"/>
    </row>
    <row r="458" spans="2:2">
      <c r="B458" s="63"/>
    </row>
    <row r="459" spans="2:2">
      <c r="B459" s="63"/>
    </row>
    <row r="460" spans="2:2">
      <c r="B460" s="63"/>
    </row>
    <row r="461" spans="2:2">
      <c r="B461" s="63"/>
    </row>
    <row r="462" spans="2:2">
      <c r="B462" s="63"/>
    </row>
    <row r="463" spans="2:2">
      <c r="B463" s="63"/>
    </row>
    <row r="464" spans="2:2">
      <c r="B464" s="63"/>
    </row>
    <row r="465" spans="2:2">
      <c r="B465" s="63"/>
    </row>
    <row r="466" spans="2:2">
      <c r="B466" s="63"/>
    </row>
    <row r="467" spans="2:2">
      <c r="B467" s="63"/>
    </row>
    <row r="468" spans="2:2">
      <c r="B468" s="63"/>
    </row>
    <row r="469" spans="2:2">
      <c r="B469" s="63"/>
    </row>
    <row r="470" spans="2:2">
      <c r="B470" s="63"/>
    </row>
    <row r="471" spans="2:2">
      <c r="B471" s="63"/>
    </row>
    <row r="472" spans="2:2">
      <c r="B472" s="63"/>
    </row>
    <row r="473" spans="2:2">
      <c r="B473" s="63"/>
    </row>
    <row r="474" spans="2:2">
      <c r="B474" s="63"/>
    </row>
    <row r="475" spans="2:2">
      <c r="B475" s="63"/>
    </row>
    <row r="476" spans="2:2">
      <c r="B476" s="63"/>
    </row>
    <row r="477" spans="2:2">
      <c r="B477" s="63"/>
    </row>
    <row r="478" spans="2:2">
      <c r="B478" s="63"/>
    </row>
    <row r="479" spans="2:2">
      <c r="B479" s="63"/>
    </row>
    <row r="480" spans="2:2">
      <c r="B480" s="63"/>
    </row>
    <row r="481" spans="2:2">
      <c r="B481" s="63"/>
    </row>
    <row r="482" spans="2:2">
      <c r="B482" s="63"/>
    </row>
    <row r="483" spans="2:2">
      <c r="B483" s="63"/>
    </row>
    <row r="484" spans="2:2">
      <c r="B484" s="63"/>
    </row>
    <row r="485" spans="2:2">
      <c r="B485" s="63"/>
    </row>
    <row r="486" spans="2:2">
      <c r="B486" s="63"/>
    </row>
    <row r="487" spans="2:2">
      <c r="B487" s="63"/>
    </row>
    <row r="488" spans="2:2">
      <c r="B488" s="63"/>
    </row>
    <row r="489" spans="2:2">
      <c r="B489" s="63"/>
    </row>
    <row r="490" spans="2:2">
      <c r="B490" s="63"/>
    </row>
    <row r="491" spans="2:2">
      <c r="B491" s="63"/>
    </row>
    <row r="492" spans="2:2">
      <c r="B492" s="63"/>
    </row>
    <row r="493" spans="2:2">
      <c r="B493" s="63"/>
    </row>
    <row r="494" spans="2:2">
      <c r="B494" s="63"/>
    </row>
    <row r="495" spans="2:2">
      <c r="B495" s="63"/>
    </row>
    <row r="496" spans="2:2">
      <c r="B496" s="63"/>
    </row>
    <row r="497" spans="2:2">
      <c r="B497" s="63"/>
    </row>
    <row r="498" spans="2:2">
      <c r="B498" s="63"/>
    </row>
    <row r="499" spans="2:2">
      <c r="B499" s="63"/>
    </row>
    <row r="500" spans="2:2">
      <c r="B500" s="63"/>
    </row>
  </sheetData>
  <mergeCells count="2">
    <mergeCell ref="A2:L2"/>
    <mergeCell ref="A1:L1"/>
  </mergeCells>
  <dataValidations count="1">
    <dataValidation type="list" allowBlank="1" sqref="K5:K500" xr:uid="{00000000-0002-0000-2800-000000000000}">
      <formula1>"Evaluar,Activo,Descartado,Contratado,Pendiente"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2177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9"/>
  <sheetViews>
    <sheetView workbookViewId="0"/>
  </sheetViews>
  <sheetFormatPr baseColWidth="10" defaultColWidth="8.7265625" defaultRowHeight="14.5"/>
  <cols>
    <col min="1" max="1" width="22.453125" customWidth="1"/>
    <col min="2" max="2" width="10.453125" customWidth="1"/>
    <col min="3" max="3" width="8.7265625" customWidth="1"/>
    <col min="4" max="4" width="12" customWidth="1"/>
    <col min="5" max="5" width="11.26953125" customWidth="1"/>
    <col min="6" max="6" width="6.54296875" customWidth="1"/>
    <col min="7" max="7" width="13.81640625" customWidth="1"/>
    <col min="8" max="8" width="8.26953125" customWidth="1"/>
    <col min="10" max="10" width="78.08984375" customWidth="1"/>
  </cols>
  <sheetData>
    <row r="1" spans="1:10">
      <c r="A1" s="278" t="s">
        <v>2178</v>
      </c>
      <c r="B1" s="278" t="s">
        <v>655</v>
      </c>
      <c r="C1" s="278" t="s">
        <v>248</v>
      </c>
      <c r="D1" s="278" t="s">
        <v>2179</v>
      </c>
      <c r="E1" s="278" t="s">
        <v>2180</v>
      </c>
      <c r="F1" s="278" t="s">
        <v>2181</v>
      </c>
      <c r="G1" s="278" t="s">
        <v>2182</v>
      </c>
      <c r="H1" s="278" t="s">
        <v>2183</v>
      </c>
      <c r="I1" s="98"/>
      <c r="J1" s="98" t="s">
        <v>881</v>
      </c>
    </row>
    <row r="2" spans="1:10">
      <c r="A2" s="98" t="s">
        <v>2184</v>
      </c>
      <c r="B2" s="98" t="s">
        <v>959</v>
      </c>
      <c r="C2" s="98" t="s">
        <v>332</v>
      </c>
      <c r="D2" s="98" t="s">
        <v>2185</v>
      </c>
      <c r="E2" s="98" t="s">
        <v>1909</v>
      </c>
      <c r="F2" s="98" t="s">
        <v>2186</v>
      </c>
      <c r="G2" s="98" t="s">
        <v>2187</v>
      </c>
      <c r="H2" s="98" t="s">
        <v>87</v>
      </c>
      <c r="I2" s="98"/>
      <c r="J2" s="98" t="s">
        <v>2188</v>
      </c>
    </row>
    <row r="3" spans="1:10" ht="19.399999999999999" customHeight="1">
      <c r="A3" s="98" t="s">
        <v>2189</v>
      </c>
      <c r="B3" s="98" t="s">
        <v>2190</v>
      </c>
      <c r="C3" s="98" t="s">
        <v>1289</v>
      </c>
      <c r="D3" s="98" t="s">
        <v>2191</v>
      </c>
      <c r="E3" s="98" t="s">
        <v>2192</v>
      </c>
      <c r="F3" s="98" t="s">
        <v>2193</v>
      </c>
      <c r="G3" s="98" t="s">
        <v>1110</v>
      </c>
      <c r="H3" s="98" t="s">
        <v>58</v>
      </c>
      <c r="I3" s="98"/>
      <c r="J3" s="98" t="s">
        <v>2194</v>
      </c>
    </row>
    <row r="4" spans="1:10">
      <c r="A4" s="98" t="s">
        <v>35</v>
      </c>
      <c r="B4" s="98" t="s">
        <v>2195</v>
      </c>
      <c r="C4" s="98" t="s">
        <v>2006</v>
      </c>
      <c r="D4" s="98" t="s">
        <v>1411</v>
      </c>
      <c r="E4" s="98" t="s">
        <v>2196</v>
      </c>
      <c r="F4" s="98" t="s">
        <v>2197</v>
      </c>
      <c r="G4" s="98" t="s">
        <v>1764</v>
      </c>
      <c r="H4" s="98"/>
      <c r="I4" s="98"/>
      <c r="J4" s="98" t="s">
        <v>2198</v>
      </c>
    </row>
    <row r="5" spans="1:10" ht="19.399999999999999" customHeight="1">
      <c r="A5" s="98" t="s">
        <v>2199</v>
      </c>
      <c r="B5" s="98" t="s">
        <v>2200</v>
      </c>
      <c r="C5" s="98"/>
      <c r="D5" s="98" t="s">
        <v>2201</v>
      </c>
      <c r="E5" s="98" t="s">
        <v>2202</v>
      </c>
      <c r="F5" s="98"/>
      <c r="G5" s="98" t="s">
        <v>2203</v>
      </c>
      <c r="H5" s="98"/>
      <c r="I5" s="98"/>
      <c r="J5" s="98" t="s">
        <v>2204</v>
      </c>
    </row>
    <row r="6" spans="1:10">
      <c r="A6" s="98"/>
      <c r="B6" s="98"/>
      <c r="C6" s="98"/>
      <c r="D6" s="98" t="s">
        <v>2205</v>
      </c>
      <c r="E6" s="98"/>
      <c r="F6" s="98"/>
      <c r="G6" s="98" t="s">
        <v>2206</v>
      </c>
      <c r="H6" s="98"/>
      <c r="I6" s="98"/>
      <c r="J6" s="98" t="s">
        <v>2207</v>
      </c>
    </row>
    <row r="7" spans="1:10">
      <c r="A7" s="98"/>
      <c r="B7" s="98"/>
      <c r="C7" s="98"/>
      <c r="D7" s="98" t="s">
        <v>2208</v>
      </c>
      <c r="E7" s="98"/>
      <c r="F7" s="98"/>
      <c r="G7" s="98" t="s">
        <v>2209</v>
      </c>
      <c r="H7" s="98"/>
      <c r="I7" s="98"/>
      <c r="J7" s="98" t="s">
        <v>2210</v>
      </c>
    </row>
    <row r="8" spans="1:10">
      <c r="A8" s="98"/>
      <c r="B8" s="98"/>
      <c r="C8" s="98"/>
      <c r="D8" s="98" t="s">
        <v>1669</v>
      </c>
      <c r="E8" s="98"/>
      <c r="F8" s="98"/>
      <c r="G8" s="98" t="s">
        <v>1964</v>
      </c>
      <c r="H8" s="98"/>
      <c r="I8" s="98"/>
      <c r="J8" s="98" t="s">
        <v>2211</v>
      </c>
    </row>
    <row r="9" spans="1:10">
      <c r="A9" s="98"/>
      <c r="B9" s="98"/>
      <c r="C9" s="98"/>
      <c r="D9" s="98"/>
      <c r="E9" s="98"/>
      <c r="F9" s="98"/>
      <c r="G9" s="98"/>
      <c r="H9" s="98"/>
      <c r="I9" s="98"/>
      <c r="J9" s="98" t="s">
        <v>2212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BFBFBF"/>
  </sheetPr>
  <dimension ref="A1:N19"/>
  <sheetViews>
    <sheetView showGridLines="0" workbookViewId="0"/>
  </sheetViews>
  <sheetFormatPr baseColWidth="10" defaultColWidth="8.7265625" defaultRowHeight="14.5"/>
  <cols>
    <col min="1" max="1" width="27.90625" customWidth="1"/>
    <col min="2" max="2" width="20.81640625" customWidth="1"/>
    <col min="3" max="3" width="27.90625" customWidth="1"/>
    <col min="4" max="4" width="22.453125" customWidth="1"/>
    <col min="5" max="5" width="13.7265625" customWidth="1"/>
    <col min="6" max="6" width="7.453125" customWidth="1"/>
    <col min="7" max="7" width="42" customWidth="1"/>
    <col min="8" max="8" width="11.81640625" customWidth="1"/>
    <col min="9" max="9" width="13.453125" customWidth="1"/>
    <col min="10" max="10" width="10.36328125" customWidth="1"/>
    <col min="11" max="14" width="12" customWidth="1"/>
  </cols>
  <sheetData>
    <row r="1" spans="1:14" ht="30" customHeight="1">
      <c r="A1" s="480" t="s">
        <v>2213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30"/>
    </row>
    <row r="2" spans="1:14">
      <c r="A2" s="479" t="s">
        <v>2214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30"/>
    </row>
    <row r="3" spans="1:14">
      <c r="A3" s="209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14">
      <c r="A4" s="207" t="s">
        <v>2178</v>
      </c>
      <c r="B4" s="209"/>
      <c r="C4" s="207" t="s">
        <v>118</v>
      </c>
      <c r="D4" s="209"/>
      <c r="E4" s="207" t="s">
        <v>2215</v>
      </c>
      <c r="F4" s="209"/>
      <c r="G4" s="207" t="s">
        <v>2216</v>
      </c>
      <c r="H4" s="209"/>
      <c r="I4" s="207" t="s">
        <v>2217</v>
      </c>
      <c r="J4" s="209"/>
      <c r="K4" s="209"/>
      <c r="L4" s="209"/>
      <c r="M4" s="209"/>
      <c r="N4" s="209"/>
    </row>
    <row r="5" spans="1:14" ht="18.5" customHeight="1">
      <c r="A5" s="225">
        <f>COUNTA('61_T2_Ramos'!A5:A50)</f>
        <v>4</v>
      </c>
      <c r="B5" s="209"/>
      <c r="C5" s="225">
        <f>COUNTA('62_T2_Evaluaciones'!A5:A200)</f>
        <v>20</v>
      </c>
      <c r="D5" s="209"/>
      <c r="E5" s="225">
        <f>COUNTIF('62_T2_Evaluaciones'!I5:I200,"Pendiente")</f>
        <v>20</v>
      </c>
      <c r="F5" s="209"/>
      <c r="G5" s="225">
        <f ca="1">COUNTIF('62_T2_Evaluaciones'!M5:M200,"Crítico")</f>
        <v>0</v>
      </c>
      <c r="H5" s="209"/>
      <c r="I5" s="225">
        <f>COUNTA('63_T2_Bloques'!A5:A500)</f>
        <v>96</v>
      </c>
      <c r="J5" s="209"/>
      <c r="K5" s="209"/>
      <c r="L5" s="209"/>
      <c r="M5" s="209"/>
      <c r="N5" s="209"/>
    </row>
    <row r="6" spans="1:14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</row>
    <row r="7" spans="1:14">
      <c r="A7" s="209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</row>
    <row r="8" spans="1:14">
      <c r="A8" s="478" t="s">
        <v>2218</v>
      </c>
      <c r="B8" s="429"/>
      <c r="C8" s="429"/>
      <c r="D8" s="429"/>
      <c r="E8" s="429"/>
      <c r="F8" s="429"/>
      <c r="G8" s="429"/>
      <c r="H8" s="430"/>
      <c r="I8" s="209"/>
      <c r="J8" s="209"/>
      <c r="K8" s="209"/>
      <c r="L8" s="209"/>
      <c r="M8" s="209"/>
      <c r="N8" s="209"/>
    </row>
    <row r="9" spans="1:14">
      <c r="A9" s="207" t="s">
        <v>2219</v>
      </c>
      <c r="B9" s="207" t="s">
        <v>2220</v>
      </c>
      <c r="C9" s="207" t="s">
        <v>2221</v>
      </c>
      <c r="D9" s="207" t="s">
        <v>2222</v>
      </c>
      <c r="E9" s="207" t="s">
        <v>2223</v>
      </c>
      <c r="F9" s="207" t="s">
        <v>2224</v>
      </c>
      <c r="G9" s="207" t="s">
        <v>2225</v>
      </c>
      <c r="H9" s="207" t="s">
        <v>2226</v>
      </c>
      <c r="I9" s="207"/>
      <c r="J9" s="207"/>
      <c r="K9" s="207"/>
      <c r="L9" s="207"/>
      <c r="M9" s="207"/>
      <c r="N9" s="207"/>
    </row>
    <row r="10" spans="1:14">
      <c r="A10" s="209" t="s">
        <v>2227</v>
      </c>
      <c r="B10" s="209"/>
      <c r="C10" s="226" t="s">
        <v>2184</v>
      </c>
      <c r="D10" s="226" t="s">
        <v>35</v>
      </c>
      <c r="E10" s="226" t="s">
        <v>2199</v>
      </c>
      <c r="F10" s="209"/>
      <c r="G10" s="209"/>
      <c r="H10" s="209"/>
      <c r="I10" s="209"/>
      <c r="J10" s="209"/>
      <c r="K10" s="209"/>
      <c r="L10" s="209"/>
      <c r="M10" s="209"/>
      <c r="N10" s="209"/>
    </row>
    <row r="11" spans="1:14">
      <c r="A11" s="209" t="s">
        <v>2228</v>
      </c>
      <c r="B11" s="209"/>
      <c r="C11" s="226" t="s">
        <v>2189</v>
      </c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</row>
    <row r="12" spans="1:14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</row>
    <row r="13" spans="1:14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</row>
    <row r="14" spans="1:14">
      <c r="A14" s="478" t="s">
        <v>2229</v>
      </c>
      <c r="B14" s="429"/>
      <c r="C14" s="429"/>
      <c r="D14" s="429"/>
      <c r="E14" s="429"/>
      <c r="F14" s="429"/>
      <c r="G14" s="429"/>
      <c r="H14" s="429"/>
      <c r="I14" s="429"/>
      <c r="J14" s="430"/>
      <c r="K14" s="209"/>
      <c r="L14" s="209"/>
      <c r="M14" s="209"/>
      <c r="N14" s="209"/>
    </row>
    <row r="15" spans="1:14">
      <c r="A15" s="207" t="s">
        <v>2230</v>
      </c>
      <c r="B15" s="207" t="s">
        <v>2231</v>
      </c>
      <c r="C15" s="207" t="s">
        <v>2232</v>
      </c>
      <c r="D15" s="207" t="s">
        <v>2233</v>
      </c>
      <c r="E15" s="207" t="s">
        <v>2234</v>
      </c>
      <c r="F15" s="207" t="s">
        <v>655</v>
      </c>
      <c r="G15" s="207" t="s">
        <v>2235</v>
      </c>
      <c r="H15" s="207" t="s">
        <v>118</v>
      </c>
      <c r="I15" s="207" t="s">
        <v>2236</v>
      </c>
      <c r="J15" s="207" t="s">
        <v>2181</v>
      </c>
      <c r="K15" s="207"/>
      <c r="L15" s="207"/>
      <c r="M15" s="207"/>
      <c r="N15" s="207"/>
    </row>
    <row r="16" spans="1:14">
      <c r="A16" s="209" t="s">
        <v>2184</v>
      </c>
      <c r="B16" s="209" t="s">
        <v>2237</v>
      </c>
      <c r="C16" s="209" t="s">
        <v>2221</v>
      </c>
      <c r="D16" s="209" t="s">
        <v>2227</v>
      </c>
      <c r="E16" s="209" t="s">
        <v>332</v>
      </c>
      <c r="F16" s="209" t="s">
        <v>79</v>
      </c>
      <c r="G16" s="209">
        <v>6</v>
      </c>
      <c r="H16" s="209">
        <f>COUNTIF('62_T2_Evaluaciones'!B:B,A16)</f>
        <v>4</v>
      </c>
      <c r="I16" s="209">
        <f>SUMIF('62_T2_Evaluaciones'!B:B,A16,'62_T2_Evaluaciones'!F:F)</f>
        <v>100</v>
      </c>
      <c r="J16" s="209" t="str">
        <f>IF(I16&lt;50,"Alto","Controlado")</f>
        <v>Controlado</v>
      </c>
      <c r="K16" s="209"/>
      <c r="L16" s="209"/>
      <c r="M16" s="209"/>
      <c r="N16" s="209"/>
    </row>
    <row r="17" spans="1:14">
      <c r="A17" s="209" t="s">
        <v>2189</v>
      </c>
      <c r="B17" s="209" t="s">
        <v>2238</v>
      </c>
      <c r="C17" s="209" t="s">
        <v>2221</v>
      </c>
      <c r="D17" s="209" t="s">
        <v>2228</v>
      </c>
      <c r="E17" s="209" t="s">
        <v>1289</v>
      </c>
      <c r="F17" s="209" t="s">
        <v>79</v>
      </c>
      <c r="G17" s="209">
        <v>3</v>
      </c>
      <c r="H17" s="209">
        <f>COUNTIF('62_T2_Evaluaciones'!B:B,A17)</f>
        <v>5</v>
      </c>
      <c r="I17" s="209">
        <f>SUMIF('62_T2_Evaluaciones'!B:B,A17,'62_T2_Evaluaciones'!F:F)</f>
        <v>100</v>
      </c>
      <c r="J17" s="209" t="str">
        <f>IF(I17&lt;50,"Alto","Controlado")</f>
        <v>Controlado</v>
      </c>
      <c r="K17" s="209"/>
      <c r="L17" s="209"/>
      <c r="M17" s="209"/>
      <c r="N17" s="209"/>
    </row>
    <row r="18" spans="1:14">
      <c r="A18" s="209" t="s">
        <v>35</v>
      </c>
      <c r="B18" s="209" t="s">
        <v>2239</v>
      </c>
      <c r="C18" s="209" t="s">
        <v>2222</v>
      </c>
      <c r="D18" s="209" t="s">
        <v>2227</v>
      </c>
      <c r="E18" s="209" t="s">
        <v>332</v>
      </c>
      <c r="F18" s="209" t="s">
        <v>79</v>
      </c>
      <c r="G18" s="209">
        <v>6</v>
      </c>
      <c r="H18" s="209">
        <f>COUNTIF('62_T2_Evaluaciones'!B:B,A18)</f>
        <v>4</v>
      </c>
      <c r="I18" s="209">
        <f>SUMIF('62_T2_Evaluaciones'!B:B,A18,'62_T2_Evaluaciones'!F:F)</f>
        <v>100</v>
      </c>
      <c r="J18" s="209" t="str">
        <f>IF(I18&lt;50,"Alto","Controlado")</f>
        <v>Controlado</v>
      </c>
      <c r="K18" s="209"/>
      <c r="L18" s="209"/>
      <c r="M18" s="209"/>
      <c r="N18" s="209"/>
    </row>
    <row r="19" spans="1:14">
      <c r="A19" s="209" t="s">
        <v>2199</v>
      </c>
      <c r="B19" s="209" t="s">
        <v>2240</v>
      </c>
      <c r="C19" s="209" t="s">
        <v>2223</v>
      </c>
      <c r="D19" s="209" t="s">
        <v>2227</v>
      </c>
      <c r="E19" s="209" t="s">
        <v>332</v>
      </c>
      <c r="F19" s="209" t="s">
        <v>79</v>
      </c>
      <c r="G19" s="209">
        <v>6</v>
      </c>
      <c r="H19" s="209">
        <f>COUNTIF('62_T2_Evaluaciones'!B:B,A19)</f>
        <v>7</v>
      </c>
      <c r="I19" s="209">
        <f>SUMIF('62_T2_Evaluaciones'!B:B,A19,'62_T2_Evaluaciones'!F:F)</f>
        <v>100</v>
      </c>
      <c r="J19" s="209" t="str">
        <f>IF(I19&lt;50,"Alto","Controlado")</f>
        <v>Controlado</v>
      </c>
      <c r="K19" s="209"/>
      <c r="L19" s="209"/>
      <c r="M19" s="209"/>
      <c r="N19" s="209"/>
    </row>
  </sheetData>
  <mergeCells count="4">
    <mergeCell ref="A8:H8"/>
    <mergeCell ref="A2:N2"/>
    <mergeCell ref="A14:J14"/>
    <mergeCell ref="A1:N1"/>
  </mergeCells>
  <conditionalFormatting sqref="J16:J19">
    <cfRule type="expression" dxfId="775" priority="1">
      <formula>OR(J16="Crítico",J16="Vencido",J16="Alto")</formula>
    </cfRule>
    <cfRule type="expression" dxfId="774" priority="2">
      <formula>OR(J16="Atención",J16="Vigilar",J16="Próximo")</formula>
    </cfRule>
    <cfRule type="expression" dxfId="773" priority="3">
      <formula>OR(J16="Controlado",J16="Activo",J16="Vigente",J16="Completado")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204"/>
  <sheetViews>
    <sheetView workbookViewId="0"/>
  </sheetViews>
  <sheetFormatPr baseColWidth="10" defaultColWidth="8.7265625" defaultRowHeight="14.5"/>
  <cols>
    <col min="1" max="1" width="9.1796875" style="344" customWidth="1"/>
    <col min="2" max="2" width="10.54296875" style="344" customWidth="1"/>
    <col min="3" max="3" width="24.08984375" style="344" customWidth="1"/>
    <col min="4" max="4" width="16.54296875" style="344" customWidth="1"/>
    <col min="5" max="5" width="41.08984375" style="344" customWidth="1"/>
    <col min="6" max="6" width="17" style="344" customWidth="1"/>
    <col min="7" max="7" width="11.7265625" style="344" customWidth="1"/>
    <col min="8" max="8" width="11.54296875" style="344" customWidth="1"/>
    <col min="9" max="9" width="13.81640625" style="344" customWidth="1"/>
    <col min="10" max="10" width="20.6328125" style="344" customWidth="1"/>
    <col min="11" max="11" width="23.26953125" style="344" customWidth="1"/>
    <col min="12" max="12" width="20.7265625" style="344" customWidth="1"/>
    <col min="13" max="13" width="14.36328125" style="344" customWidth="1"/>
    <col min="14" max="14" width="10.7265625" style="344" customWidth="1"/>
    <col min="15" max="15" width="13" style="344" customWidth="1"/>
    <col min="16" max="16" width="38.08984375" style="344" customWidth="1"/>
    <col min="17" max="17" width="8.7265625" style="344" customWidth="1"/>
    <col min="18" max="16384" width="8.7265625" style="344"/>
  </cols>
  <sheetData>
    <row r="1" spans="1:16" ht="12.4" customHeight="1">
      <c r="A1" s="483" t="s">
        <v>2241</v>
      </c>
      <c r="B1" s="482"/>
      <c r="C1" s="482"/>
      <c r="D1" s="482"/>
      <c r="E1" s="482"/>
      <c r="F1" s="482"/>
      <c r="G1" s="482"/>
      <c r="H1" s="345"/>
      <c r="I1" s="345"/>
      <c r="J1" s="345"/>
      <c r="K1" s="345"/>
      <c r="L1" s="345"/>
      <c r="M1" s="345"/>
      <c r="N1" s="345"/>
      <c r="O1" s="345"/>
      <c r="P1" s="345"/>
    </row>
    <row r="2" spans="1:16" ht="12.9" customHeight="1">
      <c r="A2" s="481" t="s">
        <v>2242</v>
      </c>
      <c r="B2" s="482"/>
      <c r="C2" s="482"/>
      <c r="D2" s="482"/>
      <c r="E2" s="482"/>
      <c r="F2" s="482"/>
      <c r="G2" s="482"/>
      <c r="H2" s="346"/>
      <c r="I2" s="346"/>
      <c r="J2" s="346"/>
      <c r="K2" s="346"/>
      <c r="L2" s="346"/>
      <c r="M2" s="346"/>
      <c r="N2" s="346"/>
      <c r="O2" s="346"/>
      <c r="P2" s="346"/>
    </row>
    <row r="3" spans="1:16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</row>
    <row r="4" spans="1:16" ht="12.9" customHeight="1">
      <c r="A4" s="348" t="s">
        <v>73</v>
      </c>
      <c r="B4" s="348" t="s">
        <v>1115</v>
      </c>
      <c r="C4" s="348" t="s">
        <v>2230</v>
      </c>
      <c r="D4" s="348" t="s">
        <v>2243</v>
      </c>
      <c r="E4" s="348" t="s">
        <v>2244</v>
      </c>
      <c r="F4" s="348" t="s">
        <v>8</v>
      </c>
      <c r="G4" s="348" t="s">
        <v>248</v>
      </c>
      <c r="H4" s="348" t="s">
        <v>655</v>
      </c>
      <c r="I4" s="348" t="s">
        <v>2245</v>
      </c>
      <c r="J4" s="348" t="s">
        <v>2246</v>
      </c>
      <c r="K4" s="348" t="s">
        <v>2247</v>
      </c>
      <c r="L4" s="348" t="s">
        <v>2248</v>
      </c>
      <c r="M4" s="348" t="s">
        <v>2249</v>
      </c>
      <c r="N4" s="348" t="s">
        <v>2250</v>
      </c>
      <c r="O4" s="348" t="s">
        <v>2251</v>
      </c>
      <c r="P4" s="348" t="s">
        <v>2252</v>
      </c>
    </row>
    <row r="5" spans="1:16" ht="12.9" customHeight="1">
      <c r="A5" s="349" t="s">
        <v>2253</v>
      </c>
      <c r="B5" s="350">
        <v>1</v>
      </c>
      <c r="C5" s="349" t="s">
        <v>2184</v>
      </c>
      <c r="D5" s="349" t="s">
        <v>2254</v>
      </c>
      <c r="E5" s="349" t="s">
        <v>2255</v>
      </c>
      <c r="F5" s="349" t="s">
        <v>2256</v>
      </c>
      <c r="G5" s="349" t="s">
        <v>332</v>
      </c>
      <c r="H5" s="349" t="str">
        <f t="shared" ref="H5:H52" si="0">IF(L5=0,"No iniciado",IF(I5&gt;=100,"Terminado","En proceso"))</f>
        <v>No iniciado</v>
      </c>
      <c r="I5" s="350">
        <f t="shared" ref="I5:I52" si="1">IFERROR(MIN(N5/M5*100,100),0)</f>
        <v>0</v>
      </c>
      <c r="J5" s="350">
        <f>IFERROR(SUMIFS('56_T2_ESTUDIO_Y_ERRORES'!$H:$H,'56_T2_ESTUDIO_Y_ERRORES'!$B:$B,$B5,'56_T2_ESTUDIO_Y_ERRORES'!$C:$C,$C5)/L5,0)</f>
        <v>0</v>
      </c>
      <c r="K5" s="349" t="s">
        <v>2257</v>
      </c>
      <c r="L5" s="349">
        <f>COUNTIFS('56_T2_ESTUDIO_Y_ERRORES'!$B:$B,$B5,'56_T2_ESTUDIO_Y_ERRORES'!$C:$C,$C5)</f>
        <v>0</v>
      </c>
      <c r="M5" s="351">
        <v>4</v>
      </c>
      <c r="N5" s="351">
        <f>SUMIFS('56_T2_ESTUDIO_Y_ERRORES'!$Q:$Q,'56_T2_ESTUDIO_Y_ERRORES'!$B:$B,$B5,'56_T2_ESTUDIO_Y_ERRORES'!$C:$C,$C5)</f>
        <v>0</v>
      </c>
      <c r="O5" s="350">
        <f t="shared" ref="O5:O52" si="2">MAX(100-I5,0)</f>
        <v>100</v>
      </c>
      <c r="P5" s="349" t="str">
        <f t="shared" ref="P5:P52" si="3">IF(L5=0,"Abrir bloques en hoja 56",IF(J5&lt;50,"Reestudiar desde base",IF(J5&lt;70,"Reforzar con ejercicios",IF(I5&lt;100,"Completar horas/avance","Repaso final"))))</f>
        <v>Abrir bloques en hoja 56</v>
      </c>
    </row>
    <row r="6" spans="1:16" ht="12.9" customHeight="1">
      <c r="A6" s="349" t="s">
        <v>2258</v>
      </c>
      <c r="B6" s="350">
        <v>2</v>
      </c>
      <c r="C6" s="349" t="s">
        <v>2184</v>
      </c>
      <c r="D6" s="349" t="s">
        <v>2254</v>
      </c>
      <c r="E6" s="349" t="s">
        <v>2259</v>
      </c>
      <c r="F6" s="349" t="s">
        <v>2191</v>
      </c>
      <c r="G6" s="349" t="s">
        <v>332</v>
      </c>
      <c r="H6" s="349" t="str">
        <f t="shared" si="0"/>
        <v>No iniciado</v>
      </c>
      <c r="I6" s="350">
        <f t="shared" si="1"/>
        <v>0</v>
      </c>
      <c r="J6" s="350">
        <f>IFERROR(SUMIFS('56_T2_ESTUDIO_Y_ERRORES'!$H:$H,'56_T2_ESTUDIO_Y_ERRORES'!$B:$B,$B6,'56_T2_ESTUDIO_Y_ERRORES'!$C:$C,$C6)/L6,0)</f>
        <v>0</v>
      </c>
      <c r="K6" s="349" t="s">
        <v>2260</v>
      </c>
      <c r="L6" s="349">
        <f>COUNTIFS('56_T2_ESTUDIO_Y_ERRORES'!$B:$B,$B6,'56_T2_ESTUDIO_Y_ERRORES'!$C:$C,$C6)</f>
        <v>0</v>
      </c>
      <c r="M6" s="351">
        <v>4</v>
      </c>
      <c r="N6" s="351">
        <f>SUMIFS('56_T2_ESTUDIO_Y_ERRORES'!$Q:$Q,'56_T2_ESTUDIO_Y_ERRORES'!$B:$B,$B6,'56_T2_ESTUDIO_Y_ERRORES'!$C:$C,$C6)</f>
        <v>0</v>
      </c>
      <c r="O6" s="350">
        <f t="shared" si="2"/>
        <v>100</v>
      </c>
      <c r="P6" s="349" t="str">
        <f t="shared" si="3"/>
        <v>Abrir bloques en hoja 56</v>
      </c>
    </row>
    <row r="7" spans="1:16" ht="12.9" customHeight="1">
      <c r="A7" s="349" t="s">
        <v>2261</v>
      </c>
      <c r="B7" s="350">
        <v>3</v>
      </c>
      <c r="C7" s="349" t="s">
        <v>2184</v>
      </c>
      <c r="D7" s="349" t="s">
        <v>2254</v>
      </c>
      <c r="E7" s="349" t="s">
        <v>2262</v>
      </c>
      <c r="F7" s="349" t="s">
        <v>2191</v>
      </c>
      <c r="G7" s="349" t="s">
        <v>332</v>
      </c>
      <c r="H7" s="349" t="str">
        <f t="shared" si="0"/>
        <v>No iniciado</v>
      </c>
      <c r="I7" s="350">
        <f t="shared" si="1"/>
        <v>0</v>
      </c>
      <c r="J7" s="350">
        <f>IFERROR(SUMIFS('56_T2_ESTUDIO_Y_ERRORES'!$H:$H,'56_T2_ESTUDIO_Y_ERRORES'!$B:$B,$B7,'56_T2_ESTUDIO_Y_ERRORES'!$C:$C,$C7)/L7,0)</f>
        <v>0</v>
      </c>
      <c r="K7" s="349" t="s">
        <v>2263</v>
      </c>
      <c r="L7" s="349">
        <f>COUNTIFS('56_T2_ESTUDIO_Y_ERRORES'!$B:$B,$B7,'56_T2_ESTUDIO_Y_ERRORES'!$C:$C,$C7)</f>
        <v>0</v>
      </c>
      <c r="M7" s="351">
        <v>4</v>
      </c>
      <c r="N7" s="351">
        <f>SUMIFS('56_T2_ESTUDIO_Y_ERRORES'!$Q:$Q,'56_T2_ESTUDIO_Y_ERRORES'!$B:$B,$B7,'56_T2_ESTUDIO_Y_ERRORES'!$C:$C,$C7)</f>
        <v>0</v>
      </c>
      <c r="O7" s="350">
        <f t="shared" si="2"/>
        <v>100</v>
      </c>
      <c r="P7" s="349" t="str">
        <f t="shared" si="3"/>
        <v>Abrir bloques en hoja 56</v>
      </c>
    </row>
    <row r="8" spans="1:16" ht="12.9" customHeight="1">
      <c r="A8" s="349" t="s">
        <v>2264</v>
      </c>
      <c r="B8" s="350">
        <v>4</v>
      </c>
      <c r="C8" s="349" t="s">
        <v>2184</v>
      </c>
      <c r="D8" s="349" t="s">
        <v>2254</v>
      </c>
      <c r="E8" s="349" t="s">
        <v>2265</v>
      </c>
      <c r="F8" s="349" t="s">
        <v>2208</v>
      </c>
      <c r="G8" s="349" t="s">
        <v>332</v>
      </c>
      <c r="H8" s="349" t="str">
        <f t="shared" si="0"/>
        <v>No iniciado</v>
      </c>
      <c r="I8" s="350">
        <f t="shared" si="1"/>
        <v>0</v>
      </c>
      <c r="J8" s="350">
        <f>IFERROR(SUMIFS('56_T2_ESTUDIO_Y_ERRORES'!$H:$H,'56_T2_ESTUDIO_Y_ERRORES'!$B:$B,$B8,'56_T2_ESTUDIO_Y_ERRORES'!$C:$C,$C8)/L8,0)</f>
        <v>0</v>
      </c>
      <c r="K8" s="349" t="s">
        <v>2266</v>
      </c>
      <c r="L8" s="349">
        <f>COUNTIFS('56_T2_ESTUDIO_Y_ERRORES'!$B:$B,$B8,'56_T2_ESTUDIO_Y_ERRORES'!$C:$C,$C8)</f>
        <v>0</v>
      </c>
      <c r="M8" s="351">
        <v>5</v>
      </c>
      <c r="N8" s="351">
        <f>SUMIFS('56_T2_ESTUDIO_Y_ERRORES'!$Q:$Q,'56_T2_ESTUDIO_Y_ERRORES'!$B:$B,$B8,'56_T2_ESTUDIO_Y_ERRORES'!$C:$C,$C8)</f>
        <v>0</v>
      </c>
      <c r="O8" s="350">
        <f t="shared" si="2"/>
        <v>100</v>
      </c>
      <c r="P8" s="349" t="str">
        <f t="shared" si="3"/>
        <v>Abrir bloques en hoja 56</v>
      </c>
    </row>
    <row r="9" spans="1:16" ht="12.9" customHeight="1">
      <c r="A9" s="349" t="s">
        <v>2267</v>
      </c>
      <c r="B9" s="350">
        <v>5</v>
      </c>
      <c r="C9" s="349" t="s">
        <v>2184</v>
      </c>
      <c r="D9" s="349" t="s">
        <v>2268</v>
      </c>
      <c r="E9" s="349" t="s">
        <v>2269</v>
      </c>
      <c r="F9" s="349" t="s">
        <v>2191</v>
      </c>
      <c r="G9" s="349" t="s">
        <v>332</v>
      </c>
      <c r="H9" s="349" t="str">
        <f t="shared" si="0"/>
        <v>No iniciado</v>
      </c>
      <c r="I9" s="350">
        <f t="shared" si="1"/>
        <v>0</v>
      </c>
      <c r="J9" s="350">
        <f>IFERROR(SUMIFS('56_T2_ESTUDIO_Y_ERRORES'!$H:$H,'56_T2_ESTUDIO_Y_ERRORES'!$B:$B,$B9,'56_T2_ESTUDIO_Y_ERRORES'!$C:$C,$C9)/L9,0)</f>
        <v>0</v>
      </c>
      <c r="K9" s="349" t="s">
        <v>2270</v>
      </c>
      <c r="L9" s="349">
        <f>COUNTIFS('56_T2_ESTUDIO_Y_ERRORES'!$B:$B,$B9,'56_T2_ESTUDIO_Y_ERRORES'!$C:$C,$C9)</f>
        <v>0</v>
      </c>
      <c r="M9" s="351">
        <v>4</v>
      </c>
      <c r="N9" s="351">
        <f>SUMIFS('56_T2_ESTUDIO_Y_ERRORES'!$Q:$Q,'56_T2_ESTUDIO_Y_ERRORES'!$B:$B,$B9,'56_T2_ESTUDIO_Y_ERRORES'!$C:$C,$C9)</f>
        <v>0</v>
      </c>
      <c r="O9" s="350">
        <f t="shared" si="2"/>
        <v>100</v>
      </c>
      <c r="P9" s="349" t="str">
        <f t="shared" si="3"/>
        <v>Abrir bloques en hoja 56</v>
      </c>
    </row>
    <row r="10" spans="1:16" ht="12.9" customHeight="1">
      <c r="A10" s="349" t="s">
        <v>2271</v>
      </c>
      <c r="B10" s="350">
        <v>6</v>
      </c>
      <c r="C10" s="349" t="s">
        <v>2184</v>
      </c>
      <c r="D10" s="349" t="s">
        <v>2272</v>
      </c>
      <c r="E10" s="349" t="s">
        <v>2273</v>
      </c>
      <c r="F10" s="349" t="s">
        <v>2191</v>
      </c>
      <c r="G10" s="349" t="s">
        <v>332</v>
      </c>
      <c r="H10" s="349" t="str">
        <f t="shared" si="0"/>
        <v>No iniciado</v>
      </c>
      <c r="I10" s="350">
        <f t="shared" si="1"/>
        <v>0</v>
      </c>
      <c r="J10" s="350">
        <f>IFERROR(SUMIFS('56_T2_ESTUDIO_Y_ERRORES'!$H:$H,'56_T2_ESTUDIO_Y_ERRORES'!$B:$B,$B10,'56_T2_ESTUDIO_Y_ERRORES'!$C:$C,$C10)/L10,0)</f>
        <v>0</v>
      </c>
      <c r="K10" s="349" t="s">
        <v>2274</v>
      </c>
      <c r="L10" s="349">
        <f>COUNTIFS('56_T2_ESTUDIO_Y_ERRORES'!$B:$B,$B10,'56_T2_ESTUDIO_Y_ERRORES'!$C:$C,$C10)</f>
        <v>0</v>
      </c>
      <c r="M10" s="351">
        <v>4</v>
      </c>
      <c r="N10" s="351">
        <f>SUMIFS('56_T2_ESTUDIO_Y_ERRORES'!$Q:$Q,'56_T2_ESTUDIO_Y_ERRORES'!$B:$B,$B10,'56_T2_ESTUDIO_Y_ERRORES'!$C:$C,$C10)</f>
        <v>0</v>
      </c>
      <c r="O10" s="350">
        <f t="shared" si="2"/>
        <v>100</v>
      </c>
      <c r="P10" s="349" t="str">
        <f t="shared" si="3"/>
        <v>Abrir bloques en hoja 56</v>
      </c>
    </row>
    <row r="11" spans="1:16" ht="12.9" customHeight="1">
      <c r="A11" s="349" t="s">
        <v>2275</v>
      </c>
      <c r="B11" s="350">
        <v>7</v>
      </c>
      <c r="C11" s="349" t="s">
        <v>2184</v>
      </c>
      <c r="D11" s="349" t="s">
        <v>2276</v>
      </c>
      <c r="E11" s="349" t="s">
        <v>2277</v>
      </c>
      <c r="F11" s="349" t="s">
        <v>2208</v>
      </c>
      <c r="G11" s="349" t="s">
        <v>332</v>
      </c>
      <c r="H11" s="349" t="str">
        <f t="shared" si="0"/>
        <v>No iniciado</v>
      </c>
      <c r="I11" s="350">
        <f t="shared" si="1"/>
        <v>0</v>
      </c>
      <c r="J11" s="350">
        <f>IFERROR(SUMIFS('56_T2_ESTUDIO_Y_ERRORES'!$H:$H,'56_T2_ESTUDIO_Y_ERRORES'!$B:$B,$B11,'56_T2_ESTUDIO_Y_ERRORES'!$C:$C,$C11)/L11,0)</f>
        <v>0</v>
      </c>
      <c r="K11" s="349" t="s">
        <v>2278</v>
      </c>
      <c r="L11" s="349">
        <f>COUNTIFS('56_T2_ESTUDIO_Y_ERRORES'!$B:$B,$B11,'56_T2_ESTUDIO_Y_ERRORES'!$C:$C,$C11)</f>
        <v>0</v>
      </c>
      <c r="M11" s="351">
        <v>5</v>
      </c>
      <c r="N11" s="351">
        <f>SUMIFS('56_T2_ESTUDIO_Y_ERRORES'!$Q:$Q,'56_T2_ESTUDIO_Y_ERRORES'!$B:$B,$B11,'56_T2_ESTUDIO_Y_ERRORES'!$C:$C,$C11)</f>
        <v>0</v>
      </c>
      <c r="O11" s="350">
        <f t="shared" si="2"/>
        <v>100</v>
      </c>
      <c r="P11" s="349" t="str">
        <f t="shared" si="3"/>
        <v>Abrir bloques en hoja 56</v>
      </c>
    </row>
    <row r="12" spans="1:16" ht="12.9" customHeight="1">
      <c r="A12" s="349" t="s">
        <v>2279</v>
      </c>
      <c r="B12" s="350">
        <v>8</v>
      </c>
      <c r="C12" s="349" t="s">
        <v>2184</v>
      </c>
      <c r="D12" s="349" t="s">
        <v>2280</v>
      </c>
      <c r="E12" s="349" t="s">
        <v>2281</v>
      </c>
      <c r="F12" s="349" t="s">
        <v>2256</v>
      </c>
      <c r="G12" s="349" t="s">
        <v>332</v>
      </c>
      <c r="H12" s="349" t="str">
        <f t="shared" si="0"/>
        <v>No iniciado</v>
      </c>
      <c r="I12" s="350">
        <f t="shared" si="1"/>
        <v>0</v>
      </c>
      <c r="J12" s="350">
        <f>IFERROR(SUMIFS('56_T2_ESTUDIO_Y_ERRORES'!$H:$H,'56_T2_ESTUDIO_Y_ERRORES'!$B:$B,$B12,'56_T2_ESTUDIO_Y_ERRORES'!$C:$C,$C12)/L12,0)</f>
        <v>0</v>
      </c>
      <c r="K12" s="349" t="s">
        <v>2282</v>
      </c>
      <c r="L12" s="349">
        <f>COUNTIFS('56_T2_ESTUDIO_Y_ERRORES'!$B:$B,$B12,'56_T2_ESTUDIO_Y_ERRORES'!$C:$C,$C12)</f>
        <v>0</v>
      </c>
      <c r="M12" s="351">
        <v>4</v>
      </c>
      <c r="N12" s="351">
        <f>SUMIFS('56_T2_ESTUDIO_Y_ERRORES'!$Q:$Q,'56_T2_ESTUDIO_Y_ERRORES'!$B:$B,$B12,'56_T2_ESTUDIO_Y_ERRORES'!$C:$C,$C12)</f>
        <v>0</v>
      </c>
      <c r="O12" s="350">
        <f t="shared" si="2"/>
        <v>100</v>
      </c>
      <c r="P12" s="349" t="str">
        <f t="shared" si="3"/>
        <v>Abrir bloques en hoja 56</v>
      </c>
    </row>
    <row r="13" spans="1:16" ht="12.9" customHeight="1">
      <c r="A13" s="349" t="s">
        <v>2283</v>
      </c>
      <c r="B13" s="350">
        <v>9</v>
      </c>
      <c r="C13" s="349" t="s">
        <v>2184</v>
      </c>
      <c r="D13" s="349" t="s">
        <v>2284</v>
      </c>
      <c r="E13" s="349" t="s">
        <v>2285</v>
      </c>
      <c r="F13" s="349" t="s">
        <v>1411</v>
      </c>
      <c r="G13" s="349" t="s">
        <v>332</v>
      </c>
      <c r="H13" s="349" t="str">
        <f t="shared" si="0"/>
        <v>No iniciado</v>
      </c>
      <c r="I13" s="350">
        <f t="shared" si="1"/>
        <v>0</v>
      </c>
      <c r="J13" s="350">
        <f>IFERROR(SUMIFS('56_T2_ESTUDIO_Y_ERRORES'!$H:$H,'56_T2_ESTUDIO_Y_ERRORES'!$B:$B,$B13,'56_T2_ESTUDIO_Y_ERRORES'!$C:$C,$C13)/L13,0)</f>
        <v>0</v>
      </c>
      <c r="K13" s="349" t="s">
        <v>2286</v>
      </c>
      <c r="L13" s="349">
        <f>COUNTIFS('56_T2_ESTUDIO_Y_ERRORES'!$B:$B,$B13,'56_T2_ESTUDIO_Y_ERRORES'!$C:$C,$C13)</f>
        <v>0</v>
      </c>
      <c r="M13" s="351">
        <v>4</v>
      </c>
      <c r="N13" s="351">
        <f>SUMIFS('56_T2_ESTUDIO_Y_ERRORES'!$Q:$Q,'56_T2_ESTUDIO_Y_ERRORES'!$B:$B,$B13,'56_T2_ESTUDIO_Y_ERRORES'!$C:$C,$C13)</f>
        <v>0</v>
      </c>
      <c r="O13" s="350">
        <f t="shared" si="2"/>
        <v>100</v>
      </c>
      <c r="P13" s="349" t="str">
        <f t="shared" si="3"/>
        <v>Abrir bloques en hoja 56</v>
      </c>
    </row>
    <row r="14" spans="1:16" ht="12.9" customHeight="1">
      <c r="A14" s="349" t="s">
        <v>2287</v>
      </c>
      <c r="B14" s="350">
        <v>10</v>
      </c>
      <c r="C14" s="349" t="s">
        <v>2184</v>
      </c>
      <c r="D14" s="349" t="s">
        <v>2288</v>
      </c>
      <c r="E14" s="349" t="s">
        <v>2289</v>
      </c>
      <c r="F14" s="349" t="s">
        <v>2191</v>
      </c>
      <c r="G14" s="349" t="s">
        <v>332</v>
      </c>
      <c r="H14" s="349" t="str">
        <f t="shared" si="0"/>
        <v>No iniciado</v>
      </c>
      <c r="I14" s="350">
        <f t="shared" si="1"/>
        <v>0</v>
      </c>
      <c r="J14" s="350">
        <f>IFERROR(SUMIFS('56_T2_ESTUDIO_Y_ERRORES'!$H:$H,'56_T2_ESTUDIO_Y_ERRORES'!$B:$B,$B14,'56_T2_ESTUDIO_Y_ERRORES'!$C:$C,$C14)/L14,0)</f>
        <v>0</v>
      </c>
      <c r="K14" s="349" t="s">
        <v>2290</v>
      </c>
      <c r="L14" s="349">
        <f>COUNTIFS('56_T2_ESTUDIO_Y_ERRORES'!$B:$B,$B14,'56_T2_ESTUDIO_Y_ERRORES'!$C:$C,$C14)</f>
        <v>0</v>
      </c>
      <c r="M14" s="351">
        <v>5</v>
      </c>
      <c r="N14" s="351">
        <f>SUMIFS('56_T2_ESTUDIO_Y_ERRORES'!$Q:$Q,'56_T2_ESTUDIO_Y_ERRORES'!$B:$B,$B14,'56_T2_ESTUDIO_Y_ERRORES'!$C:$C,$C14)</f>
        <v>0</v>
      </c>
      <c r="O14" s="350">
        <f t="shared" si="2"/>
        <v>100</v>
      </c>
      <c r="P14" s="349" t="str">
        <f t="shared" si="3"/>
        <v>Abrir bloques en hoja 56</v>
      </c>
    </row>
    <row r="15" spans="1:16" ht="12.9" customHeight="1">
      <c r="A15" s="349" t="s">
        <v>2291</v>
      </c>
      <c r="B15" s="350">
        <v>11</v>
      </c>
      <c r="C15" s="349" t="s">
        <v>2184</v>
      </c>
      <c r="D15" s="349" t="s">
        <v>2292</v>
      </c>
      <c r="E15" s="349" t="s">
        <v>2293</v>
      </c>
      <c r="F15" s="349" t="s">
        <v>2256</v>
      </c>
      <c r="G15" s="349" t="s">
        <v>332</v>
      </c>
      <c r="H15" s="349" t="str">
        <f t="shared" si="0"/>
        <v>No iniciado</v>
      </c>
      <c r="I15" s="350">
        <f t="shared" si="1"/>
        <v>0</v>
      </c>
      <c r="J15" s="350">
        <f>IFERROR(SUMIFS('56_T2_ESTUDIO_Y_ERRORES'!$H:$H,'56_T2_ESTUDIO_Y_ERRORES'!$B:$B,$B15,'56_T2_ESTUDIO_Y_ERRORES'!$C:$C,$C15)/L15,0)</f>
        <v>0</v>
      </c>
      <c r="K15" s="349" t="s">
        <v>2294</v>
      </c>
      <c r="L15" s="349">
        <f>COUNTIFS('56_T2_ESTUDIO_Y_ERRORES'!$B:$B,$B15,'56_T2_ESTUDIO_Y_ERRORES'!$C:$C,$C15)</f>
        <v>0</v>
      </c>
      <c r="M15" s="351">
        <v>4</v>
      </c>
      <c r="N15" s="351">
        <f>SUMIFS('56_T2_ESTUDIO_Y_ERRORES'!$Q:$Q,'56_T2_ESTUDIO_Y_ERRORES'!$B:$B,$B15,'56_T2_ESTUDIO_Y_ERRORES'!$C:$C,$C15)</f>
        <v>0</v>
      </c>
      <c r="O15" s="350">
        <f t="shared" si="2"/>
        <v>100</v>
      </c>
      <c r="P15" s="349" t="str">
        <f t="shared" si="3"/>
        <v>Abrir bloques en hoja 56</v>
      </c>
    </row>
    <row r="16" spans="1:16">
      <c r="A16" s="349" t="s">
        <v>2295</v>
      </c>
      <c r="B16" s="350">
        <v>12</v>
      </c>
      <c r="C16" s="349" t="s">
        <v>2184</v>
      </c>
      <c r="D16" s="349" t="s">
        <v>2296</v>
      </c>
      <c r="E16" s="349" t="s">
        <v>2297</v>
      </c>
      <c r="F16" s="349" t="s">
        <v>2208</v>
      </c>
      <c r="G16" s="349" t="s">
        <v>332</v>
      </c>
      <c r="H16" s="349" t="str">
        <f t="shared" si="0"/>
        <v>No iniciado</v>
      </c>
      <c r="I16" s="350">
        <f t="shared" si="1"/>
        <v>0</v>
      </c>
      <c r="J16" s="350">
        <f>IFERROR(SUMIFS('56_T2_ESTUDIO_Y_ERRORES'!$H:$H,'56_T2_ESTUDIO_Y_ERRORES'!$B:$B,$B16,'56_T2_ESTUDIO_Y_ERRORES'!$C:$C,$C16)/L16,0)</f>
        <v>0</v>
      </c>
      <c r="K16" s="349" t="s">
        <v>2298</v>
      </c>
      <c r="L16" s="349">
        <f>COUNTIFS('56_T2_ESTUDIO_Y_ERRORES'!$B:$B,$B16,'56_T2_ESTUDIO_Y_ERRORES'!$C:$C,$C16)</f>
        <v>0</v>
      </c>
      <c r="M16" s="351">
        <v>5</v>
      </c>
      <c r="N16" s="351">
        <f>SUMIFS('56_T2_ESTUDIO_Y_ERRORES'!$Q:$Q,'56_T2_ESTUDIO_Y_ERRORES'!$B:$B,$B16,'56_T2_ESTUDIO_Y_ERRORES'!$C:$C,$C16)</f>
        <v>0</v>
      </c>
      <c r="O16" s="350">
        <f t="shared" si="2"/>
        <v>100</v>
      </c>
      <c r="P16" s="349" t="str">
        <f t="shared" si="3"/>
        <v>Abrir bloques en hoja 56</v>
      </c>
    </row>
    <row r="17" spans="1:16" ht="12.9" customHeight="1">
      <c r="A17" s="349" t="s">
        <v>2299</v>
      </c>
      <c r="B17" s="350">
        <v>1</v>
      </c>
      <c r="C17" s="349" t="s">
        <v>2199</v>
      </c>
      <c r="D17" s="349" t="s">
        <v>2300</v>
      </c>
      <c r="E17" s="349" t="s">
        <v>2301</v>
      </c>
      <c r="F17" s="349" t="s">
        <v>2256</v>
      </c>
      <c r="G17" s="349" t="s">
        <v>1289</v>
      </c>
      <c r="H17" s="349" t="str">
        <f t="shared" si="0"/>
        <v>No iniciado</v>
      </c>
      <c r="I17" s="350">
        <f t="shared" si="1"/>
        <v>0</v>
      </c>
      <c r="J17" s="350">
        <f>IFERROR(SUMIFS('56_T2_ESTUDIO_Y_ERRORES'!$H:$H,'56_T2_ESTUDIO_Y_ERRORES'!$B:$B,$B17,'56_T2_ESTUDIO_Y_ERRORES'!$C:$C,$C17)/L17,0)</f>
        <v>0</v>
      </c>
      <c r="K17" s="349" t="s">
        <v>2302</v>
      </c>
      <c r="L17" s="349">
        <f>COUNTIFS('56_T2_ESTUDIO_Y_ERRORES'!$B:$B,$B17,'56_T2_ESTUDIO_Y_ERRORES'!$C:$C,$C17)</f>
        <v>0</v>
      </c>
      <c r="M17" s="351">
        <v>2</v>
      </c>
      <c r="N17" s="351">
        <f>SUMIFS('56_T2_ESTUDIO_Y_ERRORES'!$Q:$Q,'56_T2_ESTUDIO_Y_ERRORES'!$B:$B,$B17,'56_T2_ESTUDIO_Y_ERRORES'!$C:$C,$C17)</f>
        <v>0</v>
      </c>
      <c r="O17" s="350">
        <f t="shared" si="2"/>
        <v>100</v>
      </c>
      <c r="P17" s="349" t="str">
        <f t="shared" si="3"/>
        <v>Abrir bloques en hoja 56</v>
      </c>
    </row>
    <row r="18" spans="1:16" ht="12.9" customHeight="1">
      <c r="A18" s="349" t="s">
        <v>2303</v>
      </c>
      <c r="B18" s="350">
        <v>2</v>
      </c>
      <c r="C18" s="349" t="s">
        <v>2199</v>
      </c>
      <c r="D18" s="349" t="s">
        <v>2300</v>
      </c>
      <c r="E18" s="349" t="s">
        <v>2304</v>
      </c>
      <c r="F18" s="349" t="s">
        <v>2256</v>
      </c>
      <c r="G18" s="349" t="s">
        <v>332</v>
      </c>
      <c r="H18" s="349" t="str">
        <f t="shared" si="0"/>
        <v>No iniciado</v>
      </c>
      <c r="I18" s="350">
        <f t="shared" si="1"/>
        <v>0</v>
      </c>
      <c r="J18" s="350">
        <f>IFERROR(SUMIFS('56_T2_ESTUDIO_Y_ERRORES'!$H:$H,'56_T2_ESTUDIO_Y_ERRORES'!$B:$B,$B18,'56_T2_ESTUDIO_Y_ERRORES'!$C:$C,$C18)/L18,0)</f>
        <v>0</v>
      </c>
      <c r="K18" s="349" t="s">
        <v>2305</v>
      </c>
      <c r="L18" s="349">
        <f>COUNTIFS('56_T2_ESTUDIO_Y_ERRORES'!$B:$B,$B18,'56_T2_ESTUDIO_Y_ERRORES'!$C:$C,$C18)</f>
        <v>0</v>
      </c>
      <c r="M18" s="351">
        <v>4</v>
      </c>
      <c r="N18" s="351">
        <f>SUMIFS('56_T2_ESTUDIO_Y_ERRORES'!$Q:$Q,'56_T2_ESTUDIO_Y_ERRORES'!$B:$B,$B18,'56_T2_ESTUDIO_Y_ERRORES'!$C:$C,$C18)</f>
        <v>0</v>
      </c>
      <c r="O18" s="350">
        <f t="shared" si="2"/>
        <v>100</v>
      </c>
      <c r="P18" s="349" t="str">
        <f t="shared" si="3"/>
        <v>Abrir bloques en hoja 56</v>
      </c>
    </row>
    <row r="19" spans="1:16" ht="12.9" customHeight="1">
      <c r="A19" s="349" t="s">
        <v>2306</v>
      </c>
      <c r="B19" s="350">
        <v>3</v>
      </c>
      <c r="C19" s="349" t="s">
        <v>2199</v>
      </c>
      <c r="D19" s="349" t="s">
        <v>2300</v>
      </c>
      <c r="E19" s="349" t="s">
        <v>2307</v>
      </c>
      <c r="F19" s="349" t="s">
        <v>2191</v>
      </c>
      <c r="G19" s="349" t="s">
        <v>332</v>
      </c>
      <c r="H19" s="349" t="str">
        <f t="shared" si="0"/>
        <v>No iniciado</v>
      </c>
      <c r="I19" s="350">
        <f t="shared" si="1"/>
        <v>0</v>
      </c>
      <c r="J19" s="350">
        <f>IFERROR(SUMIFS('56_T2_ESTUDIO_Y_ERRORES'!$H:$H,'56_T2_ESTUDIO_Y_ERRORES'!$B:$B,$B19,'56_T2_ESTUDIO_Y_ERRORES'!$C:$C,$C19)/L19,0)</f>
        <v>0</v>
      </c>
      <c r="K19" s="349" t="s">
        <v>2308</v>
      </c>
      <c r="L19" s="349">
        <f>COUNTIFS('56_T2_ESTUDIO_Y_ERRORES'!$B:$B,$B19,'56_T2_ESTUDIO_Y_ERRORES'!$C:$C,$C19)</f>
        <v>0</v>
      </c>
      <c r="M19" s="351">
        <v>5</v>
      </c>
      <c r="N19" s="351">
        <f>SUMIFS('56_T2_ESTUDIO_Y_ERRORES'!$Q:$Q,'56_T2_ESTUDIO_Y_ERRORES'!$B:$B,$B19,'56_T2_ESTUDIO_Y_ERRORES'!$C:$C,$C19)</f>
        <v>0</v>
      </c>
      <c r="O19" s="350">
        <f t="shared" si="2"/>
        <v>100</v>
      </c>
      <c r="P19" s="349" t="str">
        <f t="shared" si="3"/>
        <v>Abrir bloques en hoja 56</v>
      </c>
    </row>
    <row r="20" spans="1:16" ht="12.9" customHeight="1">
      <c r="A20" s="349" t="s">
        <v>2309</v>
      </c>
      <c r="B20" s="350">
        <v>4</v>
      </c>
      <c r="C20" s="349" t="s">
        <v>2199</v>
      </c>
      <c r="D20" s="349" t="s">
        <v>2300</v>
      </c>
      <c r="E20" s="349" t="s">
        <v>2310</v>
      </c>
      <c r="F20" s="349" t="s">
        <v>2208</v>
      </c>
      <c r="G20" s="349" t="s">
        <v>332</v>
      </c>
      <c r="H20" s="349" t="str">
        <f t="shared" si="0"/>
        <v>No iniciado</v>
      </c>
      <c r="I20" s="350">
        <f t="shared" si="1"/>
        <v>0</v>
      </c>
      <c r="J20" s="350">
        <f>IFERROR(SUMIFS('56_T2_ESTUDIO_Y_ERRORES'!$H:$H,'56_T2_ESTUDIO_Y_ERRORES'!$B:$B,$B20,'56_T2_ESTUDIO_Y_ERRORES'!$C:$C,$C20)/L20,0)</f>
        <v>0</v>
      </c>
      <c r="K20" s="349" t="s">
        <v>2311</v>
      </c>
      <c r="L20" s="349">
        <f>COUNTIFS('56_T2_ESTUDIO_Y_ERRORES'!$B:$B,$B20,'56_T2_ESTUDIO_Y_ERRORES'!$C:$C,$C20)</f>
        <v>0</v>
      </c>
      <c r="M20" s="351">
        <v>5</v>
      </c>
      <c r="N20" s="351">
        <f>SUMIFS('56_T2_ESTUDIO_Y_ERRORES'!$Q:$Q,'56_T2_ESTUDIO_Y_ERRORES'!$B:$B,$B20,'56_T2_ESTUDIO_Y_ERRORES'!$C:$C,$C20)</f>
        <v>0</v>
      </c>
      <c r="O20" s="350">
        <f t="shared" si="2"/>
        <v>100</v>
      </c>
      <c r="P20" s="349" t="str">
        <f t="shared" si="3"/>
        <v>Abrir bloques en hoja 56</v>
      </c>
    </row>
    <row r="21" spans="1:16" ht="12.9" customHeight="1">
      <c r="A21" s="349" t="s">
        <v>2312</v>
      </c>
      <c r="B21" s="350">
        <v>5</v>
      </c>
      <c r="C21" s="349" t="s">
        <v>2199</v>
      </c>
      <c r="D21" s="349" t="s">
        <v>2313</v>
      </c>
      <c r="E21" s="349" t="s">
        <v>2314</v>
      </c>
      <c r="F21" s="349" t="s">
        <v>2256</v>
      </c>
      <c r="G21" s="349" t="s">
        <v>332</v>
      </c>
      <c r="H21" s="349" t="str">
        <f t="shared" si="0"/>
        <v>No iniciado</v>
      </c>
      <c r="I21" s="350">
        <f t="shared" si="1"/>
        <v>0</v>
      </c>
      <c r="J21" s="350">
        <f>IFERROR(SUMIFS('56_T2_ESTUDIO_Y_ERRORES'!$H:$H,'56_T2_ESTUDIO_Y_ERRORES'!$B:$B,$B21,'56_T2_ESTUDIO_Y_ERRORES'!$C:$C,$C21)/L21,0)</f>
        <v>0</v>
      </c>
      <c r="K21" s="349" t="s">
        <v>2315</v>
      </c>
      <c r="L21" s="349">
        <f>COUNTIFS('56_T2_ESTUDIO_Y_ERRORES'!$B:$B,$B21,'56_T2_ESTUDIO_Y_ERRORES'!$C:$C,$C21)</f>
        <v>0</v>
      </c>
      <c r="M21" s="351">
        <v>4</v>
      </c>
      <c r="N21" s="351">
        <f>SUMIFS('56_T2_ESTUDIO_Y_ERRORES'!$Q:$Q,'56_T2_ESTUDIO_Y_ERRORES'!$B:$B,$B21,'56_T2_ESTUDIO_Y_ERRORES'!$C:$C,$C21)</f>
        <v>0</v>
      </c>
      <c r="O21" s="350">
        <f t="shared" si="2"/>
        <v>100</v>
      </c>
      <c r="P21" s="349" t="str">
        <f t="shared" si="3"/>
        <v>Abrir bloques en hoja 56</v>
      </c>
    </row>
    <row r="22" spans="1:16" ht="12.9" customHeight="1">
      <c r="A22" s="349" t="s">
        <v>2316</v>
      </c>
      <c r="B22" s="350">
        <v>6</v>
      </c>
      <c r="C22" s="349" t="s">
        <v>2199</v>
      </c>
      <c r="D22" s="349" t="s">
        <v>2313</v>
      </c>
      <c r="E22" s="349" t="s">
        <v>2317</v>
      </c>
      <c r="F22" s="349" t="s">
        <v>2191</v>
      </c>
      <c r="G22" s="349" t="s">
        <v>332</v>
      </c>
      <c r="H22" s="349" t="str">
        <f t="shared" si="0"/>
        <v>No iniciado</v>
      </c>
      <c r="I22" s="350">
        <f t="shared" si="1"/>
        <v>0</v>
      </c>
      <c r="J22" s="350">
        <f>IFERROR(SUMIFS('56_T2_ESTUDIO_Y_ERRORES'!$H:$H,'56_T2_ESTUDIO_Y_ERRORES'!$B:$B,$B22,'56_T2_ESTUDIO_Y_ERRORES'!$C:$C,$C22)/L22,0)</f>
        <v>0</v>
      </c>
      <c r="K22" s="349" t="s">
        <v>2318</v>
      </c>
      <c r="L22" s="349">
        <f>COUNTIFS('56_T2_ESTUDIO_Y_ERRORES'!$B:$B,$B22,'56_T2_ESTUDIO_Y_ERRORES'!$C:$C,$C22)</f>
        <v>0</v>
      </c>
      <c r="M22" s="351">
        <v>4</v>
      </c>
      <c r="N22" s="351">
        <f>SUMIFS('56_T2_ESTUDIO_Y_ERRORES'!$Q:$Q,'56_T2_ESTUDIO_Y_ERRORES'!$B:$B,$B22,'56_T2_ESTUDIO_Y_ERRORES'!$C:$C,$C22)</f>
        <v>0</v>
      </c>
      <c r="O22" s="350">
        <f t="shared" si="2"/>
        <v>100</v>
      </c>
      <c r="P22" s="349" t="str">
        <f t="shared" si="3"/>
        <v>Abrir bloques en hoja 56</v>
      </c>
    </row>
    <row r="23" spans="1:16" ht="12.9" customHeight="1">
      <c r="A23" s="349" t="s">
        <v>2319</v>
      </c>
      <c r="B23" s="350">
        <v>7</v>
      </c>
      <c r="C23" s="349" t="s">
        <v>2199</v>
      </c>
      <c r="D23" s="349" t="s">
        <v>2313</v>
      </c>
      <c r="E23" s="349" t="s">
        <v>2320</v>
      </c>
      <c r="F23" s="349" t="s">
        <v>2208</v>
      </c>
      <c r="G23" s="349" t="s">
        <v>332</v>
      </c>
      <c r="H23" s="349" t="str">
        <f t="shared" si="0"/>
        <v>No iniciado</v>
      </c>
      <c r="I23" s="350">
        <f t="shared" si="1"/>
        <v>0</v>
      </c>
      <c r="J23" s="350">
        <f>IFERROR(SUMIFS('56_T2_ESTUDIO_Y_ERRORES'!$H:$H,'56_T2_ESTUDIO_Y_ERRORES'!$B:$B,$B23,'56_T2_ESTUDIO_Y_ERRORES'!$C:$C,$C23)/L23,0)</f>
        <v>0</v>
      </c>
      <c r="K23" s="349" t="s">
        <v>2321</v>
      </c>
      <c r="L23" s="349">
        <f>COUNTIFS('56_T2_ESTUDIO_Y_ERRORES'!$B:$B,$B23,'56_T2_ESTUDIO_Y_ERRORES'!$C:$C,$C23)</f>
        <v>0</v>
      </c>
      <c r="M23" s="351">
        <v>5</v>
      </c>
      <c r="N23" s="351">
        <f>SUMIFS('56_T2_ESTUDIO_Y_ERRORES'!$Q:$Q,'56_T2_ESTUDIO_Y_ERRORES'!$B:$B,$B23,'56_T2_ESTUDIO_Y_ERRORES'!$C:$C,$C23)</f>
        <v>0</v>
      </c>
      <c r="O23" s="350">
        <f t="shared" si="2"/>
        <v>100</v>
      </c>
      <c r="P23" s="349" t="str">
        <f t="shared" si="3"/>
        <v>Abrir bloques en hoja 56</v>
      </c>
    </row>
    <row r="24" spans="1:16" ht="12.9" customHeight="1">
      <c r="A24" s="349" t="s">
        <v>2322</v>
      </c>
      <c r="B24" s="350">
        <v>8</v>
      </c>
      <c r="C24" s="349" t="s">
        <v>2199</v>
      </c>
      <c r="D24" s="349" t="s">
        <v>2313</v>
      </c>
      <c r="E24" s="349" t="s">
        <v>2323</v>
      </c>
      <c r="F24" s="349" t="s">
        <v>2256</v>
      </c>
      <c r="G24" s="349" t="s">
        <v>332</v>
      </c>
      <c r="H24" s="349" t="str">
        <f t="shared" si="0"/>
        <v>No iniciado</v>
      </c>
      <c r="I24" s="350">
        <f t="shared" si="1"/>
        <v>0</v>
      </c>
      <c r="J24" s="350">
        <f>IFERROR(SUMIFS('56_T2_ESTUDIO_Y_ERRORES'!$H:$H,'56_T2_ESTUDIO_Y_ERRORES'!$B:$B,$B24,'56_T2_ESTUDIO_Y_ERRORES'!$C:$C,$C24)/L24,0)</f>
        <v>0</v>
      </c>
      <c r="K24" s="349" t="s">
        <v>2324</v>
      </c>
      <c r="L24" s="349">
        <f>COUNTIFS('56_T2_ESTUDIO_Y_ERRORES'!$B:$B,$B24,'56_T2_ESTUDIO_Y_ERRORES'!$C:$C,$C24)</f>
        <v>0</v>
      </c>
      <c r="M24" s="351">
        <v>4</v>
      </c>
      <c r="N24" s="351">
        <f>SUMIFS('56_T2_ESTUDIO_Y_ERRORES'!$Q:$Q,'56_T2_ESTUDIO_Y_ERRORES'!$B:$B,$B24,'56_T2_ESTUDIO_Y_ERRORES'!$C:$C,$C24)</f>
        <v>0</v>
      </c>
      <c r="O24" s="350">
        <f t="shared" si="2"/>
        <v>100</v>
      </c>
      <c r="P24" s="349" t="str">
        <f t="shared" si="3"/>
        <v>Abrir bloques en hoja 56</v>
      </c>
    </row>
    <row r="25" spans="1:16" ht="12.9" customHeight="1">
      <c r="A25" s="349" t="s">
        <v>2325</v>
      </c>
      <c r="B25" s="350">
        <v>9</v>
      </c>
      <c r="C25" s="349" t="s">
        <v>2199</v>
      </c>
      <c r="D25" s="349" t="s">
        <v>2326</v>
      </c>
      <c r="E25" s="349" t="s">
        <v>2327</v>
      </c>
      <c r="F25" s="349" t="s">
        <v>2256</v>
      </c>
      <c r="G25" s="349" t="s">
        <v>332</v>
      </c>
      <c r="H25" s="349" t="str">
        <f t="shared" si="0"/>
        <v>No iniciado</v>
      </c>
      <c r="I25" s="350">
        <f t="shared" si="1"/>
        <v>0</v>
      </c>
      <c r="J25" s="350">
        <f>IFERROR(SUMIFS('56_T2_ESTUDIO_Y_ERRORES'!$H:$H,'56_T2_ESTUDIO_Y_ERRORES'!$B:$B,$B25,'56_T2_ESTUDIO_Y_ERRORES'!$C:$C,$C25)/L25,0)</f>
        <v>0</v>
      </c>
      <c r="K25" s="349" t="s">
        <v>2328</v>
      </c>
      <c r="L25" s="349">
        <f>COUNTIFS('56_T2_ESTUDIO_Y_ERRORES'!$B:$B,$B25,'56_T2_ESTUDIO_Y_ERRORES'!$C:$C,$C25)</f>
        <v>0</v>
      </c>
      <c r="M25" s="351">
        <v>4</v>
      </c>
      <c r="N25" s="351">
        <f>SUMIFS('56_T2_ESTUDIO_Y_ERRORES'!$Q:$Q,'56_T2_ESTUDIO_Y_ERRORES'!$B:$B,$B25,'56_T2_ESTUDIO_Y_ERRORES'!$C:$C,$C25)</f>
        <v>0</v>
      </c>
      <c r="O25" s="350">
        <f t="shared" si="2"/>
        <v>100</v>
      </c>
      <c r="P25" s="349" t="str">
        <f t="shared" si="3"/>
        <v>Abrir bloques en hoja 56</v>
      </c>
    </row>
    <row r="26" spans="1:16" ht="19.399999999999999" customHeight="1">
      <c r="A26" s="349" t="s">
        <v>2329</v>
      </c>
      <c r="B26" s="350">
        <v>10</v>
      </c>
      <c r="C26" s="349" t="s">
        <v>2199</v>
      </c>
      <c r="D26" s="349" t="s">
        <v>2330</v>
      </c>
      <c r="E26" s="349" t="s">
        <v>2331</v>
      </c>
      <c r="F26" s="349" t="s">
        <v>2208</v>
      </c>
      <c r="G26" s="349" t="s">
        <v>332</v>
      </c>
      <c r="H26" s="349" t="str">
        <f t="shared" si="0"/>
        <v>No iniciado</v>
      </c>
      <c r="I26" s="350">
        <f t="shared" si="1"/>
        <v>0</v>
      </c>
      <c r="J26" s="350">
        <f>IFERROR(SUMIFS('56_T2_ESTUDIO_Y_ERRORES'!$H:$H,'56_T2_ESTUDIO_Y_ERRORES'!$B:$B,$B26,'56_T2_ESTUDIO_Y_ERRORES'!$C:$C,$C26)/L26,0)</f>
        <v>0</v>
      </c>
      <c r="K26" s="349" t="s">
        <v>2332</v>
      </c>
      <c r="L26" s="349">
        <f>COUNTIFS('56_T2_ESTUDIO_Y_ERRORES'!$B:$B,$B26,'56_T2_ESTUDIO_Y_ERRORES'!$C:$C,$C26)</f>
        <v>0</v>
      </c>
      <c r="M26" s="351">
        <v>5</v>
      </c>
      <c r="N26" s="351">
        <f>SUMIFS('56_T2_ESTUDIO_Y_ERRORES'!$Q:$Q,'56_T2_ESTUDIO_Y_ERRORES'!$B:$B,$B26,'56_T2_ESTUDIO_Y_ERRORES'!$C:$C,$C26)</f>
        <v>0</v>
      </c>
      <c r="O26" s="350">
        <f t="shared" si="2"/>
        <v>100</v>
      </c>
      <c r="P26" s="349" t="str">
        <f t="shared" si="3"/>
        <v>Abrir bloques en hoja 56</v>
      </c>
    </row>
    <row r="27" spans="1:16" ht="12.9" customHeight="1">
      <c r="A27" s="349" t="s">
        <v>2333</v>
      </c>
      <c r="B27" s="350">
        <v>11</v>
      </c>
      <c r="C27" s="349" t="s">
        <v>2199</v>
      </c>
      <c r="D27" s="349" t="s">
        <v>2334</v>
      </c>
      <c r="E27" s="349" t="s">
        <v>2335</v>
      </c>
      <c r="F27" s="349" t="s">
        <v>2191</v>
      </c>
      <c r="G27" s="349" t="s">
        <v>332</v>
      </c>
      <c r="H27" s="349" t="str">
        <f t="shared" si="0"/>
        <v>No iniciado</v>
      </c>
      <c r="I27" s="350">
        <f t="shared" si="1"/>
        <v>0</v>
      </c>
      <c r="J27" s="350">
        <f>IFERROR(SUMIFS('56_T2_ESTUDIO_Y_ERRORES'!$H:$H,'56_T2_ESTUDIO_Y_ERRORES'!$B:$B,$B27,'56_T2_ESTUDIO_Y_ERRORES'!$C:$C,$C27)/L27,0)</f>
        <v>0</v>
      </c>
      <c r="K27" s="349" t="s">
        <v>2336</v>
      </c>
      <c r="L27" s="349">
        <f>COUNTIFS('56_T2_ESTUDIO_Y_ERRORES'!$B:$B,$B27,'56_T2_ESTUDIO_Y_ERRORES'!$C:$C,$C27)</f>
        <v>0</v>
      </c>
      <c r="M27" s="351">
        <v>4</v>
      </c>
      <c r="N27" s="351">
        <f>SUMIFS('56_T2_ESTUDIO_Y_ERRORES'!$Q:$Q,'56_T2_ESTUDIO_Y_ERRORES'!$B:$B,$B27,'56_T2_ESTUDIO_Y_ERRORES'!$C:$C,$C27)</f>
        <v>0</v>
      </c>
      <c r="O27" s="350">
        <f t="shared" si="2"/>
        <v>100</v>
      </c>
      <c r="P27" s="349" t="str">
        <f t="shared" si="3"/>
        <v>Abrir bloques en hoja 56</v>
      </c>
    </row>
    <row r="28" spans="1:16" ht="12.9" customHeight="1">
      <c r="A28" s="349" t="s">
        <v>2337</v>
      </c>
      <c r="B28" s="350">
        <v>12</v>
      </c>
      <c r="C28" s="349" t="s">
        <v>2199</v>
      </c>
      <c r="D28" s="349" t="s">
        <v>2334</v>
      </c>
      <c r="E28" s="349" t="s">
        <v>2338</v>
      </c>
      <c r="F28" s="349" t="s">
        <v>2208</v>
      </c>
      <c r="G28" s="349" t="s">
        <v>332</v>
      </c>
      <c r="H28" s="349" t="str">
        <f t="shared" si="0"/>
        <v>No iniciado</v>
      </c>
      <c r="I28" s="350">
        <f t="shared" si="1"/>
        <v>0</v>
      </c>
      <c r="J28" s="350">
        <f>IFERROR(SUMIFS('56_T2_ESTUDIO_Y_ERRORES'!$H:$H,'56_T2_ESTUDIO_Y_ERRORES'!$B:$B,$B28,'56_T2_ESTUDIO_Y_ERRORES'!$C:$C,$C28)/L28,0)</f>
        <v>0</v>
      </c>
      <c r="K28" s="349" t="s">
        <v>2332</v>
      </c>
      <c r="L28" s="349">
        <f>COUNTIFS('56_T2_ESTUDIO_Y_ERRORES'!$B:$B,$B28,'56_T2_ESTUDIO_Y_ERRORES'!$C:$C,$C28)</f>
        <v>0</v>
      </c>
      <c r="M28" s="351">
        <v>5</v>
      </c>
      <c r="N28" s="351">
        <f>SUMIFS('56_T2_ESTUDIO_Y_ERRORES'!$Q:$Q,'56_T2_ESTUDIO_Y_ERRORES'!$B:$B,$B28,'56_T2_ESTUDIO_Y_ERRORES'!$C:$C,$C28)</f>
        <v>0</v>
      </c>
      <c r="O28" s="350">
        <f t="shared" si="2"/>
        <v>100</v>
      </c>
      <c r="P28" s="349" t="str">
        <f t="shared" si="3"/>
        <v>Abrir bloques en hoja 56</v>
      </c>
    </row>
    <row r="29" spans="1:16" ht="12.9" customHeight="1">
      <c r="A29" s="349" t="s">
        <v>2339</v>
      </c>
      <c r="B29" s="350">
        <v>1</v>
      </c>
      <c r="C29" s="349" t="s">
        <v>35</v>
      </c>
      <c r="D29" s="349" t="s">
        <v>2340</v>
      </c>
      <c r="E29" s="349" t="s">
        <v>2341</v>
      </c>
      <c r="F29" s="349" t="s">
        <v>2256</v>
      </c>
      <c r="G29" s="349" t="s">
        <v>332</v>
      </c>
      <c r="H29" s="349" t="str">
        <f t="shared" si="0"/>
        <v>No iniciado</v>
      </c>
      <c r="I29" s="350">
        <f t="shared" si="1"/>
        <v>0</v>
      </c>
      <c r="J29" s="350">
        <f>IFERROR(SUMIFS('56_T2_ESTUDIO_Y_ERRORES'!$H:$H,'56_T2_ESTUDIO_Y_ERRORES'!$B:$B,$B29,'56_T2_ESTUDIO_Y_ERRORES'!$C:$C,$C29)/L29,0)</f>
        <v>0</v>
      </c>
      <c r="K29" s="349" t="s">
        <v>2342</v>
      </c>
      <c r="L29" s="349">
        <f>COUNTIFS('56_T2_ESTUDIO_Y_ERRORES'!$B:$B,$B29,'56_T2_ESTUDIO_Y_ERRORES'!$C:$C,$C29)</f>
        <v>0</v>
      </c>
      <c r="M29" s="351">
        <v>4</v>
      </c>
      <c r="N29" s="351">
        <f>SUMIFS('56_T2_ESTUDIO_Y_ERRORES'!$Q:$Q,'56_T2_ESTUDIO_Y_ERRORES'!$B:$B,$B29,'56_T2_ESTUDIO_Y_ERRORES'!$C:$C,$C29)</f>
        <v>0</v>
      </c>
      <c r="O29" s="350">
        <f t="shared" si="2"/>
        <v>100</v>
      </c>
      <c r="P29" s="349" t="str">
        <f t="shared" si="3"/>
        <v>Abrir bloques en hoja 56</v>
      </c>
    </row>
    <row r="30" spans="1:16" ht="12.9" customHeight="1">
      <c r="A30" s="349" t="s">
        <v>2343</v>
      </c>
      <c r="B30" s="350">
        <v>2</v>
      </c>
      <c r="C30" s="349" t="s">
        <v>35</v>
      </c>
      <c r="D30" s="349" t="s">
        <v>2340</v>
      </c>
      <c r="E30" s="349" t="s">
        <v>2344</v>
      </c>
      <c r="F30" s="349" t="s">
        <v>2256</v>
      </c>
      <c r="G30" s="349" t="s">
        <v>332</v>
      </c>
      <c r="H30" s="349" t="str">
        <f t="shared" si="0"/>
        <v>No iniciado</v>
      </c>
      <c r="I30" s="350">
        <f t="shared" si="1"/>
        <v>0</v>
      </c>
      <c r="J30" s="350">
        <f>IFERROR(SUMIFS('56_T2_ESTUDIO_Y_ERRORES'!$H:$H,'56_T2_ESTUDIO_Y_ERRORES'!$B:$B,$B30,'56_T2_ESTUDIO_Y_ERRORES'!$C:$C,$C30)/L30,0)</f>
        <v>0</v>
      </c>
      <c r="K30" s="349" t="s">
        <v>2345</v>
      </c>
      <c r="L30" s="349">
        <f>COUNTIFS('56_T2_ESTUDIO_Y_ERRORES'!$B:$B,$B30,'56_T2_ESTUDIO_Y_ERRORES'!$C:$C,$C30)</f>
        <v>0</v>
      </c>
      <c r="M30" s="351">
        <v>4</v>
      </c>
      <c r="N30" s="351">
        <f>SUMIFS('56_T2_ESTUDIO_Y_ERRORES'!$Q:$Q,'56_T2_ESTUDIO_Y_ERRORES'!$B:$B,$B30,'56_T2_ESTUDIO_Y_ERRORES'!$C:$C,$C30)</f>
        <v>0</v>
      </c>
      <c r="O30" s="350">
        <f t="shared" si="2"/>
        <v>100</v>
      </c>
      <c r="P30" s="349" t="str">
        <f t="shared" si="3"/>
        <v>Abrir bloques en hoja 56</v>
      </c>
    </row>
    <row r="31" spans="1:16" ht="12.9" customHeight="1">
      <c r="A31" s="349" t="s">
        <v>2346</v>
      </c>
      <c r="B31" s="350">
        <v>3</v>
      </c>
      <c r="C31" s="349" t="s">
        <v>35</v>
      </c>
      <c r="D31" s="349" t="s">
        <v>2347</v>
      </c>
      <c r="E31" s="349" t="s">
        <v>2348</v>
      </c>
      <c r="F31" s="349" t="s">
        <v>2256</v>
      </c>
      <c r="G31" s="349" t="s">
        <v>332</v>
      </c>
      <c r="H31" s="349" t="str">
        <f t="shared" si="0"/>
        <v>No iniciado</v>
      </c>
      <c r="I31" s="350">
        <f t="shared" si="1"/>
        <v>0</v>
      </c>
      <c r="J31" s="350">
        <f>IFERROR(SUMIFS('56_T2_ESTUDIO_Y_ERRORES'!$H:$H,'56_T2_ESTUDIO_Y_ERRORES'!$B:$B,$B31,'56_T2_ESTUDIO_Y_ERRORES'!$C:$C,$C31)/L31,0)</f>
        <v>0</v>
      </c>
      <c r="K31" s="349" t="s">
        <v>2349</v>
      </c>
      <c r="L31" s="349">
        <f>COUNTIFS('56_T2_ESTUDIO_Y_ERRORES'!$B:$B,$B31,'56_T2_ESTUDIO_Y_ERRORES'!$C:$C,$C31)</f>
        <v>0</v>
      </c>
      <c r="M31" s="351">
        <v>5</v>
      </c>
      <c r="N31" s="351">
        <f>SUMIFS('56_T2_ESTUDIO_Y_ERRORES'!$Q:$Q,'56_T2_ESTUDIO_Y_ERRORES'!$B:$B,$B31,'56_T2_ESTUDIO_Y_ERRORES'!$C:$C,$C31)</f>
        <v>0</v>
      </c>
      <c r="O31" s="350">
        <f t="shared" si="2"/>
        <v>100</v>
      </c>
      <c r="P31" s="349" t="str">
        <f t="shared" si="3"/>
        <v>Abrir bloques en hoja 56</v>
      </c>
    </row>
    <row r="32" spans="1:16">
      <c r="A32" s="349" t="s">
        <v>2350</v>
      </c>
      <c r="B32" s="350">
        <v>4</v>
      </c>
      <c r="C32" s="349" t="s">
        <v>35</v>
      </c>
      <c r="D32" s="349" t="s">
        <v>2351</v>
      </c>
      <c r="E32" s="349" t="s">
        <v>2352</v>
      </c>
      <c r="F32" s="349" t="s">
        <v>2208</v>
      </c>
      <c r="G32" s="349" t="s">
        <v>332</v>
      </c>
      <c r="H32" s="349" t="str">
        <f t="shared" si="0"/>
        <v>En proceso</v>
      </c>
      <c r="I32" s="350">
        <f t="shared" si="1"/>
        <v>15</v>
      </c>
      <c r="J32" s="350">
        <f>IFERROR(SUMIFS('56_T2_ESTUDIO_Y_ERRORES'!$H:$H,'56_T2_ESTUDIO_Y_ERRORES'!$B:$B,$B32,'56_T2_ESTUDIO_Y_ERRORES'!$C:$C,$C32)/L32,0)</f>
        <v>30</v>
      </c>
      <c r="K32" s="349" t="s">
        <v>2353</v>
      </c>
      <c r="L32" s="349">
        <f>COUNTIFS('56_T2_ESTUDIO_Y_ERRORES'!$B:$B,$B32,'56_T2_ESTUDIO_Y_ERRORES'!$C:$C,$C32)</f>
        <v>1</v>
      </c>
      <c r="M32" s="351">
        <v>5</v>
      </c>
      <c r="N32" s="351">
        <f>SUMIFS('56_T2_ESTUDIO_Y_ERRORES'!$Q:$Q,'56_T2_ESTUDIO_Y_ERRORES'!$B:$B,$B32,'56_T2_ESTUDIO_Y_ERRORES'!$C:$C,$C32)</f>
        <v>0.75</v>
      </c>
      <c r="O32" s="350">
        <f t="shared" si="2"/>
        <v>85</v>
      </c>
      <c r="P32" s="349" t="str">
        <f t="shared" si="3"/>
        <v>Reestudiar desde base</v>
      </c>
    </row>
    <row r="33" spans="1:16" ht="19.399999999999999" customHeight="1">
      <c r="A33" s="349" t="s">
        <v>2354</v>
      </c>
      <c r="B33" s="350">
        <v>5</v>
      </c>
      <c r="C33" s="349" t="s">
        <v>35</v>
      </c>
      <c r="D33" s="349" t="s">
        <v>2355</v>
      </c>
      <c r="E33" s="349" t="s">
        <v>2356</v>
      </c>
      <c r="F33" s="349" t="s">
        <v>2256</v>
      </c>
      <c r="G33" s="349" t="s">
        <v>332</v>
      </c>
      <c r="H33" s="349" t="str">
        <f t="shared" si="0"/>
        <v>No iniciado</v>
      </c>
      <c r="I33" s="350">
        <f t="shared" si="1"/>
        <v>0</v>
      </c>
      <c r="J33" s="350">
        <f>IFERROR(SUMIFS('56_T2_ESTUDIO_Y_ERRORES'!$H:$H,'56_T2_ESTUDIO_Y_ERRORES'!$B:$B,$B33,'56_T2_ESTUDIO_Y_ERRORES'!$C:$C,$C33)/L33,0)</f>
        <v>0</v>
      </c>
      <c r="K33" s="349" t="s">
        <v>2357</v>
      </c>
      <c r="L33" s="349">
        <f>COUNTIFS('56_T2_ESTUDIO_Y_ERRORES'!$B:$B,$B33,'56_T2_ESTUDIO_Y_ERRORES'!$C:$C,$C33)</f>
        <v>0</v>
      </c>
      <c r="M33" s="351">
        <v>4</v>
      </c>
      <c r="N33" s="351">
        <f>SUMIFS('56_T2_ESTUDIO_Y_ERRORES'!$Q:$Q,'56_T2_ESTUDIO_Y_ERRORES'!$B:$B,$B33,'56_T2_ESTUDIO_Y_ERRORES'!$C:$C,$C33)</f>
        <v>0</v>
      </c>
      <c r="O33" s="350">
        <f t="shared" si="2"/>
        <v>100</v>
      </c>
      <c r="P33" s="349" t="str">
        <f t="shared" si="3"/>
        <v>Abrir bloques en hoja 56</v>
      </c>
    </row>
    <row r="34" spans="1:16">
      <c r="A34" s="349" t="s">
        <v>2358</v>
      </c>
      <c r="B34" s="350">
        <v>6</v>
      </c>
      <c r="C34" s="349" t="s">
        <v>35</v>
      </c>
      <c r="D34" s="349" t="s">
        <v>2359</v>
      </c>
      <c r="E34" s="349" t="s">
        <v>2360</v>
      </c>
      <c r="F34" s="349" t="s">
        <v>2191</v>
      </c>
      <c r="G34" s="349" t="s">
        <v>332</v>
      </c>
      <c r="H34" s="349" t="str">
        <f t="shared" si="0"/>
        <v>No iniciado</v>
      </c>
      <c r="I34" s="350">
        <f t="shared" si="1"/>
        <v>0</v>
      </c>
      <c r="J34" s="350">
        <f>IFERROR(SUMIFS('56_T2_ESTUDIO_Y_ERRORES'!$H:$H,'56_T2_ESTUDIO_Y_ERRORES'!$B:$B,$B34,'56_T2_ESTUDIO_Y_ERRORES'!$C:$C,$C34)/L34,0)</f>
        <v>0</v>
      </c>
      <c r="K34" s="349" t="s">
        <v>2361</v>
      </c>
      <c r="L34" s="349">
        <f>COUNTIFS('56_T2_ESTUDIO_Y_ERRORES'!$B:$B,$B34,'56_T2_ESTUDIO_Y_ERRORES'!$C:$C,$C34)</f>
        <v>0</v>
      </c>
      <c r="M34" s="351">
        <v>4</v>
      </c>
      <c r="N34" s="351">
        <f>SUMIFS('56_T2_ESTUDIO_Y_ERRORES'!$Q:$Q,'56_T2_ESTUDIO_Y_ERRORES'!$B:$B,$B34,'56_T2_ESTUDIO_Y_ERRORES'!$C:$C,$C34)</f>
        <v>0</v>
      </c>
      <c r="O34" s="350">
        <f t="shared" si="2"/>
        <v>100</v>
      </c>
      <c r="P34" s="349" t="str">
        <f t="shared" si="3"/>
        <v>Abrir bloques en hoja 56</v>
      </c>
    </row>
    <row r="35" spans="1:16" ht="12.9" customHeight="1">
      <c r="A35" s="349" t="s">
        <v>2362</v>
      </c>
      <c r="B35" s="350">
        <v>7</v>
      </c>
      <c r="C35" s="349" t="s">
        <v>35</v>
      </c>
      <c r="D35" s="349" t="s">
        <v>2363</v>
      </c>
      <c r="E35" s="349" t="s">
        <v>2364</v>
      </c>
      <c r="F35" s="349" t="s">
        <v>2191</v>
      </c>
      <c r="G35" s="349" t="s">
        <v>332</v>
      </c>
      <c r="H35" s="349" t="str">
        <f t="shared" si="0"/>
        <v>No iniciado</v>
      </c>
      <c r="I35" s="350">
        <f t="shared" si="1"/>
        <v>0</v>
      </c>
      <c r="J35" s="350">
        <f>IFERROR(SUMIFS('56_T2_ESTUDIO_Y_ERRORES'!$H:$H,'56_T2_ESTUDIO_Y_ERRORES'!$B:$B,$B35,'56_T2_ESTUDIO_Y_ERRORES'!$C:$C,$C35)/L35,0)</f>
        <v>0</v>
      </c>
      <c r="K35" s="349" t="s">
        <v>2365</v>
      </c>
      <c r="L35" s="349">
        <f>COUNTIFS('56_T2_ESTUDIO_Y_ERRORES'!$B:$B,$B35,'56_T2_ESTUDIO_Y_ERRORES'!$C:$C,$C35)</f>
        <v>0</v>
      </c>
      <c r="M35" s="351">
        <v>4</v>
      </c>
      <c r="N35" s="351">
        <f>SUMIFS('56_T2_ESTUDIO_Y_ERRORES'!$Q:$Q,'56_T2_ESTUDIO_Y_ERRORES'!$B:$B,$B35,'56_T2_ESTUDIO_Y_ERRORES'!$C:$C,$C35)</f>
        <v>0</v>
      </c>
      <c r="O35" s="350">
        <f t="shared" si="2"/>
        <v>100</v>
      </c>
      <c r="P35" s="349" t="str">
        <f t="shared" si="3"/>
        <v>Abrir bloques en hoja 56</v>
      </c>
    </row>
    <row r="36" spans="1:16">
      <c r="A36" s="349" t="s">
        <v>2366</v>
      </c>
      <c r="B36" s="350">
        <v>8</v>
      </c>
      <c r="C36" s="349" t="s">
        <v>35</v>
      </c>
      <c r="D36" s="349" t="s">
        <v>2367</v>
      </c>
      <c r="E36" s="349" t="s">
        <v>2368</v>
      </c>
      <c r="F36" s="349" t="s">
        <v>2256</v>
      </c>
      <c r="G36" s="349" t="s">
        <v>332</v>
      </c>
      <c r="H36" s="349" t="str">
        <f t="shared" si="0"/>
        <v>No iniciado</v>
      </c>
      <c r="I36" s="350">
        <f t="shared" si="1"/>
        <v>0</v>
      </c>
      <c r="J36" s="350">
        <f>IFERROR(SUMIFS('56_T2_ESTUDIO_Y_ERRORES'!$H:$H,'56_T2_ESTUDIO_Y_ERRORES'!$B:$B,$B36,'56_T2_ESTUDIO_Y_ERRORES'!$C:$C,$C36)/L36,0)</f>
        <v>0</v>
      </c>
      <c r="K36" s="349" t="s">
        <v>2369</v>
      </c>
      <c r="L36" s="349">
        <f>COUNTIFS('56_T2_ESTUDIO_Y_ERRORES'!$B:$B,$B36,'56_T2_ESTUDIO_Y_ERRORES'!$C:$C,$C36)</f>
        <v>0</v>
      </c>
      <c r="M36" s="351">
        <v>5</v>
      </c>
      <c r="N36" s="351">
        <f>SUMIFS('56_T2_ESTUDIO_Y_ERRORES'!$Q:$Q,'56_T2_ESTUDIO_Y_ERRORES'!$B:$B,$B36,'56_T2_ESTUDIO_Y_ERRORES'!$C:$C,$C36)</f>
        <v>0</v>
      </c>
      <c r="O36" s="350">
        <f t="shared" si="2"/>
        <v>100</v>
      </c>
      <c r="P36" s="349" t="str">
        <f t="shared" si="3"/>
        <v>Abrir bloques en hoja 56</v>
      </c>
    </row>
    <row r="37" spans="1:16" ht="12.9" customHeight="1">
      <c r="A37" s="349" t="s">
        <v>2370</v>
      </c>
      <c r="B37" s="350">
        <v>9</v>
      </c>
      <c r="C37" s="349" t="s">
        <v>35</v>
      </c>
      <c r="D37" s="349" t="s">
        <v>2371</v>
      </c>
      <c r="E37" s="349" t="s">
        <v>2372</v>
      </c>
      <c r="F37" s="349" t="s">
        <v>1411</v>
      </c>
      <c r="G37" s="349" t="s">
        <v>332</v>
      </c>
      <c r="H37" s="349" t="str">
        <f t="shared" si="0"/>
        <v>No iniciado</v>
      </c>
      <c r="I37" s="350">
        <f t="shared" si="1"/>
        <v>0</v>
      </c>
      <c r="J37" s="350">
        <f>IFERROR(SUMIFS('56_T2_ESTUDIO_Y_ERRORES'!$H:$H,'56_T2_ESTUDIO_Y_ERRORES'!$B:$B,$B37,'56_T2_ESTUDIO_Y_ERRORES'!$C:$C,$C37)/L37,0)</f>
        <v>0</v>
      </c>
      <c r="K37" s="349" t="s">
        <v>2373</v>
      </c>
      <c r="L37" s="349">
        <f>COUNTIFS('56_T2_ESTUDIO_Y_ERRORES'!$B:$B,$B37,'56_T2_ESTUDIO_Y_ERRORES'!$C:$C,$C37)</f>
        <v>0</v>
      </c>
      <c r="M37" s="351">
        <v>4</v>
      </c>
      <c r="N37" s="351">
        <f>SUMIFS('56_T2_ESTUDIO_Y_ERRORES'!$Q:$Q,'56_T2_ESTUDIO_Y_ERRORES'!$B:$B,$B37,'56_T2_ESTUDIO_Y_ERRORES'!$C:$C,$C37)</f>
        <v>0</v>
      </c>
      <c r="O37" s="350">
        <f t="shared" si="2"/>
        <v>100</v>
      </c>
      <c r="P37" s="349" t="str">
        <f t="shared" si="3"/>
        <v>Abrir bloques en hoja 56</v>
      </c>
    </row>
    <row r="38" spans="1:16" ht="12.9" customHeight="1">
      <c r="A38" s="349" t="s">
        <v>2374</v>
      </c>
      <c r="B38" s="350">
        <v>10</v>
      </c>
      <c r="C38" s="349" t="s">
        <v>35</v>
      </c>
      <c r="D38" s="349" t="s">
        <v>2375</v>
      </c>
      <c r="E38" s="349" t="s">
        <v>2376</v>
      </c>
      <c r="F38" s="349" t="s">
        <v>2191</v>
      </c>
      <c r="G38" s="349" t="s">
        <v>332</v>
      </c>
      <c r="H38" s="349" t="str">
        <f t="shared" si="0"/>
        <v>No iniciado</v>
      </c>
      <c r="I38" s="350">
        <f t="shared" si="1"/>
        <v>0</v>
      </c>
      <c r="J38" s="350">
        <f>IFERROR(SUMIFS('56_T2_ESTUDIO_Y_ERRORES'!$H:$H,'56_T2_ESTUDIO_Y_ERRORES'!$B:$B,$B38,'56_T2_ESTUDIO_Y_ERRORES'!$C:$C,$C38)/L38,0)</f>
        <v>0</v>
      </c>
      <c r="K38" s="349" t="s">
        <v>2377</v>
      </c>
      <c r="L38" s="349">
        <f>COUNTIFS('56_T2_ESTUDIO_Y_ERRORES'!$B:$B,$B38,'56_T2_ESTUDIO_Y_ERRORES'!$C:$C,$C38)</f>
        <v>0</v>
      </c>
      <c r="M38" s="351">
        <v>4</v>
      </c>
      <c r="N38" s="351">
        <f>SUMIFS('56_T2_ESTUDIO_Y_ERRORES'!$Q:$Q,'56_T2_ESTUDIO_Y_ERRORES'!$B:$B,$B38,'56_T2_ESTUDIO_Y_ERRORES'!$C:$C,$C38)</f>
        <v>0</v>
      </c>
      <c r="O38" s="350">
        <f t="shared" si="2"/>
        <v>100</v>
      </c>
      <c r="P38" s="349" t="str">
        <f t="shared" si="3"/>
        <v>Abrir bloques en hoja 56</v>
      </c>
    </row>
    <row r="39" spans="1:16" ht="12.9" customHeight="1">
      <c r="A39" s="349" t="s">
        <v>2378</v>
      </c>
      <c r="B39" s="350">
        <v>11</v>
      </c>
      <c r="C39" s="349" t="s">
        <v>35</v>
      </c>
      <c r="D39" s="349" t="s">
        <v>2379</v>
      </c>
      <c r="E39" s="349" t="s">
        <v>2380</v>
      </c>
      <c r="F39" s="349" t="s">
        <v>2256</v>
      </c>
      <c r="G39" s="349" t="s">
        <v>332</v>
      </c>
      <c r="H39" s="349" t="str">
        <f t="shared" si="0"/>
        <v>No iniciado</v>
      </c>
      <c r="I39" s="350">
        <f t="shared" si="1"/>
        <v>0</v>
      </c>
      <c r="J39" s="350">
        <f>IFERROR(SUMIFS('56_T2_ESTUDIO_Y_ERRORES'!$H:$H,'56_T2_ESTUDIO_Y_ERRORES'!$B:$B,$B39,'56_T2_ESTUDIO_Y_ERRORES'!$C:$C,$C39)/L39,0)</f>
        <v>0</v>
      </c>
      <c r="K39" s="349" t="s">
        <v>2381</v>
      </c>
      <c r="L39" s="349">
        <f>COUNTIFS('56_T2_ESTUDIO_Y_ERRORES'!$B:$B,$B39,'56_T2_ESTUDIO_Y_ERRORES'!$C:$C,$C39)</f>
        <v>0</v>
      </c>
      <c r="M39" s="351">
        <v>4</v>
      </c>
      <c r="N39" s="351">
        <f>SUMIFS('56_T2_ESTUDIO_Y_ERRORES'!$Q:$Q,'56_T2_ESTUDIO_Y_ERRORES'!$B:$B,$B39,'56_T2_ESTUDIO_Y_ERRORES'!$C:$C,$C39)</f>
        <v>0</v>
      </c>
      <c r="O39" s="350">
        <f t="shared" si="2"/>
        <v>100</v>
      </c>
      <c r="P39" s="349" t="str">
        <f t="shared" si="3"/>
        <v>Abrir bloques en hoja 56</v>
      </c>
    </row>
    <row r="40" spans="1:16">
      <c r="A40" s="349" t="s">
        <v>2382</v>
      </c>
      <c r="B40" s="350">
        <v>12</v>
      </c>
      <c r="C40" s="349" t="s">
        <v>35</v>
      </c>
      <c r="D40" s="349" t="s">
        <v>2296</v>
      </c>
      <c r="E40" s="349" t="s">
        <v>2383</v>
      </c>
      <c r="F40" s="349" t="s">
        <v>2256</v>
      </c>
      <c r="G40" s="349" t="s">
        <v>332</v>
      </c>
      <c r="H40" s="349" t="str">
        <f t="shared" si="0"/>
        <v>No iniciado</v>
      </c>
      <c r="I40" s="350">
        <f t="shared" si="1"/>
        <v>0</v>
      </c>
      <c r="J40" s="350">
        <f>IFERROR(SUMIFS('56_T2_ESTUDIO_Y_ERRORES'!$H:$H,'56_T2_ESTUDIO_Y_ERRORES'!$B:$B,$B40,'56_T2_ESTUDIO_Y_ERRORES'!$C:$C,$C40)/L40,0)</f>
        <v>0</v>
      </c>
      <c r="K40" s="349" t="s">
        <v>2369</v>
      </c>
      <c r="L40" s="349">
        <f>COUNTIFS('56_T2_ESTUDIO_Y_ERRORES'!$B:$B,$B40,'56_T2_ESTUDIO_Y_ERRORES'!$C:$C,$C40)</f>
        <v>0</v>
      </c>
      <c r="M40" s="351">
        <v>5</v>
      </c>
      <c r="N40" s="351">
        <f>SUMIFS('56_T2_ESTUDIO_Y_ERRORES'!$Q:$Q,'56_T2_ESTUDIO_Y_ERRORES'!$B:$B,$B40,'56_T2_ESTUDIO_Y_ERRORES'!$C:$C,$C40)</f>
        <v>0</v>
      </c>
      <c r="O40" s="350">
        <f t="shared" si="2"/>
        <v>100</v>
      </c>
      <c r="P40" s="349" t="str">
        <f t="shared" si="3"/>
        <v>Abrir bloques en hoja 56</v>
      </c>
    </row>
    <row r="41" spans="1:16" ht="19.399999999999999" customHeight="1">
      <c r="A41" s="349" t="s">
        <v>2384</v>
      </c>
      <c r="B41" s="350">
        <v>1</v>
      </c>
      <c r="C41" s="349" t="s">
        <v>2189</v>
      </c>
      <c r="D41" s="349" t="s">
        <v>2385</v>
      </c>
      <c r="E41" s="349" t="s">
        <v>2386</v>
      </c>
      <c r="F41" s="349" t="s">
        <v>2256</v>
      </c>
      <c r="G41" s="349" t="s">
        <v>1289</v>
      </c>
      <c r="H41" s="349" t="str">
        <f t="shared" si="0"/>
        <v>No iniciado</v>
      </c>
      <c r="I41" s="350">
        <f t="shared" si="1"/>
        <v>0</v>
      </c>
      <c r="J41" s="350">
        <f>IFERROR(SUMIFS('56_T2_ESTUDIO_Y_ERRORES'!$H:$H,'56_T2_ESTUDIO_Y_ERRORES'!$B:$B,$B41,'56_T2_ESTUDIO_Y_ERRORES'!$C:$C,$C41)/L41,0)</f>
        <v>0</v>
      </c>
      <c r="K41" s="349" t="s">
        <v>2387</v>
      </c>
      <c r="L41" s="349">
        <f>COUNTIFS('56_T2_ESTUDIO_Y_ERRORES'!$B:$B,$B41,'56_T2_ESTUDIO_Y_ERRORES'!$C:$C,$C41)</f>
        <v>0</v>
      </c>
      <c r="M41" s="351">
        <v>2</v>
      </c>
      <c r="N41" s="351">
        <f>SUMIFS('56_T2_ESTUDIO_Y_ERRORES'!$Q:$Q,'56_T2_ESTUDIO_Y_ERRORES'!$B:$B,$B41,'56_T2_ESTUDIO_Y_ERRORES'!$C:$C,$C41)</f>
        <v>0</v>
      </c>
      <c r="O41" s="350">
        <f t="shared" si="2"/>
        <v>100</v>
      </c>
      <c r="P41" s="349" t="str">
        <f t="shared" si="3"/>
        <v>Abrir bloques en hoja 56</v>
      </c>
    </row>
    <row r="42" spans="1:16" ht="19.399999999999999" customHeight="1">
      <c r="A42" s="349" t="s">
        <v>2388</v>
      </c>
      <c r="B42" s="350">
        <v>2</v>
      </c>
      <c r="C42" s="349" t="s">
        <v>2189</v>
      </c>
      <c r="D42" s="349" t="s">
        <v>2389</v>
      </c>
      <c r="E42" s="349" t="s">
        <v>2390</v>
      </c>
      <c r="F42" s="349" t="s">
        <v>2256</v>
      </c>
      <c r="G42" s="349" t="s">
        <v>1289</v>
      </c>
      <c r="H42" s="349" t="str">
        <f t="shared" si="0"/>
        <v>No iniciado</v>
      </c>
      <c r="I42" s="350">
        <f t="shared" si="1"/>
        <v>0</v>
      </c>
      <c r="J42" s="350">
        <f>IFERROR(SUMIFS('56_T2_ESTUDIO_Y_ERRORES'!$H:$H,'56_T2_ESTUDIO_Y_ERRORES'!$B:$B,$B42,'56_T2_ESTUDIO_Y_ERRORES'!$C:$C,$C42)/L42,0)</f>
        <v>0</v>
      </c>
      <c r="K42" s="349" t="s">
        <v>2391</v>
      </c>
      <c r="L42" s="349">
        <f>COUNTIFS('56_T2_ESTUDIO_Y_ERRORES'!$B:$B,$B42,'56_T2_ESTUDIO_Y_ERRORES'!$C:$C,$C42)</f>
        <v>0</v>
      </c>
      <c r="M42" s="351">
        <v>2</v>
      </c>
      <c r="N42" s="351">
        <f>SUMIFS('56_T2_ESTUDIO_Y_ERRORES'!$Q:$Q,'56_T2_ESTUDIO_Y_ERRORES'!$B:$B,$B42,'56_T2_ESTUDIO_Y_ERRORES'!$C:$C,$C42)</f>
        <v>0</v>
      </c>
      <c r="O42" s="350">
        <f t="shared" si="2"/>
        <v>100</v>
      </c>
      <c r="P42" s="349" t="str">
        <f t="shared" si="3"/>
        <v>Abrir bloques en hoja 56</v>
      </c>
    </row>
    <row r="43" spans="1:16" ht="12.9" customHeight="1">
      <c r="A43" s="349" t="s">
        <v>2392</v>
      </c>
      <c r="B43" s="350">
        <v>3</v>
      </c>
      <c r="C43" s="349" t="s">
        <v>2189</v>
      </c>
      <c r="D43" s="349" t="s">
        <v>2393</v>
      </c>
      <c r="E43" s="349" t="s">
        <v>2394</v>
      </c>
      <c r="F43" s="349" t="s">
        <v>2208</v>
      </c>
      <c r="G43" s="349" t="s">
        <v>332</v>
      </c>
      <c r="H43" s="349" t="str">
        <f t="shared" si="0"/>
        <v>No iniciado</v>
      </c>
      <c r="I43" s="350">
        <f t="shared" si="1"/>
        <v>0</v>
      </c>
      <c r="J43" s="350">
        <f>IFERROR(SUMIFS('56_T2_ESTUDIO_Y_ERRORES'!$H:$H,'56_T2_ESTUDIO_Y_ERRORES'!$B:$B,$B43,'56_T2_ESTUDIO_Y_ERRORES'!$C:$C,$C43)/L43,0)</f>
        <v>0</v>
      </c>
      <c r="K43" s="349" t="s">
        <v>2395</v>
      </c>
      <c r="L43" s="349">
        <f>COUNTIFS('56_T2_ESTUDIO_Y_ERRORES'!$B:$B,$B43,'56_T2_ESTUDIO_Y_ERRORES'!$C:$C,$C43)</f>
        <v>0</v>
      </c>
      <c r="M43" s="351">
        <v>4</v>
      </c>
      <c r="N43" s="351">
        <f>SUMIFS('56_T2_ESTUDIO_Y_ERRORES'!$Q:$Q,'56_T2_ESTUDIO_Y_ERRORES'!$B:$B,$B43,'56_T2_ESTUDIO_Y_ERRORES'!$C:$C,$C43)</f>
        <v>0</v>
      </c>
      <c r="O43" s="350">
        <f t="shared" si="2"/>
        <v>100</v>
      </c>
      <c r="P43" s="349" t="str">
        <f t="shared" si="3"/>
        <v>Abrir bloques en hoja 56</v>
      </c>
    </row>
    <row r="44" spans="1:16" ht="12.9" customHeight="1">
      <c r="A44" s="349" t="s">
        <v>2396</v>
      </c>
      <c r="B44" s="350">
        <v>4</v>
      </c>
      <c r="C44" s="349" t="s">
        <v>2189</v>
      </c>
      <c r="D44" s="349" t="s">
        <v>2397</v>
      </c>
      <c r="E44" s="349" t="s">
        <v>2398</v>
      </c>
      <c r="F44" s="349" t="s">
        <v>2208</v>
      </c>
      <c r="G44" s="349" t="s">
        <v>332</v>
      </c>
      <c r="H44" s="349" t="str">
        <f t="shared" si="0"/>
        <v>No iniciado</v>
      </c>
      <c r="I44" s="350">
        <f t="shared" si="1"/>
        <v>0</v>
      </c>
      <c r="J44" s="350">
        <f>IFERROR(SUMIFS('56_T2_ESTUDIO_Y_ERRORES'!$H:$H,'56_T2_ESTUDIO_Y_ERRORES'!$B:$B,$B44,'56_T2_ESTUDIO_Y_ERRORES'!$C:$C,$C44)/L44,0)</f>
        <v>0</v>
      </c>
      <c r="K44" s="349" t="s">
        <v>2395</v>
      </c>
      <c r="L44" s="349">
        <f>COUNTIFS('56_T2_ESTUDIO_Y_ERRORES'!$B:$B,$B44,'56_T2_ESTUDIO_Y_ERRORES'!$C:$C,$C44)</f>
        <v>0</v>
      </c>
      <c r="M44" s="351">
        <v>4</v>
      </c>
      <c r="N44" s="351">
        <f>SUMIFS('56_T2_ESTUDIO_Y_ERRORES'!$Q:$Q,'56_T2_ESTUDIO_Y_ERRORES'!$B:$B,$B44,'56_T2_ESTUDIO_Y_ERRORES'!$C:$C,$C44)</f>
        <v>0</v>
      </c>
      <c r="O44" s="350">
        <f t="shared" si="2"/>
        <v>100</v>
      </c>
      <c r="P44" s="349" t="str">
        <f t="shared" si="3"/>
        <v>Abrir bloques en hoja 56</v>
      </c>
    </row>
    <row r="45" spans="1:16" ht="12.9" customHeight="1">
      <c r="A45" s="349" t="s">
        <v>2399</v>
      </c>
      <c r="B45" s="350">
        <v>5</v>
      </c>
      <c r="C45" s="349" t="s">
        <v>2189</v>
      </c>
      <c r="D45" s="349" t="s">
        <v>2400</v>
      </c>
      <c r="E45" s="349" t="s">
        <v>2401</v>
      </c>
      <c r="F45" s="349" t="s">
        <v>2208</v>
      </c>
      <c r="G45" s="349" t="s">
        <v>1289</v>
      </c>
      <c r="H45" s="349" t="str">
        <f t="shared" si="0"/>
        <v>No iniciado</v>
      </c>
      <c r="I45" s="350">
        <f t="shared" si="1"/>
        <v>0</v>
      </c>
      <c r="J45" s="350">
        <f>IFERROR(SUMIFS('56_T2_ESTUDIO_Y_ERRORES'!$H:$H,'56_T2_ESTUDIO_Y_ERRORES'!$B:$B,$B45,'56_T2_ESTUDIO_Y_ERRORES'!$C:$C,$C45)/L45,0)</f>
        <v>0</v>
      </c>
      <c r="K45" s="349" t="s">
        <v>2402</v>
      </c>
      <c r="L45" s="349">
        <f>COUNTIFS('56_T2_ESTUDIO_Y_ERRORES'!$B:$B,$B45,'56_T2_ESTUDIO_Y_ERRORES'!$C:$C,$C45)</f>
        <v>0</v>
      </c>
      <c r="M45" s="351">
        <v>2</v>
      </c>
      <c r="N45" s="351">
        <f>SUMIFS('56_T2_ESTUDIO_Y_ERRORES'!$Q:$Q,'56_T2_ESTUDIO_Y_ERRORES'!$B:$B,$B45,'56_T2_ESTUDIO_Y_ERRORES'!$C:$C,$C45)</f>
        <v>0</v>
      </c>
      <c r="O45" s="350">
        <f t="shared" si="2"/>
        <v>100</v>
      </c>
      <c r="P45" s="349" t="str">
        <f t="shared" si="3"/>
        <v>Abrir bloques en hoja 56</v>
      </c>
    </row>
    <row r="46" spans="1:16" ht="12.9" customHeight="1">
      <c r="A46" s="349" t="s">
        <v>2403</v>
      </c>
      <c r="B46" s="350">
        <v>6</v>
      </c>
      <c r="C46" s="349" t="s">
        <v>2189</v>
      </c>
      <c r="D46" s="349" t="s">
        <v>2404</v>
      </c>
      <c r="E46" s="349" t="s">
        <v>2405</v>
      </c>
      <c r="F46" s="349" t="s">
        <v>2256</v>
      </c>
      <c r="G46" s="349" t="s">
        <v>1289</v>
      </c>
      <c r="H46" s="349" t="str">
        <f t="shared" si="0"/>
        <v>No iniciado</v>
      </c>
      <c r="I46" s="350">
        <f t="shared" si="1"/>
        <v>0</v>
      </c>
      <c r="J46" s="350">
        <f>IFERROR(SUMIFS('56_T2_ESTUDIO_Y_ERRORES'!$H:$H,'56_T2_ESTUDIO_Y_ERRORES'!$B:$B,$B46,'56_T2_ESTUDIO_Y_ERRORES'!$C:$C,$C46)/L46,0)</f>
        <v>0</v>
      </c>
      <c r="K46" s="349" t="s">
        <v>2406</v>
      </c>
      <c r="L46" s="349">
        <f>COUNTIFS('56_T2_ESTUDIO_Y_ERRORES'!$B:$B,$B46,'56_T2_ESTUDIO_Y_ERRORES'!$C:$C,$C46)</f>
        <v>0</v>
      </c>
      <c r="M46" s="351">
        <v>2</v>
      </c>
      <c r="N46" s="351">
        <f>SUMIFS('56_T2_ESTUDIO_Y_ERRORES'!$Q:$Q,'56_T2_ESTUDIO_Y_ERRORES'!$B:$B,$B46,'56_T2_ESTUDIO_Y_ERRORES'!$C:$C,$C46)</f>
        <v>0</v>
      </c>
      <c r="O46" s="350">
        <f t="shared" si="2"/>
        <v>100</v>
      </c>
      <c r="P46" s="349" t="str">
        <f t="shared" si="3"/>
        <v>Abrir bloques en hoja 56</v>
      </c>
    </row>
    <row r="47" spans="1:16" ht="19.399999999999999" customHeight="1">
      <c r="A47" s="349" t="s">
        <v>2407</v>
      </c>
      <c r="B47" s="350">
        <v>7</v>
      </c>
      <c r="C47" s="349" t="s">
        <v>2189</v>
      </c>
      <c r="D47" s="349" t="s">
        <v>2408</v>
      </c>
      <c r="E47" s="349" t="s">
        <v>2409</v>
      </c>
      <c r="F47" s="349" t="s">
        <v>2256</v>
      </c>
      <c r="G47" s="349" t="s">
        <v>332</v>
      </c>
      <c r="H47" s="349" t="str">
        <f t="shared" si="0"/>
        <v>No iniciado</v>
      </c>
      <c r="I47" s="350">
        <f t="shared" si="1"/>
        <v>0</v>
      </c>
      <c r="J47" s="350">
        <f>IFERROR(SUMIFS('56_T2_ESTUDIO_Y_ERRORES'!$H:$H,'56_T2_ESTUDIO_Y_ERRORES'!$B:$B,$B47,'56_T2_ESTUDIO_Y_ERRORES'!$C:$C,$C47)/L47,0)</f>
        <v>0</v>
      </c>
      <c r="K47" s="349" t="s">
        <v>2410</v>
      </c>
      <c r="L47" s="349">
        <f>COUNTIFS('56_T2_ESTUDIO_Y_ERRORES'!$B:$B,$B47,'56_T2_ESTUDIO_Y_ERRORES'!$C:$C,$C47)</f>
        <v>0</v>
      </c>
      <c r="M47" s="351">
        <v>4</v>
      </c>
      <c r="N47" s="351">
        <f>SUMIFS('56_T2_ESTUDIO_Y_ERRORES'!$Q:$Q,'56_T2_ESTUDIO_Y_ERRORES'!$B:$B,$B47,'56_T2_ESTUDIO_Y_ERRORES'!$C:$C,$C47)</f>
        <v>0</v>
      </c>
      <c r="O47" s="350">
        <f t="shared" si="2"/>
        <v>100</v>
      </c>
      <c r="P47" s="349" t="str">
        <f t="shared" si="3"/>
        <v>Abrir bloques en hoja 56</v>
      </c>
    </row>
    <row r="48" spans="1:16" ht="12.9" customHeight="1">
      <c r="A48" s="349" t="s">
        <v>2411</v>
      </c>
      <c r="B48" s="350">
        <v>8</v>
      </c>
      <c r="C48" s="349" t="s">
        <v>2189</v>
      </c>
      <c r="D48" s="349" t="s">
        <v>2412</v>
      </c>
      <c r="E48" s="349" t="s">
        <v>2413</v>
      </c>
      <c r="F48" s="349" t="s">
        <v>2208</v>
      </c>
      <c r="G48" s="349" t="s">
        <v>332</v>
      </c>
      <c r="H48" s="349" t="str">
        <f t="shared" si="0"/>
        <v>No iniciado</v>
      </c>
      <c r="I48" s="350">
        <f t="shared" si="1"/>
        <v>0</v>
      </c>
      <c r="J48" s="350">
        <f>IFERROR(SUMIFS('56_T2_ESTUDIO_Y_ERRORES'!$H:$H,'56_T2_ESTUDIO_Y_ERRORES'!$B:$B,$B48,'56_T2_ESTUDIO_Y_ERRORES'!$C:$C,$C48)/L48,0)</f>
        <v>0</v>
      </c>
      <c r="K48" s="349" t="s">
        <v>2414</v>
      </c>
      <c r="L48" s="349">
        <f>COUNTIFS('56_T2_ESTUDIO_Y_ERRORES'!$B:$B,$B48,'56_T2_ESTUDIO_Y_ERRORES'!$C:$C,$C48)</f>
        <v>0</v>
      </c>
      <c r="M48" s="351">
        <v>5</v>
      </c>
      <c r="N48" s="351">
        <f>SUMIFS('56_T2_ESTUDIO_Y_ERRORES'!$Q:$Q,'56_T2_ESTUDIO_Y_ERRORES'!$B:$B,$B48,'56_T2_ESTUDIO_Y_ERRORES'!$C:$C,$C48)</f>
        <v>0</v>
      </c>
      <c r="O48" s="350">
        <f t="shared" si="2"/>
        <v>100</v>
      </c>
      <c r="P48" s="349" t="str">
        <f t="shared" si="3"/>
        <v>Abrir bloques en hoja 56</v>
      </c>
    </row>
    <row r="49" spans="1:16" ht="12.9" customHeight="1">
      <c r="A49" s="349" t="s">
        <v>2415</v>
      </c>
      <c r="B49" s="350">
        <v>9</v>
      </c>
      <c r="C49" s="349" t="s">
        <v>2189</v>
      </c>
      <c r="D49" s="349" t="s">
        <v>2416</v>
      </c>
      <c r="E49" s="349" t="s">
        <v>2417</v>
      </c>
      <c r="F49" s="349" t="s">
        <v>2256</v>
      </c>
      <c r="G49" s="349" t="s">
        <v>332</v>
      </c>
      <c r="H49" s="349" t="str">
        <f t="shared" si="0"/>
        <v>No iniciado</v>
      </c>
      <c r="I49" s="350">
        <f t="shared" si="1"/>
        <v>0</v>
      </c>
      <c r="J49" s="350">
        <f>IFERROR(SUMIFS('56_T2_ESTUDIO_Y_ERRORES'!$H:$H,'56_T2_ESTUDIO_Y_ERRORES'!$B:$B,$B49,'56_T2_ESTUDIO_Y_ERRORES'!$C:$C,$C49)/L49,0)</f>
        <v>0</v>
      </c>
      <c r="K49" s="349" t="s">
        <v>2418</v>
      </c>
      <c r="L49" s="349">
        <f>COUNTIFS('56_T2_ESTUDIO_Y_ERRORES'!$B:$B,$B49,'56_T2_ESTUDIO_Y_ERRORES'!$C:$C,$C49)</f>
        <v>0</v>
      </c>
      <c r="M49" s="351">
        <v>4</v>
      </c>
      <c r="N49" s="351">
        <f>SUMIFS('56_T2_ESTUDIO_Y_ERRORES'!$Q:$Q,'56_T2_ESTUDIO_Y_ERRORES'!$B:$B,$B49,'56_T2_ESTUDIO_Y_ERRORES'!$C:$C,$C49)</f>
        <v>0</v>
      </c>
      <c r="O49" s="350">
        <f t="shared" si="2"/>
        <v>100</v>
      </c>
      <c r="P49" s="349" t="str">
        <f t="shared" si="3"/>
        <v>Abrir bloques en hoja 56</v>
      </c>
    </row>
    <row r="50" spans="1:16" ht="12.9" customHeight="1">
      <c r="A50" s="349" t="s">
        <v>2419</v>
      </c>
      <c r="B50" s="350">
        <v>10</v>
      </c>
      <c r="C50" s="349" t="s">
        <v>2189</v>
      </c>
      <c r="D50" s="349" t="s">
        <v>2420</v>
      </c>
      <c r="E50" s="349" t="s">
        <v>2421</v>
      </c>
      <c r="F50" s="349" t="s">
        <v>2256</v>
      </c>
      <c r="G50" s="349" t="s">
        <v>332</v>
      </c>
      <c r="H50" s="349" t="str">
        <f t="shared" si="0"/>
        <v>No iniciado</v>
      </c>
      <c r="I50" s="350">
        <f t="shared" si="1"/>
        <v>0</v>
      </c>
      <c r="J50" s="350">
        <f>IFERROR(SUMIFS('56_T2_ESTUDIO_Y_ERRORES'!$H:$H,'56_T2_ESTUDIO_Y_ERRORES'!$B:$B,$B50,'56_T2_ESTUDIO_Y_ERRORES'!$C:$C,$C50)/L50,0)</f>
        <v>0</v>
      </c>
      <c r="K50" s="349" t="s">
        <v>2422</v>
      </c>
      <c r="L50" s="349">
        <f>COUNTIFS('56_T2_ESTUDIO_Y_ERRORES'!$B:$B,$B50,'56_T2_ESTUDIO_Y_ERRORES'!$C:$C,$C50)</f>
        <v>0</v>
      </c>
      <c r="M50" s="351">
        <v>4</v>
      </c>
      <c r="N50" s="351">
        <f>SUMIFS('56_T2_ESTUDIO_Y_ERRORES'!$Q:$Q,'56_T2_ESTUDIO_Y_ERRORES'!$B:$B,$B50,'56_T2_ESTUDIO_Y_ERRORES'!$C:$C,$C50)</f>
        <v>0</v>
      </c>
      <c r="O50" s="350">
        <f t="shared" si="2"/>
        <v>100</v>
      </c>
      <c r="P50" s="349" t="str">
        <f t="shared" si="3"/>
        <v>Abrir bloques en hoja 56</v>
      </c>
    </row>
    <row r="51" spans="1:16" ht="12.9" customHeight="1">
      <c r="A51" s="349" t="s">
        <v>2423</v>
      </c>
      <c r="B51" s="350">
        <v>11</v>
      </c>
      <c r="C51" s="349" t="s">
        <v>2189</v>
      </c>
      <c r="D51" s="349" t="s">
        <v>2367</v>
      </c>
      <c r="E51" s="349" t="s">
        <v>2424</v>
      </c>
      <c r="F51" s="349" t="s">
        <v>2208</v>
      </c>
      <c r="G51" s="349" t="s">
        <v>332</v>
      </c>
      <c r="H51" s="349" t="str">
        <f t="shared" si="0"/>
        <v>No iniciado</v>
      </c>
      <c r="I51" s="350">
        <f t="shared" si="1"/>
        <v>0</v>
      </c>
      <c r="J51" s="350">
        <f>IFERROR(SUMIFS('56_T2_ESTUDIO_Y_ERRORES'!$H:$H,'56_T2_ESTUDIO_Y_ERRORES'!$B:$B,$B51,'56_T2_ESTUDIO_Y_ERRORES'!$C:$C,$C51)/L51,0)</f>
        <v>0</v>
      </c>
      <c r="K51" s="349" t="s">
        <v>2414</v>
      </c>
      <c r="L51" s="349">
        <f>COUNTIFS('56_T2_ESTUDIO_Y_ERRORES'!$B:$B,$B51,'56_T2_ESTUDIO_Y_ERRORES'!$C:$C,$C51)</f>
        <v>0</v>
      </c>
      <c r="M51" s="351">
        <v>5</v>
      </c>
      <c r="N51" s="351">
        <f>SUMIFS('56_T2_ESTUDIO_Y_ERRORES'!$Q:$Q,'56_T2_ESTUDIO_Y_ERRORES'!$B:$B,$B51,'56_T2_ESTUDIO_Y_ERRORES'!$C:$C,$C51)</f>
        <v>0</v>
      </c>
      <c r="O51" s="350">
        <f t="shared" si="2"/>
        <v>100</v>
      </c>
      <c r="P51" s="349" t="str">
        <f t="shared" si="3"/>
        <v>Abrir bloques en hoja 56</v>
      </c>
    </row>
    <row r="52" spans="1:16" ht="12.9" customHeight="1">
      <c r="A52" s="349" t="s">
        <v>2425</v>
      </c>
      <c r="B52" s="350">
        <v>12</v>
      </c>
      <c r="C52" s="349" t="s">
        <v>2189</v>
      </c>
      <c r="D52" s="349" t="s">
        <v>2426</v>
      </c>
      <c r="E52" s="349" t="s">
        <v>2427</v>
      </c>
      <c r="F52" s="349" t="s">
        <v>2256</v>
      </c>
      <c r="G52" s="349" t="s">
        <v>332</v>
      </c>
      <c r="H52" s="349" t="str">
        <f t="shared" si="0"/>
        <v>No iniciado</v>
      </c>
      <c r="I52" s="350">
        <f t="shared" si="1"/>
        <v>0</v>
      </c>
      <c r="J52" s="350">
        <f>IFERROR(SUMIFS('56_T2_ESTUDIO_Y_ERRORES'!$H:$H,'56_T2_ESTUDIO_Y_ERRORES'!$B:$B,$B52,'56_T2_ESTUDIO_Y_ERRORES'!$C:$C,$C52)/L52,0)</f>
        <v>0</v>
      </c>
      <c r="K52" s="349" t="s">
        <v>2428</v>
      </c>
      <c r="L52" s="349">
        <f>COUNTIFS('56_T2_ESTUDIO_Y_ERRORES'!$B:$B,$B52,'56_T2_ESTUDIO_Y_ERRORES'!$C:$C,$C52)</f>
        <v>0</v>
      </c>
      <c r="M52" s="351">
        <v>4</v>
      </c>
      <c r="N52" s="351">
        <f>SUMIFS('56_T2_ESTUDIO_Y_ERRORES'!$Q:$Q,'56_T2_ESTUDIO_Y_ERRORES'!$B:$B,$B52,'56_T2_ESTUDIO_Y_ERRORES'!$C:$C,$C52)</f>
        <v>0</v>
      </c>
      <c r="O52" s="350">
        <f t="shared" si="2"/>
        <v>100</v>
      </c>
      <c r="P52" s="349" t="str">
        <f t="shared" si="3"/>
        <v>Abrir bloques en hoja 56</v>
      </c>
    </row>
    <row r="53" spans="1:16">
      <c r="A53" s="349"/>
      <c r="B53" s="350"/>
      <c r="C53" s="349"/>
      <c r="D53" s="349"/>
      <c r="E53" s="349"/>
      <c r="F53" s="349"/>
      <c r="G53" s="349"/>
      <c r="H53" s="349"/>
      <c r="I53" s="350"/>
      <c r="J53" s="350"/>
      <c r="K53" s="349"/>
      <c r="L53" s="349"/>
      <c r="M53" s="351"/>
      <c r="N53" s="351"/>
      <c r="O53" s="350"/>
      <c r="P53" s="349"/>
    </row>
    <row r="54" spans="1:16">
      <c r="A54" s="349"/>
      <c r="B54" s="350"/>
      <c r="C54" s="349"/>
      <c r="D54" s="349"/>
      <c r="E54" s="349"/>
      <c r="F54" s="349"/>
      <c r="G54" s="349"/>
      <c r="H54" s="349"/>
      <c r="I54" s="350"/>
      <c r="J54" s="350"/>
      <c r="K54" s="349"/>
      <c r="L54" s="349"/>
      <c r="M54" s="351"/>
      <c r="N54" s="351"/>
      <c r="O54" s="350"/>
      <c r="P54" s="349"/>
    </row>
    <row r="55" spans="1:16">
      <c r="A55" s="349"/>
      <c r="B55" s="350"/>
      <c r="C55" s="349"/>
      <c r="D55" s="349"/>
      <c r="E55" s="349"/>
      <c r="F55" s="349"/>
      <c r="G55" s="349"/>
      <c r="H55" s="349"/>
      <c r="I55" s="350"/>
      <c r="J55" s="350"/>
      <c r="K55" s="349"/>
      <c r="L55" s="349"/>
      <c r="M55" s="351"/>
      <c r="N55" s="351"/>
      <c r="O55" s="350"/>
      <c r="P55" s="349"/>
    </row>
    <row r="56" spans="1:16">
      <c r="A56" s="349"/>
      <c r="B56" s="350"/>
      <c r="C56" s="349"/>
      <c r="D56" s="349"/>
      <c r="E56" s="349"/>
      <c r="F56" s="349"/>
      <c r="G56" s="349"/>
      <c r="H56" s="349"/>
      <c r="I56" s="350"/>
      <c r="J56" s="350"/>
      <c r="K56" s="349"/>
      <c r="L56" s="349"/>
      <c r="M56" s="351"/>
      <c r="N56" s="351"/>
      <c r="O56" s="350"/>
      <c r="P56" s="349"/>
    </row>
    <row r="57" spans="1:16">
      <c r="A57" s="349"/>
      <c r="B57" s="350"/>
      <c r="C57" s="349"/>
      <c r="D57" s="349"/>
      <c r="E57" s="349"/>
      <c r="F57" s="349"/>
      <c r="G57" s="349"/>
      <c r="H57" s="349"/>
      <c r="I57" s="350"/>
      <c r="J57" s="350"/>
      <c r="K57" s="349"/>
      <c r="L57" s="349"/>
      <c r="M57" s="351"/>
      <c r="N57" s="351"/>
      <c r="O57" s="350"/>
      <c r="P57" s="349"/>
    </row>
    <row r="58" spans="1:16">
      <c r="A58" s="349"/>
      <c r="B58" s="350"/>
      <c r="C58" s="349"/>
      <c r="D58" s="349"/>
      <c r="E58" s="349"/>
      <c r="F58" s="349"/>
      <c r="G58" s="349"/>
      <c r="H58" s="349"/>
      <c r="I58" s="350"/>
      <c r="J58" s="350"/>
      <c r="K58" s="349"/>
      <c r="L58" s="349"/>
      <c r="M58" s="351"/>
      <c r="N58" s="351"/>
      <c r="O58" s="350"/>
      <c r="P58" s="349"/>
    </row>
    <row r="59" spans="1:16">
      <c r="A59" s="349"/>
      <c r="B59" s="350"/>
      <c r="C59" s="349"/>
      <c r="D59" s="349"/>
      <c r="E59" s="349"/>
      <c r="F59" s="349"/>
      <c r="G59" s="349"/>
      <c r="H59" s="349"/>
      <c r="I59" s="350"/>
      <c r="J59" s="350"/>
      <c r="K59" s="349"/>
      <c r="L59" s="349"/>
      <c r="M59" s="351"/>
      <c r="N59" s="351"/>
      <c r="O59" s="350"/>
      <c r="P59" s="349"/>
    </row>
    <row r="60" spans="1:16">
      <c r="A60" s="349"/>
      <c r="B60" s="350"/>
      <c r="C60" s="349"/>
      <c r="D60" s="349"/>
      <c r="E60" s="349"/>
      <c r="F60" s="349"/>
      <c r="G60" s="349"/>
      <c r="H60" s="349"/>
      <c r="I60" s="350"/>
      <c r="J60" s="350"/>
      <c r="K60" s="349"/>
      <c r="L60" s="349"/>
      <c r="M60" s="351"/>
      <c r="N60" s="351"/>
      <c r="O60" s="350"/>
      <c r="P60" s="349"/>
    </row>
    <row r="61" spans="1:16">
      <c r="A61" s="349"/>
      <c r="B61" s="350"/>
      <c r="C61" s="349"/>
      <c r="D61" s="349"/>
      <c r="E61" s="349"/>
      <c r="F61" s="349"/>
      <c r="G61" s="349"/>
      <c r="H61" s="349"/>
      <c r="I61" s="350"/>
      <c r="J61" s="350"/>
      <c r="K61" s="349"/>
      <c r="L61" s="349"/>
      <c r="M61" s="351"/>
      <c r="N61" s="351"/>
      <c r="O61" s="350"/>
      <c r="P61" s="349"/>
    </row>
    <row r="62" spans="1:16">
      <c r="A62" s="349"/>
      <c r="B62" s="350"/>
      <c r="C62" s="349"/>
      <c r="D62" s="349"/>
      <c r="E62" s="349"/>
      <c r="F62" s="349"/>
      <c r="G62" s="349"/>
      <c r="H62" s="349"/>
      <c r="I62" s="350"/>
      <c r="J62" s="350"/>
      <c r="K62" s="349"/>
      <c r="L62" s="349"/>
      <c r="M62" s="351"/>
      <c r="N62" s="351"/>
      <c r="O62" s="350"/>
      <c r="P62" s="349"/>
    </row>
    <row r="63" spans="1:16">
      <c r="A63" s="349"/>
      <c r="B63" s="350"/>
      <c r="C63" s="349"/>
      <c r="D63" s="349"/>
      <c r="E63" s="349"/>
      <c r="F63" s="349"/>
      <c r="G63" s="349"/>
      <c r="H63" s="349"/>
      <c r="I63" s="350"/>
      <c r="J63" s="350"/>
      <c r="K63" s="349"/>
      <c r="L63" s="349"/>
      <c r="M63" s="351"/>
      <c r="N63" s="351"/>
      <c r="O63" s="350"/>
      <c r="P63" s="349"/>
    </row>
    <row r="64" spans="1:16">
      <c r="A64" s="349"/>
      <c r="B64" s="350"/>
      <c r="C64" s="349"/>
      <c r="D64" s="349"/>
      <c r="E64" s="349"/>
      <c r="F64" s="349"/>
      <c r="G64" s="349"/>
      <c r="H64" s="349"/>
      <c r="I64" s="350"/>
      <c r="J64" s="350"/>
      <c r="K64" s="349"/>
      <c r="L64" s="349"/>
      <c r="M64" s="351"/>
      <c r="N64" s="351"/>
      <c r="O64" s="350"/>
      <c r="P64" s="349"/>
    </row>
    <row r="65" spans="1:16">
      <c r="A65" s="349"/>
      <c r="B65" s="350"/>
      <c r="C65" s="349"/>
      <c r="D65" s="349"/>
      <c r="E65" s="349"/>
      <c r="F65" s="349"/>
      <c r="G65" s="349"/>
      <c r="H65" s="349"/>
      <c r="I65" s="350"/>
      <c r="J65" s="350"/>
      <c r="K65" s="349"/>
      <c r="L65" s="349"/>
      <c r="M65" s="351"/>
      <c r="N65" s="351"/>
      <c r="O65" s="350"/>
      <c r="P65" s="349"/>
    </row>
    <row r="66" spans="1:16">
      <c r="A66" s="349"/>
      <c r="B66" s="350"/>
      <c r="C66" s="349"/>
      <c r="D66" s="349"/>
      <c r="E66" s="349"/>
      <c r="F66" s="349"/>
      <c r="G66" s="349"/>
      <c r="H66" s="349"/>
      <c r="I66" s="350"/>
      <c r="J66" s="350"/>
      <c r="K66" s="349"/>
      <c r="L66" s="349"/>
      <c r="M66" s="351"/>
      <c r="N66" s="351"/>
      <c r="O66" s="350"/>
      <c r="P66" s="349"/>
    </row>
    <row r="67" spans="1:16">
      <c r="A67" s="349"/>
      <c r="B67" s="350"/>
      <c r="C67" s="349"/>
      <c r="D67" s="349"/>
      <c r="E67" s="349"/>
      <c r="F67" s="349"/>
      <c r="G67" s="349"/>
      <c r="H67" s="349"/>
      <c r="I67" s="350"/>
      <c r="J67" s="350"/>
      <c r="K67" s="349"/>
      <c r="L67" s="349"/>
      <c r="M67" s="351"/>
      <c r="N67" s="351"/>
      <c r="O67" s="350"/>
      <c r="P67" s="349"/>
    </row>
    <row r="68" spans="1:16">
      <c r="A68" s="349"/>
      <c r="B68" s="350"/>
      <c r="C68" s="349"/>
      <c r="D68" s="349"/>
      <c r="E68" s="349"/>
      <c r="F68" s="349"/>
      <c r="G68" s="349"/>
      <c r="H68" s="349"/>
      <c r="I68" s="350"/>
      <c r="J68" s="350"/>
      <c r="K68" s="349"/>
      <c r="L68" s="349"/>
      <c r="M68" s="351"/>
      <c r="N68" s="351"/>
      <c r="O68" s="350"/>
      <c r="P68" s="349"/>
    </row>
    <row r="69" spans="1:16">
      <c r="A69" s="349"/>
      <c r="B69" s="350"/>
      <c r="C69" s="349"/>
      <c r="D69" s="349"/>
      <c r="E69" s="349"/>
      <c r="F69" s="349"/>
      <c r="G69" s="349"/>
      <c r="H69" s="349"/>
      <c r="I69" s="350"/>
      <c r="J69" s="350"/>
      <c r="K69" s="349"/>
      <c r="L69" s="349"/>
      <c r="M69" s="351"/>
      <c r="N69" s="351"/>
      <c r="O69" s="350"/>
      <c r="P69" s="349"/>
    </row>
    <row r="70" spans="1:16">
      <c r="A70" s="349"/>
      <c r="B70" s="350"/>
      <c r="C70" s="349"/>
      <c r="D70" s="349"/>
      <c r="E70" s="349"/>
      <c r="F70" s="349"/>
      <c r="G70" s="349"/>
      <c r="H70" s="349"/>
      <c r="I70" s="350"/>
      <c r="J70" s="350"/>
      <c r="K70" s="349"/>
      <c r="L70" s="349"/>
      <c r="M70" s="351"/>
      <c r="N70" s="351"/>
      <c r="O70" s="350"/>
      <c r="P70" s="349"/>
    </row>
    <row r="71" spans="1:16">
      <c r="A71" s="349"/>
      <c r="B71" s="350"/>
      <c r="C71" s="349"/>
      <c r="D71" s="349"/>
      <c r="E71" s="349"/>
      <c r="F71" s="349"/>
      <c r="G71" s="349"/>
      <c r="H71" s="349"/>
      <c r="I71" s="350"/>
      <c r="J71" s="350"/>
      <c r="K71" s="349"/>
      <c r="L71" s="349"/>
      <c r="M71" s="351"/>
      <c r="N71" s="351"/>
      <c r="O71" s="350"/>
      <c r="P71" s="349"/>
    </row>
    <row r="72" spans="1:16">
      <c r="A72" s="349"/>
      <c r="B72" s="350"/>
      <c r="C72" s="349"/>
      <c r="D72" s="349"/>
      <c r="E72" s="349"/>
      <c r="F72" s="349"/>
      <c r="G72" s="349"/>
      <c r="H72" s="349"/>
      <c r="I72" s="350"/>
      <c r="J72" s="350"/>
      <c r="K72" s="349"/>
      <c r="L72" s="349"/>
      <c r="M72" s="351"/>
      <c r="N72" s="351"/>
      <c r="O72" s="350"/>
      <c r="P72" s="349"/>
    </row>
    <row r="73" spans="1:16">
      <c r="A73" s="349"/>
      <c r="B73" s="350"/>
      <c r="C73" s="349"/>
      <c r="D73" s="349"/>
      <c r="E73" s="349"/>
      <c r="F73" s="349"/>
      <c r="G73" s="349"/>
      <c r="H73" s="349"/>
      <c r="I73" s="350"/>
      <c r="J73" s="350"/>
      <c r="K73" s="349"/>
      <c r="L73" s="349"/>
      <c r="M73" s="351"/>
      <c r="N73" s="351"/>
      <c r="O73" s="350"/>
      <c r="P73" s="349"/>
    </row>
    <row r="74" spans="1:16">
      <c r="A74" s="349"/>
      <c r="B74" s="350"/>
      <c r="C74" s="349"/>
      <c r="D74" s="349"/>
      <c r="E74" s="349"/>
      <c r="F74" s="349"/>
      <c r="G74" s="349"/>
      <c r="H74" s="349"/>
      <c r="I74" s="350"/>
      <c r="J74" s="350"/>
      <c r="K74" s="349"/>
      <c r="L74" s="349"/>
      <c r="M74" s="351"/>
      <c r="N74" s="351"/>
      <c r="O74" s="350"/>
      <c r="P74" s="349"/>
    </row>
    <row r="75" spans="1:16">
      <c r="A75" s="349"/>
      <c r="B75" s="350"/>
      <c r="C75" s="349"/>
      <c r="D75" s="349"/>
      <c r="E75" s="349"/>
      <c r="F75" s="349"/>
      <c r="G75" s="349"/>
      <c r="H75" s="349"/>
      <c r="I75" s="350"/>
      <c r="J75" s="350"/>
      <c r="K75" s="349"/>
      <c r="L75" s="349"/>
      <c r="M75" s="351"/>
      <c r="N75" s="351"/>
      <c r="O75" s="350"/>
      <c r="P75" s="349"/>
    </row>
    <row r="76" spans="1:16">
      <c r="A76" s="349"/>
      <c r="B76" s="350"/>
      <c r="C76" s="349"/>
      <c r="D76" s="349"/>
      <c r="E76" s="349"/>
      <c r="F76" s="349"/>
      <c r="G76" s="349"/>
      <c r="H76" s="349"/>
      <c r="I76" s="350"/>
      <c r="J76" s="350"/>
      <c r="K76" s="349"/>
      <c r="L76" s="349"/>
      <c r="M76" s="351"/>
      <c r="N76" s="351"/>
      <c r="O76" s="350"/>
      <c r="P76" s="349"/>
    </row>
    <row r="77" spans="1:16">
      <c r="A77" s="349"/>
      <c r="B77" s="350"/>
      <c r="C77" s="349"/>
      <c r="D77" s="349"/>
      <c r="E77" s="349"/>
      <c r="F77" s="349"/>
      <c r="G77" s="349"/>
      <c r="H77" s="349"/>
      <c r="I77" s="350"/>
      <c r="J77" s="350"/>
      <c r="K77" s="349"/>
      <c r="L77" s="349"/>
      <c r="M77" s="351"/>
      <c r="N77" s="351"/>
      <c r="O77" s="350"/>
      <c r="P77" s="349"/>
    </row>
    <row r="78" spans="1:16">
      <c r="A78" s="349"/>
      <c r="B78" s="350"/>
      <c r="C78" s="349"/>
      <c r="D78" s="349"/>
      <c r="E78" s="349"/>
      <c r="F78" s="349"/>
      <c r="G78" s="349"/>
      <c r="H78" s="349"/>
      <c r="I78" s="350"/>
      <c r="J78" s="350"/>
      <c r="K78" s="349"/>
      <c r="L78" s="349"/>
      <c r="M78" s="351"/>
      <c r="N78" s="351"/>
      <c r="O78" s="350"/>
      <c r="P78" s="349"/>
    </row>
    <row r="79" spans="1:16">
      <c r="A79" s="349"/>
      <c r="B79" s="350"/>
      <c r="C79" s="349"/>
      <c r="D79" s="349"/>
      <c r="E79" s="349"/>
      <c r="F79" s="349"/>
      <c r="G79" s="349"/>
      <c r="H79" s="349"/>
      <c r="I79" s="350"/>
      <c r="J79" s="350"/>
      <c r="K79" s="349"/>
      <c r="L79" s="349"/>
      <c r="M79" s="351"/>
      <c r="N79" s="351"/>
      <c r="O79" s="350"/>
      <c r="P79" s="349"/>
    </row>
    <row r="80" spans="1:16">
      <c r="A80" s="349"/>
      <c r="B80" s="350"/>
      <c r="C80" s="349"/>
      <c r="D80" s="349"/>
      <c r="E80" s="349"/>
      <c r="F80" s="349"/>
      <c r="G80" s="349"/>
      <c r="H80" s="349"/>
      <c r="I80" s="350"/>
      <c r="J80" s="350"/>
      <c r="K80" s="349"/>
      <c r="L80" s="349"/>
      <c r="M80" s="351"/>
      <c r="N80" s="351"/>
      <c r="O80" s="350"/>
      <c r="P80" s="349"/>
    </row>
    <row r="81" spans="1:16">
      <c r="A81" s="349"/>
      <c r="B81" s="350"/>
      <c r="C81" s="349"/>
      <c r="D81" s="349"/>
      <c r="E81" s="349"/>
      <c r="F81" s="349"/>
      <c r="G81" s="349"/>
      <c r="H81" s="349"/>
      <c r="I81" s="350"/>
      <c r="J81" s="350"/>
      <c r="K81" s="349"/>
      <c r="L81" s="349"/>
      <c r="M81" s="351"/>
      <c r="N81" s="351"/>
      <c r="O81" s="350"/>
      <c r="P81" s="349"/>
    </row>
    <row r="82" spans="1:16">
      <c r="A82" s="349"/>
      <c r="B82" s="350"/>
      <c r="C82" s="349"/>
      <c r="D82" s="349"/>
      <c r="E82" s="349"/>
      <c r="F82" s="349"/>
      <c r="G82" s="349"/>
      <c r="H82" s="349"/>
      <c r="I82" s="350"/>
      <c r="J82" s="350"/>
      <c r="K82" s="349"/>
      <c r="L82" s="349"/>
      <c r="M82" s="351"/>
      <c r="N82" s="351"/>
      <c r="O82" s="350"/>
      <c r="P82" s="349"/>
    </row>
    <row r="83" spans="1:16">
      <c r="A83" s="349"/>
      <c r="B83" s="350"/>
      <c r="C83" s="349"/>
      <c r="D83" s="349"/>
      <c r="E83" s="349"/>
      <c r="F83" s="349"/>
      <c r="G83" s="349"/>
      <c r="H83" s="349"/>
      <c r="I83" s="350"/>
      <c r="J83" s="350"/>
      <c r="K83" s="349"/>
      <c r="L83" s="349"/>
      <c r="M83" s="351"/>
      <c r="N83" s="351"/>
      <c r="O83" s="350"/>
      <c r="P83" s="349"/>
    </row>
    <row r="84" spans="1:16">
      <c r="A84" s="349"/>
      <c r="B84" s="350"/>
      <c r="C84" s="349"/>
      <c r="D84" s="349"/>
      <c r="E84" s="349"/>
      <c r="F84" s="349"/>
      <c r="G84" s="349"/>
      <c r="H84" s="349"/>
      <c r="I84" s="350"/>
      <c r="J84" s="350"/>
      <c r="K84" s="349"/>
      <c r="L84" s="349"/>
      <c r="M84" s="351"/>
      <c r="N84" s="351"/>
      <c r="O84" s="350"/>
      <c r="P84" s="349"/>
    </row>
    <row r="85" spans="1:16">
      <c r="A85" s="349"/>
      <c r="B85" s="350"/>
      <c r="C85" s="349"/>
      <c r="D85" s="349"/>
      <c r="E85" s="349"/>
      <c r="F85" s="349"/>
      <c r="G85" s="349"/>
      <c r="H85" s="349"/>
      <c r="I85" s="350"/>
      <c r="J85" s="350"/>
      <c r="K85" s="349"/>
      <c r="L85" s="349"/>
      <c r="M85" s="351"/>
      <c r="N85" s="351"/>
      <c r="O85" s="350"/>
      <c r="P85" s="349"/>
    </row>
    <row r="86" spans="1:16">
      <c r="A86" s="349"/>
      <c r="B86" s="350"/>
      <c r="C86" s="349"/>
      <c r="D86" s="349"/>
      <c r="E86" s="349"/>
      <c r="F86" s="349"/>
      <c r="G86" s="349"/>
      <c r="H86" s="349"/>
      <c r="I86" s="350"/>
      <c r="J86" s="350"/>
      <c r="K86" s="349"/>
      <c r="L86" s="349"/>
      <c r="M86" s="351"/>
      <c r="N86" s="351"/>
      <c r="O86" s="350"/>
      <c r="P86" s="349"/>
    </row>
    <row r="87" spans="1:16">
      <c r="A87" s="349"/>
      <c r="B87" s="350"/>
      <c r="C87" s="349"/>
      <c r="D87" s="349"/>
      <c r="E87" s="349"/>
      <c r="F87" s="349"/>
      <c r="G87" s="349"/>
      <c r="H87" s="349"/>
      <c r="I87" s="350"/>
      <c r="J87" s="350"/>
      <c r="K87" s="349"/>
      <c r="L87" s="349"/>
      <c r="M87" s="351"/>
      <c r="N87" s="351"/>
      <c r="O87" s="350"/>
      <c r="P87" s="349"/>
    </row>
    <row r="88" spans="1:16">
      <c r="A88" s="349"/>
      <c r="B88" s="350"/>
      <c r="C88" s="349"/>
      <c r="D88" s="349"/>
      <c r="E88" s="349"/>
      <c r="F88" s="349"/>
      <c r="G88" s="349"/>
      <c r="H88" s="349"/>
      <c r="I88" s="350"/>
      <c r="J88" s="350"/>
      <c r="K88" s="349"/>
      <c r="L88" s="349"/>
      <c r="M88" s="351"/>
      <c r="N88" s="351"/>
      <c r="O88" s="350"/>
      <c r="P88" s="349"/>
    </row>
    <row r="89" spans="1:16">
      <c r="A89" s="349"/>
      <c r="B89" s="350"/>
      <c r="C89" s="349"/>
      <c r="D89" s="349"/>
      <c r="E89" s="349"/>
      <c r="F89" s="349"/>
      <c r="G89" s="349"/>
      <c r="H89" s="349"/>
      <c r="I89" s="350"/>
      <c r="J89" s="350"/>
      <c r="K89" s="349"/>
      <c r="L89" s="349"/>
      <c r="M89" s="351"/>
      <c r="N89" s="351"/>
      <c r="O89" s="350"/>
      <c r="P89" s="349"/>
    </row>
    <row r="90" spans="1:16">
      <c r="A90" s="349"/>
      <c r="B90" s="350"/>
      <c r="C90" s="349"/>
      <c r="D90" s="349"/>
      <c r="E90" s="349"/>
      <c r="F90" s="349"/>
      <c r="G90" s="349"/>
      <c r="H90" s="349"/>
      <c r="I90" s="350"/>
      <c r="J90" s="350"/>
      <c r="K90" s="349"/>
      <c r="L90" s="349"/>
      <c r="M90" s="351"/>
      <c r="N90" s="351"/>
      <c r="O90" s="350"/>
      <c r="P90" s="349"/>
    </row>
    <row r="91" spans="1:16">
      <c r="A91" s="349"/>
      <c r="B91" s="350"/>
      <c r="C91" s="349"/>
      <c r="D91" s="349"/>
      <c r="E91" s="349"/>
      <c r="F91" s="349"/>
      <c r="G91" s="349"/>
      <c r="H91" s="349"/>
      <c r="I91" s="350"/>
      <c r="J91" s="350"/>
      <c r="K91" s="349"/>
      <c r="L91" s="349"/>
      <c r="M91" s="351"/>
      <c r="N91" s="351"/>
      <c r="O91" s="350"/>
      <c r="P91" s="349"/>
    </row>
    <row r="92" spans="1:16">
      <c r="A92" s="349"/>
      <c r="B92" s="350"/>
      <c r="C92" s="349"/>
      <c r="D92" s="349"/>
      <c r="E92" s="349"/>
      <c r="F92" s="349"/>
      <c r="G92" s="349"/>
      <c r="H92" s="349"/>
      <c r="I92" s="350"/>
      <c r="J92" s="350"/>
      <c r="K92" s="349"/>
      <c r="L92" s="349"/>
      <c r="M92" s="351"/>
      <c r="N92" s="351"/>
      <c r="O92" s="350"/>
      <c r="P92" s="349"/>
    </row>
    <row r="93" spans="1:16">
      <c r="A93" s="349"/>
      <c r="B93" s="350"/>
      <c r="C93" s="349"/>
      <c r="D93" s="349"/>
      <c r="E93" s="349"/>
      <c r="F93" s="349"/>
      <c r="G93" s="349"/>
      <c r="H93" s="349"/>
      <c r="I93" s="350"/>
      <c r="J93" s="350"/>
      <c r="K93" s="349"/>
      <c r="L93" s="349"/>
      <c r="M93" s="351"/>
      <c r="N93" s="351"/>
      <c r="O93" s="350"/>
      <c r="P93" s="349"/>
    </row>
    <row r="94" spans="1:16">
      <c r="A94" s="349"/>
      <c r="B94" s="350"/>
      <c r="C94" s="349"/>
      <c r="D94" s="349"/>
      <c r="E94" s="349"/>
      <c r="F94" s="349"/>
      <c r="G94" s="349"/>
      <c r="H94" s="349"/>
      <c r="I94" s="350"/>
      <c r="J94" s="350"/>
      <c r="K94" s="349"/>
      <c r="L94" s="349"/>
      <c r="M94" s="351"/>
      <c r="N94" s="351"/>
      <c r="O94" s="350"/>
      <c r="P94" s="349"/>
    </row>
    <row r="95" spans="1:16">
      <c r="A95" s="349"/>
      <c r="B95" s="350"/>
      <c r="C95" s="349"/>
      <c r="D95" s="349"/>
      <c r="E95" s="349"/>
      <c r="F95" s="349"/>
      <c r="G95" s="349"/>
      <c r="H95" s="349"/>
      <c r="I95" s="350"/>
      <c r="J95" s="350"/>
      <c r="K95" s="349"/>
      <c r="L95" s="349"/>
      <c r="M95" s="351"/>
      <c r="N95" s="351"/>
      <c r="O95" s="350"/>
      <c r="P95" s="349"/>
    </row>
    <row r="96" spans="1:16">
      <c r="A96" s="349"/>
      <c r="B96" s="350"/>
      <c r="C96" s="349"/>
      <c r="D96" s="349"/>
      <c r="E96" s="349"/>
      <c r="F96" s="349"/>
      <c r="G96" s="349"/>
      <c r="H96" s="349"/>
      <c r="I96" s="350"/>
      <c r="J96" s="350"/>
      <c r="K96" s="349"/>
      <c r="L96" s="349"/>
      <c r="M96" s="351"/>
      <c r="N96" s="351"/>
      <c r="O96" s="350"/>
      <c r="P96" s="349"/>
    </row>
    <row r="97" spans="1:16">
      <c r="A97" s="349"/>
      <c r="B97" s="350"/>
      <c r="C97" s="349"/>
      <c r="D97" s="349"/>
      <c r="E97" s="349"/>
      <c r="F97" s="349"/>
      <c r="G97" s="349"/>
      <c r="H97" s="349"/>
      <c r="I97" s="350"/>
      <c r="J97" s="350"/>
      <c r="K97" s="349"/>
      <c r="L97" s="349"/>
      <c r="M97" s="351"/>
      <c r="N97" s="351"/>
      <c r="O97" s="350"/>
      <c r="P97" s="349"/>
    </row>
    <row r="98" spans="1:16">
      <c r="A98" s="349"/>
      <c r="B98" s="350"/>
      <c r="C98" s="349"/>
      <c r="D98" s="349"/>
      <c r="E98" s="349"/>
      <c r="F98" s="349"/>
      <c r="G98" s="349"/>
      <c r="H98" s="349"/>
      <c r="I98" s="350"/>
      <c r="J98" s="350"/>
      <c r="K98" s="349"/>
      <c r="L98" s="349"/>
      <c r="M98" s="351"/>
      <c r="N98" s="351"/>
      <c r="O98" s="350"/>
      <c r="P98" s="349"/>
    </row>
    <row r="99" spans="1:16">
      <c r="A99" s="349"/>
      <c r="B99" s="350"/>
      <c r="C99" s="349"/>
      <c r="D99" s="349"/>
      <c r="E99" s="349"/>
      <c r="F99" s="349"/>
      <c r="G99" s="349"/>
      <c r="H99" s="349"/>
      <c r="I99" s="350"/>
      <c r="J99" s="350"/>
      <c r="K99" s="349"/>
      <c r="L99" s="349"/>
      <c r="M99" s="351"/>
      <c r="N99" s="351"/>
      <c r="O99" s="350"/>
      <c r="P99" s="349"/>
    </row>
    <row r="100" spans="1:16">
      <c r="A100" s="349"/>
      <c r="B100" s="350"/>
      <c r="C100" s="349"/>
      <c r="D100" s="349"/>
      <c r="E100" s="349"/>
      <c r="F100" s="349"/>
      <c r="G100" s="349"/>
      <c r="H100" s="349"/>
      <c r="I100" s="350"/>
      <c r="J100" s="350"/>
      <c r="K100" s="349"/>
      <c r="L100" s="349"/>
      <c r="M100" s="351"/>
      <c r="N100" s="351"/>
      <c r="O100" s="350"/>
      <c r="P100" s="349"/>
    </row>
    <row r="101" spans="1:16">
      <c r="A101" s="349"/>
      <c r="B101" s="350"/>
      <c r="C101" s="349"/>
      <c r="D101" s="349"/>
      <c r="E101" s="349"/>
      <c r="F101" s="349"/>
      <c r="G101" s="349"/>
      <c r="H101" s="349"/>
      <c r="I101" s="350"/>
      <c r="J101" s="350"/>
      <c r="K101" s="349"/>
      <c r="L101" s="349"/>
      <c r="M101" s="351"/>
      <c r="N101" s="351"/>
      <c r="O101" s="350"/>
      <c r="P101" s="349"/>
    </row>
    <row r="102" spans="1:16">
      <c r="A102" s="349"/>
      <c r="B102" s="350"/>
      <c r="C102" s="349"/>
      <c r="D102" s="349"/>
      <c r="E102" s="349"/>
      <c r="F102" s="349"/>
      <c r="G102" s="349"/>
      <c r="H102" s="349"/>
      <c r="I102" s="350"/>
      <c r="J102" s="350"/>
      <c r="K102" s="349"/>
      <c r="L102" s="349"/>
      <c r="M102" s="351"/>
      <c r="N102" s="351"/>
      <c r="O102" s="350"/>
      <c r="P102" s="349"/>
    </row>
    <row r="103" spans="1:16">
      <c r="A103" s="349"/>
      <c r="B103" s="350"/>
      <c r="C103" s="349"/>
      <c r="D103" s="349"/>
      <c r="E103" s="349"/>
      <c r="F103" s="349"/>
      <c r="G103" s="349"/>
      <c r="H103" s="349"/>
      <c r="I103" s="350"/>
      <c r="J103" s="350"/>
      <c r="K103" s="349"/>
      <c r="L103" s="349"/>
      <c r="M103" s="351"/>
      <c r="N103" s="351"/>
      <c r="O103" s="350"/>
      <c r="P103" s="349"/>
    </row>
    <row r="104" spans="1:16">
      <c r="A104" s="349"/>
      <c r="B104" s="350"/>
      <c r="C104" s="349"/>
      <c r="D104" s="349"/>
      <c r="E104" s="349"/>
      <c r="F104" s="349"/>
      <c r="G104" s="349"/>
      <c r="H104" s="349"/>
      <c r="I104" s="350"/>
      <c r="J104" s="350"/>
      <c r="K104" s="349"/>
      <c r="L104" s="349"/>
      <c r="M104" s="351"/>
      <c r="N104" s="351"/>
      <c r="O104" s="350"/>
      <c r="P104" s="349"/>
    </row>
    <row r="105" spans="1:16">
      <c r="A105" s="349"/>
      <c r="B105" s="350"/>
      <c r="C105" s="349"/>
      <c r="D105" s="349"/>
      <c r="E105" s="349"/>
      <c r="F105" s="349"/>
      <c r="G105" s="349"/>
      <c r="H105" s="349"/>
      <c r="I105" s="350"/>
      <c r="J105" s="350"/>
      <c r="K105" s="349"/>
      <c r="L105" s="349"/>
      <c r="M105" s="351"/>
      <c r="N105" s="351"/>
      <c r="O105" s="350"/>
      <c r="P105" s="349"/>
    </row>
    <row r="106" spans="1:16">
      <c r="A106" s="349"/>
      <c r="B106" s="350"/>
      <c r="C106" s="349"/>
      <c r="D106" s="349"/>
      <c r="E106" s="349"/>
      <c r="F106" s="349"/>
      <c r="G106" s="349"/>
      <c r="H106" s="349"/>
      <c r="I106" s="350"/>
      <c r="J106" s="350"/>
      <c r="K106" s="349"/>
      <c r="L106" s="349"/>
      <c r="M106" s="351"/>
      <c r="N106" s="351"/>
      <c r="O106" s="350"/>
      <c r="P106" s="349"/>
    </row>
    <row r="107" spans="1:16">
      <c r="A107" s="349"/>
      <c r="B107" s="350"/>
      <c r="C107" s="349"/>
      <c r="D107" s="349"/>
      <c r="E107" s="349"/>
      <c r="F107" s="349"/>
      <c r="G107" s="349"/>
      <c r="H107" s="349"/>
      <c r="I107" s="350"/>
      <c r="J107" s="350"/>
      <c r="K107" s="349"/>
      <c r="L107" s="349"/>
      <c r="M107" s="351"/>
      <c r="N107" s="351"/>
      <c r="O107" s="350"/>
      <c r="P107" s="349"/>
    </row>
    <row r="108" spans="1:16">
      <c r="A108" s="349"/>
      <c r="B108" s="350"/>
      <c r="C108" s="349"/>
      <c r="D108" s="349"/>
      <c r="E108" s="349"/>
      <c r="F108" s="349"/>
      <c r="G108" s="349"/>
      <c r="H108" s="349"/>
      <c r="I108" s="350"/>
      <c r="J108" s="350"/>
      <c r="K108" s="349"/>
      <c r="L108" s="349"/>
      <c r="M108" s="351"/>
      <c r="N108" s="351"/>
      <c r="O108" s="350"/>
      <c r="P108" s="349"/>
    </row>
    <row r="109" spans="1:16">
      <c r="A109" s="349"/>
      <c r="B109" s="350"/>
      <c r="C109" s="349"/>
      <c r="D109" s="349"/>
      <c r="E109" s="349"/>
      <c r="F109" s="349"/>
      <c r="G109" s="349"/>
      <c r="H109" s="349"/>
      <c r="I109" s="350"/>
      <c r="J109" s="350"/>
      <c r="K109" s="349"/>
      <c r="L109" s="349"/>
      <c r="M109" s="351"/>
      <c r="N109" s="351"/>
      <c r="O109" s="350"/>
      <c r="P109" s="349"/>
    </row>
    <row r="110" spans="1:16">
      <c r="A110" s="349"/>
      <c r="B110" s="350"/>
      <c r="C110" s="349"/>
      <c r="D110" s="349"/>
      <c r="E110" s="349"/>
      <c r="F110" s="349"/>
      <c r="G110" s="349"/>
      <c r="H110" s="349"/>
      <c r="I110" s="350"/>
      <c r="J110" s="350"/>
      <c r="K110" s="349"/>
      <c r="L110" s="349"/>
      <c r="M110" s="351"/>
      <c r="N110" s="351"/>
      <c r="O110" s="350"/>
      <c r="P110" s="349"/>
    </row>
    <row r="111" spans="1:16">
      <c r="A111" s="349"/>
      <c r="B111" s="350"/>
      <c r="C111" s="349"/>
      <c r="D111" s="349"/>
      <c r="E111" s="349"/>
      <c r="F111" s="349"/>
      <c r="G111" s="349"/>
      <c r="H111" s="349"/>
      <c r="I111" s="350"/>
      <c r="J111" s="350"/>
      <c r="K111" s="349"/>
      <c r="L111" s="349"/>
      <c r="M111" s="351"/>
      <c r="N111" s="351"/>
      <c r="O111" s="350"/>
      <c r="P111" s="349"/>
    </row>
    <row r="112" spans="1:16">
      <c r="A112" s="349"/>
      <c r="B112" s="350"/>
      <c r="C112" s="349"/>
      <c r="D112" s="349"/>
      <c r="E112" s="349"/>
      <c r="F112" s="349"/>
      <c r="G112" s="349"/>
      <c r="H112" s="349"/>
      <c r="I112" s="350"/>
      <c r="J112" s="350"/>
      <c r="K112" s="349"/>
      <c r="L112" s="349"/>
      <c r="M112" s="351"/>
      <c r="N112" s="351"/>
      <c r="O112" s="350"/>
      <c r="P112" s="349"/>
    </row>
    <row r="113" spans="1:16">
      <c r="A113" s="349"/>
      <c r="B113" s="350"/>
      <c r="C113" s="349"/>
      <c r="D113" s="349"/>
      <c r="E113" s="349"/>
      <c r="F113" s="349"/>
      <c r="G113" s="349"/>
      <c r="H113" s="349"/>
      <c r="I113" s="350"/>
      <c r="J113" s="350"/>
      <c r="K113" s="349"/>
      <c r="L113" s="349"/>
      <c r="M113" s="351"/>
      <c r="N113" s="351"/>
      <c r="O113" s="350"/>
      <c r="P113" s="349"/>
    </row>
    <row r="114" spans="1:16">
      <c r="A114" s="349"/>
      <c r="B114" s="350"/>
      <c r="C114" s="349"/>
      <c r="D114" s="349"/>
      <c r="E114" s="349"/>
      <c r="F114" s="349"/>
      <c r="G114" s="349"/>
      <c r="H114" s="349"/>
      <c r="I114" s="350"/>
      <c r="J114" s="350"/>
      <c r="K114" s="349"/>
      <c r="L114" s="349"/>
      <c r="M114" s="351"/>
      <c r="N114" s="351"/>
      <c r="O114" s="350"/>
      <c r="P114" s="349"/>
    </row>
    <row r="115" spans="1:16">
      <c r="A115" s="349"/>
      <c r="B115" s="350"/>
      <c r="C115" s="349"/>
      <c r="D115" s="349"/>
      <c r="E115" s="349"/>
      <c r="F115" s="349"/>
      <c r="G115" s="349"/>
      <c r="H115" s="349"/>
      <c r="I115" s="350"/>
      <c r="J115" s="350"/>
      <c r="K115" s="349"/>
      <c r="L115" s="349"/>
      <c r="M115" s="351"/>
      <c r="N115" s="351"/>
      <c r="O115" s="350"/>
      <c r="P115" s="349"/>
    </row>
    <row r="116" spans="1:16">
      <c r="A116" s="349"/>
      <c r="B116" s="350"/>
      <c r="C116" s="349"/>
      <c r="D116" s="349"/>
      <c r="E116" s="349"/>
      <c r="F116" s="349"/>
      <c r="G116" s="349"/>
      <c r="H116" s="349"/>
      <c r="I116" s="350"/>
      <c r="J116" s="350"/>
      <c r="K116" s="349"/>
      <c r="L116" s="349"/>
      <c r="M116" s="351"/>
      <c r="N116" s="351"/>
      <c r="O116" s="350"/>
      <c r="P116" s="349"/>
    </row>
    <row r="117" spans="1:16">
      <c r="A117" s="349"/>
      <c r="B117" s="350"/>
      <c r="C117" s="349"/>
      <c r="D117" s="349"/>
      <c r="E117" s="349"/>
      <c r="F117" s="349"/>
      <c r="G117" s="349"/>
      <c r="H117" s="349"/>
      <c r="I117" s="350"/>
      <c r="J117" s="350"/>
      <c r="K117" s="349"/>
      <c r="L117" s="349"/>
      <c r="M117" s="351"/>
      <c r="N117" s="351"/>
      <c r="O117" s="350"/>
      <c r="P117" s="349"/>
    </row>
    <row r="118" spans="1:16">
      <c r="A118" s="349"/>
      <c r="B118" s="350"/>
      <c r="C118" s="349"/>
      <c r="D118" s="349"/>
      <c r="E118" s="349"/>
      <c r="F118" s="349"/>
      <c r="G118" s="349"/>
      <c r="H118" s="349"/>
      <c r="I118" s="350"/>
      <c r="J118" s="350"/>
      <c r="K118" s="349"/>
      <c r="L118" s="349"/>
      <c r="M118" s="351"/>
      <c r="N118" s="351"/>
      <c r="O118" s="350"/>
      <c r="P118" s="349"/>
    </row>
    <row r="119" spans="1:16">
      <c r="A119" s="349"/>
      <c r="B119" s="350"/>
      <c r="C119" s="349"/>
      <c r="D119" s="349"/>
      <c r="E119" s="349"/>
      <c r="F119" s="349"/>
      <c r="G119" s="349"/>
      <c r="H119" s="349"/>
      <c r="I119" s="350"/>
      <c r="J119" s="350"/>
      <c r="K119" s="349"/>
      <c r="L119" s="349"/>
      <c r="M119" s="351"/>
      <c r="N119" s="351"/>
      <c r="O119" s="350"/>
      <c r="P119" s="349"/>
    </row>
    <row r="120" spans="1:16">
      <c r="A120" s="349"/>
      <c r="B120" s="350"/>
      <c r="C120" s="349"/>
      <c r="D120" s="349"/>
      <c r="E120" s="349"/>
      <c r="F120" s="349"/>
      <c r="G120" s="349"/>
      <c r="H120" s="349"/>
      <c r="I120" s="350"/>
      <c r="J120" s="350"/>
      <c r="K120" s="349"/>
      <c r="L120" s="349"/>
      <c r="M120" s="351"/>
      <c r="N120" s="351"/>
      <c r="O120" s="350"/>
      <c r="P120" s="349"/>
    </row>
    <row r="121" spans="1:16">
      <c r="A121" s="349"/>
      <c r="B121" s="350"/>
      <c r="C121" s="349"/>
      <c r="D121" s="349"/>
      <c r="E121" s="349"/>
      <c r="F121" s="349"/>
      <c r="G121" s="349"/>
      <c r="H121" s="349"/>
      <c r="I121" s="350"/>
      <c r="J121" s="350"/>
      <c r="K121" s="349"/>
      <c r="L121" s="349"/>
      <c r="M121" s="351"/>
      <c r="N121" s="351"/>
      <c r="O121" s="350"/>
      <c r="P121" s="349"/>
    </row>
    <row r="122" spans="1:16">
      <c r="A122" s="349"/>
      <c r="B122" s="350"/>
      <c r="C122" s="349"/>
      <c r="D122" s="349"/>
      <c r="E122" s="349"/>
      <c r="F122" s="349"/>
      <c r="G122" s="349"/>
      <c r="H122" s="349"/>
      <c r="I122" s="350"/>
      <c r="J122" s="350"/>
      <c r="K122" s="349"/>
      <c r="L122" s="349"/>
      <c r="M122" s="351"/>
      <c r="N122" s="351"/>
      <c r="O122" s="350"/>
      <c r="P122" s="349"/>
    </row>
    <row r="123" spans="1:16">
      <c r="A123" s="349"/>
      <c r="B123" s="350"/>
      <c r="C123" s="349"/>
      <c r="D123" s="349"/>
      <c r="E123" s="349"/>
      <c r="F123" s="349"/>
      <c r="G123" s="349"/>
      <c r="H123" s="349"/>
      <c r="I123" s="350"/>
      <c r="J123" s="350"/>
      <c r="K123" s="349"/>
      <c r="L123" s="349"/>
      <c r="M123" s="351"/>
      <c r="N123" s="351"/>
      <c r="O123" s="350"/>
      <c r="P123" s="349"/>
    </row>
    <row r="124" spans="1:16">
      <c r="A124" s="349"/>
      <c r="B124" s="350"/>
      <c r="C124" s="349"/>
      <c r="D124" s="349"/>
      <c r="E124" s="349"/>
      <c r="F124" s="349"/>
      <c r="G124" s="349"/>
      <c r="H124" s="349"/>
      <c r="I124" s="350"/>
      <c r="J124" s="350"/>
      <c r="K124" s="349"/>
      <c r="L124" s="349"/>
      <c r="M124" s="351"/>
      <c r="N124" s="351"/>
      <c r="O124" s="350"/>
      <c r="P124" s="349"/>
    </row>
    <row r="125" spans="1:16">
      <c r="A125" s="349"/>
      <c r="B125" s="350"/>
      <c r="C125" s="349"/>
      <c r="D125" s="349"/>
      <c r="E125" s="349"/>
      <c r="F125" s="349"/>
      <c r="G125" s="349"/>
      <c r="H125" s="349"/>
      <c r="I125" s="350"/>
      <c r="J125" s="350"/>
      <c r="K125" s="349"/>
      <c r="L125" s="349"/>
      <c r="M125" s="351"/>
      <c r="N125" s="351"/>
      <c r="O125" s="350"/>
      <c r="P125" s="349"/>
    </row>
    <row r="126" spans="1:16">
      <c r="A126" s="349"/>
      <c r="B126" s="350"/>
      <c r="C126" s="349"/>
      <c r="D126" s="349"/>
      <c r="E126" s="349"/>
      <c r="F126" s="349"/>
      <c r="G126" s="349"/>
      <c r="H126" s="349"/>
      <c r="I126" s="350"/>
      <c r="J126" s="350"/>
      <c r="K126" s="349"/>
      <c r="L126" s="349"/>
      <c r="M126" s="351"/>
      <c r="N126" s="351"/>
      <c r="O126" s="350"/>
      <c r="P126" s="349"/>
    </row>
    <row r="127" spans="1:16">
      <c r="A127" s="349"/>
      <c r="B127" s="350"/>
      <c r="C127" s="349"/>
      <c r="D127" s="349"/>
      <c r="E127" s="349"/>
      <c r="F127" s="349"/>
      <c r="G127" s="349"/>
      <c r="H127" s="349"/>
      <c r="I127" s="350"/>
      <c r="J127" s="350"/>
      <c r="K127" s="349"/>
      <c r="L127" s="349"/>
      <c r="M127" s="351"/>
      <c r="N127" s="351"/>
      <c r="O127" s="350"/>
      <c r="P127" s="349"/>
    </row>
    <row r="128" spans="1:16">
      <c r="A128" s="349"/>
      <c r="B128" s="350"/>
      <c r="C128" s="349"/>
      <c r="D128" s="349"/>
      <c r="E128" s="349"/>
      <c r="F128" s="349"/>
      <c r="G128" s="349"/>
      <c r="H128" s="349"/>
      <c r="I128" s="350"/>
      <c r="J128" s="350"/>
      <c r="K128" s="349"/>
      <c r="L128" s="349"/>
      <c r="M128" s="351"/>
      <c r="N128" s="351"/>
      <c r="O128" s="350"/>
      <c r="P128" s="349"/>
    </row>
    <row r="129" spans="1:16">
      <c r="A129" s="349"/>
      <c r="B129" s="350"/>
      <c r="C129" s="349"/>
      <c r="D129" s="349"/>
      <c r="E129" s="349"/>
      <c r="F129" s="349"/>
      <c r="G129" s="349"/>
      <c r="H129" s="349"/>
      <c r="I129" s="350"/>
      <c r="J129" s="350"/>
      <c r="K129" s="349"/>
      <c r="L129" s="349"/>
      <c r="M129" s="351"/>
      <c r="N129" s="351"/>
      <c r="O129" s="350"/>
      <c r="P129" s="349"/>
    </row>
    <row r="130" spans="1:16">
      <c r="A130" s="349"/>
      <c r="B130" s="350"/>
      <c r="C130" s="349"/>
      <c r="D130" s="349"/>
      <c r="E130" s="349"/>
      <c r="F130" s="349"/>
      <c r="G130" s="349"/>
      <c r="H130" s="349"/>
      <c r="I130" s="350"/>
      <c r="J130" s="350"/>
      <c r="K130" s="349"/>
      <c r="L130" s="349"/>
      <c r="M130" s="351"/>
      <c r="N130" s="351"/>
      <c r="O130" s="350"/>
      <c r="P130" s="349"/>
    </row>
    <row r="131" spans="1:16">
      <c r="A131" s="349"/>
      <c r="B131" s="350"/>
      <c r="C131" s="349"/>
      <c r="D131" s="349"/>
      <c r="E131" s="349"/>
      <c r="F131" s="349"/>
      <c r="G131" s="349"/>
      <c r="H131" s="349"/>
      <c r="I131" s="350"/>
      <c r="J131" s="350"/>
      <c r="K131" s="349"/>
      <c r="L131" s="349"/>
      <c r="M131" s="351"/>
      <c r="N131" s="351"/>
      <c r="O131" s="350"/>
      <c r="P131" s="349"/>
    </row>
    <row r="132" spans="1:16">
      <c r="A132" s="349"/>
      <c r="B132" s="350"/>
      <c r="C132" s="349"/>
      <c r="D132" s="349"/>
      <c r="E132" s="349"/>
      <c r="F132" s="349"/>
      <c r="G132" s="349"/>
      <c r="H132" s="349"/>
      <c r="I132" s="350"/>
      <c r="J132" s="350"/>
      <c r="K132" s="349"/>
      <c r="L132" s="349"/>
      <c r="M132" s="351"/>
      <c r="N132" s="351"/>
      <c r="O132" s="350"/>
      <c r="P132" s="349"/>
    </row>
    <row r="133" spans="1:16">
      <c r="A133" s="349"/>
      <c r="B133" s="350"/>
      <c r="C133" s="349"/>
      <c r="D133" s="349"/>
      <c r="E133" s="349"/>
      <c r="F133" s="349"/>
      <c r="G133" s="349"/>
      <c r="H133" s="349"/>
      <c r="I133" s="350"/>
      <c r="J133" s="350"/>
      <c r="K133" s="349"/>
      <c r="L133" s="349"/>
      <c r="M133" s="351"/>
      <c r="N133" s="351"/>
      <c r="O133" s="350"/>
      <c r="P133" s="349"/>
    </row>
    <row r="134" spans="1:16">
      <c r="A134" s="349"/>
      <c r="B134" s="350"/>
      <c r="C134" s="349"/>
      <c r="D134" s="349"/>
      <c r="E134" s="349"/>
      <c r="F134" s="349"/>
      <c r="G134" s="349"/>
      <c r="H134" s="349"/>
      <c r="I134" s="350"/>
      <c r="J134" s="350"/>
      <c r="K134" s="349"/>
      <c r="L134" s="349"/>
      <c r="M134" s="351"/>
      <c r="N134" s="351"/>
      <c r="O134" s="350"/>
      <c r="P134" s="349"/>
    </row>
    <row r="135" spans="1:16">
      <c r="A135" s="349"/>
      <c r="B135" s="350"/>
      <c r="C135" s="349"/>
      <c r="D135" s="349"/>
      <c r="E135" s="349"/>
      <c r="F135" s="349"/>
      <c r="G135" s="349"/>
      <c r="H135" s="349"/>
      <c r="I135" s="350"/>
      <c r="J135" s="350"/>
      <c r="K135" s="349"/>
      <c r="L135" s="349"/>
      <c r="M135" s="351"/>
      <c r="N135" s="351"/>
      <c r="O135" s="350"/>
      <c r="P135" s="349"/>
    </row>
    <row r="136" spans="1:16">
      <c r="A136" s="349"/>
      <c r="B136" s="350"/>
      <c r="C136" s="349"/>
      <c r="D136" s="349"/>
      <c r="E136" s="349"/>
      <c r="F136" s="349"/>
      <c r="G136" s="349"/>
      <c r="H136" s="349"/>
      <c r="I136" s="350"/>
      <c r="J136" s="350"/>
      <c r="K136" s="349"/>
      <c r="L136" s="349"/>
      <c r="M136" s="351"/>
      <c r="N136" s="351"/>
      <c r="O136" s="350"/>
      <c r="P136" s="349"/>
    </row>
    <row r="137" spans="1:16">
      <c r="A137" s="349"/>
      <c r="B137" s="350"/>
      <c r="C137" s="349"/>
      <c r="D137" s="349"/>
      <c r="E137" s="349"/>
      <c r="F137" s="349"/>
      <c r="G137" s="349"/>
      <c r="H137" s="349"/>
      <c r="I137" s="350"/>
      <c r="J137" s="350"/>
      <c r="K137" s="349"/>
      <c r="L137" s="349"/>
      <c r="M137" s="351"/>
      <c r="N137" s="351"/>
      <c r="O137" s="350"/>
      <c r="P137" s="349"/>
    </row>
    <row r="138" spans="1:16">
      <c r="A138" s="349"/>
      <c r="B138" s="350"/>
      <c r="C138" s="349"/>
      <c r="D138" s="349"/>
      <c r="E138" s="349"/>
      <c r="F138" s="349"/>
      <c r="G138" s="349"/>
      <c r="H138" s="349"/>
      <c r="I138" s="350"/>
      <c r="J138" s="350"/>
      <c r="K138" s="349"/>
      <c r="L138" s="349"/>
      <c r="M138" s="351"/>
      <c r="N138" s="351"/>
      <c r="O138" s="350"/>
      <c r="P138" s="349"/>
    </row>
    <row r="139" spans="1:16">
      <c r="A139" s="349"/>
      <c r="B139" s="350"/>
      <c r="C139" s="349"/>
      <c r="D139" s="349"/>
      <c r="E139" s="349"/>
      <c r="F139" s="349"/>
      <c r="G139" s="349"/>
      <c r="H139" s="349"/>
      <c r="I139" s="350"/>
      <c r="J139" s="350"/>
      <c r="K139" s="349"/>
      <c r="L139" s="349"/>
      <c r="M139" s="351"/>
      <c r="N139" s="351"/>
      <c r="O139" s="350"/>
      <c r="P139" s="349"/>
    </row>
    <row r="140" spans="1:16">
      <c r="A140" s="349"/>
      <c r="B140" s="350"/>
      <c r="C140" s="349"/>
      <c r="D140" s="349"/>
      <c r="E140" s="349"/>
      <c r="F140" s="349"/>
      <c r="G140" s="349"/>
      <c r="H140" s="349"/>
      <c r="I140" s="350"/>
      <c r="J140" s="350"/>
      <c r="K140" s="349"/>
      <c r="L140" s="349"/>
      <c r="M140" s="351"/>
      <c r="N140" s="351"/>
      <c r="O140" s="350"/>
      <c r="P140" s="349"/>
    </row>
    <row r="141" spans="1:16">
      <c r="A141" s="349"/>
      <c r="B141" s="350"/>
      <c r="C141" s="349"/>
      <c r="D141" s="349"/>
      <c r="E141" s="349"/>
      <c r="F141" s="349"/>
      <c r="G141" s="349"/>
      <c r="H141" s="349"/>
      <c r="I141" s="350"/>
      <c r="J141" s="350"/>
      <c r="K141" s="349"/>
      <c r="L141" s="349"/>
      <c r="M141" s="351"/>
      <c r="N141" s="351"/>
      <c r="O141" s="350"/>
      <c r="P141" s="349"/>
    </row>
    <row r="142" spans="1:16">
      <c r="A142" s="349"/>
      <c r="B142" s="350"/>
      <c r="C142" s="349"/>
      <c r="D142" s="349"/>
      <c r="E142" s="349"/>
      <c r="F142" s="349"/>
      <c r="G142" s="349"/>
      <c r="H142" s="349"/>
      <c r="I142" s="350"/>
      <c r="J142" s="350"/>
      <c r="K142" s="349"/>
      <c r="L142" s="349"/>
      <c r="M142" s="351"/>
      <c r="N142" s="351"/>
      <c r="O142" s="350"/>
      <c r="P142" s="349"/>
    </row>
    <row r="143" spans="1:16">
      <c r="A143" s="349"/>
      <c r="B143" s="350"/>
      <c r="C143" s="349"/>
      <c r="D143" s="349"/>
      <c r="E143" s="349"/>
      <c r="F143" s="349"/>
      <c r="G143" s="349"/>
      <c r="H143" s="349"/>
      <c r="I143" s="350"/>
      <c r="J143" s="350"/>
      <c r="K143" s="349"/>
      <c r="L143" s="349"/>
      <c r="M143" s="351"/>
      <c r="N143" s="351"/>
      <c r="O143" s="350"/>
      <c r="P143" s="349"/>
    </row>
    <row r="144" spans="1:16">
      <c r="A144" s="349"/>
      <c r="B144" s="350"/>
      <c r="C144" s="349"/>
      <c r="D144" s="349"/>
      <c r="E144" s="349"/>
      <c r="F144" s="349"/>
      <c r="G144" s="349"/>
      <c r="H144" s="349"/>
      <c r="I144" s="350"/>
      <c r="J144" s="350"/>
      <c r="K144" s="349"/>
      <c r="L144" s="349"/>
      <c r="M144" s="351"/>
      <c r="N144" s="351"/>
      <c r="O144" s="350"/>
      <c r="P144" s="349"/>
    </row>
    <row r="145" spans="1:16">
      <c r="A145" s="349"/>
      <c r="B145" s="350"/>
      <c r="C145" s="349"/>
      <c r="D145" s="349"/>
      <c r="E145" s="349"/>
      <c r="F145" s="349"/>
      <c r="G145" s="349"/>
      <c r="H145" s="349"/>
      <c r="I145" s="350"/>
      <c r="J145" s="350"/>
      <c r="K145" s="349"/>
      <c r="L145" s="349"/>
      <c r="M145" s="351"/>
      <c r="N145" s="351"/>
      <c r="O145" s="350"/>
      <c r="P145" s="349"/>
    </row>
    <row r="146" spans="1:16">
      <c r="A146" s="349"/>
      <c r="B146" s="350"/>
      <c r="C146" s="349"/>
      <c r="D146" s="349"/>
      <c r="E146" s="349"/>
      <c r="F146" s="349"/>
      <c r="G146" s="349"/>
      <c r="H146" s="349"/>
      <c r="I146" s="350"/>
      <c r="J146" s="350"/>
      <c r="K146" s="349"/>
      <c r="L146" s="349"/>
      <c r="M146" s="351"/>
      <c r="N146" s="351"/>
      <c r="O146" s="350"/>
      <c r="P146" s="349"/>
    </row>
    <row r="147" spans="1:16">
      <c r="A147" s="349"/>
      <c r="B147" s="350"/>
      <c r="C147" s="349"/>
      <c r="D147" s="349"/>
      <c r="E147" s="349"/>
      <c r="F147" s="349"/>
      <c r="G147" s="349"/>
      <c r="H147" s="349"/>
      <c r="I147" s="350"/>
      <c r="J147" s="350"/>
      <c r="K147" s="349"/>
      <c r="L147" s="349"/>
      <c r="M147" s="351"/>
      <c r="N147" s="351"/>
      <c r="O147" s="350"/>
      <c r="P147" s="349"/>
    </row>
    <row r="148" spans="1:16">
      <c r="A148" s="349"/>
      <c r="B148" s="350"/>
      <c r="C148" s="349"/>
      <c r="D148" s="349"/>
      <c r="E148" s="349"/>
      <c r="F148" s="349"/>
      <c r="G148" s="349"/>
      <c r="H148" s="349"/>
      <c r="I148" s="350"/>
      <c r="J148" s="350"/>
      <c r="K148" s="349"/>
      <c r="L148" s="349"/>
      <c r="M148" s="351"/>
      <c r="N148" s="351"/>
      <c r="O148" s="350"/>
      <c r="P148" s="349"/>
    </row>
    <row r="149" spans="1:16">
      <c r="A149" s="349"/>
      <c r="B149" s="350"/>
      <c r="C149" s="349"/>
      <c r="D149" s="349"/>
      <c r="E149" s="349"/>
      <c r="F149" s="349"/>
      <c r="G149" s="349"/>
      <c r="H149" s="349"/>
      <c r="I149" s="350"/>
      <c r="J149" s="350"/>
      <c r="K149" s="349"/>
      <c r="L149" s="349"/>
      <c r="M149" s="351"/>
      <c r="N149" s="351"/>
      <c r="O149" s="350"/>
      <c r="P149" s="349"/>
    </row>
    <row r="150" spans="1:16">
      <c r="A150" s="349"/>
      <c r="B150" s="350"/>
      <c r="C150" s="349"/>
      <c r="D150" s="349"/>
      <c r="E150" s="349"/>
      <c r="F150" s="349"/>
      <c r="G150" s="349"/>
      <c r="H150" s="349"/>
      <c r="I150" s="350"/>
      <c r="J150" s="350"/>
      <c r="K150" s="349"/>
      <c r="L150" s="349"/>
      <c r="M150" s="351"/>
      <c r="N150" s="351"/>
      <c r="O150" s="350"/>
      <c r="P150" s="349"/>
    </row>
    <row r="151" spans="1:16">
      <c r="A151" s="349"/>
      <c r="B151" s="350"/>
      <c r="C151" s="349"/>
      <c r="D151" s="349"/>
      <c r="E151" s="349"/>
      <c r="F151" s="349"/>
      <c r="G151" s="349"/>
      <c r="H151" s="349"/>
      <c r="I151" s="350"/>
      <c r="J151" s="350"/>
      <c r="K151" s="349"/>
      <c r="L151" s="349"/>
      <c r="M151" s="351"/>
      <c r="N151" s="351"/>
      <c r="O151" s="350"/>
      <c r="P151" s="349"/>
    </row>
    <row r="152" spans="1:16">
      <c r="A152" s="349"/>
      <c r="B152" s="350"/>
      <c r="C152" s="349"/>
      <c r="D152" s="349"/>
      <c r="E152" s="349"/>
      <c r="F152" s="349"/>
      <c r="G152" s="349"/>
      <c r="H152" s="349"/>
      <c r="I152" s="350"/>
      <c r="J152" s="350"/>
      <c r="K152" s="349"/>
      <c r="L152" s="349"/>
      <c r="M152" s="351"/>
      <c r="N152" s="351"/>
      <c r="O152" s="350"/>
      <c r="P152" s="349"/>
    </row>
    <row r="153" spans="1:16">
      <c r="A153" s="349"/>
      <c r="B153" s="350"/>
      <c r="C153" s="349"/>
      <c r="D153" s="349"/>
      <c r="E153" s="349"/>
      <c r="F153" s="349"/>
      <c r="G153" s="349"/>
      <c r="H153" s="349"/>
      <c r="I153" s="350"/>
      <c r="J153" s="350"/>
      <c r="K153" s="349"/>
      <c r="L153" s="349"/>
      <c r="M153" s="351"/>
      <c r="N153" s="351"/>
      <c r="O153" s="350"/>
      <c r="P153" s="349"/>
    </row>
    <row r="154" spans="1:16">
      <c r="A154" s="349"/>
      <c r="B154" s="350"/>
      <c r="C154" s="349"/>
      <c r="D154" s="349"/>
      <c r="E154" s="349"/>
      <c r="F154" s="349"/>
      <c r="G154" s="349"/>
      <c r="H154" s="349"/>
      <c r="I154" s="350"/>
      <c r="J154" s="350"/>
      <c r="K154" s="349"/>
      <c r="L154" s="349"/>
      <c r="M154" s="351"/>
      <c r="N154" s="351"/>
      <c r="O154" s="350"/>
      <c r="P154" s="349"/>
    </row>
    <row r="155" spans="1:16">
      <c r="A155" s="349"/>
      <c r="B155" s="350"/>
      <c r="C155" s="349"/>
      <c r="D155" s="349"/>
      <c r="E155" s="349"/>
      <c r="F155" s="349"/>
      <c r="G155" s="349"/>
      <c r="H155" s="349"/>
      <c r="I155" s="350"/>
      <c r="J155" s="350"/>
      <c r="K155" s="349"/>
      <c r="L155" s="349"/>
      <c r="M155" s="351"/>
      <c r="N155" s="351"/>
      <c r="O155" s="350"/>
      <c r="P155" s="349"/>
    </row>
    <row r="156" spans="1:16">
      <c r="A156" s="349"/>
      <c r="B156" s="350"/>
      <c r="C156" s="349"/>
      <c r="D156" s="349"/>
      <c r="E156" s="349"/>
      <c r="F156" s="349"/>
      <c r="G156" s="349"/>
      <c r="H156" s="349"/>
      <c r="I156" s="350"/>
      <c r="J156" s="350"/>
      <c r="K156" s="349"/>
      <c r="L156" s="349"/>
      <c r="M156" s="351"/>
      <c r="N156" s="351"/>
      <c r="O156" s="350"/>
      <c r="P156" s="349"/>
    </row>
    <row r="157" spans="1:16">
      <c r="A157" s="349"/>
      <c r="B157" s="350"/>
      <c r="C157" s="349"/>
      <c r="D157" s="349"/>
      <c r="E157" s="349"/>
      <c r="F157" s="349"/>
      <c r="G157" s="349"/>
      <c r="H157" s="349"/>
      <c r="I157" s="350"/>
      <c r="J157" s="350"/>
      <c r="K157" s="349"/>
      <c r="L157" s="349"/>
      <c r="M157" s="351"/>
      <c r="N157" s="351"/>
      <c r="O157" s="350"/>
      <c r="P157" s="349"/>
    </row>
    <row r="158" spans="1:16">
      <c r="A158" s="349"/>
      <c r="B158" s="350"/>
      <c r="C158" s="349"/>
      <c r="D158" s="349"/>
      <c r="E158" s="349"/>
      <c r="F158" s="349"/>
      <c r="G158" s="349"/>
      <c r="H158" s="349"/>
      <c r="I158" s="350"/>
      <c r="J158" s="350"/>
      <c r="K158" s="349"/>
      <c r="L158" s="349"/>
      <c r="M158" s="351"/>
      <c r="N158" s="351"/>
      <c r="O158" s="350"/>
      <c r="P158" s="349"/>
    </row>
    <row r="159" spans="1:16">
      <c r="A159" s="349"/>
      <c r="B159" s="350"/>
      <c r="C159" s="349"/>
      <c r="D159" s="349"/>
      <c r="E159" s="349"/>
      <c r="F159" s="349"/>
      <c r="G159" s="349"/>
      <c r="H159" s="349"/>
      <c r="I159" s="350"/>
      <c r="J159" s="350"/>
      <c r="K159" s="349"/>
      <c r="L159" s="349"/>
      <c r="M159" s="351"/>
      <c r="N159" s="351"/>
      <c r="O159" s="350"/>
      <c r="P159" s="349"/>
    </row>
    <row r="160" spans="1:16">
      <c r="A160" s="349"/>
      <c r="B160" s="350"/>
      <c r="C160" s="349"/>
      <c r="D160" s="349"/>
      <c r="E160" s="349"/>
      <c r="F160" s="349"/>
      <c r="G160" s="349"/>
      <c r="H160" s="349"/>
      <c r="I160" s="350"/>
      <c r="J160" s="350"/>
      <c r="K160" s="349"/>
      <c r="L160" s="349"/>
      <c r="M160" s="351"/>
      <c r="N160" s="351"/>
      <c r="O160" s="350"/>
      <c r="P160" s="349"/>
    </row>
    <row r="161" spans="1:16">
      <c r="A161" s="349"/>
      <c r="B161" s="350"/>
      <c r="C161" s="349"/>
      <c r="D161" s="349"/>
      <c r="E161" s="349"/>
      <c r="F161" s="349"/>
      <c r="G161" s="349"/>
      <c r="H161" s="349"/>
      <c r="I161" s="350"/>
      <c r="J161" s="350"/>
      <c r="K161" s="349"/>
      <c r="L161" s="349"/>
      <c r="M161" s="351"/>
      <c r="N161" s="351"/>
      <c r="O161" s="350"/>
      <c r="P161" s="349"/>
    </row>
    <row r="162" spans="1:16">
      <c r="A162" s="349"/>
      <c r="B162" s="350"/>
      <c r="C162" s="349"/>
      <c r="D162" s="349"/>
      <c r="E162" s="349"/>
      <c r="F162" s="349"/>
      <c r="G162" s="349"/>
      <c r="H162" s="349"/>
      <c r="I162" s="350"/>
      <c r="J162" s="350"/>
      <c r="K162" s="349"/>
      <c r="L162" s="349"/>
      <c r="M162" s="351"/>
      <c r="N162" s="351"/>
      <c r="O162" s="350"/>
      <c r="P162" s="349"/>
    </row>
    <row r="163" spans="1:16">
      <c r="A163" s="349"/>
      <c r="B163" s="350"/>
      <c r="C163" s="349"/>
      <c r="D163" s="349"/>
      <c r="E163" s="349"/>
      <c r="F163" s="349"/>
      <c r="G163" s="349"/>
      <c r="H163" s="349"/>
      <c r="I163" s="350"/>
      <c r="J163" s="350"/>
      <c r="K163" s="349"/>
      <c r="L163" s="349"/>
      <c r="M163" s="351"/>
      <c r="N163" s="351"/>
      <c r="O163" s="350"/>
      <c r="P163" s="349"/>
    </row>
    <row r="164" spans="1:16">
      <c r="A164" s="349"/>
      <c r="B164" s="350"/>
      <c r="C164" s="349"/>
      <c r="D164" s="349"/>
      <c r="E164" s="349"/>
      <c r="F164" s="349"/>
      <c r="G164" s="349"/>
      <c r="H164" s="349"/>
      <c r="I164" s="350"/>
      <c r="J164" s="350"/>
      <c r="K164" s="349"/>
      <c r="L164" s="349"/>
      <c r="M164" s="351"/>
      <c r="N164" s="351"/>
      <c r="O164" s="350"/>
      <c r="P164" s="349"/>
    </row>
    <row r="165" spans="1:16">
      <c r="A165" s="349"/>
      <c r="B165" s="350"/>
      <c r="C165" s="349"/>
      <c r="D165" s="349"/>
      <c r="E165" s="349"/>
      <c r="F165" s="349"/>
      <c r="G165" s="349"/>
      <c r="H165" s="349"/>
      <c r="I165" s="350"/>
      <c r="J165" s="350"/>
      <c r="K165" s="349"/>
      <c r="L165" s="349"/>
      <c r="M165" s="351"/>
      <c r="N165" s="351"/>
      <c r="O165" s="350"/>
      <c r="P165" s="349"/>
    </row>
    <row r="166" spans="1:16">
      <c r="A166" s="349"/>
      <c r="B166" s="350"/>
      <c r="C166" s="349"/>
      <c r="D166" s="349"/>
      <c r="E166" s="349"/>
      <c r="F166" s="349"/>
      <c r="G166" s="349"/>
      <c r="H166" s="349"/>
      <c r="I166" s="350"/>
      <c r="J166" s="350"/>
      <c r="K166" s="349"/>
      <c r="L166" s="349"/>
      <c r="M166" s="351"/>
      <c r="N166" s="351"/>
      <c r="O166" s="350"/>
      <c r="P166" s="349"/>
    </row>
    <row r="167" spans="1:16">
      <c r="A167" s="349"/>
      <c r="B167" s="350"/>
      <c r="C167" s="349"/>
      <c r="D167" s="349"/>
      <c r="E167" s="349"/>
      <c r="F167" s="349"/>
      <c r="G167" s="349"/>
      <c r="H167" s="349"/>
      <c r="I167" s="350"/>
      <c r="J167" s="350"/>
      <c r="K167" s="349"/>
      <c r="L167" s="349"/>
      <c r="M167" s="351"/>
      <c r="N167" s="351"/>
      <c r="O167" s="350"/>
      <c r="P167" s="349"/>
    </row>
    <row r="168" spans="1:16">
      <c r="A168" s="349"/>
      <c r="B168" s="350"/>
      <c r="C168" s="349"/>
      <c r="D168" s="349"/>
      <c r="E168" s="349"/>
      <c r="F168" s="349"/>
      <c r="G168" s="349"/>
      <c r="H168" s="349"/>
      <c r="I168" s="350"/>
      <c r="J168" s="350"/>
      <c r="K168" s="349"/>
      <c r="L168" s="349"/>
      <c r="M168" s="351"/>
      <c r="N168" s="351"/>
      <c r="O168" s="350"/>
      <c r="P168" s="349"/>
    </row>
    <row r="169" spans="1:16">
      <c r="A169" s="349"/>
      <c r="B169" s="350"/>
      <c r="C169" s="349"/>
      <c r="D169" s="349"/>
      <c r="E169" s="349"/>
      <c r="F169" s="349"/>
      <c r="G169" s="349"/>
      <c r="H169" s="349"/>
      <c r="I169" s="350"/>
      <c r="J169" s="350"/>
      <c r="K169" s="349"/>
      <c r="L169" s="349"/>
      <c r="M169" s="351"/>
      <c r="N169" s="351"/>
      <c r="O169" s="350"/>
      <c r="P169" s="349"/>
    </row>
    <row r="170" spans="1:16">
      <c r="A170" s="349"/>
      <c r="B170" s="350"/>
      <c r="C170" s="349"/>
      <c r="D170" s="349"/>
      <c r="E170" s="349"/>
      <c r="F170" s="349"/>
      <c r="G170" s="349"/>
      <c r="H170" s="349"/>
      <c r="I170" s="350"/>
      <c r="J170" s="350"/>
      <c r="K170" s="349"/>
      <c r="L170" s="349"/>
      <c r="M170" s="351"/>
      <c r="N170" s="351"/>
      <c r="O170" s="350"/>
      <c r="P170" s="349"/>
    </row>
    <row r="171" spans="1:16">
      <c r="A171" s="349"/>
      <c r="B171" s="350"/>
      <c r="C171" s="349"/>
      <c r="D171" s="349"/>
      <c r="E171" s="349"/>
      <c r="F171" s="349"/>
      <c r="G171" s="349"/>
      <c r="H171" s="349"/>
      <c r="I171" s="350"/>
      <c r="J171" s="350"/>
      <c r="K171" s="349"/>
      <c r="L171" s="349"/>
      <c r="M171" s="351"/>
      <c r="N171" s="351"/>
      <c r="O171" s="350"/>
      <c r="P171" s="349"/>
    </row>
    <row r="172" spans="1:16">
      <c r="A172" s="349"/>
      <c r="B172" s="350"/>
      <c r="C172" s="349"/>
      <c r="D172" s="349"/>
      <c r="E172" s="349"/>
      <c r="F172" s="349"/>
      <c r="G172" s="349"/>
      <c r="H172" s="349"/>
      <c r="I172" s="350"/>
      <c r="J172" s="350"/>
      <c r="K172" s="349"/>
      <c r="L172" s="349"/>
      <c r="M172" s="351"/>
      <c r="N172" s="351"/>
      <c r="O172" s="350"/>
      <c r="P172" s="349"/>
    </row>
    <row r="173" spans="1:16">
      <c r="A173" s="349"/>
      <c r="B173" s="350"/>
      <c r="C173" s="349"/>
      <c r="D173" s="349"/>
      <c r="E173" s="349"/>
      <c r="F173" s="349"/>
      <c r="G173" s="349"/>
      <c r="H173" s="349"/>
      <c r="I173" s="350"/>
      <c r="J173" s="350"/>
      <c r="K173" s="349"/>
      <c r="L173" s="349"/>
      <c r="M173" s="351"/>
      <c r="N173" s="351"/>
      <c r="O173" s="350"/>
      <c r="P173" s="349"/>
    </row>
    <row r="174" spans="1:16">
      <c r="A174" s="349"/>
      <c r="B174" s="350"/>
      <c r="C174" s="349"/>
      <c r="D174" s="349"/>
      <c r="E174" s="349"/>
      <c r="F174" s="349"/>
      <c r="G174" s="349"/>
      <c r="H174" s="349"/>
      <c r="I174" s="350"/>
      <c r="J174" s="350"/>
      <c r="K174" s="349"/>
      <c r="L174" s="349"/>
      <c r="M174" s="351"/>
      <c r="N174" s="351"/>
      <c r="O174" s="350"/>
      <c r="P174" s="349"/>
    </row>
    <row r="175" spans="1:16">
      <c r="A175" s="349"/>
      <c r="B175" s="350"/>
      <c r="C175" s="349"/>
      <c r="D175" s="349"/>
      <c r="E175" s="349"/>
      <c r="F175" s="349"/>
      <c r="G175" s="349"/>
      <c r="H175" s="349"/>
      <c r="I175" s="350"/>
      <c r="J175" s="350"/>
      <c r="K175" s="349"/>
      <c r="L175" s="349"/>
      <c r="M175" s="351"/>
      <c r="N175" s="351"/>
      <c r="O175" s="350"/>
      <c r="P175" s="349"/>
    </row>
    <row r="176" spans="1:16">
      <c r="A176" s="349"/>
      <c r="B176" s="350"/>
      <c r="C176" s="349"/>
      <c r="D176" s="349"/>
      <c r="E176" s="349"/>
      <c r="F176" s="349"/>
      <c r="G176" s="349"/>
      <c r="H176" s="349"/>
      <c r="I176" s="350"/>
      <c r="J176" s="350"/>
      <c r="K176" s="349"/>
      <c r="L176" s="349"/>
      <c r="M176" s="351"/>
      <c r="N176" s="351"/>
      <c r="O176" s="350"/>
      <c r="P176" s="349"/>
    </row>
    <row r="177" spans="1:16">
      <c r="A177" s="349"/>
      <c r="B177" s="350"/>
      <c r="C177" s="349"/>
      <c r="D177" s="349"/>
      <c r="E177" s="349"/>
      <c r="F177" s="349"/>
      <c r="G177" s="349"/>
      <c r="H177" s="349"/>
      <c r="I177" s="350"/>
      <c r="J177" s="350"/>
      <c r="K177" s="349"/>
      <c r="L177" s="349"/>
      <c r="M177" s="351"/>
      <c r="N177" s="351"/>
      <c r="O177" s="350"/>
      <c r="P177" s="349"/>
    </row>
    <row r="178" spans="1:16">
      <c r="A178" s="349"/>
      <c r="B178" s="350"/>
      <c r="C178" s="349"/>
      <c r="D178" s="349"/>
      <c r="E178" s="349"/>
      <c r="F178" s="349"/>
      <c r="G178" s="349"/>
      <c r="H178" s="349"/>
      <c r="I178" s="350"/>
      <c r="J178" s="350"/>
      <c r="K178" s="349"/>
      <c r="L178" s="349"/>
      <c r="M178" s="351"/>
      <c r="N178" s="351"/>
      <c r="O178" s="350"/>
      <c r="P178" s="349"/>
    </row>
    <row r="179" spans="1:16">
      <c r="A179" s="349"/>
      <c r="B179" s="350"/>
      <c r="C179" s="349"/>
      <c r="D179" s="349"/>
      <c r="E179" s="349"/>
      <c r="F179" s="349"/>
      <c r="G179" s="349"/>
      <c r="H179" s="349"/>
      <c r="I179" s="350"/>
      <c r="J179" s="350"/>
      <c r="K179" s="349"/>
      <c r="L179" s="349"/>
      <c r="M179" s="351"/>
      <c r="N179" s="351"/>
      <c r="O179" s="350"/>
      <c r="P179" s="349"/>
    </row>
    <row r="180" spans="1:16">
      <c r="A180" s="349"/>
      <c r="B180" s="350"/>
      <c r="C180" s="349"/>
      <c r="D180" s="349"/>
      <c r="E180" s="349"/>
      <c r="F180" s="349"/>
      <c r="G180" s="349"/>
      <c r="H180" s="349"/>
      <c r="I180" s="350"/>
      <c r="J180" s="350"/>
      <c r="K180" s="349"/>
      <c r="L180" s="349"/>
      <c r="M180" s="351"/>
      <c r="N180" s="351"/>
      <c r="O180" s="350"/>
      <c r="P180" s="349"/>
    </row>
    <row r="181" spans="1:16">
      <c r="A181" s="349"/>
      <c r="B181" s="350"/>
      <c r="C181" s="349"/>
      <c r="D181" s="349"/>
      <c r="E181" s="349"/>
      <c r="F181" s="349"/>
      <c r="G181" s="349"/>
      <c r="H181" s="349"/>
      <c r="I181" s="350"/>
      <c r="J181" s="350"/>
      <c r="K181" s="349"/>
      <c r="L181" s="349"/>
      <c r="M181" s="351"/>
      <c r="N181" s="351"/>
      <c r="O181" s="350"/>
      <c r="P181" s="349"/>
    </row>
    <row r="182" spans="1:16">
      <c r="A182" s="349"/>
      <c r="B182" s="350"/>
      <c r="C182" s="349"/>
      <c r="D182" s="349"/>
      <c r="E182" s="349"/>
      <c r="F182" s="349"/>
      <c r="G182" s="349"/>
      <c r="H182" s="349"/>
      <c r="I182" s="350"/>
      <c r="J182" s="350"/>
      <c r="K182" s="349"/>
      <c r="L182" s="349"/>
      <c r="M182" s="351"/>
      <c r="N182" s="351"/>
      <c r="O182" s="350"/>
      <c r="P182" s="349"/>
    </row>
    <row r="183" spans="1:16">
      <c r="A183" s="349"/>
      <c r="B183" s="350"/>
      <c r="C183" s="349"/>
      <c r="D183" s="349"/>
      <c r="E183" s="349"/>
      <c r="F183" s="349"/>
      <c r="G183" s="349"/>
      <c r="H183" s="349"/>
      <c r="I183" s="350"/>
      <c r="J183" s="350"/>
      <c r="K183" s="349"/>
      <c r="L183" s="349"/>
      <c r="M183" s="351"/>
      <c r="N183" s="351"/>
      <c r="O183" s="350"/>
      <c r="P183" s="349"/>
    </row>
    <row r="184" spans="1:16">
      <c r="A184" s="349"/>
      <c r="B184" s="350"/>
      <c r="C184" s="349"/>
      <c r="D184" s="349"/>
      <c r="E184" s="349"/>
      <c r="F184" s="349"/>
      <c r="G184" s="349"/>
      <c r="H184" s="349"/>
      <c r="I184" s="350"/>
      <c r="J184" s="350"/>
      <c r="K184" s="349"/>
      <c r="L184" s="349"/>
      <c r="M184" s="351"/>
      <c r="N184" s="351"/>
      <c r="O184" s="350"/>
      <c r="P184" s="349"/>
    </row>
    <row r="185" spans="1:16">
      <c r="A185" s="349"/>
      <c r="B185" s="350"/>
      <c r="C185" s="349"/>
      <c r="D185" s="349"/>
      <c r="E185" s="349"/>
      <c r="F185" s="349"/>
      <c r="G185" s="349"/>
      <c r="H185" s="349"/>
      <c r="I185" s="350"/>
      <c r="J185" s="350"/>
      <c r="K185" s="349"/>
      <c r="L185" s="349"/>
      <c r="M185" s="351"/>
      <c r="N185" s="351"/>
      <c r="O185" s="350"/>
      <c r="P185" s="349"/>
    </row>
    <row r="186" spans="1:16">
      <c r="A186" s="349"/>
      <c r="B186" s="350"/>
      <c r="C186" s="349"/>
      <c r="D186" s="349"/>
      <c r="E186" s="349"/>
      <c r="F186" s="349"/>
      <c r="G186" s="349"/>
      <c r="H186" s="349"/>
      <c r="I186" s="350"/>
      <c r="J186" s="350"/>
      <c r="K186" s="349"/>
      <c r="L186" s="349"/>
      <c r="M186" s="351"/>
      <c r="N186" s="351"/>
      <c r="O186" s="350"/>
      <c r="P186" s="349"/>
    </row>
    <row r="187" spans="1:16">
      <c r="A187" s="349"/>
      <c r="B187" s="350"/>
      <c r="C187" s="349"/>
      <c r="D187" s="349"/>
      <c r="E187" s="349"/>
      <c r="F187" s="349"/>
      <c r="G187" s="349"/>
      <c r="H187" s="349"/>
      <c r="I187" s="350"/>
      <c r="J187" s="350"/>
      <c r="K187" s="349"/>
      <c r="L187" s="349"/>
      <c r="M187" s="351"/>
      <c r="N187" s="351"/>
      <c r="O187" s="350"/>
      <c r="P187" s="349"/>
    </row>
    <row r="188" spans="1:16">
      <c r="A188" s="349"/>
      <c r="B188" s="350"/>
      <c r="C188" s="349"/>
      <c r="D188" s="349"/>
      <c r="E188" s="349"/>
      <c r="F188" s="349"/>
      <c r="G188" s="349"/>
      <c r="H188" s="349"/>
      <c r="I188" s="350"/>
      <c r="J188" s="350"/>
      <c r="K188" s="349"/>
      <c r="L188" s="349"/>
      <c r="M188" s="351"/>
      <c r="N188" s="351"/>
      <c r="O188" s="350"/>
      <c r="P188" s="349"/>
    </row>
    <row r="189" spans="1:16">
      <c r="A189" s="349"/>
      <c r="B189" s="350"/>
      <c r="C189" s="349"/>
      <c r="D189" s="349"/>
      <c r="E189" s="349"/>
      <c r="F189" s="349"/>
      <c r="G189" s="349"/>
      <c r="H189" s="349"/>
      <c r="I189" s="350"/>
      <c r="J189" s="350"/>
      <c r="K189" s="349"/>
      <c r="L189" s="349"/>
      <c r="M189" s="351"/>
      <c r="N189" s="351"/>
      <c r="O189" s="350"/>
      <c r="P189" s="349"/>
    </row>
    <row r="190" spans="1:16">
      <c r="A190" s="349"/>
      <c r="B190" s="350"/>
      <c r="C190" s="349"/>
      <c r="D190" s="349"/>
      <c r="E190" s="349"/>
      <c r="F190" s="349"/>
      <c r="G190" s="349"/>
      <c r="H190" s="349"/>
      <c r="I190" s="350"/>
      <c r="J190" s="350"/>
      <c r="K190" s="349"/>
      <c r="L190" s="349"/>
      <c r="M190" s="351"/>
      <c r="N190" s="351"/>
      <c r="O190" s="350"/>
      <c r="P190" s="349"/>
    </row>
    <row r="191" spans="1:16">
      <c r="A191" s="349"/>
      <c r="B191" s="350"/>
      <c r="C191" s="349"/>
      <c r="D191" s="349"/>
      <c r="E191" s="349"/>
      <c r="F191" s="349"/>
      <c r="G191" s="349"/>
      <c r="H191" s="349"/>
      <c r="I191" s="350"/>
      <c r="J191" s="350"/>
      <c r="K191" s="349"/>
      <c r="L191" s="349"/>
      <c r="M191" s="351"/>
      <c r="N191" s="351"/>
      <c r="O191" s="350"/>
      <c r="P191" s="349"/>
    </row>
    <row r="192" spans="1:16">
      <c r="A192" s="349"/>
      <c r="B192" s="350"/>
      <c r="C192" s="349"/>
      <c r="D192" s="349"/>
      <c r="E192" s="349"/>
      <c r="F192" s="349"/>
      <c r="G192" s="349"/>
      <c r="H192" s="349"/>
      <c r="I192" s="350"/>
      <c r="J192" s="350"/>
      <c r="K192" s="349"/>
      <c r="L192" s="349"/>
      <c r="M192" s="351"/>
      <c r="N192" s="351"/>
      <c r="O192" s="350"/>
      <c r="P192" s="349"/>
    </row>
    <row r="193" spans="1:16">
      <c r="A193" s="349"/>
      <c r="B193" s="350"/>
      <c r="C193" s="349"/>
      <c r="D193" s="349"/>
      <c r="E193" s="349"/>
      <c r="F193" s="349"/>
      <c r="G193" s="349"/>
      <c r="H193" s="349"/>
      <c r="I193" s="350"/>
      <c r="J193" s="350"/>
      <c r="K193" s="349"/>
      <c r="L193" s="349"/>
      <c r="M193" s="351"/>
      <c r="N193" s="351"/>
      <c r="O193" s="350"/>
      <c r="P193" s="349"/>
    </row>
    <row r="194" spans="1:16">
      <c r="A194" s="349"/>
      <c r="B194" s="350"/>
      <c r="C194" s="349"/>
      <c r="D194" s="349"/>
      <c r="E194" s="349"/>
      <c r="F194" s="349"/>
      <c r="G194" s="349"/>
      <c r="H194" s="349"/>
      <c r="I194" s="350"/>
      <c r="J194" s="350"/>
      <c r="K194" s="349"/>
      <c r="L194" s="349"/>
      <c r="M194" s="351"/>
      <c r="N194" s="351"/>
      <c r="O194" s="350"/>
      <c r="P194" s="349"/>
    </row>
    <row r="195" spans="1:16">
      <c r="A195" s="349"/>
      <c r="B195" s="350"/>
      <c r="C195" s="349"/>
      <c r="D195" s="349"/>
      <c r="E195" s="349"/>
      <c r="F195" s="349"/>
      <c r="G195" s="349"/>
      <c r="H195" s="349"/>
      <c r="I195" s="350"/>
      <c r="J195" s="350"/>
      <c r="K195" s="349"/>
      <c r="L195" s="349"/>
      <c r="M195" s="351"/>
      <c r="N195" s="351"/>
      <c r="O195" s="350"/>
      <c r="P195" s="349"/>
    </row>
    <row r="196" spans="1:16">
      <c r="A196" s="349"/>
      <c r="B196" s="350"/>
      <c r="C196" s="349"/>
      <c r="D196" s="349"/>
      <c r="E196" s="349"/>
      <c r="F196" s="349"/>
      <c r="G196" s="349"/>
      <c r="H196" s="349"/>
      <c r="I196" s="350"/>
      <c r="J196" s="350"/>
      <c r="K196" s="349"/>
      <c r="L196" s="349"/>
      <c r="M196" s="351"/>
      <c r="N196" s="351"/>
      <c r="O196" s="350"/>
      <c r="P196" s="349"/>
    </row>
    <row r="197" spans="1:16">
      <c r="A197" s="349"/>
      <c r="B197" s="350"/>
      <c r="C197" s="349"/>
      <c r="D197" s="349"/>
      <c r="E197" s="349"/>
      <c r="F197" s="349"/>
      <c r="G197" s="349"/>
      <c r="H197" s="349"/>
      <c r="I197" s="350"/>
      <c r="J197" s="350"/>
      <c r="K197" s="349"/>
      <c r="L197" s="349"/>
      <c r="M197" s="351"/>
      <c r="N197" s="351"/>
      <c r="O197" s="350"/>
      <c r="P197" s="349"/>
    </row>
    <row r="198" spans="1:16">
      <c r="A198" s="349"/>
      <c r="B198" s="350"/>
      <c r="C198" s="349"/>
      <c r="D198" s="349"/>
      <c r="E198" s="349"/>
      <c r="F198" s="349"/>
      <c r="G198" s="349"/>
      <c r="H198" s="349"/>
      <c r="I198" s="350"/>
      <c r="J198" s="350"/>
      <c r="K198" s="349"/>
      <c r="L198" s="349"/>
      <c r="M198" s="351"/>
      <c r="N198" s="351"/>
      <c r="O198" s="350"/>
      <c r="P198" s="349"/>
    </row>
    <row r="199" spans="1:16">
      <c r="A199" s="349"/>
      <c r="B199" s="350"/>
      <c r="C199" s="349"/>
      <c r="D199" s="349"/>
      <c r="E199" s="349"/>
      <c r="F199" s="349"/>
      <c r="G199" s="349"/>
      <c r="H199" s="349"/>
      <c r="I199" s="350"/>
      <c r="J199" s="350"/>
      <c r="K199" s="349"/>
      <c r="L199" s="349"/>
      <c r="M199" s="351"/>
      <c r="N199" s="351"/>
      <c r="O199" s="350"/>
      <c r="P199" s="349"/>
    </row>
    <row r="200" spans="1:16">
      <c r="A200" s="349"/>
      <c r="B200" s="350"/>
      <c r="C200" s="349"/>
      <c r="D200" s="349"/>
      <c r="E200" s="349"/>
      <c r="F200" s="349"/>
      <c r="G200" s="349"/>
      <c r="H200" s="349"/>
      <c r="I200" s="350"/>
      <c r="J200" s="350"/>
      <c r="K200" s="349"/>
      <c r="L200" s="349"/>
      <c r="M200" s="351"/>
      <c r="N200" s="351"/>
      <c r="O200" s="350"/>
      <c r="P200" s="349"/>
    </row>
    <row r="201" spans="1:16">
      <c r="A201" s="349"/>
      <c r="B201" s="350"/>
      <c r="C201" s="349"/>
      <c r="D201" s="349"/>
      <c r="E201" s="349"/>
      <c r="F201" s="349"/>
      <c r="G201" s="349"/>
      <c r="H201" s="349"/>
      <c r="I201" s="350"/>
      <c r="J201" s="350"/>
      <c r="K201" s="349"/>
      <c r="L201" s="349"/>
      <c r="M201" s="351"/>
      <c r="N201" s="351"/>
      <c r="O201" s="350"/>
      <c r="P201" s="349"/>
    </row>
    <row r="202" spans="1:16">
      <c r="A202" s="349"/>
      <c r="B202" s="350"/>
      <c r="C202" s="349"/>
      <c r="D202" s="349"/>
      <c r="E202" s="349"/>
      <c r="F202" s="349"/>
      <c r="G202" s="349"/>
      <c r="H202" s="349"/>
      <c r="I202" s="350"/>
      <c r="J202" s="350"/>
      <c r="K202" s="349"/>
      <c r="L202" s="349"/>
      <c r="M202" s="351"/>
      <c r="N202" s="351"/>
      <c r="O202" s="350"/>
      <c r="P202" s="349"/>
    </row>
    <row r="203" spans="1:16">
      <c r="A203" s="349"/>
      <c r="B203" s="350"/>
      <c r="C203" s="349"/>
      <c r="D203" s="349"/>
      <c r="E203" s="349"/>
      <c r="F203" s="349"/>
      <c r="G203" s="349"/>
      <c r="H203" s="349"/>
      <c r="I203" s="350"/>
      <c r="J203" s="350"/>
      <c r="K203" s="349"/>
      <c r="L203" s="349"/>
      <c r="M203" s="351"/>
      <c r="N203" s="351"/>
      <c r="O203" s="350"/>
      <c r="P203" s="349"/>
    </row>
    <row r="204" spans="1:16">
      <c r="A204" s="349"/>
      <c r="B204" s="350"/>
      <c r="C204" s="349"/>
      <c r="D204" s="349"/>
      <c r="E204" s="349"/>
      <c r="F204" s="349"/>
      <c r="G204" s="349"/>
      <c r="H204" s="349"/>
      <c r="I204" s="350"/>
      <c r="J204" s="350"/>
      <c r="K204" s="349"/>
      <c r="L204" s="349"/>
      <c r="M204" s="351"/>
      <c r="N204" s="351"/>
      <c r="O204" s="350"/>
      <c r="P204" s="349"/>
    </row>
  </sheetData>
  <mergeCells count="2">
    <mergeCell ref="A2:G2"/>
    <mergeCell ref="A1:G1"/>
  </mergeCells>
  <conditionalFormatting sqref="I5:J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5:O204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04"/>
  <sheetViews>
    <sheetView workbookViewId="0"/>
  </sheetViews>
  <sheetFormatPr baseColWidth="10" defaultColWidth="8.7265625" defaultRowHeight="14.5"/>
  <cols>
    <col min="1" max="1" width="10.1796875" customWidth="1"/>
    <col min="2" max="2" width="11.26953125" customWidth="1"/>
    <col min="3" max="3" width="14.7265625" customWidth="1"/>
    <col min="4" max="4" width="18.1796875" customWidth="1"/>
    <col min="5" max="5" width="16.08984375" customWidth="1"/>
    <col min="6" max="6" width="15.453125" customWidth="1"/>
    <col min="7" max="7" width="38.54296875" customWidth="1"/>
    <col min="8" max="8" width="12.36328125" customWidth="1"/>
    <col min="9" max="11" width="30" customWidth="1"/>
    <col min="12" max="12" width="10.7265625" customWidth="1"/>
    <col min="13" max="13" width="9.90625" customWidth="1"/>
    <col min="14" max="14" width="12.453125" customWidth="1"/>
    <col min="15" max="15" width="11.26953125" customWidth="1"/>
    <col min="16" max="16" width="34" customWidth="1"/>
    <col min="17" max="17" width="7.54296875" customWidth="1"/>
  </cols>
  <sheetData>
    <row r="1" spans="1:17" ht="12.4" customHeight="1">
      <c r="A1" s="483" t="s">
        <v>2429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279"/>
      <c r="M1" s="279"/>
      <c r="N1" s="279"/>
      <c r="O1" s="279"/>
      <c r="P1" s="279"/>
      <c r="Q1" s="279"/>
    </row>
    <row r="2" spans="1:17" ht="12.9" customHeight="1">
      <c r="A2" s="481" t="s">
        <v>2430</v>
      </c>
      <c r="B2" s="426"/>
      <c r="C2" s="426"/>
      <c r="D2" s="426"/>
      <c r="E2" s="426"/>
      <c r="F2" s="426"/>
      <c r="G2" s="426"/>
      <c r="H2" s="280"/>
      <c r="I2" s="280"/>
      <c r="J2" s="280"/>
      <c r="K2" s="280"/>
      <c r="L2" s="280"/>
      <c r="M2" s="280"/>
      <c r="N2" s="280"/>
      <c r="O2" s="280"/>
      <c r="P2" s="280"/>
      <c r="Q2" s="280"/>
    </row>
    <row r="4" spans="1:17" ht="19.399999999999999" customHeight="1">
      <c r="A4" s="296" t="s">
        <v>13</v>
      </c>
      <c r="B4" s="296" t="s">
        <v>1115</v>
      </c>
      <c r="C4" s="296" t="s">
        <v>2230</v>
      </c>
      <c r="D4" s="296" t="s">
        <v>2431</v>
      </c>
      <c r="E4" s="296" t="s">
        <v>2432</v>
      </c>
      <c r="F4" s="296" t="s">
        <v>419</v>
      </c>
      <c r="G4" s="296" t="s">
        <v>2433</v>
      </c>
      <c r="H4" s="296" t="s">
        <v>2246</v>
      </c>
      <c r="I4" s="296" t="s">
        <v>2434</v>
      </c>
      <c r="J4" s="296" t="s">
        <v>2435</v>
      </c>
      <c r="K4" s="296" t="s">
        <v>2436</v>
      </c>
      <c r="L4" s="296" t="s">
        <v>2437</v>
      </c>
      <c r="M4" s="296" t="s">
        <v>2438</v>
      </c>
      <c r="N4" s="296" t="s">
        <v>2439</v>
      </c>
      <c r="O4" s="296" t="s">
        <v>2183</v>
      </c>
      <c r="P4" s="296" t="s">
        <v>11</v>
      </c>
      <c r="Q4" s="296" t="s">
        <v>2440</v>
      </c>
    </row>
    <row r="5" spans="1:17" ht="29" customHeight="1">
      <c r="A5" s="297">
        <v>46195</v>
      </c>
      <c r="B5" s="290">
        <v>4</v>
      </c>
      <c r="C5" s="290" t="s">
        <v>35</v>
      </c>
      <c r="D5" s="290" t="s">
        <v>2441</v>
      </c>
      <c r="E5" s="290" t="s">
        <v>2185</v>
      </c>
      <c r="F5" s="293">
        <v>45</v>
      </c>
      <c r="G5" s="290" t="s">
        <v>2442</v>
      </c>
      <c r="H5" s="293">
        <v>30</v>
      </c>
      <c r="I5" s="290" t="s">
        <v>2443</v>
      </c>
      <c r="J5" s="290" t="s">
        <v>2444</v>
      </c>
      <c r="K5" s="290" t="s">
        <v>2445</v>
      </c>
      <c r="L5" s="290" t="s">
        <v>1149</v>
      </c>
      <c r="M5" s="290" t="s">
        <v>2192</v>
      </c>
      <c r="N5" s="300">
        <v>46198</v>
      </c>
      <c r="O5" s="290" t="s">
        <v>87</v>
      </c>
      <c r="P5" s="290" t="s">
        <v>2446</v>
      </c>
      <c r="Q5" s="303">
        <f t="shared" ref="Q5:Q68" si="0">IF(F5="","",F5/60)</f>
        <v>0.75</v>
      </c>
    </row>
    <row r="6" spans="1:17">
      <c r="A6" s="298"/>
      <c r="B6" s="291"/>
      <c r="C6" s="291"/>
      <c r="D6" s="291"/>
      <c r="E6" s="291"/>
      <c r="F6" s="294"/>
      <c r="G6" s="291"/>
      <c r="H6" s="294"/>
      <c r="I6" s="291"/>
      <c r="J6" s="291"/>
      <c r="K6" s="291"/>
      <c r="L6" s="291"/>
      <c r="M6" s="291"/>
      <c r="N6" s="301"/>
      <c r="O6" s="291"/>
      <c r="P6" s="291"/>
      <c r="Q6" s="304" t="str">
        <f t="shared" si="0"/>
        <v/>
      </c>
    </row>
    <row r="7" spans="1:17">
      <c r="A7" s="298"/>
      <c r="B7" s="291"/>
      <c r="C7" s="291"/>
      <c r="D7" s="291"/>
      <c r="E7" s="291"/>
      <c r="F7" s="294"/>
      <c r="G7" s="291"/>
      <c r="H7" s="294"/>
      <c r="I7" s="291"/>
      <c r="J7" s="291"/>
      <c r="K7" s="291"/>
      <c r="L7" s="291"/>
      <c r="M7" s="291"/>
      <c r="N7" s="301"/>
      <c r="O7" s="291"/>
      <c r="P7" s="291"/>
      <c r="Q7" s="304" t="str">
        <f t="shared" si="0"/>
        <v/>
      </c>
    </row>
    <row r="8" spans="1:17">
      <c r="A8" s="298"/>
      <c r="B8" s="291"/>
      <c r="C8" s="291"/>
      <c r="D8" s="291"/>
      <c r="E8" s="291"/>
      <c r="F8" s="294"/>
      <c r="G8" s="291"/>
      <c r="H8" s="294"/>
      <c r="I8" s="291"/>
      <c r="J8" s="291"/>
      <c r="K8" s="291"/>
      <c r="L8" s="291"/>
      <c r="M8" s="291"/>
      <c r="N8" s="301"/>
      <c r="O8" s="291"/>
      <c r="P8" s="291"/>
      <c r="Q8" s="304" t="str">
        <f t="shared" si="0"/>
        <v/>
      </c>
    </row>
    <row r="9" spans="1:17">
      <c r="A9" s="298"/>
      <c r="B9" s="291"/>
      <c r="C9" s="291"/>
      <c r="D9" s="291"/>
      <c r="E9" s="291"/>
      <c r="F9" s="294"/>
      <c r="G9" s="291"/>
      <c r="H9" s="294"/>
      <c r="I9" s="291"/>
      <c r="J9" s="291"/>
      <c r="K9" s="291"/>
      <c r="L9" s="291"/>
      <c r="M9" s="291"/>
      <c r="N9" s="301"/>
      <c r="O9" s="291"/>
      <c r="P9" s="291"/>
      <c r="Q9" s="304" t="str">
        <f t="shared" si="0"/>
        <v/>
      </c>
    </row>
    <row r="10" spans="1:17">
      <c r="A10" s="298"/>
      <c r="B10" s="291"/>
      <c r="C10" s="291"/>
      <c r="D10" s="291"/>
      <c r="E10" s="291"/>
      <c r="F10" s="294"/>
      <c r="G10" s="291"/>
      <c r="H10" s="294"/>
      <c r="I10" s="291"/>
      <c r="J10" s="291"/>
      <c r="K10" s="291"/>
      <c r="L10" s="291"/>
      <c r="M10" s="291"/>
      <c r="N10" s="301"/>
      <c r="O10" s="291"/>
      <c r="P10" s="291"/>
      <c r="Q10" s="304" t="str">
        <f t="shared" si="0"/>
        <v/>
      </c>
    </row>
    <row r="11" spans="1:17">
      <c r="A11" s="298"/>
      <c r="B11" s="291"/>
      <c r="C11" s="291"/>
      <c r="D11" s="291"/>
      <c r="E11" s="291"/>
      <c r="F11" s="294"/>
      <c r="G11" s="291"/>
      <c r="H11" s="294"/>
      <c r="I11" s="291"/>
      <c r="J11" s="291"/>
      <c r="K11" s="291"/>
      <c r="L11" s="291"/>
      <c r="M11" s="291"/>
      <c r="N11" s="301"/>
      <c r="O11" s="291"/>
      <c r="P11" s="291"/>
      <c r="Q11" s="304" t="str">
        <f t="shared" si="0"/>
        <v/>
      </c>
    </row>
    <row r="12" spans="1:17">
      <c r="A12" s="298"/>
      <c r="B12" s="291"/>
      <c r="C12" s="291"/>
      <c r="D12" s="291"/>
      <c r="E12" s="291"/>
      <c r="F12" s="294"/>
      <c r="G12" s="291"/>
      <c r="H12" s="294"/>
      <c r="I12" s="291"/>
      <c r="J12" s="291"/>
      <c r="K12" s="291"/>
      <c r="L12" s="291"/>
      <c r="M12" s="291"/>
      <c r="N12" s="301"/>
      <c r="O12" s="291"/>
      <c r="P12" s="291"/>
      <c r="Q12" s="304" t="str">
        <f t="shared" si="0"/>
        <v/>
      </c>
    </row>
    <row r="13" spans="1:17">
      <c r="A13" s="298"/>
      <c r="B13" s="291"/>
      <c r="C13" s="291"/>
      <c r="D13" s="291"/>
      <c r="E13" s="291"/>
      <c r="F13" s="294"/>
      <c r="G13" s="291"/>
      <c r="H13" s="294"/>
      <c r="I13" s="291"/>
      <c r="J13" s="291"/>
      <c r="K13" s="291"/>
      <c r="L13" s="291"/>
      <c r="M13" s="291"/>
      <c r="N13" s="301"/>
      <c r="O13" s="291"/>
      <c r="P13" s="291"/>
      <c r="Q13" s="304" t="str">
        <f t="shared" si="0"/>
        <v/>
      </c>
    </row>
    <row r="14" spans="1:17">
      <c r="A14" s="298"/>
      <c r="B14" s="291"/>
      <c r="C14" s="291"/>
      <c r="D14" s="291"/>
      <c r="E14" s="291"/>
      <c r="F14" s="294"/>
      <c r="G14" s="291"/>
      <c r="H14" s="294"/>
      <c r="I14" s="291"/>
      <c r="J14" s="291"/>
      <c r="K14" s="291"/>
      <c r="L14" s="291"/>
      <c r="M14" s="291"/>
      <c r="N14" s="301"/>
      <c r="O14" s="291"/>
      <c r="P14" s="291"/>
      <c r="Q14" s="304" t="str">
        <f t="shared" si="0"/>
        <v/>
      </c>
    </row>
    <row r="15" spans="1:17">
      <c r="A15" s="298"/>
      <c r="B15" s="291"/>
      <c r="C15" s="291"/>
      <c r="D15" s="291"/>
      <c r="E15" s="291"/>
      <c r="F15" s="294"/>
      <c r="G15" s="291"/>
      <c r="H15" s="294"/>
      <c r="I15" s="291"/>
      <c r="J15" s="291"/>
      <c r="K15" s="291"/>
      <c r="L15" s="291"/>
      <c r="M15" s="291"/>
      <c r="N15" s="301"/>
      <c r="O15" s="291"/>
      <c r="P15" s="291"/>
      <c r="Q15" s="304" t="str">
        <f t="shared" si="0"/>
        <v/>
      </c>
    </row>
    <row r="16" spans="1:17">
      <c r="A16" s="298"/>
      <c r="B16" s="291"/>
      <c r="C16" s="291"/>
      <c r="D16" s="291"/>
      <c r="E16" s="291"/>
      <c r="F16" s="294"/>
      <c r="G16" s="291"/>
      <c r="H16" s="294"/>
      <c r="I16" s="291"/>
      <c r="J16" s="291"/>
      <c r="K16" s="291"/>
      <c r="L16" s="291"/>
      <c r="M16" s="291"/>
      <c r="N16" s="301"/>
      <c r="O16" s="291"/>
      <c r="P16" s="291"/>
      <c r="Q16" s="304" t="str">
        <f t="shared" si="0"/>
        <v/>
      </c>
    </row>
    <row r="17" spans="1:17">
      <c r="A17" s="298"/>
      <c r="B17" s="291"/>
      <c r="C17" s="291"/>
      <c r="D17" s="291"/>
      <c r="E17" s="291"/>
      <c r="F17" s="294"/>
      <c r="G17" s="291"/>
      <c r="H17" s="294"/>
      <c r="I17" s="291"/>
      <c r="J17" s="291"/>
      <c r="K17" s="291"/>
      <c r="L17" s="291"/>
      <c r="M17" s="291"/>
      <c r="N17" s="301"/>
      <c r="O17" s="291"/>
      <c r="P17" s="291"/>
      <c r="Q17" s="304" t="str">
        <f t="shared" si="0"/>
        <v/>
      </c>
    </row>
    <row r="18" spans="1:17">
      <c r="A18" s="298"/>
      <c r="B18" s="291"/>
      <c r="C18" s="291"/>
      <c r="D18" s="291"/>
      <c r="E18" s="291"/>
      <c r="F18" s="294"/>
      <c r="G18" s="291"/>
      <c r="H18" s="294"/>
      <c r="I18" s="291"/>
      <c r="J18" s="291"/>
      <c r="K18" s="291"/>
      <c r="L18" s="291"/>
      <c r="M18" s="291"/>
      <c r="N18" s="301"/>
      <c r="O18" s="291"/>
      <c r="P18" s="291"/>
      <c r="Q18" s="304" t="str">
        <f t="shared" si="0"/>
        <v/>
      </c>
    </row>
    <row r="19" spans="1:17">
      <c r="A19" s="298"/>
      <c r="B19" s="291"/>
      <c r="C19" s="291"/>
      <c r="D19" s="291"/>
      <c r="E19" s="291"/>
      <c r="F19" s="294"/>
      <c r="G19" s="291"/>
      <c r="H19" s="294"/>
      <c r="I19" s="291"/>
      <c r="J19" s="291"/>
      <c r="K19" s="291"/>
      <c r="L19" s="291"/>
      <c r="M19" s="291"/>
      <c r="N19" s="301"/>
      <c r="O19" s="291"/>
      <c r="P19" s="291"/>
      <c r="Q19" s="304" t="str">
        <f t="shared" si="0"/>
        <v/>
      </c>
    </row>
    <row r="20" spans="1:17">
      <c r="A20" s="298"/>
      <c r="B20" s="291"/>
      <c r="C20" s="291"/>
      <c r="D20" s="291"/>
      <c r="E20" s="291"/>
      <c r="F20" s="294"/>
      <c r="G20" s="291"/>
      <c r="H20" s="294"/>
      <c r="I20" s="291"/>
      <c r="J20" s="291"/>
      <c r="K20" s="291"/>
      <c r="L20" s="291"/>
      <c r="M20" s="291"/>
      <c r="N20" s="301"/>
      <c r="O20" s="291"/>
      <c r="P20" s="291"/>
      <c r="Q20" s="304" t="str">
        <f t="shared" si="0"/>
        <v/>
      </c>
    </row>
    <row r="21" spans="1:17">
      <c r="A21" s="298"/>
      <c r="B21" s="291"/>
      <c r="C21" s="291"/>
      <c r="D21" s="291"/>
      <c r="E21" s="291"/>
      <c r="F21" s="294"/>
      <c r="G21" s="291"/>
      <c r="H21" s="294"/>
      <c r="I21" s="291"/>
      <c r="J21" s="291"/>
      <c r="K21" s="291"/>
      <c r="L21" s="291"/>
      <c r="M21" s="291"/>
      <c r="N21" s="301"/>
      <c r="O21" s="291"/>
      <c r="P21" s="291"/>
      <c r="Q21" s="304" t="str">
        <f t="shared" si="0"/>
        <v/>
      </c>
    </row>
    <row r="22" spans="1:17">
      <c r="A22" s="298"/>
      <c r="B22" s="291"/>
      <c r="C22" s="291"/>
      <c r="D22" s="291"/>
      <c r="E22" s="291"/>
      <c r="F22" s="294"/>
      <c r="G22" s="291"/>
      <c r="H22" s="294"/>
      <c r="I22" s="291"/>
      <c r="J22" s="291"/>
      <c r="K22" s="291"/>
      <c r="L22" s="291"/>
      <c r="M22" s="291"/>
      <c r="N22" s="301"/>
      <c r="O22" s="291"/>
      <c r="P22" s="291"/>
      <c r="Q22" s="304" t="str">
        <f t="shared" si="0"/>
        <v/>
      </c>
    </row>
    <row r="23" spans="1:17">
      <c r="A23" s="298"/>
      <c r="B23" s="291"/>
      <c r="C23" s="291"/>
      <c r="D23" s="291"/>
      <c r="E23" s="291"/>
      <c r="F23" s="294"/>
      <c r="G23" s="291"/>
      <c r="H23" s="294"/>
      <c r="I23" s="291"/>
      <c r="J23" s="291"/>
      <c r="K23" s="291"/>
      <c r="L23" s="291"/>
      <c r="M23" s="291"/>
      <c r="N23" s="301"/>
      <c r="O23" s="291"/>
      <c r="P23" s="291"/>
      <c r="Q23" s="304" t="str">
        <f t="shared" si="0"/>
        <v/>
      </c>
    </row>
    <row r="24" spans="1:17">
      <c r="A24" s="298"/>
      <c r="B24" s="291"/>
      <c r="C24" s="291"/>
      <c r="D24" s="291"/>
      <c r="E24" s="291"/>
      <c r="F24" s="294"/>
      <c r="G24" s="291"/>
      <c r="H24" s="294"/>
      <c r="I24" s="291"/>
      <c r="J24" s="291"/>
      <c r="K24" s="291"/>
      <c r="L24" s="291"/>
      <c r="M24" s="291"/>
      <c r="N24" s="301"/>
      <c r="O24" s="291"/>
      <c r="P24" s="291"/>
      <c r="Q24" s="304" t="str">
        <f t="shared" si="0"/>
        <v/>
      </c>
    </row>
    <row r="25" spans="1:17">
      <c r="A25" s="298"/>
      <c r="B25" s="291"/>
      <c r="C25" s="291"/>
      <c r="D25" s="291"/>
      <c r="E25" s="291"/>
      <c r="F25" s="294"/>
      <c r="G25" s="291"/>
      <c r="H25" s="294"/>
      <c r="I25" s="291"/>
      <c r="J25" s="291"/>
      <c r="K25" s="291"/>
      <c r="L25" s="291"/>
      <c r="M25" s="291"/>
      <c r="N25" s="301"/>
      <c r="O25" s="291"/>
      <c r="P25" s="291"/>
      <c r="Q25" s="304" t="str">
        <f t="shared" si="0"/>
        <v/>
      </c>
    </row>
    <row r="26" spans="1:17">
      <c r="A26" s="298"/>
      <c r="B26" s="291"/>
      <c r="C26" s="291"/>
      <c r="D26" s="291"/>
      <c r="E26" s="291"/>
      <c r="F26" s="294"/>
      <c r="G26" s="291"/>
      <c r="H26" s="294"/>
      <c r="I26" s="291"/>
      <c r="J26" s="291"/>
      <c r="K26" s="291"/>
      <c r="L26" s="291"/>
      <c r="M26" s="291"/>
      <c r="N26" s="301"/>
      <c r="O26" s="291"/>
      <c r="P26" s="291"/>
      <c r="Q26" s="304" t="str">
        <f t="shared" si="0"/>
        <v/>
      </c>
    </row>
    <row r="27" spans="1:17">
      <c r="A27" s="298"/>
      <c r="B27" s="291"/>
      <c r="C27" s="291"/>
      <c r="D27" s="291"/>
      <c r="E27" s="291"/>
      <c r="F27" s="294"/>
      <c r="G27" s="291"/>
      <c r="H27" s="294"/>
      <c r="I27" s="291"/>
      <c r="J27" s="291"/>
      <c r="K27" s="291"/>
      <c r="L27" s="291"/>
      <c r="M27" s="291"/>
      <c r="N27" s="301"/>
      <c r="O27" s="291"/>
      <c r="P27" s="291"/>
      <c r="Q27" s="304" t="str">
        <f t="shared" si="0"/>
        <v/>
      </c>
    </row>
    <row r="28" spans="1:17">
      <c r="A28" s="298"/>
      <c r="B28" s="291"/>
      <c r="C28" s="291"/>
      <c r="D28" s="291"/>
      <c r="E28" s="291"/>
      <c r="F28" s="294"/>
      <c r="G28" s="291"/>
      <c r="H28" s="294"/>
      <c r="I28" s="291"/>
      <c r="J28" s="291"/>
      <c r="K28" s="291"/>
      <c r="L28" s="291"/>
      <c r="M28" s="291"/>
      <c r="N28" s="301"/>
      <c r="O28" s="291"/>
      <c r="P28" s="291"/>
      <c r="Q28" s="304" t="str">
        <f t="shared" si="0"/>
        <v/>
      </c>
    </row>
    <row r="29" spans="1:17">
      <c r="A29" s="298"/>
      <c r="B29" s="291"/>
      <c r="C29" s="291"/>
      <c r="D29" s="291"/>
      <c r="E29" s="291"/>
      <c r="F29" s="294"/>
      <c r="G29" s="291"/>
      <c r="H29" s="294"/>
      <c r="I29" s="291"/>
      <c r="J29" s="291"/>
      <c r="K29" s="291"/>
      <c r="L29" s="291"/>
      <c r="M29" s="291"/>
      <c r="N29" s="301"/>
      <c r="O29" s="291"/>
      <c r="P29" s="291"/>
      <c r="Q29" s="304" t="str">
        <f t="shared" si="0"/>
        <v/>
      </c>
    </row>
    <row r="30" spans="1:17">
      <c r="A30" s="298"/>
      <c r="B30" s="291"/>
      <c r="C30" s="291"/>
      <c r="D30" s="291"/>
      <c r="E30" s="291"/>
      <c r="F30" s="294"/>
      <c r="G30" s="291"/>
      <c r="H30" s="294"/>
      <c r="I30" s="291"/>
      <c r="J30" s="291"/>
      <c r="K30" s="291"/>
      <c r="L30" s="291"/>
      <c r="M30" s="291"/>
      <c r="N30" s="301"/>
      <c r="O30" s="291"/>
      <c r="P30" s="291"/>
      <c r="Q30" s="304" t="str">
        <f t="shared" si="0"/>
        <v/>
      </c>
    </row>
    <row r="31" spans="1:17">
      <c r="A31" s="298"/>
      <c r="B31" s="291"/>
      <c r="C31" s="291"/>
      <c r="D31" s="291"/>
      <c r="E31" s="291"/>
      <c r="F31" s="294"/>
      <c r="G31" s="291"/>
      <c r="H31" s="294"/>
      <c r="I31" s="291"/>
      <c r="J31" s="291"/>
      <c r="K31" s="291"/>
      <c r="L31" s="291"/>
      <c r="M31" s="291"/>
      <c r="N31" s="301"/>
      <c r="O31" s="291"/>
      <c r="P31" s="291"/>
      <c r="Q31" s="304" t="str">
        <f t="shared" si="0"/>
        <v/>
      </c>
    </row>
    <row r="32" spans="1:17">
      <c r="A32" s="298"/>
      <c r="B32" s="291"/>
      <c r="C32" s="291"/>
      <c r="D32" s="291"/>
      <c r="E32" s="291"/>
      <c r="F32" s="294"/>
      <c r="G32" s="291"/>
      <c r="H32" s="294"/>
      <c r="I32" s="291"/>
      <c r="J32" s="291"/>
      <c r="K32" s="291"/>
      <c r="L32" s="291"/>
      <c r="M32" s="291"/>
      <c r="N32" s="301"/>
      <c r="O32" s="291"/>
      <c r="P32" s="291"/>
      <c r="Q32" s="304" t="str">
        <f t="shared" si="0"/>
        <v/>
      </c>
    </row>
    <row r="33" spans="1:17">
      <c r="A33" s="298"/>
      <c r="B33" s="291"/>
      <c r="C33" s="291"/>
      <c r="D33" s="291"/>
      <c r="E33" s="291"/>
      <c r="F33" s="294"/>
      <c r="G33" s="291"/>
      <c r="H33" s="294"/>
      <c r="I33" s="291"/>
      <c r="J33" s="291"/>
      <c r="K33" s="291"/>
      <c r="L33" s="291"/>
      <c r="M33" s="291"/>
      <c r="N33" s="301"/>
      <c r="O33" s="291"/>
      <c r="P33" s="291"/>
      <c r="Q33" s="304" t="str">
        <f t="shared" si="0"/>
        <v/>
      </c>
    </row>
    <row r="34" spans="1:17">
      <c r="A34" s="298"/>
      <c r="B34" s="291"/>
      <c r="C34" s="291"/>
      <c r="D34" s="291"/>
      <c r="E34" s="291"/>
      <c r="F34" s="294"/>
      <c r="G34" s="291"/>
      <c r="H34" s="294"/>
      <c r="I34" s="291"/>
      <c r="J34" s="291"/>
      <c r="K34" s="291"/>
      <c r="L34" s="291"/>
      <c r="M34" s="291"/>
      <c r="N34" s="301"/>
      <c r="O34" s="291"/>
      <c r="P34" s="291"/>
      <c r="Q34" s="304" t="str">
        <f t="shared" si="0"/>
        <v/>
      </c>
    </row>
    <row r="35" spans="1:17">
      <c r="A35" s="298"/>
      <c r="B35" s="291"/>
      <c r="C35" s="291"/>
      <c r="D35" s="291"/>
      <c r="E35" s="291"/>
      <c r="F35" s="294"/>
      <c r="G35" s="291"/>
      <c r="H35" s="294"/>
      <c r="I35" s="291"/>
      <c r="J35" s="291"/>
      <c r="K35" s="291"/>
      <c r="L35" s="291"/>
      <c r="M35" s="291"/>
      <c r="N35" s="301"/>
      <c r="O35" s="291"/>
      <c r="P35" s="291"/>
      <c r="Q35" s="304" t="str">
        <f t="shared" si="0"/>
        <v/>
      </c>
    </row>
    <row r="36" spans="1:17">
      <c r="A36" s="298"/>
      <c r="B36" s="291"/>
      <c r="C36" s="291"/>
      <c r="D36" s="291"/>
      <c r="E36" s="291"/>
      <c r="F36" s="294"/>
      <c r="G36" s="291"/>
      <c r="H36" s="294"/>
      <c r="I36" s="291"/>
      <c r="J36" s="291"/>
      <c r="K36" s="291"/>
      <c r="L36" s="291"/>
      <c r="M36" s="291"/>
      <c r="N36" s="301"/>
      <c r="O36" s="291"/>
      <c r="P36" s="291"/>
      <c r="Q36" s="304" t="str">
        <f t="shared" si="0"/>
        <v/>
      </c>
    </row>
    <row r="37" spans="1:17">
      <c r="A37" s="298"/>
      <c r="B37" s="291"/>
      <c r="C37" s="291"/>
      <c r="D37" s="291"/>
      <c r="E37" s="291"/>
      <c r="F37" s="294"/>
      <c r="G37" s="291"/>
      <c r="H37" s="294"/>
      <c r="I37" s="291"/>
      <c r="J37" s="291"/>
      <c r="K37" s="291"/>
      <c r="L37" s="291"/>
      <c r="M37" s="291"/>
      <c r="N37" s="301"/>
      <c r="O37" s="291"/>
      <c r="P37" s="291"/>
      <c r="Q37" s="304" t="str">
        <f t="shared" si="0"/>
        <v/>
      </c>
    </row>
    <row r="38" spans="1:17">
      <c r="A38" s="298"/>
      <c r="B38" s="291"/>
      <c r="C38" s="291"/>
      <c r="D38" s="291"/>
      <c r="E38" s="291"/>
      <c r="F38" s="294"/>
      <c r="G38" s="291"/>
      <c r="H38" s="294"/>
      <c r="I38" s="291"/>
      <c r="J38" s="291"/>
      <c r="K38" s="291"/>
      <c r="L38" s="291"/>
      <c r="M38" s="291"/>
      <c r="N38" s="301"/>
      <c r="O38" s="291"/>
      <c r="P38" s="291"/>
      <c r="Q38" s="304" t="str">
        <f t="shared" si="0"/>
        <v/>
      </c>
    </row>
    <row r="39" spans="1:17">
      <c r="A39" s="298"/>
      <c r="B39" s="291"/>
      <c r="C39" s="291"/>
      <c r="D39" s="291"/>
      <c r="E39" s="291"/>
      <c r="F39" s="294"/>
      <c r="G39" s="291"/>
      <c r="H39" s="294"/>
      <c r="I39" s="291"/>
      <c r="J39" s="291"/>
      <c r="K39" s="291"/>
      <c r="L39" s="291"/>
      <c r="M39" s="291"/>
      <c r="N39" s="301"/>
      <c r="O39" s="291"/>
      <c r="P39" s="291"/>
      <c r="Q39" s="304" t="str">
        <f t="shared" si="0"/>
        <v/>
      </c>
    </row>
    <row r="40" spans="1:17">
      <c r="A40" s="298"/>
      <c r="B40" s="291"/>
      <c r="C40" s="291"/>
      <c r="D40" s="291"/>
      <c r="E40" s="291"/>
      <c r="F40" s="294"/>
      <c r="G40" s="291"/>
      <c r="H40" s="294"/>
      <c r="I40" s="291"/>
      <c r="J40" s="291"/>
      <c r="K40" s="291"/>
      <c r="L40" s="291"/>
      <c r="M40" s="291"/>
      <c r="N40" s="301"/>
      <c r="O40" s="291"/>
      <c r="P40" s="291"/>
      <c r="Q40" s="304" t="str">
        <f t="shared" si="0"/>
        <v/>
      </c>
    </row>
    <row r="41" spans="1:17">
      <c r="A41" s="298"/>
      <c r="B41" s="291"/>
      <c r="C41" s="291"/>
      <c r="D41" s="291"/>
      <c r="E41" s="291"/>
      <c r="F41" s="294"/>
      <c r="G41" s="291"/>
      <c r="H41" s="294"/>
      <c r="I41" s="291"/>
      <c r="J41" s="291"/>
      <c r="K41" s="291"/>
      <c r="L41" s="291"/>
      <c r="M41" s="291"/>
      <c r="N41" s="301"/>
      <c r="O41" s="291"/>
      <c r="P41" s="291"/>
      <c r="Q41" s="304" t="str">
        <f t="shared" si="0"/>
        <v/>
      </c>
    </row>
    <row r="42" spans="1:17">
      <c r="A42" s="298"/>
      <c r="B42" s="291"/>
      <c r="C42" s="291"/>
      <c r="D42" s="291"/>
      <c r="E42" s="291"/>
      <c r="F42" s="294"/>
      <c r="G42" s="291"/>
      <c r="H42" s="294"/>
      <c r="I42" s="291"/>
      <c r="J42" s="291"/>
      <c r="K42" s="291"/>
      <c r="L42" s="291"/>
      <c r="M42" s="291"/>
      <c r="N42" s="301"/>
      <c r="O42" s="291"/>
      <c r="P42" s="291"/>
      <c r="Q42" s="304" t="str">
        <f t="shared" si="0"/>
        <v/>
      </c>
    </row>
    <row r="43" spans="1:17">
      <c r="A43" s="298"/>
      <c r="B43" s="291"/>
      <c r="C43" s="291"/>
      <c r="D43" s="291"/>
      <c r="E43" s="291"/>
      <c r="F43" s="294"/>
      <c r="G43" s="291"/>
      <c r="H43" s="294"/>
      <c r="I43" s="291"/>
      <c r="J43" s="291"/>
      <c r="K43" s="291"/>
      <c r="L43" s="291"/>
      <c r="M43" s="291"/>
      <c r="N43" s="301"/>
      <c r="O43" s="291"/>
      <c r="P43" s="291"/>
      <c r="Q43" s="304" t="str">
        <f t="shared" si="0"/>
        <v/>
      </c>
    </row>
    <row r="44" spans="1:17">
      <c r="A44" s="298"/>
      <c r="B44" s="291"/>
      <c r="C44" s="291"/>
      <c r="D44" s="291"/>
      <c r="E44" s="291"/>
      <c r="F44" s="294"/>
      <c r="G44" s="291"/>
      <c r="H44" s="294"/>
      <c r="I44" s="291"/>
      <c r="J44" s="291"/>
      <c r="K44" s="291"/>
      <c r="L44" s="291"/>
      <c r="M44" s="291"/>
      <c r="N44" s="301"/>
      <c r="O44" s="291"/>
      <c r="P44" s="291"/>
      <c r="Q44" s="304" t="str">
        <f t="shared" si="0"/>
        <v/>
      </c>
    </row>
    <row r="45" spans="1:17">
      <c r="A45" s="298"/>
      <c r="B45" s="291"/>
      <c r="C45" s="291"/>
      <c r="D45" s="291"/>
      <c r="E45" s="291"/>
      <c r="F45" s="294"/>
      <c r="G45" s="291"/>
      <c r="H45" s="294"/>
      <c r="I45" s="291"/>
      <c r="J45" s="291"/>
      <c r="K45" s="291"/>
      <c r="L45" s="291"/>
      <c r="M45" s="291"/>
      <c r="N45" s="301"/>
      <c r="O45" s="291"/>
      <c r="P45" s="291"/>
      <c r="Q45" s="304" t="str">
        <f t="shared" si="0"/>
        <v/>
      </c>
    </row>
    <row r="46" spans="1:17">
      <c r="A46" s="298"/>
      <c r="B46" s="291"/>
      <c r="C46" s="291"/>
      <c r="D46" s="291"/>
      <c r="E46" s="291"/>
      <c r="F46" s="294"/>
      <c r="G46" s="291"/>
      <c r="H46" s="294"/>
      <c r="I46" s="291"/>
      <c r="J46" s="291"/>
      <c r="K46" s="291"/>
      <c r="L46" s="291"/>
      <c r="M46" s="291"/>
      <c r="N46" s="301"/>
      <c r="O46" s="291"/>
      <c r="P46" s="291"/>
      <c r="Q46" s="304" t="str">
        <f t="shared" si="0"/>
        <v/>
      </c>
    </row>
    <row r="47" spans="1:17">
      <c r="A47" s="298"/>
      <c r="B47" s="291"/>
      <c r="C47" s="291"/>
      <c r="D47" s="291"/>
      <c r="E47" s="291"/>
      <c r="F47" s="294"/>
      <c r="G47" s="291"/>
      <c r="H47" s="294"/>
      <c r="I47" s="291"/>
      <c r="J47" s="291"/>
      <c r="K47" s="291"/>
      <c r="L47" s="291"/>
      <c r="M47" s="291"/>
      <c r="N47" s="301"/>
      <c r="O47" s="291"/>
      <c r="P47" s="291"/>
      <c r="Q47" s="304" t="str">
        <f t="shared" si="0"/>
        <v/>
      </c>
    </row>
    <row r="48" spans="1:17">
      <c r="A48" s="298"/>
      <c r="B48" s="291"/>
      <c r="C48" s="291"/>
      <c r="D48" s="291"/>
      <c r="E48" s="291"/>
      <c r="F48" s="294"/>
      <c r="G48" s="291"/>
      <c r="H48" s="294"/>
      <c r="I48" s="291"/>
      <c r="J48" s="291"/>
      <c r="K48" s="291"/>
      <c r="L48" s="291"/>
      <c r="M48" s="291"/>
      <c r="N48" s="301"/>
      <c r="O48" s="291"/>
      <c r="P48" s="291"/>
      <c r="Q48" s="304" t="str">
        <f t="shared" si="0"/>
        <v/>
      </c>
    </row>
    <row r="49" spans="1:17">
      <c r="A49" s="298"/>
      <c r="B49" s="291"/>
      <c r="C49" s="291"/>
      <c r="D49" s="291"/>
      <c r="E49" s="291"/>
      <c r="F49" s="294"/>
      <c r="G49" s="291"/>
      <c r="H49" s="294"/>
      <c r="I49" s="291"/>
      <c r="J49" s="291"/>
      <c r="K49" s="291"/>
      <c r="L49" s="291"/>
      <c r="M49" s="291"/>
      <c r="N49" s="301"/>
      <c r="O49" s="291"/>
      <c r="P49" s="291"/>
      <c r="Q49" s="304" t="str">
        <f t="shared" si="0"/>
        <v/>
      </c>
    </row>
    <row r="50" spans="1:17">
      <c r="A50" s="298"/>
      <c r="B50" s="291"/>
      <c r="C50" s="291"/>
      <c r="D50" s="291"/>
      <c r="E50" s="291"/>
      <c r="F50" s="294"/>
      <c r="G50" s="291"/>
      <c r="H50" s="294"/>
      <c r="I50" s="291"/>
      <c r="J50" s="291"/>
      <c r="K50" s="291"/>
      <c r="L50" s="291"/>
      <c r="M50" s="291"/>
      <c r="N50" s="301"/>
      <c r="O50" s="291"/>
      <c r="P50" s="291"/>
      <c r="Q50" s="304" t="str">
        <f t="shared" si="0"/>
        <v/>
      </c>
    </row>
    <row r="51" spans="1:17">
      <c r="A51" s="298"/>
      <c r="B51" s="291"/>
      <c r="C51" s="291"/>
      <c r="D51" s="291"/>
      <c r="E51" s="291"/>
      <c r="F51" s="294"/>
      <c r="G51" s="291"/>
      <c r="H51" s="294"/>
      <c r="I51" s="291"/>
      <c r="J51" s="291"/>
      <c r="K51" s="291"/>
      <c r="L51" s="291"/>
      <c r="M51" s="291"/>
      <c r="N51" s="301"/>
      <c r="O51" s="291"/>
      <c r="P51" s="291"/>
      <c r="Q51" s="304" t="str">
        <f t="shared" si="0"/>
        <v/>
      </c>
    </row>
    <row r="52" spans="1:17">
      <c r="A52" s="298"/>
      <c r="B52" s="291"/>
      <c r="C52" s="291"/>
      <c r="D52" s="291"/>
      <c r="E52" s="291"/>
      <c r="F52" s="294"/>
      <c r="G52" s="291"/>
      <c r="H52" s="294"/>
      <c r="I52" s="291"/>
      <c r="J52" s="291"/>
      <c r="K52" s="291"/>
      <c r="L52" s="291"/>
      <c r="M52" s="291"/>
      <c r="N52" s="301"/>
      <c r="O52" s="291"/>
      <c r="P52" s="291"/>
      <c r="Q52" s="304" t="str">
        <f t="shared" si="0"/>
        <v/>
      </c>
    </row>
    <row r="53" spans="1:17">
      <c r="A53" s="298"/>
      <c r="B53" s="291"/>
      <c r="C53" s="291"/>
      <c r="D53" s="291"/>
      <c r="E53" s="291"/>
      <c r="F53" s="294"/>
      <c r="G53" s="291"/>
      <c r="H53" s="294"/>
      <c r="I53" s="291"/>
      <c r="J53" s="291"/>
      <c r="K53" s="291"/>
      <c r="L53" s="291"/>
      <c r="M53" s="291"/>
      <c r="N53" s="301"/>
      <c r="O53" s="291"/>
      <c r="P53" s="291"/>
      <c r="Q53" s="304" t="str">
        <f t="shared" si="0"/>
        <v/>
      </c>
    </row>
    <row r="54" spans="1:17">
      <c r="A54" s="298"/>
      <c r="B54" s="291"/>
      <c r="C54" s="291"/>
      <c r="D54" s="291"/>
      <c r="E54" s="291"/>
      <c r="F54" s="294"/>
      <c r="G54" s="291"/>
      <c r="H54" s="294"/>
      <c r="I54" s="291"/>
      <c r="J54" s="291"/>
      <c r="K54" s="291"/>
      <c r="L54" s="291"/>
      <c r="M54" s="291"/>
      <c r="N54" s="301"/>
      <c r="O54" s="291"/>
      <c r="P54" s="291"/>
      <c r="Q54" s="304" t="str">
        <f t="shared" si="0"/>
        <v/>
      </c>
    </row>
    <row r="55" spans="1:17">
      <c r="A55" s="298"/>
      <c r="B55" s="291"/>
      <c r="C55" s="291"/>
      <c r="D55" s="291"/>
      <c r="E55" s="291"/>
      <c r="F55" s="294"/>
      <c r="G55" s="291"/>
      <c r="H55" s="294"/>
      <c r="I55" s="291"/>
      <c r="J55" s="291"/>
      <c r="K55" s="291"/>
      <c r="L55" s="291"/>
      <c r="M55" s="291"/>
      <c r="N55" s="301"/>
      <c r="O55" s="291"/>
      <c r="P55" s="291"/>
      <c r="Q55" s="304" t="str">
        <f t="shared" si="0"/>
        <v/>
      </c>
    </row>
    <row r="56" spans="1:17">
      <c r="A56" s="298"/>
      <c r="B56" s="291"/>
      <c r="C56" s="291"/>
      <c r="D56" s="291"/>
      <c r="E56" s="291"/>
      <c r="F56" s="294"/>
      <c r="G56" s="291"/>
      <c r="H56" s="294"/>
      <c r="I56" s="291"/>
      <c r="J56" s="291"/>
      <c r="K56" s="291"/>
      <c r="L56" s="291"/>
      <c r="M56" s="291"/>
      <c r="N56" s="301"/>
      <c r="O56" s="291"/>
      <c r="P56" s="291"/>
      <c r="Q56" s="304" t="str">
        <f t="shared" si="0"/>
        <v/>
      </c>
    </row>
    <row r="57" spans="1:17">
      <c r="A57" s="298"/>
      <c r="B57" s="291"/>
      <c r="C57" s="291"/>
      <c r="D57" s="291"/>
      <c r="E57" s="291"/>
      <c r="F57" s="294"/>
      <c r="G57" s="291"/>
      <c r="H57" s="294"/>
      <c r="I57" s="291"/>
      <c r="J57" s="291"/>
      <c r="K57" s="291"/>
      <c r="L57" s="291"/>
      <c r="M57" s="291"/>
      <c r="N57" s="301"/>
      <c r="O57" s="291"/>
      <c r="P57" s="291"/>
      <c r="Q57" s="304" t="str">
        <f t="shared" si="0"/>
        <v/>
      </c>
    </row>
    <row r="58" spans="1:17">
      <c r="A58" s="298"/>
      <c r="B58" s="291"/>
      <c r="C58" s="291"/>
      <c r="D58" s="291"/>
      <c r="E58" s="291"/>
      <c r="F58" s="294"/>
      <c r="G58" s="291"/>
      <c r="H58" s="294"/>
      <c r="I58" s="291"/>
      <c r="J58" s="291"/>
      <c r="K58" s="291"/>
      <c r="L58" s="291"/>
      <c r="M58" s="291"/>
      <c r="N58" s="301"/>
      <c r="O58" s="291"/>
      <c r="P58" s="291"/>
      <c r="Q58" s="304" t="str">
        <f t="shared" si="0"/>
        <v/>
      </c>
    </row>
    <row r="59" spans="1:17">
      <c r="A59" s="298"/>
      <c r="B59" s="291"/>
      <c r="C59" s="291"/>
      <c r="D59" s="291"/>
      <c r="E59" s="291"/>
      <c r="F59" s="294"/>
      <c r="G59" s="291"/>
      <c r="H59" s="294"/>
      <c r="I59" s="291"/>
      <c r="J59" s="291"/>
      <c r="K59" s="291"/>
      <c r="L59" s="291"/>
      <c r="M59" s="291"/>
      <c r="N59" s="301"/>
      <c r="O59" s="291"/>
      <c r="P59" s="291"/>
      <c r="Q59" s="304" t="str">
        <f t="shared" si="0"/>
        <v/>
      </c>
    </row>
    <row r="60" spans="1:17">
      <c r="A60" s="298"/>
      <c r="B60" s="291"/>
      <c r="C60" s="291"/>
      <c r="D60" s="291"/>
      <c r="E60" s="291"/>
      <c r="F60" s="294"/>
      <c r="G60" s="291"/>
      <c r="H60" s="294"/>
      <c r="I60" s="291"/>
      <c r="J60" s="291"/>
      <c r="K60" s="291"/>
      <c r="L60" s="291"/>
      <c r="M60" s="291"/>
      <c r="N60" s="301"/>
      <c r="O60" s="291"/>
      <c r="P60" s="291"/>
      <c r="Q60" s="304" t="str">
        <f t="shared" si="0"/>
        <v/>
      </c>
    </row>
    <row r="61" spans="1:17">
      <c r="A61" s="298"/>
      <c r="B61" s="291"/>
      <c r="C61" s="291"/>
      <c r="D61" s="291"/>
      <c r="E61" s="291"/>
      <c r="F61" s="294"/>
      <c r="G61" s="291"/>
      <c r="H61" s="294"/>
      <c r="I61" s="291"/>
      <c r="J61" s="291"/>
      <c r="K61" s="291"/>
      <c r="L61" s="291"/>
      <c r="M61" s="291"/>
      <c r="N61" s="301"/>
      <c r="O61" s="291"/>
      <c r="P61" s="291"/>
      <c r="Q61" s="304" t="str">
        <f t="shared" si="0"/>
        <v/>
      </c>
    </row>
    <row r="62" spans="1:17">
      <c r="A62" s="298"/>
      <c r="B62" s="291"/>
      <c r="C62" s="291"/>
      <c r="D62" s="291"/>
      <c r="E62" s="291"/>
      <c r="F62" s="294"/>
      <c r="G62" s="291"/>
      <c r="H62" s="294"/>
      <c r="I62" s="291"/>
      <c r="J62" s="291"/>
      <c r="K62" s="291"/>
      <c r="L62" s="291"/>
      <c r="M62" s="291"/>
      <c r="N62" s="301"/>
      <c r="O62" s="291"/>
      <c r="P62" s="291"/>
      <c r="Q62" s="304" t="str">
        <f t="shared" si="0"/>
        <v/>
      </c>
    </row>
    <row r="63" spans="1:17">
      <c r="A63" s="298"/>
      <c r="B63" s="291"/>
      <c r="C63" s="291"/>
      <c r="D63" s="291"/>
      <c r="E63" s="291"/>
      <c r="F63" s="294"/>
      <c r="G63" s="291"/>
      <c r="H63" s="294"/>
      <c r="I63" s="291"/>
      <c r="J63" s="291"/>
      <c r="K63" s="291"/>
      <c r="L63" s="291"/>
      <c r="M63" s="291"/>
      <c r="N63" s="301"/>
      <c r="O63" s="291"/>
      <c r="P63" s="291"/>
      <c r="Q63" s="304" t="str">
        <f t="shared" si="0"/>
        <v/>
      </c>
    </row>
    <row r="64" spans="1:17">
      <c r="A64" s="298"/>
      <c r="B64" s="291"/>
      <c r="C64" s="291"/>
      <c r="D64" s="291"/>
      <c r="E64" s="291"/>
      <c r="F64" s="294"/>
      <c r="G64" s="291"/>
      <c r="H64" s="294"/>
      <c r="I64" s="291"/>
      <c r="J64" s="291"/>
      <c r="K64" s="291"/>
      <c r="L64" s="291"/>
      <c r="M64" s="291"/>
      <c r="N64" s="301"/>
      <c r="O64" s="291"/>
      <c r="P64" s="291"/>
      <c r="Q64" s="304" t="str">
        <f t="shared" si="0"/>
        <v/>
      </c>
    </row>
    <row r="65" spans="1:17">
      <c r="A65" s="298"/>
      <c r="B65" s="291"/>
      <c r="C65" s="291"/>
      <c r="D65" s="291"/>
      <c r="E65" s="291"/>
      <c r="F65" s="294"/>
      <c r="G65" s="291"/>
      <c r="H65" s="294"/>
      <c r="I65" s="291"/>
      <c r="J65" s="291"/>
      <c r="K65" s="291"/>
      <c r="L65" s="291"/>
      <c r="M65" s="291"/>
      <c r="N65" s="301"/>
      <c r="O65" s="291"/>
      <c r="P65" s="291"/>
      <c r="Q65" s="304" t="str">
        <f t="shared" si="0"/>
        <v/>
      </c>
    </row>
    <row r="66" spans="1:17">
      <c r="A66" s="298"/>
      <c r="B66" s="291"/>
      <c r="C66" s="291"/>
      <c r="D66" s="291"/>
      <c r="E66" s="291"/>
      <c r="F66" s="294"/>
      <c r="G66" s="291"/>
      <c r="H66" s="294"/>
      <c r="I66" s="291"/>
      <c r="J66" s="291"/>
      <c r="K66" s="291"/>
      <c r="L66" s="291"/>
      <c r="M66" s="291"/>
      <c r="N66" s="301"/>
      <c r="O66" s="291"/>
      <c r="P66" s="291"/>
      <c r="Q66" s="304" t="str">
        <f t="shared" si="0"/>
        <v/>
      </c>
    </row>
    <row r="67" spans="1:17">
      <c r="A67" s="298"/>
      <c r="B67" s="291"/>
      <c r="C67" s="291"/>
      <c r="D67" s="291"/>
      <c r="E67" s="291"/>
      <c r="F67" s="294"/>
      <c r="G67" s="291"/>
      <c r="H67" s="294"/>
      <c r="I67" s="291"/>
      <c r="J67" s="291"/>
      <c r="K67" s="291"/>
      <c r="L67" s="291"/>
      <c r="M67" s="291"/>
      <c r="N67" s="301"/>
      <c r="O67" s="291"/>
      <c r="P67" s="291"/>
      <c r="Q67" s="304" t="str">
        <f t="shared" si="0"/>
        <v/>
      </c>
    </row>
    <row r="68" spans="1:17">
      <c r="A68" s="298"/>
      <c r="B68" s="291"/>
      <c r="C68" s="291"/>
      <c r="D68" s="291"/>
      <c r="E68" s="291"/>
      <c r="F68" s="294"/>
      <c r="G68" s="291"/>
      <c r="H68" s="294"/>
      <c r="I68" s="291"/>
      <c r="J68" s="291"/>
      <c r="K68" s="291"/>
      <c r="L68" s="291"/>
      <c r="M68" s="291"/>
      <c r="N68" s="301"/>
      <c r="O68" s="291"/>
      <c r="P68" s="291"/>
      <c r="Q68" s="304" t="str">
        <f t="shared" si="0"/>
        <v/>
      </c>
    </row>
    <row r="69" spans="1:17">
      <c r="A69" s="298"/>
      <c r="B69" s="291"/>
      <c r="C69" s="291"/>
      <c r="D69" s="291"/>
      <c r="E69" s="291"/>
      <c r="F69" s="294"/>
      <c r="G69" s="291"/>
      <c r="H69" s="294"/>
      <c r="I69" s="291"/>
      <c r="J69" s="291"/>
      <c r="K69" s="291"/>
      <c r="L69" s="291"/>
      <c r="M69" s="291"/>
      <c r="N69" s="301"/>
      <c r="O69" s="291"/>
      <c r="P69" s="291"/>
      <c r="Q69" s="304" t="str">
        <f t="shared" ref="Q69:Q132" si="1">IF(F69="","",F69/60)</f>
        <v/>
      </c>
    </row>
    <row r="70" spans="1:17">
      <c r="A70" s="298"/>
      <c r="B70" s="291"/>
      <c r="C70" s="291"/>
      <c r="D70" s="291"/>
      <c r="E70" s="291"/>
      <c r="F70" s="294"/>
      <c r="G70" s="291"/>
      <c r="H70" s="294"/>
      <c r="I70" s="291"/>
      <c r="J70" s="291"/>
      <c r="K70" s="291"/>
      <c r="L70" s="291"/>
      <c r="M70" s="291"/>
      <c r="N70" s="301"/>
      <c r="O70" s="291"/>
      <c r="P70" s="291"/>
      <c r="Q70" s="304" t="str">
        <f t="shared" si="1"/>
        <v/>
      </c>
    </row>
    <row r="71" spans="1:17">
      <c r="A71" s="298"/>
      <c r="B71" s="291"/>
      <c r="C71" s="291"/>
      <c r="D71" s="291"/>
      <c r="E71" s="291"/>
      <c r="F71" s="294"/>
      <c r="G71" s="291"/>
      <c r="H71" s="294"/>
      <c r="I71" s="291"/>
      <c r="J71" s="291"/>
      <c r="K71" s="291"/>
      <c r="L71" s="291"/>
      <c r="M71" s="291"/>
      <c r="N71" s="301"/>
      <c r="O71" s="291"/>
      <c r="P71" s="291"/>
      <c r="Q71" s="304" t="str">
        <f t="shared" si="1"/>
        <v/>
      </c>
    </row>
    <row r="72" spans="1:17">
      <c r="A72" s="298"/>
      <c r="B72" s="291"/>
      <c r="C72" s="291"/>
      <c r="D72" s="291"/>
      <c r="E72" s="291"/>
      <c r="F72" s="294"/>
      <c r="G72" s="291"/>
      <c r="H72" s="294"/>
      <c r="I72" s="291"/>
      <c r="J72" s="291"/>
      <c r="K72" s="291"/>
      <c r="L72" s="291"/>
      <c r="M72" s="291"/>
      <c r="N72" s="301"/>
      <c r="O72" s="291"/>
      <c r="P72" s="291"/>
      <c r="Q72" s="304" t="str">
        <f t="shared" si="1"/>
        <v/>
      </c>
    </row>
    <row r="73" spans="1:17">
      <c r="A73" s="298"/>
      <c r="B73" s="291"/>
      <c r="C73" s="291"/>
      <c r="D73" s="291"/>
      <c r="E73" s="291"/>
      <c r="F73" s="294"/>
      <c r="G73" s="291"/>
      <c r="H73" s="294"/>
      <c r="I73" s="291"/>
      <c r="J73" s="291"/>
      <c r="K73" s="291"/>
      <c r="L73" s="291"/>
      <c r="M73" s="291"/>
      <c r="N73" s="301"/>
      <c r="O73" s="291"/>
      <c r="P73" s="291"/>
      <c r="Q73" s="304" t="str">
        <f t="shared" si="1"/>
        <v/>
      </c>
    </row>
    <row r="74" spans="1:17">
      <c r="A74" s="298"/>
      <c r="B74" s="291"/>
      <c r="C74" s="291"/>
      <c r="D74" s="291"/>
      <c r="E74" s="291"/>
      <c r="F74" s="294"/>
      <c r="G74" s="291"/>
      <c r="H74" s="294"/>
      <c r="I74" s="291"/>
      <c r="J74" s="291"/>
      <c r="K74" s="291"/>
      <c r="L74" s="291"/>
      <c r="M74" s="291"/>
      <c r="N74" s="301"/>
      <c r="O74" s="291"/>
      <c r="P74" s="291"/>
      <c r="Q74" s="304" t="str">
        <f t="shared" si="1"/>
        <v/>
      </c>
    </row>
    <row r="75" spans="1:17">
      <c r="A75" s="298"/>
      <c r="B75" s="291"/>
      <c r="C75" s="291"/>
      <c r="D75" s="291"/>
      <c r="E75" s="291"/>
      <c r="F75" s="294"/>
      <c r="G75" s="291"/>
      <c r="H75" s="294"/>
      <c r="I75" s="291"/>
      <c r="J75" s="291"/>
      <c r="K75" s="291"/>
      <c r="L75" s="291"/>
      <c r="M75" s="291"/>
      <c r="N75" s="301"/>
      <c r="O75" s="291"/>
      <c r="P75" s="291"/>
      <c r="Q75" s="304" t="str">
        <f t="shared" si="1"/>
        <v/>
      </c>
    </row>
    <row r="76" spans="1:17">
      <c r="A76" s="298"/>
      <c r="B76" s="291"/>
      <c r="C76" s="291"/>
      <c r="D76" s="291"/>
      <c r="E76" s="291"/>
      <c r="F76" s="294"/>
      <c r="G76" s="291"/>
      <c r="H76" s="294"/>
      <c r="I76" s="291"/>
      <c r="J76" s="291"/>
      <c r="K76" s="291"/>
      <c r="L76" s="291"/>
      <c r="M76" s="291"/>
      <c r="N76" s="301"/>
      <c r="O76" s="291"/>
      <c r="P76" s="291"/>
      <c r="Q76" s="304" t="str">
        <f t="shared" si="1"/>
        <v/>
      </c>
    </row>
    <row r="77" spans="1:17">
      <c r="A77" s="298"/>
      <c r="B77" s="291"/>
      <c r="C77" s="291"/>
      <c r="D77" s="291"/>
      <c r="E77" s="291"/>
      <c r="F77" s="294"/>
      <c r="G77" s="291"/>
      <c r="H77" s="294"/>
      <c r="I77" s="291"/>
      <c r="J77" s="291"/>
      <c r="K77" s="291"/>
      <c r="L77" s="291"/>
      <c r="M77" s="291"/>
      <c r="N77" s="301"/>
      <c r="O77" s="291"/>
      <c r="P77" s="291"/>
      <c r="Q77" s="304" t="str">
        <f t="shared" si="1"/>
        <v/>
      </c>
    </row>
    <row r="78" spans="1:17">
      <c r="A78" s="298"/>
      <c r="B78" s="291"/>
      <c r="C78" s="291"/>
      <c r="D78" s="291"/>
      <c r="E78" s="291"/>
      <c r="F78" s="294"/>
      <c r="G78" s="291"/>
      <c r="H78" s="294"/>
      <c r="I78" s="291"/>
      <c r="J78" s="291"/>
      <c r="K78" s="291"/>
      <c r="L78" s="291"/>
      <c r="M78" s="291"/>
      <c r="N78" s="301"/>
      <c r="O78" s="291"/>
      <c r="P78" s="291"/>
      <c r="Q78" s="304" t="str">
        <f t="shared" si="1"/>
        <v/>
      </c>
    </row>
    <row r="79" spans="1:17">
      <c r="A79" s="298"/>
      <c r="B79" s="291"/>
      <c r="C79" s="291"/>
      <c r="D79" s="291"/>
      <c r="E79" s="291"/>
      <c r="F79" s="294"/>
      <c r="G79" s="291"/>
      <c r="H79" s="294"/>
      <c r="I79" s="291"/>
      <c r="J79" s="291"/>
      <c r="K79" s="291"/>
      <c r="L79" s="291"/>
      <c r="M79" s="291"/>
      <c r="N79" s="301"/>
      <c r="O79" s="291"/>
      <c r="P79" s="291"/>
      <c r="Q79" s="304" t="str">
        <f t="shared" si="1"/>
        <v/>
      </c>
    </row>
    <row r="80" spans="1:17">
      <c r="A80" s="298"/>
      <c r="B80" s="291"/>
      <c r="C80" s="291"/>
      <c r="D80" s="291"/>
      <c r="E80" s="291"/>
      <c r="F80" s="294"/>
      <c r="G80" s="291"/>
      <c r="H80" s="294"/>
      <c r="I80" s="291"/>
      <c r="J80" s="291"/>
      <c r="K80" s="291"/>
      <c r="L80" s="291"/>
      <c r="M80" s="291"/>
      <c r="N80" s="301"/>
      <c r="O80" s="291"/>
      <c r="P80" s="291"/>
      <c r="Q80" s="304" t="str">
        <f t="shared" si="1"/>
        <v/>
      </c>
    </row>
    <row r="81" spans="1:17">
      <c r="A81" s="298"/>
      <c r="B81" s="291"/>
      <c r="C81" s="291"/>
      <c r="D81" s="291"/>
      <c r="E81" s="291"/>
      <c r="F81" s="294"/>
      <c r="G81" s="291"/>
      <c r="H81" s="294"/>
      <c r="I81" s="291"/>
      <c r="J81" s="291"/>
      <c r="K81" s="291"/>
      <c r="L81" s="291"/>
      <c r="M81" s="291"/>
      <c r="N81" s="301"/>
      <c r="O81" s="291"/>
      <c r="P81" s="291"/>
      <c r="Q81" s="304" t="str">
        <f t="shared" si="1"/>
        <v/>
      </c>
    </row>
    <row r="82" spans="1:17">
      <c r="A82" s="298"/>
      <c r="B82" s="291"/>
      <c r="C82" s="291"/>
      <c r="D82" s="291"/>
      <c r="E82" s="291"/>
      <c r="F82" s="294"/>
      <c r="G82" s="291"/>
      <c r="H82" s="294"/>
      <c r="I82" s="291"/>
      <c r="J82" s="291"/>
      <c r="K82" s="291"/>
      <c r="L82" s="291"/>
      <c r="M82" s="291"/>
      <c r="N82" s="301"/>
      <c r="O82" s="291"/>
      <c r="P82" s="291"/>
      <c r="Q82" s="304" t="str">
        <f t="shared" si="1"/>
        <v/>
      </c>
    </row>
    <row r="83" spans="1:17">
      <c r="A83" s="298"/>
      <c r="B83" s="291"/>
      <c r="C83" s="291"/>
      <c r="D83" s="291"/>
      <c r="E83" s="291"/>
      <c r="F83" s="294"/>
      <c r="G83" s="291"/>
      <c r="H83" s="294"/>
      <c r="I83" s="291"/>
      <c r="J83" s="291"/>
      <c r="K83" s="291"/>
      <c r="L83" s="291"/>
      <c r="M83" s="291"/>
      <c r="N83" s="301"/>
      <c r="O83" s="291"/>
      <c r="P83" s="291"/>
      <c r="Q83" s="304" t="str">
        <f t="shared" si="1"/>
        <v/>
      </c>
    </row>
    <row r="84" spans="1:17">
      <c r="A84" s="298"/>
      <c r="B84" s="291"/>
      <c r="C84" s="291"/>
      <c r="D84" s="291"/>
      <c r="E84" s="291"/>
      <c r="F84" s="294"/>
      <c r="G84" s="291"/>
      <c r="H84" s="294"/>
      <c r="I84" s="291"/>
      <c r="J84" s="291"/>
      <c r="K84" s="291"/>
      <c r="L84" s="291"/>
      <c r="M84" s="291"/>
      <c r="N84" s="301"/>
      <c r="O84" s="291"/>
      <c r="P84" s="291"/>
      <c r="Q84" s="304" t="str">
        <f t="shared" si="1"/>
        <v/>
      </c>
    </row>
    <row r="85" spans="1:17">
      <c r="A85" s="298"/>
      <c r="B85" s="291"/>
      <c r="C85" s="291"/>
      <c r="D85" s="291"/>
      <c r="E85" s="291"/>
      <c r="F85" s="294"/>
      <c r="G85" s="291"/>
      <c r="H85" s="294"/>
      <c r="I85" s="291"/>
      <c r="J85" s="291"/>
      <c r="K85" s="291"/>
      <c r="L85" s="291"/>
      <c r="M85" s="291"/>
      <c r="N85" s="301"/>
      <c r="O85" s="291"/>
      <c r="P85" s="291"/>
      <c r="Q85" s="304" t="str">
        <f t="shared" si="1"/>
        <v/>
      </c>
    </row>
    <row r="86" spans="1:17">
      <c r="A86" s="298"/>
      <c r="B86" s="291"/>
      <c r="C86" s="291"/>
      <c r="D86" s="291"/>
      <c r="E86" s="291"/>
      <c r="F86" s="294"/>
      <c r="G86" s="291"/>
      <c r="H86" s="294"/>
      <c r="I86" s="291"/>
      <c r="J86" s="291"/>
      <c r="K86" s="291"/>
      <c r="L86" s="291"/>
      <c r="M86" s="291"/>
      <c r="N86" s="301"/>
      <c r="O86" s="291"/>
      <c r="P86" s="291"/>
      <c r="Q86" s="304" t="str">
        <f t="shared" si="1"/>
        <v/>
      </c>
    </row>
    <row r="87" spans="1:17">
      <c r="A87" s="298"/>
      <c r="B87" s="291"/>
      <c r="C87" s="291"/>
      <c r="D87" s="291"/>
      <c r="E87" s="291"/>
      <c r="F87" s="294"/>
      <c r="G87" s="291"/>
      <c r="H87" s="294"/>
      <c r="I87" s="291"/>
      <c r="J87" s="291"/>
      <c r="K87" s="291"/>
      <c r="L87" s="291"/>
      <c r="M87" s="291"/>
      <c r="N87" s="301"/>
      <c r="O87" s="291"/>
      <c r="P87" s="291"/>
      <c r="Q87" s="304" t="str">
        <f t="shared" si="1"/>
        <v/>
      </c>
    </row>
    <row r="88" spans="1:17">
      <c r="A88" s="298"/>
      <c r="B88" s="291"/>
      <c r="C88" s="291"/>
      <c r="D88" s="291"/>
      <c r="E88" s="291"/>
      <c r="F88" s="294"/>
      <c r="G88" s="291"/>
      <c r="H88" s="294"/>
      <c r="I88" s="291"/>
      <c r="J88" s="291"/>
      <c r="K88" s="291"/>
      <c r="L88" s="291"/>
      <c r="M88" s="291"/>
      <c r="N88" s="301"/>
      <c r="O88" s="291"/>
      <c r="P88" s="291"/>
      <c r="Q88" s="304" t="str">
        <f t="shared" si="1"/>
        <v/>
      </c>
    </row>
    <row r="89" spans="1:17">
      <c r="A89" s="298"/>
      <c r="B89" s="291"/>
      <c r="C89" s="291"/>
      <c r="D89" s="291"/>
      <c r="E89" s="291"/>
      <c r="F89" s="294"/>
      <c r="G89" s="291"/>
      <c r="H89" s="294"/>
      <c r="I89" s="291"/>
      <c r="J89" s="291"/>
      <c r="K89" s="291"/>
      <c r="L89" s="291"/>
      <c r="M89" s="291"/>
      <c r="N89" s="301"/>
      <c r="O89" s="291"/>
      <c r="P89" s="291"/>
      <c r="Q89" s="304" t="str">
        <f t="shared" si="1"/>
        <v/>
      </c>
    </row>
    <row r="90" spans="1:17">
      <c r="A90" s="298"/>
      <c r="B90" s="291"/>
      <c r="C90" s="291"/>
      <c r="D90" s="291"/>
      <c r="E90" s="291"/>
      <c r="F90" s="294"/>
      <c r="G90" s="291"/>
      <c r="H90" s="294"/>
      <c r="I90" s="291"/>
      <c r="J90" s="291"/>
      <c r="K90" s="291"/>
      <c r="L90" s="291"/>
      <c r="M90" s="291"/>
      <c r="N90" s="301"/>
      <c r="O90" s="291"/>
      <c r="P90" s="291"/>
      <c r="Q90" s="304" t="str">
        <f t="shared" si="1"/>
        <v/>
      </c>
    </row>
    <row r="91" spans="1:17">
      <c r="A91" s="298"/>
      <c r="B91" s="291"/>
      <c r="C91" s="291"/>
      <c r="D91" s="291"/>
      <c r="E91" s="291"/>
      <c r="F91" s="294"/>
      <c r="G91" s="291"/>
      <c r="H91" s="294"/>
      <c r="I91" s="291"/>
      <c r="J91" s="291"/>
      <c r="K91" s="291"/>
      <c r="L91" s="291"/>
      <c r="M91" s="291"/>
      <c r="N91" s="301"/>
      <c r="O91" s="291"/>
      <c r="P91" s="291"/>
      <c r="Q91" s="304" t="str">
        <f t="shared" si="1"/>
        <v/>
      </c>
    </row>
    <row r="92" spans="1:17">
      <c r="A92" s="298"/>
      <c r="B92" s="291"/>
      <c r="C92" s="291"/>
      <c r="D92" s="291"/>
      <c r="E92" s="291"/>
      <c r="F92" s="294"/>
      <c r="G92" s="291"/>
      <c r="H92" s="294"/>
      <c r="I92" s="291"/>
      <c r="J92" s="291"/>
      <c r="K92" s="291"/>
      <c r="L92" s="291"/>
      <c r="M92" s="291"/>
      <c r="N92" s="301"/>
      <c r="O92" s="291"/>
      <c r="P92" s="291"/>
      <c r="Q92" s="304" t="str">
        <f t="shared" si="1"/>
        <v/>
      </c>
    </row>
    <row r="93" spans="1:17">
      <c r="A93" s="298"/>
      <c r="B93" s="291"/>
      <c r="C93" s="291"/>
      <c r="D93" s="291"/>
      <c r="E93" s="291"/>
      <c r="F93" s="294"/>
      <c r="G93" s="291"/>
      <c r="H93" s="294"/>
      <c r="I93" s="291"/>
      <c r="J93" s="291"/>
      <c r="K93" s="291"/>
      <c r="L93" s="291"/>
      <c r="M93" s="291"/>
      <c r="N93" s="301"/>
      <c r="O93" s="291"/>
      <c r="P93" s="291"/>
      <c r="Q93" s="304" t="str">
        <f t="shared" si="1"/>
        <v/>
      </c>
    </row>
    <row r="94" spans="1:17">
      <c r="A94" s="298"/>
      <c r="B94" s="291"/>
      <c r="C94" s="291"/>
      <c r="D94" s="291"/>
      <c r="E94" s="291"/>
      <c r="F94" s="294"/>
      <c r="G94" s="291"/>
      <c r="H94" s="294"/>
      <c r="I94" s="291"/>
      <c r="J94" s="291"/>
      <c r="K94" s="291"/>
      <c r="L94" s="291"/>
      <c r="M94" s="291"/>
      <c r="N94" s="301"/>
      <c r="O94" s="291"/>
      <c r="P94" s="291"/>
      <c r="Q94" s="304" t="str">
        <f t="shared" si="1"/>
        <v/>
      </c>
    </row>
    <row r="95" spans="1:17">
      <c r="A95" s="298"/>
      <c r="B95" s="291"/>
      <c r="C95" s="291"/>
      <c r="D95" s="291"/>
      <c r="E95" s="291"/>
      <c r="F95" s="294"/>
      <c r="G95" s="291"/>
      <c r="H95" s="294"/>
      <c r="I95" s="291"/>
      <c r="J95" s="291"/>
      <c r="K95" s="291"/>
      <c r="L95" s="291"/>
      <c r="M95" s="291"/>
      <c r="N95" s="301"/>
      <c r="O95" s="291"/>
      <c r="P95" s="291"/>
      <c r="Q95" s="304" t="str">
        <f t="shared" si="1"/>
        <v/>
      </c>
    </row>
    <row r="96" spans="1:17">
      <c r="A96" s="298"/>
      <c r="B96" s="291"/>
      <c r="C96" s="291"/>
      <c r="D96" s="291"/>
      <c r="E96" s="291"/>
      <c r="F96" s="294"/>
      <c r="G96" s="291"/>
      <c r="H96" s="294"/>
      <c r="I96" s="291"/>
      <c r="J96" s="291"/>
      <c r="K96" s="291"/>
      <c r="L96" s="291"/>
      <c r="M96" s="291"/>
      <c r="N96" s="301"/>
      <c r="O96" s="291"/>
      <c r="P96" s="291"/>
      <c r="Q96" s="304" t="str">
        <f t="shared" si="1"/>
        <v/>
      </c>
    </row>
    <row r="97" spans="1:17">
      <c r="A97" s="298"/>
      <c r="B97" s="291"/>
      <c r="C97" s="291"/>
      <c r="D97" s="291"/>
      <c r="E97" s="291"/>
      <c r="F97" s="294"/>
      <c r="G97" s="291"/>
      <c r="H97" s="294"/>
      <c r="I97" s="291"/>
      <c r="J97" s="291"/>
      <c r="K97" s="291"/>
      <c r="L97" s="291"/>
      <c r="M97" s="291"/>
      <c r="N97" s="301"/>
      <c r="O97" s="291"/>
      <c r="P97" s="291"/>
      <c r="Q97" s="304" t="str">
        <f t="shared" si="1"/>
        <v/>
      </c>
    </row>
    <row r="98" spans="1:17">
      <c r="A98" s="298"/>
      <c r="B98" s="291"/>
      <c r="C98" s="291"/>
      <c r="D98" s="291"/>
      <c r="E98" s="291"/>
      <c r="F98" s="294"/>
      <c r="G98" s="291"/>
      <c r="H98" s="294"/>
      <c r="I98" s="291"/>
      <c r="J98" s="291"/>
      <c r="K98" s="291"/>
      <c r="L98" s="291"/>
      <c r="M98" s="291"/>
      <c r="N98" s="301"/>
      <c r="O98" s="291"/>
      <c r="P98" s="291"/>
      <c r="Q98" s="304" t="str">
        <f t="shared" si="1"/>
        <v/>
      </c>
    </row>
    <row r="99" spans="1:17">
      <c r="A99" s="298"/>
      <c r="B99" s="291"/>
      <c r="C99" s="291"/>
      <c r="D99" s="291"/>
      <c r="E99" s="291"/>
      <c r="F99" s="294"/>
      <c r="G99" s="291"/>
      <c r="H99" s="294"/>
      <c r="I99" s="291"/>
      <c r="J99" s="291"/>
      <c r="K99" s="291"/>
      <c r="L99" s="291"/>
      <c r="M99" s="291"/>
      <c r="N99" s="301"/>
      <c r="O99" s="291"/>
      <c r="P99" s="291"/>
      <c r="Q99" s="304" t="str">
        <f t="shared" si="1"/>
        <v/>
      </c>
    </row>
    <row r="100" spans="1:17">
      <c r="A100" s="298"/>
      <c r="B100" s="291"/>
      <c r="C100" s="291"/>
      <c r="D100" s="291"/>
      <c r="E100" s="291"/>
      <c r="F100" s="294"/>
      <c r="G100" s="291"/>
      <c r="H100" s="294"/>
      <c r="I100" s="291"/>
      <c r="J100" s="291"/>
      <c r="K100" s="291"/>
      <c r="L100" s="291"/>
      <c r="M100" s="291"/>
      <c r="N100" s="301"/>
      <c r="O100" s="291"/>
      <c r="P100" s="291"/>
      <c r="Q100" s="304" t="str">
        <f t="shared" si="1"/>
        <v/>
      </c>
    </row>
    <row r="101" spans="1:17">
      <c r="A101" s="298"/>
      <c r="B101" s="291"/>
      <c r="C101" s="291"/>
      <c r="D101" s="291"/>
      <c r="E101" s="291"/>
      <c r="F101" s="294"/>
      <c r="G101" s="291"/>
      <c r="H101" s="294"/>
      <c r="I101" s="291"/>
      <c r="J101" s="291"/>
      <c r="K101" s="291"/>
      <c r="L101" s="291"/>
      <c r="M101" s="291"/>
      <c r="N101" s="301"/>
      <c r="O101" s="291"/>
      <c r="P101" s="291"/>
      <c r="Q101" s="304" t="str">
        <f t="shared" si="1"/>
        <v/>
      </c>
    </row>
    <row r="102" spans="1:17">
      <c r="A102" s="298"/>
      <c r="B102" s="291"/>
      <c r="C102" s="291"/>
      <c r="D102" s="291"/>
      <c r="E102" s="291"/>
      <c r="F102" s="294"/>
      <c r="G102" s="291"/>
      <c r="H102" s="294"/>
      <c r="I102" s="291"/>
      <c r="J102" s="291"/>
      <c r="K102" s="291"/>
      <c r="L102" s="291"/>
      <c r="M102" s="291"/>
      <c r="N102" s="301"/>
      <c r="O102" s="291"/>
      <c r="P102" s="291"/>
      <c r="Q102" s="304" t="str">
        <f t="shared" si="1"/>
        <v/>
      </c>
    </row>
    <row r="103" spans="1:17">
      <c r="A103" s="298"/>
      <c r="B103" s="291"/>
      <c r="C103" s="291"/>
      <c r="D103" s="291"/>
      <c r="E103" s="291"/>
      <c r="F103" s="294"/>
      <c r="G103" s="291"/>
      <c r="H103" s="294"/>
      <c r="I103" s="291"/>
      <c r="J103" s="291"/>
      <c r="K103" s="291"/>
      <c r="L103" s="291"/>
      <c r="M103" s="291"/>
      <c r="N103" s="301"/>
      <c r="O103" s="291"/>
      <c r="P103" s="291"/>
      <c r="Q103" s="304" t="str">
        <f t="shared" si="1"/>
        <v/>
      </c>
    </row>
    <row r="104" spans="1:17">
      <c r="A104" s="298"/>
      <c r="B104" s="291"/>
      <c r="C104" s="291"/>
      <c r="D104" s="291"/>
      <c r="E104" s="291"/>
      <c r="F104" s="294"/>
      <c r="G104" s="291"/>
      <c r="H104" s="294"/>
      <c r="I104" s="291"/>
      <c r="J104" s="291"/>
      <c r="K104" s="291"/>
      <c r="L104" s="291"/>
      <c r="M104" s="291"/>
      <c r="N104" s="301"/>
      <c r="O104" s="291"/>
      <c r="P104" s="291"/>
      <c r="Q104" s="304" t="str">
        <f t="shared" si="1"/>
        <v/>
      </c>
    </row>
    <row r="105" spans="1:17">
      <c r="A105" s="298"/>
      <c r="B105" s="291"/>
      <c r="C105" s="291"/>
      <c r="D105" s="291"/>
      <c r="E105" s="291"/>
      <c r="F105" s="294"/>
      <c r="G105" s="291"/>
      <c r="H105" s="294"/>
      <c r="I105" s="291"/>
      <c r="J105" s="291"/>
      <c r="K105" s="291"/>
      <c r="L105" s="291"/>
      <c r="M105" s="291"/>
      <c r="N105" s="301"/>
      <c r="O105" s="291"/>
      <c r="P105" s="291"/>
      <c r="Q105" s="304" t="str">
        <f t="shared" si="1"/>
        <v/>
      </c>
    </row>
    <row r="106" spans="1:17">
      <c r="A106" s="298"/>
      <c r="B106" s="291"/>
      <c r="C106" s="291"/>
      <c r="D106" s="291"/>
      <c r="E106" s="291"/>
      <c r="F106" s="294"/>
      <c r="G106" s="291"/>
      <c r="H106" s="294"/>
      <c r="I106" s="291"/>
      <c r="J106" s="291"/>
      <c r="K106" s="291"/>
      <c r="L106" s="291"/>
      <c r="M106" s="291"/>
      <c r="N106" s="301"/>
      <c r="O106" s="291"/>
      <c r="P106" s="291"/>
      <c r="Q106" s="304" t="str">
        <f t="shared" si="1"/>
        <v/>
      </c>
    </row>
    <row r="107" spans="1:17">
      <c r="A107" s="298"/>
      <c r="B107" s="291"/>
      <c r="C107" s="291"/>
      <c r="D107" s="291"/>
      <c r="E107" s="291"/>
      <c r="F107" s="294"/>
      <c r="G107" s="291"/>
      <c r="H107" s="294"/>
      <c r="I107" s="291"/>
      <c r="J107" s="291"/>
      <c r="K107" s="291"/>
      <c r="L107" s="291"/>
      <c r="M107" s="291"/>
      <c r="N107" s="301"/>
      <c r="O107" s="291"/>
      <c r="P107" s="291"/>
      <c r="Q107" s="304" t="str">
        <f t="shared" si="1"/>
        <v/>
      </c>
    </row>
    <row r="108" spans="1:17">
      <c r="A108" s="298"/>
      <c r="B108" s="291"/>
      <c r="C108" s="291"/>
      <c r="D108" s="291"/>
      <c r="E108" s="291"/>
      <c r="F108" s="294"/>
      <c r="G108" s="291"/>
      <c r="H108" s="294"/>
      <c r="I108" s="291"/>
      <c r="J108" s="291"/>
      <c r="K108" s="291"/>
      <c r="L108" s="291"/>
      <c r="M108" s="291"/>
      <c r="N108" s="301"/>
      <c r="O108" s="291"/>
      <c r="P108" s="291"/>
      <c r="Q108" s="304" t="str">
        <f t="shared" si="1"/>
        <v/>
      </c>
    </row>
    <row r="109" spans="1:17">
      <c r="A109" s="298"/>
      <c r="B109" s="291"/>
      <c r="C109" s="291"/>
      <c r="D109" s="291"/>
      <c r="E109" s="291"/>
      <c r="F109" s="294"/>
      <c r="G109" s="291"/>
      <c r="H109" s="294"/>
      <c r="I109" s="291"/>
      <c r="J109" s="291"/>
      <c r="K109" s="291"/>
      <c r="L109" s="291"/>
      <c r="M109" s="291"/>
      <c r="N109" s="301"/>
      <c r="O109" s="291"/>
      <c r="P109" s="291"/>
      <c r="Q109" s="304" t="str">
        <f t="shared" si="1"/>
        <v/>
      </c>
    </row>
    <row r="110" spans="1:17">
      <c r="A110" s="298"/>
      <c r="B110" s="291"/>
      <c r="C110" s="291"/>
      <c r="D110" s="291"/>
      <c r="E110" s="291"/>
      <c r="F110" s="294"/>
      <c r="G110" s="291"/>
      <c r="H110" s="294"/>
      <c r="I110" s="291"/>
      <c r="J110" s="291"/>
      <c r="K110" s="291"/>
      <c r="L110" s="291"/>
      <c r="M110" s="291"/>
      <c r="N110" s="301"/>
      <c r="O110" s="291"/>
      <c r="P110" s="291"/>
      <c r="Q110" s="304" t="str">
        <f t="shared" si="1"/>
        <v/>
      </c>
    </row>
    <row r="111" spans="1:17">
      <c r="A111" s="298"/>
      <c r="B111" s="291"/>
      <c r="C111" s="291"/>
      <c r="D111" s="291"/>
      <c r="E111" s="291"/>
      <c r="F111" s="294"/>
      <c r="G111" s="291"/>
      <c r="H111" s="294"/>
      <c r="I111" s="291"/>
      <c r="J111" s="291"/>
      <c r="K111" s="291"/>
      <c r="L111" s="291"/>
      <c r="M111" s="291"/>
      <c r="N111" s="301"/>
      <c r="O111" s="291"/>
      <c r="P111" s="291"/>
      <c r="Q111" s="304" t="str">
        <f t="shared" si="1"/>
        <v/>
      </c>
    </row>
    <row r="112" spans="1:17">
      <c r="A112" s="298"/>
      <c r="B112" s="291"/>
      <c r="C112" s="291"/>
      <c r="D112" s="291"/>
      <c r="E112" s="291"/>
      <c r="F112" s="294"/>
      <c r="G112" s="291"/>
      <c r="H112" s="294"/>
      <c r="I112" s="291"/>
      <c r="J112" s="291"/>
      <c r="K112" s="291"/>
      <c r="L112" s="291"/>
      <c r="M112" s="291"/>
      <c r="N112" s="301"/>
      <c r="O112" s="291"/>
      <c r="P112" s="291"/>
      <c r="Q112" s="304" t="str">
        <f t="shared" si="1"/>
        <v/>
      </c>
    </row>
    <row r="113" spans="1:17">
      <c r="A113" s="298"/>
      <c r="B113" s="291"/>
      <c r="C113" s="291"/>
      <c r="D113" s="291"/>
      <c r="E113" s="291"/>
      <c r="F113" s="294"/>
      <c r="G113" s="291"/>
      <c r="H113" s="294"/>
      <c r="I113" s="291"/>
      <c r="J113" s="291"/>
      <c r="K113" s="291"/>
      <c r="L113" s="291"/>
      <c r="M113" s="291"/>
      <c r="N113" s="301"/>
      <c r="O113" s="291"/>
      <c r="P113" s="291"/>
      <c r="Q113" s="304" t="str">
        <f t="shared" si="1"/>
        <v/>
      </c>
    </row>
    <row r="114" spans="1:17">
      <c r="A114" s="298"/>
      <c r="B114" s="291"/>
      <c r="C114" s="291"/>
      <c r="D114" s="291"/>
      <c r="E114" s="291"/>
      <c r="F114" s="294"/>
      <c r="G114" s="291"/>
      <c r="H114" s="294"/>
      <c r="I114" s="291"/>
      <c r="J114" s="291"/>
      <c r="K114" s="291"/>
      <c r="L114" s="291"/>
      <c r="M114" s="291"/>
      <c r="N114" s="301"/>
      <c r="O114" s="291"/>
      <c r="P114" s="291"/>
      <c r="Q114" s="304" t="str">
        <f t="shared" si="1"/>
        <v/>
      </c>
    </row>
    <row r="115" spans="1:17">
      <c r="A115" s="298"/>
      <c r="B115" s="291"/>
      <c r="C115" s="291"/>
      <c r="D115" s="291"/>
      <c r="E115" s="291"/>
      <c r="F115" s="294"/>
      <c r="G115" s="291"/>
      <c r="H115" s="294"/>
      <c r="I115" s="291"/>
      <c r="J115" s="291"/>
      <c r="K115" s="291"/>
      <c r="L115" s="291"/>
      <c r="M115" s="291"/>
      <c r="N115" s="301"/>
      <c r="O115" s="291"/>
      <c r="P115" s="291"/>
      <c r="Q115" s="304" t="str">
        <f t="shared" si="1"/>
        <v/>
      </c>
    </row>
    <row r="116" spans="1:17">
      <c r="A116" s="298"/>
      <c r="B116" s="291"/>
      <c r="C116" s="291"/>
      <c r="D116" s="291"/>
      <c r="E116" s="291"/>
      <c r="F116" s="294"/>
      <c r="G116" s="291"/>
      <c r="H116" s="294"/>
      <c r="I116" s="291"/>
      <c r="J116" s="291"/>
      <c r="K116" s="291"/>
      <c r="L116" s="291"/>
      <c r="M116" s="291"/>
      <c r="N116" s="301"/>
      <c r="O116" s="291"/>
      <c r="P116" s="291"/>
      <c r="Q116" s="304" t="str">
        <f t="shared" si="1"/>
        <v/>
      </c>
    </row>
    <row r="117" spans="1:17">
      <c r="A117" s="298"/>
      <c r="B117" s="291"/>
      <c r="C117" s="291"/>
      <c r="D117" s="291"/>
      <c r="E117" s="291"/>
      <c r="F117" s="294"/>
      <c r="G117" s="291"/>
      <c r="H117" s="294"/>
      <c r="I117" s="291"/>
      <c r="J117" s="291"/>
      <c r="K117" s="291"/>
      <c r="L117" s="291"/>
      <c r="M117" s="291"/>
      <c r="N117" s="301"/>
      <c r="O117" s="291"/>
      <c r="P117" s="291"/>
      <c r="Q117" s="304" t="str">
        <f t="shared" si="1"/>
        <v/>
      </c>
    </row>
    <row r="118" spans="1:17">
      <c r="A118" s="298"/>
      <c r="B118" s="291"/>
      <c r="C118" s="291"/>
      <c r="D118" s="291"/>
      <c r="E118" s="291"/>
      <c r="F118" s="294"/>
      <c r="G118" s="291"/>
      <c r="H118" s="294"/>
      <c r="I118" s="291"/>
      <c r="J118" s="291"/>
      <c r="K118" s="291"/>
      <c r="L118" s="291"/>
      <c r="M118" s="291"/>
      <c r="N118" s="301"/>
      <c r="O118" s="291"/>
      <c r="P118" s="291"/>
      <c r="Q118" s="304" t="str">
        <f t="shared" si="1"/>
        <v/>
      </c>
    </row>
    <row r="119" spans="1:17">
      <c r="A119" s="298"/>
      <c r="B119" s="291"/>
      <c r="C119" s="291"/>
      <c r="D119" s="291"/>
      <c r="E119" s="291"/>
      <c r="F119" s="294"/>
      <c r="G119" s="291"/>
      <c r="H119" s="294"/>
      <c r="I119" s="291"/>
      <c r="J119" s="291"/>
      <c r="K119" s="291"/>
      <c r="L119" s="291"/>
      <c r="M119" s="291"/>
      <c r="N119" s="301"/>
      <c r="O119" s="291"/>
      <c r="P119" s="291"/>
      <c r="Q119" s="304" t="str">
        <f t="shared" si="1"/>
        <v/>
      </c>
    </row>
    <row r="120" spans="1:17">
      <c r="A120" s="298"/>
      <c r="B120" s="291"/>
      <c r="C120" s="291"/>
      <c r="D120" s="291"/>
      <c r="E120" s="291"/>
      <c r="F120" s="294"/>
      <c r="G120" s="291"/>
      <c r="H120" s="294"/>
      <c r="I120" s="291"/>
      <c r="J120" s="291"/>
      <c r="K120" s="291"/>
      <c r="L120" s="291"/>
      <c r="M120" s="291"/>
      <c r="N120" s="301"/>
      <c r="O120" s="291"/>
      <c r="P120" s="291"/>
      <c r="Q120" s="304" t="str">
        <f t="shared" si="1"/>
        <v/>
      </c>
    </row>
    <row r="121" spans="1:17">
      <c r="A121" s="298"/>
      <c r="B121" s="291"/>
      <c r="C121" s="291"/>
      <c r="D121" s="291"/>
      <c r="E121" s="291"/>
      <c r="F121" s="294"/>
      <c r="G121" s="291"/>
      <c r="H121" s="294"/>
      <c r="I121" s="291"/>
      <c r="J121" s="291"/>
      <c r="K121" s="291"/>
      <c r="L121" s="291"/>
      <c r="M121" s="291"/>
      <c r="N121" s="301"/>
      <c r="O121" s="291"/>
      <c r="P121" s="291"/>
      <c r="Q121" s="304" t="str">
        <f t="shared" si="1"/>
        <v/>
      </c>
    </row>
    <row r="122" spans="1:17">
      <c r="A122" s="298"/>
      <c r="B122" s="291"/>
      <c r="C122" s="291"/>
      <c r="D122" s="291"/>
      <c r="E122" s="291"/>
      <c r="F122" s="294"/>
      <c r="G122" s="291"/>
      <c r="H122" s="294"/>
      <c r="I122" s="291"/>
      <c r="J122" s="291"/>
      <c r="K122" s="291"/>
      <c r="L122" s="291"/>
      <c r="M122" s="291"/>
      <c r="N122" s="301"/>
      <c r="O122" s="291"/>
      <c r="P122" s="291"/>
      <c r="Q122" s="304" t="str">
        <f t="shared" si="1"/>
        <v/>
      </c>
    </row>
    <row r="123" spans="1:17">
      <c r="A123" s="298"/>
      <c r="B123" s="291"/>
      <c r="C123" s="291"/>
      <c r="D123" s="291"/>
      <c r="E123" s="291"/>
      <c r="F123" s="294"/>
      <c r="G123" s="291"/>
      <c r="H123" s="294"/>
      <c r="I123" s="291"/>
      <c r="J123" s="291"/>
      <c r="K123" s="291"/>
      <c r="L123" s="291"/>
      <c r="M123" s="291"/>
      <c r="N123" s="301"/>
      <c r="O123" s="291"/>
      <c r="P123" s="291"/>
      <c r="Q123" s="304" t="str">
        <f t="shared" si="1"/>
        <v/>
      </c>
    </row>
    <row r="124" spans="1:17">
      <c r="A124" s="298"/>
      <c r="B124" s="291"/>
      <c r="C124" s="291"/>
      <c r="D124" s="291"/>
      <c r="E124" s="291"/>
      <c r="F124" s="294"/>
      <c r="G124" s="291"/>
      <c r="H124" s="294"/>
      <c r="I124" s="291"/>
      <c r="J124" s="291"/>
      <c r="K124" s="291"/>
      <c r="L124" s="291"/>
      <c r="M124" s="291"/>
      <c r="N124" s="301"/>
      <c r="O124" s="291"/>
      <c r="P124" s="291"/>
      <c r="Q124" s="304" t="str">
        <f t="shared" si="1"/>
        <v/>
      </c>
    </row>
    <row r="125" spans="1:17">
      <c r="A125" s="298"/>
      <c r="B125" s="291"/>
      <c r="C125" s="291"/>
      <c r="D125" s="291"/>
      <c r="E125" s="291"/>
      <c r="F125" s="294"/>
      <c r="G125" s="291"/>
      <c r="H125" s="294"/>
      <c r="I125" s="291"/>
      <c r="J125" s="291"/>
      <c r="K125" s="291"/>
      <c r="L125" s="291"/>
      <c r="M125" s="291"/>
      <c r="N125" s="301"/>
      <c r="O125" s="291"/>
      <c r="P125" s="291"/>
      <c r="Q125" s="304" t="str">
        <f t="shared" si="1"/>
        <v/>
      </c>
    </row>
    <row r="126" spans="1:17">
      <c r="A126" s="298"/>
      <c r="B126" s="291"/>
      <c r="C126" s="291"/>
      <c r="D126" s="291"/>
      <c r="E126" s="291"/>
      <c r="F126" s="294"/>
      <c r="G126" s="291"/>
      <c r="H126" s="294"/>
      <c r="I126" s="291"/>
      <c r="J126" s="291"/>
      <c r="K126" s="291"/>
      <c r="L126" s="291"/>
      <c r="M126" s="291"/>
      <c r="N126" s="301"/>
      <c r="O126" s="291"/>
      <c r="P126" s="291"/>
      <c r="Q126" s="304" t="str">
        <f t="shared" si="1"/>
        <v/>
      </c>
    </row>
    <row r="127" spans="1:17">
      <c r="A127" s="298"/>
      <c r="B127" s="291"/>
      <c r="C127" s="291"/>
      <c r="D127" s="291"/>
      <c r="E127" s="291"/>
      <c r="F127" s="294"/>
      <c r="G127" s="291"/>
      <c r="H127" s="294"/>
      <c r="I127" s="291"/>
      <c r="J127" s="291"/>
      <c r="K127" s="291"/>
      <c r="L127" s="291"/>
      <c r="M127" s="291"/>
      <c r="N127" s="301"/>
      <c r="O127" s="291"/>
      <c r="P127" s="291"/>
      <c r="Q127" s="304" t="str">
        <f t="shared" si="1"/>
        <v/>
      </c>
    </row>
    <row r="128" spans="1:17">
      <c r="A128" s="298"/>
      <c r="B128" s="291"/>
      <c r="C128" s="291"/>
      <c r="D128" s="291"/>
      <c r="E128" s="291"/>
      <c r="F128" s="294"/>
      <c r="G128" s="291"/>
      <c r="H128" s="294"/>
      <c r="I128" s="291"/>
      <c r="J128" s="291"/>
      <c r="K128" s="291"/>
      <c r="L128" s="291"/>
      <c r="M128" s="291"/>
      <c r="N128" s="301"/>
      <c r="O128" s="291"/>
      <c r="P128" s="291"/>
      <c r="Q128" s="304" t="str">
        <f t="shared" si="1"/>
        <v/>
      </c>
    </row>
    <row r="129" spans="1:17">
      <c r="A129" s="298"/>
      <c r="B129" s="291"/>
      <c r="C129" s="291"/>
      <c r="D129" s="291"/>
      <c r="E129" s="291"/>
      <c r="F129" s="294"/>
      <c r="G129" s="291"/>
      <c r="H129" s="294"/>
      <c r="I129" s="291"/>
      <c r="J129" s="291"/>
      <c r="K129" s="291"/>
      <c r="L129" s="291"/>
      <c r="M129" s="291"/>
      <c r="N129" s="301"/>
      <c r="O129" s="291"/>
      <c r="P129" s="291"/>
      <c r="Q129" s="304" t="str">
        <f t="shared" si="1"/>
        <v/>
      </c>
    </row>
    <row r="130" spans="1:17">
      <c r="A130" s="298"/>
      <c r="B130" s="291"/>
      <c r="C130" s="291"/>
      <c r="D130" s="291"/>
      <c r="E130" s="291"/>
      <c r="F130" s="294"/>
      <c r="G130" s="291"/>
      <c r="H130" s="294"/>
      <c r="I130" s="291"/>
      <c r="J130" s="291"/>
      <c r="K130" s="291"/>
      <c r="L130" s="291"/>
      <c r="M130" s="291"/>
      <c r="N130" s="301"/>
      <c r="O130" s="291"/>
      <c r="P130" s="291"/>
      <c r="Q130" s="304" t="str">
        <f t="shared" si="1"/>
        <v/>
      </c>
    </row>
    <row r="131" spans="1:17">
      <c r="A131" s="298"/>
      <c r="B131" s="291"/>
      <c r="C131" s="291"/>
      <c r="D131" s="291"/>
      <c r="E131" s="291"/>
      <c r="F131" s="294"/>
      <c r="G131" s="291"/>
      <c r="H131" s="294"/>
      <c r="I131" s="291"/>
      <c r="J131" s="291"/>
      <c r="K131" s="291"/>
      <c r="L131" s="291"/>
      <c r="M131" s="291"/>
      <c r="N131" s="301"/>
      <c r="O131" s="291"/>
      <c r="P131" s="291"/>
      <c r="Q131" s="304" t="str">
        <f t="shared" si="1"/>
        <v/>
      </c>
    </row>
    <row r="132" spans="1:17">
      <c r="A132" s="298"/>
      <c r="B132" s="291"/>
      <c r="C132" s="291"/>
      <c r="D132" s="291"/>
      <c r="E132" s="291"/>
      <c r="F132" s="294"/>
      <c r="G132" s="291"/>
      <c r="H132" s="294"/>
      <c r="I132" s="291"/>
      <c r="J132" s="291"/>
      <c r="K132" s="291"/>
      <c r="L132" s="291"/>
      <c r="M132" s="291"/>
      <c r="N132" s="301"/>
      <c r="O132" s="291"/>
      <c r="P132" s="291"/>
      <c r="Q132" s="304" t="str">
        <f t="shared" si="1"/>
        <v/>
      </c>
    </row>
    <row r="133" spans="1:17">
      <c r="A133" s="298"/>
      <c r="B133" s="291"/>
      <c r="C133" s="291"/>
      <c r="D133" s="291"/>
      <c r="E133" s="291"/>
      <c r="F133" s="294"/>
      <c r="G133" s="291"/>
      <c r="H133" s="294"/>
      <c r="I133" s="291"/>
      <c r="J133" s="291"/>
      <c r="K133" s="291"/>
      <c r="L133" s="291"/>
      <c r="M133" s="291"/>
      <c r="N133" s="301"/>
      <c r="O133" s="291"/>
      <c r="P133" s="291"/>
      <c r="Q133" s="304" t="str">
        <f t="shared" ref="Q133:Q196" si="2">IF(F133="","",F133/60)</f>
        <v/>
      </c>
    </row>
    <row r="134" spans="1:17">
      <c r="A134" s="298"/>
      <c r="B134" s="291"/>
      <c r="C134" s="291"/>
      <c r="D134" s="291"/>
      <c r="E134" s="291"/>
      <c r="F134" s="294"/>
      <c r="G134" s="291"/>
      <c r="H134" s="294"/>
      <c r="I134" s="291"/>
      <c r="J134" s="291"/>
      <c r="K134" s="291"/>
      <c r="L134" s="291"/>
      <c r="M134" s="291"/>
      <c r="N134" s="301"/>
      <c r="O134" s="291"/>
      <c r="P134" s="291"/>
      <c r="Q134" s="304" t="str">
        <f t="shared" si="2"/>
        <v/>
      </c>
    </row>
    <row r="135" spans="1:17">
      <c r="A135" s="298"/>
      <c r="B135" s="291"/>
      <c r="C135" s="291"/>
      <c r="D135" s="291"/>
      <c r="E135" s="291"/>
      <c r="F135" s="294"/>
      <c r="G135" s="291"/>
      <c r="H135" s="294"/>
      <c r="I135" s="291"/>
      <c r="J135" s="291"/>
      <c r="K135" s="291"/>
      <c r="L135" s="291"/>
      <c r="M135" s="291"/>
      <c r="N135" s="301"/>
      <c r="O135" s="291"/>
      <c r="P135" s="291"/>
      <c r="Q135" s="304" t="str">
        <f t="shared" si="2"/>
        <v/>
      </c>
    </row>
    <row r="136" spans="1:17">
      <c r="A136" s="298"/>
      <c r="B136" s="291"/>
      <c r="C136" s="291"/>
      <c r="D136" s="291"/>
      <c r="E136" s="291"/>
      <c r="F136" s="294"/>
      <c r="G136" s="291"/>
      <c r="H136" s="294"/>
      <c r="I136" s="291"/>
      <c r="J136" s="291"/>
      <c r="K136" s="291"/>
      <c r="L136" s="291"/>
      <c r="M136" s="291"/>
      <c r="N136" s="301"/>
      <c r="O136" s="291"/>
      <c r="P136" s="291"/>
      <c r="Q136" s="304" t="str">
        <f t="shared" si="2"/>
        <v/>
      </c>
    </row>
    <row r="137" spans="1:17">
      <c r="A137" s="298"/>
      <c r="B137" s="291"/>
      <c r="C137" s="291"/>
      <c r="D137" s="291"/>
      <c r="E137" s="291"/>
      <c r="F137" s="294"/>
      <c r="G137" s="291"/>
      <c r="H137" s="294"/>
      <c r="I137" s="291"/>
      <c r="J137" s="291"/>
      <c r="K137" s="291"/>
      <c r="L137" s="291"/>
      <c r="M137" s="291"/>
      <c r="N137" s="301"/>
      <c r="O137" s="291"/>
      <c r="P137" s="291"/>
      <c r="Q137" s="304" t="str">
        <f t="shared" si="2"/>
        <v/>
      </c>
    </row>
    <row r="138" spans="1:17">
      <c r="A138" s="298"/>
      <c r="B138" s="291"/>
      <c r="C138" s="291"/>
      <c r="D138" s="291"/>
      <c r="E138" s="291"/>
      <c r="F138" s="294"/>
      <c r="G138" s="291"/>
      <c r="H138" s="294"/>
      <c r="I138" s="291"/>
      <c r="J138" s="291"/>
      <c r="K138" s="291"/>
      <c r="L138" s="291"/>
      <c r="M138" s="291"/>
      <c r="N138" s="301"/>
      <c r="O138" s="291"/>
      <c r="P138" s="291"/>
      <c r="Q138" s="304" t="str">
        <f t="shared" si="2"/>
        <v/>
      </c>
    </row>
    <row r="139" spans="1:17">
      <c r="A139" s="298"/>
      <c r="B139" s="291"/>
      <c r="C139" s="291"/>
      <c r="D139" s="291"/>
      <c r="E139" s="291"/>
      <c r="F139" s="294"/>
      <c r="G139" s="291"/>
      <c r="H139" s="294"/>
      <c r="I139" s="291"/>
      <c r="J139" s="291"/>
      <c r="K139" s="291"/>
      <c r="L139" s="291"/>
      <c r="M139" s="291"/>
      <c r="N139" s="301"/>
      <c r="O139" s="291"/>
      <c r="P139" s="291"/>
      <c r="Q139" s="304" t="str">
        <f t="shared" si="2"/>
        <v/>
      </c>
    </row>
    <row r="140" spans="1:17">
      <c r="A140" s="298"/>
      <c r="B140" s="291"/>
      <c r="C140" s="291"/>
      <c r="D140" s="291"/>
      <c r="E140" s="291"/>
      <c r="F140" s="294"/>
      <c r="G140" s="291"/>
      <c r="H140" s="294"/>
      <c r="I140" s="291"/>
      <c r="J140" s="291"/>
      <c r="K140" s="291"/>
      <c r="L140" s="291"/>
      <c r="M140" s="291"/>
      <c r="N140" s="301"/>
      <c r="O140" s="291"/>
      <c r="P140" s="291"/>
      <c r="Q140" s="304" t="str">
        <f t="shared" si="2"/>
        <v/>
      </c>
    </row>
    <row r="141" spans="1:17">
      <c r="A141" s="298"/>
      <c r="B141" s="291"/>
      <c r="C141" s="291"/>
      <c r="D141" s="291"/>
      <c r="E141" s="291"/>
      <c r="F141" s="294"/>
      <c r="G141" s="291"/>
      <c r="H141" s="294"/>
      <c r="I141" s="291"/>
      <c r="J141" s="291"/>
      <c r="K141" s="291"/>
      <c r="L141" s="291"/>
      <c r="M141" s="291"/>
      <c r="N141" s="301"/>
      <c r="O141" s="291"/>
      <c r="P141" s="291"/>
      <c r="Q141" s="304" t="str">
        <f t="shared" si="2"/>
        <v/>
      </c>
    </row>
    <row r="142" spans="1:17">
      <c r="A142" s="298"/>
      <c r="B142" s="291"/>
      <c r="C142" s="291"/>
      <c r="D142" s="291"/>
      <c r="E142" s="291"/>
      <c r="F142" s="294"/>
      <c r="G142" s="291"/>
      <c r="H142" s="294"/>
      <c r="I142" s="291"/>
      <c r="J142" s="291"/>
      <c r="K142" s="291"/>
      <c r="L142" s="291"/>
      <c r="M142" s="291"/>
      <c r="N142" s="301"/>
      <c r="O142" s="291"/>
      <c r="P142" s="291"/>
      <c r="Q142" s="304" t="str">
        <f t="shared" si="2"/>
        <v/>
      </c>
    </row>
    <row r="143" spans="1:17">
      <c r="A143" s="298"/>
      <c r="B143" s="291"/>
      <c r="C143" s="291"/>
      <c r="D143" s="291"/>
      <c r="E143" s="291"/>
      <c r="F143" s="294"/>
      <c r="G143" s="291"/>
      <c r="H143" s="294"/>
      <c r="I143" s="291"/>
      <c r="J143" s="291"/>
      <c r="K143" s="291"/>
      <c r="L143" s="291"/>
      <c r="M143" s="291"/>
      <c r="N143" s="301"/>
      <c r="O143" s="291"/>
      <c r="P143" s="291"/>
      <c r="Q143" s="304" t="str">
        <f t="shared" si="2"/>
        <v/>
      </c>
    </row>
    <row r="144" spans="1:17">
      <c r="A144" s="298"/>
      <c r="B144" s="291"/>
      <c r="C144" s="291"/>
      <c r="D144" s="291"/>
      <c r="E144" s="291"/>
      <c r="F144" s="294"/>
      <c r="G144" s="291"/>
      <c r="H144" s="294"/>
      <c r="I144" s="291"/>
      <c r="J144" s="291"/>
      <c r="K144" s="291"/>
      <c r="L144" s="291"/>
      <c r="M144" s="291"/>
      <c r="N144" s="301"/>
      <c r="O144" s="291"/>
      <c r="P144" s="291"/>
      <c r="Q144" s="304" t="str">
        <f t="shared" si="2"/>
        <v/>
      </c>
    </row>
    <row r="145" spans="1:17">
      <c r="A145" s="298"/>
      <c r="B145" s="291"/>
      <c r="C145" s="291"/>
      <c r="D145" s="291"/>
      <c r="E145" s="291"/>
      <c r="F145" s="294"/>
      <c r="G145" s="291"/>
      <c r="H145" s="294"/>
      <c r="I145" s="291"/>
      <c r="J145" s="291"/>
      <c r="K145" s="291"/>
      <c r="L145" s="291"/>
      <c r="M145" s="291"/>
      <c r="N145" s="301"/>
      <c r="O145" s="291"/>
      <c r="P145" s="291"/>
      <c r="Q145" s="304" t="str">
        <f t="shared" si="2"/>
        <v/>
      </c>
    </row>
    <row r="146" spans="1:17">
      <c r="A146" s="298"/>
      <c r="B146" s="291"/>
      <c r="C146" s="291"/>
      <c r="D146" s="291"/>
      <c r="E146" s="291"/>
      <c r="F146" s="294"/>
      <c r="G146" s="291"/>
      <c r="H146" s="294"/>
      <c r="I146" s="291"/>
      <c r="J146" s="291"/>
      <c r="K146" s="291"/>
      <c r="L146" s="291"/>
      <c r="M146" s="291"/>
      <c r="N146" s="301"/>
      <c r="O146" s="291"/>
      <c r="P146" s="291"/>
      <c r="Q146" s="304" t="str">
        <f t="shared" si="2"/>
        <v/>
      </c>
    </row>
    <row r="147" spans="1:17">
      <c r="A147" s="298"/>
      <c r="B147" s="291"/>
      <c r="C147" s="291"/>
      <c r="D147" s="291"/>
      <c r="E147" s="291"/>
      <c r="F147" s="294"/>
      <c r="G147" s="291"/>
      <c r="H147" s="294"/>
      <c r="I147" s="291"/>
      <c r="J147" s="291"/>
      <c r="K147" s="291"/>
      <c r="L147" s="291"/>
      <c r="M147" s="291"/>
      <c r="N147" s="301"/>
      <c r="O147" s="291"/>
      <c r="P147" s="291"/>
      <c r="Q147" s="304" t="str">
        <f t="shared" si="2"/>
        <v/>
      </c>
    </row>
    <row r="148" spans="1:17">
      <c r="A148" s="298"/>
      <c r="B148" s="291"/>
      <c r="C148" s="291"/>
      <c r="D148" s="291"/>
      <c r="E148" s="291"/>
      <c r="F148" s="294"/>
      <c r="G148" s="291"/>
      <c r="H148" s="294"/>
      <c r="I148" s="291"/>
      <c r="J148" s="291"/>
      <c r="K148" s="291"/>
      <c r="L148" s="291"/>
      <c r="M148" s="291"/>
      <c r="N148" s="301"/>
      <c r="O148" s="291"/>
      <c r="P148" s="291"/>
      <c r="Q148" s="304" t="str">
        <f t="shared" si="2"/>
        <v/>
      </c>
    </row>
    <row r="149" spans="1:17">
      <c r="A149" s="298"/>
      <c r="B149" s="291"/>
      <c r="C149" s="291"/>
      <c r="D149" s="291"/>
      <c r="E149" s="291"/>
      <c r="F149" s="294"/>
      <c r="G149" s="291"/>
      <c r="H149" s="294"/>
      <c r="I149" s="291"/>
      <c r="J149" s="291"/>
      <c r="K149" s="291"/>
      <c r="L149" s="291"/>
      <c r="M149" s="291"/>
      <c r="N149" s="301"/>
      <c r="O149" s="291"/>
      <c r="P149" s="291"/>
      <c r="Q149" s="304" t="str">
        <f t="shared" si="2"/>
        <v/>
      </c>
    </row>
    <row r="150" spans="1:17">
      <c r="A150" s="298"/>
      <c r="B150" s="291"/>
      <c r="C150" s="291"/>
      <c r="D150" s="291"/>
      <c r="E150" s="291"/>
      <c r="F150" s="294"/>
      <c r="G150" s="291"/>
      <c r="H150" s="294"/>
      <c r="I150" s="291"/>
      <c r="J150" s="291"/>
      <c r="K150" s="291"/>
      <c r="L150" s="291"/>
      <c r="M150" s="291"/>
      <c r="N150" s="301"/>
      <c r="O150" s="291"/>
      <c r="P150" s="291"/>
      <c r="Q150" s="304" t="str">
        <f t="shared" si="2"/>
        <v/>
      </c>
    </row>
    <row r="151" spans="1:17">
      <c r="A151" s="298"/>
      <c r="B151" s="291"/>
      <c r="C151" s="291"/>
      <c r="D151" s="291"/>
      <c r="E151" s="291"/>
      <c r="F151" s="294"/>
      <c r="G151" s="291"/>
      <c r="H151" s="294"/>
      <c r="I151" s="291"/>
      <c r="J151" s="291"/>
      <c r="K151" s="291"/>
      <c r="L151" s="291"/>
      <c r="M151" s="291"/>
      <c r="N151" s="301"/>
      <c r="O151" s="291"/>
      <c r="P151" s="291"/>
      <c r="Q151" s="304" t="str">
        <f t="shared" si="2"/>
        <v/>
      </c>
    </row>
    <row r="152" spans="1:17">
      <c r="A152" s="298"/>
      <c r="B152" s="291"/>
      <c r="C152" s="291"/>
      <c r="D152" s="291"/>
      <c r="E152" s="291"/>
      <c r="F152" s="294"/>
      <c r="G152" s="291"/>
      <c r="H152" s="294"/>
      <c r="I152" s="291"/>
      <c r="J152" s="291"/>
      <c r="K152" s="291"/>
      <c r="L152" s="291"/>
      <c r="M152" s="291"/>
      <c r="N152" s="301"/>
      <c r="O152" s="291"/>
      <c r="P152" s="291"/>
      <c r="Q152" s="304" t="str">
        <f t="shared" si="2"/>
        <v/>
      </c>
    </row>
    <row r="153" spans="1:17">
      <c r="A153" s="298"/>
      <c r="B153" s="291"/>
      <c r="C153" s="291"/>
      <c r="D153" s="291"/>
      <c r="E153" s="291"/>
      <c r="F153" s="294"/>
      <c r="G153" s="291"/>
      <c r="H153" s="294"/>
      <c r="I153" s="291"/>
      <c r="J153" s="291"/>
      <c r="K153" s="291"/>
      <c r="L153" s="291"/>
      <c r="M153" s="291"/>
      <c r="N153" s="301"/>
      <c r="O153" s="291"/>
      <c r="P153" s="291"/>
      <c r="Q153" s="304" t="str">
        <f t="shared" si="2"/>
        <v/>
      </c>
    </row>
    <row r="154" spans="1:17">
      <c r="A154" s="298"/>
      <c r="B154" s="291"/>
      <c r="C154" s="291"/>
      <c r="D154" s="291"/>
      <c r="E154" s="291"/>
      <c r="F154" s="294"/>
      <c r="G154" s="291"/>
      <c r="H154" s="294"/>
      <c r="I154" s="291"/>
      <c r="J154" s="291"/>
      <c r="K154" s="291"/>
      <c r="L154" s="291"/>
      <c r="M154" s="291"/>
      <c r="N154" s="301"/>
      <c r="O154" s="291"/>
      <c r="P154" s="291"/>
      <c r="Q154" s="304" t="str">
        <f t="shared" si="2"/>
        <v/>
      </c>
    </row>
    <row r="155" spans="1:17">
      <c r="A155" s="298"/>
      <c r="B155" s="291"/>
      <c r="C155" s="291"/>
      <c r="D155" s="291"/>
      <c r="E155" s="291"/>
      <c r="F155" s="294"/>
      <c r="G155" s="291"/>
      <c r="H155" s="294"/>
      <c r="I155" s="291"/>
      <c r="J155" s="291"/>
      <c r="K155" s="291"/>
      <c r="L155" s="291"/>
      <c r="M155" s="291"/>
      <c r="N155" s="301"/>
      <c r="O155" s="291"/>
      <c r="P155" s="291"/>
      <c r="Q155" s="304" t="str">
        <f t="shared" si="2"/>
        <v/>
      </c>
    </row>
    <row r="156" spans="1:17">
      <c r="A156" s="298"/>
      <c r="B156" s="291"/>
      <c r="C156" s="291"/>
      <c r="D156" s="291"/>
      <c r="E156" s="291"/>
      <c r="F156" s="294"/>
      <c r="G156" s="291"/>
      <c r="H156" s="294"/>
      <c r="I156" s="291"/>
      <c r="J156" s="291"/>
      <c r="K156" s="291"/>
      <c r="L156" s="291"/>
      <c r="M156" s="291"/>
      <c r="N156" s="301"/>
      <c r="O156" s="291"/>
      <c r="P156" s="291"/>
      <c r="Q156" s="304" t="str">
        <f t="shared" si="2"/>
        <v/>
      </c>
    </row>
    <row r="157" spans="1:17">
      <c r="A157" s="298"/>
      <c r="B157" s="291"/>
      <c r="C157" s="291"/>
      <c r="D157" s="291"/>
      <c r="E157" s="291"/>
      <c r="F157" s="294"/>
      <c r="G157" s="291"/>
      <c r="H157" s="294"/>
      <c r="I157" s="291"/>
      <c r="J157" s="291"/>
      <c r="K157" s="291"/>
      <c r="L157" s="291"/>
      <c r="M157" s="291"/>
      <c r="N157" s="301"/>
      <c r="O157" s="291"/>
      <c r="P157" s="291"/>
      <c r="Q157" s="304" t="str">
        <f t="shared" si="2"/>
        <v/>
      </c>
    </row>
    <row r="158" spans="1:17">
      <c r="A158" s="298"/>
      <c r="B158" s="291"/>
      <c r="C158" s="291"/>
      <c r="D158" s="291"/>
      <c r="E158" s="291"/>
      <c r="F158" s="294"/>
      <c r="G158" s="291"/>
      <c r="H158" s="294"/>
      <c r="I158" s="291"/>
      <c r="J158" s="291"/>
      <c r="K158" s="291"/>
      <c r="L158" s="291"/>
      <c r="M158" s="291"/>
      <c r="N158" s="301"/>
      <c r="O158" s="291"/>
      <c r="P158" s="291"/>
      <c r="Q158" s="304" t="str">
        <f t="shared" si="2"/>
        <v/>
      </c>
    </row>
    <row r="159" spans="1:17">
      <c r="A159" s="298"/>
      <c r="B159" s="291"/>
      <c r="C159" s="291"/>
      <c r="D159" s="291"/>
      <c r="E159" s="291"/>
      <c r="F159" s="294"/>
      <c r="G159" s="291"/>
      <c r="H159" s="294"/>
      <c r="I159" s="291"/>
      <c r="J159" s="291"/>
      <c r="K159" s="291"/>
      <c r="L159" s="291"/>
      <c r="M159" s="291"/>
      <c r="N159" s="301"/>
      <c r="O159" s="291"/>
      <c r="P159" s="291"/>
      <c r="Q159" s="304" t="str">
        <f t="shared" si="2"/>
        <v/>
      </c>
    </row>
    <row r="160" spans="1:17">
      <c r="A160" s="298"/>
      <c r="B160" s="291"/>
      <c r="C160" s="291"/>
      <c r="D160" s="291"/>
      <c r="E160" s="291"/>
      <c r="F160" s="294"/>
      <c r="G160" s="291"/>
      <c r="H160" s="294"/>
      <c r="I160" s="291"/>
      <c r="J160" s="291"/>
      <c r="K160" s="291"/>
      <c r="L160" s="291"/>
      <c r="M160" s="291"/>
      <c r="N160" s="301"/>
      <c r="O160" s="291"/>
      <c r="P160" s="291"/>
      <c r="Q160" s="304" t="str">
        <f t="shared" si="2"/>
        <v/>
      </c>
    </row>
    <row r="161" spans="1:17">
      <c r="A161" s="298"/>
      <c r="B161" s="291"/>
      <c r="C161" s="291"/>
      <c r="D161" s="291"/>
      <c r="E161" s="291"/>
      <c r="F161" s="294"/>
      <c r="G161" s="291"/>
      <c r="H161" s="294"/>
      <c r="I161" s="291"/>
      <c r="J161" s="291"/>
      <c r="K161" s="291"/>
      <c r="L161" s="291"/>
      <c r="M161" s="291"/>
      <c r="N161" s="301"/>
      <c r="O161" s="291"/>
      <c r="P161" s="291"/>
      <c r="Q161" s="304" t="str">
        <f t="shared" si="2"/>
        <v/>
      </c>
    </row>
    <row r="162" spans="1:17">
      <c r="A162" s="298"/>
      <c r="B162" s="291"/>
      <c r="C162" s="291"/>
      <c r="D162" s="291"/>
      <c r="E162" s="291"/>
      <c r="F162" s="294"/>
      <c r="G162" s="291"/>
      <c r="H162" s="294"/>
      <c r="I162" s="291"/>
      <c r="J162" s="291"/>
      <c r="K162" s="291"/>
      <c r="L162" s="291"/>
      <c r="M162" s="291"/>
      <c r="N162" s="301"/>
      <c r="O162" s="291"/>
      <c r="P162" s="291"/>
      <c r="Q162" s="304" t="str">
        <f t="shared" si="2"/>
        <v/>
      </c>
    </row>
    <row r="163" spans="1:17">
      <c r="A163" s="298"/>
      <c r="B163" s="291"/>
      <c r="C163" s="291"/>
      <c r="D163" s="291"/>
      <c r="E163" s="291"/>
      <c r="F163" s="294"/>
      <c r="G163" s="291"/>
      <c r="H163" s="294"/>
      <c r="I163" s="291"/>
      <c r="J163" s="291"/>
      <c r="K163" s="291"/>
      <c r="L163" s="291"/>
      <c r="M163" s="291"/>
      <c r="N163" s="301"/>
      <c r="O163" s="291"/>
      <c r="P163" s="291"/>
      <c r="Q163" s="304" t="str">
        <f t="shared" si="2"/>
        <v/>
      </c>
    </row>
    <row r="164" spans="1:17">
      <c r="A164" s="298"/>
      <c r="B164" s="291"/>
      <c r="C164" s="291"/>
      <c r="D164" s="291"/>
      <c r="E164" s="291"/>
      <c r="F164" s="294"/>
      <c r="G164" s="291"/>
      <c r="H164" s="294"/>
      <c r="I164" s="291"/>
      <c r="J164" s="291"/>
      <c r="K164" s="291"/>
      <c r="L164" s="291"/>
      <c r="M164" s="291"/>
      <c r="N164" s="301"/>
      <c r="O164" s="291"/>
      <c r="P164" s="291"/>
      <c r="Q164" s="304" t="str">
        <f t="shared" si="2"/>
        <v/>
      </c>
    </row>
    <row r="165" spans="1:17">
      <c r="A165" s="298"/>
      <c r="B165" s="291"/>
      <c r="C165" s="291"/>
      <c r="D165" s="291"/>
      <c r="E165" s="291"/>
      <c r="F165" s="294"/>
      <c r="G165" s="291"/>
      <c r="H165" s="294"/>
      <c r="I165" s="291"/>
      <c r="J165" s="291"/>
      <c r="K165" s="291"/>
      <c r="L165" s="291"/>
      <c r="M165" s="291"/>
      <c r="N165" s="301"/>
      <c r="O165" s="291"/>
      <c r="P165" s="291"/>
      <c r="Q165" s="304" t="str">
        <f t="shared" si="2"/>
        <v/>
      </c>
    </row>
    <row r="166" spans="1:17">
      <c r="A166" s="298"/>
      <c r="B166" s="291"/>
      <c r="C166" s="291"/>
      <c r="D166" s="291"/>
      <c r="E166" s="291"/>
      <c r="F166" s="294"/>
      <c r="G166" s="291"/>
      <c r="H166" s="294"/>
      <c r="I166" s="291"/>
      <c r="J166" s="291"/>
      <c r="K166" s="291"/>
      <c r="L166" s="291"/>
      <c r="M166" s="291"/>
      <c r="N166" s="301"/>
      <c r="O166" s="291"/>
      <c r="P166" s="291"/>
      <c r="Q166" s="304" t="str">
        <f t="shared" si="2"/>
        <v/>
      </c>
    </row>
    <row r="167" spans="1:17">
      <c r="A167" s="298"/>
      <c r="B167" s="291"/>
      <c r="C167" s="291"/>
      <c r="D167" s="291"/>
      <c r="E167" s="291"/>
      <c r="F167" s="294"/>
      <c r="G167" s="291"/>
      <c r="H167" s="294"/>
      <c r="I167" s="291"/>
      <c r="J167" s="291"/>
      <c r="K167" s="291"/>
      <c r="L167" s="291"/>
      <c r="M167" s="291"/>
      <c r="N167" s="301"/>
      <c r="O167" s="291"/>
      <c r="P167" s="291"/>
      <c r="Q167" s="304" t="str">
        <f t="shared" si="2"/>
        <v/>
      </c>
    </row>
    <row r="168" spans="1:17">
      <c r="A168" s="298"/>
      <c r="B168" s="291"/>
      <c r="C168" s="291"/>
      <c r="D168" s="291"/>
      <c r="E168" s="291"/>
      <c r="F168" s="294"/>
      <c r="G168" s="291"/>
      <c r="H168" s="294"/>
      <c r="I168" s="291"/>
      <c r="J168" s="291"/>
      <c r="K168" s="291"/>
      <c r="L168" s="291"/>
      <c r="M168" s="291"/>
      <c r="N168" s="301"/>
      <c r="O168" s="291"/>
      <c r="P168" s="291"/>
      <c r="Q168" s="304" t="str">
        <f t="shared" si="2"/>
        <v/>
      </c>
    </row>
    <row r="169" spans="1:17">
      <c r="A169" s="298"/>
      <c r="B169" s="291"/>
      <c r="C169" s="291"/>
      <c r="D169" s="291"/>
      <c r="E169" s="291"/>
      <c r="F169" s="294"/>
      <c r="G169" s="291"/>
      <c r="H169" s="294"/>
      <c r="I169" s="291"/>
      <c r="J169" s="291"/>
      <c r="K169" s="291"/>
      <c r="L169" s="291"/>
      <c r="M169" s="291"/>
      <c r="N169" s="301"/>
      <c r="O169" s="291"/>
      <c r="P169" s="291"/>
      <c r="Q169" s="304" t="str">
        <f t="shared" si="2"/>
        <v/>
      </c>
    </row>
    <row r="170" spans="1:17">
      <c r="A170" s="298"/>
      <c r="B170" s="291"/>
      <c r="C170" s="291"/>
      <c r="D170" s="291"/>
      <c r="E170" s="291"/>
      <c r="F170" s="294"/>
      <c r="G170" s="291"/>
      <c r="H170" s="294"/>
      <c r="I170" s="291"/>
      <c r="J170" s="291"/>
      <c r="K170" s="291"/>
      <c r="L170" s="291"/>
      <c r="M170" s="291"/>
      <c r="N170" s="301"/>
      <c r="O170" s="291"/>
      <c r="P170" s="291"/>
      <c r="Q170" s="304" t="str">
        <f t="shared" si="2"/>
        <v/>
      </c>
    </row>
    <row r="171" spans="1:17">
      <c r="A171" s="298"/>
      <c r="B171" s="291"/>
      <c r="C171" s="291"/>
      <c r="D171" s="291"/>
      <c r="E171" s="291"/>
      <c r="F171" s="294"/>
      <c r="G171" s="291"/>
      <c r="H171" s="294"/>
      <c r="I171" s="291"/>
      <c r="J171" s="291"/>
      <c r="K171" s="291"/>
      <c r="L171" s="291"/>
      <c r="M171" s="291"/>
      <c r="N171" s="301"/>
      <c r="O171" s="291"/>
      <c r="P171" s="291"/>
      <c r="Q171" s="304" t="str">
        <f t="shared" si="2"/>
        <v/>
      </c>
    </row>
    <row r="172" spans="1:17">
      <c r="A172" s="298"/>
      <c r="B172" s="291"/>
      <c r="C172" s="291"/>
      <c r="D172" s="291"/>
      <c r="E172" s="291"/>
      <c r="F172" s="294"/>
      <c r="G172" s="291"/>
      <c r="H172" s="294"/>
      <c r="I172" s="291"/>
      <c r="J172" s="291"/>
      <c r="K172" s="291"/>
      <c r="L172" s="291"/>
      <c r="M172" s="291"/>
      <c r="N172" s="301"/>
      <c r="O172" s="291"/>
      <c r="P172" s="291"/>
      <c r="Q172" s="304" t="str">
        <f t="shared" si="2"/>
        <v/>
      </c>
    </row>
    <row r="173" spans="1:17">
      <c r="A173" s="298"/>
      <c r="B173" s="291"/>
      <c r="C173" s="291"/>
      <c r="D173" s="291"/>
      <c r="E173" s="291"/>
      <c r="F173" s="294"/>
      <c r="G173" s="291"/>
      <c r="H173" s="294"/>
      <c r="I173" s="291"/>
      <c r="J173" s="291"/>
      <c r="K173" s="291"/>
      <c r="L173" s="291"/>
      <c r="M173" s="291"/>
      <c r="N173" s="301"/>
      <c r="O173" s="291"/>
      <c r="P173" s="291"/>
      <c r="Q173" s="304" t="str">
        <f t="shared" si="2"/>
        <v/>
      </c>
    </row>
    <row r="174" spans="1:17">
      <c r="A174" s="298"/>
      <c r="B174" s="291"/>
      <c r="C174" s="291"/>
      <c r="D174" s="291"/>
      <c r="E174" s="291"/>
      <c r="F174" s="294"/>
      <c r="G174" s="291"/>
      <c r="H174" s="294"/>
      <c r="I174" s="291"/>
      <c r="J174" s="291"/>
      <c r="K174" s="291"/>
      <c r="L174" s="291"/>
      <c r="M174" s="291"/>
      <c r="N174" s="301"/>
      <c r="O174" s="291"/>
      <c r="P174" s="291"/>
      <c r="Q174" s="304" t="str">
        <f t="shared" si="2"/>
        <v/>
      </c>
    </row>
    <row r="175" spans="1:17">
      <c r="A175" s="298"/>
      <c r="B175" s="291"/>
      <c r="C175" s="291"/>
      <c r="D175" s="291"/>
      <c r="E175" s="291"/>
      <c r="F175" s="294"/>
      <c r="G175" s="291"/>
      <c r="H175" s="294"/>
      <c r="I175" s="291"/>
      <c r="J175" s="291"/>
      <c r="K175" s="291"/>
      <c r="L175" s="291"/>
      <c r="M175" s="291"/>
      <c r="N175" s="301"/>
      <c r="O175" s="291"/>
      <c r="P175" s="291"/>
      <c r="Q175" s="304" t="str">
        <f t="shared" si="2"/>
        <v/>
      </c>
    </row>
    <row r="176" spans="1:17">
      <c r="A176" s="298"/>
      <c r="B176" s="291"/>
      <c r="C176" s="291"/>
      <c r="D176" s="291"/>
      <c r="E176" s="291"/>
      <c r="F176" s="294"/>
      <c r="G176" s="291"/>
      <c r="H176" s="294"/>
      <c r="I176" s="291"/>
      <c r="J176" s="291"/>
      <c r="K176" s="291"/>
      <c r="L176" s="291"/>
      <c r="M176" s="291"/>
      <c r="N176" s="301"/>
      <c r="O176" s="291"/>
      <c r="P176" s="291"/>
      <c r="Q176" s="304" t="str">
        <f t="shared" si="2"/>
        <v/>
      </c>
    </row>
    <row r="177" spans="1:17">
      <c r="A177" s="298"/>
      <c r="B177" s="291"/>
      <c r="C177" s="291"/>
      <c r="D177" s="291"/>
      <c r="E177" s="291"/>
      <c r="F177" s="294"/>
      <c r="G177" s="291"/>
      <c r="H177" s="294"/>
      <c r="I177" s="291"/>
      <c r="J177" s="291"/>
      <c r="K177" s="291"/>
      <c r="L177" s="291"/>
      <c r="M177" s="291"/>
      <c r="N177" s="301"/>
      <c r="O177" s="291"/>
      <c r="P177" s="291"/>
      <c r="Q177" s="304" t="str">
        <f t="shared" si="2"/>
        <v/>
      </c>
    </row>
    <row r="178" spans="1:17">
      <c r="A178" s="298"/>
      <c r="B178" s="291"/>
      <c r="C178" s="291"/>
      <c r="D178" s="291"/>
      <c r="E178" s="291"/>
      <c r="F178" s="294"/>
      <c r="G178" s="291"/>
      <c r="H178" s="294"/>
      <c r="I178" s="291"/>
      <c r="J178" s="291"/>
      <c r="K178" s="291"/>
      <c r="L178" s="291"/>
      <c r="M178" s="291"/>
      <c r="N178" s="301"/>
      <c r="O178" s="291"/>
      <c r="P178" s="291"/>
      <c r="Q178" s="304" t="str">
        <f t="shared" si="2"/>
        <v/>
      </c>
    </row>
    <row r="179" spans="1:17">
      <c r="A179" s="298"/>
      <c r="B179" s="291"/>
      <c r="C179" s="291"/>
      <c r="D179" s="291"/>
      <c r="E179" s="291"/>
      <c r="F179" s="294"/>
      <c r="G179" s="291"/>
      <c r="H179" s="294"/>
      <c r="I179" s="291"/>
      <c r="J179" s="291"/>
      <c r="K179" s="291"/>
      <c r="L179" s="291"/>
      <c r="M179" s="291"/>
      <c r="N179" s="301"/>
      <c r="O179" s="291"/>
      <c r="P179" s="291"/>
      <c r="Q179" s="304" t="str">
        <f t="shared" si="2"/>
        <v/>
      </c>
    </row>
    <row r="180" spans="1:17">
      <c r="A180" s="298"/>
      <c r="B180" s="291"/>
      <c r="C180" s="291"/>
      <c r="D180" s="291"/>
      <c r="E180" s="291"/>
      <c r="F180" s="294"/>
      <c r="G180" s="291"/>
      <c r="H180" s="294"/>
      <c r="I180" s="291"/>
      <c r="J180" s="291"/>
      <c r="K180" s="291"/>
      <c r="L180" s="291"/>
      <c r="M180" s="291"/>
      <c r="N180" s="301"/>
      <c r="O180" s="291"/>
      <c r="P180" s="291"/>
      <c r="Q180" s="304" t="str">
        <f t="shared" si="2"/>
        <v/>
      </c>
    </row>
    <row r="181" spans="1:17">
      <c r="A181" s="298"/>
      <c r="B181" s="291"/>
      <c r="C181" s="291"/>
      <c r="D181" s="291"/>
      <c r="E181" s="291"/>
      <c r="F181" s="294"/>
      <c r="G181" s="291"/>
      <c r="H181" s="294"/>
      <c r="I181" s="291"/>
      <c r="J181" s="291"/>
      <c r="K181" s="291"/>
      <c r="L181" s="291"/>
      <c r="M181" s="291"/>
      <c r="N181" s="301"/>
      <c r="O181" s="291"/>
      <c r="P181" s="291"/>
      <c r="Q181" s="304" t="str">
        <f t="shared" si="2"/>
        <v/>
      </c>
    </row>
    <row r="182" spans="1:17">
      <c r="A182" s="298"/>
      <c r="B182" s="291"/>
      <c r="C182" s="291"/>
      <c r="D182" s="291"/>
      <c r="E182" s="291"/>
      <c r="F182" s="294"/>
      <c r="G182" s="291"/>
      <c r="H182" s="294"/>
      <c r="I182" s="291"/>
      <c r="J182" s="291"/>
      <c r="K182" s="291"/>
      <c r="L182" s="291"/>
      <c r="M182" s="291"/>
      <c r="N182" s="301"/>
      <c r="O182" s="291"/>
      <c r="P182" s="291"/>
      <c r="Q182" s="304" t="str">
        <f t="shared" si="2"/>
        <v/>
      </c>
    </row>
    <row r="183" spans="1:17">
      <c r="A183" s="298"/>
      <c r="B183" s="291"/>
      <c r="C183" s="291"/>
      <c r="D183" s="291"/>
      <c r="E183" s="291"/>
      <c r="F183" s="294"/>
      <c r="G183" s="291"/>
      <c r="H183" s="294"/>
      <c r="I183" s="291"/>
      <c r="J183" s="291"/>
      <c r="K183" s="291"/>
      <c r="L183" s="291"/>
      <c r="M183" s="291"/>
      <c r="N183" s="301"/>
      <c r="O183" s="291"/>
      <c r="P183" s="291"/>
      <c r="Q183" s="304" t="str">
        <f t="shared" si="2"/>
        <v/>
      </c>
    </row>
    <row r="184" spans="1:17">
      <c r="A184" s="298"/>
      <c r="B184" s="291"/>
      <c r="C184" s="291"/>
      <c r="D184" s="291"/>
      <c r="E184" s="291"/>
      <c r="F184" s="294"/>
      <c r="G184" s="291"/>
      <c r="H184" s="294"/>
      <c r="I184" s="291"/>
      <c r="J184" s="291"/>
      <c r="K184" s="291"/>
      <c r="L184" s="291"/>
      <c r="M184" s="291"/>
      <c r="N184" s="301"/>
      <c r="O184" s="291"/>
      <c r="P184" s="291"/>
      <c r="Q184" s="304" t="str">
        <f t="shared" si="2"/>
        <v/>
      </c>
    </row>
    <row r="185" spans="1:17">
      <c r="A185" s="298"/>
      <c r="B185" s="291"/>
      <c r="C185" s="291"/>
      <c r="D185" s="291"/>
      <c r="E185" s="291"/>
      <c r="F185" s="294"/>
      <c r="G185" s="291"/>
      <c r="H185" s="294"/>
      <c r="I185" s="291"/>
      <c r="J185" s="291"/>
      <c r="K185" s="291"/>
      <c r="L185" s="291"/>
      <c r="M185" s="291"/>
      <c r="N185" s="301"/>
      <c r="O185" s="291"/>
      <c r="P185" s="291"/>
      <c r="Q185" s="304" t="str">
        <f t="shared" si="2"/>
        <v/>
      </c>
    </row>
    <row r="186" spans="1:17">
      <c r="A186" s="298"/>
      <c r="B186" s="291"/>
      <c r="C186" s="291"/>
      <c r="D186" s="291"/>
      <c r="E186" s="291"/>
      <c r="F186" s="294"/>
      <c r="G186" s="291"/>
      <c r="H186" s="294"/>
      <c r="I186" s="291"/>
      <c r="J186" s="291"/>
      <c r="K186" s="291"/>
      <c r="L186" s="291"/>
      <c r="M186" s="291"/>
      <c r="N186" s="301"/>
      <c r="O186" s="291"/>
      <c r="P186" s="291"/>
      <c r="Q186" s="304" t="str">
        <f t="shared" si="2"/>
        <v/>
      </c>
    </row>
    <row r="187" spans="1:17">
      <c r="A187" s="298"/>
      <c r="B187" s="291"/>
      <c r="C187" s="291"/>
      <c r="D187" s="291"/>
      <c r="E187" s="291"/>
      <c r="F187" s="294"/>
      <c r="G187" s="291"/>
      <c r="H187" s="294"/>
      <c r="I187" s="291"/>
      <c r="J187" s="291"/>
      <c r="K187" s="291"/>
      <c r="L187" s="291"/>
      <c r="M187" s="291"/>
      <c r="N187" s="301"/>
      <c r="O187" s="291"/>
      <c r="P187" s="291"/>
      <c r="Q187" s="304" t="str">
        <f t="shared" si="2"/>
        <v/>
      </c>
    </row>
    <row r="188" spans="1:17">
      <c r="A188" s="298"/>
      <c r="B188" s="291"/>
      <c r="C188" s="291"/>
      <c r="D188" s="291"/>
      <c r="E188" s="291"/>
      <c r="F188" s="294"/>
      <c r="G188" s="291"/>
      <c r="H188" s="294"/>
      <c r="I188" s="291"/>
      <c r="J188" s="291"/>
      <c r="K188" s="291"/>
      <c r="L188" s="291"/>
      <c r="M188" s="291"/>
      <c r="N188" s="301"/>
      <c r="O188" s="291"/>
      <c r="P188" s="291"/>
      <c r="Q188" s="304" t="str">
        <f t="shared" si="2"/>
        <v/>
      </c>
    </row>
    <row r="189" spans="1:17">
      <c r="A189" s="298"/>
      <c r="B189" s="291"/>
      <c r="C189" s="291"/>
      <c r="D189" s="291"/>
      <c r="E189" s="291"/>
      <c r="F189" s="294"/>
      <c r="G189" s="291"/>
      <c r="H189" s="294"/>
      <c r="I189" s="291"/>
      <c r="J189" s="291"/>
      <c r="K189" s="291"/>
      <c r="L189" s="291"/>
      <c r="M189" s="291"/>
      <c r="N189" s="301"/>
      <c r="O189" s="291"/>
      <c r="P189" s="291"/>
      <c r="Q189" s="304" t="str">
        <f t="shared" si="2"/>
        <v/>
      </c>
    </row>
    <row r="190" spans="1:17">
      <c r="A190" s="298"/>
      <c r="B190" s="291"/>
      <c r="C190" s="291"/>
      <c r="D190" s="291"/>
      <c r="E190" s="291"/>
      <c r="F190" s="294"/>
      <c r="G190" s="291"/>
      <c r="H190" s="294"/>
      <c r="I190" s="291"/>
      <c r="J190" s="291"/>
      <c r="K190" s="291"/>
      <c r="L190" s="291"/>
      <c r="M190" s="291"/>
      <c r="N190" s="301"/>
      <c r="O190" s="291"/>
      <c r="P190" s="291"/>
      <c r="Q190" s="304" t="str">
        <f t="shared" si="2"/>
        <v/>
      </c>
    </row>
    <row r="191" spans="1:17">
      <c r="A191" s="298"/>
      <c r="B191" s="291"/>
      <c r="C191" s="291"/>
      <c r="D191" s="291"/>
      <c r="E191" s="291"/>
      <c r="F191" s="294"/>
      <c r="G191" s="291"/>
      <c r="H191" s="294"/>
      <c r="I191" s="291"/>
      <c r="J191" s="291"/>
      <c r="K191" s="291"/>
      <c r="L191" s="291"/>
      <c r="M191" s="291"/>
      <c r="N191" s="301"/>
      <c r="O191" s="291"/>
      <c r="P191" s="291"/>
      <c r="Q191" s="304" t="str">
        <f t="shared" si="2"/>
        <v/>
      </c>
    </row>
    <row r="192" spans="1:17">
      <c r="A192" s="298"/>
      <c r="B192" s="291"/>
      <c r="C192" s="291"/>
      <c r="D192" s="291"/>
      <c r="E192" s="291"/>
      <c r="F192" s="294"/>
      <c r="G192" s="291"/>
      <c r="H192" s="294"/>
      <c r="I192" s="291"/>
      <c r="J192" s="291"/>
      <c r="K192" s="291"/>
      <c r="L192" s="291"/>
      <c r="M192" s="291"/>
      <c r="N192" s="301"/>
      <c r="O192" s="291"/>
      <c r="P192" s="291"/>
      <c r="Q192" s="304" t="str">
        <f t="shared" si="2"/>
        <v/>
      </c>
    </row>
    <row r="193" spans="1:17">
      <c r="A193" s="298"/>
      <c r="B193" s="291"/>
      <c r="C193" s="291"/>
      <c r="D193" s="291"/>
      <c r="E193" s="291"/>
      <c r="F193" s="294"/>
      <c r="G193" s="291"/>
      <c r="H193" s="294"/>
      <c r="I193" s="291"/>
      <c r="J193" s="291"/>
      <c r="K193" s="291"/>
      <c r="L193" s="291"/>
      <c r="M193" s="291"/>
      <c r="N193" s="301"/>
      <c r="O193" s="291"/>
      <c r="P193" s="291"/>
      <c r="Q193" s="304" t="str">
        <f t="shared" si="2"/>
        <v/>
      </c>
    </row>
    <row r="194" spans="1:17">
      <c r="A194" s="298"/>
      <c r="B194" s="291"/>
      <c r="C194" s="291"/>
      <c r="D194" s="291"/>
      <c r="E194" s="291"/>
      <c r="F194" s="294"/>
      <c r="G194" s="291"/>
      <c r="H194" s="294"/>
      <c r="I194" s="291"/>
      <c r="J194" s="291"/>
      <c r="K194" s="291"/>
      <c r="L194" s="291"/>
      <c r="M194" s="291"/>
      <c r="N194" s="301"/>
      <c r="O194" s="291"/>
      <c r="P194" s="291"/>
      <c r="Q194" s="304" t="str">
        <f t="shared" si="2"/>
        <v/>
      </c>
    </row>
    <row r="195" spans="1:17">
      <c r="A195" s="298"/>
      <c r="B195" s="291"/>
      <c r="C195" s="291"/>
      <c r="D195" s="291"/>
      <c r="E195" s="291"/>
      <c r="F195" s="294"/>
      <c r="G195" s="291"/>
      <c r="H195" s="294"/>
      <c r="I195" s="291"/>
      <c r="J195" s="291"/>
      <c r="K195" s="291"/>
      <c r="L195" s="291"/>
      <c r="M195" s="291"/>
      <c r="N195" s="301"/>
      <c r="O195" s="291"/>
      <c r="P195" s="291"/>
      <c r="Q195" s="304" t="str">
        <f t="shared" si="2"/>
        <v/>
      </c>
    </row>
    <row r="196" spans="1:17">
      <c r="A196" s="298"/>
      <c r="B196" s="291"/>
      <c r="C196" s="291"/>
      <c r="D196" s="291"/>
      <c r="E196" s="291"/>
      <c r="F196" s="294"/>
      <c r="G196" s="291"/>
      <c r="H196" s="294"/>
      <c r="I196" s="291"/>
      <c r="J196" s="291"/>
      <c r="K196" s="291"/>
      <c r="L196" s="291"/>
      <c r="M196" s="291"/>
      <c r="N196" s="301"/>
      <c r="O196" s="291"/>
      <c r="P196" s="291"/>
      <c r="Q196" s="304" t="str">
        <f t="shared" si="2"/>
        <v/>
      </c>
    </row>
    <row r="197" spans="1:17">
      <c r="A197" s="298"/>
      <c r="B197" s="291"/>
      <c r="C197" s="291"/>
      <c r="D197" s="291"/>
      <c r="E197" s="291"/>
      <c r="F197" s="294"/>
      <c r="G197" s="291"/>
      <c r="H197" s="294"/>
      <c r="I197" s="291"/>
      <c r="J197" s="291"/>
      <c r="K197" s="291"/>
      <c r="L197" s="291"/>
      <c r="M197" s="291"/>
      <c r="N197" s="301"/>
      <c r="O197" s="291"/>
      <c r="P197" s="291"/>
      <c r="Q197" s="304" t="str">
        <f t="shared" ref="Q197:Q260" si="3">IF(F197="","",F197/60)</f>
        <v/>
      </c>
    </row>
    <row r="198" spans="1:17">
      <c r="A198" s="298"/>
      <c r="B198" s="291"/>
      <c r="C198" s="291"/>
      <c r="D198" s="291"/>
      <c r="E198" s="291"/>
      <c r="F198" s="294"/>
      <c r="G198" s="291"/>
      <c r="H198" s="294"/>
      <c r="I198" s="291"/>
      <c r="J198" s="291"/>
      <c r="K198" s="291"/>
      <c r="L198" s="291"/>
      <c r="M198" s="291"/>
      <c r="N198" s="301"/>
      <c r="O198" s="291"/>
      <c r="P198" s="291"/>
      <c r="Q198" s="304" t="str">
        <f t="shared" si="3"/>
        <v/>
      </c>
    </row>
    <row r="199" spans="1:17">
      <c r="A199" s="298"/>
      <c r="B199" s="291"/>
      <c r="C199" s="291"/>
      <c r="D199" s="291"/>
      <c r="E199" s="291"/>
      <c r="F199" s="294"/>
      <c r="G199" s="291"/>
      <c r="H199" s="294"/>
      <c r="I199" s="291"/>
      <c r="J199" s="291"/>
      <c r="K199" s="291"/>
      <c r="L199" s="291"/>
      <c r="M199" s="291"/>
      <c r="N199" s="301"/>
      <c r="O199" s="291"/>
      <c r="P199" s="291"/>
      <c r="Q199" s="304" t="str">
        <f t="shared" si="3"/>
        <v/>
      </c>
    </row>
    <row r="200" spans="1:17">
      <c r="A200" s="298"/>
      <c r="B200" s="291"/>
      <c r="C200" s="291"/>
      <c r="D200" s="291"/>
      <c r="E200" s="291"/>
      <c r="F200" s="294"/>
      <c r="G200" s="291"/>
      <c r="H200" s="294"/>
      <c r="I200" s="291"/>
      <c r="J200" s="291"/>
      <c r="K200" s="291"/>
      <c r="L200" s="291"/>
      <c r="M200" s="291"/>
      <c r="N200" s="301"/>
      <c r="O200" s="291"/>
      <c r="P200" s="291"/>
      <c r="Q200" s="304" t="str">
        <f t="shared" si="3"/>
        <v/>
      </c>
    </row>
    <row r="201" spans="1:17">
      <c r="A201" s="298"/>
      <c r="B201" s="291"/>
      <c r="C201" s="291"/>
      <c r="D201" s="291"/>
      <c r="E201" s="291"/>
      <c r="F201" s="294"/>
      <c r="G201" s="291"/>
      <c r="H201" s="294"/>
      <c r="I201" s="291"/>
      <c r="J201" s="291"/>
      <c r="K201" s="291"/>
      <c r="L201" s="291"/>
      <c r="M201" s="291"/>
      <c r="N201" s="301"/>
      <c r="O201" s="291"/>
      <c r="P201" s="291"/>
      <c r="Q201" s="304" t="str">
        <f t="shared" si="3"/>
        <v/>
      </c>
    </row>
    <row r="202" spans="1:17">
      <c r="A202" s="298"/>
      <c r="B202" s="291"/>
      <c r="C202" s="291"/>
      <c r="D202" s="291"/>
      <c r="E202" s="291"/>
      <c r="F202" s="294"/>
      <c r="G202" s="291"/>
      <c r="H202" s="294"/>
      <c r="I202" s="291"/>
      <c r="J202" s="291"/>
      <c r="K202" s="291"/>
      <c r="L202" s="291"/>
      <c r="M202" s="291"/>
      <c r="N202" s="301"/>
      <c r="O202" s="291"/>
      <c r="P202" s="291"/>
      <c r="Q202" s="304" t="str">
        <f t="shared" si="3"/>
        <v/>
      </c>
    </row>
    <row r="203" spans="1:17">
      <c r="A203" s="298"/>
      <c r="B203" s="291"/>
      <c r="C203" s="291"/>
      <c r="D203" s="291"/>
      <c r="E203" s="291"/>
      <c r="F203" s="294"/>
      <c r="G203" s="291"/>
      <c r="H203" s="294"/>
      <c r="I203" s="291"/>
      <c r="J203" s="291"/>
      <c r="K203" s="291"/>
      <c r="L203" s="291"/>
      <c r="M203" s="291"/>
      <c r="N203" s="301"/>
      <c r="O203" s="291"/>
      <c r="P203" s="291"/>
      <c r="Q203" s="304" t="str">
        <f t="shared" si="3"/>
        <v/>
      </c>
    </row>
    <row r="204" spans="1:17">
      <c r="A204" s="298"/>
      <c r="B204" s="291"/>
      <c r="C204" s="291"/>
      <c r="D204" s="291"/>
      <c r="E204" s="291"/>
      <c r="F204" s="294"/>
      <c r="G204" s="291"/>
      <c r="H204" s="294"/>
      <c r="I204" s="291"/>
      <c r="J204" s="291"/>
      <c r="K204" s="291"/>
      <c r="L204" s="291"/>
      <c r="M204" s="291"/>
      <c r="N204" s="301"/>
      <c r="O204" s="291"/>
      <c r="P204" s="291"/>
      <c r="Q204" s="304" t="str">
        <f t="shared" si="3"/>
        <v/>
      </c>
    </row>
    <row r="205" spans="1:17">
      <c r="A205" s="298"/>
      <c r="B205" s="291"/>
      <c r="C205" s="291"/>
      <c r="D205" s="291"/>
      <c r="E205" s="291"/>
      <c r="F205" s="294"/>
      <c r="G205" s="291"/>
      <c r="H205" s="294"/>
      <c r="I205" s="291"/>
      <c r="J205" s="291"/>
      <c r="K205" s="291"/>
      <c r="L205" s="291"/>
      <c r="M205" s="291"/>
      <c r="N205" s="301"/>
      <c r="O205" s="291"/>
      <c r="P205" s="291"/>
      <c r="Q205" s="304" t="str">
        <f t="shared" si="3"/>
        <v/>
      </c>
    </row>
    <row r="206" spans="1:17">
      <c r="A206" s="298"/>
      <c r="B206" s="291"/>
      <c r="C206" s="291"/>
      <c r="D206" s="291"/>
      <c r="E206" s="291"/>
      <c r="F206" s="294"/>
      <c r="G206" s="291"/>
      <c r="H206" s="294"/>
      <c r="I206" s="291"/>
      <c r="J206" s="291"/>
      <c r="K206" s="291"/>
      <c r="L206" s="291"/>
      <c r="M206" s="291"/>
      <c r="N206" s="301"/>
      <c r="O206" s="291"/>
      <c r="P206" s="291"/>
      <c r="Q206" s="304" t="str">
        <f t="shared" si="3"/>
        <v/>
      </c>
    </row>
    <row r="207" spans="1:17">
      <c r="A207" s="298"/>
      <c r="B207" s="291"/>
      <c r="C207" s="291"/>
      <c r="D207" s="291"/>
      <c r="E207" s="291"/>
      <c r="F207" s="294"/>
      <c r="G207" s="291"/>
      <c r="H207" s="294"/>
      <c r="I207" s="291"/>
      <c r="J207" s="291"/>
      <c r="K207" s="291"/>
      <c r="L207" s="291"/>
      <c r="M207" s="291"/>
      <c r="N207" s="301"/>
      <c r="O207" s="291"/>
      <c r="P207" s="291"/>
      <c r="Q207" s="304" t="str">
        <f t="shared" si="3"/>
        <v/>
      </c>
    </row>
    <row r="208" spans="1:17">
      <c r="A208" s="298"/>
      <c r="B208" s="291"/>
      <c r="C208" s="291"/>
      <c r="D208" s="291"/>
      <c r="E208" s="291"/>
      <c r="F208" s="294"/>
      <c r="G208" s="291"/>
      <c r="H208" s="294"/>
      <c r="I208" s="291"/>
      <c r="J208" s="291"/>
      <c r="K208" s="291"/>
      <c r="L208" s="291"/>
      <c r="M208" s="291"/>
      <c r="N208" s="301"/>
      <c r="O208" s="291"/>
      <c r="P208" s="291"/>
      <c r="Q208" s="304" t="str">
        <f t="shared" si="3"/>
        <v/>
      </c>
    </row>
    <row r="209" spans="1:17">
      <c r="A209" s="298"/>
      <c r="B209" s="291"/>
      <c r="C209" s="291"/>
      <c r="D209" s="291"/>
      <c r="E209" s="291"/>
      <c r="F209" s="294"/>
      <c r="G209" s="291"/>
      <c r="H209" s="294"/>
      <c r="I209" s="291"/>
      <c r="J209" s="291"/>
      <c r="K209" s="291"/>
      <c r="L209" s="291"/>
      <c r="M209" s="291"/>
      <c r="N209" s="301"/>
      <c r="O209" s="291"/>
      <c r="P209" s="291"/>
      <c r="Q209" s="304" t="str">
        <f t="shared" si="3"/>
        <v/>
      </c>
    </row>
    <row r="210" spans="1:17">
      <c r="A210" s="298"/>
      <c r="B210" s="291"/>
      <c r="C210" s="291"/>
      <c r="D210" s="291"/>
      <c r="E210" s="291"/>
      <c r="F210" s="294"/>
      <c r="G210" s="291"/>
      <c r="H210" s="294"/>
      <c r="I210" s="291"/>
      <c r="J210" s="291"/>
      <c r="K210" s="291"/>
      <c r="L210" s="291"/>
      <c r="M210" s="291"/>
      <c r="N210" s="301"/>
      <c r="O210" s="291"/>
      <c r="P210" s="291"/>
      <c r="Q210" s="304" t="str">
        <f t="shared" si="3"/>
        <v/>
      </c>
    </row>
    <row r="211" spans="1:17">
      <c r="A211" s="298"/>
      <c r="B211" s="291"/>
      <c r="C211" s="291"/>
      <c r="D211" s="291"/>
      <c r="E211" s="291"/>
      <c r="F211" s="294"/>
      <c r="G211" s="291"/>
      <c r="H211" s="294"/>
      <c r="I211" s="291"/>
      <c r="J211" s="291"/>
      <c r="K211" s="291"/>
      <c r="L211" s="291"/>
      <c r="M211" s="291"/>
      <c r="N211" s="301"/>
      <c r="O211" s="291"/>
      <c r="P211" s="291"/>
      <c r="Q211" s="304" t="str">
        <f t="shared" si="3"/>
        <v/>
      </c>
    </row>
    <row r="212" spans="1:17">
      <c r="A212" s="298"/>
      <c r="B212" s="291"/>
      <c r="C212" s="291"/>
      <c r="D212" s="291"/>
      <c r="E212" s="291"/>
      <c r="F212" s="294"/>
      <c r="G212" s="291"/>
      <c r="H212" s="294"/>
      <c r="I212" s="291"/>
      <c r="J212" s="291"/>
      <c r="K212" s="291"/>
      <c r="L212" s="291"/>
      <c r="M212" s="291"/>
      <c r="N212" s="301"/>
      <c r="O212" s="291"/>
      <c r="P212" s="291"/>
      <c r="Q212" s="304" t="str">
        <f t="shared" si="3"/>
        <v/>
      </c>
    </row>
    <row r="213" spans="1:17">
      <c r="A213" s="298"/>
      <c r="B213" s="291"/>
      <c r="C213" s="291"/>
      <c r="D213" s="291"/>
      <c r="E213" s="291"/>
      <c r="F213" s="294"/>
      <c r="G213" s="291"/>
      <c r="H213" s="294"/>
      <c r="I213" s="291"/>
      <c r="J213" s="291"/>
      <c r="K213" s="291"/>
      <c r="L213" s="291"/>
      <c r="M213" s="291"/>
      <c r="N213" s="301"/>
      <c r="O213" s="291"/>
      <c r="P213" s="291"/>
      <c r="Q213" s="304" t="str">
        <f t="shared" si="3"/>
        <v/>
      </c>
    </row>
    <row r="214" spans="1:17">
      <c r="A214" s="298"/>
      <c r="B214" s="291"/>
      <c r="C214" s="291"/>
      <c r="D214" s="291"/>
      <c r="E214" s="291"/>
      <c r="F214" s="294"/>
      <c r="G214" s="291"/>
      <c r="H214" s="294"/>
      <c r="I214" s="291"/>
      <c r="J214" s="291"/>
      <c r="K214" s="291"/>
      <c r="L214" s="291"/>
      <c r="M214" s="291"/>
      <c r="N214" s="301"/>
      <c r="O214" s="291"/>
      <c r="P214" s="291"/>
      <c r="Q214" s="304" t="str">
        <f t="shared" si="3"/>
        <v/>
      </c>
    </row>
    <row r="215" spans="1:17">
      <c r="A215" s="298"/>
      <c r="B215" s="291"/>
      <c r="C215" s="291"/>
      <c r="D215" s="291"/>
      <c r="E215" s="291"/>
      <c r="F215" s="294"/>
      <c r="G215" s="291"/>
      <c r="H215" s="294"/>
      <c r="I215" s="291"/>
      <c r="J215" s="291"/>
      <c r="K215" s="291"/>
      <c r="L215" s="291"/>
      <c r="M215" s="291"/>
      <c r="N215" s="301"/>
      <c r="O215" s="291"/>
      <c r="P215" s="291"/>
      <c r="Q215" s="304" t="str">
        <f t="shared" si="3"/>
        <v/>
      </c>
    </row>
    <row r="216" spans="1:17">
      <c r="A216" s="298"/>
      <c r="B216" s="291"/>
      <c r="C216" s="291"/>
      <c r="D216" s="291"/>
      <c r="E216" s="291"/>
      <c r="F216" s="294"/>
      <c r="G216" s="291"/>
      <c r="H216" s="294"/>
      <c r="I216" s="291"/>
      <c r="J216" s="291"/>
      <c r="K216" s="291"/>
      <c r="L216" s="291"/>
      <c r="M216" s="291"/>
      <c r="N216" s="301"/>
      <c r="O216" s="291"/>
      <c r="P216" s="291"/>
      <c r="Q216" s="304" t="str">
        <f t="shared" si="3"/>
        <v/>
      </c>
    </row>
    <row r="217" spans="1:17">
      <c r="A217" s="298"/>
      <c r="B217" s="291"/>
      <c r="C217" s="291"/>
      <c r="D217" s="291"/>
      <c r="E217" s="291"/>
      <c r="F217" s="294"/>
      <c r="G217" s="291"/>
      <c r="H217" s="294"/>
      <c r="I217" s="291"/>
      <c r="J217" s="291"/>
      <c r="K217" s="291"/>
      <c r="L217" s="291"/>
      <c r="M217" s="291"/>
      <c r="N217" s="301"/>
      <c r="O217" s="291"/>
      <c r="P217" s="291"/>
      <c r="Q217" s="304" t="str">
        <f t="shared" si="3"/>
        <v/>
      </c>
    </row>
    <row r="218" spans="1:17">
      <c r="A218" s="298"/>
      <c r="B218" s="291"/>
      <c r="C218" s="291"/>
      <c r="D218" s="291"/>
      <c r="E218" s="291"/>
      <c r="F218" s="294"/>
      <c r="G218" s="291"/>
      <c r="H218" s="294"/>
      <c r="I218" s="291"/>
      <c r="J218" s="291"/>
      <c r="K218" s="291"/>
      <c r="L218" s="291"/>
      <c r="M218" s="291"/>
      <c r="N218" s="301"/>
      <c r="O218" s="291"/>
      <c r="P218" s="291"/>
      <c r="Q218" s="304" t="str">
        <f t="shared" si="3"/>
        <v/>
      </c>
    </row>
    <row r="219" spans="1:17">
      <c r="A219" s="298"/>
      <c r="B219" s="291"/>
      <c r="C219" s="291"/>
      <c r="D219" s="291"/>
      <c r="E219" s="291"/>
      <c r="F219" s="294"/>
      <c r="G219" s="291"/>
      <c r="H219" s="294"/>
      <c r="I219" s="291"/>
      <c r="J219" s="291"/>
      <c r="K219" s="291"/>
      <c r="L219" s="291"/>
      <c r="M219" s="291"/>
      <c r="N219" s="301"/>
      <c r="O219" s="291"/>
      <c r="P219" s="291"/>
      <c r="Q219" s="304" t="str">
        <f t="shared" si="3"/>
        <v/>
      </c>
    </row>
    <row r="220" spans="1:17">
      <c r="A220" s="298"/>
      <c r="B220" s="291"/>
      <c r="C220" s="291"/>
      <c r="D220" s="291"/>
      <c r="E220" s="291"/>
      <c r="F220" s="294"/>
      <c r="G220" s="291"/>
      <c r="H220" s="294"/>
      <c r="I220" s="291"/>
      <c r="J220" s="291"/>
      <c r="K220" s="291"/>
      <c r="L220" s="291"/>
      <c r="M220" s="291"/>
      <c r="N220" s="301"/>
      <c r="O220" s="291"/>
      <c r="P220" s="291"/>
      <c r="Q220" s="304" t="str">
        <f t="shared" si="3"/>
        <v/>
      </c>
    </row>
    <row r="221" spans="1:17">
      <c r="A221" s="298"/>
      <c r="B221" s="291"/>
      <c r="C221" s="291"/>
      <c r="D221" s="291"/>
      <c r="E221" s="291"/>
      <c r="F221" s="294"/>
      <c r="G221" s="291"/>
      <c r="H221" s="294"/>
      <c r="I221" s="291"/>
      <c r="J221" s="291"/>
      <c r="K221" s="291"/>
      <c r="L221" s="291"/>
      <c r="M221" s="291"/>
      <c r="N221" s="301"/>
      <c r="O221" s="291"/>
      <c r="P221" s="291"/>
      <c r="Q221" s="304" t="str">
        <f t="shared" si="3"/>
        <v/>
      </c>
    </row>
    <row r="222" spans="1:17">
      <c r="A222" s="298"/>
      <c r="B222" s="291"/>
      <c r="C222" s="291"/>
      <c r="D222" s="291"/>
      <c r="E222" s="291"/>
      <c r="F222" s="294"/>
      <c r="G222" s="291"/>
      <c r="H222" s="294"/>
      <c r="I222" s="291"/>
      <c r="J222" s="291"/>
      <c r="K222" s="291"/>
      <c r="L222" s="291"/>
      <c r="M222" s="291"/>
      <c r="N222" s="301"/>
      <c r="O222" s="291"/>
      <c r="P222" s="291"/>
      <c r="Q222" s="304" t="str">
        <f t="shared" si="3"/>
        <v/>
      </c>
    </row>
    <row r="223" spans="1:17">
      <c r="A223" s="298"/>
      <c r="B223" s="291"/>
      <c r="C223" s="291"/>
      <c r="D223" s="291"/>
      <c r="E223" s="291"/>
      <c r="F223" s="294"/>
      <c r="G223" s="291"/>
      <c r="H223" s="294"/>
      <c r="I223" s="291"/>
      <c r="J223" s="291"/>
      <c r="K223" s="291"/>
      <c r="L223" s="291"/>
      <c r="M223" s="291"/>
      <c r="N223" s="301"/>
      <c r="O223" s="291"/>
      <c r="P223" s="291"/>
      <c r="Q223" s="304" t="str">
        <f t="shared" si="3"/>
        <v/>
      </c>
    </row>
    <row r="224" spans="1:17">
      <c r="A224" s="298"/>
      <c r="B224" s="291"/>
      <c r="C224" s="291"/>
      <c r="D224" s="291"/>
      <c r="E224" s="291"/>
      <c r="F224" s="294"/>
      <c r="G224" s="291"/>
      <c r="H224" s="294"/>
      <c r="I224" s="291"/>
      <c r="J224" s="291"/>
      <c r="K224" s="291"/>
      <c r="L224" s="291"/>
      <c r="M224" s="291"/>
      <c r="N224" s="301"/>
      <c r="O224" s="291"/>
      <c r="P224" s="291"/>
      <c r="Q224" s="304" t="str">
        <f t="shared" si="3"/>
        <v/>
      </c>
    </row>
    <row r="225" spans="1:17">
      <c r="A225" s="298"/>
      <c r="B225" s="291"/>
      <c r="C225" s="291"/>
      <c r="D225" s="291"/>
      <c r="E225" s="291"/>
      <c r="F225" s="294"/>
      <c r="G225" s="291"/>
      <c r="H225" s="294"/>
      <c r="I225" s="291"/>
      <c r="J225" s="291"/>
      <c r="K225" s="291"/>
      <c r="L225" s="291"/>
      <c r="M225" s="291"/>
      <c r="N225" s="301"/>
      <c r="O225" s="291"/>
      <c r="P225" s="291"/>
      <c r="Q225" s="304" t="str">
        <f t="shared" si="3"/>
        <v/>
      </c>
    </row>
    <row r="226" spans="1:17">
      <c r="A226" s="298"/>
      <c r="B226" s="291"/>
      <c r="C226" s="291"/>
      <c r="D226" s="291"/>
      <c r="E226" s="291"/>
      <c r="F226" s="294"/>
      <c r="G226" s="291"/>
      <c r="H226" s="294"/>
      <c r="I226" s="291"/>
      <c r="J226" s="291"/>
      <c r="K226" s="291"/>
      <c r="L226" s="291"/>
      <c r="M226" s="291"/>
      <c r="N226" s="301"/>
      <c r="O226" s="291"/>
      <c r="P226" s="291"/>
      <c r="Q226" s="304" t="str">
        <f t="shared" si="3"/>
        <v/>
      </c>
    </row>
    <row r="227" spans="1:17">
      <c r="A227" s="298"/>
      <c r="B227" s="291"/>
      <c r="C227" s="291"/>
      <c r="D227" s="291"/>
      <c r="E227" s="291"/>
      <c r="F227" s="294"/>
      <c r="G227" s="291"/>
      <c r="H227" s="294"/>
      <c r="I227" s="291"/>
      <c r="J227" s="291"/>
      <c r="K227" s="291"/>
      <c r="L227" s="291"/>
      <c r="M227" s="291"/>
      <c r="N227" s="301"/>
      <c r="O227" s="291"/>
      <c r="P227" s="291"/>
      <c r="Q227" s="304" t="str">
        <f t="shared" si="3"/>
        <v/>
      </c>
    </row>
    <row r="228" spans="1:17">
      <c r="A228" s="298"/>
      <c r="B228" s="291"/>
      <c r="C228" s="291"/>
      <c r="D228" s="291"/>
      <c r="E228" s="291"/>
      <c r="F228" s="294"/>
      <c r="G228" s="291"/>
      <c r="H228" s="294"/>
      <c r="I228" s="291"/>
      <c r="J228" s="291"/>
      <c r="K228" s="291"/>
      <c r="L228" s="291"/>
      <c r="M228" s="291"/>
      <c r="N228" s="301"/>
      <c r="O228" s="291"/>
      <c r="P228" s="291"/>
      <c r="Q228" s="304" t="str">
        <f t="shared" si="3"/>
        <v/>
      </c>
    </row>
    <row r="229" spans="1:17">
      <c r="A229" s="298"/>
      <c r="B229" s="291"/>
      <c r="C229" s="291"/>
      <c r="D229" s="291"/>
      <c r="E229" s="291"/>
      <c r="F229" s="294"/>
      <c r="G229" s="291"/>
      <c r="H229" s="294"/>
      <c r="I229" s="291"/>
      <c r="J229" s="291"/>
      <c r="K229" s="291"/>
      <c r="L229" s="291"/>
      <c r="M229" s="291"/>
      <c r="N229" s="301"/>
      <c r="O229" s="291"/>
      <c r="P229" s="291"/>
      <c r="Q229" s="304" t="str">
        <f t="shared" si="3"/>
        <v/>
      </c>
    </row>
    <row r="230" spans="1:17">
      <c r="A230" s="298"/>
      <c r="B230" s="291"/>
      <c r="C230" s="291"/>
      <c r="D230" s="291"/>
      <c r="E230" s="291"/>
      <c r="F230" s="294"/>
      <c r="G230" s="291"/>
      <c r="H230" s="294"/>
      <c r="I230" s="291"/>
      <c r="J230" s="291"/>
      <c r="K230" s="291"/>
      <c r="L230" s="291"/>
      <c r="M230" s="291"/>
      <c r="N230" s="301"/>
      <c r="O230" s="291"/>
      <c r="P230" s="291"/>
      <c r="Q230" s="304" t="str">
        <f t="shared" si="3"/>
        <v/>
      </c>
    </row>
    <row r="231" spans="1:17">
      <c r="A231" s="298"/>
      <c r="B231" s="291"/>
      <c r="C231" s="291"/>
      <c r="D231" s="291"/>
      <c r="E231" s="291"/>
      <c r="F231" s="294"/>
      <c r="G231" s="291"/>
      <c r="H231" s="294"/>
      <c r="I231" s="291"/>
      <c r="J231" s="291"/>
      <c r="K231" s="291"/>
      <c r="L231" s="291"/>
      <c r="M231" s="291"/>
      <c r="N231" s="301"/>
      <c r="O231" s="291"/>
      <c r="P231" s="291"/>
      <c r="Q231" s="304" t="str">
        <f t="shared" si="3"/>
        <v/>
      </c>
    </row>
    <row r="232" spans="1:17">
      <c r="A232" s="298"/>
      <c r="B232" s="291"/>
      <c r="C232" s="291"/>
      <c r="D232" s="291"/>
      <c r="E232" s="291"/>
      <c r="F232" s="294"/>
      <c r="G232" s="291"/>
      <c r="H232" s="294"/>
      <c r="I232" s="291"/>
      <c r="J232" s="291"/>
      <c r="K232" s="291"/>
      <c r="L232" s="291"/>
      <c r="M232" s="291"/>
      <c r="N232" s="301"/>
      <c r="O232" s="291"/>
      <c r="P232" s="291"/>
      <c r="Q232" s="304" t="str">
        <f t="shared" si="3"/>
        <v/>
      </c>
    </row>
    <row r="233" spans="1:17">
      <c r="A233" s="298"/>
      <c r="B233" s="291"/>
      <c r="C233" s="291"/>
      <c r="D233" s="291"/>
      <c r="E233" s="291"/>
      <c r="F233" s="294"/>
      <c r="G233" s="291"/>
      <c r="H233" s="294"/>
      <c r="I233" s="291"/>
      <c r="J233" s="291"/>
      <c r="K233" s="291"/>
      <c r="L233" s="291"/>
      <c r="M233" s="291"/>
      <c r="N233" s="301"/>
      <c r="O233" s="291"/>
      <c r="P233" s="291"/>
      <c r="Q233" s="304" t="str">
        <f t="shared" si="3"/>
        <v/>
      </c>
    </row>
    <row r="234" spans="1:17">
      <c r="A234" s="298"/>
      <c r="B234" s="291"/>
      <c r="C234" s="291"/>
      <c r="D234" s="291"/>
      <c r="E234" s="291"/>
      <c r="F234" s="294"/>
      <c r="G234" s="291"/>
      <c r="H234" s="294"/>
      <c r="I234" s="291"/>
      <c r="J234" s="291"/>
      <c r="K234" s="291"/>
      <c r="L234" s="291"/>
      <c r="M234" s="291"/>
      <c r="N234" s="301"/>
      <c r="O234" s="291"/>
      <c r="P234" s="291"/>
      <c r="Q234" s="304" t="str">
        <f t="shared" si="3"/>
        <v/>
      </c>
    </row>
    <row r="235" spans="1:17">
      <c r="A235" s="298"/>
      <c r="B235" s="291"/>
      <c r="C235" s="291"/>
      <c r="D235" s="291"/>
      <c r="E235" s="291"/>
      <c r="F235" s="294"/>
      <c r="G235" s="291"/>
      <c r="H235" s="294"/>
      <c r="I235" s="291"/>
      <c r="J235" s="291"/>
      <c r="K235" s="291"/>
      <c r="L235" s="291"/>
      <c r="M235" s="291"/>
      <c r="N235" s="301"/>
      <c r="O235" s="291"/>
      <c r="P235" s="291"/>
      <c r="Q235" s="304" t="str">
        <f t="shared" si="3"/>
        <v/>
      </c>
    </row>
    <row r="236" spans="1:17">
      <c r="A236" s="298"/>
      <c r="B236" s="291"/>
      <c r="C236" s="291"/>
      <c r="D236" s="291"/>
      <c r="E236" s="291"/>
      <c r="F236" s="294"/>
      <c r="G236" s="291"/>
      <c r="H236" s="294"/>
      <c r="I236" s="291"/>
      <c r="J236" s="291"/>
      <c r="K236" s="291"/>
      <c r="L236" s="291"/>
      <c r="M236" s="291"/>
      <c r="N236" s="301"/>
      <c r="O236" s="291"/>
      <c r="P236" s="291"/>
      <c r="Q236" s="304" t="str">
        <f t="shared" si="3"/>
        <v/>
      </c>
    </row>
    <row r="237" spans="1:17">
      <c r="A237" s="298"/>
      <c r="B237" s="291"/>
      <c r="C237" s="291"/>
      <c r="D237" s="291"/>
      <c r="E237" s="291"/>
      <c r="F237" s="294"/>
      <c r="G237" s="291"/>
      <c r="H237" s="294"/>
      <c r="I237" s="291"/>
      <c r="J237" s="291"/>
      <c r="K237" s="291"/>
      <c r="L237" s="291"/>
      <c r="M237" s="291"/>
      <c r="N237" s="301"/>
      <c r="O237" s="291"/>
      <c r="P237" s="291"/>
      <c r="Q237" s="304" t="str">
        <f t="shared" si="3"/>
        <v/>
      </c>
    </row>
    <row r="238" spans="1:17">
      <c r="A238" s="298"/>
      <c r="B238" s="291"/>
      <c r="C238" s="291"/>
      <c r="D238" s="291"/>
      <c r="E238" s="291"/>
      <c r="F238" s="294"/>
      <c r="G238" s="291"/>
      <c r="H238" s="294"/>
      <c r="I238" s="291"/>
      <c r="J238" s="291"/>
      <c r="K238" s="291"/>
      <c r="L238" s="291"/>
      <c r="M238" s="291"/>
      <c r="N238" s="301"/>
      <c r="O238" s="291"/>
      <c r="P238" s="291"/>
      <c r="Q238" s="304" t="str">
        <f t="shared" si="3"/>
        <v/>
      </c>
    </row>
    <row r="239" spans="1:17">
      <c r="A239" s="298"/>
      <c r="B239" s="291"/>
      <c r="C239" s="291"/>
      <c r="D239" s="291"/>
      <c r="E239" s="291"/>
      <c r="F239" s="294"/>
      <c r="G239" s="291"/>
      <c r="H239" s="294"/>
      <c r="I239" s="291"/>
      <c r="J239" s="291"/>
      <c r="K239" s="291"/>
      <c r="L239" s="291"/>
      <c r="M239" s="291"/>
      <c r="N239" s="301"/>
      <c r="O239" s="291"/>
      <c r="P239" s="291"/>
      <c r="Q239" s="304" t="str">
        <f t="shared" si="3"/>
        <v/>
      </c>
    </row>
    <row r="240" spans="1:17">
      <c r="A240" s="298"/>
      <c r="B240" s="291"/>
      <c r="C240" s="291"/>
      <c r="D240" s="291"/>
      <c r="E240" s="291"/>
      <c r="F240" s="294"/>
      <c r="G240" s="291"/>
      <c r="H240" s="294"/>
      <c r="I240" s="291"/>
      <c r="J240" s="291"/>
      <c r="K240" s="291"/>
      <c r="L240" s="291"/>
      <c r="M240" s="291"/>
      <c r="N240" s="301"/>
      <c r="O240" s="291"/>
      <c r="P240" s="291"/>
      <c r="Q240" s="304" t="str">
        <f t="shared" si="3"/>
        <v/>
      </c>
    </row>
    <row r="241" spans="1:17">
      <c r="A241" s="298"/>
      <c r="B241" s="291"/>
      <c r="C241" s="291"/>
      <c r="D241" s="291"/>
      <c r="E241" s="291"/>
      <c r="F241" s="294"/>
      <c r="G241" s="291"/>
      <c r="H241" s="294"/>
      <c r="I241" s="291"/>
      <c r="J241" s="291"/>
      <c r="K241" s="291"/>
      <c r="L241" s="291"/>
      <c r="M241" s="291"/>
      <c r="N241" s="301"/>
      <c r="O241" s="291"/>
      <c r="P241" s="291"/>
      <c r="Q241" s="304" t="str">
        <f t="shared" si="3"/>
        <v/>
      </c>
    </row>
    <row r="242" spans="1:17">
      <c r="A242" s="298"/>
      <c r="B242" s="291"/>
      <c r="C242" s="291"/>
      <c r="D242" s="291"/>
      <c r="E242" s="291"/>
      <c r="F242" s="294"/>
      <c r="G242" s="291"/>
      <c r="H242" s="294"/>
      <c r="I242" s="291"/>
      <c r="J242" s="291"/>
      <c r="K242" s="291"/>
      <c r="L242" s="291"/>
      <c r="M242" s="291"/>
      <c r="N242" s="301"/>
      <c r="O242" s="291"/>
      <c r="P242" s="291"/>
      <c r="Q242" s="304" t="str">
        <f t="shared" si="3"/>
        <v/>
      </c>
    </row>
    <row r="243" spans="1:17">
      <c r="A243" s="298"/>
      <c r="B243" s="291"/>
      <c r="C243" s="291"/>
      <c r="D243" s="291"/>
      <c r="E243" s="291"/>
      <c r="F243" s="294"/>
      <c r="G243" s="291"/>
      <c r="H243" s="294"/>
      <c r="I243" s="291"/>
      <c r="J243" s="291"/>
      <c r="K243" s="291"/>
      <c r="L243" s="291"/>
      <c r="M243" s="291"/>
      <c r="N243" s="301"/>
      <c r="O243" s="291"/>
      <c r="P243" s="291"/>
      <c r="Q243" s="304" t="str">
        <f t="shared" si="3"/>
        <v/>
      </c>
    </row>
    <row r="244" spans="1:17">
      <c r="A244" s="298"/>
      <c r="B244" s="291"/>
      <c r="C244" s="291"/>
      <c r="D244" s="291"/>
      <c r="E244" s="291"/>
      <c r="F244" s="294"/>
      <c r="G244" s="291"/>
      <c r="H244" s="294"/>
      <c r="I244" s="291"/>
      <c r="J244" s="291"/>
      <c r="K244" s="291"/>
      <c r="L244" s="291"/>
      <c r="M244" s="291"/>
      <c r="N244" s="301"/>
      <c r="O244" s="291"/>
      <c r="P244" s="291"/>
      <c r="Q244" s="304" t="str">
        <f t="shared" si="3"/>
        <v/>
      </c>
    </row>
    <row r="245" spans="1:17">
      <c r="A245" s="298"/>
      <c r="B245" s="291"/>
      <c r="C245" s="291"/>
      <c r="D245" s="291"/>
      <c r="E245" s="291"/>
      <c r="F245" s="294"/>
      <c r="G245" s="291"/>
      <c r="H245" s="294"/>
      <c r="I245" s="291"/>
      <c r="J245" s="291"/>
      <c r="K245" s="291"/>
      <c r="L245" s="291"/>
      <c r="M245" s="291"/>
      <c r="N245" s="301"/>
      <c r="O245" s="291"/>
      <c r="P245" s="291"/>
      <c r="Q245" s="304" t="str">
        <f t="shared" si="3"/>
        <v/>
      </c>
    </row>
    <row r="246" spans="1:17">
      <c r="A246" s="298"/>
      <c r="B246" s="291"/>
      <c r="C246" s="291"/>
      <c r="D246" s="291"/>
      <c r="E246" s="291"/>
      <c r="F246" s="294"/>
      <c r="G246" s="291"/>
      <c r="H246" s="294"/>
      <c r="I246" s="291"/>
      <c r="J246" s="291"/>
      <c r="K246" s="291"/>
      <c r="L246" s="291"/>
      <c r="M246" s="291"/>
      <c r="N246" s="301"/>
      <c r="O246" s="291"/>
      <c r="P246" s="291"/>
      <c r="Q246" s="304" t="str">
        <f t="shared" si="3"/>
        <v/>
      </c>
    </row>
    <row r="247" spans="1:17">
      <c r="A247" s="298"/>
      <c r="B247" s="291"/>
      <c r="C247" s="291"/>
      <c r="D247" s="291"/>
      <c r="E247" s="291"/>
      <c r="F247" s="294"/>
      <c r="G247" s="291"/>
      <c r="H247" s="294"/>
      <c r="I247" s="291"/>
      <c r="J247" s="291"/>
      <c r="K247" s="291"/>
      <c r="L247" s="291"/>
      <c r="M247" s="291"/>
      <c r="N247" s="301"/>
      <c r="O247" s="291"/>
      <c r="P247" s="291"/>
      <c r="Q247" s="304" t="str">
        <f t="shared" si="3"/>
        <v/>
      </c>
    </row>
    <row r="248" spans="1:17">
      <c r="A248" s="298"/>
      <c r="B248" s="291"/>
      <c r="C248" s="291"/>
      <c r="D248" s="291"/>
      <c r="E248" s="291"/>
      <c r="F248" s="294"/>
      <c r="G248" s="291"/>
      <c r="H248" s="294"/>
      <c r="I248" s="291"/>
      <c r="J248" s="291"/>
      <c r="K248" s="291"/>
      <c r="L248" s="291"/>
      <c r="M248" s="291"/>
      <c r="N248" s="301"/>
      <c r="O248" s="291"/>
      <c r="P248" s="291"/>
      <c r="Q248" s="304" t="str">
        <f t="shared" si="3"/>
        <v/>
      </c>
    </row>
    <row r="249" spans="1:17">
      <c r="A249" s="298"/>
      <c r="B249" s="291"/>
      <c r="C249" s="291"/>
      <c r="D249" s="291"/>
      <c r="E249" s="291"/>
      <c r="F249" s="294"/>
      <c r="G249" s="291"/>
      <c r="H249" s="294"/>
      <c r="I249" s="291"/>
      <c r="J249" s="291"/>
      <c r="K249" s="291"/>
      <c r="L249" s="291"/>
      <c r="M249" s="291"/>
      <c r="N249" s="301"/>
      <c r="O249" s="291"/>
      <c r="P249" s="291"/>
      <c r="Q249" s="304" t="str">
        <f t="shared" si="3"/>
        <v/>
      </c>
    </row>
    <row r="250" spans="1:17">
      <c r="A250" s="298"/>
      <c r="B250" s="291"/>
      <c r="C250" s="291"/>
      <c r="D250" s="291"/>
      <c r="E250" s="291"/>
      <c r="F250" s="294"/>
      <c r="G250" s="291"/>
      <c r="H250" s="294"/>
      <c r="I250" s="291"/>
      <c r="J250" s="291"/>
      <c r="K250" s="291"/>
      <c r="L250" s="291"/>
      <c r="M250" s="291"/>
      <c r="N250" s="301"/>
      <c r="O250" s="291"/>
      <c r="P250" s="291"/>
      <c r="Q250" s="304" t="str">
        <f t="shared" si="3"/>
        <v/>
      </c>
    </row>
    <row r="251" spans="1:17">
      <c r="A251" s="298"/>
      <c r="B251" s="291"/>
      <c r="C251" s="291"/>
      <c r="D251" s="291"/>
      <c r="E251" s="291"/>
      <c r="F251" s="294"/>
      <c r="G251" s="291"/>
      <c r="H251" s="294"/>
      <c r="I251" s="291"/>
      <c r="J251" s="291"/>
      <c r="K251" s="291"/>
      <c r="L251" s="291"/>
      <c r="M251" s="291"/>
      <c r="N251" s="301"/>
      <c r="O251" s="291"/>
      <c r="P251" s="291"/>
      <c r="Q251" s="304" t="str">
        <f t="shared" si="3"/>
        <v/>
      </c>
    </row>
    <row r="252" spans="1:17">
      <c r="A252" s="298"/>
      <c r="B252" s="291"/>
      <c r="C252" s="291"/>
      <c r="D252" s="291"/>
      <c r="E252" s="291"/>
      <c r="F252" s="294"/>
      <c r="G252" s="291"/>
      <c r="H252" s="294"/>
      <c r="I252" s="291"/>
      <c r="J252" s="291"/>
      <c r="K252" s="291"/>
      <c r="L252" s="291"/>
      <c r="M252" s="291"/>
      <c r="N252" s="301"/>
      <c r="O252" s="291"/>
      <c r="P252" s="291"/>
      <c r="Q252" s="304" t="str">
        <f t="shared" si="3"/>
        <v/>
      </c>
    </row>
    <row r="253" spans="1:17">
      <c r="A253" s="298"/>
      <c r="B253" s="291"/>
      <c r="C253" s="291"/>
      <c r="D253" s="291"/>
      <c r="E253" s="291"/>
      <c r="F253" s="294"/>
      <c r="G253" s="291"/>
      <c r="H253" s="294"/>
      <c r="I253" s="291"/>
      <c r="J253" s="291"/>
      <c r="K253" s="291"/>
      <c r="L253" s="291"/>
      <c r="M253" s="291"/>
      <c r="N253" s="301"/>
      <c r="O253" s="291"/>
      <c r="P253" s="291"/>
      <c r="Q253" s="304" t="str">
        <f t="shared" si="3"/>
        <v/>
      </c>
    </row>
    <row r="254" spans="1:17">
      <c r="A254" s="298"/>
      <c r="B254" s="291"/>
      <c r="C254" s="291"/>
      <c r="D254" s="291"/>
      <c r="E254" s="291"/>
      <c r="F254" s="294"/>
      <c r="G254" s="291"/>
      <c r="H254" s="294"/>
      <c r="I254" s="291"/>
      <c r="J254" s="291"/>
      <c r="K254" s="291"/>
      <c r="L254" s="291"/>
      <c r="M254" s="291"/>
      <c r="N254" s="301"/>
      <c r="O254" s="291"/>
      <c r="P254" s="291"/>
      <c r="Q254" s="304" t="str">
        <f t="shared" si="3"/>
        <v/>
      </c>
    </row>
    <row r="255" spans="1:17">
      <c r="A255" s="298"/>
      <c r="B255" s="291"/>
      <c r="C255" s="291"/>
      <c r="D255" s="291"/>
      <c r="E255" s="291"/>
      <c r="F255" s="294"/>
      <c r="G255" s="291"/>
      <c r="H255" s="294"/>
      <c r="I255" s="291"/>
      <c r="J255" s="291"/>
      <c r="K255" s="291"/>
      <c r="L255" s="291"/>
      <c r="M255" s="291"/>
      <c r="N255" s="301"/>
      <c r="O255" s="291"/>
      <c r="P255" s="291"/>
      <c r="Q255" s="304" t="str">
        <f t="shared" si="3"/>
        <v/>
      </c>
    </row>
    <row r="256" spans="1:17">
      <c r="A256" s="298"/>
      <c r="B256" s="291"/>
      <c r="C256" s="291"/>
      <c r="D256" s="291"/>
      <c r="E256" s="291"/>
      <c r="F256" s="294"/>
      <c r="G256" s="291"/>
      <c r="H256" s="294"/>
      <c r="I256" s="291"/>
      <c r="J256" s="291"/>
      <c r="K256" s="291"/>
      <c r="L256" s="291"/>
      <c r="M256" s="291"/>
      <c r="N256" s="301"/>
      <c r="O256" s="291"/>
      <c r="P256" s="291"/>
      <c r="Q256" s="304" t="str">
        <f t="shared" si="3"/>
        <v/>
      </c>
    </row>
    <row r="257" spans="1:17">
      <c r="A257" s="298"/>
      <c r="B257" s="291"/>
      <c r="C257" s="291"/>
      <c r="D257" s="291"/>
      <c r="E257" s="291"/>
      <c r="F257" s="294"/>
      <c r="G257" s="291"/>
      <c r="H257" s="294"/>
      <c r="I257" s="291"/>
      <c r="J257" s="291"/>
      <c r="K257" s="291"/>
      <c r="L257" s="291"/>
      <c r="M257" s="291"/>
      <c r="N257" s="301"/>
      <c r="O257" s="291"/>
      <c r="P257" s="291"/>
      <c r="Q257" s="304" t="str">
        <f t="shared" si="3"/>
        <v/>
      </c>
    </row>
    <row r="258" spans="1:17">
      <c r="A258" s="298"/>
      <c r="B258" s="291"/>
      <c r="C258" s="291"/>
      <c r="D258" s="291"/>
      <c r="E258" s="291"/>
      <c r="F258" s="294"/>
      <c r="G258" s="291"/>
      <c r="H258" s="294"/>
      <c r="I258" s="291"/>
      <c r="J258" s="291"/>
      <c r="K258" s="291"/>
      <c r="L258" s="291"/>
      <c r="M258" s="291"/>
      <c r="N258" s="301"/>
      <c r="O258" s="291"/>
      <c r="P258" s="291"/>
      <c r="Q258" s="304" t="str">
        <f t="shared" si="3"/>
        <v/>
      </c>
    </row>
    <row r="259" spans="1:17">
      <c r="A259" s="298"/>
      <c r="B259" s="291"/>
      <c r="C259" s="291"/>
      <c r="D259" s="291"/>
      <c r="E259" s="291"/>
      <c r="F259" s="294"/>
      <c r="G259" s="291"/>
      <c r="H259" s="294"/>
      <c r="I259" s="291"/>
      <c r="J259" s="291"/>
      <c r="K259" s="291"/>
      <c r="L259" s="291"/>
      <c r="M259" s="291"/>
      <c r="N259" s="301"/>
      <c r="O259" s="291"/>
      <c r="P259" s="291"/>
      <c r="Q259" s="304" t="str">
        <f t="shared" si="3"/>
        <v/>
      </c>
    </row>
    <row r="260" spans="1:17">
      <c r="A260" s="298"/>
      <c r="B260" s="291"/>
      <c r="C260" s="291"/>
      <c r="D260" s="291"/>
      <c r="E260" s="291"/>
      <c r="F260" s="294"/>
      <c r="G260" s="291"/>
      <c r="H260" s="294"/>
      <c r="I260" s="291"/>
      <c r="J260" s="291"/>
      <c r="K260" s="291"/>
      <c r="L260" s="291"/>
      <c r="M260" s="291"/>
      <c r="N260" s="301"/>
      <c r="O260" s="291"/>
      <c r="P260" s="291"/>
      <c r="Q260" s="304" t="str">
        <f t="shared" si="3"/>
        <v/>
      </c>
    </row>
    <row r="261" spans="1:17">
      <c r="A261" s="298"/>
      <c r="B261" s="291"/>
      <c r="C261" s="291"/>
      <c r="D261" s="291"/>
      <c r="E261" s="291"/>
      <c r="F261" s="294"/>
      <c r="G261" s="291"/>
      <c r="H261" s="294"/>
      <c r="I261" s="291"/>
      <c r="J261" s="291"/>
      <c r="K261" s="291"/>
      <c r="L261" s="291"/>
      <c r="M261" s="291"/>
      <c r="N261" s="301"/>
      <c r="O261" s="291"/>
      <c r="P261" s="291"/>
      <c r="Q261" s="304" t="str">
        <f t="shared" ref="Q261:Q304" si="4">IF(F261="","",F261/60)</f>
        <v/>
      </c>
    </row>
    <row r="262" spans="1:17">
      <c r="A262" s="298"/>
      <c r="B262" s="291"/>
      <c r="C262" s="291"/>
      <c r="D262" s="291"/>
      <c r="E262" s="291"/>
      <c r="F262" s="294"/>
      <c r="G262" s="291"/>
      <c r="H262" s="294"/>
      <c r="I262" s="291"/>
      <c r="J262" s="291"/>
      <c r="K262" s="291"/>
      <c r="L262" s="291"/>
      <c r="M262" s="291"/>
      <c r="N262" s="301"/>
      <c r="O262" s="291"/>
      <c r="P262" s="291"/>
      <c r="Q262" s="304" t="str">
        <f t="shared" si="4"/>
        <v/>
      </c>
    </row>
    <row r="263" spans="1:17">
      <c r="A263" s="298"/>
      <c r="B263" s="291"/>
      <c r="C263" s="291"/>
      <c r="D263" s="291"/>
      <c r="E263" s="291"/>
      <c r="F263" s="294"/>
      <c r="G263" s="291"/>
      <c r="H263" s="294"/>
      <c r="I263" s="291"/>
      <c r="J263" s="291"/>
      <c r="K263" s="291"/>
      <c r="L263" s="291"/>
      <c r="M263" s="291"/>
      <c r="N263" s="301"/>
      <c r="O263" s="291"/>
      <c r="P263" s="291"/>
      <c r="Q263" s="304" t="str">
        <f t="shared" si="4"/>
        <v/>
      </c>
    </row>
    <row r="264" spans="1:17">
      <c r="A264" s="298"/>
      <c r="B264" s="291"/>
      <c r="C264" s="291"/>
      <c r="D264" s="291"/>
      <c r="E264" s="291"/>
      <c r="F264" s="294"/>
      <c r="G264" s="291"/>
      <c r="H264" s="294"/>
      <c r="I264" s="291"/>
      <c r="J264" s="291"/>
      <c r="K264" s="291"/>
      <c r="L264" s="291"/>
      <c r="M264" s="291"/>
      <c r="N264" s="301"/>
      <c r="O264" s="291"/>
      <c r="P264" s="291"/>
      <c r="Q264" s="304" t="str">
        <f t="shared" si="4"/>
        <v/>
      </c>
    </row>
    <row r="265" spans="1:17">
      <c r="A265" s="298"/>
      <c r="B265" s="291"/>
      <c r="C265" s="291"/>
      <c r="D265" s="291"/>
      <c r="E265" s="291"/>
      <c r="F265" s="294"/>
      <c r="G265" s="291"/>
      <c r="H265" s="294"/>
      <c r="I265" s="291"/>
      <c r="J265" s="291"/>
      <c r="K265" s="291"/>
      <c r="L265" s="291"/>
      <c r="M265" s="291"/>
      <c r="N265" s="301"/>
      <c r="O265" s="291"/>
      <c r="P265" s="291"/>
      <c r="Q265" s="304" t="str">
        <f t="shared" si="4"/>
        <v/>
      </c>
    </row>
    <row r="266" spans="1:17">
      <c r="A266" s="298"/>
      <c r="B266" s="291"/>
      <c r="C266" s="291"/>
      <c r="D266" s="291"/>
      <c r="E266" s="291"/>
      <c r="F266" s="294"/>
      <c r="G266" s="291"/>
      <c r="H266" s="294"/>
      <c r="I266" s="291"/>
      <c r="J266" s="291"/>
      <c r="K266" s="291"/>
      <c r="L266" s="291"/>
      <c r="M266" s="291"/>
      <c r="N266" s="301"/>
      <c r="O266" s="291"/>
      <c r="P266" s="291"/>
      <c r="Q266" s="304" t="str">
        <f t="shared" si="4"/>
        <v/>
      </c>
    </row>
    <row r="267" spans="1:17">
      <c r="A267" s="298"/>
      <c r="B267" s="291"/>
      <c r="C267" s="291"/>
      <c r="D267" s="291"/>
      <c r="E267" s="291"/>
      <c r="F267" s="294"/>
      <c r="G267" s="291"/>
      <c r="H267" s="294"/>
      <c r="I267" s="291"/>
      <c r="J267" s="291"/>
      <c r="K267" s="291"/>
      <c r="L267" s="291"/>
      <c r="M267" s="291"/>
      <c r="N267" s="301"/>
      <c r="O267" s="291"/>
      <c r="P267" s="291"/>
      <c r="Q267" s="304" t="str">
        <f t="shared" si="4"/>
        <v/>
      </c>
    </row>
    <row r="268" spans="1:17">
      <c r="A268" s="298"/>
      <c r="B268" s="291"/>
      <c r="C268" s="291"/>
      <c r="D268" s="291"/>
      <c r="E268" s="291"/>
      <c r="F268" s="294"/>
      <c r="G268" s="291"/>
      <c r="H268" s="294"/>
      <c r="I268" s="291"/>
      <c r="J268" s="291"/>
      <c r="K268" s="291"/>
      <c r="L268" s="291"/>
      <c r="M268" s="291"/>
      <c r="N268" s="301"/>
      <c r="O268" s="291"/>
      <c r="P268" s="291"/>
      <c r="Q268" s="304" t="str">
        <f t="shared" si="4"/>
        <v/>
      </c>
    </row>
    <row r="269" spans="1:17">
      <c r="A269" s="298"/>
      <c r="B269" s="291"/>
      <c r="C269" s="291"/>
      <c r="D269" s="291"/>
      <c r="E269" s="291"/>
      <c r="F269" s="294"/>
      <c r="G269" s="291"/>
      <c r="H269" s="294"/>
      <c r="I269" s="291"/>
      <c r="J269" s="291"/>
      <c r="K269" s="291"/>
      <c r="L269" s="291"/>
      <c r="M269" s="291"/>
      <c r="N269" s="301"/>
      <c r="O269" s="291"/>
      <c r="P269" s="291"/>
      <c r="Q269" s="304" t="str">
        <f t="shared" si="4"/>
        <v/>
      </c>
    </row>
    <row r="270" spans="1:17">
      <c r="A270" s="298"/>
      <c r="B270" s="291"/>
      <c r="C270" s="291"/>
      <c r="D270" s="291"/>
      <c r="E270" s="291"/>
      <c r="F270" s="294"/>
      <c r="G270" s="291"/>
      <c r="H270" s="294"/>
      <c r="I270" s="291"/>
      <c r="J270" s="291"/>
      <c r="K270" s="291"/>
      <c r="L270" s="291"/>
      <c r="M270" s="291"/>
      <c r="N270" s="301"/>
      <c r="O270" s="291"/>
      <c r="P270" s="291"/>
      <c r="Q270" s="304" t="str">
        <f t="shared" si="4"/>
        <v/>
      </c>
    </row>
    <row r="271" spans="1:17">
      <c r="A271" s="298"/>
      <c r="B271" s="291"/>
      <c r="C271" s="291"/>
      <c r="D271" s="291"/>
      <c r="E271" s="291"/>
      <c r="F271" s="294"/>
      <c r="G271" s="291"/>
      <c r="H271" s="294"/>
      <c r="I271" s="291"/>
      <c r="J271" s="291"/>
      <c r="K271" s="291"/>
      <c r="L271" s="291"/>
      <c r="M271" s="291"/>
      <c r="N271" s="301"/>
      <c r="O271" s="291"/>
      <c r="P271" s="291"/>
      <c r="Q271" s="304" t="str">
        <f t="shared" si="4"/>
        <v/>
      </c>
    </row>
    <row r="272" spans="1:17">
      <c r="A272" s="298"/>
      <c r="B272" s="291"/>
      <c r="C272" s="291"/>
      <c r="D272" s="291"/>
      <c r="E272" s="291"/>
      <c r="F272" s="294"/>
      <c r="G272" s="291"/>
      <c r="H272" s="294"/>
      <c r="I272" s="291"/>
      <c r="J272" s="291"/>
      <c r="K272" s="291"/>
      <c r="L272" s="291"/>
      <c r="M272" s="291"/>
      <c r="N272" s="301"/>
      <c r="O272" s="291"/>
      <c r="P272" s="291"/>
      <c r="Q272" s="304" t="str">
        <f t="shared" si="4"/>
        <v/>
      </c>
    </row>
    <row r="273" spans="1:17">
      <c r="A273" s="298"/>
      <c r="B273" s="291"/>
      <c r="C273" s="291"/>
      <c r="D273" s="291"/>
      <c r="E273" s="291"/>
      <c r="F273" s="294"/>
      <c r="G273" s="291"/>
      <c r="H273" s="294"/>
      <c r="I273" s="291"/>
      <c r="J273" s="291"/>
      <c r="K273" s="291"/>
      <c r="L273" s="291"/>
      <c r="M273" s="291"/>
      <c r="N273" s="301"/>
      <c r="O273" s="291"/>
      <c r="P273" s="291"/>
      <c r="Q273" s="304" t="str">
        <f t="shared" si="4"/>
        <v/>
      </c>
    </row>
    <row r="274" spans="1:17">
      <c r="A274" s="298"/>
      <c r="B274" s="291"/>
      <c r="C274" s="291"/>
      <c r="D274" s="291"/>
      <c r="E274" s="291"/>
      <c r="F274" s="294"/>
      <c r="G274" s="291"/>
      <c r="H274" s="294"/>
      <c r="I274" s="291"/>
      <c r="J274" s="291"/>
      <c r="K274" s="291"/>
      <c r="L274" s="291"/>
      <c r="M274" s="291"/>
      <c r="N274" s="301"/>
      <c r="O274" s="291"/>
      <c r="P274" s="291"/>
      <c r="Q274" s="304" t="str">
        <f t="shared" si="4"/>
        <v/>
      </c>
    </row>
    <row r="275" spans="1:17">
      <c r="A275" s="298"/>
      <c r="B275" s="291"/>
      <c r="C275" s="291"/>
      <c r="D275" s="291"/>
      <c r="E275" s="291"/>
      <c r="F275" s="294"/>
      <c r="G275" s="291"/>
      <c r="H275" s="294"/>
      <c r="I275" s="291"/>
      <c r="J275" s="291"/>
      <c r="K275" s="291"/>
      <c r="L275" s="291"/>
      <c r="M275" s="291"/>
      <c r="N275" s="301"/>
      <c r="O275" s="291"/>
      <c r="P275" s="291"/>
      <c r="Q275" s="304" t="str">
        <f t="shared" si="4"/>
        <v/>
      </c>
    </row>
    <row r="276" spans="1:17">
      <c r="A276" s="298"/>
      <c r="B276" s="291"/>
      <c r="C276" s="291"/>
      <c r="D276" s="291"/>
      <c r="E276" s="291"/>
      <c r="F276" s="294"/>
      <c r="G276" s="291"/>
      <c r="H276" s="294"/>
      <c r="I276" s="291"/>
      <c r="J276" s="291"/>
      <c r="K276" s="291"/>
      <c r="L276" s="291"/>
      <c r="M276" s="291"/>
      <c r="N276" s="301"/>
      <c r="O276" s="291"/>
      <c r="P276" s="291"/>
      <c r="Q276" s="304" t="str">
        <f t="shared" si="4"/>
        <v/>
      </c>
    </row>
    <row r="277" spans="1:17">
      <c r="A277" s="298"/>
      <c r="B277" s="291"/>
      <c r="C277" s="291"/>
      <c r="D277" s="291"/>
      <c r="E277" s="291"/>
      <c r="F277" s="294"/>
      <c r="G277" s="291"/>
      <c r="H277" s="294"/>
      <c r="I277" s="291"/>
      <c r="J277" s="291"/>
      <c r="K277" s="291"/>
      <c r="L277" s="291"/>
      <c r="M277" s="291"/>
      <c r="N277" s="301"/>
      <c r="O277" s="291"/>
      <c r="P277" s="291"/>
      <c r="Q277" s="304" t="str">
        <f t="shared" si="4"/>
        <v/>
      </c>
    </row>
    <row r="278" spans="1:17">
      <c r="A278" s="298"/>
      <c r="B278" s="291"/>
      <c r="C278" s="291"/>
      <c r="D278" s="291"/>
      <c r="E278" s="291"/>
      <c r="F278" s="294"/>
      <c r="G278" s="291"/>
      <c r="H278" s="294"/>
      <c r="I278" s="291"/>
      <c r="J278" s="291"/>
      <c r="K278" s="291"/>
      <c r="L278" s="291"/>
      <c r="M278" s="291"/>
      <c r="N278" s="301"/>
      <c r="O278" s="291"/>
      <c r="P278" s="291"/>
      <c r="Q278" s="304" t="str">
        <f t="shared" si="4"/>
        <v/>
      </c>
    </row>
    <row r="279" spans="1:17">
      <c r="A279" s="298"/>
      <c r="B279" s="291"/>
      <c r="C279" s="291"/>
      <c r="D279" s="291"/>
      <c r="E279" s="291"/>
      <c r="F279" s="294"/>
      <c r="G279" s="291"/>
      <c r="H279" s="294"/>
      <c r="I279" s="291"/>
      <c r="J279" s="291"/>
      <c r="K279" s="291"/>
      <c r="L279" s="291"/>
      <c r="M279" s="291"/>
      <c r="N279" s="301"/>
      <c r="O279" s="291"/>
      <c r="P279" s="291"/>
      <c r="Q279" s="304" t="str">
        <f t="shared" si="4"/>
        <v/>
      </c>
    </row>
    <row r="280" spans="1:17">
      <c r="A280" s="298"/>
      <c r="B280" s="291"/>
      <c r="C280" s="291"/>
      <c r="D280" s="291"/>
      <c r="E280" s="291"/>
      <c r="F280" s="294"/>
      <c r="G280" s="291"/>
      <c r="H280" s="294"/>
      <c r="I280" s="291"/>
      <c r="J280" s="291"/>
      <c r="K280" s="291"/>
      <c r="L280" s="291"/>
      <c r="M280" s="291"/>
      <c r="N280" s="301"/>
      <c r="O280" s="291"/>
      <c r="P280" s="291"/>
      <c r="Q280" s="304" t="str">
        <f t="shared" si="4"/>
        <v/>
      </c>
    </row>
    <row r="281" spans="1:17">
      <c r="A281" s="298"/>
      <c r="B281" s="291"/>
      <c r="C281" s="291"/>
      <c r="D281" s="291"/>
      <c r="E281" s="291"/>
      <c r="F281" s="294"/>
      <c r="G281" s="291"/>
      <c r="H281" s="294"/>
      <c r="I281" s="291"/>
      <c r="J281" s="291"/>
      <c r="K281" s="291"/>
      <c r="L281" s="291"/>
      <c r="M281" s="291"/>
      <c r="N281" s="301"/>
      <c r="O281" s="291"/>
      <c r="P281" s="291"/>
      <c r="Q281" s="304" t="str">
        <f t="shared" si="4"/>
        <v/>
      </c>
    </row>
    <row r="282" spans="1:17">
      <c r="A282" s="298"/>
      <c r="B282" s="291"/>
      <c r="C282" s="291"/>
      <c r="D282" s="291"/>
      <c r="E282" s="291"/>
      <c r="F282" s="294"/>
      <c r="G282" s="291"/>
      <c r="H282" s="294"/>
      <c r="I282" s="291"/>
      <c r="J282" s="291"/>
      <c r="K282" s="291"/>
      <c r="L282" s="291"/>
      <c r="M282" s="291"/>
      <c r="N282" s="301"/>
      <c r="O282" s="291"/>
      <c r="P282" s="291"/>
      <c r="Q282" s="304" t="str">
        <f t="shared" si="4"/>
        <v/>
      </c>
    </row>
    <row r="283" spans="1:17">
      <c r="A283" s="298"/>
      <c r="B283" s="291"/>
      <c r="C283" s="291"/>
      <c r="D283" s="291"/>
      <c r="E283" s="291"/>
      <c r="F283" s="294"/>
      <c r="G283" s="291"/>
      <c r="H283" s="294"/>
      <c r="I283" s="291"/>
      <c r="J283" s="291"/>
      <c r="K283" s="291"/>
      <c r="L283" s="291"/>
      <c r="M283" s="291"/>
      <c r="N283" s="301"/>
      <c r="O283" s="291"/>
      <c r="P283" s="291"/>
      <c r="Q283" s="304" t="str">
        <f t="shared" si="4"/>
        <v/>
      </c>
    </row>
    <row r="284" spans="1:17">
      <c r="A284" s="298"/>
      <c r="B284" s="291"/>
      <c r="C284" s="291"/>
      <c r="D284" s="291"/>
      <c r="E284" s="291"/>
      <c r="F284" s="294"/>
      <c r="G284" s="291"/>
      <c r="H284" s="294"/>
      <c r="I284" s="291"/>
      <c r="J284" s="291"/>
      <c r="K284" s="291"/>
      <c r="L284" s="291"/>
      <c r="M284" s="291"/>
      <c r="N284" s="301"/>
      <c r="O284" s="291"/>
      <c r="P284" s="291"/>
      <c r="Q284" s="304" t="str">
        <f t="shared" si="4"/>
        <v/>
      </c>
    </row>
    <row r="285" spans="1:17">
      <c r="A285" s="298"/>
      <c r="B285" s="291"/>
      <c r="C285" s="291"/>
      <c r="D285" s="291"/>
      <c r="E285" s="291"/>
      <c r="F285" s="294"/>
      <c r="G285" s="291"/>
      <c r="H285" s="294"/>
      <c r="I285" s="291"/>
      <c r="J285" s="291"/>
      <c r="K285" s="291"/>
      <c r="L285" s="291"/>
      <c r="M285" s="291"/>
      <c r="N285" s="301"/>
      <c r="O285" s="291"/>
      <c r="P285" s="291"/>
      <c r="Q285" s="304" t="str">
        <f t="shared" si="4"/>
        <v/>
      </c>
    </row>
    <row r="286" spans="1:17">
      <c r="A286" s="298"/>
      <c r="B286" s="291"/>
      <c r="C286" s="291"/>
      <c r="D286" s="291"/>
      <c r="E286" s="291"/>
      <c r="F286" s="294"/>
      <c r="G286" s="291"/>
      <c r="H286" s="294"/>
      <c r="I286" s="291"/>
      <c r="J286" s="291"/>
      <c r="K286" s="291"/>
      <c r="L286" s="291"/>
      <c r="M286" s="291"/>
      <c r="N286" s="301"/>
      <c r="O286" s="291"/>
      <c r="P286" s="291"/>
      <c r="Q286" s="304" t="str">
        <f t="shared" si="4"/>
        <v/>
      </c>
    </row>
    <row r="287" spans="1:17">
      <c r="A287" s="298"/>
      <c r="B287" s="291"/>
      <c r="C287" s="291"/>
      <c r="D287" s="291"/>
      <c r="E287" s="291"/>
      <c r="F287" s="294"/>
      <c r="G287" s="291"/>
      <c r="H287" s="294"/>
      <c r="I287" s="291"/>
      <c r="J287" s="291"/>
      <c r="K287" s="291"/>
      <c r="L287" s="291"/>
      <c r="M287" s="291"/>
      <c r="N287" s="301"/>
      <c r="O287" s="291"/>
      <c r="P287" s="291"/>
      <c r="Q287" s="304" t="str">
        <f t="shared" si="4"/>
        <v/>
      </c>
    </row>
    <row r="288" spans="1:17">
      <c r="A288" s="298"/>
      <c r="B288" s="291"/>
      <c r="C288" s="291"/>
      <c r="D288" s="291"/>
      <c r="E288" s="291"/>
      <c r="F288" s="294"/>
      <c r="G288" s="291"/>
      <c r="H288" s="294"/>
      <c r="I288" s="291"/>
      <c r="J288" s="291"/>
      <c r="K288" s="291"/>
      <c r="L288" s="291"/>
      <c r="M288" s="291"/>
      <c r="N288" s="301"/>
      <c r="O288" s="291"/>
      <c r="P288" s="291"/>
      <c r="Q288" s="304" t="str">
        <f t="shared" si="4"/>
        <v/>
      </c>
    </row>
    <row r="289" spans="1:17">
      <c r="A289" s="298"/>
      <c r="B289" s="291"/>
      <c r="C289" s="291"/>
      <c r="D289" s="291"/>
      <c r="E289" s="291"/>
      <c r="F289" s="294"/>
      <c r="G289" s="291"/>
      <c r="H289" s="294"/>
      <c r="I289" s="291"/>
      <c r="J289" s="291"/>
      <c r="K289" s="291"/>
      <c r="L289" s="291"/>
      <c r="M289" s="291"/>
      <c r="N289" s="301"/>
      <c r="O289" s="291"/>
      <c r="P289" s="291"/>
      <c r="Q289" s="304" t="str">
        <f t="shared" si="4"/>
        <v/>
      </c>
    </row>
    <row r="290" spans="1:17">
      <c r="A290" s="298"/>
      <c r="B290" s="291"/>
      <c r="C290" s="291"/>
      <c r="D290" s="291"/>
      <c r="E290" s="291"/>
      <c r="F290" s="294"/>
      <c r="G290" s="291"/>
      <c r="H290" s="294"/>
      <c r="I290" s="291"/>
      <c r="J290" s="291"/>
      <c r="K290" s="291"/>
      <c r="L290" s="291"/>
      <c r="M290" s="291"/>
      <c r="N290" s="301"/>
      <c r="O290" s="291"/>
      <c r="P290" s="291"/>
      <c r="Q290" s="304" t="str">
        <f t="shared" si="4"/>
        <v/>
      </c>
    </row>
    <row r="291" spans="1:17">
      <c r="A291" s="298"/>
      <c r="B291" s="291"/>
      <c r="C291" s="291"/>
      <c r="D291" s="291"/>
      <c r="E291" s="291"/>
      <c r="F291" s="294"/>
      <c r="G291" s="291"/>
      <c r="H291" s="294"/>
      <c r="I291" s="291"/>
      <c r="J291" s="291"/>
      <c r="K291" s="291"/>
      <c r="L291" s="291"/>
      <c r="M291" s="291"/>
      <c r="N291" s="301"/>
      <c r="O291" s="291"/>
      <c r="P291" s="291"/>
      <c r="Q291" s="304" t="str">
        <f t="shared" si="4"/>
        <v/>
      </c>
    </row>
    <row r="292" spans="1:17">
      <c r="A292" s="298"/>
      <c r="B292" s="291"/>
      <c r="C292" s="291"/>
      <c r="D292" s="291"/>
      <c r="E292" s="291"/>
      <c r="F292" s="294"/>
      <c r="G292" s="291"/>
      <c r="H292" s="294"/>
      <c r="I292" s="291"/>
      <c r="J292" s="291"/>
      <c r="K292" s="291"/>
      <c r="L292" s="291"/>
      <c r="M292" s="291"/>
      <c r="N292" s="301"/>
      <c r="O292" s="291"/>
      <c r="P292" s="291"/>
      <c r="Q292" s="304" t="str">
        <f t="shared" si="4"/>
        <v/>
      </c>
    </row>
    <row r="293" spans="1:17">
      <c r="A293" s="298"/>
      <c r="B293" s="291"/>
      <c r="C293" s="291"/>
      <c r="D293" s="291"/>
      <c r="E293" s="291"/>
      <c r="F293" s="294"/>
      <c r="G293" s="291"/>
      <c r="H293" s="294"/>
      <c r="I293" s="291"/>
      <c r="J293" s="291"/>
      <c r="K293" s="291"/>
      <c r="L293" s="291"/>
      <c r="M293" s="291"/>
      <c r="N293" s="301"/>
      <c r="O293" s="291"/>
      <c r="P293" s="291"/>
      <c r="Q293" s="304" t="str">
        <f t="shared" si="4"/>
        <v/>
      </c>
    </row>
    <row r="294" spans="1:17">
      <c r="A294" s="298"/>
      <c r="B294" s="291"/>
      <c r="C294" s="291"/>
      <c r="D294" s="291"/>
      <c r="E294" s="291"/>
      <c r="F294" s="294"/>
      <c r="G294" s="291"/>
      <c r="H294" s="294"/>
      <c r="I294" s="291"/>
      <c r="J294" s="291"/>
      <c r="K294" s="291"/>
      <c r="L294" s="291"/>
      <c r="M294" s="291"/>
      <c r="N294" s="301"/>
      <c r="O294" s="291"/>
      <c r="P294" s="291"/>
      <c r="Q294" s="304" t="str">
        <f t="shared" si="4"/>
        <v/>
      </c>
    </row>
    <row r="295" spans="1:17">
      <c r="A295" s="298"/>
      <c r="B295" s="291"/>
      <c r="C295" s="291"/>
      <c r="D295" s="291"/>
      <c r="E295" s="291"/>
      <c r="F295" s="294"/>
      <c r="G295" s="291"/>
      <c r="H295" s="294"/>
      <c r="I295" s="291"/>
      <c r="J295" s="291"/>
      <c r="K295" s="291"/>
      <c r="L295" s="291"/>
      <c r="M295" s="291"/>
      <c r="N295" s="301"/>
      <c r="O295" s="291"/>
      <c r="P295" s="291"/>
      <c r="Q295" s="304" t="str">
        <f t="shared" si="4"/>
        <v/>
      </c>
    </row>
    <row r="296" spans="1:17">
      <c r="A296" s="298"/>
      <c r="B296" s="291"/>
      <c r="C296" s="291"/>
      <c r="D296" s="291"/>
      <c r="E296" s="291"/>
      <c r="F296" s="294"/>
      <c r="G296" s="291"/>
      <c r="H296" s="294"/>
      <c r="I296" s="291"/>
      <c r="J296" s="291"/>
      <c r="K296" s="291"/>
      <c r="L296" s="291"/>
      <c r="M296" s="291"/>
      <c r="N296" s="301"/>
      <c r="O296" s="291"/>
      <c r="P296" s="291"/>
      <c r="Q296" s="304" t="str">
        <f t="shared" si="4"/>
        <v/>
      </c>
    </row>
    <row r="297" spans="1:17">
      <c r="A297" s="298"/>
      <c r="B297" s="291"/>
      <c r="C297" s="291"/>
      <c r="D297" s="291"/>
      <c r="E297" s="291"/>
      <c r="F297" s="294"/>
      <c r="G297" s="291"/>
      <c r="H297" s="294"/>
      <c r="I297" s="291"/>
      <c r="J297" s="291"/>
      <c r="K297" s="291"/>
      <c r="L297" s="291"/>
      <c r="M297" s="291"/>
      <c r="N297" s="301"/>
      <c r="O297" s="291"/>
      <c r="P297" s="291"/>
      <c r="Q297" s="304" t="str">
        <f t="shared" si="4"/>
        <v/>
      </c>
    </row>
    <row r="298" spans="1:17">
      <c r="A298" s="298"/>
      <c r="B298" s="291"/>
      <c r="C298" s="291"/>
      <c r="D298" s="291"/>
      <c r="E298" s="291"/>
      <c r="F298" s="294"/>
      <c r="G298" s="291"/>
      <c r="H298" s="294"/>
      <c r="I298" s="291"/>
      <c r="J298" s="291"/>
      <c r="K298" s="291"/>
      <c r="L298" s="291"/>
      <c r="M298" s="291"/>
      <c r="N298" s="301"/>
      <c r="O298" s="291"/>
      <c r="P298" s="291"/>
      <c r="Q298" s="304" t="str">
        <f t="shared" si="4"/>
        <v/>
      </c>
    </row>
    <row r="299" spans="1:17">
      <c r="A299" s="298"/>
      <c r="B299" s="291"/>
      <c r="C299" s="291"/>
      <c r="D299" s="291"/>
      <c r="E299" s="291"/>
      <c r="F299" s="294"/>
      <c r="G299" s="291"/>
      <c r="H299" s="294"/>
      <c r="I299" s="291"/>
      <c r="J299" s="291"/>
      <c r="K299" s="291"/>
      <c r="L299" s="291"/>
      <c r="M299" s="291"/>
      <c r="N299" s="301"/>
      <c r="O299" s="291"/>
      <c r="P299" s="291"/>
      <c r="Q299" s="304" t="str">
        <f t="shared" si="4"/>
        <v/>
      </c>
    </row>
    <row r="300" spans="1:17">
      <c r="A300" s="298"/>
      <c r="B300" s="291"/>
      <c r="C300" s="291"/>
      <c r="D300" s="291"/>
      <c r="E300" s="291"/>
      <c r="F300" s="294"/>
      <c r="G300" s="291"/>
      <c r="H300" s="294"/>
      <c r="I300" s="291"/>
      <c r="J300" s="291"/>
      <c r="K300" s="291"/>
      <c r="L300" s="291"/>
      <c r="M300" s="291"/>
      <c r="N300" s="301"/>
      <c r="O300" s="291"/>
      <c r="P300" s="291"/>
      <c r="Q300" s="304" t="str">
        <f t="shared" si="4"/>
        <v/>
      </c>
    </row>
    <row r="301" spans="1:17">
      <c r="A301" s="298"/>
      <c r="B301" s="291"/>
      <c r="C301" s="291"/>
      <c r="D301" s="291"/>
      <c r="E301" s="291"/>
      <c r="F301" s="294"/>
      <c r="G301" s="291"/>
      <c r="H301" s="294"/>
      <c r="I301" s="291"/>
      <c r="J301" s="291"/>
      <c r="K301" s="291"/>
      <c r="L301" s="291"/>
      <c r="M301" s="291"/>
      <c r="N301" s="301"/>
      <c r="O301" s="291"/>
      <c r="P301" s="291"/>
      <c r="Q301" s="304" t="str">
        <f t="shared" si="4"/>
        <v/>
      </c>
    </row>
    <row r="302" spans="1:17">
      <c r="A302" s="298"/>
      <c r="B302" s="291"/>
      <c r="C302" s="291"/>
      <c r="D302" s="291"/>
      <c r="E302" s="291"/>
      <c r="F302" s="294"/>
      <c r="G302" s="291"/>
      <c r="H302" s="294"/>
      <c r="I302" s="291"/>
      <c r="J302" s="291"/>
      <c r="K302" s="291"/>
      <c r="L302" s="291"/>
      <c r="M302" s="291"/>
      <c r="N302" s="301"/>
      <c r="O302" s="291"/>
      <c r="P302" s="291"/>
      <c r="Q302" s="304" t="str">
        <f t="shared" si="4"/>
        <v/>
      </c>
    </row>
    <row r="303" spans="1:17">
      <c r="A303" s="298"/>
      <c r="B303" s="291"/>
      <c r="C303" s="291"/>
      <c r="D303" s="291"/>
      <c r="E303" s="291"/>
      <c r="F303" s="294"/>
      <c r="G303" s="291"/>
      <c r="H303" s="294"/>
      <c r="I303" s="291"/>
      <c r="J303" s="291"/>
      <c r="K303" s="291"/>
      <c r="L303" s="291"/>
      <c r="M303" s="291"/>
      <c r="N303" s="301"/>
      <c r="O303" s="291"/>
      <c r="P303" s="291"/>
      <c r="Q303" s="304" t="str">
        <f t="shared" si="4"/>
        <v/>
      </c>
    </row>
    <row r="304" spans="1:17">
      <c r="A304" s="299"/>
      <c r="B304" s="292"/>
      <c r="C304" s="292"/>
      <c r="D304" s="292"/>
      <c r="E304" s="292"/>
      <c r="F304" s="295"/>
      <c r="G304" s="292"/>
      <c r="H304" s="295"/>
      <c r="I304" s="292"/>
      <c r="J304" s="292"/>
      <c r="K304" s="292"/>
      <c r="L304" s="292"/>
      <c r="M304" s="292"/>
      <c r="N304" s="302"/>
      <c r="O304" s="292"/>
      <c r="P304" s="292"/>
      <c r="Q304" s="305" t="str">
        <f t="shared" si="4"/>
        <v/>
      </c>
    </row>
  </sheetData>
  <mergeCells count="2">
    <mergeCell ref="A1:K1"/>
    <mergeCell ref="A2:G2"/>
  </mergeCells>
  <conditionalFormatting sqref="H5:H3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M5:M304">
    <cfRule type="expression" dxfId="772" priority="2">
      <formula>M5="Abierto"</formula>
    </cfRule>
  </conditionalFormatting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204"/>
  <sheetViews>
    <sheetView workbookViewId="0"/>
  </sheetViews>
  <sheetFormatPr baseColWidth="10" defaultColWidth="8.7265625" defaultRowHeight="14.5"/>
  <cols>
    <col min="1" max="1" width="8.54296875" style="344" customWidth="1"/>
    <col min="2" max="2" width="12" style="344" customWidth="1"/>
    <col min="3" max="3" width="14.36328125" style="344" customWidth="1"/>
    <col min="4" max="4" width="30" style="344" customWidth="1"/>
    <col min="5" max="5" width="14.6328125" style="344" customWidth="1"/>
    <col min="6" max="6" width="15.1796875" style="344" customWidth="1"/>
    <col min="7" max="7" width="14.36328125" style="344" customWidth="1"/>
    <col min="8" max="8" width="13.54296875" style="344" customWidth="1"/>
    <col min="9" max="9" width="12.54296875" style="344" customWidth="1"/>
    <col min="10" max="10" width="9.453125" style="344" customWidth="1"/>
    <col min="11" max="11" width="19.08984375" style="344" customWidth="1"/>
    <col min="12" max="12" width="10.7265625" style="344" customWidth="1"/>
    <col min="13" max="13" width="30" style="344" customWidth="1"/>
    <col min="14" max="14" width="8.7265625" style="344" customWidth="1"/>
    <col min="15" max="15" width="35.08984375" style="344" customWidth="1"/>
    <col min="16" max="16" width="8.7265625" style="344" customWidth="1"/>
    <col min="17" max="16384" width="8.7265625" style="344"/>
  </cols>
  <sheetData>
    <row r="1" spans="1:15" ht="12.4" customHeight="1">
      <c r="A1" s="483" t="s">
        <v>2447</v>
      </c>
      <c r="B1" s="482"/>
      <c r="C1" s="482"/>
      <c r="D1" s="482"/>
      <c r="E1" s="482"/>
      <c r="F1" s="482"/>
      <c r="G1" s="345"/>
      <c r="H1" s="345"/>
      <c r="I1" s="345"/>
      <c r="J1" s="345"/>
      <c r="K1" s="345"/>
      <c r="L1" s="345"/>
      <c r="M1" s="345"/>
      <c r="N1" s="345"/>
      <c r="O1" s="345"/>
    </row>
    <row r="2" spans="1:15" ht="12.9" customHeight="1">
      <c r="A2" s="481" t="s">
        <v>2448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346"/>
      <c r="O2" s="346"/>
    </row>
    <row r="3" spans="1:15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</row>
    <row r="4" spans="1:15" ht="12.9" customHeight="1">
      <c r="A4" s="352" t="s">
        <v>73</v>
      </c>
      <c r="B4" s="352" t="s">
        <v>1115</v>
      </c>
      <c r="C4" s="352" t="s">
        <v>2230</v>
      </c>
      <c r="D4" s="352" t="s">
        <v>2208</v>
      </c>
      <c r="E4" s="352" t="s">
        <v>8</v>
      </c>
      <c r="F4" s="352" t="s">
        <v>1278</v>
      </c>
      <c r="G4" s="352" t="s">
        <v>1714</v>
      </c>
      <c r="H4" s="352" t="s">
        <v>655</v>
      </c>
      <c r="I4" s="352" t="s">
        <v>2449</v>
      </c>
      <c r="J4" s="352" t="s">
        <v>882</v>
      </c>
      <c r="K4" s="352" t="s">
        <v>2450</v>
      </c>
      <c r="L4" s="352" t="s">
        <v>2181</v>
      </c>
      <c r="M4" s="352" t="s">
        <v>2252</v>
      </c>
      <c r="N4" s="352" t="s">
        <v>2451</v>
      </c>
      <c r="O4" s="352" t="s">
        <v>656</v>
      </c>
    </row>
    <row r="5" spans="1:15" ht="12.9" customHeight="1">
      <c r="A5" s="349" t="s">
        <v>2452</v>
      </c>
      <c r="B5" s="349">
        <v>3</v>
      </c>
      <c r="C5" s="349" t="s">
        <v>2189</v>
      </c>
      <c r="D5" s="349" t="s">
        <v>2453</v>
      </c>
      <c r="E5" s="349" t="s">
        <v>2454</v>
      </c>
      <c r="F5" s="353" t="s">
        <v>2455</v>
      </c>
      <c r="G5" s="351">
        <v>15</v>
      </c>
      <c r="H5" s="349" t="str">
        <f t="shared" ref="H5:H24" ca="1" si="0">IF(J5&lt;&gt;"","Rendida",IF(TODAY()&gt;F5,"Vencida",IF(I5&gt;=80,"Preparada","Pendiente")))</f>
        <v>Pendiente</v>
      </c>
      <c r="I5" s="350">
        <f>IFERROR(ROUND(((SUMIFS('55_T2_CONTENIDOS_Y_AVANCE'!$I:$I,'55_T2_CONTENIDOS_Y_AVANCE'!$B:$B,$B5,'55_T2_CONTENIDOS_Y_AVANCE'!$C:$C,$C5)/MAX(COUNTIFS('55_T2_CONTENIDOS_Y_AVANCE'!$B:$B,$B5,'55_T2_CONTENIDOS_Y_AVANCE'!$C:$C,$C5),1)*0.4)+(SUMIFS('55_T2_CONTENIDOS_Y_AVANCE'!$J:$J,'55_T2_CONTENIDOS_Y_AVANCE'!$B:$B,$B5,'55_T2_CONTENIDOS_Y_AVANCE'!$C:$C,$C5)/MAX(COUNTIFS('55_T2_CONTENIDOS_Y_AVANCE'!$B:$B,$B5,'55_T2_CONTENIDOS_Y_AVANCE'!$C:$C,$C5),1)*0.4)+(MIN(SUMIFS('56_T2_ESTUDIO_Y_ERRORES'!$Q:$Q,'56_T2_ESTUDIO_Y_ERRORES'!$B:$B,$B5,'56_T2_ESTUDIO_Y_ERRORES'!$C:$C,$C5)/MAX(SUMIFS('55_T2_CONTENIDOS_Y_AVANCE'!$M:$M,'55_T2_CONTENIDOS_Y_AVANCE'!$B:$B,$B5,'55_T2_CONTENIDOS_Y_AVANCE'!$C:$C,$C5),1)*100,100)*0.2)),0),0)</f>
        <v>0</v>
      </c>
      <c r="J5" s="351"/>
      <c r="K5" s="354" t="str">
        <f t="shared" ref="K5:K24" si="1">IF(J5="","",J5*G5/100)</f>
        <v/>
      </c>
      <c r="L5" s="349" t="str">
        <f t="shared" ref="L5:L24" si="2">IF(I5&lt;50,"Alto",IF(I5&lt;80,"Medio","Bajo"))</f>
        <v>Alto</v>
      </c>
      <c r="M5" s="349" t="str">
        <f t="shared" ref="M5:M24" si="3">IF(J5&lt;&gt;"","Registrar evidencia y revisar resultado",IF(I5=0,"Abrir bloques en hoja 56 y estudiar base",IF(I5&lt;50,"Estudiar urgente",IF(I5&lt;80,"Reforzar contenidos","Listo para rendir"))))</f>
        <v>Abrir bloques en hoja 56 y estudiar base</v>
      </c>
      <c r="N5" s="349"/>
      <c r="O5" s="349" t="s">
        <v>2456</v>
      </c>
    </row>
    <row r="6" spans="1:15" ht="12.9" customHeight="1">
      <c r="A6" s="349" t="s">
        <v>2457</v>
      </c>
      <c r="B6" s="349">
        <v>3</v>
      </c>
      <c r="C6" s="349" t="s">
        <v>2184</v>
      </c>
      <c r="D6" s="349" t="s">
        <v>2458</v>
      </c>
      <c r="E6" s="349" t="s">
        <v>2459</v>
      </c>
      <c r="F6" s="353" t="s">
        <v>2455</v>
      </c>
      <c r="G6" s="351">
        <v>6</v>
      </c>
      <c r="H6" s="349" t="str">
        <f t="shared" ca="1" si="0"/>
        <v>Pendiente</v>
      </c>
      <c r="I6" s="350">
        <f>IFERROR(ROUND(((SUMIFS('55_T2_CONTENIDOS_Y_AVANCE'!$I:$I,'55_T2_CONTENIDOS_Y_AVANCE'!$B:$B,$B6,'55_T2_CONTENIDOS_Y_AVANCE'!$C:$C,$C6)/MAX(COUNTIFS('55_T2_CONTENIDOS_Y_AVANCE'!$B:$B,$B6,'55_T2_CONTENIDOS_Y_AVANCE'!$C:$C,$C6),1)*0.4)+(SUMIFS('55_T2_CONTENIDOS_Y_AVANCE'!$J:$J,'55_T2_CONTENIDOS_Y_AVANCE'!$B:$B,$B6,'55_T2_CONTENIDOS_Y_AVANCE'!$C:$C,$C6)/MAX(COUNTIFS('55_T2_CONTENIDOS_Y_AVANCE'!$B:$B,$B6,'55_T2_CONTENIDOS_Y_AVANCE'!$C:$C,$C6),1)*0.4)+(MIN(SUMIFS('56_T2_ESTUDIO_Y_ERRORES'!$Q:$Q,'56_T2_ESTUDIO_Y_ERRORES'!$B:$B,$B6,'56_T2_ESTUDIO_Y_ERRORES'!$C:$C,$C6)/MAX(SUMIFS('55_T2_CONTENIDOS_Y_AVANCE'!$M:$M,'55_T2_CONTENIDOS_Y_AVANCE'!$B:$B,$B6,'55_T2_CONTENIDOS_Y_AVANCE'!$C:$C,$C6),1)*100,100)*0.2)),0),0)</f>
        <v>0</v>
      </c>
      <c r="J6" s="351"/>
      <c r="K6" s="354" t="str">
        <f t="shared" si="1"/>
        <v/>
      </c>
      <c r="L6" s="349" t="str">
        <f t="shared" si="2"/>
        <v>Alto</v>
      </c>
      <c r="M6" s="349" t="str">
        <f t="shared" si="3"/>
        <v>Abrir bloques en hoja 56 y estudiar base</v>
      </c>
      <c r="N6" s="349"/>
      <c r="O6" s="349" t="s">
        <v>2460</v>
      </c>
    </row>
    <row r="7" spans="1:15" ht="12.9" customHeight="1">
      <c r="A7" s="349" t="s">
        <v>2461</v>
      </c>
      <c r="B7" s="349">
        <v>3</v>
      </c>
      <c r="C7" s="349" t="s">
        <v>2199</v>
      </c>
      <c r="D7" s="349" t="s">
        <v>2462</v>
      </c>
      <c r="E7" s="349" t="s">
        <v>2459</v>
      </c>
      <c r="F7" s="353" t="s">
        <v>2455</v>
      </c>
      <c r="G7" s="351">
        <v>6</v>
      </c>
      <c r="H7" s="349" t="str">
        <f t="shared" ca="1" si="0"/>
        <v>Pendiente</v>
      </c>
      <c r="I7" s="350">
        <f>IFERROR(ROUND(((SUMIFS('55_T2_CONTENIDOS_Y_AVANCE'!$I:$I,'55_T2_CONTENIDOS_Y_AVANCE'!$B:$B,$B7,'55_T2_CONTENIDOS_Y_AVANCE'!$C:$C,$C7)/MAX(COUNTIFS('55_T2_CONTENIDOS_Y_AVANCE'!$B:$B,$B7,'55_T2_CONTENIDOS_Y_AVANCE'!$C:$C,$C7),1)*0.4)+(SUMIFS('55_T2_CONTENIDOS_Y_AVANCE'!$J:$J,'55_T2_CONTENIDOS_Y_AVANCE'!$B:$B,$B7,'55_T2_CONTENIDOS_Y_AVANCE'!$C:$C,$C7)/MAX(COUNTIFS('55_T2_CONTENIDOS_Y_AVANCE'!$B:$B,$B7,'55_T2_CONTENIDOS_Y_AVANCE'!$C:$C,$C7),1)*0.4)+(MIN(SUMIFS('56_T2_ESTUDIO_Y_ERRORES'!$Q:$Q,'56_T2_ESTUDIO_Y_ERRORES'!$B:$B,$B7,'56_T2_ESTUDIO_Y_ERRORES'!$C:$C,$C7)/MAX(SUMIFS('55_T2_CONTENIDOS_Y_AVANCE'!$M:$M,'55_T2_CONTENIDOS_Y_AVANCE'!$B:$B,$B7,'55_T2_CONTENIDOS_Y_AVANCE'!$C:$C,$C7),1)*100,100)*0.2)),0),0)</f>
        <v>0</v>
      </c>
      <c r="J7" s="351"/>
      <c r="K7" s="354" t="str">
        <f t="shared" si="1"/>
        <v/>
      </c>
      <c r="L7" s="349" t="str">
        <f t="shared" si="2"/>
        <v>Alto</v>
      </c>
      <c r="M7" s="349" t="str">
        <f t="shared" si="3"/>
        <v>Abrir bloques en hoja 56 y estudiar base</v>
      </c>
      <c r="N7" s="349"/>
      <c r="O7" s="349" t="s">
        <v>2463</v>
      </c>
    </row>
    <row r="8" spans="1:15" ht="12.9" customHeight="1">
      <c r="A8" s="349" t="s">
        <v>2464</v>
      </c>
      <c r="B8" s="349">
        <v>4</v>
      </c>
      <c r="C8" s="349" t="s">
        <v>2189</v>
      </c>
      <c r="D8" s="349" t="s">
        <v>2465</v>
      </c>
      <c r="E8" s="349" t="s">
        <v>2454</v>
      </c>
      <c r="F8" s="353" t="s">
        <v>2466</v>
      </c>
      <c r="G8" s="351">
        <v>6</v>
      </c>
      <c r="H8" s="349" t="str">
        <f t="shared" ca="1" si="0"/>
        <v>Pendiente</v>
      </c>
      <c r="I8" s="350">
        <f>IFERROR(ROUND(((SUMIFS('55_T2_CONTENIDOS_Y_AVANCE'!$I:$I,'55_T2_CONTENIDOS_Y_AVANCE'!$B:$B,$B8,'55_T2_CONTENIDOS_Y_AVANCE'!$C:$C,$C8)/MAX(COUNTIFS('55_T2_CONTENIDOS_Y_AVANCE'!$B:$B,$B8,'55_T2_CONTENIDOS_Y_AVANCE'!$C:$C,$C8),1)*0.4)+(SUMIFS('55_T2_CONTENIDOS_Y_AVANCE'!$J:$J,'55_T2_CONTENIDOS_Y_AVANCE'!$B:$B,$B8,'55_T2_CONTENIDOS_Y_AVANCE'!$C:$C,$C8)/MAX(COUNTIFS('55_T2_CONTENIDOS_Y_AVANCE'!$B:$B,$B8,'55_T2_CONTENIDOS_Y_AVANCE'!$C:$C,$C8),1)*0.4)+(MIN(SUMIFS('56_T2_ESTUDIO_Y_ERRORES'!$Q:$Q,'56_T2_ESTUDIO_Y_ERRORES'!$B:$B,$B8,'56_T2_ESTUDIO_Y_ERRORES'!$C:$C,$C8)/MAX(SUMIFS('55_T2_CONTENIDOS_Y_AVANCE'!$M:$M,'55_T2_CONTENIDOS_Y_AVANCE'!$B:$B,$B8,'55_T2_CONTENIDOS_Y_AVANCE'!$C:$C,$C8),1)*100,100)*0.2)),0),0)</f>
        <v>0</v>
      </c>
      <c r="J8" s="351"/>
      <c r="K8" s="354" t="str">
        <f t="shared" si="1"/>
        <v/>
      </c>
      <c r="L8" s="349" t="str">
        <f t="shared" si="2"/>
        <v>Alto</v>
      </c>
      <c r="M8" s="349" t="str">
        <f t="shared" si="3"/>
        <v>Abrir bloques en hoja 56 y estudiar base</v>
      </c>
      <c r="N8" s="349"/>
      <c r="O8" s="349" t="s">
        <v>2467</v>
      </c>
    </row>
    <row r="9" spans="1:15" ht="12.9" customHeight="1">
      <c r="A9" s="349" t="s">
        <v>2468</v>
      </c>
      <c r="B9" s="349">
        <v>4</v>
      </c>
      <c r="C9" s="349" t="s">
        <v>2199</v>
      </c>
      <c r="D9" s="349" t="s">
        <v>2469</v>
      </c>
      <c r="E9" s="349" t="s">
        <v>2470</v>
      </c>
      <c r="F9" s="353" t="s">
        <v>2466</v>
      </c>
      <c r="G9" s="351">
        <v>6</v>
      </c>
      <c r="H9" s="349" t="str">
        <f t="shared" ca="1" si="0"/>
        <v>Pendiente</v>
      </c>
      <c r="I9" s="350">
        <f>IFERROR(ROUND(((SUMIFS('55_T2_CONTENIDOS_Y_AVANCE'!$I:$I,'55_T2_CONTENIDOS_Y_AVANCE'!$B:$B,$B9,'55_T2_CONTENIDOS_Y_AVANCE'!$C:$C,$C9)/MAX(COUNTIFS('55_T2_CONTENIDOS_Y_AVANCE'!$B:$B,$B9,'55_T2_CONTENIDOS_Y_AVANCE'!$C:$C,$C9),1)*0.4)+(SUMIFS('55_T2_CONTENIDOS_Y_AVANCE'!$J:$J,'55_T2_CONTENIDOS_Y_AVANCE'!$B:$B,$B9,'55_T2_CONTENIDOS_Y_AVANCE'!$C:$C,$C9)/MAX(COUNTIFS('55_T2_CONTENIDOS_Y_AVANCE'!$B:$B,$B9,'55_T2_CONTENIDOS_Y_AVANCE'!$C:$C,$C9),1)*0.4)+(MIN(SUMIFS('56_T2_ESTUDIO_Y_ERRORES'!$Q:$Q,'56_T2_ESTUDIO_Y_ERRORES'!$B:$B,$B9,'56_T2_ESTUDIO_Y_ERRORES'!$C:$C,$C9)/MAX(SUMIFS('55_T2_CONTENIDOS_Y_AVANCE'!$M:$M,'55_T2_CONTENIDOS_Y_AVANCE'!$B:$B,$B9,'55_T2_CONTENIDOS_Y_AVANCE'!$C:$C,$C9),1)*100,100)*0.2)),0),0)</f>
        <v>0</v>
      </c>
      <c r="J9" s="351"/>
      <c r="K9" s="354" t="str">
        <f t="shared" si="1"/>
        <v/>
      </c>
      <c r="L9" s="349" t="str">
        <f t="shared" si="2"/>
        <v>Alto</v>
      </c>
      <c r="M9" s="349" t="str">
        <f t="shared" si="3"/>
        <v>Abrir bloques en hoja 56 y estudiar base</v>
      </c>
      <c r="N9" s="349"/>
      <c r="O9" s="349" t="s">
        <v>2471</v>
      </c>
    </row>
    <row r="10" spans="1:15" ht="12.9" customHeight="1">
      <c r="A10" s="349" t="s">
        <v>2472</v>
      </c>
      <c r="B10" s="349">
        <v>4</v>
      </c>
      <c r="C10" s="349" t="s">
        <v>35</v>
      </c>
      <c r="D10" s="349" t="s">
        <v>2473</v>
      </c>
      <c r="E10" s="349" t="s">
        <v>2454</v>
      </c>
      <c r="F10" s="353" t="s">
        <v>2466</v>
      </c>
      <c r="G10" s="351">
        <v>7.5</v>
      </c>
      <c r="H10" s="349" t="str">
        <f t="shared" ca="1" si="0"/>
        <v>Pendiente</v>
      </c>
      <c r="I10" s="350">
        <f>IFERROR(ROUND(((SUMIFS('55_T2_CONTENIDOS_Y_AVANCE'!$I:$I,'55_T2_CONTENIDOS_Y_AVANCE'!$B:$B,$B10,'55_T2_CONTENIDOS_Y_AVANCE'!$C:$C,$C10)/MAX(COUNTIFS('55_T2_CONTENIDOS_Y_AVANCE'!$B:$B,$B10,'55_T2_CONTENIDOS_Y_AVANCE'!$C:$C,$C10),1)*0.4)+(SUMIFS('55_T2_CONTENIDOS_Y_AVANCE'!$J:$J,'55_T2_CONTENIDOS_Y_AVANCE'!$B:$B,$B10,'55_T2_CONTENIDOS_Y_AVANCE'!$C:$C,$C10)/MAX(COUNTIFS('55_T2_CONTENIDOS_Y_AVANCE'!$B:$B,$B10,'55_T2_CONTENIDOS_Y_AVANCE'!$C:$C,$C10),1)*0.4)+(MIN(SUMIFS('56_T2_ESTUDIO_Y_ERRORES'!$Q:$Q,'56_T2_ESTUDIO_Y_ERRORES'!$B:$B,$B10,'56_T2_ESTUDIO_Y_ERRORES'!$C:$C,$C10)/MAX(SUMIFS('55_T2_CONTENIDOS_Y_AVANCE'!$M:$M,'55_T2_CONTENIDOS_Y_AVANCE'!$B:$B,$B10,'55_T2_CONTENIDOS_Y_AVANCE'!$C:$C,$C10),1)*100,100)*0.2)),0),0)</f>
        <v>21</v>
      </c>
      <c r="J10" s="351"/>
      <c r="K10" s="354" t="str">
        <f t="shared" si="1"/>
        <v/>
      </c>
      <c r="L10" s="349" t="str">
        <f t="shared" si="2"/>
        <v>Alto</v>
      </c>
      <c r="M10" s="349" t="str">
        <f t="shared" si="3"/>
        <v>Estudiar urgente</v>
      </c>
      <c r="N10" s="349"/>
      <c r="O10" s="349" t="s">
        <v>2474</v>
      </c>
    </row>
    <row r="11" spans="1:15" ht="12.9" customHeight="1">
      <c r="A11" s="349" t="s">
        <v>2475</v>
      </c>
      <c r="B11" s="349">
        <v>7</v>
      </c>
      <c r="C11" s="349" t="s">
        <v>2184</v>
      </c>
      <c r="D11" s="349" t="s">
        <v>2476</v>
      </c>
      <c r="E11" s="349" t="s">
        <v>2470</v>
      </c>
      <c r="F11" s="353" t="s">
        <v>2477</v>
      </c>
      <c r="G11" s="351">
        <v>35</v>
      </c>
      <c r="H11" s="349" t="str">
        <f t="shared" ca="1" si="0"/>
        <v>Pendiente</v>
      </c>
      <c r="I11" s="350">
        <f>IFERROR(ROUND(((SUMIFS('55_T2_CONTENIDOS_Y_AVANCE'!$I:$I,'55_T2_CONTENIDOS_Y_AVANCE'!$B:$B,$B11,'55_T2_CONTENIDOS_Y_AVANCE'!$C:$C,$C11)/MAX(COUNTIFS('55_T2_CONTENIDOS_Y_AVANCE'!$B:$B,$B11,'55_T2_CONTENIDOS_Y_AVANCE'!$C:$C,$C11),1)*0.4)+(SUMIFS('55_T2_CONTENIDOS_Y_AVANCE'!$J:$J,'55_T2_CONTENIDOS_Y_AVANCE'!$B:$B,$B11,'55_T2_CONTENIDOS_Y_AVANCE'!$C:$C,$C11)/MAX(COUNTIFS('55_T2_CONTENIDOS_Y_AVANCE'!$B:$B,$B11,'55_T2_CONTENIDOS_Y_AVANCE'!$C:$C,$C11),1)*0.4)+(MIN(SUMIFS('56_T2_ESTUDIO_Y_ERRORES'!$Q:$Q,'56_T2_ESTUDIO_Y_ERRORES'!$B:$B,$B11,'56_T2_ESTUDIO_Y_ERRORES'!$C:$C,$C11)/MAX(SUMIFS('55_T2_CONTENIDOS_Y_AVANCE'!$M:$M,'55_T2_CONTENIDOS_Y_AVANCE'!$B:$B,$B11,'55_T2_CONTENIDOS_Y_AVANCE'!$C:$C,$C11),1)*100,100)*0.2)),0),0)</f>
        <v>0</v>
      </c>
      <c r="J11" s="351"/>
      <c r="K11" s="354" t="str">
        <f t="shared" si="1"/>
        <v/>
      </c>
      <c r="L11" s="349" t="str">
        <f t="shared" si="2"/>
        <v>Alto</v>
      </c>
      <c r="M11" s="349" t="str">
        <f t="shared" si="3"/>
        <v>Abrir bloques en hoja 56 y estudiar base</v>
      </c>
      <c r="N11" s="349"/>
      <c r="O11" s="349" t="s">
        <v>2478</v>
      </c>
    </row>
    <row r="12" spans="1:15" ht="12.9" customHeight="1">
      <c r="A12" s="349" t="s">
        <v>2479</v>
      </c>
      <c r="B12" s="349">
        <v>7</v>
      </c>
      <c r="C12" s="349" t="s">
        <v>2199</v>
      </c>
      <c r="D12" s="349" t="s">
        <v>2480</v>
      </c>
      <c r="E12" s="349" t="s">
        <v>2470</v>
      </c>
      <c r="F12" s="353" t="s">
        <v>2477</v>
      </c>
      <c r="G12" s="351">
        <v>35</v>
      </c>
      <c r="H12" s="349" t="str">
        <f t="shared" ca="1" si="0"/>
        <v>Pendiente</v>
      </c>
      <c r="I12" s="350">
        <f>IFERROR(ROUND(((SUMIFS('55_T2_CONTENIDOS_Y_AVANCE'!$I:$I,'55_T2_CONTENIDOS_Y_AVANCE'!$B:$B,$B12,'55_T2_CONTENIDOS_Y_AVANCE'!$C:$C,$C12)/MAX(COUNTIFS('55_T2_CONTENIDOS_Y_AVANCE'!$B:$B,$B12,'55_T2_CONTENIDOS_Y_AVANCE'!$C:$C,$C12),1)*0.4)+(SUMIFS('55_T2_CONTENIDOS_Y_AVANCE'!$J:$J,'55_T2_CONTENIDOS_Y_AVANCE'!$B:$B,$B12,'55_T2_CONTENIDOS_Y_AVANCE'!$C:$C,$C12)/MAX(COUNTIFS('55_T2_CONTENIDOS_Y_AVANCE'!$B:$B,$B12,'55_T2_CONTENIDOS_Y_AVANCE'!$C:$C,$C12),1)*0.4)+(MIN(SUMIFS('56_T2_ESTUDIO_Y_ERRORES'!$Q:$Q,'56_T2_ESTUDIO_Y_ERRORES'!$B:$B,$B12,'56_T2_ESTUDIO_Y_ERRORES'!$C:$C,$C12)/MAX(SUMIFS('55_T2_CONTENIDOS_Y_AVANCE'!$M:$M,'55_T2_CONTENIDOS_Y_AVANCE'!$B:$B,$B12,'55_T2_CONTENIDOS_Y_AVANCE'!$C:$C,$C12),1)*100,100)*0.2)),0),0)</f>
        <v>0</v>
      </c>
      <c r="J12" s="351"/>
      <c r="K12" s="354" t="str">
        <f t="shared" si="1"/>
        <v/>
      </c>
      <c r="L12" s="349" t="str">
        <f t="shared" si="2"/>
        <v>Alto</v>
      </c>
      <c r="M12" s="349" t="str">
        <f t="shared" si="3"/>
        <v>Abrir bloques en hoja 56 y estudiar base</v>
      </c>
      <c r="N12" s="349"/>
      <c r="O12" s="349" t="s">
        <v>2481</v>
      </c>
    </row>
    <row r="13" spans="1:15" ht="12.9" customHeight="1">
      <c r="A13" s="349" t="s">
        <v>2482</v>
      </c>
      <c r="B13" s="349">
        <v>8</v>
      </c>
      <c r="C13" s="349" t="s">
        <v>2189</v>
      </c>
      <c r="D13" s="349" t="s">
        <v>2483</v>
      </c>
      <c r="E13" s="349" t="s">
        <v>2470</v>
      </c>
      <c r="F13" s="353" t="s">
        <v>2484</v>
      </c>
      <c r="G13" s="351">
        <v>35</v>
      </c>
      <c r="H13" s="349" t="str">
        <f t="shared" ca="1" si="0"/>
        <v>Pendiente</v>
      </c>
      <c r="I13" s="350">
        <f>IFERROR(ROUND(((SUMIFS('55_T2_CONTENIDOS_Y_AVANCE'!$I:$I,'55_T2_CONTENIDOS_Y_AVANCE'!$B:$B,$B13,'55_T2_CONTENIDOS_Y_AVANCE'!$C:$C,$C13)/MAX(COUNTIFS('55_T2_CONTENIDOS_Y_AVANCE'!$B:$B,$B13,'55_T2_CONTENIDOS_Y_AVANCE'!$C:$C,$C13),1)*0.4)+(SUMIFS('55_T2_CONTENIDOS_Y_AVANCE'!$J:$J,'55_T2_CONTENIDOS_Y_AVANCE'!$B:$B,$B13,'55_T2_CONTENIDOS_Y_AVANCE'!$C:$C,$C13)/MAX(COUNTIFS('55_T2_CONTENIDOS_Y_AVANCE'!$B:$B,$B13,'55_T2_CONTENIDOS_Y_AVANCE'!$C:$C,$C13),1)*0.4)+(MIN(SUMIFS('56_T2_ESTUDIO_Y_ERRORES'!$Q:$Q,'56_T2_ESTUDIO_Y_ERRORES'!$B:$B,$B13,'56_T2_ESTUDIO_Y_ERRORES'!$C:$C,$C13)/MAX(SUMIFS('55_T2_CONTENIDOS_Y_AVANCE'!$M:$M,'55_T2_CONTENIDOS_Y_AVANCE'!$B:$B,$B13,'55_T2_CONTENIDOS_Y_AVANCE'!$C:$C,$C13),1)*100,100)*0.2)),0),0)</f>
        <v>0</v>
      </c>
      <c r="J13" s="351"/>
      <c r="K13" s="354" t="str">
        <f t="shared" si="1"/>
        <v/>
      </c>
      <c r="L13" s="349" t="str">
        <f t="shared" si="2"/>
        <v>Alto</v>
      </c>
      <c r="M13" s="349" t="str">
        <f t="shared" si="3"/>
        <v>Abrir bloques en hoja 56 y estudiar base</v>
      </c>
      <c r="N13" s="349"/>
      <c r="O13" s="349" t="s">
        <v>2485</v>
      </c>
    </row>
    <row r="14" spans="1:15" ht="12.9" customHeight="1">
      <c r="A14" s="349" t="s">
        <v>2486</v>
      </c>
      <c r="B14" s="349">
        <v>8</v>
      </c>
      <c r="C14" s="349" t="s">
        <v>2199</v>
      </c>
      <c r="D14" s="349" t="s">
        <v>2487</v>
      </c>
      <c r="E14" s="349" t="s">
        <v>2459</v>
      </c>
      <c r="F14" s="353" t="s">
        <v>2484</v>
      </c>
      <c r="G14" s="351">
        <v>6</v>
      </c>
      <c r="H14" s="349" t="str">
        <f t="shared" ca="1" si="0"/>
        <v>Pendiente</v>
      </c>
      <c r="I14" s="350">
        <f>IFERROR(ROUND(((SUMIFS('55_T2_CONTENIDOS_Y_AVANCE'!$I:$I,'55_T2_CONTENIDOS_Y_AVANCE'!$B:$B,$B14,'55_T2_CONTENIDOS_Y_AVANCE'!$C:$C,$C14)/MAX(COUNTIFS('55_T2_CONTENIDOS_Y_AVANCE'!$B:$B,$B14,'55_T2_CONTENIDOS_Y_AVANCE'!$C:$C,$C14),1)*0.4)+(SUMIFS('55_T2_CONTENIDOS_Y_AVANCE'!$J:$J,'55_T2_CONTENIDOS_Y_AVANCE'!$B:$B,$B14,'55_T2_CONTENIDOS_Y_AVANCE'!$C:$C,$C14)/MAX(COUNTIFS('55_T2_CONTENIDOS_Y_AVANCE'!$B:$B,$B14,'55_T2_CONTENIDOS_Y_AVANCE'!$C:$C,$C14),1)*0.4)+(MIN(SUMIFS('56_T2_ESTUDIO_Y_ERRORES'!$Q:$Q,'56_T2_ESTUDIO_Y_ERRORES'!$B:$B,$B14,'56_T2_ESTUDIO_Y_ERRORES'!$C:$C,$C14)/MAX(SUMIFS('55_T2_CONTENIDOS_Y_AVANCE'!$M:$M,'55_T2_CONTENIDOS_Y_AVANCE'!$B:$B,$B14,'55_T2_CONTENIDOS_Y_AVANCE'!$C:$C,$C14),1)*100,100)*0.2)),0),0)</f>
        <v>0</v>
      </c>
      <c r="J14" s="351"/>
      <c r="K14" s="354" t="str">
        <f t="shared" si="1"/>
        <v/>
      </c>
      <c r="L14" s="349" t="str">
        <f t="shared" si="2"/>
        <v>Alto</v>
      </c>
      <c r="M14" s="349" t="str">
        <f t="shared" si="3"/>
        <v>Abrir bloques en hoja 56 y estudiar base</v>
      </c>
      <c r="N14" s="349"/>
      <c r="O14" s="349" t="s">
        <v>2488</v>
      </c>
    </row>
    <row r="15" spans="1:15" ht="12.9" customHeight="1">
      <c r="A15" s="349" t="s">
        <v>2489</v>
      </c>
      <c r="B15" s="349">
        <v>8</v>
      </c>
      <c r="C15" s="349" t="s">
        <v>35</v>
      </c>
      <c r="D15" s="349" t="s">
        <v>2490</v>
      </c>
      <c r="E15" s="349" t="s">
        <v>2454</v>
      </c>
      <c r="F15" s="353" t="s">
        <v>2484</v>
      </c>
      <c r="G15" s="351">
        <v>30</v>
      </c>
      <c r="H15" s="349" t="str">
        <f t="shared" ca="1" si="0"/>
        <v>Pendiente</v>
      </c>
      <c r="I15" s="350">
        <f>IFERROR(ROUND(((SUMIFS('55_T2_CONTENIDOS_Y_AVANCE'!$I:$I,'55_T2_CONTENIDOS_Y_AVANCE'!$B:$B,$B15,'55_T2_CONTENIDOS_Y_AVANCE'!$C:$C,$C15)/MAX(COUNTIFS('55_T2_CONTENIDOS_Y_AVANCE'!$B:$B,$B15,'55_T2_CONTENIDOS_Y_AVANCE'!$C:$C,$C15),1)*0.4)+(SUMIFS('55_T2_CONTENIDOS_Y_AVANCE'!$J:$J,'55_T2_CONTENIDOS_Y_AVANCE'!$B:$B,$B15,'55_T2_CONTENIDOS_Y_AVANCE'!$C:$C,$C15)/MAX(COUNTIFS('55_T2_CONTENIDOS_Y_AVANCE'!$B:$B,$B15,'55_T2_CONTENIDOS_Y_AVANCE'!$C:$C,$C15),1)*0.4)+(MIN(SUMIFS('56_T2_ESTUDIO_Y_ERRORES'!$Q:$Q,'56_T2_ESTUDIO_Y_ERRORES'!$B:$B,$B15,'56_T2_ESTUDIO_Y_ERRORES'!$C:$C,$C15)/MAX(SUMIFS('55_T2_CONTENIDOS_Y_AVANCE'!$M:$M,'55_T2_CONTENIDOS_Y_AVANCE'!$B:$B,$B15,'55_T2_CONTENIDOS_Y_AVANCE'!$C:$C,$C15),1)*100,100)*0.2)),0),0)</f>
        <v>0</v>
      </c>
      <c r="J15" s="351"/>
      <c r="K15" s="354" t="str">
        <f t="shared" si="1"/>
        <v/>
      </c>
      <c r="L15" s="349" t="str">
        <f t="shared" si="2"/>
        <v>Alto</v>
      </c>
      <c r="M15" s="349" t="str">
        <f t="shared" si="3"/>
        <v>Abrir bloques en hoja 56 y estudiar base</v>
      </c>
      <c r="N15" s="349"/>
      <c r="O15" s="349" t="s">
        <v>2491</v>
      </c>
    </row>
    <row r="16" spans="1:15" ht="12.9" customHeight="1">
      <c r="A16" s="349" t="s">
        <v>2492</v>
      </c>
      <c r="B16" s="349">
        <v>10</v>
      </c>
      <c r="C16" s="349" t="s">
        <v>2184</v>
      </c>
      <c r="D16" s="349" t="s">
        <v>2493</v>
      </c>
      <c r="E16" s="349" t="s">
        <v>2459</v>
      </c>
      <c r="F16" s="353" t="s">
        <v>2494</v>
      </c>
      <c r="G16" s="351">
        <v>6</v>
      </c>
      <c r="H16" s="349" t="str">
        <f t="shared" ca="1" si="0"/>
        <v>Pendiente</v>
      </c>
      <c r="I16" s="350">
        <f>IFERROR(ROUND(((SUMIFS('55_T2_CONTENIDOS_Y_AVANCE'!$I:$I,'55_T2_CONTENIDOS_Y_AVANCE'!$B:$B,$B16,'55_T2_CONTENIDOS_Y_AVANCE'!$C:$C,$C16)/MAX(COUNTIFS('55_T2_CONTENIDOS_Y_AVANCE'!$B:$B,$B16,'55_T2_CONTENIDOS_Y_AVANCE'!$C:$C,$C16),1)*0.4)+(SUMIFS('55_T2_CONTENIDOS_Y_AVANCE'!$J:$J,'55_T2_CONTENIDOS_Y_AVANCE'!$B:$B,$B16,'55_T2_CONTENIDOS_Y_AVANCE'!$C:$C,$C16)/MAX(COUNTIFS('55_T2_CONTENIDOS_Y_AVANCE'!$B:$B,$B16,'55_T2_CONTENIDOS_Y_AVANCE'!$C:$C,$C16),1)*0.4)+(MIN(SUMIFS('56_T2_ESTUDIO_Y_ERRORES'!$Q:$Q,'56_T2_ESTUDIO_Y_ERRORES'!$B:$B,$B16,'56_T2_ESTUDIO_Y_ERRORES'!$C:$C,$C16)/MAX(SUMIFS('55_T2_CONTENIDOS_Y_AVANCE'!$M:$M,'55_T2_CONTENIDOS_Y_AVANCE'!$B:$B,$B16,'55_T2_CONTENIDOS_Y_AVANCE'!$C:$C,$C16),1)*100,100)*0.2)),0),0)</f>
        <v>0</v>
      </c>
      <c r="J16" s="351"/>
      <c r="K16" s="354" t="str">
        <f t="shared" si="1"/>
        <v/>
      </c>
      <c r="L16" s="349" t="str">
        <f t="shared" si="2"/>
        <v>Alto</v>
      </c>
      <c r="M16" s="349" t="str">
        <f t="shared" si="3"/>
        <v>Abrir bloques en hoja 56 y estudiar base</v>
      </c>
      <c r="N16" s="349"/>
      <c r="O16" s="349" t="s">
        <v>2495</v>
      </c>
    </row>
    <row r="17" spans="1:15" ht="12.9" customHeight="1">
      <c r="A17" s="349" t="s">
        <v>2496</v>
      </c>
      <c r="B17" s="349">
        <v>10</v>
      </c>
      <c r="C17" s="349" t="s">
        <v>2199</v>
      </c>
      <c r="D17" s="349" t="s">
        <v>2497</v>
      </c>
      <c r="E17" s="349" t="s">
        <v>2459</v>
      </c>
      <c r="F17" s="353" t="s">
        <v>2494</v>
      </c>
      <c r="G17" s="351">
        <v>6</v>
      </c>
      <c r="H17" s="349" t="str">
        <f t="shared" ca="1" si="0"/>
        <v>Pendiente</v>
      </c>
      <c r="I17" s="350">
        <f>IFERROR(ROUND(((SUMIFS('55_T2_CONTENIDOS_Y_AVANCE'!$I:$I,'55_T2_CONTENIDOS_Y_AVANCE'!$B:$B,$B17,'55_T2_CONTENIDOS_Y_AVANCE'!$C:$C,$C17)/MAX(COUNTIFS('55_T2_CONTENIDOS_Y_AVANCE'!$B:$B,$B17,'55_T2_CONTENIDOS_Y_AVANCE'!$C:$C,$C17),1)*0.4)+(SUMIFS('55_T2_CONTENIDOS_Y_AVANCE'!$J:$J,'55_T2_CONTENIDOS_Y_AVANCE'!$B:$B,$B17,'55_T2_CONTENIDOS_Y_AVANCE'!$C:$C,$C17)/MAX(COUNTIFS('55_T2_CONTENIDOS_Y_AVANCE'!$B:$B,$B17,'55_T2_CONTENIDOS_Y_AVANCE'!$C:$C,$C17),1)*0.4)+(MIN(SUMIFS('56_T2_ESTUDIO_Y_ERRORES'!$Q:$Q,'56_T2_ESTUDIO_Y_ERRORES'!$B:$B,$B17,'56_T2_ESTUDIO_Y_ERRORES'!$C:$C,$C17)/MAX(SUMIFS('55_T2_CONTENIDOS_Y_AVANCE'!$M:$M,'55_T2_CONTENIDOS_Y_AVANCE'!$B:$B,$B17,'55_T2_CONTENIDOS_Y_AVANCE'!$C:$C,$C17),1)*100,100)*0.2)),0),0)</f>
        <v>0</v>
      </c>
      <c r="J17" s="351"/>
      <c r="K17" s="354" t="str">
        <f t="shared" si="1"/>
        <v/>
      </c>
      <c r="L17" s="349" t="str">
        <f t="shared" si="2"/>
        <v>Alto</v>
      </c>
      <c r="M17" s="349" t="str">
        <f t="shared" si="3"/>
        <v>Abrir bloques en hoja 56 y estudiar base</v>
      </c>
      <c r="N17" s="349"/>
      <c r="O17" s="349" t="s">
        <v>2497</v>
      </c>
    </row>
    <row r="18" spans="1:15" ht="12.9" customHeight="1">
      <c r="A18" s="349" t="s">
        <v>2498</v>
      </c>
      <c r="B18" s="349">
        <v>11</v>
      </c>
      <c r="C18" s="349" t="s">
        <v>2189</v>
      </c>
      <c r="D18" s="349" t="s">
        <v>2499</v>
      </c>
      <c r="E18" s="349" t="s">
        <v>2470</v>
      </c>
      <c r="F18" s="353" t="s">
        <v>2500</v>
      </c>
      <c r="G18" s="351">
        <v>30</v>
      </c>
      <c r="H18" s="349" t="str">
        <f t="shared" ca="1" si="0"/>
        <v>Pendiente</v>
      </c>
      <c r="I18" s="350">
        <f>IFERROR(ROUND(((SUMIFS('55_T2_CONTENIDOS_Y_AVANCE'!$I:$I,'55_T2_CONTENIDOS_Y_AVANCE'!$B:$B,$B18,'55_T2_CONTENIDOS_Y_AVANCE'!$C:$C,$C18)/MAX(COUNTIFS('55_T2_CONTENIDOS_Y_AVANCE'!$B:$B,$B18,'55_T2_CONTENIDOS_Y_AVANCE'!$C:$C,$C18),1)*0.4)+(SUMIFS('55_T2_CONTENIDOS_Y_AVANCE'!$J:$J,'55_T2_CONTENIDOS_Y_AVANCE'!$B:$B,$B18,'55_T2_CONTENIDOS_Y_AVANCE'!$C:$C,$C18)/MAX(COUNTIFS('55_T2_CONTENIDOS_Y_AVANCE'!$B:$B,$B18,'55_T2_CONTENIDOS_Y_AVANCE'!$C:$C,$C18),1)*0.4)+(MIN(SUMIFS('56_T2_ESTUDIO_Y_ERRORES'!$Q:$Q,'56_T2_ESTUDIO_Y_ERRORES'!$B:$B,$B18,'56_T2_ESTUDIO_Y_ERRORES'!$C:$C,$C18)/MAX(SUMIFS('55_T2_CONTENIDOS_Y_AVANCE'!$M:$M,'55_T2_CONTENIDOS_Y_AVANCE'!$B:$B,$B18,'55_T2_CONTENIDOS_Y_AVANCE'!$C:$C,$C18),1)*100,100)*0.2)),0),0)</f>
        <v>0</v>
      </c>
      <c r="J18" s="351"/>
      <c r="K18" s="354" t="str">
        <f t="shared" si="1"/>
        <v/>
      </c>
      <c r="L18" s="349" t="str">
        <f t="shared" si="2"/>
        <v>Alto</v>
      </c>
      <c r="M18" s="349" t="str">
        <f t="shared" si="3"/>
        <v>Abrir bloques en hoja 56 y estudiar base</v>
      </c>
      <c r="N18" s="349"/>
      <c r="O18" s="349" t="s">
        <v>2501</v>
      </c>
    </row>
    <row r="19" spans="1:15" ht="12.9" customHeight="1">
      <c r="A19" s="349" t="s">
        <v>2502</v>
      </c>
      <c r="B19" s="349">
        <v>11</v>
      </c>
      <c r="C19" s="349" t="s">
        <v>2199</v>
      </c>
      <c r="D19" s="349" t="s">
        <v>2503</v>
      </c>
      <c r="E19" s="349" t="s">
        <v>2459</v>
      </c>
      <c r="F19" s="353" t="s">
        <v>2500</v>
      </c>
      <c r="G19" s="351">
        <v>6</v>
      </c>
      <c r="H19" s="349" t="str">
        <f t="shared" ca="1" si="0"/>
        <v>Pendiente</v>
      </c>
      <c r="I19" s="350">
        <f>IFERROR(ROUND(((SUMIFS('55_T2_CONTENIDOS_Y_AVANCE'!$I:$I,'55_T2_CONTENIDOS_Y_AVANCE'!$B:$B,$B19,'55_T2_CONTENIDOS_Y_AVANCE'!$C:$C,$C19)/MAX(COUNTIFS('55_T2_CONTENIDOS_Y_AVANCE'!$B:$B,$B19,'55_T2_CONTENIDOS_Y_AVANCE'!$C:$C,$C19),1)*0.4)+(SUMIFS('55_T2_CONTENIDOS_Y_AVANCE'!$J:$J,'55_T2_CONTENIDOS_Y_AVANCE'!$B:$B,$B19,'55_T2_CONTENIDOS_Y_AVANCE'!$C:$C,$C19)/MAX(COUNTIFS('55_T2_CONTENIDOS_Y_AVANCE'!$B:$B,$B19,'55_T2_CONTENIDOS_Y_AVANCE'!$C:$C,$C19),1)*0.4)+(MIN(SUMIFS('56_T2_ESTUDIO_Y_ERRORES'!$Q:$Q,'56_T2_ESTUDIO_Y_ERRORES'!$B:$B,$B19,'56_T2_ESTUDIO_Y_ERRORES'!$C:$C,$C19)/MAX(SUMIFS('55_T2_CONTENIDOS_Y_AVANCE'!$M:$M,'55_T2_CONTENIDOS_Y_AVANCE'!$B:$B,$B19,'55_T2_CONTENIDOS_Y_AVANCE'!$C:$C,$C19),1)*100,100)*0.2)),0),0)</f>
        <v>0</v>
      </c>
      <c r="J19" s="351"/>
      <c r="K19" s="354" t="str">
        <f t="shared" si="1"/>
        <v/>
      </c>
      <c r="L19" s="349" t="str">
        <f t="shared" si="2"/>
        <v>Alto</v>
      </c>
      <c r="M19" s="349" t="str">
        <f t="shared" si="3"/>
        <v>Abrir bloques en hoja 56 y estudiar base</v>
      </c>
      <c r="N19" s="349"/>
      <c r="O19" s="349" t="s">
        <v>2504</v>
      </c>
    </row>
    <row r="20" spans="1:15" ht="12.9" customHeight="1">
      <c r="A20" s="349" t="s">
        <v>2505</v>
      </c>
      <c r="B20" s="349">
        <v>12</v>
      </c>
      <c r="C20" s="349" t="s">
        <v>2189</v>
      </c>
      <c r="D20" s="349" t="s">
        <v>389</v>
      </c>
      <c r="E20" s="349" t="s">
        <v>2459</v>
      </c>
      <c r="F20" s="353" t="s">
        <v>2506</v>
      </c>
      <c r="G20" s="351">
        <v>5</v>
      </c>
      <c r="H20" s="349" t="str">
        <f t="shared" ca="1" si="0"/>
        <v>Pendiente</v>
      </c>
      <c r="I20" s="350">
        <f>IFERROR(ROUND(((SUMIFS('55_T2_CONTENIDOS_Y_AVANCE'!$I:$I,'55_T2_CONTENIDOS_Y_AVANCE'!$B:$B,$B20,'55_T2_CONTENIDOS_Y_AVANCE'!$C:$C,$C20)/MAX(COUNTIFS('55_T2_CONTENIDOS_Y_AVANCE'!$B:$B,$B20,'55_T2_CONTENIDOS_Y_AVANCE'!$C:$C,$C20),1)*0.4)+(SUMIFS('55_T2_CONTENIDOS_Y_AVANCE'!$J:$J,'55_T2_CONTENIDOS_Y_AVANCE'!$B:$B,$B20,'55_T2_CONTENIDOS_Y_AVANCE'!$C:$C,$C20)/MAX(COUNTIFS('55_T2_CONTENIDOS_Y_AVANCE'!$B:$B,$B20,'55_T2_CONTENIDOS_Y_AVANCE'!$C:$C,$C20),1)*0.4)+(MIN(SUMIFS('56_T2_ESTUDIO_Y_ERRORES'!$Q:$Q,'56_T2_ESTUDIO_Y_ERRORES'!$B:$B,$B20,'56_T2_ESTUDIO_Y_ERRORES'!$C:$C,$C20)/MAX(SUMIFS('55_T2_CONTENIDOS_Y_AVANCE'!$M:$M,'55_T2_CONTENIDOS_Y_AVANCE'!$B:$B,$B20,'55_T2_CONTENIDOS_Y_AVANCE'!$C:$C,$C20),1)*100,100)*0.2)),0),0)</f>
        <v>0</v>
      </c>
      <c r="J20" s="351"/>
      <c r="K20" s="354" t="str">
        <f t="shared" si="1"/>
        <v/>
      </c>
      <c r="L20" s="349" t="str">
        <f t="shared" si="2"/>
        <v>Alto</v>
      </c>
      <c r="M20" s="349" t="str">
        <f t="shared" si="3"/>
        <v>Abrir bloques en hoja 56 y estudiar base</v>
      </c>
      <c r="N20" s="349"/>
      <c r="O20" s="349" t="s">
        <v>2507</v>
      </c>
    </row>
    <row r="21" spans="1:15" ht="12.9" customHeight="1">
      <c r="A21" s="349" t="s">
        <v>2508</v>
      </c>
      <c r="B21" s="349">
        <v>12</v>
      </c>
      <c r="C21" s="349" t="s">
        <v>2184</v>
      </c>
      <c r="D21" s="349" t="s">
        <v>2509</v>
      </c>
      <c r="E21" s="349" t="s">
        <v>389</v>
      </c>
      <c r="F21" s="353" t="s">
        <v>2506</v>
      </c>
      <c r="G21" s="351">
        <v>53</v>
      </c>
      <c r="H21" s="349" t="str">
        <f t="shared" ca="1" si="0"/>
        <v>Pendiente</v>
      </c>
      <c r="I21" s="350">
        <f>IFERROR(ROUND(((SUMIFS('55_T2_CONTENIDOS_Y_AVANCE'!$I:$I,'55_T2_CONTENIDOS_Y_AVANCE'!$B:$B,$B21,'55_T2_CONTENIDOS_Y_AVANCE'!$C:$C,$C21)/MAX(COUNTIFS('55_T2_CONTENIDOS_Y_AVANCE'!$B:$B,$B21,'55_T2_CONTENIDOS_Y_AVANCE'!$C:$C,$C21),1)*0.4)+(SUMIFS('55_T2_CONTENIDOS_Y_AVANCE'!$J:$J,'55_T2_CONTENIDOS_Y_AVANCE'!$B:$B,$B21,'55_T2_CONTENIDOS_Y_AVANCE'!$C:$C,$C21)/MAX(COUNTIFS('55_T2_CONTENIDOS_Y_AVANCE'!$B:$B,$B21,'55_T2_CONTENIDOS_Y_AVANCE'!$C:$C,$C21),1)*0.4)+(MIN(SUMIFS('56_T2_ESTUDIO_Y_ERRORES'!$Q:$Q,'56_T2_ESTUDIO_Y_ERRORES'!$B:$B,$B21,'56_T2_ESTUDIO_Y_ERRORES'!$C:$C,$C21)/MAX(SUMIFS('55_T2_CONTENIDOS_Y_AVANCE'!$M:$M,'55_T2_CONTENIDOS_Y_AVANCE'!$B:$B,$B21,'55_T2_CONTENIDOS_Y_AVANCE'!$C:$C,$C21),1)*100,100)*0.2)),0),0)</f>
        <v>0</v>
      </c>
      <c r="J21" s="351"/>
      <c r="K21" s="354" t="str">
        <f t="shared" si="1"/>
        <v/>
      </c>
      <c r="L21" s="349" t="str">
        <f t="shared" si="2"/>
        <v>Alto</v>
      </c>
      <c r="M21" s="349" t="str">
        <f t="shared" si="3"/>
        <v>Abrir bloques en hoja 56 y estudiar base</v>
      </c>
      <c r="N21" s="349"/>
      <c r="O21" s="349" t="s">
        <v>2510</v>
      </c>
    </row>
    <row r="22" spans="1:15" ht="12.9" customHeight="1">
      <c r="A22" s="349" t="s">
        <v>2511</v>
      </c>
      <c r="B22" s="349">
        <v>12</v>
      </c>
      <c r="C22" s="349" t="s">
        <v>2199</v>
      </c>
      <c r="D22" s="349" t="s">
        <v>2512</v>
      </c>
      <c r="E22" s="349" t="s">
        <v>2459</v>
      </c>
      <c r="F22" s="353" t="s">
        <v>2506</v>
      </c>
      <c r="G22" s="351">
        <v>6</v>
      </c>
      <c r="H22" s="349" t="str">
        <f t="shared" ca="1" si="0"/>
        <v>Pendiente</v>
      </c>
      <c r="I22" s="350">
        <f>IFERROR(ROUND(((SUMIFS('55_T2_CONTENIDOS_Y_AVANCE'!$I:$I,'55_T2_CONTENIDOS_Y_AVANCE'!$B:$B,$B22,'55_T2_CONTENIDOS_Y_AVANCE'!$C:$C,$C22)/MAX(COUNTIFS('55_T2_CONTENIDOS_Y_AVANCE'!$B:$B,$B22,'55_T2_CONTENIDOS_Y_AVANCE'!$C:$C,$C22),1)*0.4)+(SUMIFS('55_T2_CONTENIDOS_Y_AVANCE'!$J:$J,'55_T2_CONTENIDOS_Y_AVANCE'!$B:$B,$B22,'55_T2_CONTENIDOS_Y_AVANCE'!$C:$C,$C22)/MAX(COUNTIFS('55_T2_CONTENIDOS_Y_AVANCE'!$B:$B,$B22,'55_T2_CONTENIDOS_Y_AVANCE'!$C:$C,$C22),1)*0.4)+(MIN(SUMIFS('56_T2_ESTUDIO_Y_ERRORES'!$Q:$Q,'56_T2_ESTUDIO_Y_ERRORES'!$B:$B,$B22,'56_T2_ESTUDIO_Y_ERRORES'!$C:$C,$C22)/MAX(SUMIFS('55_T2_CONTENIDOS_Y_AVANCE'!$M:$M,'55_T2_CONTENIDOS_Y_AVANCE'!$B:$B,$B22,'55_T2_CONTENIDOS_Y_AVANCE'!$C:$C,$C22),1)*100,100)*0.2)),0),0)</f>
        <v>0</v>
      </c>
      <c r="J22" s="351"/>
      <c r="K22" s="354" t="str">
        <f t="shared" si="1"/>
        <v/>
      </c>
      <c r="L22" s="349" t="str">
        <f t="shared" si="2"/>
        <v>Alto</v>
      </c>
      <c r="M22" s="349" t="str">
        <f t="shared" si="3"/>
        <v>Abrir bloques en hoja 56 y estudiar base</v>
      </c>
      <c r="N22" s="349"/>
      <c r="O22" s="349" t="s">
        <v>2513</v>
      </c>
    </row>
    <row r="23" spans="1:15" ht="12.9" customHeight="1">
      <c r="A23" s="349" t="s">
        <v>2514</v>
      </c>
      <c r="B23" s="349">
        <v>12</v>
      </c>
      <c r="C23" s="349" t="s">
        <v>35</v>
      </c>
      <c r="D23" s="349" t="s">
        <v>2515</v>
      </c>
      <c r="E23" s="349" t="s">
        <v>2454</v>
      </c>
      <c r="F23" s="353" t="s">
        <v>2506</v>
      </c>
      <c r="G23" s="351">
        <v>30</v>
      </c>
      <c r="H23" s="349" t="str">
        <f t="shared" ca="1" si="0"/>
        <v>Pendiente</v>
      </c>
      <c r="I23" s="350">
        <f>IFERROR(ROUND(((SUMIFS('55_T2_CONTENIDOS_Y_AVANCE'!$I:$I,'55_T2_CONTENIDOS_Y_AVANCE'!$B:$B,$B23,'55_T2_CONTENIDOS_Y_AVANCE'!$C:$C,$C23)/MAX(COUNTIFS('55_T2_CONTENIDOS_Y_AVANCE'!$B:$B,$B23,'55_T2_CONTENIDOS_Y_AVANCE'!$C:$C,$C23),1)*0.4)+(SUMIFS('55_T2_CONTENIDOS_Y_AVANCE'!$J:$J,'55_T2_CONTENIDOS_Y_AVANCE'!$B:$B,$B23,'55_T2_CONTENIDOS_Y_AVANCE'!$C:$C,$C23)/MAX(COUNTIFS('55_T2_CONTENIDOS_Y_AVANCE'!$B:$B,$B23,'55_T2_CONTENIDOS_Y_AVANCE'!$C:$C,$C23),1)*0.4)+(MIN(SUMIFS('56_T2_ESTUDIO_Y_ERRORES'!$Q:$Q,'56_T2_ESTUDIO_Y_ERRORES'!$B:$B,$B23,'56_T2_ESTUDIO_Y_ERRORES'!$C:$C,$C23)/MAX(SUMIFS('55_T2_CONTENIDOS_Y_AVANCE'!$M:$M,'55_T2_CONTENIDOS_Y_AVANCE'!$B:$B,$B23,'55_T2_CONTENIDOS_Y_AVANCE'!$C:$C,$C23),1)*100,100)*0.2)),0),0)</f>
        <v>0</v>
      </c>
      <c r="J23" s="351"/>
      <c r="K23" s="354" t="str">
        <f t="shared" si="1"/>
        <v/>
      </c>
      <c r="L23" s="349" t="str">
        <f t="shared" si="2"/>
        <v>Alto</v>
      </c>
      <c r="M23" s="349" t="str">
        <f t="shared" si="3"/>
        <v>Abrir bloques en hoja 56 y estudiar base</v>
      </c>
      <c r="N23" s="349"/>
      <c r="O23" s="349" t="s">
        <v>2516</v>
      </c>
    </row>
    <row r="24" spans="1:15" ht="12.9" customHeight="1">
      <c r="A24" s="349" t="s">
        <v>2517</v>
      </c>
      <c r="B24" s="349">
        <v>12</v>
      </c>
      <c r="C24" s="349" t="s">
        <v>35</v>
      </c>
      <c r="D24" s="349" t="s">
        <v>2518</v>
      </c>
      <c r="E24" s="349" t="s">
        <v>2203</v>
      </c>
      <c r="F24" s="353" t="s">
        <v>2506</v>
      </c>
      <c r="G24" s="351">
        <v>10</v>
      </c>
      <c r="H24" s="349" t="str">
        <f t="shared" ca="1" si="0"/>
        <v>Pendiente</v>
      </c>
      <c r="I24" s="350">
        <f>IFERROR(ROUND(((SUMIFS('55_T2_CONTENIDOS_Y_AVANCE'!$I:$I,'55_T2_CONTENIDOS_Y_AVANCE'!$B:$B,$B24,'55_T2_CONTENIDOS_Y_AVANCE'!$C:$C,$C24)/MAX(COUNTIFS('55_T2_CONTENIDOS_Y_AVANCE'!$B:$B,$B24,'55_T2_CONTENIDOS_Y_AVANCE'!$C:$C,$C24),1)*0.4)+(SUMIFS('55_T2_CONTENIDOS_Y_AVANCE'!$J:$J,'55_T2_CONTENIDOS_Y_AVANCE'!$B:$B,$B24,'55_T2_CONTENIDOS_Y_AVANCE'!$C:$C,$C24)/MAX(COUNTIFS('55_T2_CONTENIDOS_Y_AVANCE'!$B:$B,$B24,'55_T2_CONTENIDOS_Y_AVANCE'!$C:$C,$C24),1)*0.4)+(MIN(SUMIFS('56_T2_ESTUDIO_Y_ERRORES'!$Q:$Q,'56_T2_ESTUDIO_Y_ERRORES'!$B:$B,$B24,'56_T2_ESTUDIO_Y_ERRORES'!$C:$C,$C24)/MAX(SUMIFS('55_T2_CONTENIDOS_Y_AVANCE'!$M:$M,'55_T2_CONTENIDOS_Y_AVANCE'!$B:$B,$B24,'55_T2_CONTENIDOS_Y_AVANCE'!$C:$C,$C24),1)*100,100)*0.2)),0),0)</f>
        <v>0</v>
      </c>
      <c r="J24" s="351"/>
      <c r="K24" s="354" t="str">
        <f t="shared" si="1"/>
        <v/>
      </c>
      <c r="L24" s="349" t="str">
        <f t="shared" si="2"/>
        <v>Alto</v>
      </c>
      <c r="M24" s="349" t="str">
        <f t="shared" si="3"/>
        <v>Abrir bloques en hoja 56 y estudiar base</v>
      </c>
      <c r="N24" s="349"/>
      <c r="O24" s="349" t="s">
        <v>2519</v>
      </c>
    </row>
    <row r="25" spans="1:15">
      <c r="A25" s="349"/>
      <c r="B25" s="349"/>
      <c r="C25" s="349"/>
      <c r="D25" s="349"/>
      <c r="E25" s="349"/>
      <c r="F25" s="353"/>
      <c r="G25" s="350"/>
      <c r="H25" s="349"/>
      <c r="I25" s="350"/>
      <c r="J25" s="351"/>
      <c r="K25" s="354"/>
      <c r="L25" s="349"/>
      <c r="M25" s="349"/>
      <c r="N25" s="349"/>
      <c r="O25" s="349"/>
    </row>
    <row r="26" spans="1:15">
      <c r="A26" s="349"/>
      <c r="B26" s="349"/>
      <c r="C26" s="349"/>
      <c r="D26" s="349"/>
      <c r="E26" s="349"/>
      <c r="F26" s="353"/>
      <c r="G26" s="350"/>
      <c r="H26" s="349"/>
      <c r="I26" s="350"/>
      <c r="J26" s="351"/>
      <c r="K26" s="354"/>
      <c r="L26" s="349"/>
      <c r="M26" s="349"/>
      <c r="N26" s="349"/>
      <c r="O26" s="349"/>
    </row>
    <row r="27" spans="1:15">
      <c r="A27" s="349"/>
      <c r="B27" s="349"/>
      <c r="C27" s="349"/>
      <c r="D27" s="349"/>
      <c r="E27" s="349"/>
      <c r="F27" s="353"/>
      <c r="G27" s="350"/>
      <c r="H27" s="349"/>
      <c r="I27" s="350"/>
      <c r="J27" s="351"/>
      <c r="K27" s="354"/>
      <c r="L27" s="349"/>
      <c r="M27" s="349"/>
      <c r="N27" s="349"/>
      <c r="O27" s="349"/>
    </row>
    <row r="28" spans="1:15">
      <c r="A28" s="349"/>
      <c r="B28" s="349"/>
      <c r="C28" s="349"/>
      <c r="D28" s="349"/>
      <c r="E28" s="349"/>
      <c r="F28" s="353"/>
      <c r="G28" s="350"/>
      <c r="H28" s="349"/>
      <c r="I28" s="350"/>
      <c r="J28" s="351"/>
      <c r="K28" s="354"/>
      <c r="L28" s="349"/>
      <c r="M28" s="349"/>
      <c r="N28" s="349"/>
      <c r="O28" s="349"/>
    </row>
    <row r="29" spans="1:15">
      <c r="A29" s="349"/>
      <c r="B29" s="349"/>
      <c r="C29" s="349"/>
      <c r="D29" s="349"/>
      <c r="E29" s="349"/>
      <c r="F29" s="353"/>
      <c r="G29" s="350"/>
      <c r="H29" s="349"/>
      <c r="I29" s="350"/>
      <c r="J29" s="351"/>
      <c r="K29" s="354"/>
      <c r="L29" s="349"/>
      <c r="M29" s="349"/>
      <c r="N29" s="349"/>
      <c r="O29" s="349"/>
    </row>
    <row r="30" spans="1:15">
      <c r="A30" s="349"/>
      <c r="B30" s="349"/>
      <c r="C30" s="349"/>
      <c r="D30" s="349"/>
      <c r="E30" s="349"/>
      <c r="F30" s="353"/>
      <c r="G30" s="350"/>
      <c r="H30" s="349"/>
      <c r="I30" s="350"/>
      <c r="J30" s="351"/>
      <c r="K30" s="354"/>
      <c r="L30" s="349"/>
      <c r="M30" s="349"/>
      <c r="N30" s="349"/>
      <c r="O30" s="349"/>
    </row>
    <row r="31" spans="1:15">
      <c r="A31" s="349"/>
      <c r="B31" s="349"/>
      <c r="C31" s="349"/>
      <c r="D31" s="349"/>
      <c r="E31" s="349"/>
      <c r="F31" s="353"/>
      <c r="G31" s="350"/>
      <c r="H31" s="349"/>
      <c r="I31" s="350"/>
      <c r="J31" s="351"/>
      <c r="K31" s="354"/>
      <c r="L31" s="349"/>
      <c r="M31" s="349"/>
      <c r="N31" s="349"/>
      <c r="O31" s="349"/>
    </row>
    <row r="32" spans="1:15">
      <c r="A32" s="349"/>
      <c r="B32" s="349"/>
      <c r="C32" s="349"/>
      <c r="D32" s="349"/>
      <c r="E32" s="349"/>
      <c r="F32" s="353"/>
      <c r="G32" s="350"/>
      <c r="H32" s="349"/>
      <c r="I32" s="350"/>
      <c r="J32" s="351"/>
      <c r="K32" s="354"/>
      <c r="L32" s="349"/>
      <c r="M32" s="349"/>
      <c r="N32" s="349"/>
      <c r="O32" s="349"/>
    </row>
    <row r="33" spans="1:15">
      <c r="A33" s="349"/>
      <c r="B33" s="349"/>
      <c r="C33" s="349"/>
      <c r="D33" s="349"/>
      <c r="E33" s="349"/>
      <c r="F33" s="353"/>
      <c r="G33" s="350"/>
      <c r="H33" s="349"/>
      <c r="I33" s="350"/>
      <c r="J33" s="351"/>
      <c r="K33" s="354"/>
      <c r="L33" s="349"/>
      <c r="M33" s="349"/>
      <c r="N33" s="349"/>
      <c r="O33" s="349"/>
    </row>
    <row r="34" spans="1:15">
      <c r="A34" s="349"/>
      <c r="B34" s="349"/>
      <c r="C34" s="349"/>
      <c r="D34" s="349"/>
      <c r="E34" s="349"/>
      <c r="F34" s="353"/>
      <c r="G34" s="350"/>
      <c r="H34" s="349"/>
      <c r="I34" s="350"/>
      <c r="J34" s="351"/>
      <c r="K34" s="354"/>
      <c r="L34" s="349"/>
      <c r="M34" s="349"/>
      <c r="N34" s="349"/>
      <c r="O34" s="349"/>
    </row>
    <row r="35" spans="1:15">
      <c r="A35" s="349"/>
      <c r="B35" s="349"/>
      <c r="C35" s="349"/>
      <c r="D35" s="349"/>
      <c r="E35" s="349"/>
      <c r="F35" s="353"/>
      <c r="G35" s="350"/>
      <c r="H35" s="349"/>
      <c r="I35" s="350"/>
      <c r="J35" s="351"/>
      <c r="K35" s="354"/>
      <c r="L35" s="349"/>
      <c r="M35" s="349"/>
      <c r="N35" s="349"/>
      <c r="O35" s="349"/>
    </row>
    <row r="36" spans="1:15">
      <c r="A36" s="349"/>
      <c r="B36" s="349"/>
      <c r="C36" s="349"/>
      <c r="D36" s="349"/>
      <c r="E36" s="349"/>
      <c r="F36" s="353"/>
      <c r="G36" s="350"/>
      <c r="H36" s="349"/>
      <c r="I36" s="350"/>
      <c r="J36" s="351"/>
      <c r="K36" s="354"/>
      <c r="L36" s="349"/>
      <c r="M36" s="349"/>
      <c r="N36" s="349"/>
      <c r="O36" s="349"/>
    </row>
    <row r="37" spans="1:15">
      <c r="A37" s="349"/>
      <c r="B37" s="349"/>
      <c r="C37" s="349"/>
      <c r="D37" s="349"/>
      <c r="E37" s="349"/>
      <c r="F37" s="353"/>
      <c r="G37" s="350"/>
      <c r="H37" s="349"/>
      <c r="I37" s="350"/>
      <c r="J37" s="351"/>
      <c r="K37" s="354"/>
      <c r="L37" s="349"/>
      <c r="M37" s="349"/>
      <c r="N37" s="349"/>
      <c r="O37" s="349"/>
    </row>
    <row r="38" spans="1:15">
      <c r="A38" s="349"/>
      <c r="B38" s="349"/>
      <c r="C38" s="349"/>
      <c r="D38" s="349"/>
      <c r="E38" s="349"/>
      <c r="F38" s="353"/>
      <c r="G38" s="350"/>
      <c r="H38" s="349"/>
      <c r="I38" s="350"/>
      <c r="J38" s="351"/>
      <c r="K38" s="354"/>
      <c r="L38" s="349"/>
      <c r="M38" s="349"/>
      <c r="N38" s="349"/>
      <c r="O38" s="349"/>
    </row>
    <row r="39" spans="1:15">
      <c r="A39" s="349"/>
      <c r="B39" s="349"/>
      <c r="C39" s="349"/>
      <c r="D39" s="349"/>
      <c r="E39" s="349"/>
      <c r="F39" s="353"/>
      <c r="G39" s="350"/>
      <c r="H39" s="349"/>
      <c r="I39" s="350"/>
      <c r="J39" s="351"/>
      <c r="K39" s="354"/>
      <c r="L39" s="349"/>
      <c r="M39" s="349"/>
      <c r="N39" s="349"/>
      <c r="O39" s="349"/>
    </row>
    <row r="40" spans="1:15">
      <c r="A40" s="349"/>
      <c r="B40" s="349"/>
      <c r="C40" s="349"/>
      <c r="D40" s="349"/>
      <c r="E40" s="349"/>
      <c r="F40" s="353"/>
      <c r="G40" s="350"/>
      <c r="H40" s="349"/>
      <c r="I40" s="350"/>
      <c r="J40" s="351"/>
      <c r="K40" s="354"/>
      <c r="L40" s="349"/>
      <c r="M40" s="349"/>
      <c r="N40" s="349"/>
      <c r="O40" s="349"/>
    </row>
    <row r="41" spans="1:15">
      <c r="A41" s="349"/>
      <c r="B41" s="349"/>
      <c r="C41" s="349"/>
      <c r="D41" s="349"/>
      <c r="E41" s="349"/>
      <c r="F41" s="353"/>
      <c r="G41" s="350"/>
      <c r="H41" s="349"/>
      <c r="I41" s="350"/>
      <c r="J41" s="351"/>
      <c r="K41" s="354"/>
      <c r="L41" s="349"/>
      <c r="M41" s="349"/>
      <c r="N41" s="349"/>
      <c r="O41" s="349"/>
    </row>
    <row r="42" spans="1:15">
      <c r="A42" s="349"/>
      <c r="B42" s="349"/>
      <c r="C42" s="349"/>
      <c r="D42" s="349"/>
      <c r="E42" s="349"/>
      <c r="F42" s="353"/>
      <c r="G42" s="350"/>
      <c r="H42" s="349"/>
      <c r="I42" s="350"/>
      <c r="J42" s="351"/>
      <c r="K42" s="354"/>
      <c r="L42" s="349"/>
      <c r="M42" s="349"/>
      <c r="N42" s="349"/>
      <c r="O42" s="349"/>
    </row>
    <row r="43" spans="1:15">
      <c r="A43" s="349"/>
      <c r="B43" s="349"/>
      <c r="C43" s="349"/>
      <c r="D43" s="349"/>
      <c r="E43" s="349"/>
      <c r="F43" s="353"/>
      <c r="G43" s="350"/>
      <c r="H43" s="349"/>
      <c r="I43" s="350"/>
      <c r="J43" s="351"/>
      <c r="K43" s="354"/>
      <c r="L43" s="349"/>
      <c r="M43" s="349"/>
      <c r="N43" s="349"/>
      <c r="O43" s="349"/>
    </row>
    <row r="44" spans="1:15">
      <c r="A44" s="349"/>
      <c r="B44" s="349"/>
      <c r="C44" s="349"/>
      <c r="D44" s="349"/>
      <c r="E44" s="349"/>
      <c r="F44" s="353"/>
      <c r="G44" s="350"/>
      <c r="H44" s="349"/>
      <c r="I44" s="350"/>
      <c r="J44" s="351"/>
      <c r="K44" s="354"/>
      <c r="L44" s="349"/>
      <c r="M44" s="349"/>
      <c r="N44" s="349"/>
      <c r="O44" s="349"/>
    </row>
    <row r="45" spans="1:15">
      <c r="A45" s="349"/>
      <c r="B45" s="349"/>
      <c r="C45" s="349"/>
      <c r="D45" s="349"/>
      <c r="E45" s="349"/>
      <c r="F45" s="353"/>
      <c r="G45" s="350"/>
      <c r="H45" s="349"/>
      <c r="I45" s="350"/>
      <c r="J45" s="351"/>
      <c r="K45" s="354"/>
      <c r="L45" s="349"/>
      <c r="M45" s="349"/>
      <c r="N45" s="349"/>
      <c r="O45" s="349"/>
    </row>
    <row r="46" spans="1:15">
      <c r="A46" s="349"/>
      <c r="B46" s="349"/>
      <c r="C46" s="349"/>
      <c r="D46" s="349"/>
      <c r="E46" s="349"/>
      <c r="F46" s="353"/>
      <c r="G46" s="350"/>
      <c r="H46" s="349"/>
      <c r="I46" s="350"/>
      <c r="J46" s="351"/>
      <c r="K46" s="354"/>
      <c r="L46" s="349"/>
      <c r="M46" s="349"/>
      <c r="N46" s="349"/>
      <c r="O46" s="349"/>
    </row>
    <row r="47" spans="1:15">
      <c r="A47" s="349"/>
      <c r="B47" s="349"/>
      <c r="C47" s="349"/>
      <c r="D47" s="349"/>
      <c r="E47" s="349"/>
      <c r="F47" s="353"/>
      <c r="G47" s="350"/>
      <c r="H47" s="349"/>
      <c r="I47" s="350"/>
      <c r="J47" s="351"/>
      <c r="K47" s="354"/>
      <c r="L47" s="349"/>
      <c r="M47" s="349"/>
      <c r="N47" s="349"/>
      <c r="O47" s="349"/>
    </row>
    <row r="48" spans="1:15">
      <c r="A48" s="349"/>
      <c r="B48" s="349"/>
      <c r="C48" s="349"/>
      <c r="D48" s="349"/>
      <c r="E48" s="349"/>
      <c r="F48" s="353"/>
      <c r="G48" s="350"/>
      <c r="H48" s="349"/>
      <c r="I48" s="350"/>
      <c r="J48" s="351"/>
      <c r="K48" s="354"/>
      <c r="L48" s="349"/>
      <c r="M48" s="349"/>
      <c r="N48" s="349"/>
      <c r="O48" s="349"/>
    </row>
    <row r="49" spans="1:15">
      <c r="A49" s="349"/>
      <c r="B49" s="349"/>
      <c r="C49" s="349"/>
      <c r="D49" s="349"/>
      <c r="E49" s="349"/>
      <c r="F49" s="353"/>
      <c r="G49" s="350"/>
      <c r="H49" s="349"/>
      <c r="I49" s="350"/>
      <c r="J49" s="351"/>
      <c r="K49" s="354"/>
      <c r="L49" s="349"/>
      <c r="M49" s="349"/>
      <c r="N49" s="349"/>
      <c r="O49" s="349"/>
    </row>
    <row r="50" spans="1:15">
      <c r="A50" s="349"/>
      <c r="B50" s="349"/>
      <c r="C50" s="349"/>
      <c r="D50" s="349"/>
      <c r="E50" s="349"/>
      <c r="F50" s="353"/>
      <c r="G50" s="350"/>
      <c r="H50" s="349"/>
      <c r="I50" s="350"/>
      <c r="J50" s="351"/>
      <c r="K50" s="354"/>
      <c r="L50" s="349"/>
      <c r="M50" s="349"/>
      <c r="N50" s="349"/>
      <c r="O50" s="349"/>
    </row>
    <row r="51" spans="1:15">
      <c r="A51" s="349"/>
      <c r="B51" s="349"/>
      <c r="C51" s="349"/>
      <c r="D51" s="349"/>
      <c r="E51" s="349"/>
      <c r="F51" s="353"/>
      <c r="G51" s="350"/>
      <c r="H51" s="349"/>
      <c r="I51" s="350"/>
      <c r="J51" s="351"/>
      <c r="K51" s="354"/>
      <c r="L51" s="349"/>
      <c r="M51" s="349"/>
      <c r="N51" s="349"/>
      <c r="O51" s="349"/>
    </row>
    <row r="52" spans="1:15">
      <c r="A52" s="349"/>
      <c r="B52" s="349"/>
      <c r="C52" s="349"/>
      <c r="D52" s="349"/>
      <c r="E52" s="349"/>
      <c r="F52" s="353"/>
      <c r="G52" s="350"/>
      <c r="H52" s="349"/>
      <c r="I52" s="350"/>
      <c r="J52" s="351"/>
      <c r="K52" s="354"/>
      <c r="L52" s="349"/>
      <c r="M52" s="349"/>
      <c r="N52" s="349"/>
      <c r="O52" s="349"/>
    </row>
    <row r="53" spans="1:15">
      <c r="A53" s="349"/>
      <c r="B53" s="349"/>
      <c r="C53" s="349"/>
      <c r="D53" s="349"/>
      <c r="E53" s="349"/>
      <c r="F53" s="353"/>
      <c r="G53" s="350"/>
      <c r="H53" s="349"/>
      <c r="I53" s="350"/>
      <c r="J53" s="351"/>
      <c r="K53" s="354"/>
      <c r="L53" s="349"/>
      <c r="M53" s="349"/>
      <c r="N53" s="349"/>
      <c r="O53" s="349"/>
    </row>
    <row r="54" spans="1:15">
      <c r="A54" s="349"/>
      <c r="B54" s="349"/>
      <c r="C54" s="349"/>
      <c r="D54" s="349"/>
      <c r="E54" s="349"/>
      <c r="F54" s="353"/>
      <c r="G54" s="350"/>
      <c r="H54" s="349"/>
      <c r="I54" s="350"/>
      <c r="J54" s="351"/>
      <c r="K54" s="354"/>
      <c r="L54" s="349"/>
      <c r="M54" s="349"/>
      <c r="N54" s="349"/>
      <c r="O54" s="349"/>
    </row>
    <row r="55" spans="1:15">
      <c r="A55" s="349"/>
      <c r="B55" s="349"/>
      <c r="C55" s="349"/>
      <c r="D55" s="349"/>
      <c r="E55" s="349"/>
      <c r="F55" s="353"/>
      <c r="G55" s="350"/>
      <c r="H55" s="349"/>
      <c r="I55" s="350"/>
      <c r="J55" s="351"/>
      <c r="K55" s="354"/>
      <c r="L55" s="349"/>
      <c r="M55" s="349"/>
      <c r="N55" s="349"/>
      <c r="O55" s="349"/>
    </row>
    <row r="56" spans="1:15">
      <c r="A56" s="349"/>
      <c r="B56" s="349"/>
      <c r="C56" s="349"/>
      <c r="D56" s="349"/>
      <c r="E56" s="349"/>
      <c r="F56" s="353"/>
      <c r="G56" s="350"/>
      <c r="H56" s="349"/>
      <c r="I56" s="350"/>
      <c r="J56" s="351"/>
      <c r="K56" s="354"/>
      <c r="L56" s="349"/>
      <c r="M56" s="349"/>
      <c r="N56" s="349"/>
      <c r="O56" s="349"/>
    </row>
    <row r="57" spans="1:15">
      <c r="A57" s="349"/>
      <c r="B57" s="349"/>
      <c r="C57" s="349"/>
      <c r="D57" s="349"/>
      <c r="E57" s="349"/>
      <c r="F57" s="353"/>
      <c r="G57" s="350"/>
      <c r="H57" s="349"/>
      <c r="I57" s="350"/>
      <c r="J57" s="351"/>
      <c r="K57" s="354"/>
      <c r="L57" s="349"/>
      <c r="M57" s="349"/>
      <c r="N57" s="349"/>
      <c r="O57" s="349"/>
    </row>
    <row r="58" spans="1:15">
      <c r="A58" s="349"/>
      <c r="B58" s="349"/>
      <c r="C58" s="349"/>
      <c r="D58" s="349"/>
      <c r="E58" s="349"/>
      <c r="F58" s="353"/>
      <c r="G58" s="350"/>
      <c r="H58" s="349"/>
      <c r="I58" s="350"/>
      <c r="J58" s="351"/>
      <c r="K58" s="354"/>
      <c r="L58" s="349"/>
      <c r="M58" s="349"/>
      <c r="N58" s="349"/>
      <c r="O58" s="349"/>
    </row>
    <row r="59" spans="1:15">
      <c r="A59" s="349"/>
      <c r="B59" s="349"/>
      <c r="C59" s="349"/>
      <c r="D59" s="349"/>
      <c r="E59" s="349"/>
      <c r="F59" s="353"/>
      <c r="G59" s="350"/>
      <c r="H59" s="349"/>
      <c r="I59" s="350"/>
      <c r="J59" s="351"/>
      <c r="K59" s="354"/>
      <c r="L59" s="349"/>
      <c r="M59" s="349"/>
      <c r="N59" s="349"/>
      <c r="O59" s="349"/>
    </row>
    <row r="60" spans="1:15">
      <c r="A60" s="349"/>
      <c r="B60" s="349"/>
      <c r="C60" s="349"/>
      <c r="D60" s="349"/>
      <c r="E60" s="349"/>
      <c r="F60" s="353"/>
      <c r="G60" s="350"/>
      <c r="H60" s="349"/>
      <c r="I60" s="350"/>
      <c r="J60" s="351"/>
      <c r="K60" s="354"/>
      <c r="L60" s="349"/>
      <c r="M60" s="349"/>
      <c r="N60" s="349"/>
      <c r="O60" s="349"/>
    </row>
    <row r="61" spans="1:15">
      <c r="A61" s="349"/>
      <c r="B61" s="349"/>
      <c r="C61" s="349"/>
      <c r="D61" s="349"/>
      <c r="E61" s="349"/>
      <c r="F61" s="353"/>
      <c r="G61" s="350"/>
      <c r="H61" s="349"/>
      <c r="I61" s="350"/>
      <c r="J61" s="351"/>
      <c r="K61" s="354"/>
      <c r="L61" s="349"/>
      <c r="M61" s="349"/>
      <c r="N61" s="349"/>
      <c r="O61" s="349"/>
    </row>
    <row r="62" spans="1:15">
      <c r="A62" s="349"/>
      <c r="B62" s="349"/>
      <c r="C62" s="349"/>
      <c r="D62" s="349"/>
      <c r="E62" s="349"/>
      <c r="F62" s="353"/>
      <c r="G62" s="350"/>
      <c r="H62" s="349"/>
      <c r="I62" s="350"/>
      <c r="J62" s="351"/>
      <c r="K62" s="354"/>
      <c r="L62" s="349"/>
      <c r="M62" s="349"/>
      <c r="N62" s="349"/>
      <c r="O62" s="349"/>
    </row>
    <row r="63" spans="1:15">
      <c r="A63" s="349"/>
      <c r="B63" s="349"/>
      <c r="C63" s="349"/>
      <c r="D63" s="349"/>
      <c r="E63" s="349"/>
      <c r="F63" s="353"/>
      <c r="G63" s="350"/>
      <c r="H63" s="349"/>
      <c r="I63" s="350"/>
      <c r="J63" s="351"/>
      <c r="K63" s="354"/>
      <c r="L63" s="349"/>
      <c r="M63" s="349"/>
      <c r="N63" s="349"/>
      <c r="O63" s="349"/>
    </row>
    <row r="64" spans="1:15">
      <c r="A64" s="349"/>
      <c r="B64" s="349"/>
      <c r="C64" s="349"/>
      <c r="D64" s="349"/>
      <c r="E64" s="349"/>
      <c r="F64" s="353"/>
      <c r="G64" s="350"/>
      <c r="H64" s="349"/>
      <c r="I64" s="350"/>
      <c r="J64" s="351"/>
      <c r="K64" s="354"/>
      <c r="L64" s="349"/>
      <c r="M64" s="349"/>
      <c r="N64" s="349"/>
      <c r="O64" s="349"/>
    </row>
    <row r="65" spans="1:15">
      <c r="A65" s="349"/>
      <c r="B65" s="349"/>
      <c r="C65" s="349"/>
      <c r="D65" s="349"/>
      <c r="E65" s="349"/>
      <c r="F65" s="353"/>
      <c r="G65" s="350"/>
      <c r="H65" s="349"/>
      <c r="I65" s="350"/>
      <c r="J65" s="351"/>
      <c r="K65" s="354"/>
      <c r="L65" s="349"/>
      <c r="M65" s="349"/>
      <c r="N65" s="349"/>
      <c r="O65" s="349"/>
    </row>
    <row r="66" spans="1:15">
      <c r="A66" s="349"/>
      <c r="B66" s="349"/>
      <c r="C66" s="349"/>
      <c r="D66" s="349"/>
      <c r="E66" s="349"/>
      <c r="F66" s="353"/>
      <c r="G66" s="350"/>
      <c r="H66" s="349"/>
      <c r="I66" s="350"/>
      <c r="J66" s="351"/>
      <c r="K66" s="354"/>
      <c r="L66" s="349"/>
      <c r="M66" s="349"/>
      <c r="N66" s="349"/>
      <c r="O66" s="349"/>
    </row>
    <row r="67" spans="1:15">
      <c r="A67" s="349"/>
      <c r="B67" s="349"/>
      <c r="C67" s="349"/>
      <c r="D67" s="349"/>
      <c r="E67" s="349"/>
      <c r="F67" s="353"/>
      <c r="G67" s="350"/>
      <c r="H67" s="349"/>
      <c r="I67" s="350"/>
      <c r="J67" s="351"/>
      <c r="K67" s="354"/>
      <c r="L67" s="349"/>
      <c r="M67" s="349"/>
      <c r="N67" s="349"/>
      <c r="O67" s="349"/>
    </row>
    <row r="68" spans="1:15">
      <c r="A68" s="349"/>
      <c r="B68" s="349"/>
      <c r="C68" s="349"/>
      <c r="D68" s="349"/>
      <c r="E68" s="349"/>
      <c r="F68" s="353"/>
      <c r="G68" s="350"/>
      <c r="H68" s="349"/>
      <c r="I68" s="350"/>
      <c r="J68" s="351"/>
      <c r="K68" s="354"/>
      <c r="L68" s="349"/>
      <c r="M68" s="349"/>
      <c r="N68" s="349"/>
      <c r="O68" s="349"/>
    </row>
    <row r="69" spans="1:15">
      <c r="A69" s="349"/>
      <c r="B69" s="349"/>
      <c r="C69" s="349"/>
      <c r="D69" s="349"/>
      <c r="E69" s="349"/>
      <c r="F69" s="353"/>
      <c r="G69" s="350"/>
      <c r="H69" s="349"/>
      <c r="I69" s="350"/>
      <c r="J69" s="351"/>
      <c r="K69" s="354"/>
      <c r="L69" s="349"/>
      <c r="M69" s="349"/>
      <c r="N69" s="349"/>
      <c r="O69" s="349"/>
    </row>
    <row r="70" spans="1:15">
      <c r="A70" s="349"/>
      <c r="B70" s="349"/>
      <c r="C70" s="349"/>
      <c r="D70" s="349"/>
      <c r="E70" s="349"/>
      <c r="F70" s="353"/>
      <c r="G70" s="350"/>
      <c r="H70" s="349"/>
      <c r="I70" s="350"/>
      <c r="J70" s="351"/>
      <c r="K70" s="354"/>
      <c r="L70" s="349"/>
      <c r="M70" s="349"/>
      <c r="N70" s="349"/>
      <c r="O70" s="349"/>
    </row>
    <row r="71" spans="1:15">
      <c r="A71" s="349"/>
      <c r="B71" s="349"/>
      <c r="C71" s="349"/>
      <c r="D71" s="349"/>
      <c r="E71" s="349"/>
      <c r="F71" s="353"/>
      <c r="G71" s="350"/>
      <c r="H71" s="349"/>
      <c r="I71" s="350"/>
      <c r="J71" s="351"/>
      <c r="K71" s="354"/>
      <c r="L71" s="349"/>
      <c r="M71" s="349"/>
      <c r="N71" s="349"/>
      <c r="O71" s="349"/>
    </row>
    <row r="72" spans="1:15">
      <c r="A72" s="349"/>
      <c r="B72" s="349"/>
      <c r="C72" s="349"/>
      <c r="D72" s="349"/>
      <c r="E72" s="349"/>
      <c r="F72" s="353"/>
      <c r="G72" s="350"/>
      <c r="H72" s="349"/>
      <c r="I72" s="350"/>
      <c r="J72" s="351"/>
      <c r="K72" s="354"/>
      <c r="L72" s="349"/>
      <c r="M72" s="349"/>
      <c r="N72" s="349"/>
      <c r="O72" s="349"/>
    </row>
    <row r="73" spans="1:15">
      <c r="A73" s="349"/>
      <c r="B73" s="349"/>
      <c r="C73" s="349"/>
      <c r="D73" s="349"/>
      <c r="E73" s="349"/>
      <c r="F73" s="353"/>
      <c r="G73" s="350"/>
      <c r="H73" s="349"/>
      <c r="I73" s="350"/>
      <c r="J73" s="351"/>
      <c r="K73" s="354"/>
      <c r="L73" s="349"/>
      <c r="M73" s="349"/>
      <c r="N73" s="349"/>
      <c r="O73" s="349"/>
    </row>
    <row r="74" spans="1:15">
      <c r="A74" s="349"/>
      <c r="B74" s="349"/>
      <c r="C74" s="349"/>
      <c r="D74" s="349"/>
      <c r="E74" s="349"/>
      <c r="F74" s="353"/>
      <c r="G74" s="350"/>
      <c r="H74" s="349"/>
      <c r="I74" s="350"/>
      <c r="J74" s="351"/>
      <c r="K74" s="354"/>
      <c r="L74" s="349"/>
      <c r="M74" s="349"/>
      <c r="N74" s="349"/>
      <c r="O74" s="349"/>
    </row>
    <row r="75" spans="1:15">
      <c r="A75" s="349"/>
      <c r="B75" s="349"/>
      <c r="C75" s="349"/>
      <c r="D75" s="349"/>
      <c r="E75" s="349"/>
      <c r="F75" s="353"/>
      <c r="G75" s="350"/>
      <c r="H75" s="349"/>
      <c r="I75" s="350"/>
      <c r="J75" s="351"/>
      <c r="K75" s="354"/>
      <c r="L75" s="349"/>
      <c r="M75" s="349"/>
      <c r="N75" s="349"/>
      <c r="O75" s="349"/>
    </row>
    <row r="76" spans="1:15">
      <c r="A76" s="349"/>
      <c r="B76" s="349"/>
      <c r="C76" s="349"/>
      <c r="D76" s="349"/>
      <c r="E76" s="349"/>
      <c r="F76" s="353"/>
      <c r="G76" s="350"/>
      <c r="H76" s="349"/>
      <c r="I76" s="350"/>
      <c r="J76" s="351"/>
      <c r="K76" s="354"/>
      <c r="L76" s="349"/>
      <c r="M76" s="349"/>
      <c r="N76" s="349"/>
      <c r="O76" s="349"/>
    </row>
    <row r="77" spans="1:15">
      <c r="A77" s="349"/>
      <c r="B77" s="349"/>
      <c r="C77" s="349"/>
      <c r="D77" s="349"/>
      <c r="E77" s="349"/>
      <c r="F77" s="353"/>
      <c r="G77" s="350"/>
      <c r="H77" s="349"/>
      <c r="I77" s="350"/>
      <c r="J77" s="351"/>
      <c r="K77" s="354"/>
      <c r="L77" s="349"/>
      <c r="M77" s="349"/>
      <c r="N77" s="349"/>
      <c r="O77" s="349"/>
    </row>
    <row r="78" spans="1:15">
      <c r="A78" s="349"/>
      <c r="B78" s="349"/>
      <c r="C78" s="349"/>
      <c r="D78" s="349"/>
      <c r="E78" s="349"/>
      <c r="F78" s="353"/>
      <c r="G78" s="350"/>
      <c r="H78" s="349"/>
      <c r="I78" s="350"/>
      <c r="J78" s="351"/>
      <c r="K78" s="354"/>
      <c r="L78" s="349"/>
      <c r="M78" s="349"/>
      <c r="N78" s="349"/>
      <c r="O78" s="349"/>
    </row>
    <row r="79" spans="1:15">
      <c r="A79" s="349"/>
      <c r="B79" s="349"/>
      <c r="C79" s="349"/>
      <c r="D79" s="349"/>
      <c r="E79" s="349"/>
      <c r="F79" s="353"/>
      <c r="G79" s="350"/>
      <c r="H79" s="349"/>
      <c r="I79" s="350"/>
      <c r="J79" s="351"/>
      <c r="K79" s="354"/>
      <c r="L79" s="349"/>
      <c r="M79" s="349"/>
      <c r="N79" s="349"/>
      <c r="O79" s="349"/>
    </row>
    <row r="80" spans="1:15">
      <c r="A80" s="349"/>
      <c r="B80" s="349"/>
      <c r="C80" s="349"/>
      <c r="D80" s="349"/>
      <c r="E80" s="349"/>
      <c r="F80" s="353"/>
      <c r="G80" s="350"/>
      <c r="H80" s="349"/>
      <c r="I80" s="350"/>
      <c r="J80" s="351"/>
      <c r="K80" s="354"/>
      <c r="L80" s="349"/>
      <c r="M80" s="349"/>
      <c r="N80" s="349"/>
      <c r="O80" s="349"/>
    </row>
    <row r="81" spans="1:15">
      <c r="A81" s="349"/>
      <c r="B81" s="349"/>
      <c r="C81" s="349"/>
      <c r="D81" s="349"/>
      <c r="E81" s="349"/>
      <c r="F81" s="353"/>
      <c r="G81" s="350"/>
      <c r="H81" s="349"/>
      <c r="I81" s="350"/>
      <c r="J81" s="351"/>
      <c r="K81" s="354"/>
      <c r="L81" s="349"/>
      <c r="M81" s="349"/>
      <c r="N81" s="349"/>
      <c r="O81" s="349"/>
    </row>
    <row r="82" spans="1:15">
      <c r="A82" s="349"/>
      <c r="B82" s="349"/>
      <c r="C82" s="349"/>
      <c r="D82" s="349"/>
      <c r="E82" s="349"/>
      <c r="F82" s="353"/>
      <c r="G82" s="350"/>
      <c r="H82" s="349"/>
      <c r="I82" s="350"/>
      <c r="J82" s="351"/>
      <c r="K82" s="354"/>
      <c r="L82" s="349"/>
      <c r="M82" s="349"/>
      <c r="N82" s="349"/>
      <c r="O82" s="349"/>
    </row>
    <row r="83" spans="1:15">
      <c r="A83" s="349"/>
      <c r="B83" s="349"/>
      <c r="C83" s="349"/>
      <c r="D83" s="349"/>
      <c r="E83" s="349"/>
      <c r="F83" s="353"/>
      <c r="G83" s="350"/>
      <c r="H83" s="349"/>
      <c r="I83" s="350"/>
      <c r="J83" s="351"/>
      <c r="K83" s="354"/>
      <c r="L83" s="349"/>
      <c r="M83" s="349"/>
      <c r="N83" s="349"/>
      <c r="O83" s="349"/>
    </row>
    <row r="84" spans="1:15">
      <c r="A84" s="349"/>
      <c r="B84" s="349"/>
      <c r="C84" s="349"/>
      <c r="D84" s="349"/>
      <c r="E84" s="349"/>
      <c r="F84" s="353"/>
      <c r="G84" s="350"/>
      <c r="H84" s="349"/>
      <c r="I84" s="350"/>
      <c r="J84" s="351"/>
      <c r="K84" s="354"/>
      <c r="L84" s="349"/>
      <c r="M84" s="349"/>
      <c r="N84" s="349"/>
      <c r="O84" s="349"/>
    </row>
    <row r="85" spans="1:15">
      <c r="A85" s="349"/>
      <c r="B85" s="349"/>
      <c r="C85" s="349"/>
      <c r="D85" s="349"/>
      <c r="E85" s="349"/>
      <c r="F85" s="353"/>
      <c r="G85" s="350"/>
      <c r="H85" s="349"/>
      <c r="I85" s="350"/>
      <c r="J85" s="351"/>
      <c r="K85" s="354"/>
      <c r="L85" s="349"/>
      <c r="M85" s="349"/>
      <c r="N85" s="349"/>
      <c r="O85" s="349"/>
    </row>
    <row r="86" spans="1:15">
      <c r="A86" s="349"/>
      <c r="B86" s="349"/>
      <c r="C86" s="349"/>
      <c r="D86" s="349"/>
      <c r="E86" s="349"/>
      <c r="F86" s="353"/>
      <c r="G86" s="350"/>
      <c r="H86" s="349"/>
      <c r="I86" s="350"/>
      <c r="J86" s="351"/>
      <c r="K86" s="354"/>
      <c r="L86" s="349"/>
      <c r="M86" s="349"/>
      <c r="N86" s="349"/>
      <c r="O86" s="349"/>
    </row>
    <row r="87" spans="1:15">
      <c r="A87" s="349"/>
      <c r="B87" s="349"/>
      <c r="C87" s="349"/>
      <c r="D87" s="349"/>
      <c r="E87" s="349"/>
      <c r="F87" s="353"/>
      <c r="G87" s="350"/>
      <c r="H87" s="349"/>
      <c r="I87" s="350"/>
      <c r="J87" s="351"/>
      <c r="K87" s="354"/>
      <c r="L87" s="349"/>
      <c r="M87" s="349"/>
      <c r="N87" s="349"/>
      <c r="O87" s="349"/>
    </row>
    <row r="88" spans="1:15">
      <c r="A88" s="349"/>
      <c r="B88" s="349"/>
      <c r="C88" s="349"/>
      <c r="D88" s="349"/>
      <c r="E88" s="349"/>
      <c r="F88" s="353"/>
      <c r="G88" s="350"/>
      <c r="H88" s="349"/>
      <c r="I88" s="350"/>
      <c r="J88" s="351"/>
      <c r="K88" s="354"/>
      <c r="L88" s="349"/>
      <c r="M88" s="349"/>
      <c r="N88" s="349"/>
      <c r="O88" s="349"/>
    </row>
    <row r="89" spans="1:15">
      <c r="A89" s="349"/>
      <c r="B89" s="349"/>
      <c r="C89" s="349"/>
      <c r="D89" s="349"/>
      <c r="E89" s="349"/>
      <c r="F89" s="353"/>
      <c r="G89" s="350"/>
      <c r="H89" s="349"/>
      <c r="I89" s="350"/>
      <c r="J89" s="351"/>
      <c r="K89" s="354"/>
      <c r="L89" s="349"/>
      <c r="M89" s="349"/>
      <c r="N89" s="349"/>
      <c r="O89" s="349"/>
    </row>
    <row r="90" spans="1:15">
      <c r="A90" s="349"/>
      <c r="B90" s="349"/>
      <c r="C90" s="349"/>
      <c r="D90" s="349"/>
      <c r="E90" s="349"/>
      <c r="F90" s="353"/>
      <c r="G90" s="350"/>
      <c r="H90" s="349"/>
      <c r="I90" s="350"/>
      <c r="J90" s="351"/>
      <c r="K90" s="354"/>
      <c r="L90" s="349"/>
      <c r="M90" s="349"/>
      <c r="N90" s="349"/>
      <c r="O90" s="349"/>
    </row>
    <row r="91" spans="1:15">
      <c r="A91" s="349"/>
      <c r="B91" s="349"/>
      <c r="C91" s="349"/>
      <c r="D91" s="349"/>
      <c r="E91" s="349"/>
      <c r="F91" s="353"/>
      <c r="G91" s="350"/>
      <c r="H91" s="349"/>
      <c r="I91" s="350"/>
      <c r="J91" s="351"/>
      <c r="K91" s="354"/>
      <c r="L91" s="349"/>
      <c r="M91" s="349"/>
      <c r="N91" s="349"/>
      <c r="O91" s="349"/>
    </row>
    <row r="92" spans="1:15">
      <c r="A92" s="349"/>
      <c r="B92" s="349"/>
      <c r="C92" s="349"/>
      <c r="D92" s="349"/>
      <c r="E92" s="349"/>
      <c r="F92" s="353"/>
      <c r="G92" s="350"/>
      <c r="H92" s="349"/>
      <c r="I92" s="350"/>
      <c r="J92" s="351"/>
      <c r="K92" s="354"/>
      <c r="L92" s="349"/>
      <c r="M92" s="349"/>
      <c r="N92" s="349"/>
      <c r="O92" s="349"/>
    </row>
    <row r="93" spans="1:15">
      <c r="A93" s="349"/>
      <c r="B93" s="349"/>
      <c r="C93" s="349"/>
      <c r="D93" s="349"/>
      <c r="E93" s="349"/>
      <c r="F93" s="353"/>
      <c r="G93" s="350"/>
      <c r="H93" s="349"/>
      <c r="I93" s="350"/>
      <c r="J93" s="351"/>
      <c r="K93" s="354"/>
      <c r="L93" s="349"/>
      <c r="M93" s="349"/>
      <c r="N93" s="349"/>
      <c r="O93" s="349"/>
    </row>
    <row r="94" spans="1:15">
      <c r="A94" s="349"/>
      <c r="B94" s="349"/>
      <c r="C94" s="349"/>
      <c r="D94" s="349"/>
      <c r="E94" s="349"/>
      <c r="F94" s="353"/>
      <c r="G94" s="350"/>
      <c r="H94" s="349"/>
      <c r="I94" s="350"/>
      <c r="J94" s="351"/>
      <c r="K94" s="354"/>
      <c r="L94" s="349"/>
      <c r="M94" s="349"/>
      <c r="N94" s="349"/>
      <c r="O94" s="349"/>
    </row>
    <row r="95" spans="1:15">
      <c r="A95" s="349"/>
      <c r="B95" s="349"/>
      <c r="C95" s="349"/>
      <c r="D95" s="349"/>
      <c r="E95" s="349"/>
      <c r="F95" s="353"/>
      <c r="G95" s="350"/>
      <c r="H95" s="349"/>
      <c r="I95" s="350"/>
      <c r="J95" s="351"/>
      <c r="K95" s="354"/>
      <c r="L95" s="349"/>
      <c r="M95" s="349"/>
      <c r="N95" s="349"/>
      <c r="O95" s="349"/>
    </row>
    <row r="96" spans="1:15">
      <c r="A96" s="349"/>
      <c r="B96" s="349"/>
      <c r="C96" s="349"/>
      <c r="D96" s="349"/>
      <c r="E96" s="349"/>
      <c r="F96" s="353"/>
      <c r="G96" s="350"/>
      <c r="H96" s="349"/>
      <c r="I96" s="350"/>
      <c r="J96" s="351"/>
      <c r="K96" s="354"/>
      <c r="L96" s="349"/>
      <c r="M96" s="349"/>
      <c r="N96" s="349"/>
      <c r="O96" s="349"/>
    </row>
    <row r="97" spans="1:15">
      <c r="A97" s="349"/>
      <c r="B97" s="349"/>
      <c r="C97" s="349"/>
      <c r="D97" s="349"/>
      <c r="E97" s="349"/>
      <c r="F97" s="353"/>
      <c r="G97" s="350"/>
      <c r="H97" s="349"/>
      <c r="I97" s="350"/>
      <c r="J97" s="351"/>
      <c r="K97" s="354"/>
      <c r="L97" s="349"/>
      <c r="M97" s="349"/>
      <c r="N97" s="349"/>
      <c r="O97" s="349"/>
    </row>
    <row r="98" spans="1:15">
      <c r="A98" s="349"/>
      <c r="B98" s="349"/>
      <c r="C98" s="349"/>
      <c r="D98" s="349"/>
      <c r="E98" s="349"/>
      <c r="F98" s="353"/>
      <c r="G98" s="350"/>
      <c r="H98" s="349"/>
      <c r="I98" s="350"/>
      <c r="J98" s="351"/>
      <c r="K98" s="354"/>
      <c r="L98" s="349"/>
      <c r="M98" s="349"/>
      <c r="N98" s="349"/>
      <c r="O98" s="349"/>
    </row>
    <row r="99" spans="1:15">
      <c r="A99" s="349"/>
      <c r="B99" s="349"/>
      <c r="C99" s="349"/>
      <c r="D99" s="349"/>
      <c r="E99" s="349"/>
      <c r="F99" s="353"/>
      <c r="G99" s="350"/>
      <c r="H99" s="349"/>
      <c r="I99" s="350"/>
      <c r="J99" s="351"/>
      <c r="K99" s="354"/>
      <c r="L99" s="349"/>
      <c r="M99" s="349"/>
      <c r="N99" s="349"/>
      <c r="O99" s="349"/>
    </row>
    <row r="100" spans="1:15">
      <c r="A100" s="349"/>
      <c r="B100" s="349"/>
      <c r="C100" s="349"/>
      <c r="D100" s="349"/>
      <c r="E100" s="349"/>
      <c r="F100" s="353"/>
      <c r="G100" s="350"/>
      <c r="H100" s="349"/>
      <c r="I100" s="350"/>
      <c r="J100" s="351"/>
      <c r="K100" s="354"/>
      <c r="L100" s="349"/>
      <c r="M100" s="349"/>
      <c r="N100" s="349"/>
      <c r="O100" s="349"/>
    </row>
    <row r="101" spans="1:15">
      <c r="A101" s="349"/>
      <c r="B101" s="349"/>
      <c r="C101" s="349"/>
      <c r="D101" s="349"/>
      <c r="E101" s="349"/>
      <c r="F101" s="353"/>
      <c r="G101" s="350"/>
      <c r="H101" s="349"/>
      <c r="I101" s="350"/>
      <c r="J101" s="351"/>
      <c r="K101" s="354"/>
      <c r="L101" s="349"/>
      <c r="M101" s="349"/>
      <c r="N101" s="349"/>
      <c r="O101" s="349"/>
    </row>
    <row r="102" spans="1:15">
      <c r="A102" s="349"/>
      <c r="B102" s="349"/>
      <c r="C102" s="349"/>
      <c r="D102" s="349"/>
      <c r="E102" s="349"/>
      <c r="F102" s="353"/>
      <c r="G102" s="350"/>
      <c r="H102" s="349"/>
      <c r="I102" s="350"/>
      <c r="J102" s="351"/>
      <c r="K102" s="354"/>
      <c r="L102" s="349"/>
      <c r="M102" s="349"/>
      <c r="N102" s="349"/>
      <c r="O102" s="349"/>
    </row>
    <row r="103" spans="1:15">
      <c r="A103" s="349"/>
      <c r="B103" s="349"/>
      <c r="C103" s="349"/>
      <c r="D103" s="349"/>
      <c r="E103" s="349"/>
      <c r="F103" s="353"/>
      <c r="G103" s="350"/>
      <c r="H103" s="349"/>
      <c r="I103" s="350"/>
      <c r="J103" s="351"/>
      <c r="K103" s="354"/>
      <c r="L103" s="349"/>
      <c r="M103" s="349"/>
      <c r="N103" s="349"/>
      <c r="O103" s="349"/>
    </row>
    <row r="104" spans="1:15">
      <c r="A104" s="349"/>
      <c r="B104" s="349"/>
      <c r="C104" s="349"/>
      <c r="D104" s="349"/>
      <c r="E104" s="349"/>
      <c r="F104" s="353"/>
      <c r="G104" s="350"/>
      <c r="H104" s="349"/>
      <c r="I104" s="350"/>
      <c r="J104" s="351"/>
      <c r="K104" s="354"/>
      <c r="L104" s="349"/>
      <c r="M104" s="349"/>
      <c r="N104" s="349"/>
      <c r="O104" s="349"/>
    </row>
    <row r="105" spans="1:15">
      <c r="A105" s="349"/>
      <c r="B105" s="349"/>
      <c r="C105" s="349"/>
      <c r="D105" s="349"/>
      <c r="E105" s="349"/>
      <c r="F105" s="353"/>
      <c r="G105" s="350"/>
      <c r="H105" s="349"/>
      <c r="I105" s="350"/>
      <c r="J105" s="351"/>
      <c r="K105" s="354"/>
      <c r="L105" s="349"/>
      <c r="M105" s="349"/>
      <c r="N105" s="349"/>
      <c r="O105" s="349"/>
    </row>
    <row r="106" spans="1:15">
      <c r="A106" s="349"/>
      <c r="B106" s="349"/>
      <c r="C106" s="349"/>
      <c r="D106" s="349"/>
      <c r="E106" s="349"/>
      <c r="F106" s="353"/>
      <c r="G106" s="350"/>
      <c r="H106" s="349"/>
      <c r="I106" s="350"/>
      <c r="J106" s="351"/>
      <c r="K106" s="354"/>
      <c r="L106" s="349"/>
      <c r="M106" s="349"/>
      <c r="N106" s="349"/>
      <c r="O106" s="349"/>
    </row>
    <row r="107" spans="1:15">
      <c r="A107" s="349"/>
      <c r="B107" s="349"/>
      <c r="C107" s="349"/>
      <c r="D107" s="349"/>
      <c r="E107" s="349"/>
      <c r="F107" s="353"/>
      <c r="G107" s="350"/>
      <c r="H107" s="349"/>
      <c r="I107" s="350"/>
      <c r="J107" s="351"/>
      <c r="K107" s="354"/>
      <c r="L107" s="349"/>
      <c r="M107" s="349"/>
      <c r="N107" s="349"/>
      <c r="O107" s="349"/>
    </row>
    <row r="108" spans="1:15">
      <c r="A108" s="349"/>
      <c r="B108" s="349"/>
      <c r="C108" s="349"/>
      <c r="D108" s="349"/>
      <c r="E108" s="349"/>
      <c r="F108" s="353"/>
      <c r="G108" s="350"/>
      <c r="H108" s="349"/>
      <c r="I108" s="350"/>
      <c r="J108" s="351"/>
      <c r="K108" s="354"/>
      <c r="L108" s="349"/>
      <c r="M108" s="349"/>
      <c r="N108" s="349"/>
      <c r="O108" s="349"/>
    </row>
    <row r="109" spans="1:15">
      <c r="A109" s="349"/>
      <c r="B109" s="349"/>
      <c r="C109" s="349"/>
      <c r="D109" s="349"/>
      <c r="E109" s="349"/>
      <c r="F109" s="353"/>
      <c r="G109" s="350"/>
      <c r="H109" s="349"/>
      <c r="I109" s="350"/>
      <c r="J109" s="351"/>
      <c r="K109" s="354"/>
      <c r="L109" s="349"/>
      <c r="M109" s="349"/>
      <c r="N109" s="349"/>
      <c r="O109" s="349"/>
    </row>
    <row r="110" spans="1:15">
      <c r="A110" s="349"/>
      <c r="B110" s="349"/>
      <c r="C110" s="349"/>
      <c r="D110" s="349"/>
      <c r="E110" s="349"/>
      <c r="F110" s="353"/>
      <c r="G110" s="350"/>
      <c r="H110" s="349"/>
      <c r="I110" s="350"/>
      <c r="J110" s="351"/>
      <c r="K110" s="354"/>
      <c r="L110" s="349"/>
      <c r="M110" s="349"/>
      <c r="N110" s="349"/>
      <c r="O110" s="349"/>
    </row>
    <row r="111" spans="1:15">
      <c r="A111" s="349"/>
      <c r="B111" s="349"/>
      <c r="C111" s="349"/>
      <c r="D111" s="349"/>
      <c r="E111" s="349"/>
      <c r="F111" s="353"/>
      <c r="G111" s="350"/>
      <c r="H111" s="349"/>
      <c r="I111" s="350"/>
      <c r="J111" s="351"/>
      <c r="K111" s="354"/>
      <c r="L111" s="349"/>
      <c r="M111" s="349"/>
      <c r="N111" s="349"/>
      <c r="O111" s="349"/>
    </row>
    <row r="112" spans="1:15">
      <c r="A112" s="349"/>
      <c r="B112" s="349"/>
      <c r="C112" s="349"/>
      <c r="D112" s="349"/>
      <c r="E112" s="349"/>
      <c r="F112" s="353"/>
      <c r="G112" s="350"/>
      <c r="H112" s="349"/>
      <c r="I112" s="350"/>
      <c r="J112" s="351"/>
      <c r="K112" s="354"/>
      <c r="L112" s="349"/>
      <c r="M112" s="349"/>
      <c r="N112" s="349"/>
      <c r="O112" s="349"/>
    </row>
    <row r="113" spans="1:15">
      <c r="A113" s="349"/>
      <c r="B113" s="349"/>
      <c r="C113" s="349"/>
      <c r="D113" s="349"/>
      <c r="E113" s="349"/>
      <c r="F113" s="353"/>
      <c r="G113" s="350"/>
      <c r="H113" s="349"/>
      <c r="I113" s="350"/>
      <c r="J113" s="351"/>
      <c r="K113" s="354"/>
      <c r="L113" s="349"/>
      <c r="M113" s="349"/>
      <c r="N113" s="349"/>
      <c r="O113" s="349"/>
    </row>
    <row r="114" spans="1:15">
      <c r="A114" s="349"/>
      <c r="B114" s="349"/>
      <c r="C114" s="349"/>
      <c r="D114" s="349"/>
      <c r="E114" s="349"/>
      <c r="F114" s="353"/>
      <c r="G114" s="350"/>
      <c r="H114" s="349"/>
      <c r="I114" s="350"/>
      <c r="J114" s="351"/>
      <c r="K114" s="354"/>
      <c r="L114" s="349"/>
      <c r="M114" s="349"/>
      <c r="N114" s="349"/>
      <c r="O114" s="349"/>
    </row>
    <row r="115" spans="1:15">
      <c r="A115" s="349"/>
      <c r="B115" s="349"/>
      <c r="C115" s="349"/>
      <c r="D115" s="349"/>
      <c r="E115" s="349"/>
      <c r="F115" s="353"/>
      <c r="G115" s="350"/>
      <c r="H115" s="349"/>
      <c r="I115" s="350"/>
      <c r="J115" s="351"/>
      <c r="K115" s="354"/>
      <c r="L115" s="349"/>
      <c r="M115" s="349"/>
      <c r="N115" s="349"/>
      <c r="O115" s="349"/>
    </row>
    <row r="116" spans="1:15">
      <c r="A116" s="349"/>
      <c r="B116" s="349"/>
      <c r="C116" s="349"/>
      <c r="D116" s="349"/>
      <c r="E116" s="349"/>
      <c r="F116" s="353"/>
      <c r="G116" s="350"/>
      <c r="H116" s="349"/>
      <c r="I116" s="350"/>
      <c r="J116" s="351"/>
      <c r="K116" s="354"/>
      <c r="L116" s="349"/>
      <c r="M116" s="349"/>
      <c r="N116" s="349"/>
      <c r="O116" s="349"/>
    </row>
    <row r="117" spans="1:15">
      <c r="A117" s="349"/>
      <c r="B117" s="349"/>
      <c r="C117" s="349"/>
      <c r="D117" s="349"/>
      <c r="E117" s="349"/>
      <c r="F117" s="353"/>
      <c r="G117" s="350"/>
      <c r="H117" s="349"/>
      <c r="I117" s="350"/>
      <c r="J117" s="351"/>
      <c r="K117" s="354"/>
      <c r="L117" s="349"/>
      <c r="M117" s="349"/>
      <c r="N117" s="349"/>
      <c r="O117" s="349"/>
    </row>
    <row r="118" spans="1:15">
      <c r="A118" s="349"/>
      <c r="B118" s="349"/>
      <c r="C118" s="349"/>
      <c r="D118" s="349"/>
      <c r="E118" s="349"/>
      <c r="F118" s="353"/>
      <c r="G118" s="350"/>
      <c r="H118" s="349"/>
      <c r="I118" s="350"/>
      <c r="J118" s="351"/>
      <c r="K118" s="354"/>
      <c r="L118" s="349"/>
      <c r="M118" s="349"/>
      <c r="N118" s="349"/>
      <c r="O118" s="349"/>
    </row>
    <row r="119" spans="1:15">
      <c r="A119" s="349"/>
      <c r="B119" s="349"/>
      <c r="C119" s="349"/>
      <c r="D119" s="349"/>
      <c r="E119" s="349"/>
      <c r="F119" s="353"/>
      <c r="G119" s="350"/>
      <c r="H119" s="349"/>
      <c r="I119" s="350"/>
      <c r="J119" s="351"/>
      <c r="K119" s="354"/>
      <c r="L119" s="349"/>
      <c r="M119" s="349"/>
      <c r="N119" s="349"/>
      <c r="O119" s="349"/>
    </row>
    <row r="120" spans="1:15">
      <c r="A120" s="349"/>
      <c r="B120" s="349"/>
      <c r="C120" s="349"/>
      <c r="D120" s="349"/>
      <c r="E120" s="349"/>
      <c r="F120" s="353"/>
      <c r="G120" s="350"/>
      <c r="H120" s="349"/>
      <c r="I120" s="350"/>
      <c r="J120" s="351"/>
      <c r="K120" s="354"/>
      <c r="L120" s="349"/>
      <c r="M120" s="349"/>
      <c r="N120" s="349"/>
      <c r="O120" s="349"/>
    </row>
    <row r="121" spans="1:15">
      <c r="A121" s="349"/>
      <c r="B121" s="349"/>
      <c r="C121" s="349"/>
      <c r="D121" s="349"/>
      <c r="E121" s="349"/>
      <c r="F121" s="353"/>
      <c r="G121" s="350"/>
      <c r="H121" s="349"/>
      <c r="I121" s="350"/>
      <c r="J121" s="351"/>
      <c r="K121" s="354"/>
      <c r="L121" s="349"/>
      <c r="M121" s="349"/>
      <c r="N121" s="349"/>
      <c r="O121" s="349"/>
    </row>
    <row r="122" spans="1:15">
      <c r="A122" s="349"/>
      <c r="B122" s="349"/>
      <c r="C122" s="349"/>
      <c r="D122" s="349"/>
      <c r="E122" s="349"/>
      <c r="F122" s="353"/>
      <c r="G122" s="350"/>
      <c r="H122" s="349"/>
      <c r="I122" s="350"/>
      <c r="J122" s="351"/>
      <c r="K122" s="354"/>
      <c r="L122" s="349"/>
      <c r="M122" s="349"/>
      <c r="N122" s="349"/>
      <c r="O122" s="349"/>
    </row>
    <row r="123" spans="1:15">
      <c r="A123" s="349"/>
      <c r="B123" s="349"/>
      <c r="C123" s="349"/>
      <c r="D123" s="349"/>
      <c r="E123" s="349"/>
      <c r="F123" s="353"/>
      <c r="G123" s="350"/>
      <c r="H123" s="349"/>
      <c r="I123" s="350"/>
      <c r="J123" s="351"/>
      <c r="K123" s="354"/>
      <c r="L123" s="349"/>
      <c r="M123" s="349"/>
      <c r="N123" s="349"/>
      <c r="O123" s="349"/>
    </row>
    <row r="124" spans="1:15">
      <c r="A124" s="349"/>
      <c r="B124" s="349"/>
      <c r="C124" s="349"/>
      <c r="D124" s="349"/>
      <c r="E124" s="349"/>
      <c r="F124" s="353"/>
      <c r="G124" s="350"/>
      <c r="H124" s="349"/>
      <c r="I124" s="350"/>
      <c r="J124" s="351"/>
      <c r="K124" s="354"/>
      <c r="L124" s="349"/>
      <c r="M124" s="349"/>
      <c r="N124" s="349"/>
      <c r="O124" s="349"/>
    </row>
    <row r="125" spans="1:15">
      <c r="A125" s="349"/>
      <c r="B125" s="349"/>
      <c r="C125" s="349"/>
      <c r="D125" s="349"/>
      <c r="E125" s="349"/>
      <c r="F125" s="353"/>
      <c r="G125" s="350"/>
      <c r="H125" s="349"/>
      <c r="I125" s="350"/>
      <c r="J125" s="351"/>
      <c r="K125" s="354"/>
      <c r="L125" s="349"/>
      <c r="M125" s="349"/>
      <c r="N125" s="349"/>
      <c r="O125" s="349"/>
    </row>
    <row r="126" spans="1:15">
      <c r="A126" s="349"/>
      <c r="B126" s="349"/>
      <c r="C126" s="349"/>
      <c r="D126" s="349"/>
      <c r="E126" s="349"/>
      <c r="F126" s="353"/>
      <c r="G126" s="350"/>
      <c r="H126" s="349"/>
      <c r="I126" s="350"/>
      <c r="J126" s="351"/>
      <c r="K126" s="354"/>
      <c r="L126" s="349"/>
      <c r="M126" s="349"/>
      <c r="N126" s="349"/>
      <c r="O126" s="349"/>
    </row>
    <row r="127" spans="1:15">
      <c r="A127" s="349"/>
      <c r="B127" s="349"/>
      <c r="C127" s="349"/>
      <c r="D127" s="349"/>
      <c r="E127" s="349"/>
      <c r="F127" s="353"/>
      <c r="G127" s="350"/>
      <c r="H127" s="349"/>
      <c r="I127" s="350"/>
      <c r="J127" s="351"/>
      <c r="K127" s="354"/>
      <c r="L127" s="349"/>
      <c r="M127" s="349"/>
      <c r="N127" s="349"/>
      <c r="O127" s="349"/>
    </row>
    <row r="128" spans="1:15">
      <c r="A128" s="349"/>
      <c r="B128" s="349"/>
      <c r="C128" s="349"/>
      <c r="D128" s="349"/>
      <c r="E128" s="349"/>
      <c r="F128" s="353"/>
      <c r="G128" s="350"/>
      <c r="H128" s="349"/>
      <c r="I128" s="350"/>
      <c r="J128" s="351"/>
      <c r="K128" s="354"/>
      <c r="L128" s="349"/>
      <c r="M128" s="349"/>
      <c r="N128" s="349"/>
      <c r="O128" s="349"/>
    </row>
    <row r="129" spans="1:15">
      <c r="A129" s="349"/>
      <c r="B129" s="349"/>
      <c r="C129" s="349"/>
      <c r="D129" s="349"/>
      <c r="E129" s="349"/>
      <c r="F129" s="353"/>
      <c r="G129" s="350"/>
      <c r="H129" s="349"/>
      <c r="I129" s="350"/>
      <c r="J129" s="351"/>
      <c r="K129" s="354"/>
      <c r="L129" s="349"/>
      <c r="M129" s="349"/>
      <c r="N129" s="349"/>
      <c r="O129" s="349"/>
    </row>
    <row r="130" spans="1:15">
      <c r="A130" s="349"/>
      <c r="B130" s="349"/>
      <c r="C130" s="349"/>
      <c r="D130" s="349"/>
      <c r="E130" s="349"/>
      <c r="F130" s="353"/>
      <c r="G130" s="350"/>
      <c r="H130" s="349"/>
      <c r="I130" s="350"/>
      <c r="J130" s="351"/>
      <c r="K130" s="354"/>
      <c r="L130" s="349"/>
      <c r="M130" s="349"/>
      <c r="N130" s="349"/>
      <c r="O130" s="349"/>
    </row>
    <row r="131" spans="1:15">
      <c r="A131" s="349"/>
      <c r="B131" s="349"/>
      <c r="C131" s="349"/>
      <c r="D131" s="349"/>
      <c r="E131" s="349"/>
      <c r="F131" s="353"/>
      <c r="G131" s="350"/>
      <c r="H131" s="349"/>
      <c r="I131" s="350"/>
      <c r="J131" s="351"/>
      <c r="K131" s="354"/>
      <c r="L131" s="349"/>
      <c r="M131" s="349"/>
      <c r="N131" s="349"/>
      <c r="O131" s="349"/>
    </row>
    <row r="132" spans="1:15">
      <c r="A132" s="349"/>
      <c r="B132" s="349"/>
      <c r="C132" s="349"/>
      <c r="D132" s="349"/>
      <c r="E132" s="349"/>
      <c r="F132" s="353"/>
      <c r="G132" s="350"/>
      <c r="H132" s="349"/>
      <c r="I132" s="350"/>
      <c r="J132" s="351"/>
      <c r="K132" s="354"/>
      <c r="L132" s="349"/>
      <c r="M132" s="349"/>
      <c r="N132" s="349"/>
      <c r="O132" s="349"/>
    </row>
    <row r="133" spans="1:15">
      <c r="A133" s="349"/>
      <c r="B133" s="349"/>
      <c r="C133" s="349"/>
      <c r="D133" s="349"/>
      <c r="E133" s="349"/>
      <c r="F133" s="353"/>
      <c r="G133" s="350"/>
      <c r="H133" s="349"/>
      <c r="I133" s="350"/>
      <c r="J133" s="351"/>
      <c r="K133" s="354"/>
      <c r="L133" s="349"/>
      <c r="M133" s="349"/>
      <c r="N133" s="349"/>
      <c r="O133" s="349"/>
    </row>
    <row r="134" spans="1:15">
      <c r="A134" s="349"/>
      <c r="B134" s="349"/>
      <c r="C134" s="349"/>
      <c r="D134" s="349"/>
      <c r="E134" s="349"/>
      <c r="F134" s="353"/>
      <c r="G134" s="350"/>
      <c r="H134" s="349"/>
      <c r="I134" s="350"/>
      <c r="J134" s="351"/>
      <c r="K134" s="354"/>
      <c r="L134" s="349"/>
      <c r="M134" s="349"/>
      <c r="N134" s="349"/>
      <c r="O134" s="349"/>
    </row>
    <row r="135" spans="1:15">
      <c r="A135" s="349"/>
      <c r="B135" s="349"/>
      <c r="C135" s="349"/>
      <c r="D135" s="349"/>
      <c r="E135" s="349"/>
      <c r="F135" s="353"/>
      <c r="G135" s="350"/>
      <c r="H135" s="349"/>
      <c r="I135" s="350"/>
      <c r="J135" s="351"/>
      <c r="K135" s="354"/>
      <c r="L135" s="349"/>
      <c r="M135" s="349"/>
      <c r="N135" s="349"/>
      <c r="O135" s="349"/>
    </row>
    <row r="136" spans="1:15">
      <c r="A136" s="349"/>
      <c r="B136" s="349"/>
      <c r="C136" s="349"/>
      <c r="D136" s="349"/>
      <c r="E136" s="349"/>
      <c r="F136" s="353"/>
      <c r="G136" s="350"/>
      <c r="H136" s="349"/>
      <c r="I136" s="350"/>
      <c r="J136" s="351"/>
      <c r="K136" s="354"/>
      <c r="L136" s="349"/>
      <c r="M136" s="349"/>
      <c r="N136" s="349"/>
      <c r="O136" s="349"/>
    </row>
    <row r="137" spans="1:15">
      <c r="A137" s="349"/>
      <c r="B137" s="349"/>
      <c r="C137" s="349"/>
      <c r="D137" s="349"/>
      <c r="E137" s="349"/>
      <c r="F137" s="353"/>
      <c r="G137" s="350"/>
      <c r="H137" s="349"/>
      <c r="I137" s="350"/>
      <c r="J137" s="351"/>
      <c r="K137" s="354"/>
      <c r="L137" s="349"/>
      <c r="M137" s="349"/>
      <c r="N137" s="349"/>
      <c r="O137" s="349"/>
    </row>
    <row r="138" spans="1:15">
      <c r="A138" s="349"/>
      <c r="B138" s="349"/>
      <c r="C138" s="349"/>
      <c r="D138" s="349"/>
      <c r="E138" s="349"/>
      <c r="F138" s="353"/>
      <c r="G138" s="350"/>
      <c r="H138" s="349"/>
      <c r="I138" s="350"/>
      <c r="J138" s="351"/>
      <c r="K138" s="354"/>
      <c r="L138" s="349"/>
      <c r="M138" s="349"/>
      <c r="N138" s="349"/>
      <c r="O138" s="349"/>
    </row>
    <row r="139" spans="1:15">
      <c r="A139" s="349"/>
      <c r="B139" s="349"/>
      <c r="C139" s="349"/>
      <c r="D139" s="349"/>
      <c r="E139" s="349"/>
      <c r="F139" s="353"/>
      <c r="G139" s="350"/>
      <c r="H139" s="349"/>
      <c r="I139" s="350"/>
      <c r="J139" s="351"/>
      <c r="K139" s="354"/>
      <c r="L139" s="349"/>
      <c r="M139" s="349"/>
      <c r="N139" s="349"/>
      <c r="O139" s="349"/>
    </row>
    <row r="140" spans="1:15">
      <c r="A140" s="349"/>
      <c r="B140" s="349"/>
      <c r="C140" s="349"/>
      <c r="D140" s="349"/>
      <c r="E140" s="349"/>
      <c r="F140" s="353"/>
      <c r="G140" s="350"/>
      <c r="H140" s="349"/>
      <c r="I140" s="350"/>
      <c r="J140" s="351"/>
      <c r="K140" s="354"/>
      <c r="L140" s="349"/>
      <c r="M140" s="349"/>
      <c r="N140" s="349"/>
      <c r="O140" s="349"/>
    </row>
    <row r="141" spans="1:15">
      <c r="A141" s="349"/>
      <c r="B141" s="349"/>
      <c r="C141" s="349"/>
      <c r="D141" s="349"/>
      <c r="E141" s="349"/>
      <c r="F141" s="353"/>
      <c r="G141" s="350"/>
      <c r="H141" s="349"/>
      <c r="I141" s="350"/>
      <c r="J141" s="351"/>
      <c r="K141" s="354"/>
      <c r="L141" s="349"/>
      <c r="M141" s="349"/>
      <c r="N141" s="349"/>
      <c r="O141" s="349"/>
    </row>
    <row r="142" spans="1:15">
      <c r="A142" s="349"/>
      <c r="B142" s="349"/>
      <c r="C142" s="349"/>
      <c r="D142" s="349"/>
      <c r="E142" s="349"/>
      <c r="F142" s="353"/>
      <c r="G142" s="350"/>
      <c r="H142" s="349"/>
      <c r="I142" s="350"/>
      <c r="J142" s="351"/>
      <c r="K142" s="354"/>
      <c r="L142" s="349"/>
      <c r="M142" s="349"/>
      <c r="N142" s="349"/>
      <c r="O142" s="349"/>
    </row>
    <row r="143" spans="1:15">
      <c r="A143" s="349"/>
      <c r="B143" s="349"/>
      <c r="C143" s="349"/>
      <c r="D143" s="349"/>
      <c r="E143" s="349"/>
      <c r="F143" s="353"/>
      <c r="G143" s="350"/>
      <c r="H143" s="349"/>
      <c r="I143" s="350"/>
      <c r="J143" s="351"/>
      <c r="K143" s="354"/>
      <c r="L143" s="349"/>
      <c r="M143" s="349"/>
      <c r="N143" s="349"/>
      <c r="O143" s="349"/>
    </row>
    <row r="144" spans="1:15">
      <c r="A144" s="349"/>
      <c r="B144" s="349"/>
      <c r="C144" s="349"/>
      <c r="D144" s="349"/>
      <c r="E144" s="349"/>
      <c r="F144" s="353"/>
      <c r="G144" s="350"/>
      <c r="H144" s="349"/>
      <c r="I144" s="350"/>
      <c r="J144" s="351"/>
      <c r="K144" s="354"/>
      <c r="L144" s="349"/>
      <c r="M144" s="349"/>
      <c r="N144" s="349"/>
      <c r="O144" s="349"/>
    </row>
    <row r="145" spans="1:15">
      <c r="A145" s="349"/>
      <c r="B145" s="349"/>
      <c r="C145" s="349"/>
      <c r="D145" s="349"/>
      <c r="E145" s="349"/>
      <c r="F145" s="353"/>
      <c r="G145" s="350"/>
      <c r="H145" s="349"/>
      <c r="I145" s="350"/>
      <c r="J145" s="351"/>
      <c r="K145" s="354"/>
      <c r="L145" s="349"/>
      <c r="M145" s="349"/>
      <c r="N145" s="349"/>
      <c r="O145" s="349"/>
    </row>
    <row r="146" spans="1:15">
      <c r="A146" s="349"/>
      <c r="B146" s="349"/>
      <c r="C146" s="349"/>
      <c r="D146" s="349"/>
      <c r="E146" s="349"/>
      <c r="F146" s="353"/>
      <c r="G146" s="350"/>
      <c r="H146" s="349"/>
      <c r="I146" s="350"/>
      <c r="J146" s="351"/>
      <c r="K146" s="354"/>
      <c r="L146" s="349"/>
      <c r="M146" s="349"/>
      <c r="N146" s="349"/>
      <c r="O146" s="349"/>
    </row>
    <row r="147" spans="1:15">
      <c r="A147" s="349"/>
      <c r="B147" s="349"/>
      <c r="C147" s="349"/>
      <c r="D147" s="349"/>
      <c r="E147" s="349"/>
      <c r="F147" s="353"/>
      <c r="G147" s="350"/>
      <c r="H147" s="349"/>
      <c r="I147" s="350"/>
      <c r="J147" s="351"/>
      <c r="K147" s="354"/>
      <c r="L147" s="349"/>
      <c r="M147" s="349"/>
      <c r="N147" s="349"/>
      <c r="O147" s="349"/>
    </row>
    <row r="148" spans="1:15">
      <c r="A148" s="349"/>
      <c r="B148" s="349"/>
      <c r="C148" s="349"/>
      <c r="D148" s="349"/>
      <c r="E148" s="349"/>
      <c r="F148" s="353"/>
      <c r="G148" s="350"/>
      <c r="H148" s="349"/>
      <c r="I148" s="350"/>
      <c r="J148" s="351"/>
      <c r="K148" s="354"/>
      <c r="L148" s="349"/>
      <c r="M148" s="349"/>
      <c r="N148" s="349"/>
      <c r="O148" s="349"/>
    </row>
    <row r="149" spans="1:15">
      <c r="A149" s="349"/>
      <c r="B149" s="349"/>
      <c r="C149" s="349"/>
      <c r="D149" s="349"/>
      <c r="E149" s="349"/>
      <c r="F149" s="353"/>
      <c r="G149" s="350"/>
      <c r="H149" s="349"/>
      <c r="I149" s="350"/>
      <c r="J149" s="351"/>
      <c r="K149" s="354"/>
      <c r="L149" s="349"/>
      <c r="M149" s="349"/>
      <c r="N149" s="349"/>
      <c r="O149" s="349"/>
    </row>
    <row r="150" spans="1:15">
      <c r="A150" s="349"/>
      <c r="B150" s="349"/>
      <c r="C150" s="349"/>
      <c r="D150" s="349"/>
      <c r="E150" s="349"/>
      <c r="F150" s="353"/>
      <c r="G150" s="350"/>
      <c r="H150" s="349"/>
      <c r="I150" s="350"/>
      <c r="J150" s="351"/>
      <c r="K150" s="354"/>
      <c r="L150" s="349"/>
      <c r="M150" s="349"/>
      <c r="N150" s="349"/>
      <c r="O150" s="349"/>
    </row>
    <row r="151" spans="1:15">
      <c r="A151" s="349"/>
      <c r="B151" s="349"/>
      <c r="C151" s="349"/>
      <c r="D151" s="349"/>
      <c r="E151" s="349"/>
      <c r="F151" s="353"/>
      <c r="G151" s="350"/>
      <c r="H151" s="349"/>
      <c r="I151" s="350"/>
      <c r="J151" s="351"/>
      <c r="K151" s="354"/>
      <c r="L151" s="349"/>
      <c r="M151" s="349"/>
      <c r="N151" s="349"/>
      <c r="O151" s="349"/>
    </row>
    <row r="152" spans="1:15">
      <c r="A152" s="349"/>
      <c r="B152" s="349"/>
      <c r="C152" s="349"/>
      <c r="D152" s="349"/>
      <c r="E152" s="349"/>
      <c r="F152" s="353"/>
      <c r="G152" s="350"/>
      <c r="H152" s="349"/>
      <c r="I152" s="350"/>
      <c r="J152" s="351"/>
      <c r="K152" s="354"/>
      <c r="L152" s="349"/>
      <c r="M152" s="349"/>
      <c r="N152" s="349"/>
      <c r="O152" s="349"/>
    </row>
    <row r="153" spans="1:15">
      <c r="A153" s="349"/>
      <c r="B153" s="349"/>
      <c r="C153" s="349"/>
      <c r="D153" s="349"/>
      <c r="E153" s="349"/>
      <c r="F153" s="353"/>
      <c r="G153" s="350"/>
      <c r="H153" s="349"/>
      <c r="I153" s="350"/>
      <c r="J153" s="351"/>
      <c r="K153" s="354"/>
      <c r="L153" s="349"/>
      <c r="M153" s="349"/>
      <c r="N153" s="349"/>
      <c r="O153" s="349"/>
    </row>
    <row r="154" spans="1:15">
      <c r="A154" s="349"/>
      <c r="B154" s="349"/>
      <c r="C154" s="349"/>
      <c r="D154" s="349"/>
      <c r="E154" s="349"/>
      <c r="F154" s="353"/>
      <c r="G154" s="350"/>
      <c r="H154" s="349"/>
      <c r="I154" s="350"/>
      <c r="J154" s="351"/>
      <c r="K154" s="354"/>
      <c r="L154" s="349"/>
      <c r="M154" s="349"/>
      <c r="N154" s="349"/>
      <c r="O154" s="349"/>
    </row>
    <row r="155" spans="1:15">
      <c r="A155" s="349"/>
      <c r="B155" s="349"/>
      <c r="C155" s="349"/>
      <c r="D155" s="349"/>
      <c r="E155" s="349"/>
      <c r="F155" s="353"/>
      <c r="G155" s="350"/>
      <c r="H155" s="349"/>
      <c r="I155" s="350"/>
      <c r="J155" s="351"/>
      <c r="K155" s="354"/>
      <c r="L155" s="349"/>
      <c r="M155" s="349"/>
      <c r="N155" s="349"/>
      <c r="O155" s="349"/>
    </row>
    <row r="156" spans="1:15">
      <c r="A156" s="349"/>
      <c r="B156" s="349"/>
      <c r="C156" s="349"/>
      <c r="D156" s="349"/>
      <c r="E156" s="349"/>
      <c r="F156" s="353"/>
      <c r="G156" s="350"/>
      <c r="H156" s="349"/>
      <c r="I156" s="350"/>
      <c r="J156" s="351"/>
      <c r="K156" s="354"/>
      <c r="L156" s="349"/>
      <c r="M156" s="349"/>
      <c r="N156" s="349"/>
      <c r="O156" s="349"/>
    </row>
    <row r="157" spans="1:15">
      <c r="A157" s="349"/>
      <c r="B157" s="349"/>
      <c r="C157" s="349"/>
      <c r="D157" s="349"/>
      <c r="E157" s="349"/>
      <c r="F157" s="353"/>
      <c r="G157" s="350"/>
      <c r="H157" s="349"/>
      <c r="I157" s="350"/>
      <c r="J157" s="351"/>
      <c r="K157" s="354"/>
      <c r="L157" s="349"/>
      <c r="M157" s="349"/>
      <c r="N157" s="349"/>
      <c r="O157" s="349"/>
    </row>
    <row r="158" spans="1:15">
      <c r="A158" s="349"/>
      <c r="B158" s="349"/>
      <c r="C158" s="349"/>
      <c r="D158" s="349"/>
      <c r="E158" s="349"/>
      <c r="F158" s="353"/>
      <c r="G158" s="350"/>
      <c r="H158" s="349"/>
      <c r="I158" s="350"/>
      <c r="J158" s="351"/>
      <c r="K158" s="354"/>
      <c r="L158" s="349"/>
      <c r="M158" s="349"/>
      <c r="N158" s="349"/>
      <c r="O158" s="349"/>
    </row>
    <row r="159" spans="1:15">
      <c r="A159" s="349"/>
      <c r="B159" s="349"/>
      <c r="C159" s="349"/>
      <c r="D159" s="349"/>
      <c r="E159" s="349"/>
      <c r="F159" s="353"/>
      <c r="G159" s="350"/>
      <c r="H159" s="349"/>
      <c r="I159" s="350"/>
      <c r="J159" s="351"/>
      <c r="K159" s="354"/>
      <c r="L159" s="349"/>
      <c r="M159" s="349"/>
      <c r="N159" s="349"/>
      <c r="O159" s="349"/>
    </row>
    <row r="160" spans="1:15">
      <c r="A160" s="349"/>
      <c r="B160" s="349"/>
      <c r="C160" s="349"/>
      <c r="D160" s="349"/>
      <c r="E160" s="349"/>
      <c r="F160" s="353"/>
      <c r="G160" s="350"/>
      <c r="H160" s="349"/>
      <c r="I160" s="350"/>
      <c r="J160" s="351"/>
      <c r="K160" s="354"/>
      <c r="L160" s="349"/>
      <c r="M160" s="349"/>
      <c r="N160" s="349"/>
      <c r="O160" s="349"/>
    </row>
    <row r="161" spans="1:15">
      <c r="A161" s="349"/>
      <c r="B161" s="349"/>
      <c r="C161" s="349"/>
      <c r="D161" s="349"/>
      <c r="E161" s="349"/>
      <c r="F161" s="353"/>
      <c r="G161" s="350"/>
      <c r="H161" s="349"/>
      <c r="I161" s="350"/>
      <c r="J161" s="351"/>
      <c r="K161" s="354"/>
      <c r="L161" s="349"/>
      <c r="M161" s="349"/>
      <c r="N161" s="349"/>
      <c r="O161" s="349"/>
    </row>
    <row r="162" spans="1:15">
      <c r="A162" s="349"/>
      <c r="B162" s="349"/>
      <c r="C162" s="349"/>
      <c r="D162" s="349"/>
      <c r="E162" s="349"/>
      <c r="F162" s="353"/>
      <c r="G162" s="350"/>
      <c r="H162" s="349"/>
      <c r="I162" s="350"/>
      <c r="J162" s="351"/>
      <c r="K162" s="354"/>
      <c r="L162" s="349"/>
      <c r="M162" s="349"/>
      <c r="N162" s="349"/>
      <c r="O162" s="349"/>
    </row>
    <row r="163" spans="1:15">
      <c r="A163" s="349"/>
      <c r="B163" s="349"/>
      <c r="C163" s="349"/>
      <c r="D163" s="349"/>
      <c r="E163" s="349"/>
      <c r="F163" s="353"/>
      <c r="G163" s="350"/>
      <c r="H163" s="349"/>
      <c r="I163" s="350"/>
      <c r="J163" s="351"/>
      <c r="K163" s="354"/>
      <c r="L163" s="349"/>
      <c r="M163" s="349"/>
      <c r="N163" s="349"/>
      <c r="O163" s="349"/>
    </row>
    <row r="164" spans="1:15">
      <c r="A164" s="349"/>
      <c r="B164" s="349"/>
      <c r="C164" s="349"/>
      <c r="D164" s="349"/>
      <c r="E164" s="349"/>
      <c r="F164" s="353"/>
      <c r="G164" s="350"/>
      <c r="H164" s="349"/>
      <c r="I164" s="350"/>
      <c r="J164" s="351"/>
      <c r="K164" s="354"/>
      <c r="L164" s="349"/>
      <c r="M164" s="349"/>
      <c r="N164" s="349"/>
      <c r="O164" s="349"/>
    </row>
    <row r="165" spans="1:15">
      <c r="A165" s="349"/>
      <c r="B165" s="349"/>
      <c r="C165" s="349"/>
      <c r="D165" s="349"/>
      <c r="E165" s="349"/>
      <c r="F165" s="353"/>
      <c r="G165" s="350"/>
      <c r="H165" s="349"/>
      <c r="I165" s="350"/>
      <c r="J165" s="351"/>
      <c r="K165" s="354"/>
      <c r="L165" s="349"/>
      <c r="M165" s="349"/>
      <c r="N165" s="349"/>
      <c r="O165" s="349"/>
    </row>
    <row r="166" spans="1:15">
      <c r="A166" s="349"/>
      <c r="B166" s="349"/>
      <c r="C166" s="349"/>
      <c r="D166" s="349"/>
      <c r="E166" s="349"/>
      <c r="F166" s="353"/>
      <c r="G166" s="350"/>
      <c r="H166" s="349"/>
      <c r="I166" s="350"/>
      <c r="J166" s="351"/>
      <c r="K166" s="354"/>
      <c r="L166" s="349"/>
      <c r="M166" s="349"/>
      <c r="N166" s="349"/>
      <c r="O166" s="349"/>
    </row>
    <row r="167" spans="1:15">
      <c r="A167" s="349"/>
      <c r="B167" s="349"/>
      <c r="C167" s="349"/>
      <c r="D167" s="349"/>
      <c r="E167" s="349"/>
      <c r="F167" s="353"/>
      <c r="G167" s="350"/>
      <c r="H167" s="349"/>
      <c r="I167" s="350"/>
      <c r="J167" s="351"/>
      <c r="K167" s="354"/>
      <c r="L167" s="349"/>
      <c r="M167" s="349"/>
      <c r="N167" s="349"/>
      <c r="O167" s="349"/>
    </row>
    <row r="168" spans="1:15">
      <c r="A168" s="349"/>
      <c r="B168" s="349"/>
      <c r="C168" s="349"/>
      <c r="D168" s="349"/>
      <c r="E168" s="349"/>
      <c r="F168" s="353"/>
      <c r="G168" s="350"/>
      <c r="H168" s="349"/>
      <c r="I168" s="350"/>
      <c r="J168" s="351"/>
      <c r="K168" s="354"/>
      <c r="L168" s="349"/>
      <c r="M168" s="349"/>
      <c r="N168" s="349"/>
      <c r="O168" s="349"/>
    </row>
    <row r="169" spans="1:15">
      <c r="A169" s="349"/>
      <c r="B169" s="349"/>
      <c r="C169" s="349"/>
      <c r="D169" s="349"/>
      <c r="E169" s="349"/>
      <c r="F169" s="353"/>
      <c r="G169" s="350"/>
      <c r="H169" s="349"/>
      <c r="I169" s="350"/>
      <c r="J169" s="351"/>
      <c r="K169" s="354"/>
      <c r="L169" s="349"/>
      <c r="M169" s="349"/>
      <c r="N169" s="349"/>
      <c r="O169" s="349"/>
    </row>
    <row r="170" spans="1:15">
      <c r="A170" s="349"/>
      <c r="B170" s="349"/>
      <c r="C170" s="349"/>
      <c r="D170" s="349"/>
      <c r="E170" s="349"/>
      <c r="F170" s="353"/>
      <c r="G170" s="350"/>
      <c r="H170" s="349"/>
      <c r="I170" s="350"/>
      <c r="J170" s="351"/>
      <c r="K170" s="354"/>
      <c r="L170" s="349"/>
      <c r="M170" s="349"/>
      <c r="N170" s="349"/>
      <c r="O170" s="349"/>
    </row>
    <row r="171" spans="1:15">
      <c r="A171" s="349"/>
      <c r="B171" s="349"/>
      <c r="C171" s="349"/>
      <c r="D171" s="349"/>
      <c r="E171" s="349"/>
      <c r="F171" s="353"/>
      <c r="G171" s="350"/>
      <c r="H171" s="349"/>
      <c r="I171" s="350"/>
      <c r="J171" s="351"/>
      <c r="K171" s="354"/>
      <c r="L171" s="349"/>
      <c r="M171" s="349"/>
      <c r="N171" s="349"/>
      <c r="O171" s="349"/>
    </row>
    <row r="172" spans="1:15">
      <c r="A172" s="349"/>
      <c r="B172" s="349"/>
      <c r="C172" s="349"/>
      <c r="D172" s="349"/>
      <c r="E172" s="349"/>
      <c r="F172" s="353"/>
      <c r="G172" s="350"/>
      <c r="H172" s="349"/>
      <c r="I172" s="350"/>
      <c r="J172" s="351"/>
      <c r="K172" s="354"/>
      <c r="L172" s="349"/>
      <c r="M172" s="349"/>
      <c r="N172" s="349"/>
      <c r="O172" s="349"/>
    </row>
    <row r="173" spans="1:15">
      <c r="A173" s="349"/>
      <c r="B173" s="349"/>
      <c r="C173" s="349"/>
      <c r="D173" s="349"/>
      <c r="E173" s="349"/>
      <c r="F173" s="353"/>
      <c r="G173" s="350"/>
      <c r="H173" s="349"/>
      <c r="I173" s="350"/>
      <c r="J173" s="351"/>
      <c r="K173" s="354"/>
      <c r="L173" s="349"/>
      <c r="M173" s="349"/>
      <c r="N173" s="349"/>
      <c r="O173" s="349"/>
    </row>
    <row r="174" spans="1:15">
      <c r="A174" s="349"/>
      <c r="B174" s="349"/>
      <c r="C174" s="349"/>
      <c r="D174" s="349"/>
      <c r="E174" s="349"/>
      <c r="F174" s="353"/>
      <c r="G174" s="350"/>
      <c r="H174" s="349"/>
      <c r="I174" s="350"/>
      <c r="J174" s="351"/>
      <c r="K174" s="354"/>
      <c r="L174" s="349"/>
      <c r="M174" s="349"/>
      <c r="N174" s="349"/>
      <c r="O174" s="349"/>
    </row>
    <row r="175" spans="1:15">
      <c r="A175" s="349"/>
      <c r="B175" s="349"/>
      <c r="C175" s="349"/>
      <c r="D175" s="349"/>
      <c r="E175" s="349"/>
      <c r="F175" s="353"/>
      <c r="G175" s="350"/>
      <c r="H175" s="349"/>
      <c r="I175" s="350"/>
      <c r="J175" s="351"/>
      <c r="K175" s="354"/>
      <c r="L175" s="349"/>
      <c r="M175" s="349"/>
      <c r="N175" s="349"/>
      <c r="O175" s="349"/>
    </row>
    <row r="176" spans="1:15">
      <c r="A176" s="349"/>
      <c r="B176" s="349"/>
      <c r="C176" s="349"/>
      <c r="D176" s="349"/>
      <c r="E176" s="349"/>
      <c r="F176" s="353"/>
      <c r="G176" s="350"/>
      <c r="H176" s="349"/>
      <c r="I176" s="350"/>
      <c r="J176" s="351"/>
      <c r="K176" s="354"/>
      <c r="L176" s="349"/>
      <c r="M176" s="349"/>
      <c r="N176" s="349"/>
      <c r="O176" s="349"/>
    </row>
    <row r="177" spans="1:15">
      <c r="A177" s="349"/>
      <c r="B177" s="349"/>
      <c r="C177" s="349"/>
      <c r="D177" s="349"/>
      <c r="E177" s="349"/>
      <c r="F177" s="353"/>
      <c r="G177" s="350"/>
      <c r="H177" s="349"/>
      <c r="I177" s="350"/>
      <c r="J177" s="351"/>
      <c r="K177" s="354"/>
      <c r="L177" s="349"/>
      <c r="M177" s="349"/>
      <c r="N177" s="349"/>
      <c r="O177" s="349"/>
    </row>
    <row r="178" spans="1:15">
      <c r="A178" s="349"/>
      <c r="B178" s="349"/>
      <c r="C178" s="349"/>
      <c r="D178" s="349"/>
      <c r="E178" s="349"/>
      <c r="F178" s="353"/>
      <c r="G178" s="350"/>
      <c r="H178" s="349"/>
      <c r="I178" s="350"/>
      <c r="J178" s="351"/>
      <c r="K178" s="354"/>
      <c r="L178" s="349"/>
      <c r="M178" s="349"/>
      <c r="N178" s="349"/>
      <c r="O178" s="349"/>
    </row>
    <row r="179" spans="1:15">
      <c r="A179" s="349"/>
      <c r="B179" s="349"/>
      <c r="C179" s="349"/>
      <c r="D179" s="349"/>
      <c r="E179" s="349"/>
      <c r="F179" s="353"/>
      <c r="G179" s="350"/>
      <c r="H179" s="349"/>
      <c r="I179" s="350"/>
      <c r="J179" s="351"/>
      <c r="K179" s="354"/>
      <c r="L179" s="349"/>
      <c r="M179" s="349"/>
      <c r="N179" s="349"/>
      <c r="O179" s="349"/>
    </row>
    <row r="180" spans="1:15">
      <c r="A180" s="349"/>
      <c r="B180" s="349"/>
      <c r="C180" s="349"/>
      <c r="D180" s="349"/>
      <c r="E180" s="349"/>
      <c r="F180" s="353"/>
      <c r="G180" s="350"/>
      <c r="H180" s="349"/>
      <c r="I180" s="350"/>
      <c r="J180" s="351"/>
      <c r="K180" s="354"/>
      <c r="L180" s="349"/>
      <c r="M180" s="349"/>
      <c r="N180" s="349"/>
      <c r="O180" s="349"/>
    </row>
    <row r="181" spans="1:15">
      <c r="A181" s="349"/>
      <c r="B181" s="349"/>
      <c r="C181" s="349"/>
      <c r="D181" s="349"/>
      <c r="E181" s="349"/>
      <c r="F181" s="353"/>
      <c r="G181" s="350"/>
      <c r="H181" s="349"/>
      <c r="I181" s="350"/>
      <c r="J181" s="351"/>
      <c r="K181" s="354"/>
      <c r="L181" s="349"/>
      <c r="M181" s="349"/>
      <c r="N181" s="349"/>
      <c r="O181" s="349"/>
    </row>
    <row r="182" spans="1:15">
      <c r="A182" s="349"/>
      <c r="B182" s="349"/>
      <c r="C182" s="349"/>
      <c r="D182" s="349"/>
      <c r="E182" s="349"/>
      <c r="F182" s="353"/>
      <c r="G182" s="350"/>
      <c r="H182" s="349"/>
      <c r="I182" s="350"/>
      <c r="J182" s="351"/>
      <c r="K182" s="354"/>
      <c r="L182" s="349"/>
      <c r="M182" s="349"/>
      <c r="N182" s="349"/>
      <c r="O182" s="349"/>
    </row>
    <row r="183" spans="1:15">
      <c r="A183" s="349"/>
      <c r="B183" s="349"/>
      <c r="C183" s="349"/>
      <c r="D183" s="349"/>
      <c r="E183" s="349"/>
      <c r="F183" s="353"/>
      <c r="G183" s="350"/>
      <c r="H183" s="349"/>
      <c r="I183" s="350"/>
      <c r="J183" s="351"/>
      <c r="K183" s="354"/>
      <c r="L183" s="349"/>
      <c r="M183" s="349"/>
      <c r="N183" s="349"/>
      <c r="O183" s="349"/>
    </row>
    <row r="184" spans="1:15">
      <c r="A184" s="349"/>
      <c r="B184" s="349"/>
      <c r="C184" s="349"/>
      <c r="D184" s="349"/>
      <c r="E184" s="349"/>
      <c r="F184" s="353"/>
      <c r="G184" s="350"/>
      <c r="H184" s="349"/>
      <c r="I184" s="350"/>
      <c r="J184" s="351"/>
      <c r="K184" s="354"/>
      <c r="L184" s="349"/>
      <c r="M184" s="349"/>
      <c r="N184" s="349"/>
      <c r="O184" s="349"/>
    </row>
    <row r="185" spans="1:15">
      <c r="A185" s="349"/>
      <c r="B185" s="349"/>
      <c r="C185" s="349"/>
      <c r="D185" s="349"/>
      <c r="E185" s="349"/>
      <c r="F185" s="353"/>
      <c r="G185" s="350"/>
      <c r="H185" s="349"/>
      <c r="I185" s="350"/>
      <c r="J185" s="351"/>
      <c r="K185" s="354"/>
      <c r="L185" s="349"/>
      <c r="M185" s="349"/>
      <c r="N185" s="349"/>
      <c r="O185" s="349"/>
    </row>
    <row r="186" spans="1:15">
      <c r="A186" s="349"/>
      <c r="B186" s="349"/>
      <c r="C186" s="349"/>
      <c r="D186" s="349"/>
      <c r="E186" s="349"/>
      <c r="F186" s="353"/>
      <c r="G186" s="350"/>
      <c r="H186" s="349"/>
      <c r="I186" s="350"/>
      <c r="J186" s="351"/>
      <c r="K186" s="354"/>
      <c r="L186" s="349"/>
      <c r="M186" s="349"/>
      <c r="N186" s="349"/>
      <c r="O186" s="349"/>
    </row>
    <row r="187" spans="1:15">
      <c r="A187" s="349"/>
      <c r="B187" s="349"/>
      <c r="C187" s="349"/>
      <c r="D187" s="349"/>
      <c r="E187" s="349"/>
      <c r="F187" s="353"/>
      <c r="G187" s="350"/>
      <c r="H187" s="349"/>
      <c r="I187" s="350"/>
      <c r="J187" s="351"/>
      <c r="K187" s="354"/>
      <c r="L187" s="349"/>
      <c r="M187" s="349"/>
      <c r="N187" s="349"/>
      <c r="O187" s="349"/>
    </row>
    <row r="188" spans="1:15">
      <c r="A188" s="349"/>
      <c r="B188" s="349"/>
      <c r="C188" s="349"/>
      <c r="D188" s="349"/>
      <c r="E188" s="349"/>
      <c r="F188" s="353"/>
      <c r="G188" s="350"/>
      <c r="H188" s="349"/>
      <c r="I188" s="350"/>
      <c r="J188" s="351"/>
      <c r="K188" s="354"/>
      <c r="L188" s="349"/>
      <c r="M188" s="349"/>
      <c r="N188" s="349"/>
      <c r="O188" s="349"/>
    </row>
    <row r="189" spans="1:15">
      <c r="A189" s="349"/>
      <c r="B189" s="349"/>
      <c r="C189" s="349"/>
      <c r="D189" s="349"/>
      <c r="E189" s="349"/>
      <c r="F189" s="353"/>
      <c r="G189" s="350"/>
      <c r="H189" s="349"/>
      <c r="I189" s="350"/>
      <c r="J189" s="351"/>
      <c r="K189" s="354"/>
      <c r="L189" s="349"/>
      <c r="M189" s="349"/>
      <c r="N189" s="349"/>
      <c r="O189" s="349"/>
    </row>
    <row r="190" spans="1:15">
      <c r="A190" s="349"/>
      <c r="B190" s="349"/>
      <c r="C190" s="349"/>
      <c r="D190" s="349"/>
      <c r="E190" s="349"/>
      <c r="F190" s="353"/>
      <c r="G190" s="350"/>
      <c r="H190" s="349"/>
      <c r="I190" s="350"/>
      <c r="J190" s="351"/>
      <c r="K190" s="354"/>
      <c r="L190" s="349"/>
      <c r="M190" s="349"/>
      <c r="N190" s="349"/>
      <c r="O190" s="349"/>
    </row>
    <row r="191" spans="1:15">
      <c r="A191" s="349"/>
      <c r="B191" s="349"/>
      <c r="C191" s="349"/>
      <c r="D191" s="349"/>
      <c r="E191" s="349"/>
      <c r="F191" s="353"/>
      <c r="G191" s="350"/>
      <c r="H191" s="349"/>
      <c r="I191" s="350"/>
      <c r="J191" s="351"/>
      <c r="K191" s="354"/>
      <c r="L191" s="349"/>
      <c r="M191" s="349"/>
      <c r="N191" s="349"/>
      <c r="O191" s="349"/>
    </row>
    <row r="192" spans="1:15">
      <c r="A192" s="349"/>
      <c r="B192" s="349"/>
      <c r="C192" s="349"/>
      <c r="D192" s="349"/>
      <c r="E192" s="349"/>
      <c r="F192" s="353"/>
      <c r="G192" s="350"/>
      <c r="H192" s="349"/>
      <c r="I192" s="350"/>
      <c r="J192" s="351"/>
      <c r="K192" s="354"/>
      <c r="L192" s="349"/>
      <c r="M192" s="349"/>
      <c r="N192" s="349"/>
      <c r="O192" s="349"/>
    </row>
    <row r="193" spans="1:15">
      <c r="A193" s="349"/>
      <c r="B193" s="349"/>
      <c r="C193" s="349"/>
      <c r="D193" s="349"/>
      <c r="E193" s="349"/>
      <c r="F193" s="353"/>
      <c r="G193" s="350"/>
      <c r="H193" s="349"/>
      <c r="I193" s="350"/>
      <c r="J193" s="351"/>
      <c r="K193" s="354"/>
      <c r="L193" s="349"/>
      <c r="M193" s="349"/>
      <c r="N193" s="349"/>
      <c r="O193" s="349"/>
    </row>
    <row r="194" spans="1:15">
      <c r="A194" s="349"/>
      <c r="B194" s="349"/>
      <c r="C194" s="349"/>
      <c r="D194" s="349"/>
      <c r="E194" s="349"/>
      <c r="F194" s="353"/>
      <c r="G194" s="350"/>
      <c r="H194" s="349"/>
      <c r="I194" s="350"/>
      <c r="J194" s="351"/>
      <c r="K194" s="354"/>
      <c r="L194" s="349"/>
      <c r="M194" s="349"/>
      <c r="N194" s="349"/>
      <c r="O194" s="349"/>
    </row>
    <row r="195" spans="1:15">
      <c r="A195" s="349"/>
      <c r="B195" s="349"/>
      <c r="C195" s="349"/>
      <c r="D195" s="349"/>
      <c r="E195" s="349"/>
      <c r="F195" s="353"/>
      <c r="G195" s="350"/>
      <c r="H195" s="349"/>
      <c r="I195" s="350"/>
      <c r="J195" s="351"/>
      <c r="K195" s="354"/>
      <c r="L195" s="349"/>
      <c r="M195" s="349"/>
      <c r="N195" s="349"/>
      <c r="O195" s="349"/>
    </row>
    <row r="196" spans="1:15">
      <c r="A196" s="349"/>
      <c r="B196" s="349"/>
      <c r="C196" s="349"/>
      <c r="D196" s="349"/>
      <c r="E196" s="349"/>
      <c r="F196" s="353"/>
      <c r="G196" s="350"/>
      <c r="H196" s="349"/>
      <c r="I196" s="350"/>
      <c r="J196" s="351"/>
      <c r="K196" s="354"/>
      <c r="L196" s="349"/>
      <c r="M196" s="349"/>
      <c r="N196" s="349"/>
      <c r="O196" s="349"/>
    </row>
    <row r="197" spans="1:15">
      <c r="A197" s="349"/>
      <c r="B197" s="349"/>
      <c r="C197" s="349"/>
      <c r="D197" s="349"/>
      <c r="E197" s="349"/>
      <c r="F197" s="353"/>
      <c r="G197" s="350"/>
      <c r="H197" s="349"/>
      <c r="I197" s="350"/>
      <c r="J197" s="351"/>
      <c r="K197" s="354"/>
      <c r="L197" s="349"/>
      <c r="M197" s="349"/>
      <c r="N197" s="349"/>
      <c r="O197" s="349"/>
    </row>
    <row r="198" spans="1:15">
      <c r="A198" s="349"/>
      <c r="B198" s="349"/>
      <c r="C198" s="349"/>
      <c r="D198" s="349"/>
      <c r="E198" s="349"/>
      <c r="F198" s="353"/>
      <c r="G198" s="350"/>
      <c r="H198" s="349"/>
      <c r="I198" s="350"/>
      <c r="J198" s="351"/>
      <c r="K198" s="354"/>
      <c r="L198" s="349"/>
      <c r="M198" s="349"/>
      <c r="N198" s="349"/>
      <c r="O198" s="349"/>
    </row>
    <row r="199" spans="1:15">
      <c r="A199" s="349"/>
      <c r="B199" s="349"/>
      <c r="C199" s="349"/>
      <c r="D199" s="349"/>
      <c r="E199" s="349"/>
      <c r="F199" s="353"/>
      <c r="G199" s="350"/>
      <c r="H199" s="349"/>
      <c r="I199" s="350"/>
      <c r="J199" s="351"/>
      <c r="K199" s="354"/>
      <c r="L199" s="349"/>
      <c r="M199" s="349"/>
      <c r="N199" s="349"/>
      <c r="O199" s="349"/>
    </row>
    <row r="200" spans="1:15">
      <c r="A200" s="349"/>
      <c r="B200" s="349"/>
      <c r="C200" s="349"/>
      <c r="D200" s="349"/>
      <c r="E200" s="349"/>
      <c r="F200" s="353"/>
      <c r="G200" s="350"/>
      <c r="H200" s="349"/>
      <c r="I200" s="350"/>
      <c r="J200" s="351"/>
      <c r="K200" s="354"/>
      <c r="L200" s="349"/>
      <c r="M200" s="349"/>
      <c r="N200" s="349"/>
      <c r="O200" s="349"/>
    </row>
    <row r="201" spans="1:15">
      <c r="A201" s="349"/>
      <c r="B201" s="349"/>
      <c r="C201" s="349"/>
      <c r="D201" s="349"/>
      <c r="E201" s="349"/>
      <c r="F201" s="353"/>
      <c r="G201" s="350"/>
      <c r="H201" s="349"/>
      <c r="I201" s="350"/>
      <c r="J201" s="351"/>
      <c r="K201" s="354"/>
      <c r="L201" s="349"/>
      <c r="M201" s="349"/>
      <c r="N201" s="349"/>
      <c r="O201" s="349"/>
    </row>
    <row r="202" spans="1:15">
      <c r="A202" s="349"/>
      <c r="B202" s="349"/>
      <c r="C202" s="349"/>
      <c r="D202" s="349"/>
      <c r="E202" s="349"/>
      <c r="F202" s="353"/>
      <c r="G202" s="350"/>
      <c r="H202" s="349"/>
      <c r="I202" s="350"/>
      <c r="J202" s="351"/>
      <c r="K202" s="354"/>
      <c r="L202" s="349"/>
      <c r="M202" s="349"/>
      <c r="N202" s="349"/>
      <c r="O202" s="349"/>
    </row>
    <row r="203" spans="1:15">
      <c r="A203" s="349"/>
      <c r="B203" s="349"/>
      <c r="C203" s="349"/>
      <c r="D203" s="349"/>
      <c r="E203" s="349"/>
      <c r="F203" s="353"/>
      <c r="G203" s="350"/>
      <c r="H203" s="349"/>
      <c r="I203" s="350"/>
      <c r="J203" s="351"/>
      <c r="K203" s="354"/>
      <c r="L203" s="349"/>
      <c r="M203" s="349"/>
      <c r="N203" s="349"/>
      <c r="O203" s="349"/>
    </row>
    <row r="204" spans="1:15">
      <c r="A204" s="349"/>
      <c r="B204" s="349"/>
      <c r="C204" s="349"/>
      <c r="D204" s="349"/>
      <c r="E204" s="349"/>
      <c r="F204" s="353"/>
      <c r="G204" s="350"/>
      <c r="H204" s="349"/>
      <c r="I204" s="350"/>
      <c r="J204" s="351"/>
      <c r="K204" s="354"/>
      <c r="L204" s="349"/>
      <c r="M204" s="349"/>
      <c r="N204" s="349"/>
      <c r="O204" s="349"/>
    </row>
  </sheetData>
  <mergeCells count="2">
    <mergeCell ref="A2:M2"/>
    <mergeCell ref="A1:F1"/>
  </mergeCells>
  <conditionalFormatting sqref="I5:I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5:L204">
    <cfRule type="expression" dxfId="771" priority="2">
      <formula>L5="Alto"</formula>
    </cfRule>
    <cfRule type="expression" dxfId="770" priority="3">
      <formula>L5="Medio"</formula>
    </cfRule>
    <cfRule type="expression" dxfId="769" priority="4">
      <formula>L5="Bajo"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27"/>
  <sheetViews>
    <sheetView workbookViewId="0"/>
  </sheetViews>
  <sheetFormatPr baseColWidth="10" defaultColWidth="8.7265625" defaultRowHeight="14.5"/>
  <cols>
    <col min="1" max="1" width="24.453125" customWidth="1"/>
    <col min="2" max="2" width="10.6328125" customWidth="1"/>
    <col min="3" max="3" width="9" customWidth="1"/>
    <col min="4" max="4" width="27.90625" customWidth="1"/>
    <col min="5" max="5" width="7.7265625" customWidth="1"/>
    <col min="6" max="6" width="12.36328125" customWidth="1"/>
    <col min="7" max="7" width="9" customWidth="1"/>
    <col min="8" max="8" width="12.6328125" customWidth="1"/>
    <col min="9" max="9" width="9" customWidth="1"/>
    <col min="10" max="10" width="9.36328125" customWidth="1"/>
    <col min="12" max="14" width="26" customWidth="1"/>
  </cols>
  <sheetData>
    <row r="1" spans="1:14" ht="14" customHeight="1">
      <c r="A1" s="484" t="s">
        <v>2520</v>
      </c>
      <c r="B1" s="426"/>
      <c r="C1" s="426"/>
      <c r="D1" s="426"/>
      <c r="E1" s="426"/>
      <c r="F1" s="426"/>
      <c r="G1" s="426"/>
      <c r="H1" s="426"/>
      <c r="I1" s="306"/>
      <c r="J1" s="306"/>
      <c r="K1" s="306"/>
      <c r="L1" s="306"/>
      <c r="M1" s="306"/>
      <c r="N1" s="306"/>
    </row>
    <row r="2" spans="1:14" ht="12.9" customHeight="1">
      <c r="A2" s="481" t="s">
        <v>2521</v>
      </c>
      <c r="B2" s="426"/>
      <c r="C2" s="426"/>
      <c r="D2" s="426"/>
      <c r="E2" s="426"/>
      <c r="F2" s="426"/>
      <c r="G2" s="280"/>
      <c r="H2" s="280"/>
      <c r="I2" s="280"/>
      <c r="J2" s="280"/>
      <c r="K2" s="280"/>
      <c r="L2" s="280"/>
      <c r="M2" s="280"/>
      <c r="N2" s="280"/>
    </row>
    <row r="4" spans="1:14" ht="19.399999999999999" customHeight="1">
      <c r="A4" s="307" t="s">
        <v>2522</v>
      </c>
      <c r="B4" s="307" t="s">
        <v>7</v>
      </c>
      <c r="D4" s="296" t="s">
        <v>2230</v>
      </c>
      <c r="E4" s="296" t="s">
        <v>2245</v>
      </c>
      <c r="F4" s="296" t="s">
        <v>2246</v>
      </c>
      <c r="G4" s="296" t="s">
        <v>2440</v>
      </c>
      <c r="H4" s="296" t="s">
        <v>2523</v>
      </c>
      <c r="I4" s="296" t="s">
        <v>2215</v>
      </c>
      <c r="J4" s="296" t="s">
        <v>2524</v>
      </c>
      <c r="L4" s="324" t="s">
        <v>2525</v>
      </c>
      <c r="M4" s="324" t="s">
        <v>655</v>
      </c>
      <c r="N4" s="324" t="s">
        <v>696</v>
      </c>
    </row>
    <row r="5" spans="1:14">
      <c r="A5" s="308" t="s">
        <v>2526</v>
      </c>
      <c r="B5" s="311">
        <f>IFERROR(AVERAGE('55_T2_CONTENIDOS_Y_AVANCE'!I5:I204),0)</f>
        <v>0.3125</v>
      </c>
      <c r="D5" s="281" t="s">
        <v>2184</v>
      </c>
      <c r="E5" s="315">
        <f>IFERROR(AVERAGEIF('55_T2_CONTENIDOS_Y_AVANCE'!C:C,D5,'55_T2_CONTENIDOS_Y_AVANCE'!I:I),0)</f>
        <v>0</v>
      </c>
      <c r="F5" s="315">
        <f>IFERROR(AVERAGEIF('55_T2_CONTENIDOS_Y_AVANCE'!C:C,D5,'55_T2_CONTENIDOS_Y_AVANCE'!J:J),0)</f>
        <v>0</v>
      </c>
      <c r="G5" s="318">
        <f>IFERROR(SUMIF('56_T2_ESTUDIO_Y_ERRORES'!C:C,D5,'56_T2_ESTUDIO_Y_ERRORES'!Q:Q),0)</f>
        <v>0</v>
      </c>
      <c r="H5" s="282">
        <f>COUNTIFS('56_T2_ESTUDIO_Y_ERRORES'!C:C,D5,'56_T2_ESTUDIO_Y_ERRORES'!M:M,"Abierto")</f>
        <v>0</v>
      </c>
      <c r="I5" s="282">
        <f ca="1">COUNTIFS('57_T2_EVALUACIONES_NOTAS'!C:C,D5,'57_T2_EVALUACIONES_NOTAS'!H:H,"Pendiente")</f>
        <v>4</v>
      </c>
      <c r="J5" s="321">
        <f>IFERROR(SUMIFS('57_T2_EVALUACIONES_NOTAS'!K:K,'57_T2_EVALUACIONES_NOTAS'!C:C,D5)/(SUMIFS('57_T2_EVALUACIONES_NOTAS'!G:G,'57_T2_EVALUACIONES_NOTAS'!C:C,D5,'57_T2_EVALUACIONES_NOTAS'!J:J,"&gt;0")/100),0)</f>
        <v>0</v>
      </c>
      <c r="L5" s="325" t="s">
        <v>2527</v>
      </c>
      <c r="M5" s="326" t="s">
        <v>2528</v>
      </c>
      <c r="N5" s="327" t="s">
        <v>2529</v>
      </c>
    </row>
    <row r="6" spans="1:14">
      <c r="A6" s="309" t="s">
        <v>2530</v>
      </c>
      <c r="B6" s="312">
        <f>IFERROR(AVERAGE('55_T2_CONTENIDOS_Y_AVANCE'!J5:J204),0)</f>
        <v>0.625</v>
      </c>
      <c r="D6" s="284" t="s">
        <v>2189</v>
      </c>
      <c r="E6" s="316">
        <f>IFERROR(AVERAGEIF('55_T2_CONTENIDOS_Y_AVANCE'!C:C,D6,'55_T2_CONTENIDOS_Y_AVANCE'!I:I),0)</f>
        <v>0</v>
      </c>
      <c r="F6" s="316">
        <f>IFERROR(AVERAGEIF('55_T2_CONTENIDOS_Y_AVANCE'!C:C,D6,'55_T2_CONTENIDOS_Y_AVANCE'!J:J),0)</f>
        <v>0</v>
      </c>
      <c r="G6" s="319">
        <f>IFERROR(SUMIF('56_T2_ESTUDIO_Y_ERRORES'!C:C,D6,'56_T2_ESTUDIO_Y_ERRORES'!Q:Q),0)</f>
        <v>0</v>
      </c>
      <c r="H6" s="285">
        <f>COUNTIFS('56_T2_ESTUDIO_Y_ERRORES'!C:C,D6,'56_T2_ESTUDIO_Y_ERRORES'!M:M,"Abierto")</f>
        <v>0</v>
      </c>
      <c r="I6" s="285">
        <f ca="1">COUNTIFS('57_T2_EVALUACIONES_NOTAS'!C:C,D6,'57_T2_EVALUACIONES_NOTAS'!H:H,"Pendiente")</f>
        <v>5</v>
      </c>
      <c r="J6" s="322">
        <f>IFERROR(SUMIFS('57_T2_EVALUACIONES_NOTAS'!K:K,'57_T2_EVALUACIONES_NOTAS'!C:C,D6)/(SUMIFS('57_T2_EVALUACIONES_NOTAS'!G:G,'57_T2_EVALUACIONES_NOTAS'!C:C,D6,'57_T2_EVALUACIONES_NOTAS'!J:J,"&gt;0")/100),0)</f>
        <v>0</v>
      </c>
      <c r="L6" s="328" t="s">
        <v>2531</v>
      </c>
      <c r="M6" s="329" t="s">
        <v>2532</v>
      </c>
      <c r="N6" s="330" t="s">
        <v>2533</v>
      </c>
    </row>
    <row r="7" spans="1:14" ht="19.399999999999999" customHeight="1">
      <c r="A7" s="309" t="s">
        <v>1335</v>
      </c>
      <c r="B7" s="313">
        <f>IFERROR(SUM('56_T2_ESTUDIO_Y_ERRORES'!Q5:Q304),0)</f>
        <v>0.75</v>
      </c>
      <c r="D7" s="284" t="s">
        <v>35</v>
      </c>
      <c r="E7" s="316">
        <f>IFERROR(AVERAGEIF('55_T2_CONTENIDOS_Y_AVANCE'!C:C,D7,'55_T2_CONTENIDOS_Y_AVANCE'!I:I),0)</f>
        <v>1.25</v>
      </c>
      <c r="F7" s="316">
        <f>IFERROR(AVERAGEIF('55_T2_CONTENIDOS_Y_AVANCE'!C:C,D7,'55_T2_CONTENIDOS_Y_AVANCE'!J:J),0)</f>
        <v>2.5</v>
      </c>
      <c r="G7" s="319">
        <f>IFERROR(SUMIF('56_T2_ESTUDIO_Y_ERRORES'!C:C,D7,'56_T2_ESTUDIO_Y_ERRORES'!Q:Q),0)</f>
        <v>0.75</v>
      </c>
      <c r="H7" s="285">
        <f>COUNTIFS('56_T2_ESTUDIO_Y_ERRORES'!C:C,D7,'56_T2_ESTUDIO_Y_ERRORES'!M:M,"Abierto")</f>
        <v>0</v>
      </c>
      <c r="I7" s="285">
        <f ca="1">COUNTIFS('57_T2_EVALUACIONES_NOTAS'!C:C,D7,'57_T2_EVALUACIONES_NOTAS'!H:H,"Pendiente")</f>
        <v>4</v>
      </c>
      <c r="J7" s="322">
        <f>IFERROR(SUMIFS('57_T2_EVALUACIONES_NOTAS'!K:K,'57_T2_EVALUACIONES_NOTAS'!C:C,D7)/(SUMIFS('57_T2_EVALUACIONES_NOTAS'!G:G,'57_T2_EVALUACIONES_NOTAS'!C:C,D7,'57_T2_EVALUACIONES_NOTAS'!J:J,"&gt;0")/100),0)</f>
        <v>0</v>
      </c>
      <c r="L7" s="328" t="s">
        <v>2523</v>
      </c>
      <c r="M7" s="329" t="s">
        <v>2534</v>
      </c>
      <c r="N7" s="330" t="s">
        <v>2535</v>
      </c>
    </row>
    <row r="8" spans="1:14">
      <c r="A8" s="309" t="s">
        <v>2523</v>
      </c>
      <c r="B8" s="309">
        <f>COUNTIF('56_T2_ESTUDIO_Y_ERRORES'!M5:M304,"Abierto")</f>
        <v>0</v>
      </c>
      <c r="D8" s="287" t="s">
        <v>2199</v>
      </c>
      <c r="E8" s="317">
        <f>IFERROR(AVERAGEIF('55_T2_CONTENIDOS_Y_AVANCE'!C:C,D8,'55_T2_CONTENIDOS_Y_AVANCE'!I:I),0)</f>
        <v>0</v>
      </c>
      <c r="F8" s="317">
        <f>IFERROR(AVERAGEIF('55_T2_CONTENIDOS_Y_AVANCE'!C:C,D8,'55_T2_CONTENIDOS_Y_AVANCE'!J:J),0)</f>
        <v>0</v>
      </c>
      <c r="G8" s="320">
        <f>IFERROR(SUMIF('56_T2_ESTUDIO_Y_ERRORES'!C:C,D8,'56_T2_ESTUDIO_Y_ERRORES'!Q:Q),0)</f>
        <v>0</v>
      </c>
      <c r="H8" s="288">
        <f>COUNTIFS('56_T2_ESTUDIO_Y_ERRORES'!C:C,D8,'56_T2_ESTUDIO_Y_ERRORES'!M:M,"Abierto")</f>
        <v>0</v>
      </c>
      <c r="I8" s="288">
        <f ca="1">COUNTIFS('57_T2_EVALUACIONES_NOTAS'!C:C,D8,'57_T2_EVALUACIONES_NOTAS'!H:H,"Pendiente")</f>
        <v>7</v>
      </c>
      <c r="J8" s="323">
        <f>IFERROR(SUMIFS('57_T2_EVALUACIONES_NOTAS'!K:K,'57_T2_EVALUACIONES_NOTAS'!C:C,D8)/(SUMIFS('57_T2_EVALUACIONES_NOTAS'!G:G,'57_T2_EVALUACIONES_NOTAS'!C:C,D8,'57_T2_EVALUACIONES_NOTAS'!J:J,"&gt;0")/100),0)</f>
        <v>0</v>
      </c>
      <c r="L8" s="331" t="s">
        <v>2536</v>
      </c>
      <c r="M8" s="332" t="s">
        <v>2537</v>
      </c>
      <c r="N8" s="333" t="s">
        <v>2538</v>
      </c>
    </row>
    <row r="9" spans="1:14">
      <c r="A9" s="309" t="s">
        <v>2536</v>
      </c>
      <c r="B9" s="309">
        <f ca="1">COUNTIF('57_T2_EVALUACIONES_NOTAS'!H5:H204,"Pendiente")</f>
        <v>20</v>
      </c>
    </row>
    <row r="10" spans="1:14">
      <c r="A10" s="309" t="s">
        <v>2539</v>
      </c>
      <c r="B10" s="309">
        <f ca="1">COUNTIF('57_T2_EVALUACIONES_NOTAS'!H5:H204,"Rendida")</f>
        <v>0</v>
      </c>
    </row>
    <row r="11" spans="1:14">
      <c r="A11" s="309" t="s">
        <v>2540</v>
      </c>
      <c r="B11" s="314">
        <f>IFERROR(SUM('57_T2_EVALUACIONES_NOTAS'!K5:K204)/(SUMIF('57_T2_EVALUACIONES_NOTAS'!J5:J204,"&gt;0",'57_T2_EVALUACIONES_NOTAS'!G5:G204)/100),0)</f>
        <v>0</v>
      </c>
    </row>
    <row r="12" spans="1:14">
      <c r="A12" s="310" t="s">
        <v>2541</v>
      </c>
      <c r="B12" s="310">
        <f>COUNTIF('57_T2_EVALUACIONES_NOTAS'!L5:L204,"Alto")</f>
        <v>20</v>
      </c>
    </row>
    <row r="15" spans="1:14">
      <c r="A15" s="307" t="s">
        <v>1115</v>
      </c>
      <c r="B15" s="307" t="s">
        <v>2542</v>
      </c>
      <c r="C15" s="307" t="s">
        <v>2245</v>
      </c>
      <c r="D15" s="307" t="s">
        <v>2246</v>
      </c>
      <c r="E15" s="307" t="s">
        <v>2440</v>
      </c>
      <c r="F15" s="307" t="s">
        <v>118</v>
      </c>
      <c r="G15" s="307" t="s">
        <v>2215</v>
      </c>
      <c r="H15" s="307" t="s">
        <v>2543</v>
      </c>
    </row>
    <row r="16" spans="1:14">
      <c r="A16" s="281">
        <f>1</f>
        <v>1</v>
      </c>
      <c r="B16" s="282">
        <f>COUNTIF('55_T2_CONTENIDOS_Y_AVANCE'!B:B,A16)</f>
        <v>4</v>
      </c>
      <c r="C16" s="315">
        <f>IFERROR(AVERAGEIF('55_T2_CONTENIDOS_Y_AVANCE'!B:B,A16,'55_T2_CONTENIDOS_Y_AVANCE'!I:I),0)</f>
        <v>0</v>
      </c>
      <c r="D16" s="315">
        <f>IFERROR(AVERAGEIF('55_T2_CONTENIDOS_Y_AVANCE'!B:B,A16,'55_T2_CONTENIDOS_Y_AVANCE'!J:J),0)</f>
        <v>0</v>
      </c>
      <c r="E16" s="318">
        <f>IFERROR(SUMIF('56_T2_ESTUDIO_Y_ERRORES'!B:B,A16,'56_T2_ESTUDIO_Y_ERRORES'!Q:Q),0)</f>
        <v>0</v>
      </c>
      <c r="F16" s="282">
        <f>COUNTIF('57_T2_EVALUACIONES_NOTAS'!B:B,A16)</f>
        <v>0</v>
      </c>
      <c r="G16" s="282">
        <f>COUNTIFS('57_T2_EVALUACIONES_NOTAS'!B:B,A16,'57_T2_EVALUACIONES_NOTAS'!H:H,"Pendiente")</f>
        <v>0</v>
      </c>
      <c r="H16" s="283">
        <f>COUNTIFS('57_T2_EVALUACIONES_NOTAS'!B:B,A16,'57_T2_EVALUACIONES_NOTAS'!L:L,"Alto")</f>
        <v>0</v>
      </c>
    </row>
    <row r="17" spans="1:8">
      <c r="A17" s="284">
        <f>2</f>
        <v>2</v>
      </c>
      <c r="B17" s="285">
        <f>COUNTIF('55_T2_CONTENIDOS_Y_AVANCE'!B:B,A17)</f>
        <v>4</v>
      </c>
      <c r="C17" s="316">
        <f>IFERROR(AVERAGEIF('55_T2_CONTENIDOS_Y_AVANCE'!B:B,A17,'55_T2_CONTENIDOS_Y_AVANCE'!I:I),0)</f>
        <v>0</v>
      </c>
      <c r="D17" s="316">
        <f>IFERROR(AVERAGEIF('55_T2_CONTENIDOS_Y_AVANCE'!B:B,A17,'55_T2_CONTENIDOS_Y_AVANCE'!J:J),0)</f>
        <v>0</v>
      </c>
      <c r="E17" s="319">
        <f>IFERROR(SUMIF('56_T2_ESTUDIO_Y_ERRORES'!B:B,A17,'56_T2_ESTUDIO_Y_ERRORES'!Q:Q),0)</f>
        <v>0</v>
      </c>
      <c r="F17" s="285">
        <f>COUNTIF('57_T2_EVALUACIONES_NOTAS'!B:B,A17)</f>
        <v>0</v>
      </c>
      <c r="G17" s="285">
        <f>COUNTIFS('57_T2_EVALUACIONES_NOTAS'!B:B,A17,'57_T2_EVALUACIONES_NOTAS'!H:H,"Pendiente")</f>
        <v>0</v>
      </c>
      <c r="H17" s="286">
        <f>COUNTIFS('57_T2_EVALUACIONES_NOTAS'!B:B,A17,'57_T2_EVALUACIONES_NOTAS'!L:L,"Alto")</f>
        <v>0</v>
      </c>
    </row>
    <row r="18" spans="1:8">
      <c r="A18" s="284">
        <f>3</f>
        <v>3</v>
      </c>
      <c r="B18" s="285">
        <f>COUNTIF('55_T2_CONTENIDOS_Y_AVANCE'!B:B,A18)</f>
        <v>4</v>
      </c>
      <c r="C18" s="316">
        <f>IFERROR(AVERAGEIF('55_T2_CONTENIDOS_Y_AVANCE'!B:B,A18,'55_T2_CONTENIDOS_Y_AVANCE'!I:I),0)</f>
        <v>0</v>
      </c>
      <c r="D18" s="316">
        <f>IFERROR(AVERAGEIF('55_T2_CONTENIDOS_Y_AVANCE'!B:B,A18,'55_T2_CONTENIDOS_Y_AVANCE'!J:J),0)</f>
        <v>0</v>
      </c>
      <c r="E18" s="319">
        <f>IFERROR(SUMIF('56_T2_ESTUDIO_Y_ERRORES'!B:B,A18,'56_T2_ESTUDIO_Y_ERRORES'!Q:Q),0)</f>
        <v>0</v>
      </c>
      <c r="F18" s="285">
        <f>COUNTIF('57_T2_EVALUACIONES_NOTAS'!B:B,A18)</f>
        <v>3</v>
      </c>
      <c r="G18" s="285">
        <f ca="1">COUNTIFS('57_T2_EVALUACIONES_NOTAS'!B:B,A18,'57_T2_EVALUACIONES_NOTAS'!H:H,"Pendiente")</f>
        <v>3</v>
      </c>
      <c r="H18" s="286">
        <f>COUNTIFS('57_T2_EVALUACIONES_NOTAS'!B:B,A18,'57_T2_EVALUACIONES_NOTAS'!L:L,"Alto")</f>
        <v>3</v>
      </c>
    </row>
    <row r="19" spans="1:8">
      <c r="A19" s="284">
        <f>4</f>
        <v>4</v>
      </c>
      <c r="B19" s="285">
        <f>COUNTIF('55_T2_CONTENIDOS_Y_AVANCE'!B:B,A19)</f>
        <v>4</v>
      </c>
      <c r="C19" s="316">
        <f>IFERROR(AVERAGEIF('55_T2_CONTENIDOS_Y_AVANCE'!B:B,A19,'55_T2_CONTENIDOS_Y_AVANCE'!I:I),0)</f>
        <v>3.75</v>
      </c>
      <c r="D19" s="316">
        <f>IFERROR(AVERAGEIF('55_T2_CONTENIDOS_Y_AVANCE'!B:B,A19,'55_T2_CONTENIDOS_Y_AVANCE'!J:J),0)</f>
        <v>7.5</v>
      </c>
      <c r="E19" s="319">
        <f>IFERROR(SUMIF('56_T2_ESTUDIO_Y_ERRORES'!B:B,A19,'56_T2_ESTUDIO_Y_ERRORES'!Q:Q),0)</f>
        <v>0.75</v>
      </c>
      <c r="F19" s="285">
        <f>COUNTIF('57_T2_EVALUACIONES_NOTAS'!B:B,A19)</f>
        <v>3</v>
      </c>
      <c r="G19" s="285">
        <f ca="1">COUNTIFS('57_T2_EVALUACIONES_NOTAS'!B:B,A19,'57_T2_EVALUACIONES_NOTAS'!H:H,"Pendiente")</f>
        <v>3</v>
      </c>
      <c r="H19" s="286">
        <f>COUNTIFS('57_T2_EVALUACIONES_NOTAS'!B:B,A19,'57_T2_EVALUACIONES_NOTAS'!L:L,"Alto")</f>
        <v>3</v>
      </c>
    </row>
    <row r="20" spans="1:8">
      <c r="A20" s="284">
        <f>5</f>
        <v>5</v>
      </c>
      <c r="B20" s="285">
        <f>COUNTIF('55_T2_CONTENIDOS_Y_AVANCE'!B:B,A20)</f>
        <v>4</v>
      </c>
      <c r="C20" s="316">
        <f>IFERROR(AVERAGEIF('55_T2_CONTENIDOS_Y_AVANCE'!B:B,A20,'55_T2_CONTENIDOS_Y_AVANCE'!I:I),0)</f>
        <v>0</v>
      </c>
      <c r="D20" s="316">
        <f>IFERROR(AVERAGEIF('55_T2_CONTENIDOS_Y_AVANCE'!B:B,A20,'55_T2_CONTENIDOS_Y_AVANCE'!J:J),0)</f>
        <v>0</v>
      </c>
      <c r="E20" s="319">
        <f>IFERROR(SUMIF('56_T2_ESTUDIO_Y_ERRORES'!B:B,A20,'56_T2_ESTUDIO_Y_ERRORES'!Q:Q),0)</f>
        <v>0</v>
      </c>
      <c r="F20" s="285">
        <f>COUNTIF('57_T2_EVALUACIONES_NOTAS'!B:B,A20)</f>
        <v>0</v>
      </c>
      <c r="G20" s="285">
        <f>COUNTIFS('57_T2_EVALUACIONES_NOTAS'!B:B,A20,'57_T2_EVALUACIONES_NOTAS'!H:H,"Pendiente")</f>
        <v>0</v>
      </c>
      <c r="H20" s="286">
        <f>COUNTIFS('57_T2_EVALUACIONES_NOTAS'!B:B,A20,'57_T2_EVALUACIONES_NOTAS'!L:L,"Alto")</f>
        <v>0</v>
      </c>
    </row>
    <row r="21" spans="1:8">
      <c r="A21" s="284">
        <f>6</f>
        <v>6</v>
      </c>
      <c r="B21" s="285">
        <f>COUNTIF('55_T2_CONTENIDOS_Y_AVANCE'!B:B,A21)</f>
        <v>4</v>
      </c>
      <c r="C21" s="316">
        <f>IFERROR(AVERAGEIF('55_T2_CONTENIDOS_Y_AVANCE'!B:B,A21,'55_T2_CONTENIDOS_Y_AVANCE'!I:I),0)</f>
        <v>0</v>
      </c>
      <c r="D21" s="316">
        <f>IFERROR(AVERAGEIF('55_T2_CONTENIDOS_Y_AVANCE'!B:B,A21,'55_T2_CONTENIDOS_Y_AVANCE'!J:J),0)</f>
        <v>0</v>
      </c>
      <c r="E21" s="319">
        <f>IFERROR(SUMIF('56_T2_ESTUDIO_Y_ERRORES'!B:B,A21,'56_T2_ESTUDIO_Y_ERRORES'!Q:Q),0)</f>
        <v>0</v>
      </c>
      <c r="F21" s="285">
        <f>COUNTIF('57_T2_EVALUACIONES_NOTAS'!B:B,A21)</f>
        <v>0</v>
      </c>
      <c r="G21" s="285">
        <f>COUNTIFS('57_T2_EVALUACIONES_NOTAS'!B:B,A21,'57_T2_EVALUACIONES_NOTAS'!H:H,"Pendiente")</f>
        <v>0</v>
      </c>
      <c r="H21" s="286">
        <f>COUNTIFS('57_T2_EVALUACIONES_NOTAS'!B:B,A21,'57_T2_EVALUACIONES_NOTAS'!L:L,"Alto")</f>
        <v>0</v>
      </c>
    </row>
    <row r="22" spans="1:8">
      <c r="A22" s="284">
        <f>7</f>
        <v>7</v>
      </c>
      <c r="B22" s="285">
        <f>COUNTIF('55_T2_CONTENIDOS_Y_AVANCE'!B:B,A22)</f>
        <v>4</v>
      </c>
      <c r="C22" s="316">
        <f>IFERROR(AVERAGEIF('55_T2_CONTENIDOS_Y_AVANCE'!B:B,A22,'55_T2_CONTENIDOS_Y_AVANCE'!I:I),0)</f>
        <v>0</v>
      </c>
      <c r="D22" s="316">
        <f>IFERROR(AVERAGEIF('55_T2_CONTENIDOS_Y_AVANCE'!B:B,A22,'55_T2_CONTENIDOS_Y_AVANCE'!J:J),0)</f>
        <v>0</v>
      </c>
      <c r="E22" s="319">
        <f>IFERROR(SUMIF('56_T2_ESTUDIO_Y_ERRORES'!B:B,A22,'56_T2_ESTUDIO_Y_ERRORES'!Q:Q),0)</f>
        <v>0</v>
      </c>
      <c r="F22" s="285">
        <f>COUNTIF('57_T2_EVALUACIONES_NOTAS'!B:B,A22)</f>
        <v>2</v>
      </c>
      <c r="G22" s="285">
        <f ca="1">COUNTIFS('57_T2_EVALUACIONES_NOTAS'!B:B,A22,'57_T2_EVALUACIONES_NOTAS'!H:H,"Pendiente")</f>
        <v>2</v>
      </c>
      <c r="H22" s="286">
        <f>COUNTIFS('57_T2_EVALUACIONES_NOTAS'!B:B,A22,'57_T2_EVALUACIONES_NOTAS'!L:L,"Alto")</f>
        <v>2</v>
      </c>
    </row>
    <row r="23" spans="1:8">
      <c r="A23" s="284">
        <f>8</f>
        <v>8</v>
      </c>
      <c r="B23" s="285">
        <f>COUNTIF('55_T2_CONTENIDOS_Y_AVANCE'!B:B,A23)</f>
        <v>4</v>
      </c>
      <c r="C23" s="316">
        <f>IFERROR(AVERAGEIF('55_T2_CONTENIDOS_Y_AVANCE'!B:B,A23,'55_T2_CONTENIDOS_Y_AVANCE'!I:I),0)</f>
        <v>0</v>
      </c>
      <c r="D23" s="316">
        <f>IFERROR(AVERAGEIF('55_T2_CONTENIDOS_Y_AVANCE'!B:B,A23,'55_T2_CONTENIDOS_Y_AVANCE'!J:J),0)</f>
        <v>0</v>
      </c>
      <c r="E23" s="319">
        <f>IFERROR(SUMIF('56_T2_ESTUDIO_Y_ERRORES'!B:B,A23,'56_T2_ESTUDIO_Y_ERRORES'!Q:Q),0)</f>
        <v>0</v>
      </c>
      <c r="F23" s="285">
        <f>COUNTIF('57_T2_EVALUACIONES_NOTAS'!B:B,A23)</f>
        <v>3</v>
      </c>
      <c r="G23" s="285">
        <f ca="1">COUNTIFS('57_T2_EVALUACIONES_NOTAS'!B:B,A23,'57_T2_EVALUACIONES_NOTAS'!H:H,"Pendiente")</f>
        <v>3</v>
      </c>
      <c r="H23" s="286">
        <f>COUNTIFS('57_T2_EVALUACIONES_NOTAS'!B:B,A23,'57_T2_EVALUACIONES_NOTAS'!L:L,"Alto")</f>
        <v>3</v>
      </c>
    </row>
    <row r="24" spans="1:8">
      <c r="A24" s="284">
        <f>9</f>
        <v>9</v>
      </c>
      <c r="B24" s="285">
        <f>COUNTIF('55_T2_CONTENIDOS_Y_AVANCE'!B:B,A24)</f>
        <v>4</v>
      </c>
      <c r="C24" s="316">
        <f>IFERROR(AVERAGEIF('55_T2_CONTENIDOS_Y_AVANCE'!B:B,A24,'55_T2_CONTENIDOS_Y_AVANCE'!I:I),0)</f>
        <v>0</v>
      </c>
      <c r="D24" s="316">
        <f>IFERROR(AVERAGEIF('55_T2_CONTENIDOS_Y_AVANCE'!B:B,A24,'55_T2_CONTENIDOS_Y_AVANCE'!J:J),0)</f>
        <v>0</v>
      </c>
      <c r="E24" s="319">
        <f>IFERROR(SUMIF('56_T2_ESTUDIO_Y_ERRORES'!B:B,A24,'56_T2_ESTUDIO_Y_ERRORES'!Q:Q),0)</f>
        <v>0</v>
      </c>
      <c r="F24" s="285">
        <f>COUNTIF('57_T2_EVALUACIONES_NOTAS'!B:B,A24)</f>
        <v>0</v>
      </c>
      <c r="G24" s="285">
        <f>COUNTIFS('57_T2_EVALUACIONES_NOTAS'!B:B,A24,'57_T2_EVALUACIONES_NOTAS'!H:H,"Pendiente")</f>
        <v>0</v>
      </c>
      <c r="H24" s="286">
        <f>COUNTIFS('57_T2_EVALUACIONES_NOTAS'!B:B,A24,'57_T2_EVALUACIONES_NOTAS'!L:L,"Alto")</f>
        <v>0</v>
      </c>
    </row>
    <row r="25" spans="1:8">
      <c r="A25" s="284">
        <f>10</f>
        <v>10</v>
      </c>
      <c r="B25" s="285">
        <f>COUNTIF('55_T2_CONTENIDOS_Y_AVANCE'!B:B,A25)</f>
        <v>4</v>
      </c>
      <c r="C25" s="316">
        <f>IFERROR(AVERAGEIF('55_T2_CONTENIDOS_Y_AVANCE'!B:B,A25,'55_T2_CONTENIDOS_Y_AVANCE'!I:I),0)</f>
        <v>0</v>
      </c>
      <c r="D25" s="316">
        <f>IFERROR(AVERAGEIF('55_T2_CONTENIDOS_Y_AVANCE'!B:B,A25,'55_T2_CONTENIDOS_Y_AVANCE'!J:J),0)</f>
        <v>0</v>
      </c>
      <c r="E25" s="319">
        <f>IFERROR(SUMIF('56_T2_ESTUDIO_Y_ERRORES'!B:B,A25,'56_T2_ESTUDIO_Y_ERRORES'!Q:Q),0)</f>
        <v>0</v>
      </c>
      <c r="F25" s="285">
        <f>COUNTIF('57_T2_EVALUACIONES_NOTAS'!B:B,A25)</f>
        <v>2</v>
      </c>
      <c r="G25" s="285">
        <f ca="1">COUNTIFS('57_T2_EVALUACIONES_NOTAS'!B:B,A25,'57_T2_EVALUACIONES_NOTAS'!H:H,"Pendiente")</f>
        <v>2</v>
      </c>
      <c r="H25" s="286">
        <f>COUNTIFS('57_T2_EVALUACIONES_NOTAS'!B:B,A25,'57_T2_EVALUACIONES_NOTAS'!L:L,"Alto")</f>
        <v>2</v>
      </c>
    </row>
    <row r="26" spans="1:8">
      <c r="A26" s="284">
        <f>11</f>
        <v>11</v>
      </c>
      <c r="B26" s="285">
        <f>COUNTIF('55_T2_CONTENIDOS_Y_AVANCE'!B:B,A26)</f>
        <v>4</v>
      </c>
      <c r="C26" s="316">
        <f>IFERROR(AVERAGEIF('55_T2_CONTENIDOS_Y_AVANCE'!B:B,A26,'55_T2_CONTENIDOS_Y_AVANCE'!I:I),0)</f>
        <v>0</v>
      </c>
      <c r="D26" s="316">
        <f>IFERROR(AVERAGEIF('55_T2_CONTENIDOS_Y_AVANCE'!B:B,A26,'55_T2_CONTENIDOS_Y_AVANCE'!J:J),0)</f>
        <v>0</v>
      </c>
      <c r="E26" s="319">
        <f>IFERROR(SUMIF('56_T2_ESTUDIO_Y_ERRORES'!B:B,A26,'56_T2_ESTUDIO_Y_ERRORES'!Q:Q),0)</f>
        <v>0</v>
      </c>
      <c r="F26" s="285">
        <f>COUNTIF('57_T2_EVALUACIONES_NOTAS'!B:B,A26)</f>
        <v>2</v>
      </c>
      <c r="G26" s="285">
        <f ca="1">COUNTIFS('57_T2_EVALUACIONES_NOTAS'!B:B,A26,'57_T2_EVALUACIONES_NOTAS'!H:H,"Pendiente")</f>
        <v>2</v>
      </c>
      <c r="H26" s="286">
        <f>COUNTIFS('57_T2_EVALUACIONES_NOTAS'!B:B,A26,'57_T2_EVALUACIONES_NOTAS'!L:L,"Alto")</f>
        <v>2</v>
      </c>
    </row>
    <row r="27" spans="1:8">
      <c r="A27" s="287">
        <f>12</f>
        <v>12</v>
      </c>
      <c r="B27" s="288">
        <f>COUNTIF('55_T2_CONTENIDOS_Y_AVANCE'!B:B,A27)</f>
        <v>4</v>
      </c>
      <c r="C27" s="317">
        <f>IFERROR(AVERAGEIF('55_T2_CONTENIDOS_Y_AVANCE'!B:B,A27,'55_T2_CONTENIDOS_Y_AVANCE'!I:I),0)</f>
        <v>0</v>
      </c>
      <c r="D27" s="317">
        <f>IFERROR(AVERAGEIF('55_T2_CONTENIDOS_Y_AVANCE'!B:B,A27,'55_T2_CONTENIDOS_Y_AVANCE'!J:J),0)</f>
        <v>0</v>
      </c>
      <c r="E27" s="320">
        <f>IFERROR(SUMIF('56_T2_ESTUDIO_Y_ERRORES'!B:B,A27,'56_T2_ESTUDIO_Y_ERRORES'!Q:Q),0)</f>
        <v>0</v>
      </c>
      <c r="F27" s="288">
        <f>COUNTIF('57_T2_EVALUACIONES_NOTAS'!B:B,A27)</f>
        <v>5</v>
      </c>
      <c r="G27" s="288">
        <f ca="1">COUNTIFS('57_T2_EVALUACIONES_NOTAS'!B:B,A27,'57_T2_EVALUACIONES_NOTAS'!H:H,"Pendiente")</f>
        <v>5</v>
      </c>
      <c r="H27" s="289">
        <f>COUNTIFS('57_T2_EVALUACIONES_NOTAS'!B:B,A27,'57_T2_EVALUACIONES_NOTAS'!L:L,"Alto")</f>
        <v>5</v>
      </c>
    </row>
  </sheetData>
  <mergeCells count="2">
    <mergeCell ref="A2:F2"/>
    <mergeCell ref="A1:H1"/>
  </mergeCells>
  <conditionalFormatting sqref="C16:D27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E5:F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BFBFBF"/>
  </sheetPr>
  <dimension ref="A1:S52"/>
  <sheetViews>
    <sheetView showGridLines="0" workbookViewId="0"/>
  </sheetViews>
  <sheetFormatPr baseColWidth="10" defaultColWidth="8.7265625" defaultRowHeight="14.5"/>
  <cols>
    <col min="1" max="1" width="42" customWidth="1"/>
    <col min="2" max="2" width="25" customWidth="1"/>
    <col min="3" max="3" width="23" customWidth="1"/>
    <col min="4" max="4" width="15" customWidth="1"/>
    <col min="5" max="5" width="12" customWidth="1"/>
    <col min="6" max="6" width="39" customWidth="1"/>
    <col min="7" max="8" width="42" customWidth="1"/>
    <col min="9" max="9" width="21" customWidth="1"/>
    <col min="10" max="10" width="42" customWidth="1"/>
    <col min="11" max="11" width="30" customWidth="1"/>
    <col min="12" max="12" width="17" customWidth="1"/>
    <col min="13" max="19" width="13" hidden="1" customWidth="1"/>
  </cols>
  <sheetData>
    <row r="1" spans="1:19" ht="28" customHeight="1">
      <c r="A1" s="486" t="s">
        <v>2544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</row>
    <row r="2" spans="1:19">
      <c r="A2" s="485" t="s">
        <v>2545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</row>
    <row r="3" spans="1:19">
      <c r="A3" s="207" t="s">
        <v>2230</v>
      </c>
      <c r="B3" s="207" t="s">
        <v>2231</v>
      </c>
      <c r="C3" s="207" t="s">
        <v>2233</v>
      </c>
      <c r="D3" s="207" t="s">
        <v>2546</v>
      </c>
      <c r="E3" s="207" t="s">
        <v>2234</v>
      </c>
      <c r="F3" s="207" t="s">
        <v>2547</v>
      </c>
      <c r="G3" s="207" t="s">
        <v>2548</v>
      </c>
      <c r="H3" s="207" t="s">
        <v>2549</v>
      </c>
      <c r="I3" s="207" t="s">
        <v>2245</v>
      </c>
      <c r="J3" s="207" t="s">
        <v>2181</v>
      </c>
      <c r="K3" s="207" t="s">
        <v>2550</v>
      </c>
      <c r="L3" s="207" t="s">
        <v>2551</v>
      </c>
    </row>
    <row r="4" spans="1:19" ht="29" customHeight="1">
      <c r="A4" s="209" t="s">
        <v>2184</v>
      </c>
      <c r="B4" s="209" t="s">
        <v>2237</v>
      </c>
      <c r="C4" s="209" t="s">
        <v>2552</v>
      </c>
      <c r="D4" s="209" t="s">
        <v>2553</v>
      </c>
      <c r="E4" s="209" t="s">
        <v>332</v>
      </c>
      <c r="F4" s="209">
        <f>COUNTIF('62_T2_Evaluaciones'!B:B,A4)</f>
        <v>4</v>
      </c>
      <c r="G4" s="209">
        <f>SUMIF('62_T2_Evaluaciones'!B:B,A4,'62_T2_Evaluaciones'!F:F)</f>
        <v>100</v>
      </c>
      <c r="H4" s="211">
        <f>SUMIF('62_T2_Evaluaciones'!B:B,A4,'62_T2_Evaluaciones'!K:K)</f>
        <v>0</v>
      </c>
      <c r="I4" s="212">
        <f>IF(G4=0,0,H4/7/G4)</f>
        <v>0</v>
      </c>
      <c r="J4" s="209" t="str">
        <f>IF(I4&lt;0.3,"Crítico",IF(I4&lt;0.6,"Alto","Controlado"))</f>
        <v>Crítico</v>
      </c>
      <c r="K4" s="209" t="s">
        <v>2554</v>
      </c>
      <c r="L4" s="209"/>
    </row>
    <row r="5" spans="1:19" ht="29" customHeight="1">
      <c r="A5" s="209" t="s">
        <v>2189</v>
      </c>
      <c r="B5" s="209" t="s">
        <v>2238</v>
      </c>
      <c r="C5" s="209" t="s">
        <v>2555</v>
      </c>
      <c r="D5" s="209">
        <v>3</v>
      </c>
      <c r="E5" s="209" t="s">
        <v>1289</v>
      </c>
      <c r="F5" s="209">
        <f>COUNTIF('62_T2_Evaluaciones'!B:B,A5)</f>
        <v>5</v>
      </c>
      <c r="G5" s="209">
        <f>SUMIF('62_T2_Evaluaciones'!B:B,A5,'62_T2_Evaluaciones'!F:F)</f>
        <v>100</v>
      </c>
      <c r="H5" s="211">
        <f>SUMIF('62_T2_Evaluaciones'!B:B,A5,'62_T2_Evaluaciones'!K:K)</f>
        <v>0</v>
      </c>
      <c r="I5" s="212">
        <f>IF(G5=0,0,H5/7/G5)</f>
        <v>0</v>
      </c>
      <c r="J5" s="209" t="str">
        <f>IF(I5&lt;0.3,"Crítico",IF(I5&lt;0.6,"Alto","Controlado"))</f>
        <v>Crítico</v>
      </c>
      <c r="K5" s="209" t="s">
        <v>2554</v>
      </c>
      <c r="L5" s="209"/>
    </row>
    <row r="6" spans="1:19" ht="43.5" customHeight="1">
      <c r="A6" s="209" t="s">
        <v>35</v>
      </c>
      <c r="B6" s="209" t="s">
        <v>2239</v>
      </c>
      <c r="C6" s="209" t="s">
        <v>2556</v>
      </c>
      <c r="D6" s="209">
        <v>4</v>
      </c>
      <c r="E6" s="209" t="s">
        <v>332</v>
      </c>
      <c r="F6" s="209">
        <f>COUNTIF('62_T2_Evaluaciones'!B:B,A6)</f>
        <v>4</v>
      </c>
      <c r="G6" s="209">
        <f>SUMIF('62_T2_Evaluaciones'!B:B,A6,'62_T2_Evaluaciones'!F:F)</f>
        <v>100</v>
      </c>
      <c r="H6" s="211">
        <f>SUMIF('62_T2_Evaluaciones'!B:B,A6,'62_T2_Evaluaciones'!K:K)</f>
        <v>0</v>
      </c>
      <c r="I6" s="212">
        <f>IF(G6=0,0,H6/7/G6)</f>
        <v>0</v>
      </c>
      <c r="J6" s="209" t="str">
        <f>IF(I6&lt;0.3,"Crítico",IF(I6&lt;0.6,"Alto","Controlado"))</f>
        <v>Crítico</v>
      </c>
      <c r="K6" s="209" t="s">
        <v>2554</v>
      </c>
      <c r="L6" s="209"/>
    </row>
    <row r="7" spans="1:19" ht="29" customHeight="1">
      <c r="A7" s="209" t="s">
        <v>2199</v>
      </c>
      <c r="B7" s="209" t="s">
        <v>2240</v>
      </c>
      <c r="C7" s="209" t="s">
        <v>2557</v>
      </c>
      <c r="D7" s="209">
        <v>6</v>
      </c>
      <c r="E7" s="209" t="s">
        <v>332</v>
      </c>
      <c r="F7" s="209">
        <f>COUNTIF('62_T2_Evaluaciones'!B:B,A7)</f>
        <v>7</v>
      </c>
      <c r="G7" s="209">
        <f>SUMIF('62_T2_Evaluaciones'!B:B,A7,'62_T2_Evaluaciones'!F:F)</f>
        <v>100</v>
      </c>
      <c r="H7" s="211">
        <f>SUMIF('62_T2_Evaluaciones'!B:B,A7,'62_T2_Evaluaciones'!K:K)</f>
        <v>0</v>
      </c>
      <c r="I7" s="212">
        <f>IF(G7=0,0,H7/7/G7)</f>
        <v>0</v>
      </c>
      <c r="J7" s="209" t="str">
        <f>IF(I7&lt;0.3,"Crítico",IF(I7&lt;0.6,"Alto","Controlado"))</f>
        <v>Crítico</v>
      </c>
      <c r="K7" s="209" t="s">
        <v>2554</v>
      </c>
      <c r="L7" s="209"/>
    </row>
    <row r="8" spans="1:19" ht="43.5" customHeight="1"/>
    <row r="9" spans="1:19" ht="29" customHeight="1"/>
    <row r="10" spans="1:19" ht="43.5" customHeight="1"/>
    <row r="11" spans="1:19" ht="29" customHeight="1"/>
    <row r="12" spans="1:19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</sheetData>
  <mergeCells count="2">
    <mergeCell ref="A2:S2"/>
    <mergeCell ref="A1:S1"/>
  </mergeCells>
  <conditionalFormatting sqref="L5:L8">
    <cfRule type="expression" dxfId="768" priority="1">
      <formula>ISNUMBER(SEARCH("🔴",L5))</formula>
    </cfRule>
    <cfRule type="expression" dxfId="767" priority="2">
      <formula>ISNUMBER(SEARCH("🟡",L5))</formula>
    </cfRule>
    <cfRule type="expression" dxfId="766" priority="3">
      <formula>ISNUMBER(SEARCH("🟢",L5))</formula>
    </cfRule>
    <cfRule type="expression" dxfId="765" priority="4">
      <formula>ISNUMBER(SEARCH("⭐",L5))</formula>
    </cfRule>
  </conditionalFormatting>
  <conditionalFormatting sqref="L5:L52">
    <cfRule type="expression" dxfId="764" priority="5">
      <formula>ISNUMBER(SEARCH("🔴",L5))</formula>
    </cfRule>
    <cfRule type="expression" dxfId="763" priority="6">
      <formula>ISNUMBER(SEARCH("🟡",L5))</formula>
    </cfRule>
    <cfRule type="expression" dxfId="762" priority="7">
      <formula>ISNUMBER(SEARCH("🟢",L5))</formula>
    </cfRule>
    <cfRule type="expression" dxfId="761" priority="8">
      <formula>ISNUMBER(SEARCH("⭐",L5))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N51"/>
  <sheetViews>
    <sheetView showGridLines="0" workbookViewId="0"/>
  </sheetViews>
  <sheetFormatPr baseColWidth="10" defaultRowHeight="14.5"/>
  <cols>
    <col min="1" max="1" width="7.453125" customWidth="1"/>
    <col min="2" max="2" width="27.36328125" customWidth="1"/>
    <col min="3" max="3" width="8.81640625" customWidth="1"/>
    <col min="4" max="4" width="34.1796875" customWidth="1"/>
    <col min="5" max="5" width="19.453125" customWidth="1"/>
    <col min="6" max="6" width="18.6328125" customWidth="1"/>
    <col min="7" max="7" width="12.90625" customWidth="1"/>
    <col min="8" max="8" width="17.36328125" customWidth="1"/>
    <col min="9" max="9" width="32.453125" customWidth="1"/>
    <col min="10" max="10" width="9.1796875" customWidth="1"/>
    <col min="11" max="11" width="11.1796875" customWidth="1"/>
    <col min="12" max="12" width="15" customWidth="1"/>
    <col min="13" max="13" width="16" customWidth="1"/>
    <col min="14" max="14" width="34" customWidth="1"/>
  </cols>
  <sheetData>
    <row r="1" spans="1:14" ht="28" customHeight="1">
      <c r="A1" s="486" t="s">
        <v>2558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>
      <c r="A2" s="485" t="s">
        <v>2559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3" spans="1:14">
      <c r="A3" s="207" t="s">
        <v>1115</v>
      </c>
      <c r="B3" s="207" t="s">
        <v>2230</v>
      </c>
      <c r="C3" s="207" t="s">
        <v>2234</v>
      </c>
      <c r="D3" s="207" t="s">
        <v>2560</v>
      </c>
      <c r="E3" s="207" t="s">
        <v>2561</v>
      </c>
      <c r="F3" s="207" t="s">
        <v>2562</v>
      </c>
      <c r="G3" s="207" t="s">
        <v>2563</v>
      </c>
      <c r="H3" s="207" t="s">
        <v>2564</v>
      </c>
      <c r="I3" s="207" t="s">
        <v>2565</v>
      </c>
      <c r="J3" s="207" t="s">
        <v>655</v>
      </c>
      <c r="K3" s="207" t="s">
        <v>11</v>
      </c>
    </row>
    <row r="4" spans="1:14" ht="29" customHeight="1">
      <c r="A4" s="209">
        <v>1</v>
      </c>
      <c r="B4" s="209" t="s">
        <v>2184</v>
      </c>
      <c r="C4" s="209" t="s">
        <v>332</v>
      </c>
      <c r="D4" s="209" t="s">
        <v>2566</v>
      </c>
      <c r="E4" s="209">
        <v>0</v>
      </c>
      <c r="F4" s="209">
        <v>4</v>
      </c>
      <c r="G4" s="209" t="s">
        <v>2186</v>
      </c>
      <c r="H4" s="209">
        <f t="shared" ref="H4:H51" si="0">IF(G4="Crítico",1,IF(G4="Alto",2,3))</f>
        <v>2</v>
      </c>
      <c r="I4" s="209" t="s">
        <v>2567</v>
      </c>
      <c r="J4" s="209" t="s">
        <v>49</v>
      </c>
      <c r="K4" s="209"/>
    </row>
    <row r="5" spans="1:14">
      <c r="A5" s="209">
        <v>2</v>
      </c>
      <c r="B5" s="209" t="s">
        <v>2184</v>
      </c>
      <c r="C5" s="209" t="s">
        <v>332</v>
      </c>
      <c r="D5" s="209"/>
      <c r="E5" s="209">
        <v>0</v>
      </c>
      <c r="F5" s="209">
        <v>4</v>
      </c>
      <c r="G5" s="209" t="s">
        <v>2186</v>
      </c>
      <c r="H5" s="209">
        <f t="shared" si="0"/>
        <v>2</v>
      </c>
      <c r="I5" s="209" t="s">
        <v>2567</v>
      </c>
      <c r="J5" s="209" t="s">
        <v>49</v>
      </c>
      <c r="K5" s="209"/>
    </row>
    <row r="6" spans="1:14">
      <c r="A6" s="209">
        <v>3</v>
      </c>
      <c r="B6" s="209" t="s">
        <v>2184</v>
      </c>
      <c r="C6" s="209" t="s">
        <v>332</v>
      </c>
      <c r="D6" s="209" t="s">
        <v>2458</v>
      </c>
      <c r="E6" s="209">
        <v>6</v>
      </c>
      <c r="F6" s="209">
        <v>4</v>
      </c>
      <c r="G6" s="209" t="s">
        <v>2186</v>
      </c>
      <c r="H6" s="209">
        <f t="shared" si="0"/>
        <v>2</v>
      </c>
      <c r="I6" s="209" t="s">
        <v>2567</v>
      </c>
      <c r="J6" s="209" t="s">
        <v>49</v>
      </c>
      <c r="K6" s="209"/>
    </row>
    <row r="7" spans="1:14">
      <c r="A7" s="209">
        <v>4</v>
      </c>
      <c r="B7" s="209" t="s">
        <v>2184</v>
      </c>
      <c r="C7" s="209" t="s">
        <v>1907</v>
      </c>
      <c r="D7" s="209"/>
      <c r="E7" s="209">
        <v>0</v>
      </c>
      <c r="F7" s="209">
        <v>6</v>
      </c>
      <c r="G7" s="209" t="s">
        <v>2568</v>
      </c>
      <c r="H7" s="209">
        <f t="shared" si="0"/>
        <v>1</v>
      </c>
      <c r="I7" s="209" t="s">
        <v>2567</v>
      </c>
      <c r="J7" s="209" t="s">
        <v>49</v>
      </c>
      <c r="K7" s="209"/>
    </row>
    <row r="8" spans="1:14">
      <c r="A8" s="209">
        <v>5</v>
      </c>
      <c r="B8" s="209" t="s">
        <v>2184</v>
      </c>
      <c r="C8" s="209" t="s">
        <v>332</v>
      </c>
      <c r="D8" s="209"/>
      <c r="E8" s="209">
        <v>0</v>
      </c>
      <c r="F8" s="209">
        <v>4</v>
      </c>
      <c r="G8" s="209" t="s">
        <v>2186</v>
      </c>
      <c r="H8" s="209">
        <f t="shared" si="0"/>
        <v>2</v>
      </c>
      <c r="I8" s="209" t="s">
        <v>2567</v>
      </c>
      <c r="J8" s="209" t="s">
        <v>49</v>
      </c>
      <c r="K8" s="209"/>
    </row>
    <row r="9" spans="1:14">
      <c r="A9" s="209">
        <v>6</v>
      </c>
      <c r="B9" s="209" t="s">
        <v>2184</v>
      </c>
      <c r="C9" s="209" t="s">
        <v>332</v>
      </c>
      <c r="D9" s="209"/>
      <c r="E9" s="209">
        <v>0</v>
      </c>
      <c r="F9" s="209">
        <v>4</v>
      </c>
      <c r="G9" s="209" t="s">
        <v>2186</v>
      </c>
      <c r="H9" s="209">
        <f t="shared" si="0"/>
        <v>2</v>
      </c>
      <c r="I9" s="209" t="s">
        <v>2567</v>
      </c>
      <c r="J9" s="209" t="s">
        <v>49</v>
      </c>
      <c r="K9" s="209"/>
    </row>
    <row r="10" spans="1:14">
      <c r="A10" s="209">
        <v>7</v>
      </c>
      <c r="B10" s="209" t="s">
        <v>2184</v>
      </c>
      <c r="C10" s="209" t="s">
        <v>1907</v>
      </c>
      <c r="D10" s="209" t="s">
        <v>2476</v>
      </c>
      <c r="E10" s="209">
        <v>35</v>
      </c>
      <c r="F10" s="209">
        <v>6</v>
      </c>
      <c r="G10" s="209" t="s">
        <v>2568</v>
      </c>
      <c r="H10" s="209">
        <f t="shared" si="0"/>
        <v>1</v>
      </c>
      <c r="I10" s="209" t="s">
        <v>2567</v>
      </c>
      <c r="J10" s="209" t="s">
        <v>49</v>
      </c>
      <c r="K10" s="209"/>
    </row>
    <row r="11" spans="1:14">
      <c r="A11" s="209">
        <v>8</v>
      </c>
      <c r="B11" s="209" t="s">
        <v>2184</v>
      </c>
      <c r="C11" s="209" t="s">
        <v>332</v>
      </c>
      <c r="D11" s="209"/>
      <c r="E11" s="209">
        <v>0</v>
      </c>
      <c r="F11" s="209">
        <v>4</v>
      </c>
      <c r="G11" s="209" t="s">
        <v>2186</v>
      </c>
      <c r="H11" s="209">
        <f t="shared" si="0"/>
        <v>2</v>
      </c>
      <c r="I11" s="209" t="s">
        <v>2567</v>
      </c>
      <c r="J11" s="209" t="s">
        <v>49</v>
      </c>
      <c r="K11" s="209"/>
    </row>
    <row r="12" spans="1:14">
      <c r="A12" s="209">
        <v>9</v>
      </c>
      <c r="B12" s="209" t="s">
        <v>2184</v>
      </c>
      <c r="C12" s="209" t="s">
        <v>332</v>
      </c>
      <c r="D12" s="209"/>
      <c r="E12" s="209">
        <v>0</v>
      </c>
      <c r="F12" s="209">
        <v>4</v>
      </c>
      <c r="G12" s="209" t="s">
        <v>2186</v>
      </c>
      <c r="H12" s="209">
        <f t="shared" si="0"/>
        <v>2</v>
      </c>
      <c r="I12" s="209" t="s">
        <v>2567</v>
      </c>
      <c r="J12" s="209" t="s">
        <v>49</v>
      </c>
      <c r="K12" s="209"/>
    </row>
    <row r="13" spans="1:14">
      <c r="A13" s="209">
        <v>10</v>
      </c>
      <c r="B13" s="209" t="s">
        <v>2184</v>
      </c>
      <c r="C13" s="209" t="s">
        <v>1907</v>
      </c>
      <c r="D13" s="209" t="s">
        <v>2493</v>
      </c>
      <c r="E13" s="209">
        <v>6</v>
      </c>
      <c r="F13" s="209">
        <v>6</v>
      </c>
      <c r="G13" s="209" t="s">
        <v>2568</v>
      </c>
      <c r="H13" s="209">
        <f t="shared" si="0"/>
        <v>1</v>
      </c>
      <c r="I13" s="209" t="s">
        <v>2567</v>
      </c>
      <c r="J13" s="209" t="s">
        <v>49</v>
      </c>
      <c r="K13" s="209"/>
    </row>
    <row r="14" spans="1:14">
      <c r="A14" s="209">
        <v>11</v>
      </c>
      <c r="B14" s="209" t="s">
        <v>2184</v>
      </c>
      <c r="C14" s="209" t="s">
        <v>332</v>
      </c>
      <c r="D14" s="209"/>
      <c r="E14" s="209">
        <v>0</v>
      </c>
      <c r="F14" s="209">
        <v>4</v>
      </c>
      <c r="G14" s="209" t="s">
        <v>2186</v>
      </c>
      <c r="H14" s="209">
        <f t="shared" si="0"/>
        <v>2</v>
      </c>
      <c r="I14" s="209" t="s">
        <v>2567</v>
      </c>
      <c r="J14" s="209" t="s">
        <v>49</v>
      </c>
      <c r="K14" s="209"/>
    </row>
    <row r="15" spans="1:14">
      <c r="A15" s="209">
        <v>12</v>
      </c>
      <c r="B15" s="209" t="s">
        <v>2184</v>
      </c>
      <c r="C15" s="209" t="s">
        <v>1907</v>
      </c>
      <c r="D15" s="209" t="s">
        <v>2509</v>
      </c>
      <c r="E15" s="209">
        <v>53</v>
      </c>
      <c r="F15" s="209">
        <v>6</v>
      </c>
      <c r="G15" s="209" t="s">
        <v>2568</v>
      </c>
      <c r="H15" s="209">
        <f t="shared" si="0"/>
        <v>1</v>
      </c>
      <c r="I15" s="209" t="s">
        <v>2567</v>
      </c>
      <c r="J15" s="209" t="s">
        <v>49</v>
      </c>
      <c r="K15" s="209"/>
    </row>
    <row r="16" spans="1:14">
      <c r="A16" s="209">
        <v>1</v>
      </c>
      <c r="B16" s="209" t="s">
        <v>2199</v>
      </c>
      <c r="C16" s="209" t="s">
        <v>1289</v>
      </c>
      <c r="D16" s="209" t="s">
        <v>2569</v>
      </c>
      <c r="E16" s="209">
        <v>0</v>
      </c>
      <c r="F16" s="209">
        <v>2</v>
      </c>
      <c r="G16" s="209" t="s">
        <v>2193</v>
      </c>
      <c r="H16" s="209">
        <f t="shared" si="0"/>
        <v>3</v>
      </c>
      <c r="I16" s="209" t="s">
        <v>2567</v>
      </c>
      <c r="J16" s="209" t="s">
        <v>49</v>
      </c>
      <c r="K16" s="209"/>
    </row>
    <row r="17" spans="1:11">
      <c r="A17" s="209">
        <v>2</v>
      </c>
      <c r="B17" s="209" t="s">
        <v>2199</v>
      </c>
      <c r="C17" s="209" t="s">
        <v>332</v>
      </c>
      <c r="D17" s="209" t="s">
        <v>2569</v>
      </c>
      <c r="E17" s="209">
        <v>0</v>
      </c>
      <c r="F17" s="209">
        <v>4</v>
      </c>
      <c r="G17" s="209" t="s">
        <v>2186</v>
      </c>
      <c r="H17" s="209">
        <f t="shared" si="0"/>
        <v>2</v>
      </c>
      <c r="I17" s="209" t="s">
        <v>2567</v>
      </c>
      <c r="J17" s="209" t="s">
        <v>49</v>
      </c>
      <c r="K17" s="209"/>
    </row>
    <row r="18" spans="1:11">
      <c r="A18" s="209">
        <v>3</v>
      </c>
      <c r="B18" s="209" t="s">
        <v>2199</v>
      </c>
      <c r="C18" s="209" t="s">
        <v>1907</v>
      </c>
      <c r="D18" s="209" t="s">
        <v>2569</v>
      </c>
      <c r="E18" s="209">
        <v>6</v>
      </c>
      <c r="F18" s="209">
        <v>6</v>
      </c>
      <c r="G18" s="209" t="s">
        <v>2568</v>
      </c>
      <c r="H18" s="209">
        <f t="shared" si="0"/>
        <v>1</v>
      </c>
      <c r="I18" s="209" t="s">
        <v>2567</v>
      </c>
      <c r="J18" s="209" t="s">
        <v>49</v>
      </c>
      <c r="K18" s="209"/>
    </row>
    <row r="19" spans="1:11">
      <c r="A19" s="209">
        <v>4</v>
      </c>
      <c r="B19" s="209" t="s">
        <v>2199</v>
      </c>
      <c r="C19" s="209" t="s">
        <v>1907</v>
      </c>
      <c r="D19" s="209" t="s">
        <v>2570</v>
      </c>
      <c r="E19" s="209">
        <v>35</v>
      </c>
      <c r="F19" s="209">
        <v>6</v>
      </c>
      <c r="G19" s="209" t="s">
        <v>2568</v>
      </c>
      <c r="H19" s="209">
        <f t="shared" si="0"/>
        <v>1</v>
      </c>
      <c r="I19" s="209" t="s">
        <v>2567</v>
      </c>
      <c r="J19" s="209" t="s">
        <v>49</v>
      </c>
      <c r="K19" s="209"/>
    </row>
    <row r="20" spans="1:11">
      <c r="A20" s="209">
        <v>5</v>
      </c>
      <c r="B20" s="209" t="s">
        <v>2199</v>
      </c>
      <c r="C20" s="209" t="s">
        <v>332</v>
      </c>
      <c r="D20" s="209" t="s">
        <v>2569</v>
      </c>
      <c r="E20" s="209">
        <v>0</v>
      </c>
      <c r="F20" s="209">
        <v>4</v>
      </c>
      <c r="G20" s="209" t="s">
        <v>2186</v>
      </c>
      <c r="H20" s="209">
        <f t="shared" si="0"/>
        <v>2</v>
      </c>
      <c r="I20" s="209" t="s">
        <v>2567</v>
      </c>
      <c r="J20" s="209" t="s">
        <v>49</v>
      </c>
      <c r="K20" s="209"/>
    </row>
    <row r="21" spans="1:11">
      <c r="A21" s="209">
        <v>6</v>
      </c>
      <c r="B21" s="209" t="s">
        <v>2199</v>
      </c>
      <c r="C21" s="209" t="s">
        <v>332</v>
      </c>
      <c r="D21" s="209" t="s">
        <v>2569</v>
      </c>
      <c r="E21" s="209">
        <v>0</v>
      </c>
      <c r="F21" s="209">
        <v>4</v>
      </c>
      <c r="G21" s="209" t="s">
        <v>2186</v>
      </c>
      <c r="H21" s="209">
        <f t="shared" si="0"/>
        <v>2</v>
      </c>
      <c r="I21" s="209" t="s">
        <v>2567</v>
      </c>
      <c r="J21" s="209" t="s">
        <v>49</v>
      </c>
      <c r="K21" s="209"/>
    </row>
    <row r="22" spans="1:11">
      <c r="A22" s="209">
        <v>7</v>
      </c>
      <c r="B22" s="209" t="s">
        <v>2199</v>
      </c>
      <c r="C22" s="209" t="s">
        <v>1907</v>
      </c>
      <c r="D22" s="209" t="s">
        <v>2569</v>
      </c>
      <c r="E22" s="209">
        <v>35</v>
      </c>
      <c r="F22" s="209">
        <v>6</v>
      </c>
      <c r="G22" s="209" t="s">
        <v>2568</v>
      </c>
      <c r="H22" s="209">
        <f t="shared" si="0"/>
        <v>1</v>
      </c>
      <c r="I22" s="209" t="s">
        <v>2567</v>
      </c>
      <c r="J22" s="209" t="s">
        <v>49</v>
      </c>
      <c r="K22" s="209"/>
    </row>
    <row r="23" spans="1:11">
      <c r="A23" s="209">
        <v>8</v>
      </c>
      <c r="B23" s="209" t="s">
        <v>2199</v>
      </c>
      <c r="C23" s="209" t="s">
        <v>332</v>
      </c>
      <c r="D23" s="209" t="s">
        <v>2569</v>
      </c>
      <c r="E23" s="209">
        <v>6</v>
      </c>
      <c r="F23" s="209">
        <v>4</v>
      </c>
      <c r="G23" s="209" t="s">
        <v>2186</v>
      </c>
      <c r="H23" s="209">
        <f t="shared" si="0"/>
        <v>2</v>
      </c>
      <c r="I23" s="209" t="s">
        <v>2567</v>
      </c>
      <c r="J23" s="209" t="s">
        <v>49</v>
      </c>
      <c r="K23" s="209"/>
    </row>
    <row r="24" spans="1:11">
      <c r="A24" s="209">
        <v>9</v>
      </c>
      <c r="B24" s="209" t="s">
        <v>2199</v>
      </c>
      <c r="C24" s="209" t="s">
        <v>332</v>
      </c>
      <c r="D24" s="209"/>
      <c r="E24" s="209">
        <v>0</v>
      </c>
      <c r="F24" s="209">
        <v>4</v>
      </c>
      <c r="G24" s="209" t="s">
        <v>2186</v>
      </c>
      <c r="H24" s="209">
        <f t="shared" si="0"/>
        <v>2</v>
      </c>
      <c r="I24" s="209" t="s">
        <v>2567</v>
      </c>
      <c r="J24" s="209" t="s">
        <v>49</v>
      </c>
      <c r="K24" s="209"/>
    </row>
    <row r="25" spans="1:11">
      <c r="A25" s="209">
        <v>10</v>
      </c>
      <c r="B25" s="209" t="s">
        <v>2199</v>
      </c>
      <c r="C25" s="209" t="s">
        <v>1907</v>
      </c>
      <c r="D25" s="209" t="s">
        <v>2569</v>
      </c>
      <c r="E25" s="209">
        <v>6</v>
      </c>
      <c r="F25" s="209">
        <v>6</v>
      </c>
      <c r="G25" s="209" t="s">
        <v>2568</v>
      </c>
      <c r="H25" s="209">
        <f t="shared" si="0"/>
        <v>1</v>
      </c>
      <c r="I25" s="209" t="s">
        <v>2567</v>
      </c>
      <c r="J25" s="209" t="s">
        <v>49</v>
      </c>
      <c r="K25" s="209"/>
    </row>
    <row r="26" spans="1:11">
      <c r="A26" s="209">
        <v>11</v>
      </c>
      <c r="B26" s="209" t="s">
        <v>2199</v>
      </c>
      <c r="C26" s="209" t="s">
        <v>332</v>
      </c>
      <c r="D26" s="209" t="s">
        <v>2569</v>
      </c>
      <c r="E26" s="209">
        <v>6</v>
      </c>
      <c r="F26" s="209">
        <v>4</v>
      </c>
      <c r="G26" s="209" t="s">
        <v>2186</v>
      </c>
      <c r="H26" s="209">
        <f t="shared" si="0"/>
        <v>2</v>
      </c>
      <c r="I26" s="209" t="s">
        <v>2567</v>
      </c>
      <c r="J26" s="209" t="s">
        <v>49</v>
      </c>
      <c r="K26" s="209"/>
    </row>
    <row r="27" spans="1:11">
      <c r="A27" s="209">
        <v>12</v>
      </c>
      <c r="B27" s="209" t="s">
        <v>2199</v>
      </c>
      <c r="C27" s="209" t="s">
        <v>1907</v>
      </c>
      <c r="D27" s="209" t="s">
        <v>2569</v>
      </c>
      <c r="E27" s="209">
        <v>6</v>
      </c>
      <c r="F27" s="209">
        <v>6</v>
      </c>
      <c r="G27" s="209" t="s">
        <v>2568</v>
      </c>
      <c r="H27" s="209">
        <f t="shared" si="0"/>
        <v>1</v>
      </c>
      <c r="I27" s="209" t="s">
        <v>2567</v>
      </c>
      <c r="J27" s="209" t="s">
        <v>49</v>
      </c>
      <c r="K27" s="209"/>
    </row>
    <row r="28" spans="1:11">
      <c r="A28" s="209">
        <v>1</v>
      </c>
      <c r="B28" s="209" t="s">
        <v>35</v>
      </c>
      <c r="C28" s="209" t="s">
        <v>332</v>
      </c>
      <c r="D28" s="209"/>
      <c r="E28" s="209">
        <v>0</v>
      </c>
      <c r="F28" s="209">
        <v>4</v>
      </c>
      <c r="G28" s="209" t="s">
        <v>2186</v>
      </c>
      <c r="H28" s="209">
        <f t="shared" si="0"/>
        <v>2</v>
      </c>
      <c r="I28" s="209" t="s">
        <v>2567</v>
      </c>
      <c r="J28" s="209" t="s">
        <v>49</v>
      </c>
      <c r="K28" s="209"/>
    </row>
    <row r="29" spans="1:11">
      <c r="A29" s="209">
        <v>2</v>
      </c>
      <c r="B29" s="209" t="s">
        <v>35</v>
      </c>
      <c r="C29" s="209" t="s">
        <v>332</v>
      </c>
      <c r="D29" s="209"/>
      <c r="E29" s="209">
        <v>0</v>
      </c>
      <c r="F29" s="209">
        <v>4</v>
      </c>
      <c r="G29" s="209" t="s">
        <v>2186</v>
      </c>
      <c r="H29" s="209">
        <f t="shared" si="0"/>
        <v>2</v>
      </c>
      <c r="I29" s="209" t="s">
        <v>2567</v>
      </c>
      <c r="J29" s="209" t="s">
        <v>49</v>
      </c>
      <c r="K29" s="209"/>
    </row>
    <row r="30" spans="1:11">
      <c r="A30" s="209">
        <v>3</v>
      </c>
      <c r="B30" s="209" t="s">
        <v>35</v>
      </c>
      <c r="C30" s="209" t="s">
        <v>1907</v>
      </c>
      <c r="D30" s="209"/>
      <c r="E30" s="209">
        <v>0</v>
      </c>
      <c r="F30" s="209">
        <v>6</v>
      </c>
      <c r="G30" s="209" t="s">
        <v>2568</v>
      </c>
      <c r="H30" s="209">
        <f t="shared" si="0"/>
        <v>1</v>
      </c>
      <c r="I30" s="209" t="s">
        <v>2567</v>
      </c>
      <c r="J30" s="209" t="s">
        <v>49</v>
      </c>
      <c r="K30" s="209"/>
    </row>
    <row r="31" spans="1:11">
      <c r="A31" s="209">
        <v>4</v>
      </c>
      <c r="B31" s="209" t="s">
        <v>35</v>
      </c>
      <c r="C31" s="209" t="s">
        <v>1907</v>
      </c>
      <c r="D31" s="209" t="s">
        <v>2473</v>
      </c>
      <c r="E31" s="209">
        <v>30</v>
      </c>
      <c r="F31" s="209">
        <v>6</v>
      </c>
      <c r="G31" s="209" t="s">
        <v>2568</v>
      </c>
      <c r="H31" s="209">
        <f t="shared" si="0"/>
        <v>1</v>
      </c>
      <c r="I31" s="209" t="s">
        <v>2567</v>
      </c>
      <c r="J31" s="209" t="s">
        <v>49</v>
      </c>
      <c r="K31" s="209"/>
    </row>
    <row r="32" spans="1:11">
      <c r="A32" s="209">
        <v>5</v>
      </c>
      <c r="B32" s="209" t="s">
        <v>35</v>
      </c>
      <c r="C32" s="209" t="s">
        <v>332</v>
      </c>
      <c r="D32" s="209"/>
      <c r="E32" s="209">
        <v>0</v>
      </c>
      <c r="F32" s="209">
        <v>4</v>
      </c>
      <c r="G32" s="209" t="s">
        <v>2186</v>
      </c>
      <c r="H32" s="209">
        <f t="shared" si="0"/>
        <v>2</v>
      </c>
      <c r="I32" s="209" t="s">
        <v>2567</v>
      </c>
      <c r="J32" s="209" t="s">
        <v>49</v>
      </c>
      <c r="K32" s="209"/>
    </row>
    <row r="33" spans="1:11">
      <c r="A33" s="209">
        <v>6</v>
      </c>
      <c r="B33" s="209" t="s">
        <v>35</v>
      </c>
      <c r="C33" s="209" t="s">
        <v>332</v>
      </c>
      <c r="D33" s="209"/>
      <c r="E33" s="209">
        <v>0</v>
      </c>
      <c r="F33" s="209">
        <v>4</v>
      </c>
      <c r="G33" s="209" t="s">
        <v>2186</v>
      </c>
      <c r="H33" s="209">
        <f t="shared" si="0"/>
        <v>2</v>
      </c>
      <c r="I33" s="209" t="s">
        <v>2567</v>
      </c>
      <c r="J33" s="209" t="s">
        <v>49</v>
      </c>
      <c r="K33" s="209"/>
    </row>
    <row r="34" spans="1:11">
      <c r="A34" s="209">
        <v>7</v>
      </c>
      <c r="B34" s="209" t="s">
        <v>35</v>
      </c>
      <c r="C34" s="209" t="s">
        <v>332</v>
      </c>
      <c r="D34" s="209"/>
      <c r="E34" s="209">
        <v>0</v>
      </c>
      <c r="F34" s="209">
        <v>4</v>
      </c>
      <c r="G34" s="209" t="s">
        <v>2186</v>
      </c>
      <c r="H34" s="209">
        <f t="shared" si="0"/>
        <v>2</v>
      </c>
      <c r="I34" s="209" t="s">
        <v>2567</v>
      </c>
      <c r="J34" s="209" t="s">
        <v>49</v>
      </c>
      <c r="K34" s="209"/>
    </row>
    <row r="35" spans="1:11">
      <c r="A35" s="209">
        <v>8</v>
      </c>
      <c r="B35" s="209" t="s">
        <v>35</v>
      </c>
      <c r="C35" s="209" t="s">
        <v>1907</v>
      </c>
      <c r="D35" s="209" t="s">
        <v>2490</v>
      </c>
      <c r="E35" s="209">
        <v>30</v>
      </c>
      <c r="F35" s="209">
        <v>6</v>
      </c>
      <c r="G35" s="209" t="s">
        <v>2568</v>
      </c>
      <c r="H35" s="209">
        <f t="shared" si="0"/>
        <v>1</v>
      </c>
      <c r="I35" s="209" t="s">
        <v>2567</v>
      </c>
      <c r="J35" s="209" t="s">
        <v>49</v>
      </c>
      <c r="K35" s="209"/>
    </row>
    <row r="36" spans="1:11">
      <c r="A36" s="209">
        <v>9</v>
      </c>
      <c r="B36" s="209" t="s">
        <v>35</v>
      </c>
      <c r="C36" s="209" t="s">
        <v>332</v>
      </c>
      <c r="D36" s="209"/>
      <c r="E36" s="209">
        <v>0</v>
      </c>
      <c r="F36" s="209">
        <v>4</v>
      </c>
      <c r="G36" s="209" t="s">
        <v>2186</v>
      </c>
      <c r="H36" s="209">
        <f t="shared" si="0"/>
        <v>2</v>
      </c>
      <c r="I36" s="209" t="s">
        <v>2567</v>
      </c>
      <c r="J36" s="209" t="s">
        <v>49</v>
      </c>
      <c r="K36" s="209"/>
    </row>
    <row r="37" spans="1:11">
      <c r="A37" s="209">
        <v>10</v>
      </c>
      <c r="B37" s="209" t="s">
        <v>35</v>
      </c>
      <c r="C37" s="209" t="s">
        <v>332</v>
      </c>
      <c r="D37" s="209"/>
      <c r="E37" s="209">
        <v>0</v>
      </c>
      <c r="F37" s="209">
        <v>4</v>
      </c>
      <c r="G37" s="209" t="s">
        <v>2186</v>
      </c>
      <c r="H37" s="209">
        <f t="shared" si="0"/>
        <v>2</v>
      </c>
      <c r="I37" s="209" t="s">
        <v>2567</v>
      </c>
      <c r="J37" s="209" t="s">
        <v>49</v>
      </c>
      <c r="K37" s="209"/>
    </row>
    <row r="38" spans="1:11">
      <c r="A38" s="209">
        <v>11</v>
      </c>
      <c r="B38" s="209" t="s">
        <v>35</v>
      </c>
      <c r="C38" s="209" t="s">
        <v>332</v>
      </c>
      <c r="D38" s="209"/>
      <c r="E38" s="209">
        <v>0</v>
      </c>
      <c r="F38" s="209">
        <v>4</v>
      </c>
      <c r="G38" s="209" t="s">
        <v>2186</v>
      </c>
      <c r="H38" s="209">
        <f t="shared" si="0"/>
        <v>2</v>
      </c>
      <c r="I38" s="209" t="s">
        <v>2567</v>
      </c>
      <c r="J38" s="209" t="s">
        <v>49</v>
      </c>
      <c r="K38" s="209"/>
    </row>
    <row r="39" spans="1:11" ht="29" customHeight="1">
      <c r="A39" s="209">
        <v>12</v>
      </c>
      <c r="B39" s="209" t="s">
        <v>35</v>
      </c>
      <c r="C39" s="209" t="s">
        <v>1907</v>
      </c>
      <c r="D39" s="209" t="s">
        <v>2571</v>
      </c>
      <c r="E39" s="209">
        <v>40</v>
      </c>
      <c r="F39" s="209">
        <v>6</v>
      </c>
      <c r="G39" s="209" t="s">
        <v>2568</v>
      </c>
      <c r="H39" s="209">
        <f t="shared" si="0"/>
        <v>1</v>
      </c>
      <c r="I39" s="209" t="s">
        <v>2567</v>
      </c>
      <c r="J39" s="209" t="s">
        <v>49</v>
      </c>
      <c r="K39" s="209"/>
    </row>
    <row r="40" spans="1:11">
      <c r="A40" s="209">
        <v>1</v>
      </c>
      <c r="B40" s="209" t="s">
        <v>2189</v>
      </c>
      <c r="C40" s="209" t="s">
        <v>1289</v>
      </c>
      <c r="D40" s="209"/>
      <c r="E40" s="209">
        <v>0</v>
      </c>
      <c r="F40" s="209">
        <v>2</v>
      </c>
      <c r="G40" s="209" t="s">
        <v>2193</v>
      </c>
      <c r="H40" s="209">
        <f t="shared" si="0"/>
        <v>3</v>
      </c>
      <c r="I40" s="209" t="s">
        <v>2572</v>
      </c>
      <c r="J40" s="209" t="s">
        <v>49</v>
      </c>
      <c r="K40" s="209"/>
    </row>
    <row r="41" spans="1:11">
      <c r="A41" s="209">
        <v>2</v>
      </c>
      <c r="B41" s="209" t="s">
        <v>2189</v>
      </c>
      <c r="C41" s="209" t="s">
        <v>1289</v>
      </c>
      <c r="D41" s="209"/>
      <c r="E41" s="209">
        <v>0</v>
      </c>
      <c r="F41" s="209">
        <v>2</v>
      </c>
      <c r="G41" s="209" t="s">
        <v>2193</v>
      </c>
      <c r="H41" s="209">
        <f t="shared" si="0"/>
        <v>3</v>
      </c>
      <c r="I41" s="209" t="s">
        <v>2572</v>
      </c>
      <c r="J41" s="209" t="s">
        <v>49</v>
      </c>
      <c r="K41" s="209"/>
    </row>
    <row r="42" spans="1:11">
      <c r="A42" s="209">
        <v>3</v>
      </c>
      <c r="B42" s="209" t="s">
        <v>2189</v>
      </c>
      <c r="C42" s="209" t="s">
        <v>332</v>
      </c>
      <c r="D42" s="209" t="s">
        <v>2453</v>
      </c>
      <c r="E42" s="209">
        <v>15</v>
      </c>
      <c r="F42" s="209">
        <v>4</v>
      </c>
      <c r="G42" s="209" t="s">
        <v>2186</v>
      </c>
      <c r="H42" s="209">
        <f t="shared" si="0"/>
        <v>2</v>
      </c>
      <c r="I42" s="209" t="s">
        <v>2572</v>
      </c>
      <c r="J42" s="209" t="s">
        <v>49</v>
      </c>
      <c r="K42" s="209"/>
    </row>
    <row r="43" spans="1:11">
      <c r="A43" s="209">
        <v>4</v>
      </c>
      <c r="B43" s="209" t="s">
        <v>2189</v>
      </c>
      <c r="C43" s="209" t="s">
        <v>332</v>
      </c>
      <c r="D43" s="209" t="s">
        <v>2465</v>
      </c>
      <c r="E43" s="209">
        <v>15</v>
      </c>
      <c r="F43" s="209">
        <v>4</v>
      </c>
      <c r="G43" s="209" t="s">
        <v>2186</v>
      </c>
      <c r="H43" s="209">
        <f t="shared" si="0"/>
        <v>2</v>
      </c>
      <c r="I43" s="209" t="s">
        <v>2572</v>
      </c>
      <c r="J43" s="209" t="s">
        <v>49</v>
      </c>
      <c r="K43" s="209"/>
    </row>
    <row r="44" spans="1:11">
      <c r="A44" s="209">
        <v>5</v>
      </c>
      <c r="B44" s="209" t="s">
        <v>2189</v>
      </c>
      <c r="C44" s="209" t="s">
        <v>1289</v>
      </c>
      <c r="D44" s="209"/>
      <c r="E44" s="209">
        <v>0</v>
      </c>
      <c r="F44" s="209">
        <v>2</v>
      </c>
      <c r="G44" s="209" t="s">
        <v>2193</v>
      </c>
      <c r="H44" s="209">
        <f t="shared" si="0"/>
        <v>3</v>
      </c>
      <c r="I44" s="209" t="s">
        <v>2572</v>
      </c>
      <c r="J44" s="209" t="s">
        <v>49</v>
      </c>
      <c r="K44" s="209"/>
    </row>
    <row r="45" spans="1:11">
      <c r="A45" s="209">
        <v>6</v>
      </c>
      <c r="B45" s="209" t="s">
        <v>2189</v>
      </c>
      <c r="C45" s="209" t="s">
        <v>1289</v>
      </c>
      <c r="D45" s="209"/>
      <c r="E45" s="209">
        <v>0</v>
      </c>
      <c r="F45" s="209">
        <v>2</v>
      </c>
      <c r="G45" s="209" t="s">
        <v>2193</v>
      </c>
      <c r="H45" s="209">
        <f t="shared" si="0"/>
        <v>3</v>
      </c>
      <c r="I45" s="209" t="s">
        <v>2572</v>
      </c>
      <c r="J45" s="209" t="s">
        <v>49</v>
      </c>
      <c r="K45" s="209"/>
    </row>
    <row r="46" spans="1:11">
      <c r="A46" s="209">
        <v>7</v>
      </c>
      <c r="B46" s="209" t="s">
        <v>2189</v>
      </c>
      <c r="C46" s="209" t="s">
        <v>332</v>
      </c>
      <c r="D46" s="209"/>
      <c r="E46" s="209">
        <v>0</v>
      </c>
      <c r="F46" s="209">
        <v>4</v>
      </c>
      <c r="G46" s="209" t="s">
        <v>2186</v>
      </c>
      <c r="H46" s="209">
        <f t="shared" si="0"/>
        <v>2</v>
      </c>
      <c r="I46" s="209" t="s">
        <v>2572</v>
      </c>
      <c r="J46" s="209" t="s">
        <v>49</v>
      </c>
      <c r="K46" s="209"/>
    </row>
    <row r="47" spans="1:11">
      <c r="A47" s="209">
        <v>8</v>
      </c>
      <c r="B47" s="209" t="s">
        <v>2189</v>
      </c>
      <c r="C47" s="209" t="s">
        <v>1907</v>
      </c>
      <c r="D47" s="209" t="s">
        <v>2483</v>
      </c>
      <c r="E47" s="209">
        <v>35</v>
      </c>
      <c r="F47" s="209">
        <v>6</v>
      </c>
      <c r="G47" s="209" t="s">
        <v>2568</v>
      </c>
      <c r="H47" s="209">
        <f t="shared" si="0"/>
        <v>1</v>
      </c>
      <c r="I47" s="209" t="s">
        <v>2572</v>
      </c>
      <c r="J47" s="209" t="s">
        <v>49</v>
      </c>
      <c r="K47" s="209"/>
    </row>
    <row r="48" spans="1:11">
      <c r="A48" s="209">
        <v>9</v>
      </c>
      <c r="B48" s="209" t="s">
        <v>2189</v>
      </c>
      <c r="C48" s="209" t="s">
        <v>332</v>
      </c>
      <c r="D48" s="209"/>
      <c r="E48" s="209">
        <v>0</v>
      </c>
      <c r="F48" s="209">
        <v>4</v>
      </c>
      <c r="G48" s="209" t="s">
        <v>2186</v>
      </c>
      <c r="H48" s="209">
        <f t="shared" si="0"/>
        <v>2</v>
      </c>
      <c r="I48" s="209" t="s">
        <v>2572</v>
      </c>
      <c r="J48" s="209" t="s">
        <v>49</v>
      </c>
      <c r="K48" s="209"/>
    </row>
    <row r="49" spans="1:11">
      <c r="A49" s="209">
        <v>10</v>
      </c>
      <c r="B49" s="209" t="s">
        <v>2189</v>
      </c>
      <c r="C49" s="209" t="s">
        <v>332</v>
      </c>
      <c r="D49" s="209"/>
      <c r="E49" s="209">
        <v>0</v>
      </c>
      <c r="F49" s="209">
        <v>4</v>
      </c>
      <c r="G49" s="209" t="s">
        <v>2186</v>
      </c>
      <c r="H49" s="209">
        <f t="shared" si="0"/>
        <v>2</v>
      </c>
      <c r="I49" s="209" t="s">
        <v>2572</v>
      </c>
      <c r="J49" s="209" t="s">
        <v>49</v>
      </c>
      <c r="K49" s="209"/>
    </row>
    <row r="50" spans="1:11">
      <c r="A50" s="209">
        <v>11</v>
      </c>
      <c r="B50" s="209" t="s">
        <v>2189</v>
      </c>
      <c r="C50" s="209" t="s">
        <v>1907</v>
      </c>
      <c r="D50" s="209" t="s">
        <v>2499</v>
      </c>
      <c r="E50" s="209">
        <v>30</v>
      </c>
      <c r="F50" s="209">
        <v>6</v>
      </c>
      <c r="G50" s="209" t="s">
        <v>2568</v>
      </c>
      <c r="H50" s="209">
        <f t="shared" si="0"/>
        <v>1</v>
      </c>
      <c r="I50" s="209" t="s">
        <v>2572</v>
      </c>
      <c r="J50" s="209" t="s">
        <v>49</v>
      </c>
      <c r="K50" s="209"/>
    </row>
    <row r="51" spans="1:11">
      <c r="A51" s="209">
        <v>12</v>
      </c>
      <c r="B51" s="209" t="s">
        <v>2189</v>
      </c>
      <c r="C51" s="209" t="s">
        <v>332</v>
      </c>
      <c r="D51" s="209" t="s">
        <v>2573</v>
      </c>
      <c r="E51" s="209">
        <v>5</v>
      </c>
      <c r="F51" s="209">
        <v>4</v>
      </c>
      <c r="G51" s="209" t="s">
        <v>2186</v>
      </c>
      <c r="H51" s="209">
        <f t="shared" si="0"/>
        <v>2</v>
      </c>
      <c r="I51" s="209" t="s">
        <v>2572</v>
      </c>
      <c r="J51" s="209" t="s">
        <v>49</v>
      </c>
      <c r="K51" s="209"/>
    </row>
  </sheetData>
  <mergeCells count="2">
    <mergeCell ref="A2:N2"/>
    <mergeCell ref="A1:N1"/>
  </mergeCells>
  <conditionalFormatting sqref="M5:M204">
    <cfRule type="expression" dxfId="760" priority="1">
      <formula>ISNUMBER(SEARCH("🔴",M5))</formula>
    </cfRule>
    <cfRule type="expression" dxfId="759" priority="2">
      <formula>ISNUMBER(SEARCH("🟡",M5))</formula>
    </cfRule>
    <cfRule type="expression" dxfId="758" priority="3">
      <formula>ISNUMBER(SEARCH("🟢",M5))</formula>
    </cfRule>
    <cfRule type="expression" dxfId="757" priority="4">
      <formula>ISNUMBER(SEARCH("⭐",M5))</formula>
    </cfRule>
    <cfRule type="expression" dxfId="756" priority="5">
      <formula>ISNUMBER(SEARCH("🔴",M5))</formula>
    </cfRule>
    <cfRule type="expression" dxfId="755" priority="6">
      <formula>ISNUMBER(SEARCH("🟡",M5))</formula>
    </cfRule>
    <cfRule type="expression" dxfId="754" priority="7">
      <formula>ISNUMBER(SEARCH("🟢",M5))</formula>
    </cfRule>
    <cfRule type="expression" dxfId="753" priority="8">
      <formula>ISNUMBER(SEARCH("⭐",M5))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BFBFBF"/>
  </sheetPr>
  <dimension ref="A1:N26"/>
  <sheetViews>
    <sheetView showGridLines="0" workbookViewId="0"/>
  </sheetViews>
  <sheetFormatPr baseColWidth="10" defaultColWidth="8.7265625" defaultRowHeight="14.5"/>
  <cols>
    <col min="1" max="1" width="42.36328125" customWidth="1"/>
    <col min="2" max="2" width="11.54296875" customWidth="1"/>
    <col min="3" max="3" width="28.1796875" customWidth="1"/>
    <col min="4" max="4" width="20.453125" customWidth="1"/>
    <col min="5" max="5" width="42" customWidth="1"/>
    <col min="6" max="6" width="35" customWidth="1"/>
    <col min="7" max="12" width="12" customWidth="1"/>
  </cols>
  <sheetData>
    <row r="1" spans="1:14" ht="28" customHeight="1">
      <c r="A1" s="486" t="s">
        <v>2574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>
      <c r="A2" s="485" t="s">
        <v>2575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3" spans="1:14">
      <c r="A3" s="207" t="s">
        <v>1300</v>
      </c>
      <c r="B3" s="207" t="s">
        <v>7</v>
      </c>
      <c r="C3" s="207" t="s">
        <v>1765</v>
      </c>
      <c r="D3" s="207" t="s">
        <v>696</v>
      </c>
      <c r="E3" s="208"/>
      <c r="F3" s="208"/>
      <c r="G3" s="208"/>
      <c r="H3" s="208"/>
      <c r="I3" s="208"/>
      <c r="J3" s="208"/>
      <c r="K3" s="208"/>
      <c r="L3" s="208"/>
    </row>
    <row r="4" spans="1:14">
      <c r="A4" s="431" t="s">
        <v>2576</v>
      </c>
      <c r="B4" s="429"/>
      <c r="C4" s="429"/>
      <c r="D4" s="429"/>
      <c r="E4" s="429"/>
      <c r="F4" s="429"/>
      <c r="G4" s="429"/>
      <c r="H4" s="429"/>
      <c r="I4" s="429"/>
      <c r="J4" s="430"/>
    </row>
    <row r="5" spans="1:14">
      <c r="A5" s="209" t="s">
        <v>2577</v>
      </c>
      <c r="B5" s="209">
        <f>COUNTA('62_T2_Evaluaciones'!A4:A200)</f>
        <v>21</v>
      </c>
      <c r="C5" s="209" t="s">
        <v>2578</v>
      </c>
      <c r="D5" s="209" t="s">
        <v>2579</v>
      </c>
    </row>
    <row r="6" spans="1:14" ht="29" customHeight="1">
      <c r="A6" s="209" t="s">
        <v>2580</v>
      </c>
      <c r="B6" s="209">
        <f>SUM('62_T2_Evaluaciones'!F4:F200)</f>
        <v>400</v>
      </c>
      <c r="C6" s="209" t="s">
        <v>2581</v>
      </c>
      <c r="D6" s="209" t="s">
        <v>2582</v>
      </c>
    </row>
    <row r="7" spans="1:14" ht="29" customHeight="1">
      <c r="A7" s="209" t="s">
        <v>2583</v>
      </c>
      <c r="B7" s="209">
        <f>COUNTA('63_T2_Bloques'!A4:A500)</f>
        <v>97</v>
      </c>
      <c r="C7" s="209" t="s">
        <v>2584</v>
      </c>
      <c r="D7" s="209" t="s">
        <v>2585</v>
      </c>
    </row>
    <row r="8" spans="1:14" ht="29" customHeight="1">
      <c r="A8" s="209" t="s">
        <v>2586</v>
      </c>
      <c r="B8" s="209">
        <f>COUNTIF('63_T2_Bloques'!H4:H500,"Completado")</f>
        <v>16</v>
      </c>
      <c r="C8" s="209" t="s">
        <v>2587</v>
      </c>
      <c r="D8" s="209" t="s">
        <v>2588</v>
      </c>
    </row>
    <row r="9" spans="1:14" ht="29" customHeight="1">
      <c r="A9" s="209" t="s">
        <v>2589</v>
      </c>
      <c r="B9" s="209">
        <f>IF(B7=0,0,B8/B7)</f>
        <v>0.16494845360824742</v>
      </c>
      <c r="C9" s="209" t="s">
        <v>2590</v>
      </c>
      <c r="D9" s="209" t="s">
        <v>2591</v>
      </c>
    </row>
    <row r="10" spans="1:14" ht="29" customHeight="1">
      <c r="A10" s="209" t="s">
        <v>2592</v>
      </c>
      <c r="B10" s="209">
        <f ca="1">COUNTIF('62_T2_Evaluaciones'!M4:M200,"Crítico")</f>
        <v>0</v>
      </c>
      <c r="C10" s="209" t="s">
        <v>2593</v>
      </c>
      <c r="D10" s="209" t="s">
        <v>2594</v>
      </c>
    </row>
    <row r="11" spans="1:14" ht="29" customHeight="1">
      <c r="A11" s="209" t="s">
        <v>2595</v>
      </c>
      <c r="B11" s="209">
        <f ca="1">COUNTIF('62_T2_Evaluaciones'!M4:M200,"Vencido")</f>
        <v>6</v>
      </c>
      <c r="C11" s="209" t="s">
        <v>2596</v>
      </c>
      <c r="D11" s="209" t="s">
        <v>2597</v>
      </c>
    </row>
    <row r="12" spans="1:14">
      <c r="A12" s="209" t="s">
        <v>2598</v>
      </c>
      <c r="B12" s="209">
        <f>AVERAGE('56_Notas'!C4:C7)</f>
        <v>0</v>
      </c>
      <c r="C12" s="209" t="s">
        <v>2599</v>
      </c>
      <c r="D12" s="209" t="s">
        <v>2600</v>
      </c>
    </row>
    <row r="14" spans="1:14" ht="29" customHeight="1"/>
    <row r="15" spans="1:14" ht="29" customHeight="1"/>
    <row r="16" spans="1:14">
      <c r="A16" s="207" t="s">
        <v>2230</v>
      </c>
      <c r="B16" s="207" t="s">
        <v>118</v>
      </c>
      <c r="C16" s="207" t="s">
        <v>2601</v>
      </c>
      <c r="D16" s="207" t="s">
        <v>2524</v>
      </c>
      <c r="E16" s="207" t="s">
        <v>2181</v>
      </c>
      <c r="F16" s="207" t="s">
        <v>696</v>
      </c>
    </row>
    <row r="17" spans="1:12">
      <c r="A17" s="209" t="s">
        <v>2184</v>
      </c>
      <c r="B17" s="209">
        <f>COUNTIF('62_T2_Evaluaciones'!B:B,A17)</f>
        <v>4</v>
      </c>
      <c r="C17" s="209">
        <f>SUMIF('62_T2_Evaluaciones'!B:B,A17,'62_T2_Evaluaciones'!F:F)</f>
        <v>100</v>
      </c>
      <c r="D17" s="209">
        <f>SUMIF('62_T2_Evaluaciones'!B:B,A17,'62_T2_Evaluaciones'!K:K)</f>
        <v>0</v>
      </c>
      <c r="E17" s="209" t="str">
        <f>IF(D17&lt;2,"Crítico",IF(D17&lt;4,"Alto","Controlado"))</f>
        <v>Crítico</v>
      </c>
      <c r="F17" s="209" t="s">
        <v>2602</v>
      </c>
    </row>
    <row r="18" spans="1:12">
      <c r="A18" s="431" t="s">
        <v>2189</v>
      </c>
      <c r="B18" s="429"/>
      <c r="C18" s="429"/>
      <c r="D18" s="429"/>
      <c r="E18" s="429"/>
      <c r="F18" s="429"/>
      <c r="G18" s="429"/>
      <c r="H18" s="429"/>
      <c r="I18" s="429"/>
      <c r="J18" s="429"/>
      <c r="K18" s="429"/>
      <c r="L18" s="430"/>
    </row>
    <row r="19" spans="1:12" ht="29" customHeight="1">
      <c r="A19" s="209" t="s">
        <v>35</v>
      </c>
      <c r="B19" s="209">
        <f>COUNTIF('62_T2_Evaluaciones'!B:B,A19)</f>
        <v>4</v>
      </c>
      <c r="C19" s="209">
        <f>SUMIF('62_T2_Evaluaciones'!B:B,A19,'62_T2_Evaluaciones'!F:F)</f>
        <v>100</v>
      </c>
      <c r="D19" s="209">
        <f>SUMIF('62_T2_Evaluaciones'!B:B,A19,'62_T2_Evaluaciones'!K:K)</f>
        <v>0</v>
      </c>
      <c r="E19" s="209" t="str">
        <f>IF(D19&lt;2,"Crítico",IF(D19&lt;4,"Alto","Controlado"))</f>
        <v>Crítico</v>
      </c>
      <c r="F19" s="209" t="s">
        <v>2602</v>
      </c>
    </row>
    <row r="20" spans="1:12">
      <c r="A20" s="209" t="s">
        <v>2199</v>
      </c>
      <c r="B20" s="209">
        <f>COUNTIF('62_T2_Evaluaciones'!B:B,A20)</f>
        <v>7</v>
      </c>
      <c r="C20" s="209">
        <f>SUMIF('62_T2_Evaluaciones'!B:B,A20,'62_T2_Evaluaciones'!F:F)</f>
        <v>100</v>
      </c>
      <c r="D20" s="209">
        <f>SUMIF('62_T2_Evaluaciones'!B:B,A20,'62_T2_Evaluaciones'!K:K)</f>
        <v>0</v>
      </c>
      <c r="E20" s="209" t="str">
        <f>IF(D20&lt;2,"Crítico",IF(D20&lt;4,"Alto","Controlado"))</f>
        <v>Crítico</v>
      </c>
      <c r="F20" s="209" t="s">
        <v>2602</v>
      </c>
    </row>
    <row r="26" spans="1:12">
      <c r="A26" s="421"/>
      <c r="B26" s="426"/>
      <c r="C26" s="426"/>
      <c r="D26" s="426"/>
      <c r="E26" s="426"/>
      <c r="F26" s="426"/>
      <c r="G26" s="426"/>
      <c r="H26" s="426"/>
      <c r="I26" s="426"/>
      <c r="J26" s="426"/>
      <c r="K26" s="426"/>
      <c r="L26" s="426"/>
    </row>
  </sheetData>
  <mergeCells count="5">
    <mergeCell ref="A26:L26"/>
    <mergeCell ref="A2:N2"/>
    <mergeCell ref="A4:J4"/>
    <mergeCell ref="A18:L18"/>
    <mergeCell ref="A1:N1"/>
  </mergeCells>
  <conditionalFormatting sqref="C6:C15">
    <cfRule type="expression" dxfId="752" priority="1">
      <formula>ISNUMBER(SEARCH("🔴",C6))</formula>
    </cfRule>
    <cfRule type="expression" dxfId="751" priority="2">
      <formula>ISNUMBER(SEARCH("🟡",C6))</formula>
    </cfRule>
    <cfRule type="expression" dxfId="750" priority="3">
      <formula>ISNUMBER(SEARCH("🟢",C6))</formula>
    </cfRule>
    <cfRule type="expression" dxfId="749" priority="4">
      <formula>ISNUMBER(SEARCH("⭐",C6))</formula>
    </cfRule>
    <cfRule type="expression" dxfId="748" priority="13">
      <formula>ISNUMBER(SEARCH("🔴",C6))</formula>
    </cfRule>
    <cfRule type="expression" dxfId="747" priority="14">
      <formula>ISNUMBER(SEARCH("🟡",C6))</formula>
    </cfRule>
    <cfRule type="expression" dxfId="746" priority="15">
      <formula>ISNUMBER(SEARCH("🟢",C6))</formula>
    </cfRule>
    <cfRule type="expression" dxfId="745" priority="16">
      <formula>ISNUMBER(SEARCH("⭐",C6))</formula>
    </cfRule>
  </conditionalFormatting>
  <conditionalFormatting sqref="F28:F37">
    <cfRule type="expression" dxfId="744" priority="9">
      <formula>ISNUMBER(SEARCH("🔴",F28))</formula>
    </cfRule>
    <cfRule type="expression" dxfId="743" priority="10">
      <formula>ISNUMBER(SEARCH("🟡",F28))</formula>
    </cfRule>
    <cfRule type="expression" dxfId="742" priority="11">
      <formula>ISNUMBER(SEARCH("🟢",F28))</formula>
    </cfRule>
    <cfRule type="expression" dxfId="741" priority="12">
      <formula>ISNUMBER(SEARCH("⭐",F28))</formula>
    </cfRule>
    <cfRule type="expression" dxfId="740" priority="21">
      <formula>ISNUMBER(SEARCH("🔴",F28))</formula>
    </cfRule>
    <cfRule type="expression" dxfId="739" priority="22">
      <formula>ISNUMBER(SEARCH("🟡",F28))</formula>
    </cfRule>
    <cfRule type="expression" dxfId="738" priority="23">
      <formula>ISNUMBER(SEARCH("🟢",F28))</formula>
    </cfRule>
    <cfRule type="expression" dxfId="737" priority="24">
      <formula>ISNUMBER(SEARCH("⭐",F28))</formula>
    </cfRule>
  </conditionalFormatting>
  <conditionalFormatting sqref="G20:G23">
    <cfRule type="expression" dxfId="736" priority="5">
      <formula>ISNUMBER(SEARCH("🔴",G20))</formula>
    </cfRule>
    <cfRule type="expression" dxfId="735" priority="6">
      <formula>ISNUMBER(SEARCH("🟡",G20))</formula>
    </cfRule>
    <cfRule type="expression" dxfId="734" priority="7">
      <formula>ISNUMBER(SEARCH("🟢",G20))</formula>
    </cfRule>
    <cfRule type="expression" dxfId="733" priority="8">
      <formula>ISNUMBER(SEARCH("⭐",G20))</formula>
    </cfRule>
    <cfRule type="expression" dxfId="732" priority="17">
      <formula>ISNUMBER(SEARCH("🔴",G20))</formula>
    </cfRule>
    <cfRule type="expression" dxfId="731" priority="18">
      <formula>ISNUMBER(SEARCH("🟡",G20))</formula>
    </cfRule>
    <cfRule type="expression" dxfId="730" priority="19">
      <formula>ISNUMBER(SEARCH("🟢",G20))</formula>
    </cfRule>
    <cfRule type="expression" dxfId="729" priority="20">
      <formula>ISNUMBER(SEARCH("⭐",G20))</formula>
    </cfRule>
  </conditionalFormatting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7030A0"/>
  </sheetPr>
  <dimension ref="A1:L15"/>
  <sheetViews>
    <sheetView showGridLines="0" workbookViewId="0"/>
  </sheetViews>
  <sheetFormatPr baseColWidth="10" defaultColWidth="8.7265625" defaultRowHeight="14.5"/>
  <cols>
    <col min="1" max="1" width="7.453125" customWidth="1"/>
    <col min="2" max="2" width="12" customWidth="1"/>
    <col min="3" max="3" width="10.08984375" customWidth="1"/>
    <col min="4" max="4" width="28.1796875" customWidth="1"/>
    <col min="5" max="5" width="41.81640625" customWidth="1"/>
    <col min="6" max="6" width="18" customWidth="1"/>
    <col min="7" max="7" width="18.81640625" customWidth="1"/>
    <col min="8" max="8" width="14.54296875" customWidth="1"/>
    <col min="9" max="9" width="42" customWidth="1"/>
    <col min="10" max="10" width="20.453125" customWidth="1"/>
    <col min="11" max="11" width="9.1796875" customWidth="1"/>
  </cols>
  <sheetData>
    <row r="1" spans="1:12" ht="28" customHeight="1">
      <c r="A1" s="486" t="s">
        <v>2603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85" t="s">
        <v>2604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>
      <c r="A3" s="207" t="s">
        <v>1115</v>
      </c>
      <c r="B3" s="207" t="s">
        <v>1198</v>
      </c>
      <c r="C3" s="207" t="s">
        <v>389</v>
      </c>
      <c r="D3" s="207" t="s">
        <v>2605</v>
      </c>
      <c r="E3" s="207" t="s">
        <v>118</v>
      </c>
      <c r="F3" s="207" t="s">
        <v>2583</v>
      </c>
      <c r="G3" s="207" t="s">
        <v>2586</v>
      </c>
      <c r="H3" s="207" t="s">
        <v>1237</v>
      </c>
      <c r="I3" s="207" t="s">
        <v>2181</v>
      </c>
      <c r="J3" s="207" t="s">
        <v>2606</v>
      </c>
      <c r="K3" s="207" t="s">
        <v>389</v>
      </c>
    </row>
    <row r="4" spans="1:12" ht="29" customHeight="1">
      <c r="A4" s="209">
        <v>1</v>
      </c>
      <c r="B4" s="210">
        <v>46174</v>
      </c>
      <c r="C4" s="210">
        <v>46180</v>
      </c>
      <c r="D4" s="209" t="s">
        <v>2607</v>
      </c>
      <c r="E4" s="209" t="s">
        <v>2608</v>
      </c>
      <c r="F4" s="209">
        <f>COUNTIF('63_T2_Bloques'!A:A,A4)</f>
        <v>8</v>
      </c>
      <c r="G4" s="209">
        <f>COUNTIFS('63_T2_Bloques'!A:A,A4,'63_T2_Bloques'!H:H,"Completado")</f>
        <v>8</v>
      </c>
      <c r="H4" s="212">
        <f t="shared" ref="H4:H15" si="0">IF(F4=0,0,G4/F4)</f>
        <v>1</v>
      </c>
      <c r="I4" s="209" t="str">
        <f t="shared" ref="I4:I15" si="1">IF(H4&lt;0.5,"Crítico",IF(H4&lt;0.7,"Alto","Controlado"))</f>
        <v>Controlado</v>
      </c>
      <c r="J4" s="209" t="s">
        <v>2609</v>
      </c>
      <c r="K4" s="209" t="s">
        <v>49</v>
      </c>
    </row>
    <row r="5" spans="1:12">
      <c r="A5" s="209">
        <v>2</v>
      </c>
      <c r="B5" s="210">
        <v>46181</v>
      </c>
      <c r="C5" s="210">
        <v>46187</v>
      </c>
      <c r="D5" s="209" t="s">
        <v>2607</v>
      </c>
      <c r="E5" s="209" t="s">
        <v>2610</v>
      </c>
      <c r="F5" s="209">
        <f>COUNTIF('63_T2_Bloques'!A:A,A5)</f>
        <v>8</v>
      </c>
      <c r="G5" s="209">
        <f>COUNTIFS('63_T2_Bloques'!A:A,A5,'63_T2_Bloques'!H:H,"Completado")</f>
        <v>8</v>
      </c>
      <c r="H5" s="212">
        <f t="shared" si="0"/>
        <v>1</v>
      </c>
      <c r="I5" s="209" t="str">
        <f t="shared" si="1"/>
        <v>Controlado</v>
      </c>
      <c r="J5" s="209" t="s">
        <v>2609</v>
      </c>
      <c r="K5" s="209" t="s">
        <v>49</v>
      </c>
    </row>
    <row r="6" spans="1:12" ht="43.5" customHeight="1">
      <c r="A6" s="209">
        <v>3</v>
      </c>
      <c r="B6" s="210">
        <v>46188</v>
      </c>
      <c r="C6" s="210">
        <v>46194</v>
      </c>
      <c r="D6" s="209" t="s">
        <v>2607</v>
      </c>
      <c r="E6" s="209" t="s">
        <v>2611</v>
      </c>
      <c r="F6" s="209">
        <f>COUNTIF('63_T2_Bloques'!A:A,A6)</f>
        <v>8</v>
      </c>
      <c r="G6" s="209">
        <f>COUNTIFS('63_T2_Bloques'!A:A,A6,'63_T2_Bloques'!H:H,"Completado")</f>
        <v>0</v>
      </c>
      <c r="H6" s="212">
        <f t="shared" si="0"/>
        <v>0</v>
      </c>
      <c r="I6" s="209" t="str">
        <f t="shared" si="1"/>
        <v>Crítico</v>
      </c>
      <c r="J6" s="209" t="s">
        <v>2609</v>
      </c>
      <c r="K6" s="209" t="s">
        <v>49</v>
      </c>
    </row>
    <row r="7" spans="1:12" ht="58" customHeight="1">
      <c r="A7" s="209">
        <v>4</v>
      </c>
      <c r="B7" s="210">
        <v>46195</v>
      </c>
      <c r="C7" s="210">
        <v>46201</v>
      </c>
      <c r="D7" s="209" t="s">
        <v>2607</v>
      </c>
      <c r="E7" s="209" t="s">
        <v>2612</v>
      </c>
      <c r="F7" s="209">
        <f>COUNTIF('63_T2_Bloques'!A:A,A7)</f>
        <v>8</v>
      </c>
      <c r="G7" s="209">
        <f>COUNTIFS('63_T2_Bloques'!A:A,A7,'63_T2_Bloques'!H:H,"Completado")</f>
        <v>0</v>
      </c>
      <c r="H7" s="212">
        <f t="shared" si="0"/>
        <v>0</v>
      </c>
      <c r="I7" s="209" t="str">
        <f t="shared" si="1"/>
        <v>Crítico</v>
      </c>
      <c r="J7" s="209" t="s">
        <v>2609</v>
      </c>
      <c r="K7" s="209" t="s">
        <v>49</v>
      </c>
    </row>
    <row r="8" spans="1:12">
      <c r="A8" s="209">
        <v>5</v>
      </c>
      <c r="B8" s="210">
        <v>46202</v>
      </c>
      <c r="C8" s="210">
        <v>46208</v>
      </c>
      <c r="D8" s="209" t="s">
        <v>2607</v>
      </c>
      <c r="E8" s="209" t="s">
        <v>2610</v>
      </c>
      <c r="F8" s="209">
        <f>COUNTIF('63_T2_Bloques'!A:A,A8)</f>
        <v>8</v>
      </c>
      <c r="G8" s="209">
        <f>COUNTIFS('63_T2_Bloques'!A:A,A8,'63_T2_Bloques'!H:H,"Completado")</f>
        <v>0</v>
      </c>
      <c r="H8" s="212">
        <f t="shared" si="0"/>
        <v>0</v>
      </c>
      <c r="I8" s="209" t="str">
        <f t="shared" si="1"/>
        <v>Crítico</v>
      </c>
      <c r="J8" s="209" t="s">
        <v>2609</v>
      </c>
      <c r="K8" s="209" t="s">
        <v>49</v>
      </c>
    </row>
    <row r="9" spans="1:12">
      <c r="A9" s="209">
        <v>6</v>
      </c>
      <c r="B9" s="210">
        <v>46209</v>
      </c>
      <c r="C9" s="210">
        <v>46215</v>
      </c>
      <c r="D9" s="209" t="s">
        <v>2607</v>
      </c>
      <c r="E9" s="209" t="s">
        <v>2610</v>
      </c>
      <c r="F9" s="209">
        <f>COUNTIF('63_T2_Bloques'!A:A,A9)</f>
        <v>8</v>
      </c>
      <c r="G9" s="209">
        <f>COUNTIFS('63_T2_Bloques'!A:A,A9,'63_T2_Bloques'!H:H,"Completado")</f>
        <v>0</v>
      </c>
      <c r="H9" s="212">
        <f t="shared" si="0"/>
        <v>0</v>
      </c>
      <c r="I9" s="209" t="str">
        <f t="shared" si="1"/>
        <v>Crítico</v>
      </c>
      <c r="J9" s="209" t="s">
        <v>2609</v>
      </c>
      <c r="K9" s="209" t="s">
        <v>49</v>
      </c>
    </row>
    <row r="10" spans="1:12" ht="29" customHeight="1">
      <c r="A10" s="209">
        <v>7</v>
      </c>
      <c r="B10" s="210">
        <v>46216</v>
      </c>
      <c r="C10" s="210">
        <v>46222</v>
      </c>
      <c r="D10" s="209" t="s">
        <v>2607</v>
      </c>
      <c r="E10" s="209" t="s">
        <v>2613</v>
      </c>
      <c r="F10" s="209">
        <f>COUNTIF('63_T2_Bloques'!A:A,A10)</f>
        <v>8</v>
      </c>
      <c r="G10" s="209">
        <f>COUNTIFS('63_T2_Bloques'!A:A,A10,'63_T2_Bloques'!H:H,"Completado")</f>
        <v>0</v>
      </c>
      <c r="H10" s="212">
        <f t="shared" si="0"/>
        <v>0</v>
      </c>
      <c r="I10" s="209" t="str">
        <f t="shared" si="1"/>
        <v>Crítico</v>
      </c>
      <c r="J10" s="209" t="s">
        <v>2609</v>
      </c>
      <c r="K10" s="209" t="s">
        <v>49</v>
      </c>
    </row>
    <row r="11" spans="1:12" ht="58" customHeight="1">
      <c r="A11" s="209">
        <v>8</v>
      </c>
      <c r="B11" s="210">
        <v>46223</v>
      </c>
      <c r="C11" s="210">
        <v>46229</v>
      </c>
      <c r="D11" s="209" t="s">
        <v>2607</v>
      </c>
      <c r="E11" s="209" t="s">
        <v>2614</v>
      </c>
      <c r="F11" s="209">
        <f>COUNTIF('63_T2_Bloques'!A:A,A11)</f>
        <v>8</v>
      </c>
      <c r="G11" s="209">
        <f>COUNTIFS('63_T2_Bloques'!A:A,A11,'63_T2_Bloques'!H:H,"Completado")</f>
        <v>0</v>
      </c>
      <c r="H11" s="212">
        <f t="shared" si="0"/>
        <v>0</v>
      </c>
      <c r="I11" s="209" t="str">
        <f t="shared" si="1"/>
        <v>Crítico</v>
      </c>
      <c r="J11" s="209" t="s">
        <v>2609</v>
      </c>
      <c r="K11" s="209" t="s">
        <v>49</v>
      </c>
    </row>
    <row r="12" spans="1:12">
      <c r="A12" s="209">
        <v>9</v>
      </c>
      <c r="B12" s="210">
        <v>46230</v>
      </c>
      <c r="C12" s="210">
        <v>46236</v>
      </c>
      <c r="D12" s="209" t="s">
        <v>2607</v>
      </c>
      <c r="E12" s="209"/>
      <c r="F12" s="209">
        <f>COUNTIF('63_T2_Bloques'!A:A,A12)</f>
        <v>8</v>
      </c>
      <c r="G12" s="209">
        <f>COUNTIFS('63_T2_Bloques'!A:A,A12,'63_T2_Bloques'!H:H,"Completado")</f>
        <v>0</v>
      </c>
      <c r="H12" s="212">
        <f t="shared" si="0"/>
        <v>0</v>
      </c>
      <c r="I12" s="209" t="str">
        <f t="shared" si="1"/>
        <v>Crítico</v>
      </c>
      <c r="J12" s="209" t="s">
        <v>2609</v>
      </c>
      <c r="K12" s="209" t="s">
        <v>49</v>
      </c>
    </row>
    <row r="13" spans="1:12" ht="29" customHeight="1">
      <c r="A13" s="209">
        <v>10</v>
      </c>
      <c r="B13" s="210">
        <v>46237</v>
      </c>
      <c r="C13" s="210">
        <v>46243</v>
      </c>
      <c r="D13" s="209" t="s">
        <v>2607</v>
      </c>
      <c r="E13" s="209" t="s">
        <v>2615</v>
      </c>
      <c r="F13" s="209">
        <f>COUNTIF('63_T2_Bloques'!A:A,A13)</f>
        <v>8</v>
      </c>
      <c r="G13" s="209">
        <f>COUNTIFS('63_T2_Bloques'!A:A,A13,'63_T2_Bloques'!H:H,"Completado")</f>
        <v>0</v>
      </c>
      <c r="H13" s="212">
        <f t="shared" si="0"/>
        <v>0</v>
      </c>
      <c r="I13" s="209" t="str">
        <f t="shared" si="1"/>
        <v>Crítico</v>
      </c>
      <c r="J13" s="209" t="s">
        <v>2609</v>
      </c>
      <c r="K13" s="209" t="s">
        <v>49</v>
      </c>
    </row>
    <row r="14" spans="1:12" ht="43.5" customHeight="1">
      <c r="A14" s="209">
        <v>11</v>
      </c>
      <c r="B14" s="210">
        <v>46244</v>
      </c>
      <c r="C14" s="210">
        <v>46250</v>
      </c>
      <c r="D14" s="209" t="s">
        <v>2607</v>
      </c>
      <c r="E14" s="209" t="s">
        <v>2616</v>
      </c>
      <c r="F14" s="209">
        <f>COUNTIF('63_T2_Bloques'!A:A,A14)</f>
        <v>8</v>
      </c>
      <c r="G14" s="209">
        <f>COUNTIFS('63_T2_Bloques'!A:A,A14,'63_T2_Bloques'!H:H,"Completado")</f>
        <v>0</v>
      </c>
      <c r="H14" s="212">
        <f t="shared" si="0"/>
        <v>0</v>
      </c>
      <c r="I14" s="209" t="str">
        <f t="shared" si="1"/>
        <v>Crítico</v>
      </c>
      <c r="J14" s="209" t="s">
        <v>2609</v>
      </c>
      <c r="K14" s="209" t="s">
        <v>49</v>
      </c>
    </row>
    <row r="15" spans="1:12" ht="87" customHeight="1">
      <c r="A15" s="209">
        <v>12</v>
      </c>
      <c r="B15" s="210">
        <v>46251</v>
      </c>
      <c r="C15" s="210">
        <v>46257</v>
      </c>
      <c r="D15" s="209" t="s">
        <v>2607</v>
      </c>
      <c r="E15" s="209" t="s">
        <v>2617</v>
      </c>
      <c r="F15" s="209">
        <f>COUNTIF('63_T2_Bloques'!A:A,A15)</f>
        <v>8</v>
      </c>
      <c r="G15" s="209">
        <f>COUNTIFS('63_T2_Bloques'!A:A,A15,'63_T2_Bloques'!H:H,"Completado")</f>
        <v>0</v>
      </c>
      <c r="H15" s="212">
        <f t="shared" si="0"/>
        <v>0</v>
      </c>
      <c r="I15" s="209" t="str">
        <f t="shared" si="1"/>
        <v>Crítico</v>
      </c>
      <c r="J15" s="209" t="s">
        <v>2609</v>
      </c>
      <c r="K15" s="209" t="s">
        <v>49</v>
      </c>
    </row>
  </sheetData>
  <mergeCells count="2">
    <mergeCell ref="A2:L2"/>
    <mergeCell ref="A1:L1"/>
  </mergeCells>
  <conditionalFormatting sqref="H5:H16">
    <cfRule type="expression" dxfId="728" priority="1">
      <formula>ISNUMBER(SEARCH("🔴",H5))</formula>
    </cfRule>
    <cfRule type="expression" dxfId="727" priority="2">
      <formula>ISNUMBER(SEARCH("🟡",H5))</formula>
    </cfRule>
    <cfRule type="expression" dxfId="726" priority="3">
      <formula>ISNUMBER(SEARCH("🟢",H5))</formula>
    </cfRule>
    <cfRule type="expression" dxfId="725" priority="4">
      <formula>ISNUMBER(SEARCH("⭐",H5))</formula>
    </cfRule>
    <cfRule type="expression" dxfId="724" priority="5">
      <formula>ISNUMBER(SEARCH("🔴",H5))</formula>
    </cfRule>
    <cfRule type="expression" dxfId="723" priority="6">
      <formula>ISNUMBER(SEARCH("🟡",H5))</formula>
    </cfRule>
    <cfRule type="expression" dxfId="722" priority="7">
      <formula>ISNUMBER(SEARCH("🟢",H5))</formula>
    </cfRule>
    <cfRule type="expression" dxfId="721" priority="8">
      <formula>ISNUMBER(SEARCH("⭐",H5))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7030A0"/>
  </sheetPr>
  <dimension ref="A1:L8"/>
  <sheetViews>
    <sheetView showGridLines="0" workbookViewId="0"/>
  </sheetViews>
  <sheetFormatPr baseColWidth="10" defaultColWidth="8.7265625" defaultRowHeight="14.5"/>
  <cols>
    <col min="1" max="1" width="42" customWidth="1"/>
    <col min="2" max="2" width="25" customWidth="1"/>
    <col min="3" max="3" width="12" customWidth="1"/>
    <col min="4" max="4" width="13" customWidth="1"/>
    <col min="5" max="6" width="12" customWidth="1"/>
    <col min="7" max="7" width="14" customWidth="1"/>
    <col min="8" max="8" width="37" customWidth="1"/>
    <col min="9" max="11" width="42" customWidth="1"/>
    <col min="12" max="12" width="13" customWidth="1"/>
  </cols>
  <sheetData>
    <row r="1" spans="1:12" ht="30" customHeight="1">
      <c r="A1" s="487" t="s">
        <v>2618</v>
      </c>
      <c r="B1" s="426"/>
      <c r="C1" s="426"/>
      <c r="D1" s="426"/>
      <c r="E1" s="426"/>
      <c r="F1" s="426"/>
      <c r="G1" s="426"/>
      <c r="H1" s="426"/>
      <c r="I1" s="426"/>
    </row>
    <row r="2" spans="1:12">
      <c r="A2" s="488" t="s">
        <v>2619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 ht="5.5" customHeight="1"/>
    <row r="4" spans="1:12">
      <c r="A4" s="207" t="s">
        <v>2230</v>
      </c>
      <c r="B4" s="207" t="s">
        <v>2231</v>
      </c>
      <c r="C4" s="207" t="s">
        <v>2232</v>
      </c>
      <c r="D4" s="207" t="s">
        <v>2233</v>
      </c>
      <c r="E4" s="207" t="s">
        <v>2234</v>
      </c>
      <c r="F4" s="207" t="s">
        <v>655</v>
      </c>
      <c r="G4" s="207" t="s">
        <v>2235</v>
      </c>
      <c r="H4" s="207" t="s">
        <v>118</v>
      </c>
      <c r="I4" s="207" t="s">
        <v>2620</v>
      </c>
      <c r="J4" s="207" t="s">
        <v>2524</v>
      </c>
      <c r="K4" s="207" t="s">
        <v>2181</v>
      </c>
      <c r="L4" s="207" t="s">
        <v>11</v>
      </c>
    </row>
    <row r="5" spans="1:12">
      <c r="A5" s="209" t="s">
        <v>2184</v>
      </c>
      <c r="B5" s="209" t="s">
        <v>2237</v>
      </c>
      <c r="C5" s="209" t="s">
        <v>2221</v>
      </c>
      <c r="D5" s="209" t="s">
        <v>2227</v>
      </c>
      <c r="E5" s="209" t="s">
        <v>332</v>
      </c>
      <c r="F5" s="209" t="s">
        <v>79</v>
      </c>
      <c r="G5" s="209">
        <v>6</v>
      </c>
      <c r="H5" s="209">
        <f>COUNTIF('62_T2_Evaluaciones'!B:B,A5)</f>
        <v>4</v>
      </c>
      <c r="I5" s="209">
        <f>SUMIF('62_T2_Evaluaciones'!B:B,A5,'62_T2_Evaluaciones'!F:F)</f>
        <v>100</v>
      </c>
      <c r="J5" s="209">
        <f>SUMIF('62_T2_Evaluaciones'!B:B,A5,'62_T2_Evaluaciones'!K:K)</f>
        <v>0</v>
      </c>
      <c r="K5" s="209" t="str">
        <f>IF(J5&lt;2,"Crítico",IF(J5&lt;4,"Alto","Controlado"))</f>
        <v>Crítico</v>
      </c>
      <c r="L5" s="209"/>
    </row>
    <row r="6" spans="1:12">
      <c r="A6" s="209" t="s">
        <v>2189</v>
      </c>
      <c r="B6" s="209" t="s">
        <v>2238</v>
      </c>
      <c r="C6" s="209" t="s">
        <v>2221</v>
      </c>
      <c r="D6" s="209" t="s">
        <v>2228</v>
      </c>
      <c r="E6" s="209" t="s">
        <v>1289</v>
      </c>
      <c r="F6" s="209" t="s">
        <v>79</v>
      </c>
      <c r="G6" s="209">
        <v>3</v>
      </c>
      <c r="H6" s="209">
        <f>COUNTIF('62_T2_Evaluaciones'!B:B,A6)</f>
        <v>5</v>
      </c>
      <c r="I6" s="209">
        <f>SUMIF('62_T2_Evaluaciones'!B:B,A6,'62_T2_Evaluaciones'!F:F)</f>
        <v>100</v>
      </c>
      <c r="J6" s="209">
        <f>SUMIF('62_T2_Evaluaciones'!B:B,A6,'62_T2_Evaluaciones'!K:K)</f>
        <v>0</v>
      </c>
      <c r="K6" s="209" t="str">
        <f>IF(J6&lt;2,"Crítico",IF(J6&lt;4,"Alto","Controlado"))</f>
        <v>Crítico</v>
      </c>
      <c r="L6" s="209"/>
    </row>
    <row r="7" spans="1:12">
      <c r="A7" s="209" t="s">
        <v>35</v>
      </c>
      <c r="B7" s="209" t="s">
        <v>2239</v>
      </c>
      <c r="C7" s="209" t="s">
        <v>2222</v>
      </c>
      <c r="D7" s="209" t="s">
        <v>2227</v>
      </c>
      <c r="E7" s="209" t="s">
        <v>332</v>
      </c>
      <c r="F7" s="209" t="s">
        <v>79</v>
      </c>
      <c r="G7" s="209">
        <v>6</v>
      </c>
      <c r="H7" s="209">
        <f>COUNTIF('62_T2_Evaluaciones'!B:B,A7)</f>
        <v>4</v>
      </c>
      <c r="I7" s="209">
        <f>SUMIF('62_T2_Evaluaciones'!B:B,A7,'62_T2_Evaluaciones'!F:F)</f>
        <v>100</v>
      </c>
      <c r="J7" s="209">
        <f>SUMIF('62_T2_Evaluaciones'!B:B,A7,'62_T2_Evaluaciones'!K:K)</f>
        <v>0</v>
      </c>
      <c r="K7" s="209" t="str">
        <f>IF(J7&lt;2,"Crítico",IF(J7&lt;4,"Alto","Controlado"))</f>
        <v>Crítico</v>
      </c>
      <c r="L7" s="209"/>
    </row>
    <row r="8" spans="1:12">
      <c r="A8" s="209" t="s">
        <v>2199</v>
      </c>
      <c r="B8" s="209" t="s">
        <v>2240</v>
      </c>
      <c r="C8" s="209" t="s">
        <v>2223</v>
      </c>
      <c r="D8" s="209" t="s">
        <v>2227</v>
      </c>
      <c r="E8" s="209" t="s">
        <v>332</v>
      </c>
      <c r="F8" s="209" t="s">
        <v>79</v>
      </c>
      <c r="G8" s="209">
        <v>6</v>
      </c>
      <c r="H8" s="209">
        <f>COUNTIF('62_T2_Evaluaciones'!B:B,A8)</f>
        <v>7</v>
      </c>
      <c r="I8" s="209">
        <f>SUMIF('62_T2_Evaluaciones'!B:B,A8,'62_T2_Evaluaciones'!F:F)</f>
        <v>100</v>
      </c>
      <c r="J8" s="209">
        <f>SUMIF('62_T2_Evaluaciones'!B:B,A8,'62_T2_Evaluaciones'!K:K)</f>
        <v>0</v>
      </c>
      <c r="K8" s="209" t="str">
        <f>IF(J8&lt;2,"Crítico",IF(J8&lt;4,"Alto","Controlado"))</f>
        <v>Crítico</v>
      </c>
      <c r="L8" s="209"/>
    </row>
  </sheetData>
  <mergeCells count="2">
    <mergeCell ref="A1:I1"/>
    <mergeCell ref="A2:L2"/>
  </mergeCells>
  <conditionalFormatting sqref="B17">
    <cfRule type="expression" dxfId="720" priority="7">
      <formula>ISNUMBER(SEARCH("🔴",B17))</formula>
    </cfRule>
    <cfRule type="expression" dxfId="719" priority="8">
      <formula>ISNUMBER(SEARCH("🟡",B17))</formula>
    </cfRule>
    <cfRule type="expression" dxfId="718" priority="9">
      <formula>ISNUMBER(SEARCH("🟢",B17))</formula>
    </cfRule>
  </conditionalFormatting>
  <conditionalFormatting sqref="I5:I20">
    <cfRule type="expression" dxfId="717" priority="1">
      <formula>ISNUMBER(SEARCH("🔴",I5))</formula>
    </cfRule>
    <cfRule type="expression" dxfId="716" priority="2">
      <formula>ISNUMBER(SEARCH("🟡",I5))</formula>
    </cfRule>
    <cfRule type="expression" dxfId="715" priority="3">
      <formula>ISNUMBER(SEARCH("🟢",I5))</formula>
    </cfRule>
  </conditionalFormatting>
  <conditionalFormatting sqref="K5:K8">
    <cfRule type="expression" dxfId="714" priority="10">
      <formula>OR(K5="Crítico",K5="Vencido",K5="Alto")</formula>
    </cfRule>
    <cfRule type="expression" dxfId="713" priority="11">
      <formula>OR(K5="Atención",K5="Vigilar",K5="Próximo")</formula>
    </cfRule>
    <cfRule type="expression" dxfId="712" priority="12">
      <formula>OR(K5="Controlado",K5="Activo",K5="Vigente",K5="Completado")</formula>
    </cfRule>
  </conditionalFormatting>
  <conditionalFormatting sqref="K5:K20">
    <cfRule type="expression" dxfId="711" priority="4">
      <formula>ISNUMBER(SEARCH("🔴",K5))</formula>
    </cfRule>
    <cfRule type="expression" dxfId="710" priority="5">
      <formula>ISNUMBER(SEARCH("🟡",K5))</formula>
    </cfRule>
    <cfRule type="expression" dxfId="709" priority="6">
      <formula>ISNUMBER(SEARCH("🟢",K5))</formula>
    </cfRule>
  </conditionalFormatting>
  <dataValidations count="2">
    <dataValidation type="list" allowBlank="1" sqref="I5:I50" xr:uid="{00000000-0002-0000-3400-000000000000}">
      <formula1>"Pendiente,Activo,En riesgo,Cerrado"</formula1>
    </dataValidation>
    <dataValidation type="list" allowBlank="1" sqref="J5:J50" xr:uid="{00000000-0002-0000-3400-000001000000}">
      <formula1>"Alto,Medio,Bajo"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7030A0"/>
  </sheetPr>
  <dimension ref="A1:O24"/>
  <sheetViews>
    <sheetView showGridLines="0" workbookViewId="0"/>
  </sheetViews>
  <sheetFormatPr baseColWidth="10" defaultColWidth="8.7265625" defaultRowHeight="14.5"/>
  <cols>
    <col min="1" max="1" width="6.6328125" customWidth="1"/>
    <col min="2" max="2" width="30" customWidth="1"/>
    <col min="3" max="3" width="7.453125" customWidth="1"/>
    <col min="4" max="4" width="11.08984375" customWidth="1"/>
    <col min="5" max="5" width="34.1796875" customWidth="1"/>
    <col min="6" max="6" width="15" customWidth="1"/>
    <col min="7" max="7" width="12" customWidth="1"/>
    <col min="8" max="8" width="42" customWidth="1"/>
    <col min="9" max="10" width="12" customWidth="1"/>
    <col min="11" max="11" width="28" customWidth="1"/>
    <col min="12" max="12" width="16" customWidth="1"/>
    <col min="13" max="13" width="42" customWidth="1"/>
    <col min="14" max="14" width="32" customWidth="1"/>
    <col min="15" max="15" width="13" customWidth="1"/>
  </cols>
  <sheetData>
    <row r="1" spans="1:15" ht="30" customHeight="1">
      <c r="A1" s="487" t="s">
        <v>2621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</row>
    <row r="2" spans="1:15">
      <c r="A2" s="488" t="s">
        <v>2622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4" spans="1:15">
      <c r="A4" s="207" t="s">
        <v>73</v>
      </c>
      <c r="B4" s="207" t="s">
        <v>2230</v>
      </c>
      <c r="C4" s="207" t="s">
        <v>1115</v>
      </c>
      <c r="D4" s="207" t="s">
        <v>8</v>
      </c>
      <c r="E4" s="207" t="s">
        <v>2623</v>
      </c>
      <c r="F4" s="207" t="s">
        <v>2236</v>
      </c>
      <c r="G4" s="207" t="s">
        <v>13</v>
      </c>
      <c r="H4" s="207" t="s">
        <v>2624</v>
      </c>
      <c r="I4" s="207" t="s">
        <v>655</v>
      </c>
      <c r="J4" s="207" t="s">
        <v>882</v>
      </c>
      <c r="K4" s="207" t="s">
        <v>2450</v>
      </c>
      <c r="L4" s="207" t="s">
        <v>2625</v>
      </c>
      <c r="M4" s="207" t="s">
        <v>2181</v>
      </c>
      <c r="N4" s="207" t="s">
        <v>2626</v>
      </c>
      <c r="O4" s="207" t="s">
        <v>11</v>
      </c>
    </row>
    <row r="5" spans="1:15">
      <c r="A5" s="209" t="s">
        <v>2627</v>
      </c>
      <c r="B5" s="209" t="s">
        <v>2184</v>
      </c>
      <c r="C5" s="209">
        <v>3</v>
      </c>
      <c r="D5" s="209" t="s">
        <v>2459</v>
      </c>
      <c r="E5" s="209" t="s">
        <v>2458</v>
      </c>
      <c r="F5" s="209">
        <v>6</v>
      </c>
      <c r="G5" s="210">
        <v>46194</v>
      </c>
      <c r="H5" s="209" t="s">
        <v>2460</v>
      </c>
      <c r="I5" s="209" t="s">
        <v>49</v>
      </c>
      <c r="J5" s="213"/>
      <c r="K5" s="211" t="str">
        <f t="shared" ref="K5:K24" si="0">IF(J5="","",J5*F5/100)</f>
        <v/>
      </c>
      <c r="L5" s="209">
        <f t="shared" ref="L5:L24" ca="1" si="1">G5-TODAY()</f>
        <v>-12</v>
      </c>
      <c r="M5" s="209" t="str">
        <f t="shared" ref="M5:M24" ca="1" si="2">IF(I5="Completado","Cerrado",IF(L5&lt;0,"Vencido",IF(L5&lt;=3,"Crítico",IF(L5&lt;=7,"Alto","Controlado"))))</f>
        <v>Vencido</v>
      </c>
      <c r="N5" s="209" t="s">
        <v>2628</v>
      </c>
      <c r="O5" s="209"/>
    </row>
    <row r="6" spans="1:15" hidden="1">
      <c r="A6" s="209" t="s">
        <v>2629</v>
      </c>
      <c r="B6" s="209" t="s">
        <v>2184</v>
      </c>
      <c r="C6" s="209">
        <v>7</v>
      </c>
      <c r="D6" s="209" t="s">
        <v>2470</v>
      </c>
      <c r="E6" s="209" t="s">
        <v>2476</v>
      </c>
      <c r="F6" s="209">
        <v>35</v>
      </c>
      <c r="G6" s="210">
        <v>46222</v>
      </c>
      <c r="H6" s="209" t="s">
        <v>2478</v>
      </c>
      <c r="I6" s="209" t="s">
        <v>49</v>
      </c>
      <c r="J6" s="213"/>
      <c r="K6" s="211" t="str">
        <f t="shared" si="0"/>
        <v/>
      </c>
      <c r="L6" s="209">
        <f t="shared" ca="1" si="1"/>
        <v>16</v>
      </c>
      <c r="M6" s="209" t="str">
        <f t="shared" ca="1" si="2"/>
        <v>Controlado</v>
      </c>
      <c r="N6" s="209" t="s">
        <v>2628</v>
      </c>
      <c r="O6" s="209"/>
    </row>
    <row r="7" spans="1:15" hidden="1">
      <c r="A7" s="209" t="s">
        <v>2630</v>
      </c>
      <c r="B7" s="209" t="s">
        <v>2184</v>
      </c>
      <c r="C7" s="209">
        <v>10</v>
      </c>
      <c r="D7" s="209" t="s">
        <v>2459</v>
      </c>
      <c r="E7" s="209" t="s">
        <v>2493</v>
      </c>
      <c r="F7" s="209">
        <v>6</v>
      </c>
      <c r="G7" s="210">
        <v>46243</v>
      </c>
      <c r="H7" s="209" t="s">
        <v>2495</v>
      </c>
      <c r="I7" s="209" t="s">
        <v>49</v>
      </c>
      <c r="J7" s="213"/>
      <c r="K7" s="211" t="str">
        <f t="shared" si="0"/>
        <v/>
      </c>
      <c r="L7" s="209">
        <f t="shared" ca="1" si="1"/>
        <v>37</v>
      </c>
      <c r="M7" s="209" t="str">
        <f t="shared" ca="1" si="2"/>
        <v>Controlado</v>
      </c>
      <c r="N7" s="209" t="s">
        <v>2628</v>
      </c>
      <c r="O7" s="209"/>
    </row>
    <row r="8" spans="1:15" hidden="1">
      <c r="A8" s="209" t="s">
        <v>2631</v>
      </c>
      <c r="B8" s="209" t="s">
        <v>2184</v>
      </c>
      <c r="C8" s="209">
        <v>12</v>
      </c>
      <c r="D8" s="209" t="s">
        <v>389</v>
      </c>
      <c r="E8" s="209" t="s">
        <v>2509</v>
      </c>
      <c r="F8" s="209">
        <v>53</v>
      </c>
      <c r="G8" s="210">
        <v>46257</v>
      </c>
      <c r="H8" s="209" t="s">
        <v>2510</v>
      </c>
      <c r="I8" s="209" t="s">
        <v>49</v>
      </c>
      <c r="J8" s="213"/>
      <c r="K8" s="211" t="str">
        <f t="shared" si="0"/>
        <v/>
      </c>
      <c r="L8" s="209">
        <f t="shared" ca="1" si="1"/>
        <v>51</v>
      </c>
      <c r="M8" s="209" t="str">
        <f t="shared" ca="1" si="2"/>
        <v>Controlado</v>
      </c>
      <c r="N8" s="209" t="s">
        <v>2628</v>
      </c>
      <c r="O8" s="209"/>
    </row>
    <row r="9" spans="1:15">
      <c r="A9" s="209" t="s">
        <v>2632</v>
      </c>
      <c r="B9" s="209" t="s">
        <v>2189</v>
      </c>
      <c r="C9" s="209">
        <v>3</v>
      </c>
      <c r="D9" s="209" t="s">
        <v>2454</v>
      </c>
      <c r="E9" s="209" t="s">
        <v>2453</v>
      </c>
      <c r="F9" s="209">
        <v>15</v>
      </c>
      <c r="G9" s="210">
        <v>46194</v>
      </c>
      <c r="H9" s="209" t="s">
        <v>2456</v>
      </c>
      <c r="I9" s="209" t="s">
        <v>49</v>
      </c>
      <c r="J9" s="213"/>
      <c r="K9" s="211" t="str">
        <f t="shared" si="0"/>
        <v/>
      </c>
      <c r="L9" s="209">
        <f t="shared" ca="1" si="1"/>
        <v>-12</v>
      </c>
      <c r="M9" s="209" t="str">
        <f t="shared" ca="1" si="2"/>
        <v>Vencido</v>
      </c>
      <c r="N9" s="209" t="s">
        <v>2628</v>
      </c>
      <c r="O9" s="209"/>
    </row>
    <row r="10" spans="1:15" hidden="1">
      <c r="A10" s="209" t="s">
        <v>2633</v>
      </c>
      <c r="B10" s="209" t="s">
        <v>2189</v>
      </c>
      <c r="C10" s="209">
        <v>4</v>
      </c>
      <c r="D10" s="209" t="s">
        <v>2454</v>
      </c>
      <c r="E10" s="209" t="s">
        <v>2465</v>
      </c>
      <c r="F10" s="209">
        <v>15</v>
      </c>
      <c r="G10" s="210">
        <v>46201</v>
      </c>
      <c r="H10" s="209" t="s">
        <v>2467</v>
      </c>
      <c r="I10" s="209" t="s">
        <v>49</v>
      </c>
      <c r="J10" s="213"/>
      <c r="K10" s="211" t="str">
        <f t="shared" si="0"/>
        <v/>
      </c>
      <c r="L10" s="209">
        <f t="shared" ca="1" si="1"/>
        <v>-5</v>
      </c>
      <c r="M10" s="209" t="str">
        <f t="shared" ca="1" si="2"/>
        <v>Vencido</v>
      </c>
      <c r="N10" s="209" t="s">
        <v>2628</v>
      </c>
      <c r="O10" s="209"/>
    </row>
    <row r="11" spans="1:15" hidden="1">
      <c r="A11" s="209" t="s">
        <v>2634</v>
      </c>
      <c r="B11" s="209" t="s">
        <v>2189</v>
      </c>
      <c r="C11" s="209">
        <v>8</v>
      </c>
      <c r="D11" s="209" t="s">
        <v>2470</v>
      </c>
      <c r="E11" s="209" t="s">
        <v>2483</v>
      </c>
      <c r="F11" s="209">
        <v>35</v>
      </c>
      <c r="G11" s="210">
        <v>46229</v>
      </c>
      <c r="H11" s="209" t="s">
        <v>2485</v>
      </c>
      <c r="I11" s="209" t="s">
        <v>49</v>
      </c>
      <c r="J11" s="213"/>
      <c r="K11" s="211" t="str">
        <f t="shared" si="0"/>
        <v/>
      </c>
      <c r="L11" s="209">
        <f t="shared" ca="1" si="1"/>
        <v>23</v>
      </c>
      <c r="M11" s="209" t="str">
        <f t="shared" ca="1" si="2"/>
        <v>Controlado</v>
      </c>
      <c r="N11" s="209" t="s">
        <v>2628</v>
      </c>
      <c r="O11" s="209"/>
    </row>
    <row r="12" spans="1:15" hidden="1">
      <c r="A12" s="209" t="s">
        <v>2635</v>
      </c>
      <c r="B12" s="209" t="s">
        <v>2189</v>
      </c>
      <c r="C12" s="209">
        <v>11</v>
      </c>
      <c r="D12" s="209" t="s">
        <v>2470</v>
      </c>
      <c r="E12" s="209" t="s">
        <v>2499</v>
      </c>
      <c r="F12" s="209">
        <v>30</v>
      </c>
      <c r="G12" s="210">
        <v>46250</v>
      </c>
      <c r="H12" s="209" t="s">
        <v>2501</v>
      </c>
      <c r="I12" s="209" t="s">
        <v>49</v>
      </c>
      <c r="J12" s="213"/>
      <c r="K12" s="211" t="str">
        <f t="shared" si="0"/>
        <v/>
      </c>
      <c r="L12" s="209">
        <f t="shared" ca="1" si="1"/>
        <v>44</v>
      </c>
      <c r="M12" s="209" t="str">
        <f t="shared" ca="1" si="2"/>
        <v>Controlado</v>
      </c>
      <c r="N12" s="209" t="s">
        <v>2628</v>
      </c>
      <c r="O12" s="209"/>
    </row>
    <row r="13" spans="1:15" hidden="1">
      <c r="A13" s="209" t="s">
        <v>2636</v>
      </c>
      <c r="B13" s="209" t="s">
        <v>2189</v>
      </c>
      <c r="C13" s="209">
        <v>12</v>
      </c>
      <c r="D13" s="209" t="s">
        <v>2459</v>
      </c>
      <c r="E13" s="209" t="s">
        <v>389</v>
      </c>
      <c r="F13" s="209">
        <v>5</v>
      </c>
      <c r="G13" s="210">
        <v>46257</v>
      </c>
      <c r="H13" s="209" t="s">
        <v>2507</v>
      </c>
      <c r="I13" s="209" t="s">
        <v>49</v>
      </c>
      <c r="J13" s="213"/>
      <c r="K13" s="211" t="str">
        <f t="shared" si="0"/>
        <v/>
      </c>
      <c r="L13" s="209">
        <f t="shared" ca="1" si="1"/>
        <v>51</v>
      </c>
      <c r="M13" s="209" t="str">
        <f t="shared" ca="1" si="2"/>
        <v>Controlado</v>
      </c>
      <c r="N13" s="209" t="s">
        <v>2628</v>
      </c>
      <c r="O13" s="209"/>
    </row>
    <row r="14" spans="1:15" ht="29" hidden="1" customHeight="1">
      <c r="A14" s="209" t="s">
        <v>2637</v>
      </c>
      <c r="B14" s="209" t="s">
        <v>35</v>
      </c>
      <c r="C14" s="209">
        <v>4</v>
      </c>
      <c r="D14" s="209" t="s">
        <v>2454</v>
      </c>
      <c r="E14" s="209" t="s">
        <v>2473</v>
      </c>
      <c r="F14" s="209">
        <v>30</v>
      </c>
      <c r="G14" s="210">
        <v>46201</v>
      </c>
      <c r="H14" s="209" t="s">
        <v>2474</v>
      </c>
      <c r="I14" s="209" t="s">
        <v>49</v>
      </c>
      <c r="J14" s="213"/>
      <c r="K14" s="211" t="str">
        <f t="shared" si="0"/>
        <v/>
      </c>
      <c r="L14" s="209">
        <f t="shared" ca="1" si="1"/>
        <v>-5</v>
      </c>
      <c r="M14" s="209" t="str">
        <f t="shared" ca="1" si="2"/>
        <v>Vencido</v>
      </c>
      <c r="N14" s="209" t="s">
        <v>2628</v>
      </c>
      <c r="O14" s="209"/>
    </row>
    <row r="15" spans="1:15" hidden="1">
      <c r="A15" s="209" t="s">
        <v>2638</v>
      </c>
      <c r="B15" s="209" t="s">
        <v>35</v>
      </c>
      <c r="C15" s="209">
        <v>8</v>
      </c>
      <c r="D15" s="209" t="s">
        <v>2454</v>
      </c>
      <c r="E15" s="209" t="s">
        <v>2490</v>
      </c>
      <c r="F15" s="209">
        <v>30</v>
      </c>
      <c r="G15" s="210">
        <v>46229</v>
      </c>
      <c r="H15" s="209" t="s">
        <v>2491</v>
      </c>
      <c r="I15" s="209" t="s">
        <v>49</v>
      </c>
      <c r="J15" s="213"/>
      <c r="K15" s="211" t="str">
        <f t="shared" si="0"/>
        <v/>
      </c>
      <c r="L15" s="209">
        <f t="shared" ca="1" si="1"/>
        <v>23</v>
      </c>
      <c r="M15" s="209" t="str">
        <f t="shared" ca="1" si="2"/>
        <v>Controlado</v>
      </c>
      <c r="N15" s="209" t="s">
        <v>2628</v>
      </c>
      <c r="O15" s="209"/>
    </row>
    <row r="16" spans="1:15" hidden="1">
      <c r="A16" s="209" t="s">
        <v>2639</v>
      </c>
      <c r="B16" s="209" t="s">
        <v>35</v>
      </c>
      <c r="C16" s="209">
        <v>12</v>
      </c>
      <c r="D16" s="209" t="s">
        <v>2454</v>
      </c>
      <c r="E16" s="209" t="s">
        <v>2515</v>
      </c>
      <c r="F16" s="209">
        <v>30</v>
      </c>
      <c r="G16" s="210">
        <v>46257</v>
      </c>
      <c r="H16" s="209" t="s">
        <v>2516</v>
      </c>
      <c r="I16" s="209" t="s">
        <v>49</v>
      </c>
      <c r="J16" s="213"/>
      <c r="K16" s="211" t="str">
        <f t="shared" si="0"/>
        <v/>
      </c>
      <c r="L16" s="209">
        <f t="shared" ca="1" si="1"/>
        <v>51</v>
      </c>
      <c r="M16" s="209" t="str">
        <f t="shared" ca="1" si="2"/>
        <v>Controlado</v>
      </c>
      <c r="N16" s="209" t="s">
        <v>2628</v>
      </c>
      <c r="O16" s="209"/>
    </row>
    <row r="17" spans="1:15" hidden="1">
      <c r="A17" s="209" t="s">
        <v>2640</v>
      </c>
      <c r="B17" s="209" t="s">
        <v>35</v>
      </c>
      <c r="C17" s="209">
        <v>12</v>
      </c>
      <c r="D17" s="209" t="s">
        <v>2203</v>
      </c>
      <c r="E17" s="209" t="s">
        <v>2518</v>
      </c>
      <c r="F17" s="209">
        <v>10</v>
      </c>
      <c r="G17" s="210">
        <v>46257</v>
      </c>
      <c r="H17" s="209" t="s">
        <v>2519</v>
      </c>
      <c r="I17" s="209" t="s">
        <v>49</v>
      </c>
      <c r="J17" s="213"/>
      <c r="K17" s="211" t="str">
        <f t="shared" si="0"/>
        <v/>
      </c>
      <c r="L17" s="209">
        <f t="shared" ca="1" si="1"/>
        <v>51</v>
      </c>
      <c r="M17" s="209" t="str">
        <f t="shared" ca="1" si="2"/>
        <v>Controlado</v>
      </c>
      <c r="N17" s="209" t="s">
        <v>2628</v>
      </c>
      <c r="O17" s="209"/>
    </row>
    <row r="18" spans="1:15">
      <c r="A18" s="209" t="s">
        <v>2641</v>
      </c>
      <c r="B18" s="209" t="s">
        <v>2199</v>
      </c>
      <c r="C18" s="209">
        <v>3</v>
      </c>
      <c r="D18" s="209" t="s">
        <v>2459</v>
      </c>
      <c r="E18" s="209" t="s">
        <v>2462</v>
      </c>
      <c r="F18" s="209">
        <v>6</v>
      </c>
      <c r="G18" s="210">
        <v>46194</v>
      </c>
      <c r="H18" s="209" t="s">
        <v>2463</v>
      </c>
      <c r="I18" s="209" t="s">
        <v>49</v>
      </c>
      <c r="J18" s="213"/>
      <c r="K18" s="211" t="str">
        <f t="shared" si="0"/>
        <v/>
      </c>
      <c r="L18" s="209">
        <f t="shared" ca="1" si="1"/>
        <v>-12</v>
      </c>
      <c r="M18" s="209" t="str">
        <f t="shared" ca="1" si="2"/>
        <v>Vencido</v>
      </c>
      <c r="N18" s="209" t="s">
        <v>2628</v>
      </c>
      <c r="O18" s="209"/>
    </row>
    <row r="19" spans="1:15" hidden="1">
      <c r="A19" s="209" t="s">
        <v>2642</v>
      </c>
      <c r="B19" s="209" t="s">
        <v>2199</v>
      </c>
      <c r="C19" s="209">
        <v>4</v>
      </c>
      <c r="D19" s="209" t="s">
        <v>2470</v>
      </c>
      <c r="E19" s="209" t="s">
        <v>2469</v>
      </c>
      <c r="F19" s="209">
        <v>35</v>
      </c>
      <c r="G19" s="210">
        <v>46201</v>
      </c>
      <c r="H19" s="209" t="s">
        <v>2471</v>
      </c>
      <c r="I19" s="209" t="s">
        <v>49</v>
      </c>
      <c r="J19" s="213"/>
      <c r="K19" s="211" t="str">
        <f t="shared" si="0"/>
        <v/>
      </c>
      <c r="L19" s="209">
        <f t="shared" ca="1" si="1"/>
        <v>-5</v>
      </c>
      <c r="M19" s="209" t="str">
        <f t="shared" ca="1" si="2"/>
        <v>Vencido</v>
      </c>
      <c r="N19" s="209" t="s">
        <v>2628</v>
      </c>
      <c r="O19" s="209"/>
    </row>
    <row r="20" spans="1:15" hidden="1">
      <c r="A20" s="209" t="s">
        <v>2643</v>
      </c>
      <c r="B20" s="209" t="s">
        <v>2199</v>
      </c>
      <c r="C20" s="209">
        <v>7</v>
      </c>
      <c r="D20" s="209" t="s">
        <v>2470</v>
      </c>
      <c r="E20" s="209" t="s">
        <v>2480</v>
      </c>
      <c r="F20" s="209">
        <v>35</v>
      </c>
      <c r="G20" s="210">
        <v>46222</v>
      </c>
      <c r="H20" s="209" t="s">
        <v>2481</v>
      </c>
      <c r="I20" s="209" t="s">
        <v>49</v>
      </c>
      <c r="J20" s="213"/>
      <c r="K20" s="211" t="str">
        <f t="shared" si="0"/>
        <v/>
      </c>
      <c r="L20" s="209">
        <f t="shared" ca="1" si="1"/>
        <v>16</v>
      </c>
      <c r="M20" s="209" t="str">
        <f t="shared" ca="1" si="2"/>
        <v>Controlado</v>
      </c>
      <c r="N20" s="209" t="s">
        <v>2628</v>
      </c>
      <c r="O20" s="209"/>
    </row>
    <row r="21" spans="1:15" hidden="1">
      <c r="A21" s="209" t="s">
        <v>2644</v>
      </c>
      <c r="B21" s="209" t="s">
        <v>2199</v>
      </c>
      <c r="C21" s="209">
        <v>8</v>
      </c>
      <c r="D21" s="209" t="s">
        <v>2459</v>
      </c>
      <c r="E21" s="209" t="s">
        <v>2487</v>
      </c>
      <c r="F21" s="209">
        <v>6</v>
      </c>
      <c r="G21" s="210">
        <v>46229</v>
      </c>
      <c r="H21" s="209" t="s">
        <v>2488</v>
      </c>
      <c r="I21" s="209" t="s">
        <v>49</v>
      </c>
      <c r="J21" s="213"/>
      <c r="K21" s="211" t="str">
        <f t="shared" si="0"/>
        <v/>
      </c>
      <c r="L21" s="209">
        <f t="shared" ca="1" si="1"/>
        <v>23</v>
      </c>
      <c r="M21" s="209" t="str">
        <f t="shared" ca="1" si="2"/>
        <v>Controlado</v>
      </c>
      <c r="N21" s="209" t="s">
        <v>2628</v>
      </c>
      <c r="O21" s="209"/>
    </row>
    <row r="22" spans="1:15" hidden="1">
      <c r="A22" s="209" t="s">
        <v>2645</v>
      </c>
      <c r="B22" s="209" t="s">
        <v>2199</v>
      </c>
      <c r="C22" s="209">
        <v>10</v>
      </c>
      <c r="D22" s="209" t="s">
        <v>2459</v>
      </c>
      <c r="E22" s="209" t="s">
        <v>2497</v>
      </c>
      <c r="F22" s="209">
        <v>6</v>
      </c>
      <c r="G22" s="210">
        <v>46243</v>
      </c>
      <c r="H22" s="209" t="s">
        <v>2497</v>
      </c>
      <c r="I22" s="209" t="s">
        <v>49</v>
      </c>
      <c r="J22" s="213"/>
      <c r="K22" s="211" t="str">
        <f t="shared" si="0"/>
        <v/>
      </c>
      <c r="L22" s="209">
        <f t="shared" ca="1" si="1"/>
        <v>37</v>
      </c>
      <c r="M22" s="209" t="str">
        <f t="shared" ca="1" si="2"/>
        <v>Controlado</v>
      </c>
      <c r="N22" s="209" t="s">
        <v>2628</v>
      </c>
      <c r="O22" s="209"/>
    </row>
    <row r="23" spans="1:15" hidden="1">
      <c r="A23" s="209" t="s">
        <v>2646</v>
      </c>
      <c r="B23" s="209" t="s">
        <v>2199</v>
      </c>
      <c r="C23" s="209">
        <v>11</v>
      </c>
      <c r="D23" s="209" t="s">
        <v>2459</v>
      </c>
      <c r="E23" s="209" t="s">
        <v>2503</v>
      </c>
      <c r="F23" s="209">
        <v>6</v>
      </c>
      <c r="G23" s="210">
        <v>46250</v>
      </c>
      <c r="H23" s="209" t="s">
        <v>2504</v>
      </c>
      <c r="I23" s="209" t="s">
        <v>49</v>
      </c>
      <c r="J23" s="213"/>
      <c r="K23" s="211" t="str">
        <f t="shared" si="0"/>
        <v/>
      </c>
      <c r="L23" s="209">
        <f t="shared" ca="1" si="1"/>
        <v>44</v>
      </c>
      <c r="M23" s="209" t="str">
        <f t="shared" ca="1" si="2"/>
        <v>Controlado</v>
      </c>
      <c r="N23" s="209" t="s">
        <v>2628</v>
      </c>
      <c r="O23" s="209"/>
    </row>
    <row r="24" spans="1:15" hidden="1">
      <c r="A24" s="209" t="s">
        <v>2647</v>
      </c>
      <c r="B24" s="209" t="s">
        <v>2199</v>
      </c>
      <c r="C24" s="209">
        <v>12</v>
      </c>
      <c r="D24" s="209" t="s">
        <v>2459</v>
      </c>
      <c r="E24" s="209" t="s">
        <v>2512</v>
      </c>
      <c r="F24" s="209">
        <v>6</v>
      </c>
      <c r="G24" s="210">
        <v>46257</v>
      </c>
      <c r="H24" s="209" t="s">
        <v>2513</v>
      </c>
      <c r="I24" s="209" t="s">
        <v>49</v>
      </c>
      <c r="J24" s="213"/>
      <c r="K24" s="211" t="str">
        <f t="shared" si="0"/>
        <v/>
      </c>
      <c r="L24" s="209">
        <f t="shared" ca="1" si="1"/>
        <v>51</v>
      </c>
      <c r="M24" s="209" t="str">
        <f t="shared" ca="1" si="2"/>
        <v>Controlado</v>
      </c>
      <c r="N24" s="209" t="s">
        <v>2628</v>
      </c>
      <c r="O24" s="209"/>
    </row>
  </sheetData>
  <mergeCells count="2">
    <mergeCell ref="A1:O1"/>
    <mergeCell ref="A2:N2"/>
  </mergeCells>
  <conditionalFormatting sqref="M4:M28">
    <cfRule type="expression" dxfId="708" priority="1">
      <formula>M4="Crítico"</formula>
    </cfRule>
    <cfRule type="expression" dxfId="707" priority="2">
      <formula>M4="Alto"</formula>
    </cfRule>
    <cfRule type="expression" dxfId="706" priority="3">
      <formula>M4="Controlado"</formula>
    </cfRule>
  </conditionalFormatting>
  <conditionalFormatting sqref="M5:M24">
    <cfRule type="expression" dxfId="705" priority="4">
      <formula>OR(M5="Crítico",M5="Vencido",M5="Alto")</formula>
    </cfRule>
    <cfRule type="expression" dxfId="704" priority="5">
      <formula>OR(M5="Atención",M5="Vigilar",M5="Próximo")</formula>
    </cfRule>
    <cfRule type="expression" dxfId="703" priority="6">
      <formula>OR(M5="Controlado",M5="Activo",M5="Vigente",M5="Completado")</formula>
    </cfRule>
  </conditionalFormatting>
  <dataValidations count="7">
    <dataValidation type="list" allowBlank="1" sqref="D5:D100" xr:uid="{00000000-0002-0000-3500-000000000000}">
      <formula1>"Parcial,Trabajo,Control,Foro,Portafolio,Proyecto,Examen,Otro"</formula1>
    </dataValidation>
    <dataValidation type="list" allowBlank="1" sqref="G5:G100" xr:uid="{00000000-0002-0000-3500-000001000000}">
      <formula1>"Pendiente,En preparación,Lista,Rendida"</formula1>
    </dataValidation>
    <dataValidation type="list" allowBlank="1" sqref="J5:J100" xr:uid="{00000000-0002-0000-3500-000002000000}">
      <formula1>"Pendiente,En proceso,Rendida,Atrasada,Cerrada"</formula1>
    </dataValidation>
    <dataValidation type="list" allowBlank="1" sqref="K5:K100" xr:uid="{00000000-0002-0000-3500-000003000000}">
      <formula1>"Alta,Media,Baja"</formula1>
    </dataValidation>
    <dataValidation type="list" sqref="I4:I28" xr:uid="{00000000-0002-0000-3500-000004000000}">
      <formula1>"Pendiente,En proceso,Completado,Reprogramado"</formula1>
    </dataValidation>
    <dataValidation type="decimal" allowBlank="1" sqref="J4:J28" xr:uid="{00000000-0002-0000-3500-000005000000}">
      <formula1>1</formula1>
      <formula2>7</formula2>
    </dataValidation>
    <dataValidation type="list" allowBlank="1" sqref="I5:I24" xr:uid="{00000000-0002-0000-3500-000006000000}">
      <formula1>"Pendiente,En proceso,Completado,Reprogramado"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030A0"/>
  </sheetPr>
  <dimension ref="A1:N100"/>
  <sheetViews>
    <sheetView showGridLines="0" workbookViewId="0"/>
  </sheetViews>
  <sheetFormatPr baseColWidth="10" defaultColWidth="8.7265625" defaultRowHeight="14.5"/>
  <cols>
    <col min="1" max="1" width="7.453125" customWidth="1"/>
    <col min="2" max="2" width="10.08984375" customWidth="1"/>
    <col min="3" max="3" width="8.90625" customWidth="1"/>
    <col min="4" max="4" width="10.54296875" customWidth="1"/>
    <col min="5" max="5" width="27.36328125" customWidth="1"/>
    <col min="6" max="6" width="28.453125" customWidth="1"/>
    <col min="7" max="8" width="12" customWidth="1"/>
    <col min="9" max="9" width="39.08984375" customWidth="1"/>
    <col min="10" max="10" width="7" customWidth="1"/>
    <col min="11" max="11" width="14.54296875" customWidth="1"/>
    <col min="12" max="12" width="52.1796875" customWidth="1"/>
    <col min="13" max="13" width="24" customWidth="1"/>
    <col min="14" max="14" width="12" customWidth="1"/>
  </cols>
  <sheetData>
    <row r="1" spans="1:14" ht="30" customHeight="1">
      <c r="A1" s="487" t="s">
        <v>2648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4">
      <c r="A2" s="488" t="s">
        <v>2649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4" spans="1:14">
      <c r="A4" s="207" t="s">
        <v>1115</v>
      </c>
      <c r="B4" s="207" t="s">
        <v>13</v>
      </c>
      <c r="C4" s="207" t="s">
        <v>2232</v>
      </c>
      <c r="D4" s="207" t="s">
        <v>2233</v>
      </c>
      <c r="E4" s="207" t="s">
        <v>2650</v>
      </c>
      <c r="F4" s="207" t="s">
        <v>421</v>
      </c>
      <c r="G4" s="207" t="s">
        <v>248</v>
      </c>
      <c r="H4" s="207" t="s">
        <v>655</v>
      </c>
      <c r="I4" s="207" t="s">
        <v>2651</v>
      </c>
      <c r="J4" s="207" t="s">
        <v>338</v>
      </c>
      <c r="K4" s="207" t="s">
        <v>1237</v>
      </c>
      <c r="L4" s="207" t="s">
        <v>1934</v>
      </c>
    </row>
    <row r="5" spans="1:14">
      <c r="A5" s="209">
        <v>1</v>
      </c>
      <c r="B5" s="210">
        <v>46174</v>
      </c>
      <c r="C5" s="209" t="s">
        <v>2220</v>
      </c>
      <c r="D5" s="209" t="s">
        <v>2652</v>
      </c>
      <c r="E5" s="209" t="s">
        <v>2184</v>
      </c>
      <c r="F5" s="209" t="s">
        <v>2653</v>
      </c>
      <c r="G5" s="209" t="s">
        <v>332</v>
      </c>
      <c r="H5" s="209" t="s">
        <v>2654</v>
      </c>
      <c r="I5" s="209" t="s">
        <v>2655</v>
      </c>
      <c r="J5" s="209" t="s">
        <v>332</v>
      </c>
      <c r="K5" s="222">
        <f t="shared" ref="K5:K20" si="0">IF(H5="Completado",100,IF(H5="En proceso",50,0))</f>
        <v>100</v>
      </c>
      <c r="L5" s="209" t="s">
        <v>2656</v>
      </c>
    </row>
    <row r="6" spans="1:14">
      <c r="A6" s="209">
        <v>1</v>
      </c>
      <c r="B6" s="210">
        <v>46175</v>
      </c>
      <c r="C6" s="209" t="s">
        <v>2221</v>
      </c>
      <c r="D6" s="209" t="s">
        <v>2657</v>
      </c>
      <c r="E6" s="209" t="s">
        <v>2184</v>
      </c>
      <c r="F6" s="209" t="s">
        <v>2658</v>
      </c>
      <c r="G6" s="209" t="s">
        <v>332</v>
      </c>
      <c r="H6" s="209" t="s">
        <v>2654</v>
      </c>
      <c r="I6" s="209" t="s">
        <v>2655</v>
      </c>
      <c r="J6" s="209" t="s">
        <v>332</v>
      </c>
      <c r="K6" s="222">
        <f t="shared" si="0"/>
        <v>100</v>
      </c>
      <c r="L6" s="209" t="s">
        <v>2656</v>
      </c>
    </row>
    <row r="7" spans="1:14">
      <c r="A7" s="209">
        <v>1</v>
      </c>
      <c r="B7" s="210">
        <v>46176</v>
      </c>
      <c r="C7" s="209" t="s">
        <v>2222</v>
      </c>
      <c r="D7" s="209" t="s">
        <v>2657</v>
      </c>
      <c r="E7" s="209" t="s">
        <v>35</v>
      </c>
      <c r="F7" s="209" t="s">
        <v>2659</v>
      </c>
      <c r="G7" s="209" t="s">
        <v>332</v>
      </c>
      <c r="H7" s="209" t="s">
        <v>2654</v>
      </c>
      <c r="I7" s="209" t="s">
        <v>2655</v>
      </c>
      <c r="J7" s="209" t="s">
        <v>332</v>
      </c>
      <c r="K7" s="222">
        <f t="shared" si="0"/>
        <v>100</v>
      </c>
      <c r="L7" s="209" t="s">
        <v>2656</v>
      </c>
    </row>
    <row r="8" spans="1:14">
      <c r="A8" s="209">
        <v>1</v>
      </c>
      <c r="B8" s="210">
        <v>46177</v>
      </c>
      <c r="C8" s="209" t="s">
        <v>2223</v>
      </c>
      <c r="D8" s="209" t="s">
        <v>2657</v>
      </c>
      <c r="E8" s="209" t="s">
        <v>2199</v>
      </c>
      <c r="F8" s="209" t="s">
        <v>2660</v>
      </c>
      <c r="G8" s="209" t="s">
        <v>332</v>
      </c>
      <c r="H8" s="209" t="s">
        <v>2654</v>
      </c>
      <c r="I8" s="209" t="s">
        <v>2661</v>
      </c>
      <c r="J8" s="209" t="s">
        <v>332</v>
      </c>
      <c r="K8" s="222">
        <f t="shared" si="0"/>
        <v>100</v>
      </c>
      <c r="L8" s="209" t="s">
        <v>2662</v>
      </c>
    </row>
    <row r="9" spans="1:14">
      <c r="A9" s="209">
        <v>1</v>
      </c>
      <c r="B9" s="210">
        <v>46178</v>
      </c>
      <c r="C9" s="209" t="s">
        <v>2224</v>
      </c>
      <c r="D9" s="209" t="s">
        <v>2652</v>
      </c>
      <c r="E9" s="209" t="s">
        <v>2199</v>
      </c>
      <c r="F9" s="209" t="s">
        <v>2663</v>
      </c>
      <c r="G9" s="209" t="s">
        <v>332</v>
      </c>
      <c r="H9" s="209" t="s">
        <v>2654</v>
      </c>
      <c r="I9" s="209" t="s">
        <v>2655</v>
      </c>
      <c r="J9" s="209" t="s">
        <v>1289</v>
      </c>
      <c r="K9" s="222">
        <f t="shared" si="0"/>
        <v>100</v>
      </c>
      <c r="L9" s="209" t="s">
        <v>2664</v>
      </c>
    </row>
    <row r="10" spans="1:14">
      <c r="A10" s="209">
        <v>1</v>
      </c>
      <c r="B10" s="210">
        <v>46179</v>
      </c>
      <c r="C10" s="209" t="s">
        <v>2225</v>
      </c>
      <c r="D10" s="209" t="s">
        <v>2665</v>
      </c>
      <c r="E10" s="209" t="s">
        <v>35</v>
      </c>
      <c r="F10" s="209" t="s">
        <v>2666</v>
      </c>
      <c r="G10" s="209" t="s">
        <v>332</v>
      </c>
      <c r="H10" s="209" t="s">
        <v>2654</v>
      </c>
      <c r="I10" s="209" t="s">
        <v>2655</v>
      </c>
      <c r="J10" s="209" t="s">
        <v>1289</v>
      </c>
      <c r="K10" s="222">
        <f t="shared" si="0"/>
        <v>100</v>
      </c>
      <c r="L10" s="209" t="s">
        <v>2664</v>
      </c>
    </row>
    <row r="11" spans="1:14">
      <c r="A11" s="209">
        <v>1</v>
      </c>
      <c r="B11" s="210">
        <v>46179</v>
      </c>
      <c r="C11" s="209" t="s">
        <v>2225</v>
      </c>
      <c r="D11" s="209" t="s">
        <v>2667</v>
      </c>
      <c r="E11" s="209" t="s">
        <v>2189</v>
      </c>
      <c r="F11" s="209" t="s">
        <v>2668</v>
      </c>
      <c r="G11" s="209" t="s">
        <v>1289</v>
      </c>
      <c r="H11" s="209" t="s">
        <v>2654</v>
      </c>
      <c r="I11" s="209" t="s">
        <v>2655</v>
      </c>
      <c r="J11" s="209" t="s">
        <v>2006</v>
      </c>
      <c r="K11" s="222">
        <f t="shared" si="0"/>
        <v>100</v>
      </c>
      <c r="L11" s="209" t="s">
        <v>2664</v>
      </c>
    </row>
    <row r="12" spans="1:14">
      <c r="A12" s="209">
        <v>1</v>
      </c>
      <c r="B12" s="210">
        <v>46180</v>
      </c>
      <c r="C12" s="209" t="s">
        <v>2226</v>
      </c>
      <c r="D12" s="209" t="s">
        <v>2669</v>
      </c>
      <c r="E12" s="209" t="s">
        <v>2670</v>
      </c>
      <c r="F12" s="209" t="s">
        <v>2671</v>
      </c>
      <c r="G12" s="209" t="s">
        <v>1907</v>
      </c>
      <c r="H12" s="209" t="s">
        <v>2654</v>
      </c>
      <c r="I12" s="209" t="s">
        <v>2672</v>
      </c>
      <c r="J12" s="209" t="s">
        <v>332</v>
      </c>
      <c r="K12" s="222">
        <f t="shared" si="0"/>
        <v>100</v>
      </c>
      <c r="L12" s="209" t="s">
        <v>2673</v>
      </c>
    </row>
    <row r="13" spans="1:14">
      <c r="A13" s="209">
        <v>2</v>
      </c>
      <c r="B13" s="210">
        <v>46181</v>
      </c>
      <c r="C13" s="209" t="s">
        <v>2220</v>
      </c>
      <c r="D13" s="209" t="s">
        <v>2652</v>
      </c>
      <c r="E13" s="209" t="s">
        <v>2184</v>
      </c>
      <c r="F13" s="209" t="s">
        <v>2653</v>
      </c>
      <c r="G13" s="209" t="s">
        <v>332</v>
      </c>
      <c r="H13" s="209" t="s">
        <v>2654</v>
      </c>
      <c r="I13" s="209" t="s">
        <v>2655</v>
      </c>
      <c r="J13" s="209" t="s">
        <v>2006</v>
      </c>
      <c r="K13" s="222">
        <f t="shared" si="0"/>
        <v>100</v>
      </c>
      <c r="L13" s="209" t="s">
        <v>2664</v>
      </c>
    </row>
    <row r="14" spans="1:14">
      <c r="A14" s="209">
        <v>2</v>
      </c>
      <c r="B14" s="210">
        <v>46182</v>
      </c>
      <c r="C14" s="209" t="s">
        <v>2221</v>
      </c>
      <c r="D14" s="209" t="s">
        <v>2657</v>
      </c>
      <c r="E14" s="209" t="s">
        <v>2184</v>
      </c>
      <c r="F14" s="209" t="s">
        <v>2658</v>
      </c>
      <c r="G14" s="209" t="s">
        <v>332</v>
      </c>
      <c r="H14" s="209" t="s">
        <v>2654</v>
      </c>
      <c r="I14" s="209" t="s">
        <v>2655</v>
      </c>
      <c r="J14" s="209" t="s">
        <v>2006</v>
      </c>
      <c r="K14" s="222">
        <f t="shared" si="0"/>
        <v>100</v>
      </c>
      <c r="L14" s="209" t="s">
        <v>2664</v>
      </c>
    </row>
    <row r="15" spans="1:14">
      <c r="A15" s="209">
        <v>2</v>
      </c>
      <c r="B15" s="210">
        <v>46183</v>
      </c>
      <c r="C15" s="209" t="s">
        <v>2222</v>
      </c>
      <c r="D15" s="209" t="s">
        <v>2657</v>
      </c>
      <c r="E15" s="209" t="s">
        <v>35</v>
      </c>
      <c r="F15" s="209" t="s">
        <v>2659</v>
      </c>
      <c r="G15" s="209" t="s">
        <v>332</v>
      </c>
      <c r="H15" s="209" t="s">
        <v>2654</v>
      </c>
      <c r="I15" s="209" t="s">
        <v>2655</v>
      </c>
      <c r="J15" s="209" t="s">
        <v>2006</v>
      </c>
      <c r="K15" s="222">
        <f t="shared" si="0"/>
        <v>100</v>
      </c>
      <c r="L15" s="209" t="s">
        <v>2664</v>
      </c>
    </row>
    <row r="16" spans="1:14">
      <c r="A16" s="209">
        <v>2</v>
      </c>
      <c r="B16" s="210">
        <v>46184</v>
      </c>
      <c r="C16" s="209" t="s">
        <v>2223</v>
      </c>
      <c r="D16" s="209" t="s">
        <v>2657</v>
      </c>
      <c r="E16" s="209" t="s">
        <v>2199</v>
      </c>
      <c r="F16" s="209" t="s">
        <v>2660</v>
      </c>
      <c r="G16" s="209" t="s">
        <v>332</v>
      </c>
      <c r="H16" s="209" t="s">
        <v>2654</v>
      </c>
      <c r="I16" s="209" t="s">
        <v>2655</v>
      </c>
      <c r="J16" s="209" t="s">
        <v>2006</v>
      </c>
      <c r="K16" s="222">
        <f t="shared" si="0"/>
        <v>100</v>
      </c>
      <c r="L16" s="209" t="s">
        <v>2664</v>
      </c>
    </row>
    <row r="17" spans="1:12">
      <c r="A17" s="209">
        <v>2</v>
      </c>
      <c r="B17" s="210">
        <v>46185</v>
      </c>
      <c r="C17" s="209" t="s">
        <v>2224</v>
      </c>
      <c r="D17" s="209" t="s">
        <v>2652</v>
      </c>
      <c r="E17" s="209" t="s">
        <v>2199</v>
      </c>
      <c r="F17" s="209" t="s">
        <v>2663</v>
      </c>
      <c r="G17" s="209" t="s">
        <v>332</v>
      </c>
      <c r="H17" s="209" t="s">
        <v>2654</v>
      </c>
      <c r="I17" s="209" t="s">
        <v>2655</v>
      </c>
      <c r="J17" s="209" t="s">
        <v>2006</v>
      </c>
      <c r="K17" s="222">
        <f t="shared" si="0"/>
        <v>100</v>
      </c>
      <c r="L17" s="209" t="s">
        <v>2664</v>
      </c>
    </row>
    <row r="18" spans="1:12">
      <c r="A18" s="209">
        <v>2</v>
      </c>
      <c r="B18" s="210">
        <v>46186</v>
      </c>
      <c r="C18" s="209" t="s">
        <v>2225</v>
      </c>
      <c r="D18" s="209" t="s">
        <v>2665</v>
      </c>
      <c r="E18" s="209" t="s">
        <v>35</v>
      </c>
      <c r="F18" s="209" t="s">
        <v>2666</v>
      </c>
      <c r="G18" s="209" t="s">
        <v>332</v>
      </c>
      <c r="H18" s="209" t="s">
        <v>2654</v>
      </c>
      <c r="I18" s="209" t="s">
        <v>2655</v>
      </c>
      <c r="J18" s="209" t="s">
        <v>2006</v>
      </c>
      <c r="K18" s="222">
        <f t="shared" si="0"/>
        <v>100</v>
      </c>
      <c r="L18" s="209" t="s">
        <v>2664</v>
      </c>
    </row>
    <row r="19" spans="1:12">
      <c r="A19" s="209">
        <v>2</v>
      </c>
      <c r="B19" s="210">
        <v>46186</v>
      </c>
      <c r="C19" s="209" t="s">
        <v>2225</v>
      </c>
      <c r="D19" s="209" t="s">
        <v>2667</v>
      </c>
      <c r="E19" s="209" t="s">
        <v>2189</v>
      </c>
      <c r="F19" s="209" t="s">
        <v>2668</v>
      </c>
      <c r="G19" s="209" t="s">
        <v>1289</v>
      </c>
      <c r="H19" s="209" t="s">
        <v>2654</v>
      </c>
      <c r="I19" s="209" t="s">
        <v>2655</v>
      </c>
      <c r="J19" s="209" t="s">
        <v>2006</v>
      </c>
      <c r="K19" s="222">
        <f t="shared" si="0"/>
        <v>100</v>
      </c>
      <c r="L19" s="209" t="s">
        <v>2664</v>
      </c>
    </row>
    <row r="20" spans="1:12" ht="29" customHeight="1">
      <c r="A20" s="209">
        <v>2</v>
      </c>
      <c r="B20" s="210">
        <v>46187</v>
      </c>
      <c r="C20" s="209" t="s">
        <v>2226</v>
      </c>
      <c r="D20" s="209" t="s">
        <v>2669</v>
      </c>
      <c r="E20" s="209" t="s">
        <v>2670</v>
      </c>
      <c r="F20" s="209" t="s">
        <v>2671</v>
      </c>
      <c r="G20" s="209" t="s">
        <v>1907</v>
      </c>
      <c r="H20" s="209" t="s">
        <v>2654</v>
      </c>
      <c r="I20" s="209" t="s">
        <v>1147</v>
      </c>
      <c r="J20" s="209" t="s">
        <v>332</v>
      </c>
      <c r="K20" s="222">
        <f t="shared" si="0"/>
        <v>100</v>
      </c>
      <c r="L20" s="209" t="s">
        <v>2674</v>
      </c>
    </row>
    <row r="21" spans="1:12">
      <c r="A21" s="209">
        <v>3</v>
      </c>
      <c r="B21" s="210">
        <v>46188</v>
      </c>
      <c r="C21" s="209" t="s">
        <v>2220</v>
      </c>
      <c r="D21" s="209" t="s">
        <v>2652</v>
      </c>
      <c r="E21" s="209" t="s">
        <v>2184</v>
      </c>
      <c r="F21" s="209" t="s">
        <v>2653</v>
      </c>
      <c r="G21" s="209" t="s">
        <v>332</v>
      </c>
      <c r="H21" s="209" t="s">
        <v>49</v>
      </c>
      <c r="I21" s="209" t="s">
        <v>2675</v>
      </c>
      <c r="J21" s="209" t="s">
        <v>332</v>
      </c>
      <c r="K21" s="222">
        <f>IF(H20="Completado",100,IF(H20="En proceso",50,0))</f>
        <v>100</v>
      </c>
      <c r="L21" s="209" t="s">
        <v>2676</v>
      </c>
    </row>
    <row r="22" spans="1:12">
      <c r="A22" s="209">
        <v>3</v>
      </c>
      <c r="B22" s="210">
        <v>46189</v>
      </c>
      <c r="C22" s="209" t="s">
        <v>2221</v>
      </c>
      <c r="D22" s="209" t="s">
        <v>2657</v>
      </c>
      <c r="E22" s="209" t="s">
        <v>2184</v>
      </c>
      <c r="F22" s="209" t="s">
        <v>2658</v>
      </c>
      <c r="G22" s="209" t="s">
        <v>332</v>
      </c>
      <c r="H22" s="209" t="s">
        <v>49</v>
      </c>
      <c r="I22" s="209"/>
      <c r="J22" s="209"/>
      <c r="K22" s="222">
        <f t="shared" ref="K22:K53" si="1">IF(H22="Completado",100,IF(H22="En proceso",50,0))</f>
        <v>0</v>
      </c>
      <c r="L22" s="209"/>
    </row>
    <row r="23" spans="1:12">
      <c r="A23" s="209">
        <v>3</v>
      </c>
      <c r="B23" s="210">
        <v>46190</v>
      </c>
      <c r="C23" s="209" t="s">
        <v>2222</v>
      </c>
      <c r="D23" s="209" t="s">
        <v>2657</v>
      </c>
      <c r="E23" s="209" t="s">
        <v>35</v>
      </c>
      <c r="F23" s="209" t="s">
        <v>2659</v>
      </c>
      <c r="G23" s="209" t="s">
        <v>332</v>
      </c>
      <c r="H23" s="209" t="s">
        <v>49</v>
      </c>
      <c r="I23" s="209"/>
      <c r="J23" s="209"/>
      <c r="K23" s="222">
        <f t="shared" si="1"/>
        <v>0</v>
      </c>
      <c r="L23" s="209"/>
    </row>
    <row r="24" spans="1:12">
      <c r="A24" s="209">
        <v>3</v>
      </c>
      <c r="B24" s="210">
        <v>46191</v>
      </c>
      <c r="C24" s="209" t="s">
        <v>2223</v>
      </c>
      <c r="D24" s="209" t="s">
        <v>2657</v>
      </c>
      <c r="E24" s="209" t="s">
        <v>2199</v>
      </c>
      <c r="F24" s="209" t="s">
        <v>2660</v>
      </c>
      <c r="G24" s="209" t="s">
        <v>332</v>
      </c>
      <c r="H24" s="209" t="s">
        <v>49</v>
      </c>
      <c r="I24" s="209"/>
      <c r="J24" s="209"/>
      <c r="K24" s="222">
        <f t="shared" si="1"/>
        <v>0</v>
      </c>
      <c r="L24" s="209"/>
    </row>
    <row r="25" spans="1:12">
      <c r="A25" s="209">
        <v>3</v>
      </c>
      <c r="B25" s="210">
        <v>46192</v>
      </c>
      <c r="C25" s="209" t="s">
        <v>2224</v>
      </c>
      <c r="D25" s="209" t="s">
        <v>2652</v>
      </c>
      <c r="E25" s="209" t="s">
        <v>2199</v>
      </c>
      <c r="F25" s="209" t="s">
        <v>2663</v>
      </c>
      <c r="G25" s="209" t="s">
        <v>332</v>
      </c>
      <c r="H25" s="209" t="s">
        <v>49</v>
      </c>
      <c r="I25" s="209"/>
      <c r="J25" s="209"/>
      <c r="K25" s="222">
        <f t="shared" si="1"/>
        <v>0</v>
      </c>
      <c r="L25" s="209"/>
    </row>
    <row r="26" spans="1:12">
      <c r="A26" s="209">
        <v>3</v>
      </c>
      <c r="B26" s="210">
        <v>46193</v>
      </c>
      <c r="C26" s="209" t="s">
        <v>2225</v>
      </c>
      <c r="D26" s="209" t="s">
        <v>2665</v>
      </c>
      <c r="E26" s="209" t="s">
        <v>35</v>
      </c>
      <c r="F26" s="209" t="s">
        <v>2666</v>
      </c>
      <c r="G26" s="209" t="s">
        <v>332</v>
      </c>
      <c r="H26" s="209" t="s">
        <v>49</v>
      </c>
      <c r="I26" s="209"/>
      <c r="J26" s="209"/>
      <c r="K26" s="222">
        <f t="shared" si="1"/>
        <v>0</v>
      </c>
      <c r="L26" s="209"/>
    </row>
    <row r="27" spans="1:12">
      <c r="A27" s="209">
        <v>3</v>
      </c>
      <c r="B27" s="210">
        <v>46193</v>
      </c>
      <c r="C27" s="209" t="s">
        <v>2225</v>
      </c>
      <c r="D27" s="209" t="s">
        <v>2667</v>
      </c>
      <c r="E27" s="209" t="s">
        <v>2189</v>
      </c>
      <c r="F27" s="209" t="s">
        <v>2668</v>
      </c>
      <c r="G27" s="209" t="s">
        <v>1289</v>
      </c>
      <c r="H27" s="209" t="s">
        <v>49</v>
      </c>
      <c r="I27" s="209"/>
      <c r="J27" s="209"/>
      <c r="K27" s="222">
        <f t="shared" si="1"/>
        <v>0</v>
      </c>
      <c r="L27" s="209"/>
    </row>
    <row r="28" spans="1:12">
      <c r="A28" s="209">
        <v>3</v>
      </c>
      <c r="B28" s="210">
        <v>46194</v>
      </c>
      <c r="C28" s="209" t="s">
        <v>2226</v>
      </c>
      <c r="D28" s="209" t="s">
        <v>2669</v>
      </c>
      <c r="E28" s="209" t="s">
        <v>2670</v>
      </c>
      <c r="F28" s="209" t="s">
        <v>2671</v>
      </c>
      <c r="G28" s="209" t="s">
        <v>1907</v>
      </c>
      <c r="H28" s="209" t="s">
        <v>49</v>
      </c>
      <c r="I28" s="209"/>
      <c r="J28" s="209"/>
      <c r="K28" s="222">
        <f t="shared" si="1"/>
        <v>0</v>
      </c>
      <c r="L28" s="209"/>
    </row>
    <row r="29" spans="1:12">
      <c r="A29" s="209">
        <v>4</v>
      </c>
      <c r="B29" s="210">
        <v>46195</v>
      </c>
      <c r="C29" s="209" t="s">
        <v>2220</v>
      </c>
      <c r="D29" s="209" t="s">
        <v>2652</v>
      </c>
      <c r="E29" s="209" t="s">
        <v>2184</v>
      </c>
      <c r="F29" s="209" t="s">
        <v>2653</v>
      </c>
      <c r="G29" s="209" t="s">
        <v>332</v>
      </c>
      <c r="H29" s="209" t="s">
        <v>49</v>
      </c>
      <c r="I29" s="209"/>
      <c r="J29" s="209"/>
      <c r="K29" s="222">
        <f t="shared" si="1"/>
        <v>0</v>
      </c>
      <c r="L29" s="209"/>
    </row>
    <row r="30" spans="1:12">
      <c r="A30" s="209">
        <v>4</v>
      </c>
      <c r="B30" s="210">
        <v>46196</v>
      </c>
      <c r="C30" s="209" t="s">
        <v>2221</v>
      </c>
      <c r="D30" s="209" t="s">
        <v>2657</v>
      </c>
      <c r="E30" s="209" t="s">
        <v>2184</v>
      </c>
      <c r="F30" s="209" t="s">
        <v>2658</v>
      </c>
      <c r="G30" s="209" t="s">
        <v>332</v>
      </c>
      <c r="H30" s="209" t="s">
        <v>49</v>
      </c>
      <c r="I30" s="209"/>
      <c r="J30" s="209"/>
      <c r="K30" s="222">
        <f t="shared" si="1"/>
        <v>0</v>
      </c>
      <c r="L30" s="209"/>
    </row>
    <row r="31" spans="1:12">
      <c r="A31" s="209">
        <v>4</v>
      </c>
      <c r="B31" s="210">
        <v>46197</v>
      </c>
      <c r="C31" s="209" t="s">
        <v>2222</v>
      </c>
      <c r="D31" s="209" t="s">
        <v>2657</v>
      </c>
      <c r="E31" s="209" t="s">
        <v>35</v>
      </c>
      <c r="F31" s="209" t="s">
        <v>2659</v>
      </c>
      <c r="G31" s="209" t="s">
        <v>332</v>
      </c>
      <c r="H31" s="209" t="s">
        <v>49</v>
      </c>
      <c r="I31" s="209"/>
      <c r="J31" s="209"/>
      <c r="K31" s="222">
        <f t="shared" si="1"/>
        <v>0</v>
      </c>
      <c r="L31" s="209"/>
    </row>
    <row r="32" spans="1:12">
      <c r="A32" s="209">
        <v>4</v>
      </c>
      <c r="B32" s="210">
        <v>46198</v>
      </c>
      <c r="C32" s="209" t="s">
        <v>2223</v>
      </c>
      <c r="D32" s="209" t="s">
        <v>2657</v>
      </c>
      <c r="E32" s="209" t="s">
        <v>2199</v>
      </c>
      <c r="F32" s="209" t="s">
        <v>2660</v>
      </c>
      <c r="G32" s="209" t="s">
        <v>332</v>
      </c>
      <c r="H32" s="209" t="s">
        <v>49</v>
      </c>
      <c r="I32" s="209"/>
      <c r="J32" s="209"/>
      <c r="K32" s="222">
        <f t="shared" si="1"/>
        <v>0</v>
      </c>
      <c r="L32" s="209"/>
    </row>
    <row r="33" spans="1:12">
      <c r="A33" s="209">
        <v>4</v>
      </c>
      <c r="B33" s="210">
        <v>46199</v>
      </c>
      <c r="C33" s="209" t="s">
        <v>2224</v>
      </c>
      <c r="D33" s="209" t="s">
        <v>2652</v>
      </c>
      <c r="E33" s="209" t="s">
        <v>2199</v>
      </c>
      <c r="F33" s="209" t="s">
        <v>2663</v>
      </c>
      <c r="G33" s="209" t="s">
        <v>332</v>
      </c>
      <c r="H33" s="209" t="s">
        <v>49</v>
      </c>
      <c r="I33" s="209"/>
      <c r="J33" s="209"/>
      <c r="K33" s="222">
        <f t="shared" si="1"/>
        <v>0</v>
      </c>
      <c r="L33" s="209"/>
    </row>
    <row r="34" spans="1:12">
      <c r="A34" s="209">
        <v>4</v>
      </c>
      <c r="B34" s="210">
        <v>46200</v>
      </c>
      <c r="C34" s="209" t="s">
        <v>2225</v>
      </c>
      <c r="D34" s="209" t="s">
        <v>2665</v>
      </c>
      <c r="E34" s="209" t="s">
        <v>35</v>
      </c>
      <c r="F34" s="209" t="s">
        <v>2666</v>
      </c>
      <c r="G34" s="209" t="s">
        <v>332</v>
      </c>
      <c r="H34" s="209" t="s">
        <v>49</v>
      </c>
      <c r="I34" s="209"/>
      <c r="J34" s="209"/>
      <c r="K34" s="222">
        <f t="shared" si="1"/>
        <v>0</v>
      </c>
      <c r="L34" s="209"/>
    </row>
    <row r="35" spans="1:12">
      <c r="A35" s="209">
        <v>4</v>
      </c>
      <c r="B35" s="210">
        <v>46200</v>
      </c>
      <c r="C35" s="209" t="s">
        <v>2225</v>
      </c>
      <c r="D35" s="209" t="s">
        <v>2667</v>
      </c>
      <c r="E35" s="209" t="s">
        <v>2189</v>
      </c>
      <c r="F35" s="209" t="s">
        <v>2668</v>
      </c>
      <c r="G35" s="209" t="s">
        <v>1289</v>
      </c>
      <c r="H35" s="209" t="s">
        <v>49</v>
      </c>
      <c r="I35" s="209"/>
      <c r="J35" s="209"/>
      <c r="K35" s="222">
        <f t="shared" si="1"/>
        <v>0</v>
      </c>
      <c r="L35" s="209"/>
    </row>
    <row r="36" spans="1:12">
      <c r="A36" s="209">
        <v>4</v>
      </c>
      <c r="B36" s="210">
        <v>46201</v>
      </c>
      <c r="C36" s="209" t="s">
        <v>2226</v>
      </c>
      <c r="D36" s="209" t="s">
        <v>2669</v>
      </c>
      <c r="E36" s="209" t="s">
        <v>2670</v>
      </c>
      <c r="F36" s="209" t="s">
        <v>2671</v>
      </c>
      <c r="G36" s="209" t="s">
        <v>1907</v>
      </c>
      <c r="H36" s="209" t="s">
        <v>49</v>
      </c>
      <c r="I36" s="209"/>
      <c r="J36" s="209"/>
      <c r="K36" s="222">
        <f t="shared" si="1"/>
        <v>0</v>
      </c>
      <c r="L36" s="209"/>
    </row>
    <row r="37" spans="1:12">
      <c r="A37" s="209">
        <v>5</v>
      </c>
      <c r="B37" s="210">
        <v>46202</v>
      </c>
      <c r="C37" s="209" t="s">
        <v>2220</v>
      </c>
      <c r="D37" s="209" t="s">
        <v>2652</v>
      </c>
      <c r="E37" s="209" t="s">
        <v>2184</v>
      </c>
      <c r="F37" s="209" t="s">
        <v>2653</v>
      </c>
      <c r="G37" s="209" t="s">
        <v>332</v>
      </c>
      <c r="H37" s="209" t="s">
        <v>49</v>
      </c>
      <c r="I37" s="209"/>
      <c r="J37" s="209"/>
      <c r="K37" s="222">
        <f t="shared" si="1"/>
        <v>0</v>
      </c>
      <c r="L37" s="209"/>
    </row>
    <row r="38" spans="1:12">
      <c r="A38" s="209">
        <v>5</v>
      </c>
      <c r="B38" s="210">
        <v>46203</v>
      </c>
      <c r="C38" s="209" t="s">
        <v>2221</v>
      </c>
      <c r="D38" s="209" t="s">
        <v>2657</v>
      </c>
      <c r="E38" s="209" t="s">
        <v>2184</v>
      </c>
      <c r="F38" s="209" t="s">
        <v>2658</v>
      </c>
      <c r="G38" s="209" t="s">
        <v>332</v>
      </c>
      <c r="H38" s="209" t="s">
        <v>49</v>
      </c>
      <c r="I38" s="209"/>
      <c r="J38" s="209"/>
      <c r="K38" s="222">
        <f t="shared" si="1"/>
        <v>0</v>
      </c>
      <c r="L38" s="209"/>
    </row>
    <row r="39" spans="1:12">
      <c r="A39" s="209">
        <v>5</v>
      </c>
      <c r="B39" s="210">
        <v>46204</v>
      </c>
      <c r="C39" s="209" t="s">
        <v>2222</v>
      </c>
      <c r="D39" s="209" t="s">
        <v>2657</v>
      </c>
      <c r="E39" s="209" t="s">
        <v>35</v>
      </c>
      <c r="F39" s="209" t="s">
        <v>2659</v>
      </c>
      <c r="G39" s="209" t="s">
        <v>332</v>
      </c>
      <c r="H39" s="209" t="s">
        <v>49</v>
      </c>
      <c r="I39" s="209"/>
      <c r="J39" s="209"/>
      <c r="K39" s="222">
        <f t="shared" si="1"/>
        <v>0</v>
      </c>
      <c r="L39" s="209"/>
    </row>
    <row r="40" spans="1:12">
      <c r="A40" s="209">
        <v>5</v>
      </c>
      <c r="B40" s="210">
        <v>46205</v>
      </c>
      <c r="C40" s="209" t="s">
        <v>2223</v>
      </c>
      <c r="D40" s="209" t="s">
        <v>2657</v>
      </c>
      <c r="E40" s="209" t="s">
        <v>2199</v>
      </c>
      <c r="F40" s="209" t="s">
        <v>2660</v>
      </c>
      <c r="G40" s="209" t="s">
        <v>332</v>
      </c>
      <c r="H40" s="209" t="s">
        <v>49</v>
      </c>
      <c r="I40" s="209"/>
      <c r="J40" s="209"/>
      <c r="K40" s="222">
        <f t="shared" si="1"/>
        <v>0</v>
      </c>
      <c r="L40" s="209"/>
    </row>
    <row r="41" spans="1:12">
      <c r="A41" s="209">
        <v>5</v>
      </c>
      <c r="B41" s="210">
        <v>46206</v>
      </c>
      <c r="C41" s="209" t="s">
        <v>2224</v>
      </c>
      <c r="D41" s="209" t="s">
        <v>2652</v>
      </c>
      <c r="E41" s="209" t="s">
        <v>2199</v>
      </c>
      <c r="F41" s="209" t="s">
        <v>2663</v>
      </c>
      <c r="G41" s="209" t="s">
        <v>332</v>
      </c>
      <c r="H41" s="209" t="s">
        <v>49</v>
      </c>
      <c r="I41" s="209"/>
      <c r="J41" s="209"/>
      <c r="K41" s="222">
        <f t="shared" si="1"/>
        <v>0</v>
      </c>
      <c r="L41" s="209"/>
    </row>
    <row r="42" spans="1:12">
      <c r="A42" s="209">
        <v>5</v>
      </c>
      <c r="B42" s="210">
        <v>46207</v>
      </c>
      <c r="C42" s="209" t="s">
        <v>2225</v>
      </c>
      <c r="D42" s="209" t="s">
        <v>2665</v>
      </c>
      <c r="E42" s="209" t="s">
        <v>35</v>
      </c>
      <c r="F42" s="209" t="s">
        <v>2666</v>
      </c>
      <c r="G42" s="209" t="s">
        <v>332</v>
      </c>
      <c r="H42" s="209" t="s">
        <v>49</v>
      </c>
      <c r="I42" s="209"/>
      <c r="J42" s="209"/>
      <c r="K42" s="222">
        <f t="shared" si="1"/>
        <v>0</v>
      </c>
      <c r="L42" s="209"/>
    </row>
    <row r="43" spans="1:12">
      <c r="A43" s="209">
        <v>5</v>
      </c>
      <c r="B43" s="210">
        <v>46207</v>
      </c>
      <c r="C43" s="209" t="s">
        <v>2225</v>
      </c>
      <c r="D43" s="209" t="s">
        <v>2667</v>
      </c>
      <c r="E43" s="209" t="s">
        <v>2189</v>
      </c>
      <c r="F43" s="209" t="s">
        <v>2668</v>
      </c>
      <c r="G43" s="209" t="s">
        <v>1289</v>
      </c>
      <c r="H43" s="209" t="s">
        <v>49</v>
      </c>
      <c r="I43" s="209"/>
      <c r="J43" s="209"/>
      <c r="K43" s="222">
        <f t="shared" si="1"/>
        <v>0</v>
      </c>
      <c r="L43" s="209"/>
    </row>
    <row r="44" spans="1:12">
      <c r="A44" s="209">
        <v>5</v>
      </c>
      <c r="B44" s="210">
        <v>46208</v>
      </c>
      <c r="C44" s="209" t="s">
        <v>2226</v>
      </c>
      <c r="D44" s="209" t="s">
        <v>2669</v>
      </c>
      <c r="E44" s="209" t="s">
        <v>2670</v>
      </c>
      <c r="F44" s="209" t="s">
        <v>2671</v>
      </c>
      <c r="G44" s="209" t="s">
        <v>1907</v>
      </c>
      <c r="H44" s="209" t="s">
        <v>49</v>
      </c>
      <c r="I44" s="209"/>
      <c r="J44" s="209"/>
      <c r="K44" s="222">
        <f t="shared" si="1"/>
        <v>0</v>
      </c>
      <c r="L44" s="209"/>
    </row>
    <row r="45" spans="1:12">
      <c r="A45" s="209">
        <v>6</v>
      </c>
      <c r="B45" s="210">
        <v>46209</v>
      </c>
      <c r="C45" s="209" t="s">
        <v>2220</v>
      </c>
      <c r="D45" s="209" t="s">
        <v>2652</v>
      </c>
      <c r="E45" s="209" t="s">
        <v>2184</v>
      </c>
      <c r="F45" s="209" t="s">
        <v>2653</v>
      </c>
      <c r="G45" s="209" t="s">
        <v>332</v>
      </c>
      <c r="H45" s="209" t="s">
        <v>49</v>
      </c>
      <c r="I45" s="209"/>
      <c r="J45" s="209"/>
      <c r="K45" s="222">
        <f t="shared" si="1"/>
        <v>0</v>
      </c>
      <c r="L45" s="209"/>
    </row>
    <row r="46" spans="1:12">
      <c r="A46" s="209">
        <v>6</v>
      </c>
      <c r="B46" s="210">
        <v>46210</v>
      </c>
      <c r="C46" s="209" t="s">
        <v>2221</v>
      </c>
      <c r="D46" s="209" t="s">
        <v>2657</v>
      </c>
      <c r="E46" s="209" t="s">
        <v>2184</v>
      </c>
      <c r="F46" s="209" t="s">
        <v>2658</v>
      </c>
      <c r="G46" s="209" t="s">
        <v>332</v>
      </c>
      <c r="H46" s="209" t="s">
        <v>49</v>
      </c>
      <c r="I46" s="209"/>
      <c r="J46" s="209"/>
      <c r="K46" s="222">
        <f t="shared" si="1"/>
        <v>0</v>
      </c>
      <c r="L46" s="209"/>
    </row>
    <row r="47" spans="1:12">
      <c r="A47" s="209">
        <v>6</v>
      </c>
      <c r="B47" s="210">
        <v>46211</v>
      </c>
      <c r="C47" s="209" t="s">
        <v>2222</v>
      </c>
      <c r="D47" s="209" t="s">
        <v>2657</v>
      </c>
      <c r="E47" s="209" t="s">
        <v>35</v>
      </c>
      <c r="F47" s="209" t="s">
        <v>2659</v>
      </c>
      <c r="G47" s="209" t="s">
        <v>332</v>
      </c>
      <c r="H47" s="209" t="s">
        <v>49</v>
      </c>
      <c r="I47" s="209"/>
      <c r="J47" s="209"/>
      <c r="K47" s="222">
        <f t="shared" si="1"/>
        <v>0</v>
      </c>
      <c r="L47" s="209"/>
    </row>
    <row r="48" spans="1:12">
      <c r="A48" s="209">
        <v>6</v>
      </c>
      <c r="B48" s="210">
        <v>46212</v>
      </c>
      <c r="C48" s="209" t="s">
        <v>2223</v>
      </c>
      <c r="D48" s="209" t="s">
        <v>2657</v>
      </c>
      <c r="E48" s="209" t="s">
        <v>2199</v>
      </c>
      <c r="F48" s="209" t="s">
        <v>2660</v>
      </c>
      <c r="G48" s="209" t="s">
        <v>332</v>
      </c>
      <c r="H48" s="209" t="s">
        <v>49</v>
      </c>
      <c r="I48" s="209"/>
      <c r="J48" s="209"/>
      <c r="K48" s="222">
        <f t="shared" si="1"/>
        <v>0</v>
      </c>
      <c r="L48" s="209"/>
    </row>
    <row r="49" spans="1:12">
      <c r="A49" s="209">
        <v>6</v>
      </c>
      <c r="B49" s="210">
        <v>46213</v>
      </c>
      <c r="C49" s="209" t="s">
        <v>2224</v>
      </c>
      <c r="D49" s="209" t="s">
        <v>2652</v>
      </c>
      <c r="E49" s="209" t="s">
        <v>2199</v>
      </c>
      <c r="F49" s="209" t="s">
        <v>2663</v>
      </c>
      <c r="G49" s="209" t="s">
        <v>332</v>
      </c>
      <c r="H49" s="209" t="s">
        <v>49</v>
      </c>
      <c r="I49" s="209"/>
      <c r="J49" s="209"/>
      <c r="K49" s="222">
        <f t="shared" si="1"/>
        <v>0</v>
      </c>
      <c r="L49" s="209"/>
    </row>
    <row r="50" spans="1:12">
      <c r="A50" s="209">
        <v>6</v>
      </c>
      <c r="B50" s="210">
        <v>46214</v>
      </c>
      <c r="C50" s="209" t="s">
        <v>2225</v>
      </c>
      <c r="D50" s="209" t="s">
        <v>2665</v>
      </c>
      <c r="E50" s="209" t="s">
        <v>35</v>
      </c>
      <c r="F50" s="209" t="s">
        <v>2666</v>
      </c>
      <c r="G50" s="209" t="s">
        <v>332</v>
      </c>
      <c r="H50" s="209" t="s">
        <v>49</v>
      </c>
      <c r="I50" s="209"/>
      <c r="J50" s="209"/>
      <c r="K50" s="222">
        <f t="shared" si="1"/>
        <v>0</v>
      </c>
      <c r="L50" s="209"/>
    </row>
    <row r="51" spans="1:12">
      <c r="A51" s="209">
        <v>6</v>
      </c>
      <c r="B51" s="210">
        <v>46214</v>
      </c>
      <c r="C51" s="209" t="s">
        <v>2225</v>
      </c>
      <c r="D51" s="209" t="s">
        <v>2667</v>
      </c>
      <c r="E51" s="209" t="s">
        <v>2189</v>
      </c>
      <c r="F51" s="209" t="s">
        <v>2668</v>
      </c>
      <c r="G51" s="209" t="s">
        <v>1289</v>
      </c>
      <c r="H51" s="209" t="s">
        <v>49</v>
      </c>
      <c r="I51" s="209"/>
      <c r="J51" s="209"/>
      <c r="K51" s="222">
        <f t="shared" si="1"/>
        <v>0</v>
      </c>
      <c r="L51" s="209"/>
    </row>
    <row r="52" spans="1:12">
      <c r="A52" s="209">
        <v>6</v>
      </c>
      <c r="B52" s="210">
        <v>46215</v>
      </c>
      <c r="C52" s="209" t="s">
        <v>2226</v>
      </c>
      <c r="D52" s="209" t="s">
        <v>2669</v>
      </c>
      <c r="E52" s="209" t="s">
        <v>2670</v>
      </c>
      <c r="F52" s="209" t="s">
        <v>2671</v>
      </c>
      <c r="G52" s="209" t="s">
        <v>1907</v>
      </c>
      <c r="H52" s="209" t="s">
        <v>49</v>
      </c>
      <c r="I52" s="209"/>
      <c r="J52" s="209"/>
      <c r="K52" s="222">
        <f t="shared" si="1"/>
        <v>0</v>
      </c>
      <c r="L52" s="209"/>
    </row>
    <row r="53" spans="1:12">
      <c r="A53" s="209">
        <v>7</v>
      </c>
      <c r="B53" s="210">
        <v>46216</v>
      </c>
      <c r="C53" s="209" t="s">
        <v>2220</v>
      </c>
      <c r="D53" s="209" t="s">
        <v>2652</v>
      </c>
      <c r="E53" s="209" t="s">
        <v>2184</v>
      </c>
      <c r="F53" s="209" t="s">
        <v>2653</v>
      </c>
      <c r="G53" s="209" t="s">
        <v>332</v>
      </c>
      <c r="H53" s="209" t="s">
        <v>49</v>
      </c>
      <c r="I53" s="209"/>
      <c r="J53" s="209"/>
      <c r="K53" s="222">
        <f t="shared" si="1"/>
        <v>0</v>
      </c>
      <c r="L53" s="209"/>
    </row>
    <row r="54" spans="1:12">
      <c r="A54" s="209">
        <v>7</v>
      </c>
      <c r="B54" s="210">
        <v>46217</v>
      </c>
      <c r="C54" s="209" t="s">
        <v>2221</v>
      </c>
      <c r="D54" s="209" t="s">
        <v>2657</v>
      </c>
      <c r="E54" s="209" t="s">
        <v>2184</v>
      </c>
      <c r="F54" s="209" t="s">
        <v>2658</v>
      </c>
      <c r="G54" s="209" t="s">
        <v>332</v>
      </c>
      <c r="H54" s="209" t="s">
        <v>49</v>
      </c>
      <c r="I54" s="209"/>
      <c r="J54" s="209"/>
      <c r="K54" s="222">
        <f t="shared" ref="K54:K85" si="2">IF(H54="Completado",100,IF(H54="En proceso",50,0))</f>
        <v>0</v>
      </c>
      <c r="L54" s="209"/>
    </row>
    <row r="55" spans="1:12">
      <c r="A55" s="209">
        <v>7</v>
      </c>
      <c r="B55" s="210">
        <v>46218</v>
      </c>
      <c r="C55" s="209" t="s">
        <v>2222</v>
      </c>
      <c r="D55" s="209" t="s">
        <v>2657</v>
      </c>
      <c r="E55" s="209" t="s">
        <v>35</v>
      </c>
      <c r="F55" s="209" t="s">
        <v>2659</v>
      </c>
      <c r="G55" s="209" t="s">
        <v>332</v>
      </c>
      <c r="H55" s="209" t="s">
        <v>49</v>
      </c>
      <c r="I55" s="209"/>
      <c r="J55" s="209"/>
      <c r="K55" s="222">
        <f t="shared" si="2"/>
        <v>0</v>
      </c>
      <c r="L55" s="209"/>
    </row>
    <row r="56" spans="1:12">
      <c r="A56" s="209">
        <v>7</v>
      </c>
      <c r="B56" s="210">
        <v>46219</v>
      </c>
      <c r="C56" s="209" t="s">
        <v>2223</v>
      </c>
      <c r="D56" s="209" t="s">
        <v>2657</v>
      </c>
      <c r="E56" s="209" t="s">
        <v>2199</v>
      </c>
      <c r="F56" s="209" t="s">
        <v>2660</v>
      </c>
      <c r="G56" s="209" t="s">
        <v>332</v>
      </c>
      <c r="H56" s="209" t="s">
        <v>49</v>
      </c>
      <c r="I56" s="209"/>
      <c r="J56" s="209"/>
      <c r="K56" s="222">
        <f t="shared" si="2"/>
        <v>0</v>
      </c>
      <c r="L56" s="209"/>
    </row>
    <row r="57" spans="1:12">
      <c r="A57" s="209">
        <v>7</v>
      </c>
      <c r="B57" s="210">
        <v>46220</v>
      </c>
      <c r="C57" s="209" t="s">
        <v>2224</v>
      </c>
      <c r="D57" s="209" t="s">
        <v>2652</v>
      </c>
      <c r="E57" s="209" t="s">
        <v>2199</v>
      </c>
      <c r="F57" s="209" t="s">
        <v>2663</v>
      </c>
      <c r="G57" s="209" t="s">
        <v>332</v>
      </c>
      <c r="H57" s="209" t="s">
        <v>49</v>
      </c>
      <c r="I57" s="209"/>
      <c r="J57" s="209"/>
      <c r="K57" s="222">
        <f t="shared" si="2"/>
        <v>0</v>
      </c>
      <c r="L57" s="209"/>
    </row>
    <row r="58" spans="1:12">
      <c r="A58" s="209">
        <v>7</v>
      </c>
      <c r="B58" s="210">
        <v>46221</v>
      </c>
      <c r="C58" s="209" t="s">
        <v>2225</v>
      </c>
      <c r="D58" s="209" t="s">
        <v>2665</v>
      </c>
      <c r="E58" s="209" t="s">
        <v>35</v>
      </c>
      <c r="F58" s="209" t="s">
        <v>2666</v>
      </c>
      <c r="G58" s="209" t="s">
        <v>332</v>
      </c>
      <c r="H58" s="209" t="s">
        <v>49</v>
      </c>
      <c r="I58" s="209"/>
      <c r="J58" s="209"/>
      <c r="K58" s="222">
        <f t="shared" si="2"/>
        <v>0</v>
      </c>
      <c r="L58" s="209"/>
    </row>
    <row r="59" spans="1:12">
      <c r="A59" s="209">
        <v>7</v>
      </c>
      <c r="B59" s="210">
        <v>46221</v>
      </c>
      <c r="C59" s="209" t="s">
        <v>2225</v>
      </c>
      <c r="D59" s="209" t="s">
        <v>2667</v>
      </c>
      <c r="E59" s="209" t="s">
        <v>2189</v>
      </c>
      <c r="F59" s="209" t="s">
        <v>2668</v>
      </c>
      <c r="G59" s="209" t="s">
        <v>1289</v>
      </c>
      <c r="H59" s="209" t="s">
        <v>49</v>
      </c>
      <c r="I59" s="209"/>
      <c r="J59" s="209"/>
      <c r="K59" s="222">
        <f t="shared" si="2"/>
        <v>0</v>
      </c>
      <c r="L59" s="209"/>
    </row>
    <row r="60" spans="1:12">
      <c r="A60" s="209">
        <v>7</v>
      </c>
      <c r="B60" s="210">
        <v>46222</v>
      </c>
      <c r="C60" s="209" t="s">
        <v>2226</v>
      </c>
      <c r="D60" s="209" t="s">
        <v>2669</v>
      </c>
      <c r="E60" s="209" t="s">
        <v>2670</v>
      </c>
      <c r="F60" s="209" t="s">
        <v>2671</v>
      </c>
      <c r="G60" s="209" t="s">
        <v>1907</v>
      </c>
      <c r="H60" s="209" t="s">
        <v>49</v>
      </c>
      <c r="I60" s="209"/>
      <c r="J60" s="209"/>
      <c r="K60" s="222">
        <f t="shared" si="2"/>
        <v>0</v>
      </c>
      <c r="L60" s="209"/>
    </row>
    <row r="61" spans="1:12">
      <c r="A61" s="209">
        <v>8</v>
      </c>
      <c r="B61" s="210">
        <v>46223</v>
      </c>
      <c r="C61" s="209" t="s">
        <v>2220</v>
      </c>
      <c r="D61" s="209" t="s">
        <v>2652</v>
      </c>
      <c r="E61" s="209" t="s">
        <v>2184</v>
      </c>
      <c r="F61" s="209" t="s">
        <v>2653</v>
      </c>
      <c r="G61" s="209" t="s">
        <v>332</v>
      </c>
      <c r="H61" s="209" t="s">
        <v>49</v>
      </c>
      <c r="I61" s="209"/>
      <c r="J61" s="209"/>
      <c r="K61" s="222">
        <f t="shared" si="2"/>
        <v>0</v>
      </c>
      <c r="L61" s="209"/>
    </row>
    <row r="62" spans="1:12">
      <c r="A62" s="209">
        <v>8</v>
      </c>
      <c r="B62" s="210">
        <v>46224</v>
      </c>
      <c r="C62" s="209" t="s">
        <v>2221</v>
      </c>
      <c r="D62" s="209" t="s">
        <v>2657</v>
      </c>
      <c r="E62" s="209" t="s">
        <v>2184</v>
      </c>
      <c r="F62" s="209" t="s">
        <v>2658</v>
      </c>
      <c r="G62" s="209" t="s">
        <v>332</v>
      </c>
      <c r="H62" s="209" t="s">
        <v>49</v>
      </c>
      <c r="I62" s="209"/>
      <c r="J62" s="209"/>
      <c r="K62" s="222">
        <f t="shared" si="2"/>
        <v>0</v>
      </c>
      <c r="L62" s="209"/>
    </row>
    <row r="63" spans="1:12">
      <c r="A63" s="209">
        <v>8</v>
      </c>
      <c r="B63" s="210">
        <v>46225</v>
      </c>
      <c r="C63" s="209" t="s">
        <v>2222</v>
      </c>
      <c r="D63" s="209" t="s">
        <v>2657</v>
      </c>
      <c r="E63" s="209" t="s">
        <v>35</v>
      </c>
      <c r="F63" s="209" t="s">
        <v>2659</v>
      </c>
      <c r="G63" s="209" t="s">
        <v>332</v>
      </c>
      <c r="H63" s="209" t="s">
        <v>49</v>
      </c>
      <c r="I63" s="209"/>
      <c r="J63" s="209"/>
      <c r="K63" s="222">
        <f t="shared" si="2"/>
        <v>0</v>
      </c>
      <c r="L63" s="209"/>
    </row>
    <row r="64" spans="1:12">
      <c r="A64" s="209">
        <v>8</v>
      </c>
      <c r="B64" s="210">
        <v>46226</v>
      </c>
      <c r="C64" s="209" t="s">
        <v>2223</v>
      </c>
      <c r="D64" s="209" t="s">
        <v>2657</v>
      </c>
      <c r="E64" s="209" t="s">
        <v>2199</v>
      </c>
      <c r="F64" s="209" t="s">
        <v>2660</v>
      </c>
      <c r="G64" s="209" t="s">
        <v>332</v>
      </c>
      <c r="H64" s="209" t="s">
        <v>49</v>
      </c>
      <c r="I64" s="209"/>
      <c r="J64" s="209"/>
      <c r="K64" s="222">
        <f t="shared" si="2"/>
        <v>0</v>
      </c>
      <c r="L64" s="209"/>
    </row>
    <row r="65" spans="1:12">
      <c r="A65" s="209">
        <v>8</v>
      </c>
      <c r="B65" s="210">
        <v>46227</v>
      </c>
      <c r="C65" s="209" t="s">
        <v>2224</v>
      </c>
      <c r="D65" s="209" t="s">
        <v>2652</v>
      </c>
      <c r="E65" s="209" t="s">
        <v>2199</v>
      </c>
      <c r="F65" s="209" t="s">
        <v>2663</v>
      </c>
      <c r="G65" s="209" t="s">
        <v>332</v>
      </c>
      <c r="H65" s="209" t="s">
        <v>49</v>
      </c>
      <c r="I65" s="209"/>
      <c r="J65" s="209"/>
      <c r="K65" s="222">
        <f t="shared" si="2"/>
        <v>0</v>
      </c>
      <c r="L65" s="209"/>
    </row>
    <row r="66" spans="1:12">
      <c r="A66" s="209">
        <v>8</v>
      </c>
      <c r="B66" s="210">
        <v>46228</v>
      </c>
      <c r="C66" s="209" t="s">
        <v>2225</v>
      </c>
      <c r="D66" s="209" t="s">
        <v>2665</v>
      </c>
      <c r="E66" s="209" t="s">
        <v>35</v>
      </c>
      <c r="F66" s="209" t="s">
        <v>2666</v>
      </c>
      <c r="G66" s="209" t="s">
        <v>332</v>
      </c>
      <c r="H66" s="209" t="s">
        <v>49</v>
      </c>
      <c r="I66" s="209"/>
      <c r="J66" s="209"/>
      <c r="K66" s="222">
        <f t="shared" si="2"/>
        <v>0</v>
      </c>
      <c r="L66" s="209"/>
    </row>
    <row r="67" spans="1:12">
      <c r="A67" s="209">
        <v>8</v>
      </c>
      <c r="B67" s="210">
        <v>46228</v>
      </c>
      <c r="C67" s="209" t="s">
        <v>2225</v>
      </c>
      <c r="D67" s="209" t="s">
        <v>2667</v>
      </c>
      <c r="E67" s="209" t="s">
        <v>2189</v>
      </c>
      <c r="F67" s="209" t="s">
        <v>2668</v>
      </c>
      <c r="G67" s="209" t="s">
        <v>1289</v>
      </c>
      <c r="H67" s="209" t="s">
        <v>49</v>
      </c>
      <c r="I67" s="209"/>
      <c r="J67" s="209"/>
      <c r="K67" s="222">
        <f t="shared" si="2"/>
        <v>0</v>
      </c>
      <c r="L67" s="209"/>
    </row>
    <row r="68" spans="1:12">
      <c r="A68" s="209">
        <v>8</v>
      </c>
      <c r="B68" s="210">
        <v>46229</v>
      </c>
      <c r="C68" s="209" t="s">
        <v>2226</v>
      </c>
      <c r="D68" s="209" t="s">
        <v>2669</v>
      </c>
      <c r="E68" s="209" t="s">
        <v>2670</v>
      </c>
      <c r="F68" s="209" t="s">
        <v>2671</v>
      </c>
      <c r="G68" s="209" t="s">
        <v>1907</v>
      </c>
      <c r="H68" s="209" t="s">
        <v>49</v>
      </c>
      <c r="I68" s="209"/>
      <c r="J68" s="209"/>
      <c r="K68" s="222">
        <f t="shared" si="2"/>
        <v>0</v>
      </c>
      <c r="L68" s="209"/>
    </row>
    <row r="69" spans="1:12">
      <c r="A69" s="209">
        <v>9</v>
      </c>
      <c r="B69" s="210">
        <v>46230</v>
      </c>
      <c r="C69" s="209" t="s">
        <v>2220</v>
      </c>
      <c r="D69" s="209" t="s">
        <v>2652</v>
      </c>
      <c r="E69" s="209" t="s">
        <v>2184</v>
      </c>
      <c r="F69" s="209" t="s">
        <v>2653</v>
      </c>
      <c r="G69" s="209" t="s">
        <v>332</v>
      </c>
      <c r="H69" s="209" t="s">
        <v>49</v>
      </c>
      <c r="I69" s="209"/>
      <c r="J69" s="209"/>
      <c r="K69" s="222">
        <f t="shared" si="2"/>
        <v>0</v>
      </c>
      <c r="L69" s="209"/>
    </row>
    <row r="70" spans="1:12">
      <c r="A70" s="209">
        <v>9</v>
      </c>
      <c r="B70" s="210">
        <v>46231</v>
      </c>
      <c r="C70" s="209" t="s">
        <v>2221</v>
      </c>
      <c r="D70" s="209" t="s">
        <v>2657</v>
      </c>
      <c r="E70" s="209" t="s">
        <v>2184</v>
      </c>
      <c r="F70" s="209" t="s">
        <v>2658</v>
      </c>
      <c r="G70" s="209" t="s">
        <v>332</v>
      </c>
      <c r="H70" s="209" t="s">
        <v>49</v>
      </c>
      <c r="I70" s="209"/>
      <c r="J70" s="209"/>
      <c r="K70" s="222">
        <f t="shared" si="2"/>
        <v>0</v>
      </c>
      <c r="L70" s="209"/>
    </row>
    <row r="71" spans="1:12">
      <c r="A71" s="209">
        <v>9</v>
      </c>
      <c r="B71" s="210">
        <v>46232</v>
      </c>
      <c r="C71" s="209" t="s">
        <v>2222</v>
      </c>
      <c r="D71" s="209" t="s">
        <v>2657</v>
      </c>
      <c r="E71" s="209" t="s">
        <v>35</v>
      </c>
      <c r="F71" s="209" t="s">
        <v>2659</v>
      </c>
      <c r="G71" s="209" t="s">
        <v>332</v>
      </c>
      <c r="H71" s="209" t="s">
        <v>49</v>
      </c>
      <c r="I71" s="209"/>
      <c r="J71" s="209"/>
      <c r="K71" s="222">
        <f t="shared" si="2"/>
        <v>0</v>
      </c>
      <c r="L71" s="209"/>
    </row>
    <row r="72" spans="1:12">
      <c r="A72" s="209">
        <v>9</v>
      </c>
      <c r="B72" s="210">
        <v>46233</v>
      </c>
      <c r="C72" s="209" t="s">
        <v>2223</v>
      </c>
      <c r="D72" s="209" t="s">
        <v>2657</v>
      </c>
      <c r="E72" s="209" t="s">
        <v>2199</v>
      </c>
      <c r="F72" s="209" t="s">
        <v>2660</v>
      </c>
      <c r="G72" s="209" t="s">
        <v>332</v>
      </c>
      <c r="H72" s="209" t="s">
        <v>49</v>
      </c>
      <c r="I72" s="209"/>
      <c r="J72" s="209"/>
      <c r="K72" s="222">
        <f t="shared" si="2"/>
        <v>0</v>
      </c>
      <c r="L72" s="209"/>
    </row>
    <row r="73" spans="1:12">
      <c r="A73" s="209">
        <v>9</v>
      </c>
      <c r="B73" s="210">
        <v>46234</v>
      </c>
      <c r="C73" s="209" t="s">
        <v>2224</v>
      </c>
      <c r="D73" s="209" t="s">
        <v>2652</v>
      </c>
      <c r="E73" s="209" t="s">
        <v>2199</v>
      </c>
      <c r="F73" s="209" t="s">
        <v>2663</v>
      </c>
      <c r="G73" s="209" t="s">
        <v>332</v>
      </c>
      <c r="H73" s="209" t="s">
        <v>49</v>
      </c>
      <c r="I73" s="209"/>
      <c r="J73" s="209"/>
      <c r="K73" s="222">
        <f t="shared" si="2"/>
        <v>0</v>
      </c>
      <c r="L73" s="209"/>
    </row>
    <row r="74" spans="1:12">
      <c r="A74" s="209">
        <v>9</v>
      </c>
      <c r="B74" s="210">
        <v>46235</v>
      </c>
      <c r="C74" s="209" t="s">
        <v>2225</v>
      </c>
      <c r="D74" s="209" t="s">
        <v>2665</v>
      </c>
      <c r="E74" s="209" t="s">
        <v>35</v>
      </c>
      <c r="F74" s="209" t="s">
        <v>2666</v>
      </c>
      <c r="G74" s="209" t="s">
        <v>332</v>
      </c>
      <c r="H74" s="209" t="s">
        <v>49</v>
      </c>
      <c r="I74" s="209"/>
      <c r="J74" s="209"/>
      <c r="K74" s="222">
        <f t="shared" si="2"/>
        <v>0</v>
      </c>
      <c r="L74" s="209"/>
    </row>
    <row r="75" spans="1:12">
      <c r="A75" s="209">
        <v>9</v>
      </c>
      <c r="B75" s="210">
        <v>46235</v>
      </c>
      <c r="C75" s="209" t="s">
        <v>2225</v>
      </c>
      <c r="D75" s="209" t="s">
        <v>2667</v>
      </c>
      <c r="E75" s="209" t="s">
        <v>2189</v>
      </c>
      <c r="F75" s="209" t="s">
        <v>2668</v>
      </c>
      <c r="G75" s="209" t="s">
        <v>1289</v>
      </c>
      <c r="H75" s="209" t="s">
        <v>49</v>
      </c>
      <c r="I75" s="209"/>
      <c r="J75" s="209"/>
      <c r="K75" s="222">
        <f t="shared" si="2"/>
        <v>0</v>
      </c>
      <c r="L75" s="209"/>
    </row>
    <row r="76" spans="1:12">
      <c r="A76" s="209">
        <v>9</v>
      </c>
      <c r="B76" s="210">
        <v>46236</v>
      </c>
      <c r="C76" s="209" t="s">
        <v>2226</v>
      </c>
      <c r="D76" s="209" t="s">
        <v>2669</v>
      </c>
      <c r="E76" s="209" t="s">
        <v>2670</v>
      </c>
      <c r="F76" s="209" t="s">
        <v>2671</v>
      </c>
      <c r="G76" s="209" t="s">
        <v>1907</v>
      </c>
      <c r="H76" s="209" t="s">
        <v>49</v>
      </c>
      <c r="I76" s="209"/>
      <c r="J76" s="209"/>
      <c r="K76" s="222">
        <f t="shared" si="2"/>
        <v>0</v>
      </c>
      <c r="L76" s="209"/>
    </row>
    <row r="77" spans="1:12">
      <c r="A77" s="209">
        <v>10</v>
      </c>
      <c r="B77" s="210">
        <v>46237</v>
      </c>
      <c r="C77" s="209" t="s">
        <v>2220</v>
      </c>
      <c r="D77" s="209" t="s">
        <v>2652</v>
      </c>
      <c r="E77" s="209" t="s">
        <v>2184</v>
      </c>
      <c r="F77" s="209" t="s">
        <v>2653</v>
      </c>
      <c r="G77" s="209" t="s">
        <v>332</v>
      </c>
      <c r="H77" s="209" t="s">
        <v>49</v>
      </c>
      <c r="I77" s="209"/>
      <c r="J77" s="209"/>
      <c r="K77" s="222">
        <f t="shared" si="2"/>
        <v>0</v>
      </c>
      <c r="L77" s="209"/>
    </row>
    <row r="78" spans="1:12">
      <c r="A78" s="209">
        <v>10</v>
      </c>
      <c r="B78" s="210">
        <v>46238</v>
      </c>
      <c r="C78" s="209" t="s">
        <v>2221</v>
      </c>
      <c r="D78" s="209" t="s">
        <v>2657</v>
      </c>
      <c r="E78" s="209" t="s">
        <v>2184</v>
      </c>
      <c r="F78" s="209" t="s">
        <v>2658</v>
      </c>
      <c r="G78" s="209" t="s">
        <v>332</v>
      </c>
      <c r="H78" s="209" t="s">
        <v>49</v>
      </c>
      <c r="I78" s="209"/>
      <c r="J78" s="209"/>
      <c r="K78" s="222">
        <f t="shared" si="2"/>
        <v>0</v>
      </c>
      <c r="L78" s="209"/>
    </row>
    <row r="79" spans="1:12">
      <c r="A79" s="209">
        <v>10</v>
      </c>
      <c r="B79" s="210">
        <v>46239</v>
      </c>
      <c r="C79" s="209" t="s">
        <v>2222</v>
      </c>
      <c r="D79" s="209" t="s">
        <v>2657</v>
      </c>
      <c r="E79" s="209" t="s">
        <v>35</v>
      </c>
      <c r="F79" s="209" t="s">
        <v>2659</v>
      </c>
      <c r="G79" s="209" t="s">
        <v>332</v>
      </c>
      <c r="H79" s="209" t="s">
        <v>49</v>
      </c>
      <c r="I79" s="209"/>
      <c r="J79" s="209"/>
      <c r="K79" s="222">
        <f t="shared" si="2"/>
        <v>0</v>
      </c>
      <c r="L79" s="209"/>
    </row>
    <row r="80" spans="1:12">
      <c r="A80" s="209">
        <v>10</v>
      </c>
      <c r="B80" s="210">
        <v>46240</v>
      </c>
      <c r="C80" s="209" t="s">
        <v>2223</v>
      </c>
      <c r="D80" s="209" t="s">
        <v>2657</v>
      </c>
      <c r="E80" s="209" t="s">
        <v>2199</v>
      </c>
      <c r="F80" s="209" t="s">
        <v>2660</v>
      </c>
      <c r="G80" s="209" t="s">
        <v>332</v>
      </c>
      <c r="H80" s="209" t="s">
        <v>49</v>
      </c>
      <c r="I80" s="209"/>
      <c r="J80" s="209"/>
      <c r="K80" s="222">
        <f t="shared" si="2"/>
        <v>0</v>
      </c>
      <c r="L80" s="209"/>
    </row>
    <row r="81" spans="1:12">
      <c r="A81" s="209">
        <v>10</v>
      </c>
      <c r="B81" s="210">
        <v>46241</v>
      </c>
      <c r="C81" s="209" t="s">
        <v>2224</v>
      </c>
      <c r="D81" s="209" t="s">
        <v>2652</v>
      </c>
      <c r="E81" s="209" t="s">
        <v>2199</v>
      </c>
      <c r="F81" s="209" t="s">
        <v>2663</v>
      </c>
      <c r="G81" s="209" t="s">
        <v>332</v>
      </c>
      <c r="H81" s="209" t="s">
        <v>49</v>
      </c>
      <c r="I81" s="209"/>
      <c r="J81" s="209"/>
      <c r="K81" s="222">
        <f t="shared" si="2"/>
        <v>0</v>
      </c>
      <c r="L81" s="209"/>
    </row>
    <row r="82" spans="1:12">
      <c r="A82" s="209">
        <v>10</v>
      </c>
      <c r="B82" s="210">
        <v>46242</v>
      </c>
      <c r="C82" s="209" t="s">
        <v>2225</v>
      </c>
      <c r="D82" s="209" t="s">
        <v>2665</v>
      </c>
      <c r="E82" s="209" t="s">
        <v>35</v>
      </c>
      <c r="F82" s="209" t="s">
        <v>2666</v>
      </c>
      <c r="G82" s="209" t="s">
        <v>332</v>
      </c>
      <c r="H82" s="209" t="s">
        <v>49</v>
      </c>
      <c r="I82" s="209"/>
      <c r="J82" s="209"/>
      <c r="K82" s="222">
        <f t="shared" si="2"/>
        <v>0</v>
      </c>
      <c r="L82" s="209"/>
    </row>
    <row r="83" spans="1:12">
      <c r="A83" s="209">
        <v>10</v>
      </c>
      <c r="B83" s="210">
        <v>46242</v>
      </c>
      <c r="C83" s="209" t="s">
        <v>2225</v>
      </c>
      <c r="D83" s="209" t="s">
        <v>2667</v>
      </c>
      <c r="E83" s="209" t="s">
        <v>2189</v>
      </c>
      <c r="F83" s="209" t="s">
        <v>2668</v>
      </c>
      <c r="G83" s="209" t="s">
        <v>1289</v>
      </c>
      <c r="H83" s="209" t="s">
        <v>49</v>
      </c>
      <c r="I83" s="209"/>
      <c r="J83" s="209"/>
      <c r="K83" s="222">
        <f t="shared" si="2"/>
        <v>0</v>
      </c>
      <c r="L83" s="209"/>
    </row>
    <row r="84" spans="1:12">
      <c r="A84" s="209">
        <v>10</v>
      </c>
      <c r="B84" s="210">
        <v>46243</v>
      </c>
      <c r="C84" s="209" t="s">
        <v>2226</v>
      </c>
      <c r="D84" s="209" t="s">
        <v>2669</v>
      </c>
      <c r="E84" s="209" t="s">
        <v>2670</v>
      </c>
      <c r="F84" s="209" t="s">
        <v>2671</v>
      </c>
      <c r="G84" s="209" t="s">
        <v>1907</v>
      </c>
      <c r="H84" s="209" t="s">
        <v>49</v>
      </c>
      <c r="I84" s="209"/>
      <c r="J84" s="209"/>
      <c r="K84" s="222">
        <f t="shared" si="2"/>
        <v>0</v>
      </c>
      <c r="L84" s="209"/>
    </row>
    <row r="85" spans="1:12">
      <c r="A85" s="209">
        <v>11</v>
      </c>
      <c r="B85" s="210">
        <v>46244</v>
      </c>
      <c r="C85" s="209" t="s">
        <v>2220</v>
      </c>
      <c r="D85" s="209" t="s">
        <v>2652</v>
      </c>
      <c r="E85" s="209" t="s">
        <v>2184</v>
      </c>
      <c r="F85" s="209" t="s">
        <v>2653</v>
      </c>
      <c r="G85" s="209" t="s">
        <v>332</v>
      </c>
      <c r="H85" s="209" t="s">
        <v>49</v>
      </c>
      <c r="I85" s="209"/>
      <c r="J85" s="209"/>
      <c r="K85" s="222">
        <f t="shared" si="2"/>
        <v>0</v>
      </c>
      <c r="L85" s="209"/>
    </row>
    <row r="86" spans="1:12">
      <c r="A86" s="209">
        <v>11</v>
      </c>
      <c r="B86" s="210">
        <v>46245</v>
      </c>
      <c r="C86" s="209" t="s">
        <v>2221</v>
      </c>
      <c r="D86" s="209" t="s">
        <v>2657</v>
      </c>
      <c r="E86" s="209" t="s">
        <v>2184</v>
      </c>
      <c r="F86" s="209" t="s">
        <v>2658</v>
      </c>
      <c r="G86" s="209" t="s">
        <v>332</v>
      </c>
      <c r="H86" s="209" t="s">
        <v>49</v>
      </c>
      <c r="I86" s="209"/>
      <c r="J86" s="209"/>
      <c r="K86" s="222">
        <f t="shared" ref="K86:K100" si="3">IF(H86="Completado",100,IF(H86="En proceso",50,0))</f>
        <v>0</v>
      </c>
      <c r="L86" s="209"/>
    </row>
    <row r="87" spans="1:12">
      <c r="A87" s="209">
        <v>11</v>
      </c>
      <c r="B87" s="210">
        <v>46246</v>
      </c>
      <c r="C87" s="209" t="s">
        <v>2222</v>
      </c>
      <c r="D87" s="209" t="s">
        <v>2657</v>
      </c>
      <c r="E87" s="209" t="s">
        <v>35</v>
      </c>
      <c r="F87" s="209" t="s">
        <v>2659</v>
      </c>
      <c r="G87" s="209" t="s">
        <v>332</v>
      </c>
      <c r="H87" s="209" t="s">
        <v>49</v>
      </c>
      <c r="I87" s="209"/>
      <c r="J87" s="209"/>
      <c r="K87" s="222">
        <f t="shared" si="3"/>
        <v>0</v>
      </c>
      <c r="L87" s="209"/>
    </row>
    <row r="88" spans="1:12">
      <c r="A88" s="209">
        <v>11</v>
      </c>
      <c r="B88" s="210">
        <v>46247</v>
      </c>
      <c r="C88" s="209" t="s">
        <v>2223</v>
      </c>
      <c r="D88" s="209" t="s">
        <v>2657</v>
      </c>
      <c r="E88" s="209" t="s">
        <v>2199</v>
      </c>
      <c r="F88" s="209" t="s">
        <v>2660</v>
      </c>
      <c r="G88" s="209" t="s">
        <v>332</v>
      </c>
      <c r="H88" s="209" t="s">
        <v>49</v>
      </c>
      <c r="I88" s="209"/>
      <c r="J88" s="209"/>
      <c r="K88" s="222">
        <f t="shared" si="3"/>
        <v>0</v>
      </c>
      <c r="L88" s="209"/>
    </row>
    <row r="89" spans="1:12">
      <c r="A89" s="209">
        <v>11</v>
      </c>
      <c r="B89" s="210">
        <v>46248</v>
      </c>
      <c r="C89" s="209" t="s">
        <v>2224</v>
      </c>
      <c r="D89" s="209" t="s">
        <v>2652</v>
      </c>
      <c r="E89" s="209" t="s">
        <v>2199</v>
      </c>
      <c r="F89" s="209" t="s">
        <v>2663</v>
      </c>
      <c r="G89" s="209" t="s">
        <v>332</v>
      </c>
      <c r="H89" s="209" t="s">
        <v>49</v>
      </c>
      <c r="I89" s="209"/>
      <c r="J89" s="209"/>
      <c r="K89" s="222">
        <f t="shared" si="3"/>
        <v>0</v>
      </c>
      <c r="L89" s="209"/>
    </row>
    <row r="90" spans="1:12">
      <c r="A90" s="209">
        <v>11</v>
      </c>
      <c r="B90" s="210">
        <v>46249</v>
      </c>
      <c r="C90" s="209" t="s">
        <v>2225</v>
      </c>
      <c r="D90" s="209" t="s">
        <v>2665</v>
      </c>
      <c r="E90" s="209" t="s">
        <v>35</v>
      </c>
      <c r="F90" s="209" t="s">
        <v>2666</v>
      </c>
      <c r="G90" s="209" t="s">
        <v>332</v>
      </c>
      <c r="H90" s="209" t="s">
        <v>49</v>
      </c>
      <c r="I90" s="209"/>
      <c r="J90" s="209"/>
      <c r="K90" s="222">
        <f t="shared" si="3"/>
        <v>0</v>
      </c>
      <c r="L90" s="209"/>
    </row>
    <row r="91" spans="1:12">
      <c r="A91" s="209">
        <v>11</v>
      </c>
      <c r="B91" s="210">
        <v>46249</v>
      </c>
      <c r="C91" s="209" t="s">
        <v>2225</v>
      </c>
      <c r="D91" s="209" t="s">
        <v>2667</v>
      </c>
      <c r="E91" s="209" t="s">
        <v>2189</v>
      </c>
      <c r="F91" s="209" t="s">
        <v>2668</v>
      </c>
      <c r="G91" s="209" t="s">
        <v>1289</v>
      </c>
      <c r="H91" s="209" t="s">
        <v>49</v>
      </c>
      <c r="I91" s="209"/>
      <c r="J91" s="209"/>
      <c r="K91" s="222">
        <f t="shared" si="3"/>
        <v>0</v>
      </c>
      <c r="L91" s="209"/>
    </row>
    <row r="92" spans="1:12">
      <c r="A92" s="209">
        <v>11</v>
      </c>
      <c r="B92" s="210">
        <v>46250</v>
      </c>
      <c r="C92" s="209" t="s">
        <v>2226</v>
      </c>
      <c r="D92" s="209" t="s">
        <v>2669</v>
      </c>
      <c r="E92" s="209" t="s">
        <v>2670</v>
      </c>
      <c r="F92" s="209" t="s">
        <v>2671</v>
      </c>
      <c r="G92" s="209" t="s">
        <v>1907</v>
      </c>
      <c r="H92" s="209" t="s">
        <v>49</v>
      </c>
      <c r="I92" s="209"/>
      <c r="J92" s="209"/>
      <c r="K92" s="222">
        <f t="shared" si="3"/>
        <v>0</v>
      </c>
      <c r="L92" s="209"/>
    </row>
    <row r="93" spans="1:12">
      <c r="A93" s="209">
        <v>12</v>
      </c>
      <c r="B93" s="210">
        <v>46251</v>
      </c>
      <c r="C93" s="209" t="s">
        <v>2220</v>
      </c>
      <c r="D93" s="209" t="s">
        <v>2652</v>
      </c>
      <c r="E93" s="209" t="s">
        <v>2184</v>
      </c>
      <c r="F93" s="209" t="s">
        <v>2653</v>
      </c>
      <c r="G93" s="209" t="s">
        <v>332</v>
      </c>
      <c r="H93" s="209" t="s">
        <v>49</v>
      </c>
      <c r="I93" s="209"/>
      <c r="J93" s="209"/>
      <c r="K93" s="222">
        <f t="shared" si="3"/>
        <v>0</v>
      </c>
      <c r="L93" s="209"/>
    </row>
    <row r="94" spans="1:12">
      <c r="A94" s="209">
        <v>12</v>
      </c>
      <c r="B94" s="210">
        <v>46252</v>
      </c>
      <c r="C94" s="209" t="s">
        <v>2221</v>
      </c>
      <c r="D94" s="209" t="s">
        <v>2657</v>
      </c>
      <c r="E94" s="209" t="s">
        <v>2184</v>
      </c>
      <c r="F94" s="209" t="s">
        <v>2658</v>
      </c>
      <c r="G94" s="209" t="s">
        <v>332</v>
      </c>
      <c r="H94" s="209" t="s">
        <v>49</v>
      </c>
      <c r="I94" s="209"/>
      <c r="J94" s="209"/>
      <c r="K94" s="222">
        <f t="shared" si="3"/>
        <v>0</v>
      </c>
      <c r="L94" s="209"/>
    </row>
    <row r="95" spans="1:12">
      <c r="A95" s="209">
        <v>12</v>
      </c>
      <c r="B95" s="210">
        <v>46253</v>
      </c>
      <c r="C95" s="209" t="s">
        <v>2222</v>
      </c>
      <c r="D95" s="209" t="s">
        <v>2657</v>
      </c>
      <c r="E95" s="209" t="s">
        <v>35</v>
      </c>
      <c r="F95" s="209" t="s">
        <v>2659</v>
      </c>
      <c r="G95" s="209" t="s">
        <v>332</v>
      </c>
      <c r="H95" s="209" t="s">
        <v>49</v>
      </c>
      <c r="I95" s="209"/>
      <c r="J95" s="209"/>
      <c r="K95" s="222">
        <f t="shared" si="3"/>
        <v>0</v>
      </c>
      <c r="L95" s="209"/>
    </row>
    <row r="96" spans="1:12">
      <c r="A96" s="209">
        <v>12</v>
      </c>
      <c r="B96" s="210">
        <v>46254</v>
      </c>
      <c r="C96" s="209" t="s">
        <v>2223</v>
      </c>
      <c r="D96" s="209" t="s">
        <v>2657</v>
      </c>
      <c r="E96" s="209" t="s">
        <v>2199</v>
      </c>
      <c r="F96" s="209" t="s">
        <v>2660</v>
      </c>
      <c r="G96" s="209" t="s">
        <v>332</v>
      </c>
      <c r="H96" s="209" t="s">
        <v>49</v>
      </c>
      <c r="I96" s="209"/>
      <c r="J96" s="209"/>
      <c r="K96" s="222">
        <f t="shared" si="3"/>
        <v>0</v>
      </c>
      <c r="L96" s="209"/>
    </row>
    <row r="97" spans="1:12">
      <c r="A97" s="209">
        <v>12</v>
      </c>
      <c r="B97" s="210">
        <v>46255</v>
      </c>
      <c r="C97" s="209" t="s">
        <v>2224</v>
      </c>
      <c r="D97" s="209" t="s">
        <v>2652</v>
      </c>
      <c r="E97" s="209" t="s">
        <v>2199</v>
      </c>
      <c r="F97" s="209" t="s">
        <v>2663</v>
      </c>
      <c r="G97" s="209" t="s">
        <v>332</v>
      </c>
      <c r="H97" s="209" t="s">
        <v>49</v>
      </c>
      <c r="I97" s="209"/>
      <c r="J97" s="209"/>
      <c r="K97" s="222">
        <f t="shared" si="3"/>
        <v>0</v>
      </c>
      <c r="L97" s="209"/>
    </row>
    <row r="98" spans="1:12">
      <c r="A98" s="209">
        <v>12</v>
      </c>
      <c r="B98" s="210">
        <v>46256</v>
      </c>
      <c r="C98" s="209" t="s">
        <v>2225</v>
      </c>
      <c r="D98" s="209" t="s">
        <v>2665</v>
      </c>
      <c r="E98" s="209" t="s">
        <v>35</v>
      </c>
      <c r="F98" s="209" t="s">
        <v>2666</v>
      </c>
      <c r="G98" s="209" t="s">
        <v>332</v>
      </c>
      <c r="H98" s="209" t="s">
        <v>49</v>
      </c>
      <c r="I98" s="209"/>
      <c r="J98" s="209"/>
      <c r="K98" s="222">
        <f t="shared" si="3"/>
        <v>0</v>
      </c>
      <c r="L98" s="209"/>
    </row>
    <row r="99" spans="1:12">
      <c r="A99" s="209">
        <v>12</v>
      </c>
      <c r="B99" s="210">
        <v>46256</v>
      </c>
      <c r="C99" s="209" t="s">
        <v>2225</v>
      </c>
      <c r="D99" s="209" t="s">
        <v>2667</v>
      </c>
      <c r="E99" s="209" t="s">
        <v>2189</v>
      </c>
      <c r="F99" s="209" t="s">
        <v>2668</v>
      </c>
      <c r="G99" s="209" t="s">
        <v>1289</v>
      </c>
      <c r="H99" s="209" t="s">
        <v>49</v>
      </c>
      <c r="I99" s="209"/>
      <c r="J99" s="209"/>
      <c r="K99" s="222">
        <f t="shared" si="3"/>
        <v>0</v>
      </c>
      <c r="L99" s="209"/>
    </row>
    <row r="100" spans="1:12">
      <c r="A100" s="209">
        <v>12</v>
      </c>
      <c r="B100" s="210">
        <v>46257</v>
      </c>
      <c r="C100" s="209" t="s">
        <v>2226</v>
      </c>
      <c r="D100" s="209" t="s">
        <v>2669</v>
      </c>
      <c r="E100" s="209" t="s">
        <v>2670</v>
      </c>
      <c r="F100" s="209" t="s">
        <v>2671</v>
      </c>
      <c r="G100" s="209" t="s">
        <v>1907</v>
      </c>
      <c r="H100" s="209" t="s">
        <v>49</v>
      </c>
      <c r="I100" s="209"/>
      <c r="J100" s="209"/>
      <c r="K100" s="222">
        <f t="shared" si="3"/>
        <v>0</v>
      </c>
      <c r="L100" s="209"/>
    </row>
  </sheetData>
  <mergeCells count="2">
    <mergeCell ref="A1:L1"/>
    <mergeCell ref="A2:N2"/>
  </mergeCells>
  <dataValidations count="6">
    <dataValidation type="list" allowBlank="1" sqref="E5:E250" xr:uid="{00000000-0002-0000-3600-000000000000}">
      <formula1>"Comprensión,Práctica,Producción,Corrección,Simulación,Clase,Evaluación"</formula1>
    </dataValidation>
    <dataValidation type="list" allowBlank="1" sqref="G5:G250" xr:uid="{00000000-0002-0000-3600-000001000000}">
      <formula1>"Sí,No"</formula1>
    </dataValidation>
    <dataValidation type="list" allowBlank="1" sqref="K5:K250" xr:uid="{00000000-0002-0000-3600-000002000000}">
      <formula1>"Alto,Medio,Bajo"</formula1>
    </dataValidation>
    <dataValidation type="list" allowBlank="1" sqref="J4:J99" xr:uid="{00000000-0002-0000-3600-000003000000}">
      <formula1>"Alta,Media,Baja"</formula1>
    </dataValidation>
    <dataValidation type="list" sqref="H4:H99" xr:uid="{00000000-0002-0000-3600-000004000000}">
      <formula1>"Pendiente,En proceso,Completado,Reprogramado"</formula1>
    </dataValidation>
    <dataValidation type="list" allowBlank="1" sqref="H5:H100" xr:uid="{00000000-0002-0000-3600-000005000000}">
      <formula1>"Pendiente,En proceso,Completado,Reprogramado"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7030A0"/>
  </sheetPr>
  <dimension ref="A1:L16"/>
  <sheetViews>
    <sheetView showGridLines="0" workbookViewId="0"/>
  </sheetViews>
  <sheetFormatPr baseColWidth="10" defaultColWidth="8.7265625" defaultRowHeight="14.5"/>
  <cols>
    <col min="1" max="1" width="7.453125" customWidth="1"/>
    <col min="2" max="2" width="5.6328125" customWidth="1"/>
    <col min="3" max="3" width="6.81640625" customWidth="1"/>
    <col min="4" max="8" width="12" customWidth="1"/>
    <col min="9" max="9" width="62.6328125" customWidth="1"/>
    <col min="10" max="11" width="12" customWidth="1"/>
    <col min="12" max="12" width="10" customWidth="1"/>
  </cols>
  <sheetData>
    <row r="1" spans="1:12" ht="30" customHeight="1">
      <c r="A1" s="487" t="s">
        <v>2677</v>
      </c>
      <c r="B1" s="426"/>
      <c r="C1" s="426"/>
      <c r="D1" s="426"/>
      <c r="E1" s="426"/>
      <c r="F1" s="426"/>
      <c r="G1" s="426"/>
      <c r="H1" s="426"/>
      <c r="I1" s="426"/>
      <c r="J1" s="426"/>
    </row>
    <row r="2" spans="1:12">
      <c r="A2" s="488" t="s">
        <v>2678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 ht="7" customHeight="1"/>
    <row r="4" spans="1:12" ht="23.5" customHeight="1">
      <c r="A4" s="207" t="s">
        <v>1115</v>
      </c>
      <c r="B4" s="207" t="s">
        <v>2220</v>
      </c>
      <c r="C4" s="207" t="s">
        <v>2221</v>
      </c>
      <c r="D4" s="207" t="s">
        <v>2222</v>
      </c>
      <c r="E4" s="207" t="s">
        <v>2223</v>
      </c>
      <c r="F4" s="207" t="s">
        <v>2224</v>
      </c>
      <c r="G4" s="207" t="s">
        <v>2225</v>
      </c>
      <c r="H4" s="207" t="s">
        <v>2226</v>
      </c>
      <c r="I4" s="207" t="s">
        <v>118</v>
      </c>
      <c r="J4" s="207" t="s">
        <v>248</v>
      </c>
      <c r="K4" s="207" t="s">
        <v>655</v>
      </c>
    </row>
    <row r="5" spans="1:12">
      <c r="A5" s="209">
        <v>1</v>
      </c>
      <c r="B5" s="214">
        <v>46174</v>
      </c>
      <c r="C5" s="214">
        <v>46175</v>
      </c>
      <c r="D5" s="214">
        <v>46176</v>
      </c>
      <c r="E5" s="214">
        <v>46177</v>
      </c>
      <c r="F5" s="214">
        <v>46178</v>
      </c>
      <c r="G5" s="214">
        <v>46179</v>
      </c>
      <c r="H5" s="214">
        <v>46180</v>
      </c>
      <c r="I5" s="209"/>
      <c r="J5" s="209" t="s">
        <v>1289</v>
      </c>
      <c r="K5" s="209" t="s">
        <v>49</v>
      </c>
    </row>
    <row r="6" spans="1:12">
      <c r="A6" s="209">
        <v>2</v>
      </c>
      <c r="B6" s="214">
        <v>46181</v>
      </c>
      <c r="C6" s="214">
        <v>46182</v>
      </c>
      <c r="D6" s="214">
        <v>46183</v>
      </c>
      <c r="E6" s="214">
        <v>46184</v>
      </c>
      <c r="F6" s="214">
        <v>46185</v>
      </c>
      <c r="G6" s="214">
        <v>46186</v>
      </c>
      <c r="H6" s="214">
        <v>46187</v>
      </c>
      <c r="I6" s="209"/>
      <c r="J6" s="209" t="s">
        <v>1289</v>
      </c>
      <c r="K6" s="209" t="s">
        <v>49</v>
      </c>
    </row>
    <row r="7" spans="1:12" ht="43.5" customHeight="1">
      <c r="A7" s="209">
        <v>3</v>
      </c>
      <c r="B7" s="214">
        <v>46188</v>
      </c>
      <c r="C7" s="214">
        <v>46189</v>
      </c>
      <c r="D7" s="214">
        <v>46190</v>
      </c>
      <c r="E7" s="214">
        <v>46191</v>
      </c>
      <c r="F7" s="214">
        <v>46192</v>
      </c>
      <c r="G7" s="214">
        <v>46193</v>
      </c>
      <c r="H7" s="214">
        <v>46194</v>
      </c>
      <c r="I7" s="209" t="s">
        <v>2679</v>
      </c>
      <c r="J7" s="209" t="s">
        <v>1907</v>
      </c>
      <c r="K7" s="209" t="s">
        <v>49</v>
      </c>
    </row>
    <row r="8" spans="1:12" ht="43.5" customHeight="1">
      <c r="A8" s="209">
        <v>4</v>
      </c>
      <c r="B8" s="214">
        <v>46195</v>
      </c>
      <c r="C8" s="214">
        <v>46196</v>
      </c>
      <c r="D8" s="214">
        <v>46197</v>
      </c>
      <c r="E8" s="214">
        <v>46198</v>
      </c>
      <c r="F8" s="214">
        <v>46199</v>
      </c>
      <c r="G8" s="214">
        <v>46200</v>
      </c>
      <c r="H8" s="214">
        <v>46201</v>
      </c>
      <c r="I8" s="209" t="s">
        <v>2680</v>
      </c>
      <c r="J8" s="209" t="s">
        <v>1907</v>
      </c>
      <c r="K8" s="209" t="s">
        <v>49</v>
      </c>
    </row>
    <row r="9" spans="1:12">
      <c r="A9" s="209">
        <v>5</v>
      </c>
      <c r="B9" s="214">
        <v>46202</v>
      </c>
      <c r="C9" s="214">
        <v>46203</v>
      </c>
      <c r="D9" s="214">
        <v>46204</v>
      </c>
      <c r="E9" s="214">
        <v>46205</v>
      </c>
      <c r="F9" s="214">
        <v>46206</v>
      </c>
      <c r="G9" s="214">
        <v>46207</v>
      </c>
      <c r="H9" s="214">
        <v>46208</v>
      </c>
      <c r="I9" s="209"/>
      <c r="J9" s="209" t="s">
        <v>1289</v>
      </c>
      <c r="K9" s="209" t="s">
        <v>49</v>
      </c>
    </row>
    <row r="10" spans="1:12">
      <c r="A10" s="209">
        <v>6</v>
      </c>
      <c r="B10" s="214">
        <v>46209</v>
      </c>
      <c r="C10" s="214">
        <v>46210</v>
      </c>
      <c r="D10" s="214">
        <v>46211</v>
      </c>
      <c r="E10" s="214">
        <v>46212</v>
      </c>
      <c r="F10" s="214">
        <v>46213</v>
      </c>
      <c r="G10" s="214">
        <v>46214</v>
      </c>
      <c r="H10" s="214">
        <v>46215</v>
      </c>
      <c r="I10" s="209"/>
      <c r="J10" s="209" t="s">
        <v>1289</v>
      </c>
      <c r="K10" s="209" t="s">
        <v>49</v>
      </c>
    </row>
    <row r="11" spans="1:12" ht="29" customHeight="1">
      <c r="A11" s="209">
        <v>7</v>
      </c>
      <c r="B11" s="214">
        <v>46216</v>
      </c>
      <c r="C11" s="214">
        <v>46217</v>
      </c>
      <c r="D11" s="214">
        <v>46218</v>
      </c>
      <c r="E11" s="214">
        <v>46219</v>
      </c>
      <c r="F11" s="214">
        <v>46220</v>
      </c>
      <c r="G11" s="214">
        <v>46221</v>
      </c>
      <c r="H11" s="214">
        <v>46222</v>
      </c>
      <c r="I11" s="209" t="s">
        <v>2681</v>
      </c>
      <c r="J11" s="209" t="s">
        <v>1907</v>
      </c>
      <c r="K11" s="209" t="s">
        <v>49</v>
      </c>
    </row>
    <row r="12" spans="1:12" ht="43.5" customHeight="1">
      <c r="A12" s="209">
        <v>8</v>
      </c>
      <c r="B12" s="214">
        <v>46223</v>
      </c>
      <c r="C12" s="214">
        <v>46224</v>
      </c>
      <c r="D12" s="214">
        <v>46225</v>
      </c>
      <c r="E12" s="214">
        <v>46226</v>
      </c>
      <c r="F12" s="214">
        <v>46227</v>
      </c>
      <c r="G12" s="214">
        <v>46228</v>
      </c>
      <c r="H12" s="214">
        <v>46229</v>
      </c>
      <c r="I12" s="209" t="s">
        <v>2682</v>
      </c>
      <c r="J12" s="209" t="s">
        <v>1907</v>
      </c>
      <c r="K12" s="209" t="s">
        <v>49</v>
      </c>
    </row>
    <row r="13" spans="1:12">
      <c r="A13" s="209">
        <v>9</v>
      </c>
      <c r="B13" s="214">
        <v>46230</v>
      </c>
      <c r="C13" s="214">
        <v>46231</v>
      </c>
      <c r="D13" s="214">
        <v>46232</v>
      </c>
      <c r="E13" s="214">
        <v>46233</v>
      </c>
      <c r="F13" s="214">
        <v>46234</v>
      </c>
      <c r="G13" s="214">
        <v>46235</v>
      </c>
      <c r="H13" s="214">
        <v>46236</v>
      </c>
      <c r="I13" s="209"/>
      <c r="J13" s="209" t="s">
        <v>1289</v>
      </c>
      <c r="K13" s="209" t="s">
        <v>49</v>
      </c>
    </row>
    <row r="14" spans="1:12" ht="29" customHeight="1">
      <c r="A14" s="209">
        <v>10</v>
      </c>
      <c r="B14" s="214">
        <v>46237</v>
      </c>
      <c r="C14" s="214">
        <v>46238</v>
      </c>
      <c r="D14" s="214">
        <v>46239</v>
      </c>
      <c r="E14" s="214">
        <v>46240</v>
      </c>
      <c r="F14" s="214">
        <v>46241</v>
      </c>
      <c r="G14" s="214">
        <v>46242</v>
      </c>
      <c r="H14" s="214">
        <v>46243</v>
      </c>
      <c r="I14" s="209" t="s">
        <v>2683</v>
      </c>
      <c r="J14" s="209" t="s">
        <v>1907</v>
      </c>
      <c r="K14" s="209" t="s">
        <v>49</v>
      </c>
    </row>
    <row r="15" spans="1:12" ht="29" customHeight="1">
      <c r="A15" s="209">
        <v>11</v>
      </c>
      <c r="B15" s="214">
        <v>46244</v>
      </c>
      <c r="C15" s="214">
        <v>46245</v>
      </c>
      <c r="D15" s="214">
        <v>46246</v>
      </c>
      <c r="E15" s="214">
        <v>46247</v>
      </c>
      <c r="F15" s="214">
        <v>46248</v>
      </c>
      <c r="G15" s="214">
        <v>46249</v>
      </c>
      <c r="H15" s="214">
        <v>46250</v>
      </c>
      <c r="I15" s="209" t="s">
        <v>2684</v>
      </c>
      <c r="J15" s="209" t="s">
        <v>1907</v>
      </c>
      <c r="K15" s="209" t="s">
        <v>49</v>
      </c>
    </row>
    <row r="16" spans="1:12" ht="58" customHeight="1">
      <c r="A16" s="209">
        <v>12</v>
      </c>
      <c r="B16" s="214">
        <v>46251</v>
      </c>
      <c r="C16" s="214">
        <v>46252</v>
      </c>
      <c r="D16" s="214">
        <v>46253</v>
      </c>
      <c r="E16" s="214">
        <v>46254</v>
      </c>
      <c r="F16" s="214">
        <v>46255</v>
      </c>
      <c r="G16" s="214">
        <v>46256</v>
      </c>
      <c r="H16" s="214">
        <v>46257</v>
      </c>
      <c r="I16" s="209" t="s">
        <v>2685</v>
      </c>
      <c r="J16" s="209" t="s">
        <v>1907</v>
      </c>
      <c r="K16" s="209" t="s">
        <v>49</v>
      </c>
    </row>
  </sheetData>
  <mergeCells count="2">
    <mergeCell ref="A1:J1"/>
    <mergeCell ref="A2:L2"/>
  </mergeCells>
  <conditionalFormatting sqref="B17">
    <cfRule type="expression" dxfId="702" priority="7">
      <formula>ISNUMBER(SEARCH("🔴",B17))</formula>
    </cfRule>
    <cfRule type="expression" dxfId="701" priority="8">
      <formula>ISNUMBER(SEARCH("🟡",B17))</formula>
    </cfRule>
    <cfRule type="expression" dxfId="700" priority="9">
      <formula>ISNUMBER(SEARCH("🟢",B17))</formula>
    </cfRule>
  </conditionalFormatting>
  <conditionalFormatting sqref="I5:I20">
    <cfRule type="expression" dxfId="699" priority="1">
      <formula>ISNUMBER(SEARCH("🔴",I5))</formula>
    </cfRule>
    <cfRule type="expression" dxfId="698" priority="2">
      <formula>ISNUMBER(SEARCH("🟡",I5))</formula>
    </cfRule>
    <cfRule type="expression" dxfId="697" priority="3">
      <formula>ISNUMBER(SEARCH("🟢",I5))</formula>
    </cfRule>
  </conditionalFormatting>
  <conditionalFormatting sqref="K5:K20">
    <cfRule type="expression" dxfId="696" priority="4">
      <formula>ISNUMBER(SEARCH("🔴",K5))</formula>
    </cfRule>
    <cfRule type="expression" dxfId="695" priority="5">
      <formula>ISNUMBER(SEARCH("🟡",K5))</formula>
    </cfRule>
    <cfRule type="expression" dxfId="694" priority="6">
      <formula>ISNUMBER(SEARCH("🟢",K5))</formula>
    </cfRule>
  </conditionalFormatting>
  <dataValidations count="1">
    <dataValidation type="list" allowBlank="1" sqref="K5:K20" xr:uid="{00000000-0002-0000-3700-000000000000}">
      <formula1>"Pendiente,En proceso,Cerrada,Riesgo"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7030A0"/>
  </sheetPr>
  <dimension ref="A1:L20"/>
  <sheetViews>
    <sheetView showGridLines="0" workbookViewId="0"/>
  </sheetViews>
  <sheetFormatPr baseColWidth="10" defaultColWidth="8.7265625" defaultRowHeight="14.5"/>
  <cols>
    <col min="1" max="1" width="27.36328125" customWidth="1"/>
    <col min="2" max="2" width="11.54296875" customWidth="1"/>
    <col min="3" max="3" width="13.26953125" customWidth="1"/>
    <col min="4" max="4" width="17.08984375" customWidth="1"/>
    <col min="5" max="5" width="17.6328125" customWidth="1"/>
    <col min="6" max="12" width="12" customWidth="1"/>
  </cols>
  <sheetData>
    <row r="1" spans="1:12" ht="30" customHeight="1">
      <c r="A1" s="489" t="s">
        <v>2686</v>
      </c>
      <c r="B1" s="426"/>
      <c r="C1" s="426"/>
      <c r="D1" s="426"/>
      <c r="E1" s="426"/>
    </row>
    <row r="2" spans="1:12">
      <c r="A2" s="488" t="s">
        <v>2687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4" spans="1:12">
      <c r="A4" s="207" t="s">
        <v>1300</v>
      </c>
      <c r="B4" s="207" t="s">
        <v>7</v>
      </c>
      <c r="C4" s="207" t="s">
        <v>655</v>
      </c>
      <c r="D4" s="207" t="s">
        <v>696</v>
      </c>
      <c r="E4" s="207" t="s">
        <v>252</v>
      </c>
      <c r="F4" s="208"/>
      <c r="G4" s="208"/>
      <c r="H4" s="208"/>
      <c r="I4" s="208"/>
      <c r="J4" s="208"/>
      <c r="K4" s="208"/>
      <c r="L4" s="208"/>
    </row>
    <row r="5" spans="1:12">
      <c r="A5" s="209" t="s">
        <v>2576</v>
      </c>
      <c r="B5" s="209">
        <f>COUNTA('61_T2_Ramos'!A5:A20)</f>
        <v>4</v>
      </c>
      <c r="C5" s="209" t="s">
        <v>79</v>
      </c>
      <c r="D5" s="209" t="s">
        <v>2688</v>
      </c>
      <c r="E5" s="209" t="s">
        <v>741</v>
      </c>
    </row>
    <row r="6" spans="1:12">
      <c r="A6" s="209" t="s">
        <v>2577</v>
      </c>
      <c r="B6" s="209">
        <f>COUNTA('62_T2_Evaluaciones'!A5:A200)</f>
        <v>20</v>
      </c>
      <c r="C6" s="209" t="s">
        <v>79</v>
      </c>
      <c r="D6" s="209" t="s">
        <v>2689</v>
      </c>
      <c r="E6" s="209" t="s">
        <v>36</v>
      </c>
    </row>
    <row r="7" spans="1:12">
      <c r="A7" s="209" t="s">
        <v>2215</v>
      </c>
      <c r="B7" s="209">
        <f>COUNTIF('62_T2_Evaluaciones'!I5:I200,"Pendiente")</f>
        <v>20</v>
      </c>
      <c r="C7" s="209" t="str">
        <f>IF(B7&gt;0,"Atención","Controlado")</f>
        <v>Atención</v>
      </c>
      <c r="D7" s="209" t="s">
        <v>2690</v>
      </c>
      <c r="E7" s="209" t="s">
        <v>36</v>
      </c>
    </row>
    <row r="8" spans="1:12">
      <c r="A8" s="209" t="s">
        <v>2691</v>
      </c>
      <c r="B8" s="209">
        <f ca="1">COUNTIF('62_T2_Evaluaciones'!M5:M200,"Crítico")+COUNTIF('62_T2_Evaluaciones'!M5:M200,"Vencido")</f>
        <v>6</v>
      </c>
      <c r="C8" s="209" t="str">
        <f ca="1">IF(B8&gt;0,"Crítico","Controlado")</f>
        <v>Crítico</v>
      </c>
      <c r="D8" s="209" t="s">
        <v>2594</v>
      </c>
      <c r="E8" s="209" t="s">
        <v>36</v>
      </c>
    </row>
    <row r="9" spans="1:12">
      <c r="A9" s="209" t="s">
        <v>2583</v>
      </c>
      <c r="B9" s="209">
        <f>COUNTA('63_T2_Bloques'!A5:A500)</f>
        <v>96</v>
      </c>
      <c r="C9" s="209" t="s">
        <v>79</v>
      </c>
      <c r="D9" s="209" t="s">
        <v>2690</v>
      </c>
      <c r="E9" s="209" t="s">
        <v>311</v>
      </c>
    </row>
    <row r="10" spans="1:12">
      <c r="A10" s="209" t="s">
        <v>2586</v>
      </c>
      <c r="B10" s="209">
        <f>COUNTIF('63_T2_Bloques'!H5:H500,"Completado")</f>
        <v>16</v>
      </c>
      <c r="C10" s="209" t="s">
        <v>79</v>
      </c>
      <c r="D10" s="209" t="s">
        <v>2588</v>
      </c>
      <c r="E10" s="209" t="s">
        <v>311</v>
      </c>
    </row>
    <row r="11" spans="1:12">
      <c r="A11" s="209" t="s">
        <v>2589</v>
      </c>
      <c r="B11" s="209" t="str">
        <f ca="1">IF(B10=0,0,B11/B10)</f>
        <v/>
      </c>
      <c r="C11" s="209" t="str">
        <f>IF(B12&lt;0.5,"Crítico",IF(B12&lt;0.7,"Alto","Controlado"))</f>
        <v>Controlado</v>
      </c>
      <c r="D11" s="209" t="s">
        <v>2591</v>
      </c>
      <c r="E11" s="209" t="s">
        <v>311</v>
      </c>
    </row>
    <row r="12" spans="1:12">
      <c r="A12" s="209" t="s">
        <v>2692</v>
      </c>
      <c r="B12" s="209">
        <f>COUNTA('64_T2_Errores'!A5:A200)</f>
        <v>4</v>
      </c>
      <c r="C12" s="209" t="s">
        <v>79</v>
      </c>
      <c r="D12" s="209" t="s">
        <v>2693</v>
      </c>
      <c r="E12" s="209" t="s">
        <v>318</v>
      </c>
    </row>
    <row r="16" spans="1:12">
      <c r="A16" s="219" t="s">
        <v>2230</v>
      </c>
      <c r="B16" s="219" t="s">
        <v>118</v>
      </c>
      <c r="C16" s="219" t="s">
        <v>2236</v>
      </c>
    </row>
    <row r="17" spans="1:3">
      <c r="A17" s="220" t="s">
        <v>2184</v>
      </c>
      <c r="B17" s="220">
        <f>COUNTIF('62_T2_Evaluaciones'!B:B,A17)</f>
        <v>4</v>
      </c>
      <c r="C17" s="220">
        <f>SUMIF('62_T2_Evaluaciones'!B:B,A17,'62_T2_Evaluaciones'!F:F)</f>
        <v>100</v>
      </c>
    </row>
    <row r="18" spans="1:3">
      <c r="A18" s="220" t="s">
        <v>2189</v>
      </c>
      <c r="B18" s="220">
        <f>COUNTIF('62_T2_Evaluaciones'!B:B,A18)</f>
        <v>5</v>
      </c>
      <c r="C18" s="220">
        <f>SUMIF('62_T2_Evaluaciones'!B:B,A18,'62_T2_Evaluaciones'!F:F)</f>
        <v>100</v>
      </c>
    </row>
    <row r="19" spans="1:3">
      <c r="A19" s="220" t="s">
        <v>35</v>
      </c>
      <c r="B19" s="220">
        <f>COUNTIF('62_T2_Evaluaciones'!B:B,A19)</f>
        <v>4</v>
      </c>
      <c r="C19" s="220">
        <f>SUMIF('62_T2_Evaluaciones'!B:B,A19,'62_T2_Evaluaciones'!F:F)</f>
        <v>100</v>
      </c>
    </row>
    <row r="20" spans="1:3">
      <c r="A20" s="220" t="s">
        <v>2199</v>
      </c>
      <c r="B20" s="220">
        <f>COUNTIF('62_T2_Evaluaciones'!B:B,A20)</f>
        <v>7</v>
      </c>
      <c r="C20" s="220">
        <f>SUMIF('62_T2_Evaluaciones'!B:B,A20,'62_T2_Evaluaciones'!F:F)</f>
        <v>100</v>
      </c>
    </row>
  </sheetData>
  <mergeCells count="2">
    <mergeCell ref="A2:L2"/>
    <mergeCell ref="A1:E1"/>
  </mergeCells>
  <conditionalFormatting sqref="B17">
    <cfRule type="expression" dxfId="693" priority="7">
      <formula>ISNUMBER(SEARCH("🔴",B17))</formula>
    </cfRule>
    <cfRule type="expression" dxfId="692" priority="8">
      <formula>ISNUMBER(SEARCH("🟡",B17))</formula>
    </cfRule>
    <cfRule type="expression" dxfId="691" priority="9">
      <formula>ISNUMBER(SEARCH("🟢",B17))</formula>
    </cfRule>
  </conditionalFormatting>
  <conditionalFormatting sqref="C5:C12">
    <cfRule type="expression" dxfId="690" priority="10">
      <formula>OR(C5="Crítico",C5="Vencido",C5="Alto")</formula>
    </cfRule>
    <cfRule type="expression" dxfId="689" priority="11">
      <formula>OR(C5="Atención",C5="Vigilar",C5="Próximo")</formula>
    </cfRule>
    <cfRule type="expression" dxfId="688" priority="12">
      <formula>OR(C5="Controlado",C5="Activo",C5="Vigente",C5="Completado")</formula>
    </cfRule>
  </conditionalFormatting>
  <conditionalFormatting sqref="I5:I20">
    <cfRule type="expression" dxfId="687" priority="1">
      <formula>ISNUMBER(SEARCH("🔴",I5))</formula>
    </cfRule>
    <cfRule type="expression" dxfId="686" priority="2">
      <formula>ISNUMBER(SEARCH("🟡",I5))</formula>
    </cfRule>
    <cfRule type="expression" dxfId="685" priority="3">
      <formula>ISNUMBER(SEARCH("🟢",I5))</formula>
    </cfRule>
  </conditionalFormatting>
  <conditionalFormatting sqref="K5:K20">
    <cfRule type="expression" dxfId="684" priority="4">
      <formula>ISNUMBER(SEARCH("🔴",K5))</formula>
    </cfRule>
    <cfRule type="expression" dxfId="683" priority="5">
      <formula>ISNUMBER(SEARCH("🟡",K5))</formula>
    </cfRule>
    <cfRule type="expression" dxfId="682" priority="6">
      <formula>ISNUMBER(SEARCH("🟢",K5))</formula>
    </cfRule>
  </conditionalFormatting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30A0"/>
  </sheetPr>
  <dimension ref="A1:J51"/>
  <sheetViews>
    <sheetView showGridLines="0" workbookViewId="0"/>
  </sheetViews>
  <sheetFormatPr baseColWidth="10" defaultColWidth="8.7265625" defaultRowHeight="14.5"/>
  <cols>
    <col min="1" max="1" width="27.36328125" customWidth="1"/>
    <col min="2" max="2" width="7.453125" customWidth="1"/>
    <col min="3" max="3" width="29.36328125" customWidth="1"/>
    <col min="4" max="4" width="41.81640625" customWidth="1"/>
    <col min="5" max="5" width="21.26953125" customWidth="1"/>
    <col min="6" max="6" width="8.81640625" customWidth="1"/>
    <col min="7" max="7" width="26.36328125" customWidth="1"/>
    <col min="8" max="8" width="9.1796875" customWidth="1"/>
    <col min="9" max="9" width="14.7265625" customWidth="1"/>
    <col min="10" max="10" width="32" customWidth="1"/>
  </cols>
  <sheetData>
    <row r="1" spans="1:10" ht="21" customHeight="1">
      <c r="A1" s="490" t="s">
        <v>2694</v>
      </c>
      <c r="B1" s="426"/>
      <c r="C1" s="426"/>
      <c r="D1" s="426"/>
      <c r="E1" s="426"/>
      <c r="F1" s="426"/>
      <c r="G1" s="426"/>
      <c r="H1" s="426"/>
      <c r="I1" s="426"/>
      <c r="J1" s="426"/>
    </row>
    <row r="2" spans="1:10">
      <c r="A2" s="488" t="s">
        <v>2695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0">
      <c r="A3" s="207" t="s">
        <v>2230</v>
      </c>
      <c r="B3" s="207" t="s">
        <v>1115</v>
      </c>
      <c r="C3" s="207" t="s">
        <v>2243</v>
      </c>
      <c r="D3" s="207" t="s">
        <v>2696</v>
      </c>
      <c r="E3" s="207" t="s">
        <v>252</v>
      </c>
      <c r="F3" s="207" t="s">
        <v>2234</v>
      </c>
      <c r="G3" s="207" t="s">
        <v>2697</v>
      </c>
      <c r="H3" s="207" t="s">
        <v>655</v>
      </c>
      <c r="I3" s="207" t="s">
        <v>2698</v>
      </c>
      <c r="J3" s="207" t="s">
        <v>2699</v>
      </c>
    </row>
    <row r="4" spans="1:10">
      <c r="A4" s="209" t="s">
        <v>2184</v>
      </c>
      <c r="B4" s="209">
        <v>1</v>
      </c>
      <c r="C4" s="209" t="s">
        <v>2254</v>
      </c>
      <c r="D4" s="209" t="s">
        <v>2255</v>
      </c>
      <c r="E4" s="209" t="s">
        <v>2700</v>
      </c>
      <c r="F4" s="209" t="s">
        <v>332</v>
      </c>
      <c r="G4" s="209" t="s">
        <v>2257</v>
      </c>
      <c r="H4" s="209" t="s">
        <v>49</v>
      </c>
      <c r="I4" s="209">
        <v>4</v>
      </c>
      <c r="J4" s="209" t="s">
        <v>2701</v>
      </c>
    </row>
    <row r="5" spans="1:10" ht="29" customHeight="1">
      <c r="A5" s="209" t="s">
        <v>2184</v>
      </c>
      <c r="B5" s="209">
        <v>2</v>
      </c>
      <c r="C5" s="209" t="s">
        <v>2254</v>
      </c>
      <c r="D5" s="209" t="s">
        <v>2259</v>
      </c>
      <c r="E5" s="209" t="s">
        <v>2702</v>
      </c>
      <c r="F5" s="209" t="s">
        <v>332</v>
      </c>
      <c r="G5" s="209" t="s">
        <v>2260</v>
      </c>
      <c r="H5" s="209" t="s">
        <v>49</v>
      </c>
      <c r="I5" s="209">
        <v>4</v>
      </c>
      <c r="J5" s="209" t="s">
        <v>2701</v>
      </c>
    </row>
    <row r="6" spans="1:10">
      <c r="A6" s="209" t="s">
        <v>2184</v>
      </c>
      <c r="B6" s="209">
        <v>3</v>
      </c>
      <c r="C6" s="209" t="s">
        <v>2254</v>
      </c>
      <c r="D6" s="209" t="s">
        <v>2262</v>
      </c>
      <c r="E6" s="209" t="s">
        <v>2702</v>
      </c>
      <c r="F6" s="209" t="s">
        <v>332</v>
      </c>
      <c r="G6" s="209" t="s">
        <v>2263</v>
      </c>
      <c r="H6" s="209" t="s">
        <v>49</v>
      </c>
      <c r="I6" s="209">
        <v>4</v>
      </c>
      <c r="J6" s="209" t="s">
        <v>2701</v>
      </c>
    </row>
    <row r="7" spans="1:10" ht="29" customHeight="1">
      <c r="A7" s="209" t="s">
        <v>2184</v>
      </c>
      <c r="B7" s="209">
        <v>4</v>
      </c>
      <c r="C7" s="209" t="s">
        <v>2254</v>
      </c>
      <c r="D7" s="209" t="s">
        <v>2265</v>
      </c>
      <c r="E7" s="209" t="s">
        <v>2702</v>
      </c>
      <c r="F7" s="209" t="s">
        <v>1907</v>
      </c>
      <c r="G7" s="209" t="s">
        <v>2266</v>
      </c>
      <c r="H7" s="209" t="s">
        <v>49</v>
      </c>
      <c r="I7" s="209">
        <v>5</v>
      </c>
      <c r="J7" s="209" t="s">
        <v>2701</v>
      </c>
    </row>
    <row r="8" spans="1:10" ht="29" customHeight="1">
      <c r="A8" s="209" t="s">
        <v>2184</v>
      </c>
      <c r="B8" s="209">
        <v>5</v>
      </c>
      <c r="C8" s="209" t="s">
        <v>2268</v>
      </c>
      <c r="D8" s="209" t="s">
        <v>2269</v>
      </c>
      <c r="E8" s="209" t="s">
        <v>2703</v>
      </c>
      <c r="F8" s="209" t="s">
        <v>332</v>
      </c>
      <c r="G8" s="209" t="s">
        <v>2270</v>
      </c>
      <c r="H8" s="209" t="s">
        <v>49</v>
      </c>
      <c r="I8" s="209">
        <v>4</v>
      </c>
      <c r="J8" s="209" t="s">
        <v>2701</v>
      </c>
    </row>
    <row r="9" spans="1:10">
      <c r="A9" s="209" t="s">
        <v>2184</v>
      </c>
      <c r="B9" s="209">
        <v>6</v>
      </c>
      <c r="C9" s="209" t="s">
        <v>2272</v>
      </c>
      <c r="D9" s="209" t="s">
        <v>2273</v>
      </c>
      <c r="E9" s="209" t="s">
        <v>2703</v>
      </c>
      <c r="F9" s="209" t="s">
        <v>332</v>
      </c>
      <c r="G9" s="209" t="s">
        <v>2274</v>
      </c>
      <c r="H9" s="209" t="s">
        <v>49</v>
      </c>
      <c r="I9" s="209">
        <v>4</v>
      </c>
      <c r="J9" s="209" t="s">
        <v>2701</v>
      </c>
    </row>
    <row r="10" spans="1:10">
      <c r="A10" s="209" t="s">
        <v>2184</v>
      </c>
      <c r="B10" s="209">
        <v>7</v>
      </c>
      <c r="C10" s="209" t="s">
        <v>2276</v>
      </c>
      <c r="D10" s="209" t="s">
        <v>2277</v>
      </c>
      <c r="E10" s="209" t="s">
        <v>2703</v>
      </c>
      <c r="F10" s="209" t="s">
        <v>1907</v>
      </c>
      <c r="G10" s="209" t="s">
        <v>2278</v>
      </c>
      <c r="H10" s="209" t="s">
        <v>49</v>
      </c>
      <c r="I10" s="209">
        <v>5</v>
      </c>
      <c r="J10" s="209" t="s">
        <v>2701</v>
      </c>
    </row>
    <row r="11" spans="1:10">
      <c r="A11" s="209" t="s">
        <v>2184</v>
      </c>
      <c r="B11" s="209">
        <v>8</v>
      </c>
      <c r="C11" s="209" t="s">
        <v>2280</v>
      </c>
      <c r="D11" s="209" t="s">
        <v>2281</v>
      </c>
      <c r="E11" s="209" t="s">
        <v>2703</v>
      </c>
      <c r="F11" s="209" t="s">
        <v>332</v>
      </c>
      <c r="G11" s="209" t="s">
        <v>2282</v>
      </c>
      <c r="H11" s="209" t="s">
        <v>49</v>
      </c>
      <c r="I11" s="209">
        <v>4</v>
      </c>
      <c r="J11" s="209" t="s">
        <v>2701</v>
      </c>
    </row>
    <row r="12" spans="1:10">
      <c r="A12" s="209" t="s">
        <v>2184</v>
      </c>
      <c r="B12" s="209">
        <v>9</v>
      </c>
      <c r="C12" s="209" t="s">
        <v>2284</v>
      </c>
      <c r="D12" s="209" t="s">
        <v>2285</v>
      </c>
      <c r="E12" s="209" t="s">
        <v>2703</v>
      </c>
      <c r="F12" s="209" t="s">
        <v>332</v>
      </c>
      <c r="G12" s="209" t="s">
        <v>2286</v>
      </c>
      <c r="H12" s="209" t="s">
        <v>49</v>
      </c>
      <c r="I12" s="209">
        <v>4</v>
      </c>
      <c r="J12" s="209" t="s">
        <v>2701</v>
      </c>
    </row>
    <row r="13" spans="1:10" ht="29" customHeight="1">
      <c r="A13" s="209" t="s">
        <v>2184</v>
      </c>
      <c r="B13" s="209">
        <v>10</v>
      </c>
      <c r="C13" s="209" t="s">
        <v>2288</v>
      </c>
      <c r="D13" s="209" t="s">
        <v>2289</v>
      </c>
      <c r="E13" s="209" t="s">
        <v>2703</v>
      </c>
      <c r="F13" s="209" t="s">
        <v>1907</v>
      </c>
      <c r="G13" s="209" t="s">
        <v>2290</v>
      </c>
      <c r="H13" s="209" t="s">
        <v>49</v>
      </c>
      <c r="I13" s="209">
        <v>5</v>
      </c>
      <c r="J13" s="209" t="s">
        <v>2701</v>
      </c>
    </row>
    <row r="14" spans="1:10">
      <c r="A14" s="209" t="s">
        <v>2184</v>
      </c>
      <c r="B14" s="209">
        <v>11</v>
      </c>
      <c r="C14" s="209" t="s">
        <v>2292</v>
      </c>
      <c r="D14" s="209" t="s">
        <v>2293</v>
      </c>
      <c r="E14" s="209" t="s">
        <v>2703</v>
      </c>
      <c r="F14" s="209" t="s">
        <v>332</v>
      </c>
      <c r="G14" s="209" t="s">
        <v>2294</v>
      </c>
      <c r="H14" s="209" t="s">
        <v>49</v>
      </c>
      <c r="I14" s="209">
        <v>4</v>
      </c>
      <c r="J14" s="209" t="s">
        <v>2701</v>
      </c>
    </row>
    <row r="15" spans="1:10">
      <c r="A15" s="209" t="s">
        <v>2184</v>
      </c>
      <c r="B15" s="209">
        <v>12</v>
      </c>
      <c r="C15" s="209" t="s">
        <v>2296</v>
      </c>
      <c r="D15" s="209" t="s">
        <v>2297</v>
      </c>
      <c r="E15" s="209" t="s">
        <v>2703</v>
      </c>
      <c r="F15" s="209" t="s">
        <v>1907</v>
      </c>
      <c r="G15" s="209" t="s">
        <v>2298</v>
      </c>
      <c r="H15" s="209" t="s">
        <v>49</v>
      </c>
      <c r="I15" s="209">
        <v>5</v>
      </c>
      <c r="J15" s="209" t="s">
        <v>2701</v>
      </c>
    </row>
    <row r="16" spans="1:10">
      <c r="A16" s="209" t="s">
        <v>2199</v>
      </c>
      <c r="B16" s="209">
        <v>1</v>
      </c>
      <c r="C16" s="209" t="s">
        <v>2300</v>
      </c>
      <c r="D16" s="209" t="s">
        <v>2301</v>
      </c>
      <c r="E16" s="209" t="s">
        <v>2704</v>
      </c>
      <c r="F16" s="209" t="s">
        <v>1289</v>
      </c>
      <c r="G16" s="209" t="s">
        <v>2302</v>
      </c>
      <c r="H16" s="209" t="s">
        <v>49</v>
      </c>
      <c r="I16" s="209">
        <v>2</v>
      </c>
      <c r="J16" s="209" t="s">
        <v>2701</v>
      </c>
    </row>
    <row r="17" spans="1:10">
      <c r="A17" s="209" t="s">
        <v>2199</v>
      </c>
      <c r="B17" s="209">
        <v>2</v>
      </c>
      <c r="C17" s="209" t="s">
        <v>2300</v>
      </c>
      <c r="D17" s="209" t="s">
        <v>2304</v>
      </c>
      <c r="E17" s="209" t="s">
        <v>2705</v>
      </c>
      <c r="F17" s="209" t="s">
        <v>332</v>
      </c>
      <c r="G17" s="209" t="s">
        <v>2305</v>
      </c>
      <c r="H17" s="209" t="s">
        <v>49</v>
      </c>
      <c r="I17" s="209">
        <v>4</v>
      </c>
      <c r="J17" s="209" t="s">
        <v>2701</v>
      </c>
    </row>
    <row r="18" spans="1:10">
      <c r="A18" s="209" t="s">
        <v>2199</v>
      </c>
      <c r="B18" s="209">
        <v>3</v>
      </c>
      <c r="C18" s="209" t="s">
        <v>2300</v>
      </c>
      <c r="D18" s="209" t="s">
        <v>2307</v>
      </c>
      <c r="E18" s="209" t="s">
        <v>2706</v>
      </c>
      <c r="F18" s="209" t="s">
        <v>1907</v>
      </c>
      <c r="G18" s="209" t="s">
        <v>2308</v>
      </c>
      <c r="H18" s="209" t="s">
        <v>49</v>
      </c>
      <c r="I18" s="209">
        <v>5</v>
      </c>
      <c r="J18" s="209" t="s">
        <v>2701</v>
      </c>
    </row>
    <row r="19" spans="1:10">
      <c r="A19" s="209" t="s">
        <v>2199</v>
      </c>
      <c r="B19" s="209">
        <v>4</v>
      </c>
      <c r="C19" s="209" t="s">
        <v>2300</v>
      </c>
      <c r="D19" s="209" t="s">
        <v>2310</v>
      </c>
      <c r="E19" s="209" t="s">
        <v>2707</v>
      </c>
      <c r="F19" s="209" t="s">
        <v>1907</v>
      </c>
      <c r="G19" s="209" t="s">
        <v>2311</v>
      </c>
      <c r="H19" s="209" t="s">
        <v>49</v>
      </c>
      <c r="I19" s="209">
        <v>5</v>
      </c>
      <c r="J19" s="209" t="s">
        <v>2701</v>
      </c>
    </row>
    <row r="20" spans="1:10">
      <c r="A20" s="209" t="s">
        <v>2199</v>
      </c>
      <c r="B20" s="209">
        <v>5</v>
      </c>
      <c r="C20" s="209" t="s">
        <v>2313</v>
      </c>
      <c r="D20" s="209" t="s">
        <v>2314</v>
      </c>
      <c r="E20" s="209" t="s">
        <v>2708</v>
      </c>
      <c r="F20" s="209" t="s">
        <v>332</v>
      </c>
      <c r="G20" s="209" t="s">
        <v>2315</v>
      </c>
      <c r="H20" s="209" t="s">
        <v>49</v>
      </c>
      <c r="I20" s="209">
        <v>4</v>
      </c>
      <c r="J20" s="209" t="s">
        <v>2701</v>
      </c>
    </row>
    <row r="21" spans="1:10">
      <c r="A21" s="209" t="s">
        <v>2199</v>
      </c>
      <c r="B21" s="209">
        <v>6</v>
      </c>
      <c r="C21" s="209" t="s">
        <v>2313</v>
      </c>
      <c r="D21" s="209" t="s">
        <v>2317</v>
      </c>
      <c r="E21" s="209" t="s">
        <v>2708</v>
      </c>
      <c r="F21" s="209" t="s">
        <v>332</v>
      </c>
      <c r="G21" s="209" t="s">
        <v>2318</v>
      </c>
      <c r="H21" s="209" t="s">
        <v>49</v>
      </c>
      <c r="I21" s="209">
        <v>4</v>
      </c>
      <c r="J21" s="209" t="s">
        <v>2701</v>
      </c>
    </row>
    <row r="22" spans="1:10">
      <c r="A22" s="209" t="s">
        <v>2199</v>
      </c>
      <c r="B22" s="209">
        <v>7</v>
      </c>
      <c r="C22" s="209" t="s">
        <v>2313</v>
      </c>
      <c r="D22" s="209" t="s">
        <v>2320</v>
      </c>
      <c r="E22" s="209" t="s">
        <v>2708</v>
      </c>
      <c r="F22" s="209" t="s">
        <v>1907</v>
      </c>
      <c r="G22" s="209" t="s">
        <v>2321</v>
      </c>
      <c r="H22" s="209" t="s">
        <v>49</v>
      </c>
      <c r="I22" s="209">
        <v>5</v>
      </c>
      <c r="J22" s="209" t="s">
        <v>2701</v>
      </c>
    </row>
    <row r="23" spans="1:10">
      <c r="A23" s="209" t="s">
        <v>2199</v>
      </c>
      <c r="B23" s="209">
        <v>8</v>
      </c>
      <c r="C23" s="209" t="s">
        <v>2313</v>
      </c>
      <c r="D23" s="209" t="s">
        <v>2323</v>
      </c>
      <c r="E23" s="209" t="s">
        <v>2708</v>
      </c>
      <c r="F23" s="209" t="s">
        <v>332</v>
      </c>
      <c r="G23" s="209" t="s">
        <v>2324</v>
      </c>
      <c r="H23" s="209" t="s">
        <v>49</v>
      </c>
      <c r="I23" s="209">
        <v>4</v>
      </c>
      <c r="J23" s="209" t="s">
        <v>2701</v>
      </c>
    </row>
    <row r="24" spans="1:10">
      <c r="A24" s="209" t="s">
        <v>2199</v>
      </c>
      <c r="B24" s="209">
        <v>9</v>
      </c>
      <c r="C24" s="209" t="s">
        <v>2326</v>
      </c>
      <c r="D24" s="209" t="s">
        <v>2327</v>
      </c>
      <c r="E24" s="209" t="s">
        <v>2708</v>
      </c>
      <c r="F24" s="209" t="s">
        <v>332</v>
      </c>
      <c r="G24" s="209" t="s">
        <v>2328</v>
      </c>
      <c r="H24" s="209" t="s">
        <v>49</v>
      </c>
      <c r="I24" s="209">
        <v>4</v>
      </c>
      <c r="J24" s="209" t="s">
        <v>2701</v>
      </c>
    </row>
    <row r="25" spans="1:10" ht="29" customHeight="1">
      <c r="A25" s="209" t="s">
        <v>2199</v>
      </c>
      <c r="B25" s="209">
        <v>10</v>
      </c>
      <c r="C25" s="209" t="s">
        <v>2330</v>
      </c>
      <c r="D25" s="209" t="s">
        <v>2331</v>
      </c>
      <c r="E25" s="209" t="s">
        <v>2708</v>
      </c>
      <c r="F25" s="209" t="s">
        <v>1907</v>
      </c>
      <c r="G25" s="209" t="s">
        <v>2332</v>
      </c>
      <c r="H25" s="209" t="s">
        <v>49</v>
      </c>
      <c r="I25" s="209">
        <v>5</v>
      </c>
      <c r="J25" s="209" t="s">
        <v>2701</v>
      </c>
    </row>
    <row r="26" spans="1:10">
      <c r="A26" s="209" t="s">
        <v>2199</v>
      </c>
      <c r="B26" s="209">
        <v>11</v>
      </c>
      <c r="C26" s="209" t="s">
        <v>2334</v>
      </c>
      <c r="D26" s="209" t="s">
        <v>2335</v>
      </c>
      <c r="E26" s="209" t="s">
        <v>2708</v>
      </c>
      <c r="F26" s="209" t="s">
        <v>332</v>
      </c>
      <c r="G26" s="209" t="s">
        <v>2336</v>
      </c>
      <c r="H26" s="209" t="s">
        <v>49</v>
      </c>
      <c r="I26" s="209">
        <v>4</v>
      </c>
      <c r="J26" s="209" t="s">
        <v>2701</v>
      </c>
    </row>
    <row r="27" spans="1:10">
      <c r="A27" s="209" t="s">
        <v>2199</v>
      </c>
      <c r="B27" s="209">
        <v>12</v>
      </c>
      <c r="C27" s="209" t="s">
        <v>2334</v>
      </c>
      <c r="D27" s="209" t="s">
        <v>2338</v>
      </c>
      <c r="E27" s="209" t="s">
        <v>2708</v>
      </c>
      <c r="F27" s="209" t="s">
        <v>1907</v>
      </c>
      <c r="G27" s="209" t="s">
        <v>2332</v>
      </c>
      <c r="H27" s="209" t="s">
        <v>49</v>
      </c>
      <c r="I27" s="209">
        <v>5</v>
      </c>
      <c r="J27" s="209" t="s">
        <v>2701</v>
      </c>
    </row>
    <row r="28" spans="1:10" ht="29" customHeight="1">
      <c r="A28" s="209" t="s">
        <v>35</v>
      </c>
      <c r="B28" s="209">
        <v>1</v>
      </c>
      <c r="C28" s="209" t="s">
        <v>2340</v>
      </c>
      <c r="D28" s="209" t="s">
        <v>2341</v>
      </c>
      <c r="E28" s="209" t="s">
        <v>2709</v>
      </c>
      <c r="F28" s="209" t="s">
        <v>332</v>
      </c>
      <c r="G28" s="209" t="s">
        <v>2342</v>
      </c>
      <c r="H28" s="209" t="s">
        <v>49</v>
      </c>
      <c r="I28" s="209">
        <v>4</v>
      </c>
      <c r="J28" s="209" t="s">
        <v>2701</v>
      </c>
    </row>
    <row r="29" spans="1:10">
      <c r="A29" s="209" t="s">
        <v>35</v>
      </c>
      <c r="B29" s="209">
        <v>2</v>
      </c>
      <c r="C29" s="209" t="s">
        <v>2340</v>
      </c>
      <c r="D29" s="209" t="s">
        <v>2344</v>
      </c>
      <c r="E29" s="209" t="s">
        <v>2710</v>
      </c>
      <c r="F29" s="209" t="s">
        <v>332</v>
      </c>
      <c r="G29" s="209" t="s">
        <v>2345</v>
      </c>
      <c r="H29" s="209" t="s">
        <v>49</v>
      </c>
      <c r="I29" s="209">
        <v>4</v>
      </c>
      <c r="J29" s="209" t="s">
        <v>2701</v>
      </c>
    </row>
    <row r="30" spans="1:10" ht="29" customHeight="1">
      <c r="A30" s="209" t="s">
        <v>35</v>
      </c>
      <c r="B30" s="209">
        <v>3</v>
      </c>
      <c r="C30" s="209" t="s">
        <v>2347</v>
      </c>
      <c r="D30" s="209" t="s">
        <v>2348</v>
      </c>
      <c r="E30" s="209" t="s">
        <v>2711</v>
      </c>
      <c r="F30" s="209" t="s">
        <v>1907</v>
      </c>
      <c r="G30" s="209" t="s">
        <v>2349</v>
      </c>
      <c r="H30" s="209" t="s">
        <v>49</v>
      </c>
      <c r="I30" s="209">
        <v>5</v>
      </c>
      <c r="J30" s="209" t="s">
        <v>2701</v>
      </c>
    </row>
    <row r="31" spans="1:10">
      <c r="A31" s="209" t="s">
        <v>35</v>
      </c>
      <c r="B31" s="209">
        <v>4</v>
      </c>
      <c r="C31" s="209" t="s">
        <v>2351</v>
      </c>
      <c r="D31" s="209" t="s">
        <v>2352</v>
      </c>
      <c r="E31" s="209" t="s">
        <v>2712</v>
      </c>
      <c r="F31" s="209" t="s">
        <v>1907</v>
      </c>
      <c r="G31" s="209" t="s">
        <v>2353</v>
      </c>
      <c r="H31" s="209" t="s">
        <v>49</v>
      </c>
      <c r="I31" s="209">
        <v>5</v>
      </c>
      <c r="J31" s="209" t="s">
        <v>2701</v>
      </c>
    </row>
    <row r="32" spans="1:10">
      <c r="A32" s="209" t="s">
        <v>35</v>
      </c>
      <c r="B32" s="209">
        <v>5</v>
      </c>
      <c r="C32" s="209" t="s">
        <v>2355</v>
      </c>
      <c r="D32" s="209" t="s">
        <v>2356</v>
      </c>
      <c r="E32" s="209" t="s">
        <v>2713</v>
      </c>
      <c r="F32" s="209" t="s">
        <v>332</v>
      </c>
      <c r="G32" s="209" t="s">
        <v>2357</v>
      </c>
      <c r="H32" s="209" t="s">
        <v>49</v>
      </c>
      <c r="I32" s="209">
        <v>4</v>
      </c>
      <c r="J32" s="209" t="s">
        <v>2701</v>
      </c>
    </row>
    <row r="33" spans="1:10">
      <c r="A33" s="209" t="s">
        <v>35</v>
      </c>
      <c r="B33" s="209">
        <v>6</v>
      </c>
      <c r="C33" s="209" t="s">
        <v>2359</v>
      </c>
      <c r="D33" s="209" t="s">
        <v>2360</v>
      </c>
      <c r="E33" s="209" t="s">
        <v>2713</v>
      </c>
      <c r="F33" s="209" t="s">
        <v>332</v>
      </c>
      <c r="G33" s="209" t="s">
        <v>2361</v>
      </c>
      <c r="H33" s="209" t="s">
        <v>49</v>
      </c>
      <c r="I33" s="209">
        <v>4</v>
      </c>
      <c r="J33" s="209" t="s">
        <v>2701</v>
      </c>
    </row>
    <row r="34" spans="1:10">
      <c r="A34" s="209" t="s">
        <v>35</v>
      </c>
      <c r="B34" s="209">
        <v>7</v>
      </c>
      <c r="C34" s="209" t="s">
        <v>2363</v>
      </c>
      <c r="D34" s="209" t="s">
        <v>2364</v>
      </c>
      <c r="E34" s="209" t="s">
        <v>2713</v>
      </c>
      <c r="F34" s="209" t="s">
        <v>332</v>
      </c>
      <c r="G34" s="209" t="s">
        <v>2365</v>
      </c>
      <c r="H34" s="209" t="s">
        <v>49</v>
      </c>
      <c r="I34" s="209">
        <v>4</v>
      </c>
      <c r="J34" s="209" t="s">
        <v>2701</v>
      </c>
    </row>
    <row r="35" spans="1:10">
      <c r="A35" s="209" t="s">
        <v>35</v>
      </c>
      <c r="B35" s="209">
        <v>8</v>
      </c>
      <c r="C35" s="209" t="s">
        <v>2367</v>
      </c>
      <c r="D35" s="209" t="s">
        <v>2368</v>
      </c>
      <c r="E35" s="209" t="s">
        <v>2713</v>
      </c>
      <c r="F35" s="209" t="s">
        <v>1907</v>
      </c>
      <c r="G35" s="209" t="s">
        <v>2369</v>
      </c>
      <c r="H35" s="209" t="s">
        <v>49</v>
      </c>
      <c r="I35" s="209">
        <v>5</v>
      </c>
      <c r="J35" s="209" t="s">
        <v>2701</v>
      </c>
    </row>
    <row r="36" spans="1:10">
      <c r="A36" s="209" t="s">
        <v>35</v>
      </c>
      <c r="B36" s="209">
        <v>9</v>
      </c>
      <c r="C36" s="209" t="s">
        <v>2371</v>
      </c>
      <c r="D36" s="209" t="s">
        <v>2372</v>
      </c>
      <c r="E36" s="209" t="s">
        <v>2713</v>
      </c>
      <c r="F36" s="209" t="s">
        <v>332</v>
      </c>
      <c r="G36" s="209" t="s">
        <v>2373</v>
      </c>
      <c r="H36" s="209" t="s">
        <v>49</v>
      </c>
      <c r="I36" s="209">
        <v>4</v>
      </c>
      <c r="J36" s="209" t="s">
        <v>2701</v>
      </c>
    </row>
    <row r="37" spans="1:10">
      <c r="A37" s="209" t="s">
        <v>35</v>
      </c>
      <c r="B37" s="209">
        <v>10</v>
      </c>
      <c r="C37" s="209" t="s">
        <v>2375</v>
      </c>
      <c r="D37" s="209" t="s">
        <v>2376</v>
      </c>
      <c r="E37" s="209" t="s">
        <v>2713</v>
      </c>
      <c r="F37" s="209" t="s">
        <v>332</v>
      </c>
      <c r="G37" s="209" t="s">
        <v>2377</v>
      </c>
      <c r="H37" s="209" t="s">
        <v>49</v>
      </c>
      <c r="I37" s="209">
        <v>4</v>
      </c>
      <c r="J37" s="209" t="s">
        <v>2701</v>
      </c>
    </row>
    <row r="38" spans="1:10">
      <c r="A38" s="209" t="s">
        <v>35</v>
      </c>
      <c r="B38" s="209">
        <v>11</v>
      </c>
      <c r="C38" s="209" t="s">
        <v>2379</v>
      </c>
      <c r="D38" s="209" t="s">
        <v>2380</v>
      </c>
      <c r="E38" s="209" t="s">
        <v>2713</v>
      </c>
      <c r="F38" s="209" t="s">
        <v>332</v>
      </c>
      <c r="G38" s="209" t="s">
        <v>2381</v>
      </c>
      <c r="H38" s="209" t="s">
        <v>49</v>
      </c>
      <c r="I38" s="209">
        <v>4</v>
      </c>
      <c r="J38" s="209" t="s">
        <v>2701</v>
      </c>
    </row>
    <row r="39" spans="1:10">
      <c r="A39" s="209" t="s">
        <v>35</v>
      </c>
      <c r="B39" s="209">
        <v>12</v>
      </c>
      <c r="C39" s="209" t="s">
        <v>2296</v>
      </c>
      <c r="D39" s="209" t="s">
        <v>2383</v>
      </c>
      <c r="E39" s="209" t="s">
        <v>2713</v>
      </c>
      <c r="F39" s="209" t="s">
        <v>1907</v>
      </c>
      <c r="G39" s="209" t="s">
        <v>2369</v>
      </c>
      <c r="H39" s="209" t="s">
        <v>49</v>
      </c>
      <c r="I39" s="209">
        <v>5</v>
      </c>
      <c r="J39" s="209" t="s">
        <v>2701</v>
      </c>
    </row>
    <row r="40" spans="1:10">
      <c r="A40" s="209" t="s">
        <v>2189</v>
      </c>
      <c r="B40" s="209">
        <v>1</v>
      </c>
      <c r="C40" s="209" t="s">
        <v>2385</v>
      </c>
      <c r="D40" s="209" t="s">
        <v>2386</v>
      </c>
      <c r="E40" s="209" t="s">
        <v>2714</v>
      </c>
      <c r="F40" s="209" t="s">
        <v>1289</v>
      </c>
      <c r="G40" s="209" t="s">
        <v>2387</v>
      </c>
      <c r="H40" s="209" t="s">
        <v>49</v>
      </c>
      <c r="I40" s="209">
        <v>2</v>
      </c>
      <c r="J40" s="209" t="s">
        <v>2701</v>
      </c>
    </row>
    <row r="41" spans="1:10" ht="29" customHeight="1">
      <c r="A41" s="209" t="s">
        <v>2189</v>
      </c>
      <c r="B41" s="209">
        <v>2</v>
      </c>
      <c r="C41" s="209" t="s">
        <v>2389</v>
      </c>
      <c r="D41" s="209" t="s">
        <v>2390</v>
      </c>
      <c r="E41" s="209" t="s">
        <v>2715</v>
      </c>
      <c r="F41" s="209" t="s">
        <v>1289</v>
      </c>
      <c r="G41" s="209" t="s">
        <v>2391</v>
      </c>
      <c r="H41" s="209" t="s">
        <v>49</v>
      </c>
      <c r="I41" s="209">
        <v>2</v>
      </c>
      <c r="J41" s="209" t="s">
        <v>2701</v>
      </c>
    </row>
    <row r="42" spans="1:10" ht="29" customHeight="1">
      <c r="A42" s="209" t="s">
        <v>2189</v>
      </c>
      <c r="B42" s="209">
        <v>3</v>
      </c>
      <c r="C42" s="209" t="s">
        <v>2393</v>
      </c>
      <c r="D42" s="209" t="s">
        <v>2394</v>
      </c>
      <c r="E42" s="209" t="s">
        <v>2716</v>
      </c>
      <c r="F42" s="209" t="s">
        <v>332</v>
      </c>
      <c r="G42" s="209" t="s">
        <v>2395</v>
      </c>
      <c r="H42" s="209" t="s">
        <v>49</v>
      </c>
      <c r="I42" s="209">
        <v>4</v>
      </c>
      <c r="J42" s="209" t="s">
        <v>2701</v>
      </c>
    </row>
    <row r="43" spans="1:10">
      <c r="A43" s="209" t="s">
        <v>2189</v>
      </c>
      <c r="B43" s="209">
        <v>4</v>
      </c>
      <c r="C43" s="209" t="s">
        <v>2397</v>
      </c>
      <c r="D43" s="209" t="s">
        <v>2398</v>
      </c>
      <c r="E43" s="209" t="s">
        <v>2717</v>
      </c>
      <c r="F43" s="209" t="s">
        <v>332</v>
      </c>
      <c r="G43" s="209" t="s">
        <v>2395</v>
      </c>
      <c r="H43" s="209" t="s">
        <v>49</v>
      </c>
      <c r="I43" s="209">
        <v>4</v>
      </c>
      <c r="J43" s="209" t="s">
        <v>2701</v>
      </c>
    </row>
    <row r="44" spans="1:10">
      <c r="A44" s="209" t="s">
        <v>2189</v>
      </c>
      <c r="B44" s="209">
        <v>5</v>
      </c>
      <c r="C44" s="209" t="s">
        <v>2400</v>
      </c>
      <c r="D44" s="209" t="s">
        <v>2401</v>
      </c>
      <c r="E44" s="209" t="s">
        <v>2703</v>
      </c>
      <c r="F44" s="209" t="s">
        <v>1289</v>
      </c>
      <c r="G44" s="209" t="s">
        <v>2402</v>
      </c>
      <c r="H44" s="209" t="s">
        <v>49</v>
      </c>
      <c r="I44" s="209">
        <v>2</v>
      </c>
      <c r="J44" s="209" t="s">
        <v>2701</v>
      </c>
    </row>
    <row r="45" spans="1:10">
      <c r="A45" s="209" t="s">
        <v>2189</v>
      </c>
      <c r="B45" s="209">
        <v>6</v>
      </c>
      <c r="C45" s="209" t="s">
        <v>2404</v>
      </c>
      <c r="D45" s="209" t="s">
        <v>2405</v>
      </c>
      <c r="E45" s="209" t="s">
        <v>2703</v>
      </c>
      <c r="F45" s="209" t="s">
        <v>1289</v>
      </c>
      <c r="G45" s="209" t="s">
        <v>2406</v>
      </c>
      <c r="H45" s="209" t="s">
        <v>49</v>
      </c>
      <c r="I45" s="209">
        <v>2</v>
      </c>
      <c r="J45" s="209" t="s">
        <v>2701</v>
      </c>
    </row>
    <row r="46" spans="1:10">
      <c r="A46" s="209" t="s">
        <v>2189</v>
      </c>
      <c r="B46" s="209">
        <v>7</v>
      </c>
      <c r="C46" s="209" t="s">
        <v>2408</v>
      </c>
      <c r="D46" s="209" t="s">
        <v>2409</v>
      </c>
      <c r="E46" s="209" t="s">
        <v>2703</v>
      </c>
      <c r="F46" s="209" t="s">
        <v>332</v>
      </c>
      <c r="G46" s="209" t="s">
        <v>2410</v>
      </c>
      <c r="H46" s="209" t="s">
        <v>49</v>
      </c>
      <c r="I46" s="209">
        <v>4</v>
      </c>
      <c r="J46" s="209" t="s">
        <v>2701</v>
      </c>
    </row>
    <row r="47" spans="1:10">
      <c r="A47" s="209" t="s">
        <v>2189</v>
      </c>
      <c r="B47" s="209">
        <v>8</v>
      </c>
      <c r="C47" s="209" t="s">
        <v>2412</v>
      </c>
      <c r="D47" s="209" t="s">
        <v>2413</v>
      </c>
      <c r="E47" s="209" t="s">
        <v>2703</v>
      </c>
      <c r="F47" s="209" t="s">
        <v>1907</v>
      </c>
      <c r="G47" s="209" t="s">
        <v>2414</v>
      </c>
      <c r="H47" s="209" t="s">
        <v>49</v>
      </c>
      <c r="I47" s="209">
        <v>5</v>
      </c>
      <c r="J47" s="209" t="s">
        <v>2701</v>
      </c>
    </row>
    <row r="48" spans="1:10">
      <c r="A48" s="209" t="s">
        <v>2189</v>
      </c>
      <c r="B48" s="209">
        <v>9</v>
      </c>
      <c r="C48" s="209" t="s">
        <v>2416</v>
      </c>
      <c r="D48" s="209" t="s">
        <v>2417</v>
      </c>
      <c r="E48" s="209" t="s">
        <v>2703</v>
      </c>
      <c r="F48" s="209" t="s">
        <v>332</v>
      </c>
      <c r="G48" s="209" t="s">
        <v>2418</v>
      </c>
      <c r="H48" s="209" t="s">
        <v>49</v>
      </c>
      <c r="I48" s="209">
        <v>4</v>
      </c>
      <c r="J48" s="209" t="s">
        <v>2701</v>
      </c>
    </row>
    <row r="49" spans="1:10">
      <c r="A49" s="209" t="s">
        <v>2189</v>
      </c>
      <c r="B49" s="209">
        <v>10</v>
      </c>
      <c r="C49" s="209" t="s">
        <v>2420</v>
      </c>
      <c r="D49" s="209" t="s">
        <v>2421</v>
      </c>
      <c r="E49" s="209" t="s">
        <v>2703</v>
      </c>
      <c r="F49" s="209" t="s">
        <v>332</v>
      </c>
      <c r="G49" s="209" t="s">
        <v>2422</v>
      </c>
      <c r="H49" s="209" t="s">
        <v>49</v>
      </c>
      <c r="I49" s="209">
        <v>4</v>
      </c>
      <c r="J49" s="209" t="s">
        <v>2701</v>
      </c>
    </row>
    <row r="50" spans="1:10">
      <c r="A50" s="209" t="s">
        <v>2189</v>
      </c>
      <c r="B50" s="209">
        <v>11</v>
      </c>
      <c r="C50" s="209" t="s">
        <v>2367</v>
      </c>
      <c r="D50" s="209" t="s">
        <v>2424</v>
      </c>
      <c r="E50" s="209" t="s">
        <v>2703</v>
      </c>
      <c r="F50" s="209" t="s">
        <v>1907</v>
      </c>
      <c r="G50" s="209" t="s">
        <v>2414</v>
      </c>
      <c r="H50" s="209" t="s">
        <v>49</v>
      </c>
      <c r="I50" s="209">
        <v>5</v>
      </c>
      <c r="J50" s="209" t="s">
        <v>2701</v>
      </c>
    </row>
    <row r="51" spans="1:10">
      <c r="A51" s="209" t="s">
        <v>2189</v>
      </c>
      <c r="B51" s="209">
        <v>12</v>
      </c>
      <c r="C51" s="209" t="s">
        <v>2426</v>
      </c>
      <c r="D51" s="209" t="s">
        <v>2427</v>
      </c>
      <c r="E51" s="209" t="s">
        <v>2703</v>
      </c>
      <c r="F51" s="209" t="s">
        <v>332</v>
      </c>
      <c r="G51" s="209" t="s">
        <v>2428</v>
      </c>
      <c r="H51" s="209" t="s">
        <v>49</v>
      </c>
      <c r="I51" s="209">
        <v>4</v>
      </c>
      <c r="J51" s="209" t="s">
        <v>2701</v>
      </c>
    </row>
  </sheetData>
  <mergeCells count="2">
    <mergeCell ref="A1:J1"/>
    <mergeCell ref="A2:J2"/>
  </mergeCells>
  <dataValidations count="1">
    <dataValidation type="list" sqref="H4:H51" xr:uid="{00000000-0002-0000-3900-000000000000}">
      <formula1>"Pendiente,En proceso,Completado,Reforzar"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7030A0"/>
  </sheetPr>
  <dimension ref="A1:M38"/>
  <sheetViews>
    <sheetView showGridLines="0" workbookViewId="0"/>
  </sheetViews>
  <sheetFormatPr baseColWidth="10" defaultColWidth="8.7265625" defaultRowHeight="14.5"/>
  <cols>
    <col min="1" max="1" width="10.08984375" customWidth="1"/>
    <col min="2" max="2" width="30" customWidth="1"/>
    <col min="3" max="3" width="7.453125" customWidth="1"/>
    <col min="4" max="4" width="18" customWidth="1"/>
    <col min="5" max="5" width="39" customWidth="1"/>
    <col min="6" max="6" width="21" customWidth="1"/>
    <col min="7" max="7" width="37" customWidth="1"/>
    <col min="8" max="8" width="24" customWidth="1"/>
    <col min="9" max="12" width="12" customWidth="1"/>
    <col min="13" max="13" width="22" customWidth="1"/>
  </cols>
  <sheetData>
    <row r="1" spans="1:13" ht="30" customHeight="1">
      <c r="A1" s="487" t="s">
        <v>2718</v>
      </c>
      <c r="B1" s="426"/>
      <c r="C1" s="426"/>
      <c r="D1" s="426"/>
      <c r="E1" s="426"/>
      <c r="F1" s="426"/>
      <c r="G1" s="426"/>
      <c r="H1" s="426"/>
      <c r="I1" s="426"/>
    </row>
    <row r="2" spans="1:13">
      <c r="A2" s="488" t="s">
        <v>2719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</row>
    <row r="4" spans="1:13">
      <c r="A4" s="207" t="s">
        <v>13</v>
      </c>
      <c r="B4" s="207" t="s">
        <v>2230</v>
      </c>
      <c r="C4" s="207" t="s">
        <v>1115</v>
      </c>
      <c r="D4" s="207" t="s">
        <v>2431</v>
      </c>
      <c r="E4" s="207" t="s">
        <v>2434</v>
      </c>
      <c r="F4" s="207" t="s">
        <v>2435</v>
      </c>
      <c r="G4" s="207" t="s">
        <v>2436</v>
      </c>
      <c r="H4" s="207" t="s">
        <v>2720</v>
      </c>
      <c r="I4" s="207" t="s">
        <v>655</v>
      </c>
      <c r="J4" s="207" t="s">
        <v>2721</v>
      </c>
      <c r="K4" s="207" t="s">
        <v>2722</v>
      </c>
      <c r="L4" s="207" t="s">
        <v>2723</v>
      </c>
    </row>
    <row r="5" spans="1:13">
      <c r="A5" s="210">
        <v>46176</v>
      </c>
      <c r="B5" s="209" t="s">
        <v>2184</v>
      </c>
      <c r="C5" s="209">
        <v>1</v>
      </c>
      <c r="D5" s="209" t="s">
        <v>2724</v>
      </c>
      <c r="E5" s="209" t="s">
        <v>2725</v>
      </c>
      <c r="F5" s="209" t="s">
        <v>2726</v>
      </c>
      <c r="G5" s="209" t="s">
        <v>2727</v>
      </c>
      <c r="H5" s="209" t="s">
        <v>2728</v>
      </c>
      <c r="I5" s="209" t="s">
        <v>49</v>
      </c>
      <c r="J5" s="209"/>
      <c r="K5" s="209"/>
      <c r="L5" s="209" t="s">
        <v>2186</v>
      </c>
    </row>
    <row r="6" spans="1:13">
      <c r="A6" s="210">
        <v>46176</v>
      </c>
      <c r="B6" s="209" t="s">
        <v>2199</v>
      </c>
      <c r="C6" s="209">
        <v>1</v>
      </c>
      <c r="D6" s="209" t="s">
        <v>2729</v>
      </c>
      <c r="E6" s="209" t="s">
        <v>2730</v>
      </c>
      <c r="F6" s="209" t="s">
        <v>2731</v>
      </c>
      <c r="G6" s="209" t="s">
        <v>2732</v>
      </c>
      <c r="H6" s="209" t="s">
        <v>2733</v>
      </c>
      <c r="I6" s="209" t="s">
        <v>49</v>
      </c>
      <c r="J6" s="209"/>
      <c r="K6" s="209"/>
      <c r="L6" s="209" t="s">
        <v>2186</v>
      </c>
    </row>
    <row r="7" spans="1:13">
      <c r="A7" s="210">
        <v>46176</v>
      </c>
      <c r="B7" s="209" t="s">
        <v>35</v>
      </c>
      <c r="C7" s="209">
        <v>1</v>
      </c>
      <c r="D7" s="209" t="s">
        <v>2734</v>
      </c>
      <c r="E7" s="209" t="s">
        <v>2735</v>
      </c>
      <c r="F7" s="209" t="s">
        <v>2736</v>
      </c>
      <c r="G7" s="209" t="s">
        <v>2737</v>
      </c>
      <c r="H7" s="209" t="s">
        <v>2738</v>
      </c>
      <c r="I7" s="209" t="s">
        <v>49</v>
      </c>
      <c r="J7" s="209"/>
      <c r="K7" s="209"/>
      <c r="L7" s="209" t="s">
        <v>2193</v>
      </c>
    </row>
    <row r="8" spans="1:13">
      <c r="A8" s="210">
        <v>46176</v>
      </c>
      <c r="B8" s="209" t="s">
        <v>2189</v>
      </c>
      <c r="C8" s="209">
        <v>1</v>
      </c>
      <c r="D8" s="209" t="s">
        <v>2739</v>
      </c>
      <c r="E8" s="209" t="s">
        <v>2740</v>
      </c>
      <c r="F8" s="209" t="s">
        <v>2741</v>
      </c>
      <c r="G8" s="209" t="s">
        <v>2742</v>
      </c>
      <c r="H8" s="209" t="s">
        <v>2743</v>
      </c>
      <c r="I8" s="209" t="s">
        <v>49</v>
      </c>
      <c r="J8" s="209"/>
      <c r="K8" s="209"/>
      <c r="L8" s="209" t="s">
        <v>2193</v>
      </c>
    </row>
    <row r="9" spans="1:13">
      <c r="A9" s="210"/>
      <c r="B9" s="209"/>
      <c r="C9" s="209"/>
      <c r="D9" s="209"/>
      <c r="E9" s="209"/>
      <c r="F9" s="209"/>
      <c r="G9" s="209"/>
      <c r="H9" s="209"/>
      <c r="I9" s="209" t="s">
        <v>49</v>
      </c>
      <c r="J9" s="209"/>
      <c r="K9" s="209"/>
      <c r="L9" s="209"/>
    </row>
    <row r="10" spans="1:13">
      <c r="A10" s="210"/>
      <c r="B10" s="209"/>
      <c r="C10" s="209"/>
      <c r="D10" s="209"/>
      <c r="E10" s="209"/>
      <c r="F10" s="209"/>
      <c r="G10" s="209"/>
      <c r="H10" s="209"/>
      <c r="I10" s="209" t="s">
        <v>49</v>
      </c>
      <c r="J10" s="209"/>
      <c r="K10" s="209"/>
      <c r="L10" s="209"/>
    </row>
    <row r="11" spans="1:13">
      <c r="A11" s="210"/>
      <c r="B11" s="209"/>
      <c r="C11" s="209"/>
      <c r="D11" s="209"/>
      <c r="E11" s="209"/>
      <c r="F11" s="209"/>
      <c r="G11" s="209"/>
      <c r="H11" s="209"/>
      <c r="I11" s="209" t="s">
        <v>49</v>
      </c>
      <c r="J11" s="209"/>
      <c r="K11" s="209"/>
      <c r="L11" s="209"/>
    </row>
    <row r="12" spans="1:13">
      <c r="A12" s="210"/>
      <c r="B12" s="209"/>
      <c r="C12" s="209"/>
      <c r="D12" s="209"/>
      <c r="E12" s="209"/>
      <c r="F12" s="209"/>
      <c r="G12" s="209"/>
      <c r="H12" s="209"/>
      <c r="I12" s="209" t="s">
        <v>49</v>
      </c>
      <c r="J12" s="209"/>
      <c r="K12" s="209"/>
      <c r="L12" s="209"/>
    </row>
    <row r="13" spans="1:13">
      <c r="A13" s="210"/>
      <c r="B13" s="209"/>
      <c r="C13" s="209"/>
      <c r="D13" s="209"/>
      <c r="E13" s="209"/>
      <c r="F13" s="209"/>
      <c r="G13" s="209"/>
      <c r="H13" s="209"/>
      <c r="I13" s="209" t="s">
        <v>49</v>
      </c>
      <c r="J13" s="209"/>
      <c r="K13" s="209"/>
      <c r="L13" s="209"/>
    </row>
    <row r="14" spans="1:13">
      <c r="A14" s="210"/>
      <c r="B14" s="209"/>
      <c r="C14" s="209"/>
      <c r="D14" s="209"/>
      <c r="E14" s="209"/>
      <c r="F14" s="209"/>
      <c r="G14" s="209"/>
      <c r="H14" s="209"/>
      <c r="I14" s="209" t="s">
        <v>49</v>
      </c>
      <c r="J14" s="209"/>
      <c r="K14" s="209"/>
      <c r="L14" s="209"/>
    </row>
    <row r="15" spans="1:13">
      <c r="A15" s="210"/>
      <c r="B15" s="209"/>
      <c r="C15" s="209"/>
      <c r="D15" s="209"/>
      <c r="E15" s="209"/>
      <c r="F15" s="209"/>
      <c r="G15" s="209"/>
      <c r="H15" s="209"/>
      <c r="I15" s="209" t="s">
        <v>49</v>
      </c>
      <c r="J15" s="209"/>
      <c r="K15" s="209"/>
      <c r="L15" s="209"/>
    </row>
    <row r="16" spans="1:13">
      <c r="A16" s="210"/>
      <c r="B16" s="209"/>
      <c r="C16" s="209"/>
      <c r="D16" s="209"/>
      <c r="E16" s="209"/>
      <c r="F16" s="209"/>
      <c r="G16" s="209"/>
      <c r="H16" s="209"/>
      <c r="I16" s="209" t="s">
        <v>49</v>
      </c>
      <c r="J16" s="209"/>
      <c r="K16" s="209"/>
      <c r="L16" s="209"/>
    </row>
    <row r="17" spans="1:12">
      <c r="A17" s="210"/>
      <c r="B17" s="209"/>
      <c r="C17" s="209"/>
      <c r="D17" s="209"/>
      <c r="E17" s="209"/>
      <c r="F17" s="209"/>
      <c r="G17" s="209"/>
      <c r="H17" s="209"/>
      <c r="I17" s="209" t="s">
        <v>49</v>
      </c>
      <c r="J17" s="209"/>
      <c r="K17" s="209"/>
      <c r="L17" s="209"/>
    </row>
    <row r="18" spans="1:12">
      <c r="A18" s="210"/>
      <c r="B18" s="209"/>
      <c r="C18" s="209"/>
      <c r="D18" s="209"/>
      <c r="E18" s="209"/>
      <c r="F18" s="209"/>
      <c r="G18" s="209"/>
      <c r="H18" s="209"/>
      <c r="I18" s="209" t="s">
        <v>49</v>
      </c>
      <c r="J18" s="209"/>
      <c r="K18" s="209"/>
      <c r="L18" s="209"/>
    </row>
    <row r="19" spans="1:12">
      <c r="A19" s="210"/>
      <c r="B19" s="209"/>
      <c r="C19" s="209"/>
      <c r="D19" s="209"/>
      <c r="E19" s="209"/>
      <c r="F19" s="209"/>
      <c r="G19" s="209"/>
      <c r="H19" s="209"/>
      <c r="I19" s="209" t="s">
        <v>49</v>
      </c>
      <c r="J19" s="209"/>
      <c r="K19" s="209"/>
      <c r="L19" s="209"/>
    </row>
    <row r="20" spans="1:12">
      <c r="A20" s="210"/>
      <c r="B20" s="209"/>
      <c r="C20" s="209"/>
      <c r="D20" s="209"/>
      <c r="E20" s="209"/>
      <c r="F20" s="209"/>
      <c r="G20" s="209"/>
      <c r="H20" s="209"/>
      <c r="I20" s="209" t="s">
        <v>49</v>
      </c>
      <c r="J20" s="209"/>
      <c r="K20" s="209"/>
      <c r="L20" s="209"/>
    </row>
    <row r="21" spans="1:12">
      <c r="A21" s="210"/>
      <c r="B21" s="209"/>
      <c r="C21" s="209"/>
      <c r="D21" s="209"/>
      <c r="E21" s="209"/>
      <c r="F21" s="209"/>
      <c r="G21" s="209"/>
      <c r="H21" s="209"/>
      <c r="I21" s="209" t="s">
        <v>49</v>
      </c>
      <c r="J21" s="209"/>
      <c r="K21" s="209"/>
      <c r="L21" s="209"/>
    </row>
    <row r="22" spans="1:12">
      <c r="A22" s="210"/>
      <c r="B22" s="209"/>
      <c r="C22" s="209"/>
      <c r="D22" s="209"/>
      <c r="E22" s="209"/>
      <c r="F22" s="209"/>
      <c r="G22" s="209"/>
      <c r="H22" s="209"/>
      <c r="I22" s="209" t="s">
        <v>49</v>
      </c>
      <c r="J22" s="209"/>
      <c r="K22" s="209"/>
      <c r="L22" s="209"/>
    </row>
    <row r="23" spans="1:12">
      <c r="A23" s="210"/>
      <c r="B23" s="209"/>
      <c r="C23" s="209"/>
      <c r="D23" s="209"/>
      <c r="E23" s="209"/>
      <c r="F23" s="209"/>
      <c r="G23" s="209"/>
      <c r="H23" s="209"/>
      <c r="I23" s="209" t="s">
        <v>49</v>
      </c>
      <c r="J23" s="209"/>
      <c r="K23" s="209"/>
      <c r="L23" s="209"/>
    </row>
    <row r="24" spans="1:12">
      <c r="A24" s="210"/>
      <c r="B24" s="209"/>
      <c r="C24" s="209"/>
      <c r="D24" s="209"/>
      <c r="E24" s="209"/>
      <c r="F24" s="209"/>
      <c r="G24" s="209"/>
      <c r="H24" s="209"/>
      <c r="I24" s="209" t="s">
        <v>49</v>
      </c>
      <c r="J24" s="209"/>
      <c r="K24" s="209"/>
      <c r="L24" s="209"/>
    </row>
    <row r="25" spans="1:12">
      <c r="A25" s="210"/>
      <c r="B25" s="209"/>
      <c r="C25" s="209"/>
      <c r="D25" s="209"/>
      <c r="E25" s="209"/>
      <c r="F25" s="209"/>
      <c r="G25" s="209"/>
      <c r="H25" s="209"/>
      <c r="I25" s="209" t="s">
        <v>49</v>
      </c>
      <c r="J25" s="209"/>
      <c r="K25" s="209"/>
      <c r="L25" s="209"/>
    </row>
    <row r="26" spans="1:12">
      <c r="A26" s="210"/>
      <c r="B26" s="209"/>
      <c r="C26" s="209"/>
      <c r="D26" s="209"/>
      <c r="E26" s="209"/>
      <c r="F26" s="209"/>
      <c r="G26" s="209"/>
      <c r="H26" s="209"/>
      <c r="I26" s="209" t="s">
        <v>49</v>
      </c>
      <c r="J26" s="209"/>
      <c r="K26" s="209"/>
      <c r="L26" s="209"/>
    </row>
    <row r="27" spans="1:12">
      <c r="A27" s="210"/>
      <c r="B27" s="209"/>
      <c r="C27" s="209"/>
      <c r="D27" s="209"/>
      <c r="E27" s="209"/>
      <c r="F27" s="209"/>
      <c r="G27" s="209"/>
      <c r="H27" s="209"/>
      <c r="I27" s="209" t="s">
        <v>49</v>
      </c>
      <c r="J27" s="209"/>
      <c r="K27" s="209"/>
      <c r="L27" s="209"/>
    </row>
    <row r="28" spans="1:12">
      <c r="A28" s="210"/>
      <c r="B28" s="209"/>
      <c r="C28" s="209"/>
      <c r="D28" s="209"/>
      <c r="E28" s="209"/>
      <c r="F28" s="209"/>
      <c r="G28" s="209"/>
      <c r="H28" s="209"/>
      <c r="I28" s="209" t="s">
        <v>49</v>
      </c>
      <c r="J28" s="209"/>
      <c r="K28" s="209"/>
      <c r="L28" s="209"/>
    </row>
    <row r="29" spans="1:12">
      <c r="A29" s="210"/>
      <c r="B29" s="209"/>
      <c r="C29" s="209"/>
      <c r="D29" s="209"/>
      <c r="E29" s="209"/>
      <c r="F29" s="209"/>
      <c r="G29" s="209"/>
      <c r="H29" s="209"/>
      <c r="I29" s="209" t="s">
        <v>49</v>
      </c>
      <c r="J29" s="209"/>
      <c r="K29" s="209"/>
      <c r="L29" s="209"/>
    </row>
    <row r="30" spans="1:12">
      <c r="A30" s="210"/>
      <c r="B30" s="209"/>
      <c r="C30" s="209"/>
      <c r="D30" s="209"/>
      <c r="E30" s="209"/>
      <c r="F30" s="209"/>
      <c r="G30" s="209"/>
      <c r="H30" s="209"/>
      <c r="I30" s="209" t="s">
        <v>49</v>
      </c>
      <c r="J30" s="209"/>
      <c r="K30" s="209"/>
      <c r="L30" s="209"/>
    </row>
    <row r="31" spans="1:12">
      <c r="A31" s="210"/>
      <c r="B31" s="209"/>
      <c r="C31" s="209"/>
      <c r="D31" s="209"/>
      <c r="E31" s="209"/>
      <c r="F31" s="209"/>
      <c r="G31" s="209"/>
      <c r="H31" s="209"/>
      <c r="I31" s="209" t="s">
        <v>49</v>
      </c>
      <c r="J31" s="209"/>
      <c r="K31" s="209"/>
      <c r="L31" s="209"/>
    </row>
    <row r="32" spans="1:12">
      <c r="A32" s="210"/>
      <c r="B32" s="209"/>
      <c r="C32" s="209"/>
      <c r="D32" s="209"/>
      <c r="E32" s="209"/>
      <c r="F32" s="209"/>
      <c r="G32" s="209"/>
      <c r="H32" s="209"/>
      <c r="I32" s="209" t="s">
        <v>49</v>
      </c>
      <c r="J32" s="209"/>
      <c r="K32" s="209"/>
      <c r="L32" s="209"/>
    </row>
    <row r="33" spans="1:12">
      <c r="A33" s="210"/>
      <c r="B33" s="209"/>
      <c r="C33" s="209"/>
      <c r="D33" s="209"/>
      <c r="E33" s="209"/>
      <c r="F33" s="209"/>
      <c r="G33" s="209"/>
      <c r="H33" s="209"/>
      <c r="I33" s="209" t="s">
        <v>49</v>
      </c>
      <c r="J33" s="209"/>
      <c r="K33" s="209"/>
      <c r="L33" s="209"/>
    </row>
    <row r="34" spans="1:12">
      <c r="A34" s="210"/>
      <c r="B34" s="209"/>
      <c r="C34" s="209"/>
      <c r="D34" s="209"/>
      <c r="E34" s="209"/>
      <c r="F34" s="209"/>
      <c r="G34" s="209"/>
      <c r="H34" s="209"/>
      <c r="I34" s="209" t="s">
        <v>49</v>
      </c>
      <c r="J34" s="209"/>
      <c r="K34" s="209"/>
      <c r="L34" s="209"/>
    </row>
    <row r="35" spans="1:12">
      <c r="A35" s="210"/>
      <c r="B35" s="209"/>
      <c r="C35" s="209"/>
      <c r="D35" s="209"/>
      <c r="E35" s="209"/>
      <c r="F35" s="209"/>
      <c r="G35" s="209"/>
      <c r="H35" s="209"/>
      <c r="I35" s="209" t="s">
        <v>49</v>
      </c>
      <c r="J35" s="209"/>
      <c r="K35" s="209"/>
      <c r="L35" s="209"/>
    </row>
    <row r="36" spans="1:12">
      <c r="A36" s="210"/>
      <c r="B36" s="209"/>
      <c r="C36" s="209"/>
      <c r="D36" s="209"/>
      <c r="E36" s="209"/>
      <c r="F36" s="209"/>
      <c r="G36" s="209"/>
      <c r="H36" s="209"/>
      <c r="I36" s="209" t="s">
        <v>49</v>
      </c>
      <c r="J36" s="209"/>
      <c r="K36" s="209"/>
      <c r="L36" s="209"/>
    </row>
    <row r="37" spans="1:12">
      <c r="A37" s="210"/>
      <c r="B37" s="209"/>
      <c r="C37" s="209"/>
      <c r="D37" s="209"/>
      <c r="E37" s="209"/>
      <c r="F37" s="209"/>
      <c r="G37" s="209"/>
      <c r="H37" s="209"/>
      <c r="I37" s="209" t="s">
        <v>49</v>
      </c>
      <c r="J37" s="209"/>
      <c r="K37" s="209"/>
      <c r="L37" s="209"/>
    </row>
    <row r="38" spans="1:12">
      <c r="A38" s="210"/>
      <c r="B38" s="209"/>
      <c r="C38" s="209"/>
      <c r="D38" s="209"/>
      <c r="E38" s="209"/>
      <c r="F38" s="209"/>
      <c r="G38" s="209"/>
      <c r="H38" s="209"/>
      <c r="I38" s="209" t="s">
        <v>49</v>
      </c>
      <c r="J38" s="209"/>
      <c r="K38" s="209"/>
      <c r="L38" s="209"/>
    </row>
  </sheetData>
  <mergeCells count="2">
    <mergeCell ref="A1:I1"/>
    <mergeCell ref="A2:M2"/>
  </mergeCells>
  <dataValidations count="5">
    <dataValidation type="list" allowBlank="1" sqref="E5:E200" xr:uid="{00000000-0002-0000-3A00-000000000000}">
      <formula1>"Conceptual,Operacional,Lectura,Tiempo,Estrategia,Energía,Formato,Otro"</formula1>
    </dataValidation>
    <dataValidation type="list" allowBlank="1" sqref="I5:I200" xr:uid="{00000000-0002-0000-3A00-000001000000}">
      <formula1>"Sí,No"</formula1>
    </dataValidation>
    <dataValidation type="list" allowBlank="1" sqref="K5:K200" xr:uid="{00000000-0002-0000-3A00-000002000000}">
      <formula1>"Alta,Media,Baja"</formula1>
    </dataValidation>
    <dataValidation type="list" allowBlank="1" sqref="L5:L200" xr:uid="{00000000-0002-0000-3A00-000003000000}">
      <formula1>"Pendiente,En corrección,Corregido,Repetido"</formula1>
    </dataValidation>
    <dataValidation type="list" allowBlank="1" sqref="I5:I38" xr:uid="{00000000-0002-0000-3A00-000004000000}">
      <formula1>"Pendiente,En proceso,Corregido,Reforzar"</formula1>
    </dataValidation>
  </dataValidation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7030A0"/>
  </sheetPr>
  <dimension ref="A1:L18"/>
  <sheetViews>
    <sheetView showGridLines="0" workbookViewId="0"/>
  </sheetViews>
  <sheetFormatPr baseColWidth="10" defaultColWidth="8.7265625" defaultRowHeight="14.5"/>
  <cols>
    <col min="1" max="1" width="46" customWidth="1"/>
    <col min="2" max="2" width="12" customWidth="1"/>
    <col min="3" max="3" width="33" customWidth="1"/>
    <col min="4" max="4" width="12" customWidth="1"/>
    <col min="5" max="5" width="30" customWidth="1"/>
    <col min="6" max="6" width="25" customWidth="1"/>
    <col min="7" max="12" width="12" customWidth="1"/>
  </cols>
  <sheetData>
    <row r="1" spans="1:12" ht="28" customHeight="1">
      <c r="A1" s="486" t="s">
        <v>2744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85" t="s">
        <v>2745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>
      <c r="A3" s="207" t="s">
        <v>2746</v>
      </c>
      <c r="B3" s="207" t="s">
        <v>655</v>
      </c>
      <c r="C3" s="207" t="s">
        <v>2747</v>
      </c>
      <c r="D3" s="207" t="s">
        <v>2181</v>
      </c>
      <c r="E3" s="207" t="s">
        <v>2626</v>
      </c>
      <c r="F3" s="207" t="s">
        <v>2748</v>
      </c>
      <c r="G3" s="208"/>
      <c r="H3" s="208"/>
      <c r="I3" s="208"/>
      <c r="J3" s="208"/>
      <c r="K3" s="208"/>
      <c r="L3" s="208"/>
    </row>
    <row r="4" spans="1:12">
      <c r="A4" s="431" t="s">
        <v>2576</v>
      </c>
      <c r="B4" s="429"/>
      <c r="C4" s="429"/>
      <c r="D4" s="429"/>
      <c r="E4" s="429"/>
      <c r="F4" s="429"/>
      <c r="G4" s="429"/>
      <c r="H4" s="429"/>
      <c r="I4" s="429"/>
      <c r="J4" s="429"/>
      <c r="K4" s="429"/>
      <c r="L4" s="430"/>
    </row>
    <row r="5" spans="1:12">
      <c r="A5" s="209" t="s">
        <v>988</v>
      </c>
      <c r="B5" s="209" t="s">
        <v>2749</v>
      </c>
      <c r="C5" s="209" t="s">
        <v>2750</v>
      </c>
      <c r="D5" s="209" t="s">
        <v>2193</v>
      </c>
      <c r="E5" s="209" t="s">
        <v>2751</v>
      </c>
      <c r="F5" s="209" t="s">
        <v>31</v>
      </c>
    </row>
    <row r="6" spans="1:12" ht="29" customHeight="1">
      <c r="A6" s="209" t="s">
        <v>2542</v>
      </c>
      <c r="B6" s="209" t="s">
        <v>2749</v>
      </c>
      <c r="C6" s="209" t="s">
        <v>2752</v>
      </c>
      <c r="D6" s="209" t="s">
        <v>2186</v>
      </c>
      <c r="E6" s="209" t="s">
        <v>2753</v>
      </c>
      <c r="F6" s="209" t="s">
        <v>743</v>
      </c>
    </row>
    <row r="7" spans="1:12" ht="29" customHeight="1">
      <c r="A7" s="209" t="s">
        <v>118</v>
      </c>
      <c r="B7" s="209" t="s">
        <v>2749</v>
      </c>
      <c r="C7" s="209" t="s">
        <v>2754</v>
      </c>
      <c r="D7" s="209" t="s">
        <v>2568</v>
      </c>
      <c r="E7" s="209" t="s">
        <v>2755</v>
      </c>
      <c r="F7" s="209" t="s">
        <v>36</v>
      </c>
    </row>
    <row r="8" spans="1:12" ht="29" customHeight="1">
      <c r="A8" s="209" t="s">
        <v>2756</v>
      </c>
      <c r="B8" s="209" t="s">
        <v>2749</v>
      </c>
      <c r="C8" s="209" t="s">
        <v>2757</v>
      </c>
      <c r="D8" s="209" t="s">
        <v>2186</v>
      </c>
      <c r="E8" s="209" t="s">
        <v>2585</v>
      </c>
      <c r="F8" s="209" t="s">
        <v>311</v>
      </c>
    </row>
    <row r="9" spans="1:12" ht="29" customHeight="1">
      <c r="A9" s="209" t="s">
        <v>2758</v>
      </c>
      <c r="B9" s="209" t="s">
        <v>2749</v>
      </c>
      <c r="C9" s="209" t="s">
        <v>2759</v>
      </c>
      <c r="D9" s="209" t="s">
        <v>2186</v>
      </c>
      <c r="E9" s="209" t="s">
        <v>2760</v>
      </c>
      <c r="F9" s="209" t="s">
        <v>736</v>
      </c>
    </row>
    <row r="10" spans="1:12" ht="29" customHeight="1">
      <c r="A10" s="209" t="s">
        <v>2761</v>
      </c>
      <c r="B10" s="209" t="s">
        <v>79</v>
      </c>
      <c r="C10" s="209" t="s">
        <v>2762</v>
      </c>
      <c r="D10" s="209" t="s">
        <v>2193</v>
      </c>
      <c r="E10" s="209" t="s">
        <v>2763</v>
      </c>
      <c r="F10" s="209" t="s">
        <v>318</v>
      </c>
    </row>
    <row r="11" spans="1:12" ht="29" customHeight="1">
      <c r="A11" s="209" t="s">
        <v>883</v>
      </c>
      <c r="B11" s="209" t="s">
        <v>2749</v>
      </c>
      <c r="C11" s="209" t="s">
        <v>2764</v>
      </c>
      <c r="D11" s="209" t="s">
        <v>2186</v>
      </c>
      <c r="E11" s="209" t="s">
        <v>2765</v>
      </c>
      <c r="F11" s="209" t="s">
        <v>742</v>
      </c>
    </row>
    <row r="12" spans="1:12" ht="29" customHeight="1"/>
    <row r="13" spans="1:12" ht="29" customHeight="1"/>
    <row r="14" spans="1:12" ht="29" customHeight="1"/>
    <row r="15" spans="1:12" ht="43.5" customHeight="1"/>
    <row r="16" spans="1:12" ht="29" customHeight="1"/>
    <row r="18" spans="1:12">
      <c r="A18" s="421"/>
      <c r="B18" s="426"/>
      <c r="C18" s="426"/>
      <c r="D18" s="426"/>
      <c r="E18" s="426"/>
      <c r="F18" s="426"/>
      <c r="G18" s="426"/>
      <c r="H18" s="426"/>
      <c r="I18" s="426"/>
      <c r="J18" s="426"/>
      <c r="K18" s="426"/>
      <c r="L18" s="426"/>
    </row>
  </sheetData>
  <mergeCells count="4">
    <mergeCell ref="A2:L2"/>
    <mergeCell ref="A1:L1"/>
    <mergeCell ref="A4:L4"/>
    <mergeCell ref="A18:L18"/>
  </mergeCells>
  <conditionalFormatting sqref="B16">
    <cfRule type="expression" dxfId="681" priority="5">
      <formula>ISNUMBER(SEARCH("🔴",B16))</formula>
    </cfRule>
    <cfRule type="expression" dxfId="680" priority="6">
      <formula>ISNUMBER(SEARCH("🟡",B16))</formula>
    </cfRule>
    <cfRule type="expression" dxfId="679" priority="7">
      <formula>ISNUMBER(SEARCH("🟢",B16))</formula>
    </cfRule>
    <cfRule type="expression" dxfId="678" priority="8">
      <formula>ISNUMBER(SEARCH("⭐",B16))</formula>
    </cfRule>
  </conditionalFormatting>
  <conditionalFormatting sqref="E6:E16">
    <cfRule type="expression" dxfId="677" priority="1">
      <formula>ISNUMBER(SEARCH("🔴",E6))</formula>
    </cfRule>
    <cfRule type="expression" dxfId="676" priority="2">
      <formula>ISNUMBER(SEARCH("🟡",E6))</formula>
    </cfRule>
    <cfRule type="expression" dxfId="675" priority="3">
      <formula>ISNUMBER(SEARCH("🟢",E6))</formula>
    </cfRule>
    <cfRule type="expression" dxfId="674" priority="4">
      <formula>ISNUMBER(SEARCH("⭐",E6))</formula>
    </cfRule>
    <cfRule type="expression" dxfId="673" priority="17">
      <formula>ISNUMBER(SEARCH("🔴",E6))</formula>
    </cfRule>
    <cfRule type="expression" dxfId="672" priority="18">
      <formula>ISNUMBER(SEARCH("🟡",E6))</formula>
    </cfRule>
    <cfRule type="expression" dxfId="671" priority="19">
      <formula>ISNUMBER(SEARCH("🟢",E6))</formula>
    </cfRule>
    <cfRule type="expression" dxfId="670" priority="20">
      <formula>ISNUMBER(SEARCH("⭐",E6))</formula>
    </cfRule>
  </conditionalFormatting>
  <conditionalFormatting sqref="F20:F67">
    <cfRule type="expression" dxfId="669" priority="9">
      <formula>ISNUMBER(SEARCH("🔴",F20))</formula>
    </cfRule>
    <cfRule type="expression" dxfId="668" priority="10">
      <formula>ISNUMBER(SEARCH("🟡",F20))</formula>
    </cfRule>
    <cfRule type="expression" dxfId="667" priority="11">
      <formula>ISNUMBER(SEARCH("🟢",F20))</formula>
    </cfRule>
    <cfRule type="expression" dxfId="666" priority="12">
      <formula>ISNUMBER(SEARCH("⭐",F20))</formula>
    </cfRule>
  </conditionalFormatting>
  <conditionalFormatting sqref="H20:H67">
    <cfRule type="expression" dxfId="665" priority="13">
      <formula>ISNUMBER(SEARCH("🔴",H20))</formula>
    </cfRule>
    <cfRule type="expression" dxfId="664" priority="14">
      <formula>ISNUMBER(SEARCH("🟡",H20))</formula>
    </cfRule>
    <cfRule type="expression" dxfId="663" priority="15">
      <formula>ISNUMBER(SEARCH("🟢",H20))</formula>
    </cfRule>
    <cfRule type="expression" dxfId="662" priority="16">
      <formula>ISNUMBER(SEARCH("⭐",H20))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BFBFBF"/>
  </sheetPr>
  <dimension ref="A1:N99"/>
  <sheetViews>
    <sheetView showGridLines="0" workbookViewId="0"/>
  </sheetViews>
  <sheetFormatPr baseColWidth="10" defaultRowHeight="14.5"/>
  <cols>
    <col min="1" max="1" width="40" customWidth="1"/>
    <col min="2" max="3" width="12" customWidth="1"/>
    <col min="4" max="4" width="13" customWidth="1"/>
    <col min="5" max="5" width="30" customWidth="1"/>
    <col min="6" max="6" width="34" customWidth="1"/>
    <col min="7" max="8" width="12" customWidth="1"/>
    <col min="9" max="10" width="40" customWidth="1"/>
    <col min="11" max="11" width="28" customWidth="1"/>
    <col min="12" max="12" width="12" customWidth="1"/>
    <col min="13" max="13" width="28" customWidth="1"/>
    <col min="14" max="14" width="12" customWidth="1"/>
  </cols>
  <sheetData>
    <row r="1" spans="1:14" ht="28" customHeight="1">
      <c r="A1" s="486" t="s">
        <v>2766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>
      <c r="A2" s="485" t="s">
        <v>2767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3" spans="1:14">
      <c r="A3" s="207" t="s">
        <v>1115</v>
      </c>
      <c r="B3" s="207" t="s">
        <v>13</v>
      </c>
      <c r="C3" s="207" t="s">
        <v>2232</v>
      </c>
      <c r="D3" s="207" t="s">
        <v>2233</v>
      </c>
      <c r="E3" s="207" t="s">
        <v>2650</v>
      </c>
      <c r="F3" s="207" t="s">
        <v>421</v>
      </c>
      <c r="G3" s="207" t="s">
        <v>248</v>
      </c>
      <c r="H3" s="207" t="s">
        <v>655</v>
      </c>
      <c r="I3" s="207" t="s">
        <v>1237</v>
      </c>
    </row>
    <row r="4" spans="1:14" ht="29" customHeight="1">
      <c r="A4" s="209">
        <v>1</v>
      </c>
      <c r="B4" s="210">
        <v>46174</v>
      </c>
      <c r="C4" s="209" t="s">
        <v>2220</v>
      </c>
      <c r="D4" s="209" t="s">
        <v>2652</v>
      </c>
      <c r="E4" s="209" t="s">
        <v>2184</v>
      </c>
      <c r="F4" s="209" t="s">
        <v>2768</v>
      </c>
      <c r="G4" s="209" t="s">
        <v>332</v>
      </c>
      <c r="H4" s="209" t="s">
        <v>49</v>
      </c>
      <c r="I4" s="209">
        <f t="shared" ref="I4:I35" si="0">IF(H4="Completado",100,IF(H4="En proceso",50,0))</f>
        <v>0</v>
      </c>
    </row>
    <row r="5" spans="1:14">
      <c r="A5" s="209">
        <v>1</v>
      </c>
      <c r="B5" s="210">
        <v>46175</v>
      </c>
      <c r="C5" s="209" t="s">
        <v>2221</v>
      </c>
      <c r="D5" s="209" t="s">
        <v>2657</v>
      </c>
      <c r="E5" s="209" t="s">
        <v>2184</v>
      </c>
      <c r="F5" s="209" t="s">
        <v>2658</v>
      </c>
      <c r="G5" s="209" t="s">
        <v>332</v>
      </c>
      <c r="H5" s="209" t="s">
        <v>49</v>
      </c>
      <c r="I5" s="209">
        <f t="shared" si="0"/>
        <v>0</v>
      </c>
    </row>
    <row r="6" spans="1:14">
      <c r="A6" s="209">
        <v>1</v>
      </c>
      <c r="B6" s="210">
        <v>46176</v>
      </c>
      <c r="C6" s="209" t="s">
        <v>2222</v>
      </c>
      <c r="D6" s="209" t="s">
        <v>2657</v>
      </c>
      <c r="E6" s="209" t="s">
        <v>35</v>
      </c>
      <c r="F6" s="209" t="s">
        <v>2659</v>
      </c>
      <c r="G6" s="209" t="s">
        <v>332</v>
      </c>
      <c r="H6" s="209" t="s">
        <v>49</v>
      </c>
      <c r="I6" s="209">
        <f t="shared" si="0"/>
        <v>0</v>
      </c>
    </row>
    <row r="7" spans="1:14">
      <c r="A7" s="209">
        <v>1</v>
      </c>
      <c r="B7" s="210">
        <v>46177</v>
      </c>
      <c r="C7" s="209" t="s">
        <v>2223</v>
      </c>
      <c r="D7" s="209" t="s">
        <v>2657</v>
      </c>
      <c r="E7" s="209" t="s">
        <v>2199</v>
      </c>
      <c r="F7" s="209" t="s">
        <v>2660</v>
      </c>
      <c r="G7" s="209" t="s">
        <v>332</v>
      </c>
      <c r="H7" s="209" t="s">
        <v>49</v>
      </c>
      <c r="I7" s="209">
        <f t="shared" si="0"/>
        <v>0</v>
      </c>
    </row>
    <row r="8" spans="1:14">
      <c r="A8" s="209">
        <v>1</v>
      </c>
      <c r="B8" s="210">
        <v>46178</v>
      </c>
      <c r="C8" s="209" t="s">
        <v>2224</v>
      </c>
      <c r="D8" s="209" t="s">
        <v>2652</v>
      </c>
      <c r="E8" s="209" t="s">
        <v>2199</v>
      </c>
      <c r="F8" s="209" t="s">
        <v>2663</v>
      </c>
      <c r="G8" s="209" t="s">
        <v>332</v>
      </c>
      <c r="H8" s="209" t="s">
        <v>49</v>
      </c>
      <c r="I8" s="209">
        <f t="shared" si="0"/>
        <v>0</v>
      </c>
    </row>
    <row r="9" spans="1:14">
      <c r="A9" s="209">
        <v>1</v>
      </c>
      <c r="B9" s="210">
        <v>46179</v>
      </c>
      <c r="C9" s="209" t="s">
        <v>2225</v>
      </c>
      <c r="D9" s="209" t="s">
        <v>2665</v>
      </c>
      <c r="E9" s="209" t="s">
        <v>35</v>
      </c>
      <c r="F9" s="209" t="s">
        <v>2666</v>
      </c>
      <c r="G9" s="209" t="s">
        <v>332</v>
      </c>
      <c r="H9" s="209" t="s">
        <v>49</v>
      </c>
      <c r="I9" s="209">
        <f t="shared" si="0"/>
        <v>0</v>
      </c>
    </row>
    <row r="10" spans="1:14">
      <c r="A10" s="209">
        <v>1</v>
      </c>
      <c r="B10" s="210">
        <v>46179</v>
      </c>
      <c r="C10" s="209" t="s">
        <v>2225</v>
      </c>
      <c r="D10" s="209" t="s">
        <v>2667</v>
      </c>
      <c r="E10" s="209" t="s">
        <v>2189</v>
      </c>
      <c r="F10" s="209" t="s">
        <v>2769</v>
      </c>
      <c r="G10" s="209" t="s">
        <v>1289</v>
      </c>
      <c r="H10" s="209" t="s">
        <v>49</v>
      </c>
      <c r="I10" s="209">
        <f t="shared" si="0"/>
        <v>0</v>
      </c>
    </row>
    <row r="11" spans="1:14">
      <c r="A11" s="209">
        <v>1</v>
      </c>
      <c r="B11" s="210">
        <v>46180</v>
      </c>
      <c r="C11" s="209" t="s">
        <v>2226</v>
      </c>
      <c r="D11" s="209" t="s">
        <v>2669</v>
      </c>
      <c r="E11" s="209" t="s">
        <v>2670</v>
      </c>
      <c r="F11" s="209" t="s">
        <v>2671</v>
      </c>
      <c r="G11" s="209" t="s">
        <v>1907</v>
      </c>
      <c r="H11" s="209" t="s">
        <v>49</v>
      </c>
      <c r="I11" s="209">
        <f t="shared" si="0"/>
        <v>0</v>
      </c>
    </row>
    <row r="12" spans="1:14">
      <c r="A12" s="209">
        <v>2</v>
      </c>
      <c r="B12" s="210">
        <v>46181</v>
      </c>
      <c r="C12" s="209" t="s">
        <v>2220</v>
      </c>
      <c r="D12" s="209" t="s">
        <v>2652</v>
      </c>
      <c r="E12" s="209" t="s">
        <v>2184</v>
      </c>
      <c r="F12" s="209" t="s">
        <v>2768</v>
      </c>
      <c r="G12" s="209" t="s">
        <v>332</v>
      </c>
      <c r="H12" s="209" t="s">
        <v>49</v>
      </c>
      <c r="I12" s="209">
        <f t="shared" si="0"/>
        <v>0</v>
      </c>
    </row>
    <row r="13" spans="1:14">
      <c r="A13" s="209">
        <v>2</v>
      </c>
      <c r="B13" s="210">
        <v>46182</v>
      </c>
      <c r="C13" s="209" t="s">
        <v>2221</v>
      </c>
      <c r="D13" s="209" t="s">
        <v>2657</v>
      </c>
      <c r="E13" s="209" t="s">
        <v>2184</v>
      </c>
      <c r="F13" s="209" t="s">
        <v>2658</v>
      </c>
      <c r="G13" s="209" t="s">
        <v>332</v>
      </c>
      <c r="H13" s="209" t="s">
        <v>49</v>
      </c>
      <c r="I13" s="209">
        <f t="shared" si="0"/>
        <v>0</v>
      </c>
    </row>
    <row r="14" spans="1:14">
      <c r="A14" s="209">
        <v>2</v>
      </c>
      <c r="B14" s="210">
        <v>46183</v>
      </c>
      <c r="C14" s="209" t="s">
        <v>2222</v>
      </c>
      <c r="D14" s="209" t="s">
        <v>2657</v>
      </c>
      <c r="E14" s="209" t="s">
        <v>35</v>
      </c>
      <c r="F14" s="209" t="s">
        <v>2659</v>
      </c>
      <c r="G14" s="209" t="s">
        <v>332</v>
      </c>
      <c r="H14" s="209" t="s">
        <v>49</v>
      </c>
      <c r="I14" s="209">
        <f t="shared" si="0"/>
        <v>0</v>
      </c>
    </row>
    <row r="15" spans="1:14">
      <c r="A15" s="209">
        <v>2</v>
      </c>
      <c r="B15" s="210">
        <v>46184</v>
      </c>
      <c r="C15" s="209" t="s">
        <v>2223</v>
      </c>
      <c r="D15" s="209" t="s">
        <v>2657</v>
      </c>
      <c r="E15" s="209" t="s">
        <v>2199</v>
      </c>
      <c r="F15" s="209" t="s">
        <v>2660</v>
      </c>
      <c r="G15" s="209" t="s">
        <v>332</v>
      </c>
      <c r="H15" s="209" t="s">
        <v>49</v>
      </c>
      <c r="I15" s="209">
        <f t="shared" si="0"/>
        <v>0</v>
      </c>
    </row>
    <row r="16" spans="1:14">
      <c r="A16" s="209">
        <v>2</v>
      </c>
      <c r="B16" s="210">
        <v>46185</v>
      </c>
      <c r="C16" s="209" t="s">
        <v>2224</v>
      </c>
      <c r="D16" s="209" t="s">
        <v>2652</v>
      </c>
      <c r="E16" s="209" t="s">
        <v>2199</v>
      </c>
      <c r="F16" s="209" t="s">
        <v>2663</v>
      </c>
      <c r="G16" s="209" t="s">
        <v>332</v>
      </c>
      <c r="H16" s="209" t="s">
        <v>49</v>
      </c>
      <c r="I16" s="209">
        <f t="shared" si="0"/>
        <v>0</v>
      </c>
    </row>
    <row r="17" spans="1:9">
      <c r="A17" s="209">
        <v>2</v>
      </c>
      <c r="B17" s="210">
        <v>46186</v>
      </c>
      <c r="C17" s="209" t="s">
        <v>2225</v>
      </c>
      <c r="D17" s="209" t="s">
        <v>2665</v>
      </c>
      <c r="E17" s="209" t="s">
        <v>35</v>
      </c>
      <c r="F17" s="209" t="s">
        <v>2666</v>
      </c>
      <c r="G17" s="209" t="s">
        <v>332</v>
      </c>
      <c r="H17" s="209" t="s">
        <v>49</v>
      </c>
      <c r="I17" s="209">
        <f t="shared" si="0"/>
        <v>0</v>
      </c>
    </row>
    <row r="18" spans="1:9">
      <c r="A18" s="209">
        <v>2</v>
      </c>
      <c r="B18" s="210">
        <v>46186</v>
      </c>
      <c r="C18" s="209" t="s">
        <v>2225</v>
      </c>
      <c r="D18" s="209" t="s">
        <v>2667</v>
      </c>
      <c r="E18" s="209" t="s">
        <v>2189</v>
      </c>
      <c r="F18" s="209" t="s">
        <v>2769</v>
      </c>
      <c r="G18" s="209" t="s">
        <v>1289</v>
      </c>
      <c r="H18" s="209" t="s">
        <v>49</v>
      </c>
      <c r="I18" s="209">
        <f t="shared" si="0"/>
        <v>0</v>
      </c>
    </row>
    <row r="19" spans="1:9">
      <c r="A19" s="209">
        <v>2</v>
      </c>
      <c r="B19" s="210">
        <v>46187</v>
      </c>
      <c r="C19" s="209" t="s">
        <v>2226</v>
      </c>
      <c r="D19" s="209" t="s">
        <v>2669</v>
      </c>
      <c r="E19" s="209" t="s">
        <v>2670</v>
      </c>
      <c r="F19" s="209" t="s">
        <v>2671</v>
      </c>
      <c r="G19" s="209" t="s">
        <v>1907</v>
      </c>
      <c r="H19" s="209" t="s">
        <v>49</v>
      </c>
      <c r="I19" s="209">
        <f t="shared" si="0"/>
        <v>0</v>
      </c>
    </row>
    <row r="20" spans="1:9">
      <c r="A20" s="209">
        <v>3</v>
      </c>
      <c r="B20" s="210">
        <v>46188</v>
      </c>
      <c r="C20" s="209" t="s">
        <v>2220</v>
      </c>
      <c r="D20" s="209" t="s">
        <v>2652</v>
      </c>
      <c r="E20" s="209" t="s">
        <v>2184</v>
      </c>
      <c r="F20" s="209" t="s">
        <v>2768</v>
      </c>
      <c r="G20" s="209" t="s">
        <v>332</v>
      </c>
      <c r="H20" s="209" t="s">
        <v>49</v>
      </c>
      <c r="I20" s="209">
        <f t="shared" si="0"/>
        <v>0</v>
      </c>
    </row>
    <row r="21" spans="1:9">
      <c r="A21" s="209">
        <v>3</v>
      </c>
      <c r="B21" s="210">
        <v>46189</v>
      </c>
      <c r="C21" s="209" t="s">
        <v>2221</v>
      </c>
      <c r="D21" s="209" t="s">
        <v>2657</v>
      </c>
      <c r="E21" s="209" t="s">
        <v>2184</v>
      </c>
      <c r="F21" s="209" t="s">
        <v>2658</v>
      </c>
      <c r="G21" s="209" t="s">
        <v>332</v>
      </c>
      <c r="H21" s="209" t="s">
        <v>49</v>
      </c>
      <c r="I21" s="209">
        <f t="shared" si="0"/>
        <v>0</v>
      </c>
    </row>
    <row r="22" spans="1:9">
      <c r="A22" s="209">
        <v>3</v>
      </c>
      <c r="B22" s="210">
        <v>46190</v>
      </c>
      <c r="C22" s="209" t="s">
        <v>2222</v>
      </c>
      <c r="D22" s="209" t="s">
        <v>2657</v>
      </c>
      <c r="E22" s="209" t="s">
        <v>35</v>
      </c>
      <c r="F22" s="209" t="s">
        <v>2659</v>
      </c>
      <c r="G22" s="209" t="s">
        <v>332</v>
      </c>
      <c r="H22" s="209" t="s">
        <v>49</v>
      </c>
      <c r="I22" s="209">
        <f t="shared" si="0"/>
        <v>0</v>
      </c>
    </row>
    <row r="23" spans="1:9">
      <c r="A23" s="209">
        <v>3</v>
      </c>
      <c r="B23" s="210">
        <v>46191</v>
      </c>
      <c r="C23" s="209" t="s">
        <v>2223</v>
      </c>
      <c r="D23" s="209" t="s">
        <v>2657</v>
      </c>
      <c r="E23" s="209" t="s">
        <v>2199</v>
      </c>
      <c r="F23" s="209" t="s">
        <v>2660</v>
      </c>
      <c r="G23" s="209" t="s">
        <v>332</v>
      </c>
      <c r="H23" s="209" t="s">
        <v>49</v>
      </c>
      <c r="I23" s="209">
        <f t="shared" si="0"/>
        <v>0</v>
      </c>
    </row>
    <row r="24" spans="1:9">
      <c r="A24" s="209">
        <v>3</v>
      </c>
      <c r="B24" s="210">
        <v>46192</v>
      </c>
      <c r="C24" s="209" t="s">
        <v>2224</v>
      </c>
      <c r="D24" s="209" t="s">
        <v>2652</v>
      </c>
      <c r="E24" s="209" t="s">
        <v>2199</v>
      </c>
      <c r="F24" s="209" t="s">
        <v>2663</v>
      </c>
      <c r="G24" s="209" t="s">
        <v>332</v>
      </c>
      <c r="H24" s="209" t="s">
        <v>49</v>
      </c>
      <c r="I24" s="209">
        <f t="shared" si="0"/>
        <v>0</v>
      </c>
    </row>
    <row r="25" spans="1:9">
      <c r="A25" s="209">
        <v>3</v>
      </c>
      <c r="B25" s="210">
        <v>46193</v>
      </c>
      <c r="C25" s="209" t="s">
        <v>2225</v>
      </c>
      <c r="D25" s="209" t="s">
        <v>2665</v>
      </c>
      <c r="E25" s="209" t="s">
        <v>35</v>
      </c>
      <c r="F25" s="209" t="s">
        <v>2666</v>
      </c>
      <c r="G25" s="209" t="s">
        <v>332</v>
      </c>
      <c r="H25" s="209" t="s">
        <v>49</v>
      </c>
      <c r="I25" s="209">
        <f t="shared" si="0"/>
        <v>0</v>
      </c>
    </row>
    <row r="26" spans="1:9">
      <c r="A26" s="209">
        <v>3</v>
      </c>
      <c r="B26" s="210">
        <v>46193</v>
      </c>
      <c r="C26" s="209" t="s">
        <v>2225</v>
      </c>
      <c r="D26" s="209" t="s">
        <v>2667</v>
      </c>
      <c r="E26" s="209" t="s">
        <v>2189</v>
      </c>
      <c r="F26" s="209" t="s">
        <v>2769</v>
      </c>
      <c r="G26" s="209" t="s">
        <v>1289</v>
      </c>
      <c r="H26" s="209" t="s">
        <v>49</v>
      </c>
      <c r="I26" s="209">
        <f t="shared" si="0"/>
        <v>0</v>
      </c>
    </row>
    <row r="27" spans="1:9">
      <c r="A27" s="209">
        <v>3</v>
      </c>
      <c r="B27" s="210">
        <v>46194</v>
      </c>
      <c r="C27" s="209" t="s">
        <v>2226</v>
      </c>
      <c r="D27" s="209" t="s">
        <v>2669</v>
      </c>
      <c r="E27" s="209" t="s">
        <v>2670</v>
      </c>
      <c r="F27" s="209" t="s">
        <v>2671</v>
      </c>
      <c r="G27" s="209" t="s">
        <v>1907</v>
      </c>
      <c r="H27" s="209" t="s">
        <v>49</v>
      </c>
      <c r="I27" s="209">
        <f t="shared" si="0"/>
        <v>0</v>
      </c>
    </row>
    <row r="28" spans="1:9">
      <c r="A28" s="209">
        <v>4</v>
      </c>
      <c r="B28" s="210">
        <v>46195</v>
      </c>
      <c r="C28" s="209" t="s">
        <v>2220</v>
      </c>
      <c r="D28" s="209" t="s">
        <v>2652</v>
      </c>
      <c r="E28" s="209" t="s">
        <v>2184</v>
      </c>
      <c r="F28" s="209" t="s">
        <v>2768</v>
      </c>
      <c r="G28" s="209" t="s">
        <v>332</v>
      </c>
      <c r="H28" s="209" t="s">
        <v>49</v>
      </c>
      <c r="I28" s="209">
        <f t="shared" si="0"/>
        <v>0</v>
      </c>
    </row>
    <row r="29" spans="1:9">
      <c r="A29" s="209">
        <v>4</v>
      </c>
      <c r="B29" s="210">
        <v>46196</v>
      </c>
      <c r="C29" s="209" t="s">
        <v>2221</v>
      </c>
      <c r="D29" s="209" t="s">
        <v>2657</v>
      </c>
      <c r="E29" s="209" t="s">
        <v>2184</v>
      </c>
      <c r="F29" s="209" t="s">
        <v>2658</v>
      </c>
      <c r="G29" s="209" t="s">
        <v>332</v>
      </c>
      <c r="H29" s="209" t="s">
        <v>49</v>
      </c>
      <c r="I29" s="209">
        <f t="shared" si="0"/>
        <v>0</v>
      </c>
    </row>
    <row r="30" spans="1:9">
      <c r="A30" s="209">
        <v>4</v>
      </c>
      <c r="B30" s="210">
        <v>46197</v>
      </c>
      <c r="C30" s="209" t="s">
        <v>2222</v>
      </c>
      <c r="D30" s="209" t="s">
        <v>2657</v>
      </c>
      <c r="E30" s="209" t="s">
        <v>35</v>
      </c>
      <c r="F30" s="209" t="s">
        <v>2659</v>
      </c>
      <c r="G30" s="209" t="s">
        <v>332</v>
      </c>
      <c r="H30" s="209" t="s">
        <v>49</v>
      </c>
      <c r="I30" s="209">
        <f t="shared" si="0"/>
        <v>0</v>
      </c>
    </row>
    <row r="31" spans="1:9">
      <c r="A31" s="209">
        <v>4</v>
      </c>
      <c r="B31" s="210">
        <v>46198</v>
      </c>
      <c r="C31" s="209" t="s">
        <v>2223</v>
      </c>
      <c r="D31" s="209" t="s">
        <v>2657</v>
      </c>
      <c r="E31" s="209" t="s">
        <v>2199</v>
      </c>
      <c r="F31" s="209" t="s">
        <v>2660</v>
      </c>
      <c r="G31" s="209" t="s">
        <v>332</v>
      </c>
      <c r="H31" s="209" t="s">
        <v>49</v>
      </c>
      <c r="I31" s="209">
        <f t="shared" si="0"/>
        <v>0</v>
      </c>
    </row>
    <row r="32" spans="1:9">
      <c r="A32" s="209">
        <v>4</v>
      </c>
      <c r="B32" s="210">
        <v>46199</v>
      </c>
      <c r="C32" s="209" t="s">
        <v>2224</v>
      </c>
      <c r="D32" s="209" t="s">
        <v>2652</v>
      </c>
      <c r="E32" s="209" t="s">
        <v>2199</v>
      </c>
      <c r="F32" s="209" t="s">
        <v>2663</v>
      </c>
      <c r="G32" s="209" t="s">
        <v>332</v>
      </c>
      <c r="H32" s="209" t="s">
        <v>49</v>
      </c>
      <c r="I32" s="209">
        <f t="shared" si="0"/>
        <v>0</v>
      </c>
    </row>
    <row r="33" spans="1:9">
      <c r="A33" s="209">
        <v>4</v>
      </c>
      <c r="B33" s="210">
        <v>46200</v>
      </c>
      <c r="C33" s="209" t="s">
        <v>2225</v>
      </c>
      <c r="D33" s="209" t="s">
        <v>2665</v>
      </c>
      <c r="E33" s="209" t="s">
        <v>35</v>
      </c>
      <c r="F33" s="209" t="s">
        <v>2666</v>
      </c>
      <c r="G33" s="209" t="s">
        <v>332</v>
      </c>
      <c r="H33" s="209" t="s">
        <v>49</v>
      </c>
      <c r="I33" s="209">
        <f t="shared" si="0"/>
        <v>0</v>
      </c>
    </row>
    <row r="34" spans="1:9">
      <c r="A34" s="209">
        <v>4</v>
      </c>
      <c r="B34" s="210">
        <v>46200</v>
      </c>
      <c r="C34" s="209" t="s">
        <v>2225</v>
      </c>
      <c r="D34" s="209" t="s">
        <v>2667</v>
      </c>
      <c r="E34" s="209" t="s">
        <v>2189</v>
      </c>
      <c r="F34" s="209" t="s">
        <v>2769</v>
      </c>
      <c r="G34" s="209" t="s">
        <v>1289</v>
      </c>
      <c r="H34" s="209" t="s">
        <v>49</v>
      </c>
      <c r="I34" s="209">
        <f t="shared" si="0"/>
        <v>0</v>
      </c>
    </row>
    <row r="35" spans="1:9">
      <c r="A35" s="209">
        <v>4</v>
      </c>
      <c r="B35" s="210">
        <v>46201</v>
      </c>
      <c r="C35" s="209" t="s">
        <v>2226</v>
      </c>
      <c r="D35" s="209" t="s">
        <v>2669</v>
      </c>
      <c r="E35" s="209" t="s">
        <v>2670</v>
      </c>
      <c r="F35" s="209" t="s">
        <v>2671</v>
      </c>
      <c r="G35" s="209" t="s">
        <v>1907</v>
      </c>
      <c r="H35" s="209" t="s">
        <v>49</v>
      </c>
      <c r="I35" s="209">
        <f t="shared" si="0"/>
        <v>0</v>
      </c>
    </row>
    <row r="36" spans="1:9">
      <c r="A36" s="209">
        <v>5</v>
      </c>
      <c r="B36" s="210">
        <v>46202</v>
      </c>
      <c r="C36" s="209" t="s">
        <v>2220</v>
      </c>
      <c r="D36" s="209" t="s">
        <v>2652</v>
      </c>
      <c r="E36" s="209" t="s">
        <v>2184</v>
      </c>
      <c r="F36" s="209" t="s">
        <v>2768</v>
      </c>
      <c r="G36" s="209" t="s">
        <v>332</v>
      </c>
      <c r="H36" s="209" t="s">
        <v>49</v>
      </c>
      <c r="I36" s="209">
        <f t="shared" ref="I36:I67" si="1">IF(H36="Completado",100,IF(H36="En proceso",50,0))</f>
        <v>0</v>
      </c>
    </row>
    <row r="37" spans="1:9">
      <c r="A37" s="209">
        <v>5</v>
      </c>
      <c r="B37" s="210">
        <v>46203</v>
      </c>
      <c r="C37" s="209" t="s">
        <v>2221</v>
      </c>
      <c r="D37" s="209" t="s">
        <v>2657</v>
      </c>
      <c r="E37" s="209" t="s">
        <v>2184</v>
      </c>
      <c r="F37" s="209" t="s">
        <v>2658</v>
      </c>
      <c r="G37" s="209" t="s">
        <v>332</v>
      </c>
      <c r="H37" s="209" t="s">
        <v>49</v>
      </c>
      <c r="I37" s="209">
        <f t="shared" si="1"/>
        <v>0</v>
      </c>
    </row>
    <row r="38" spans="1:9">
      <c r="A38" s="209">
        <v>5</v>
      </c>
      <c r="B38" s="210">
        <v>46204</v>
      </c>
      <c r="C38" s="209" t="s">
        <v>2222</v>
      </c>
      <c r="D38" s="209" t="s">
        <v>2657</v>
      </c>
      <c r="E38" s="209" t="s">
        <v>35</v>
      </c>
      <c r="F38" s="209" t="s">
        <v>2659</v>
      </c>
      <c r="G38" s="209" t="s">
        <v>332</v>
      </c>
      <c r="H38" s="209" t="s">
        <v>49</v>
      </c>
      <c r="I38" s="209">
        <f t="shared" si="1"/>
        <v>0</v>
      </c>
    </row>
    <row r="39" spans="1:9">
      <c r="A39" s="209">
        <v>5</v>
      </c>
      <c r="B39" s="210">
        <v>46205</v>
      </c>
      <c r="C39" s="209" t="s">
        <v>2223</v>
      </c>
      <c r="D39" s="209" t="s">
        <v>2657</v>
      </c>
      <c r="E39" s="209" t="s">
        <v>2199</v>
      </c>
      <c r="F39" s="209" t="s">
        <v>2660</v>
      </c>
      <c r="G39" s="209" t="s">
        <v>332</v>
      </c>
      <c r="H39" s="209" t="s">
        <v>49</v>
      </c>
      <c r="I39" s="209">
        <f t="shared" si="1"/>
        <v>0</v>
      </c>
    </row>
    <row r="40" spans="1:9">
      <c r="A40" s="209">
        <v>5</v>
      </c>
      <c r="B40" s="210">
        <v>46206</v>
      </c>
      <c r="C40" s="209" t="s">
        <v>2224</v>
      </c>
      <c r="D40" s="209" t="s">
        <v>2652</v>
      </c>
      <c r="E40" s="209" t="s">
        <v>2199</v>
      </c>
      <c r="F40" s="209" t="s">
        <v>2663</v>
      </c>
      <c r="G40" s="209" t="s">
        <v>332</v>
      </c>
      <c r="H40" s="209" t="s">
        <v>49</v>
      </c>
      <c r="I40" s="209">
        <f t="shared" si="1"/>
        <v>0</v>
      </c>
    </row>
    <row r="41" spans="1:9">
      <c r="A41" s="209">
        <v>5</v>
      </c>
      <c r="B41" s="210">
        <v>46207</v>
      </c>
      <c r="C41" s="209" t="s">
        <v>2225</v>
      </c>
      <c r="D41" s="209" t="s">
        <v>2665</v>
      </c>
      <c r="E41" s="209" t="s">
        <v>35</v>
      </c>
      <c r="F41" s="209" t="s">
        <v>2666</v>
      </c>
      <c r="G41" s="209" t="s">
        <v>332</v>
      </c>
      <c r="H41" s="209" t="s">
        <v>49</v>
      </c>
      <c r="I41" s="209">
        <f t="shared" si="1"/>
        <v>0</v>
      </c>
    </row>
    <row r="42" spans="1:9">
      <c r="A42" s="209">
        <v>5</v>
      </c>
      <c r="B42" s="210">
        <v>46207</v>
      </c>
      <c r="C42" s="209" t="s">
        <v>2225</v>
      </c>
      <c r="D42" s="209" t="s">
        <v>2667</v>
      </c>
      <c r="E42" s="209" t="s">
        <v>2189</v>
      </c>
      <c r="F42" s="209" t="s">
        <v>2769</v>
      </c>
      <c r="G42" s="209" t="s">
        <v>1289</v>
      </c>
      <c r="H42" s="209" t="s">
        <v>49</v>
      </c>
      <c r="I42" s="209">
        <f t="shared" si="1"/>
        <v>0</v>
      </c>
    </row>
    <row r="43" spans="1:9">
      <c r="A43" s="209">
        <v>5</v>
      </c>
      <c r="B43" s="210">
        <v>46208</v>
      </c>
      <c r="C43" s="209" t="s">
        <v>2226</v>
      </c>
      <c r="D43" s="209" t="s">
        <v>2669</v>
      </c>
      <c r="E43" s="209" t="s">
        <v>2670</v>
      </c>
      <c r="F43" s="209" t="s">
        <v>2671</v>
      </c>
      <c r="G43" s="209" t="s">
        <v>1907</v>
      </c>
      <c r="H43" s="209" t="s">
        <v>49</v>
      </c>
      <c r="I43" s="209">
        <f t="shared" si="1"/>
        <v>0</v>
      </c>
    </row>
    <row r="44" spans="1:9">
      <c r="A44" s="209">
        <v>6</v>
      </c>
      <c r="B44" s="210">
        <v>46209</v>
      </c>
      <c r="C44" s="209" t="s">
        <v>2220</v>
      </c>
      <c r="D44" s="209" t="s">
        <v>2652</v>
      </c>
      <c r="E44" s="209" t="s">
        <v>2184</v>
      </c>
      <c r="F44" s="209" t="s">
        <v>2768</v>
      </c>
      <c r="G44" s="209" t="s">
        <v>332</v>
      </c>
      <c r="H44" s="209" t="s">
        <v>49</v>
      </c>
      <c r="I44" s="209">
        <f t="shared" si="1"/>
        <v>0</v>
      </c>
    </row>
    <row r="45" spans="1:9">
      <c r="A45" s="209">
        <v>6</v>
      </c>
      <c r="B45" s="210">
        <v>46210</v>
      </c>
      <c r="C45" s="209" t="s">
        <v>2221</v>
      </c>
      <c r="D45" s="209" t="s">
        <v>2657</v>
      </c>
      <c r="E45" s="209" t="s">
        <v>2184</v>
      </c>
      <c r="F45" s="209" t="s">
        <v>2658</v>
      </c>
      <c r="G45" s="209" t="s">
        <v>332</v>
      </c>
      <c r="H45" s="209" t="s">
        <v>49</v>
      </c>
      <c r="I45" s="209">
        <f t="shared" si="1"/>
        <v>0</v>
      </c>
    </row>
    <row r="46" spans="1:9">
      <c r="A46" s="209">
        <v>6</v>
      </c>
      <c r="B46" s="210">
        <v>46211</v>
      </c>
      <c r="C46" s="209" t="s">
        <v>2222</v>
      </c>
      <c r="D46" s="209" t="s">
        <v>2657</v>
      </c>
      <c r="E46" s="209" t="s">
        <v>35</v>
      </c>
      <c r="F46" s="209" t="s">
        <v>2659</v>
      </c>
      <c r="G46" s="209" t="s">
        <v>332</v>
      </c>
      <c r="H46" s="209" t="s">
        <v>49</v>
      </c>
      <c r="I46" s="209">
        <f t="shared" si="1"/>
        <v>0</v>
      </c>
    </row>
    <row r="47" spans="1:9">
      <c r="A47" s="209">
        <v>6</v>
      </c>
      <c r="B47" s="210">
        <v>46212</v>
      </c>
      <c r="C47" s="209" t="s">
        <v>2223</v>
      </c>
      <c r="D47" s="209" t="s">
        <v>2657</v>
      </c>
      <c r="E47" s="209" t="s">
        <v>2199</v>
      </c>
      <c r="F47" s="209" t="s">
        <v>2660</v>
      </c>
      <c r="G47" s="209" t="s">
        <v>332</v>
      </c>
      <c r="H47" s="209" t="s">
        <v>49</v>
      </c>
      <c r="I47" s="209">
        <f t="shared" si="1"/>
        <v>0</v>
      </c>
    </row>
    <row r="48" spans="1:9">
      <c r="A48" s="209">
        <v>6</v>
      </c>
      <c r="B48" s="210">
        <v>46213</v>
      </c>
      <c r="C48" s="209" t="s">
        <v>2224</v>
      </c>
      <c r="D48" s="209" t="s">
        <v>2652</v>
      </c>
      <c r="E48" s="209" t="s">
        <v>2199</v>
      </c>
      <c r="F48" s="209" t="s">
        <v>2663</v>
      </c>
      <c r="G48" s="209" t="s">
        <v>332</v>
      </c>
      <c r="H48" s="209" t="s">
        <v>49</v>
      </c>
      <c r="I48" s="209">
        <f t="shared" si="1"/>
        <v>0</v>
      </c>
    </row>
    <row r="49" spans="1:9">
      <c r="A49" s="209">
        <v>6</v>
      </c>
      <c r="B49" s="210">
        <v>46214</v>
      </c>
      <c r="C49" s="209" t="s">
        <v>2225</v>
      </c>
      <c r="D49" s="209" t="s">
        <v>2665</v>
      </c>
      <c r="E49" s="209" t="s">
        <v>35</v>
      </c>
      <c r="F49" s="209" t="s">
        <v>2666</v>
      </c>
      <c r="G49" s="209" t="s">
        <v>332</v>
      </c>
      <c r="H49" s="209" t="s">
        <v>49</v>
      </c>
      <c r="I49" s="209">
        <f t="shared" si="1"/>
        <v>0</v>
      </c>
    </row>
    <row r="50" spans="1:9">
      <c r="A50" s="209">
        <v>6</v>
      </c>
      <c r="B50" s="210">
        <v>46214</v>
      </c>
      <c r="C50" s="209" t="s">
        <v>2225</v>
      </c>
      <c r="D50" s="209" t="s">
        <v>2667</v>
      </c>
      <c r="E50" s="209" t="s">
        <v>2189</v>
      </c>
      <c r="F50" s="209" t="s">
        <v>2769</v>
      </c>
      <c r="G50" s="209" t="s">
        <v>1289</v>
      </c>
      <c r="H50" s="209" t="s">
        <v>49</v>
      </c>
      <c r="I50" s="209">
        <f t="shared" si="1"/>
        <v>0</v>
      </c>
    </row>
    <row r="51" spans="1:9">
      <c r="A51" s="209">
        <v>6</v>
      </c>
      <c r="B51" s="210">
        <v>46215</v>
      </c>
      <c r="C51" s="209" t="s">
        <v>2226</v>
      </c>
      <c r="D51" s="209" t="s">
        <v>2669</v>
      </c>
      <c r="E51" s="209" t="s">
        <v>2670</v>
      </c>
      <c r="F51" s="209" t="s">
        <v>2671</v>
      </c>
      <c r="G51" s="209" t="s">
        <v>1907</v>
      </c>
      <c r="H51" s="209" t="s">
        <v>49</v>
      </c>
      <c r="I51" s="209">
        <f t="shared" si="1"/>
        <v>0</v>
      </c>
    </row>
    <row r="52" spans="1:9">
      <c r="A52" s="209">
        <v>7</v>
      </c>
      <c r="B52" s="210">
        <v>46216</v>
      </c>
      <c r="C52" s="209" t="s">
        <v>2220</v>
      </c>
      <c r="D52" s="209" t="s">
        <v>2652</v>
      </c>
      <c r="E52" s="209" t="s">
        <v>2184</v>
      </c>
      <c r="F52" s="209" t="s">
        <v>2768</v>
      </c>
      <c r="G52" s="209" t="s">
        <v>332</v>
      </c>
      <c r="H52" s="209" t="s">
        <v>49</v>
      </c>
      <c r="I52" s="209">
        <f t="shared" si="1"/>
        <v>0</v>
      </c>
    </row>
    <row r="53" spans="1:9">
      <c r="A53" s="209">
        <v>7</v>
      </c>
      <c r="B53" s="210">
        <v>46217</v>
      </c>
      <c r="C53" s="209" t="s">
        <v>2221</v>
      </c>
      <c r="D53" s="209" t="s">
        <v>2657</v>
      </c>
      <c r="E53" s="209" t="s">
        <v>2184</v>
      </c>
      <c r="F53" s="209" t="s">
        <v>2658</v>
      </c>
      <c r="G53" s="209" t="s">
        <v>332</v>
      </c>
      <c r="H53" s="209" t="s">
        <v>49</v>
      </c>
      <c r="I53" s="209">
        <f t="shared" si="1"/>
        <v>0</v>
      </c>
    </row>
    <row r="54" spans="1:9">
      <c r="A54" s="209">
        <v>7</v>
      </c>
      <c r="B54" s="210">
        <v>46218</v>
      </c>
      <c r="C54" s="209" t="s">
        <v>2222</v>
      </c>
      <c r="D54" s="209" t="s">
        <v>2657</v>
      </c>
      <c r="E54" s="209" t="s">
        <v>35</v>
      </c>
      <c r="F54" s="209" t="s">
        <v>2659</v>
      </c>
      <c r="G54" s="209" t="s">
        <v>332</v>
      </c>
      <c r="H54" s="209" t="s">
        <v>49</v>
      </c>
      <c r="I54" s="209">
        <f t="shared" si="1"/>
        <v>0</v>
      </c>
    </row>
    <row r="55" spans="1:9">
      <c r="A55" s="209">
        <v>7</v>
      </c>
      <c r="B55" s="210">
        <v>46219</v>
      </c>
      <c r="C55" s="209" t="s">
        <v>2223</v>
      </c>
      <c r="D55" s="209" t="s">
        <v>2657</v>
      </c>
      <c r="E55" s="209" t="s">
        <v>2199</v>
      </c>
      <c r="F55" s="209" t="s">
        <v>2660</v>
      </c>
      <c r="G55" s="209" t="s">
        <v>332</v>
      </c>
      <c r="H55" s="209" t="s">
        <v>49</v>
      </c>
      <c r="I55" s="209">
        <f t="shared" si="1"/>
        <v>0</v>
      </c>
    </row>
    <row r="56" spans="1:9">
      <c r="A56" s="209">
        <v>7</v>
      </c>
      <c r="B56" s="210">
        <v>46220</v>
      </c>
      <c r="C56" s="209" t="s">
        <v>2224</v>
      </c>
      <c r="D56" s="209" t="s">
        <v>2652</v>
      </c>
      <c r="E56" s="209" t="s">
        <v>2199</v>
      </c>
      <c r="F56" s="209" t="s">
        <v>2663</v>
      </c>
      <c r="G56" s="209" t="s">
        <v>332</v>
      </c>
      <c r="H56" s="209" t="s">
        <v>49</v>
      </c>
      <c r="I56" s="209">
        <f t="shared" si="1"/>
        <v>0</v>
      </c>
    </row>
    <row r="57" spans="1:9">
      <c r="A57" s="209">
        <v>7</v>
      </c>
      <c r="B57" s="210">
        <v>46221</v>
      </c>
      <c r="C57" s="209" t="s">
        <v>2225</v>
      </c>
      <c r="D57" s="209" t="s">
        <v>2665</v>
      </c>
      <c r="E57" s="209" t="s">
        <v>35</v>
      </c>
      <c r="F57" s="209" t="s">
        <v>2666</v>
      </c>
      <c r="G57" s="209" t="s">
        <v>332</v>
      </c>
      <c r="H57" s="209" t="s">
        <v>49</v>
      </c>
      <c r="I57" s="209">
        <f t="shared" si="1"/>
        <v>0</v>
      </c>
    </row>
    <row r="58" spans="1:9">
      <c r="A58" s="209">
        <v>7</v>
      </c>
      <c r="B58" s="210">
        <v>46221</v>
      </c>
      <c r="C58" s="209" t="s">
        <v>2225</v>
      </c>
      <c r="D58" s="209" t="s">
        <v>2667</v>
      </c>
      <c r="E58" s="209" t="s">
        <v>2189</v>
      </c>
      <c r="F58" s="209" t="s">
        <v>2769</v>
      </c>
      <c r="G58" s="209" t="s">
        <v>1289</v>
      </c>
      <c r="H58" s="209" t="s">
        <v>49</v>
      </c>
      <c r="I58" s="209">
        <f t="shared" si="1"/>
        <v>0</v>
      </c>
    </row>
    <row r="59" spans="1:9">
      <c r="A59" s="209">
        <v>7</v>
      </c>
      <c r="B59" s="210">
        <v>46222</v>
      </c>
      <c r="C59" s="209" t="s">
        <v>2226</v>
      </c>
      <c r="D59" s="209" t="s">
        <v>2669</v>
      </c>
      <c r="E59" s="209" t="s">
        <v>2670</v>
      </c>
      <c r="F59" s="209" t="s">
        <v>2671</v>
      </c>
      <c r="G59" s="209" t="s">
        <v>1907</v>
      </c>
      <c r="H59" s="209" t="s">
        <v>49</v>
      </c>
      <c r="I59" s="209">
        <f t="shared" si="1"/>
        <v>0</v>
      </c>
    </row>
    <row r="60" spans="1:9">
      <c r="A60" s="209">
        <v>8</v>
      </c>
      <c r="B60" s="210">
        <v>46223</v>
      </c>
      <c r="C60" s="209" t="s">
        <v>2220</v>
      </c>
      <c r="D60" s="209" t="s">
        <v>2652</v>
      </c>
      <c r="E60" s="209" t="s">
        <v>2184</v>
      </c>
      <c r="F60" s="209" t="s">
        <v>2768</v>
      </c>
      <c r="G60" s="209" t="s">
        <v>332</v>
      </c>
      <c r="H60" s="209" t="s">
        <v>49</v>
      </c>
      <c r="I60" s="209">
        <f t="shared" si="1"/>
        <v>0</v>
      </c>
    </row>
    <row r="61" spans="1:9">
      <c r="A61" s="209">
        <v>8</v>
      </c>
      <c r="B61" s="210">
        <v>46224</v>
      </c>
      <c r="C61" s="209" t="s">
        <v>2221</v>
      </c>
      <c r="D61" s="209" t="s">
        <v>2657</v>
      </c>
      <c r="E61" s="209" t="s">
        <v>2184</v>
      </c>
      <c r="F61" s="209" t="s">
        <v>2658</v>
      </c>
      <c r="G61" s="209" t="s">
        <v>332</v>
      </c>
      <c r="H61" s="209" t="s">
        <v>49</v>
      </c>
      <c r="I61" s="209">
        <f t="shared" si="1"/>
        <v>0</v>
      </c>
    </row>
    <row r="62" spans="1:9">
      <c r="A62" s="209">
        <v>8</v>
      </c>
      <c r="B62" s="210">
        <v>46225</v>
      </c>
      <c r="C62" s="209" t="s">
        <v>2222</v>
      </c>
      <c r="D62" s="209" t="s">
        <v>2657</v>
      </c>
      <c r="E62" s="209" t="s">
        <v>35</v>
      </c>
      <c r="F62" s="209" t="s">
        <v>2659</v>
      </c>
      <c r="G62" s="209" t="s">
        <v>332</v>
      </c>
      <c r="H62" s="209" t="s">
        <v>49</v>
      </c>
      <c r="I62" s="209">
        <f t="shared" si="1"/>
        <v>0</v>
      </c>
    </row>
    <row r="63" spans="1:9">
      <c r="A63" s="209">
        <v>8</v>
      </c>
      <c r="B63" s="210">
        <v>46226</v>
      </c>
      <c r="C63" s="209" t="s">
        <v>2223</v>
      </c>
      <c r="D63" s="209" t="s">
        <v>2657</v>
      </c>
      <c r="E63" s="209" t="s">
        <v>2199</v>
      </c>
      <c r="F63" s="209" t="s">
        <v>2660</v>
      </c>
      <c r="G63" s="209" t="s">
        <v>332</v>
      </c>
      <c r="H63" s="209" t="s">
        <v>49</v>
      </c>
      <c r="I63" s="209">
        <f t="shared" si="1"/>
        <v>0</v>
      </c>
    </row>
    <row r="64" spans="1:9">
      <c r="A64" s="209">
        <v>8</v>
      </c>
      <c r="B64" s="210">
        <v>46227</v>
      </c>
      <c r="C64" s="209" t="s">
        <v>2224</v>
      </c>
      <c r="D64" s="209" t="s">
        <v>2652</v>
      </c>
      <c r="E64" s="209" t="s">
        <v>2199</v>
      </c>
      <c r="F64" s="209" t="s">
        <v>2663</v>
      </c>
      <c r="G64" s="209" t="s">
        <v>332</v>
      </c>
      <c r="H64" s="209" t="s">
        <v>49</v>
      </c>
      <c r="I64" s="209">
        <f t="shared" si="1"/>
        <v>0</v>
      </c>
    </row>
    <row r="65" spans="1:9">
      <c r="A65" s="209">
        <v>8</v>
      </c>
      <c r="B65" s="210">
        <v>46228</v>
      </c>
      <c r="C65" s="209" t="s">
        <v>2225</v>
      </c>
      <c r="D65" s="209" t="s">
        <v>2665</v>
      </c>
      <c r="E65" s="209" t="s">
        <v>35</v>
      </c>
      <c r="F65" s="209" t="s">
        <v>2666</v>
      </c>
      <c r="G65" s="209" t="s">
        <v>332</v>
      </c>
      <c r="H65" s="209" t="s">
        <v>49</v>
      </c>
      <c r="I65" s="209">
        <f t="shared" si="1"/>
        <v>0</v>
      </c>
    </row>
    <row r="66" spans="1:9">
      <c r="A66" s="209">
        <v>8</v>
      </c>
      <c r="B66" s="210">
        <v>46228</v>
      </c>
      <c r="C66" s="209" t="s">
        <v>2225</v>
      </c>
      <c r="D66" s="209" t="s">
        <v>2667</v>
      </c>
      <c r="E66" s="209" t="s">
        <v>2189</v>
      </c>
      <c r="F66" s="209" t="s">
        <v>2769</v>
      </c>
      <c r="G66" s="209" t="s">
        <v>1289</v>
      </c>
      <c r="H66" s="209" t="s">
        <v>49</v>
      </c>
      <c r="I66" s="209">
        <f t="shared" si="1"/>
        <v>0</v>
      </c>
    </row>
    <row r="67" spans="1:9">
      <c r="A67" s="209">
        <v>8</v>
      </c>
      <c r="B67" s="210">
        <v>46229</v>
      </c>
      <c r="C67" s="209" t="s">
        <v>2226</v>
      </c>
      <c r="D67" s="209" t="s">
        <v>2669</v>
      </c>
      <c r="E67" s="209" t="s">
        <v>2670</v>
      </c>
      <c r="F67" s="209" t="s">
        <v>2671</v>
      </c>
      <c r="G67" s="209" t="s">
        <v>1907</v>
      </c>
      <c r="H67" s="209" t="s">
        <v>49</v>
      </c>
      <c r="I67" s="209">
        <f t="shared" si="1"/>
        <v>0</v>
      </c>
    </row>
    <row r="68" spans="1:9">
      <c r="A68" s="209">
        <v>9</v>
      </c>
      <c r="B68" s="210">
        <v>46230</v>
      </c>
      <c r="C68" s="209" t="s">
        <v>2220</v>
      </c>
      <c r="D68" s="209" t="s">
        <v>2652</v>
      </c>
      <c r="E68" s="209" t="s">
        <v>2184</v>
      </c>
      <c r="F68" s="209" t="s">
        <v>2768</v>
      </c>
      <c r="G68" s="209" t="s">
        <v>332</v>
      </c>
      <c r="H68" s="209" t="s">
        <v>49</v>
      </c>
      <c r="I68" s="209">
        <f t="shared" ref="I68:I99" si="2">IF(H68="Completado",100,IF(H68="En proceso",50,0))</f>
        <v>0</v>
      </c>
    </row>
    <row r="69" spans="1:9">
      <c r="A69" s="209">
        <v>9</v>
      </c>
      <c r="B69" s="210">
        <v>46231</v>
      </c>
      <c r="C69" s="209" t="s">
        <v>2221</v>
      </c>
      <c r="D69" s="209" t="s">
        <v>2657</v>
      </c>
      <c r="E69" s="209" t="s">
        <v>2184</v>
      </c>
      <c r="F69" s="209" t="s">
        <v>2658</v>
      </c>
      <c r="G69" s="209" t="s">
        <v>332</v>
      </c>
      <c r="H69" s="209" t="s">
        <v>49</v>
      </c>
      <c r="I69" s="209">
        <f t="shared" si="2"/>
        <v>0</v>
      </c>
    </row>
    <row r="70" spans="1:9">
      <c r="A70" s="209">
        <v>9</v>
      </c>
      <c r="B70" s="210">
        <v>46232</v>
      </c>
      <c r="C70" s="209" t="s">
        <v>2222</v>
      </c>
      <c r="D70" s="209" t="s">
        <v>2657</v>
      </c>
      <c r="E70" s="209" t="s">
        <v>35</v>
      </c>
      <c r="F70" s="209" t="s">
        <v>2659</v>
      </c>
      <c r="G70" s="209" t="s">
        <v>332</v>
      </c>
      <c r="H70" s="209" t="s">
        <v>49</v>
      </c>
      <c r="I70" s="209">
        <f t="shared" si="2"/>
        <v>0</v>
      </c>
    </row>
    <row r="71" spans="1:9">
      <c r="A71" s="209">
        <v>9</v>
      </c>
      <c r="B71" s="210">
        <v>46233</v>
      </c>
      <c r="C71" s="209" t="s">
        <v>2223</v>
      </c>
      <c r="D71" s="209" t="s">
        <v>2657</v>
      </c>
      <c r="E71" s="209" t="s">
        <v>2199</v>
      </c>
      <c r="F71" s="209" t="s">
        <v>2660</v>
      </c>
      <c r="G71" s="209" t="s">
        <v>332</v>
      </c>
      <c r="H71" s="209" t="s">
        <v>49</v>
      </c>
      <c r="I71" s="209">
        <f t="shared" si="2"/>
        <v>0</v>
      </c>
    </row>
    <row r="72" spans="1:9">
      <c r="A72" s="209">
        <v>9</v>
      </c>
      <c r="B72" s="210">
        <v>46234</v>
      </c>
      <c r="C72" s="209" t="s">
        <v>2224</v>
      </c>
      <c r="D72" s="209" t="s">
        <v>2652</v>
      </c>
      <c r="E72" s="209" t="s">
        <v>2199</v>
      </c>
      <c r="F72" s="209" t="s">
        <v>2663</v>
      </c>
      <c r="G72" s="209" t="s">
        <v>332</v>
      </c>
      <c r="H72" s="209" t="s">
        <v>49</v>
      </c>
      <c r="I72" s="209">
        <f t="shared" si="2"/>
        <v>0</v>
      </c>
    </row>
    <row r="73" spans="1:9">
      <c r="A73" s="209">
        <v>9</v>
      </c>
      <c r="B73" s="210">
        <v>46235</v>
      </c>
      <c r="C73" s="209" t="s">
        <v>2225</v>
      </c>
      <c r="D73" s="209" t="s">
        <v>2665</v>
      </c>
      <c r="E73" s="209" t="s">
        <v>35</v>
      </c>
      <c r="F73" s="209" t="s">
        <v>2666</v>
      </c>
      <c r="G73" s="209" t="s">
        <v>332</v>
      </c>
      <c r="H73" s="209" t="s">
        <v>49</v>
      </c>
      <c r="I73" s="209">
        <f t="shared" si="2"/>
        <v>0</v>
      </c>
    </row>
    <row r="74" spans="1:9">
      <c r="A74" s="209">
        <v>9</v>
      </c>
      <c r="B74" s="210">
        <v>46235</v>
      </c>
      <c r="C74" s="209" t="s">
        <v>2225</v>
      </c>
      <c r="D74" s="209" t="s">
        <v>2667</v>
      </c>
      <c r="E74" s="209" t="s">
        <v>2189</v>
      </c>
      <c r="F74" s="209" t="s">
        <v>2769</v>
      </c>
      <c r="G74" s="209" t="s">
        <v>1289</v>
      </c>
      <c r="H74" s="209" t="s">
        <v>49</v>
      </c>
      <c r="I74" s="209">
        <f t="shared" si="2"/>
        <v>0</v>
      </c>
    </row>
    <row r="75" spans="1:9">
      <c r="A75" s="209">
        <v>9</v>
      </c>
      <c r="B75" s="210">
        <v>46236</v>
      </c>
      <c r="C75" s="209" t="s">
        <v>2226</v>
      </c>
      <c r="D75" s="209" t="s">
        <v>2669</v>
      </c>
      <c r="E75" s="209" t="s">
        <v>2670</v>
      </c>
      <c r="F75" s="209" t="s">
        <v>2671</v>
      </c>
      <c r="G75" s="209" t="s">
        <v>1907</v>
      </c>
      <c r="H75" s="209" t="s">
        <v>49</v>
      </c>
      <c r="I75" s="209">
        <f t="shared" si="2"/>
        <v>0</v>
      </c>
    </row>
    <row r="76" spans="1:9">
      <c r="A76" s="209">
        <v>10</v>
      </c>
      <c r="B76" s="210">
        <v>46237</v>
      </c>
      <c r="C76" s="209" t="s">
        <v>2220</v>
      </c>
      <c r="D76" s="209" t="s">
        <v>2652</v>
      </c>
      <c r="E76" s="209" t="s">
        <v>2184</v>
      </c>
      <c r="F76" s="209" t="s">
        <v>2768</v>
      </c>
      <c r="G76" s="209" t="s">
        <v>332</v>
      </c>
      <c r="H76" s="209" t="s">
        <v>49</v>
      </c>
      <c r="I76" s="209">
        <f t="shared" si="2"/>
        <v>0</v>
      </c>
    </row>
    <row r="77" spans="1:9">
      <c r="A77" s="209">
        <v>10</v>
      </c>
      <c r="B77" s="210">
        <v>46238</v>
      </c>
      <c r="C77" s="209" t="s">
        <v>2221</v>
      </c>
      <c r="D77" s="209" t="s">
        <v>2657</v>
      </c>
      <c r="E77" s="209" t="s">
        <v>2184</v>
      </c>
      <c r="F77" s="209" t="s">
        <v>2658</v>
      </c>
      <c r="G77" s="209" t="s">
        <v>332</v>
      </c>
      <c r="H77" s="209" t="s">
        <v>49</v>
      </c>
      <c r="I77" s="209">
        <f t="shared" si="2"/>
        <v>0</v>
      </c>
    </row>
    <row r="78" spans="1:9">
      <c r="A78" s="209">
        <v>10</v>
      </c>
      <c r="B78" s="210">
        <v>46239</v>
      </c>
      <c r="C78" s="209" t="s">
        <v>2222</v>
      </c>
      <c r="D78" s="209" t="s">
        <v>2657</v>
      </c>
      <c r="E78" s="209" t="s">
        <v>35</v>
      </c>
      <c r="F78" s="209" t="s">
        <v>2659</v>
      </c>
      <c r="G78" s="209" t="s">
        <v>332</v>
      </c>
      <c r="H78" s="209" t="s">
        <v>49</v>
      </c>
      <c r="I78" s="209">
        <f t="shared" si="2"/>
        <v>0</v>
      </c>
    </row>
    <row r="79" spans="1:9">
      <c r="A79" s="209">
        <v>10</v>
      </c>
      <c r="B79" s="210">
        <v>46240</v>
      </c>
      <c r="C79" s="209" t="s">
        <v>2223</v>
      </c>
      <c r="D79" s="209" t="s">
        <v>2657</v>
      </c>
      <c r="E79" s="209" t="s">
        <v>2199</v>
      </c>
      <c r="F79" s="209" t="s">
        <v>2660</v>
      </c>
      <c r="G79" s="209" t="s">
        <v>332</v>
      </c>
      <c r="H79" s="209" t="s">
        <v>49</v>
      </c>
      <c r="I79" s="209">
        <f t="shared" si="2"/>
        <v>0</v>
      </c>
    </row>
    <row r="80" spans="1:9">
      <c r="A80" s="209">
        <v>10</v>
      </c>
      <c r="B80" s="210">
        <v>46241</v>
      </c>
      <c r="C80" s="209" t="s">
        <v>2224</v>
      </c>
      <c r="D80" s="209" t="s">
        <v>2652</v>
      </c>
      <c r="E80" s="209" t="s">
        <v>2199</v>
      </c>
      <c r="F80" s="209" t="s">
        <v>2663</v>
      </c>
      <c r="G80" s="209" t="s">
        <v>332</v>
      </c>
      <c r="H80" s="209" t="s">
        <v>49</v>
      </c>
      <c r="I80" s="209">
        <f t="shared" si="2"/>
        <v>0</v>
      </c>
    </row>
    <row r="81" spans="1:9">
      <c r="A81" s="209">
        <v>10</v>
      </c>
      <c r="B81" s="210">
        <v>46242</v>
      </c>
      <c r="C81" s="209" t="s">
        <v>2225</v>
      </c>
      <c r="D81" s="209" t="s">
        <v>2665</v>
      </c>
      <c r="E81" s="209" t="s">
        <v>35</v>
      </c>
      <c r="F81" s="209" t="s">
        <v>2666</v>
      </c>
      <c r="G81" s="209" t="s">
        <v>332</v>
      </c>
      <c r="H81" s="209" t="s">
        <v>49</v>
      </c>
      <c r="I81" s="209">
        <f t="shared" si="2"/>
        <v>0</v>
      </c>
    </row>
    <row r="82" spans="1:9">
      <c r="A82" s="209">
        <v>10</v>
      </c>
      <c r="B82" s="210">
        <v>46242</v>
      </c>
      <c r="C82" s="209" t="s">
        <v>2225</v>
      </c>
      <c r="D82" s="209" t="s">
        <v>2667</v>
      </c>
      <c r="E82" s="209" t="s">
        <v>2189</v>
      </c>
      <c r="F82" s="209" t="s">
        <v>2769</v>
      </c>
      <c r="G82" s="209" t="s">
        <v>1289</v>
      </c>
      <c r="H82" s="209" t="s">
        <v>49</v>
      </c>
      <c r="I82" s="209">
        <f t="shared" si="2"/>
        <v>0</v>
      </c>
    </row>
    <row r="83" spans="1:9">
      <c r="A83" s="209">
        <v>10</v>
      </c>
      <c r="B83" s="210">
        <v>46243</v>
      </c>
      <c r="C83" s="209" t="s">
        <v>2226</v>
      </c>
      <c r="D83" s="209" t="s">
        <v>2669</v>
      </c>
      <c r="E83" s="209" t="s">
        <v>2670</v>
      </c>
      <c r="F83" s="209" t="s">
        <v>2671</v>
      </c>
      <c r="G83" s="209" t="s">
        <v>1907</v>
      </c>
      <c r="H83" s="209" t="s">
        <v>49</v>
      </c>
      <c r="I83" s="209">
        <f t="shared" si="2"/>
        <v>0</v>
      </c>
    </row>
    <row r="84" spans="1:9">
      <c r="A84" s="209">
        <v>11</v>
      </c>
      <c r="B84" s="210">
        <v>46244</v>
      </c>
      <c r="C84" s="209" t="s">
        <v>2220</v>
      </c>
      <c r="D84" s="209" t="s">
        <v>2652</v>
      </c>
      <c r="E84" s="209" t="s">
        <v>2184</v>
      </c>
      <c r="F84" s="209" t="s">
        <v>2768</v>
      </c>
      <c r="G84" s="209" t="s">
        <v>332</v>
      </c>
      <c r="H84" s="209" t="s">
        <v>49</v>
      </c>
      <c r="I84" s="209">
        <f t="shared" si="2"/>
        <v>0</v>
      </c>
    </row>
    <row r="85" spans="1:9">
      <c r="A85" s="209">
        <v>11</v>
      </c>
      <c r="B85" s="210">
        <v>46245</v>
      </c>
      <c r="C85" s="209" t="s">
        <v>2221</v>
      </c>
      <c r="D85" s="209" t="s">
        <v>2657</v>
      </c>
      <c r="E85" s="209" t="s">
        <v>2184</v>
      </c>
      <c r="F85" s="209" t="s">
        <v>2658</v>
      </c>
      <c r="G85" s="209" t="s">
        <v>332</v>
      </c>
      <c r="H85" s="209" t="s">
        <v>49</v>
      </c>
      <c r="I85" s="209">
        <f t="shared" si="2"/>
        <v>0</v>
      </c>
    </row>
    <row r="86" spans="1:9">
      <c r="A86" s="209">
        <v>11</v>
      </c>
      <c r="B86" s="210">
        <v>46246</v>
      </c>
      <c r="C86" s="209" t="s">
        <v>2222</v>
      </c>
      <c r="D86" s="209" t="s">
        <v>2657</v>
      </c>
      <c r="E86" s="209" t="s">
        <v>35</v>
      </c>
      <c r="F86" s="209" t="s">
        <v>2659</v>
      </c>
      <c r="G86" s="209" t="s">
        <v>332</v>
      </c>
      <c r="H86" s="209" t="s">
        <v>49</v>
      </c>
      <c r="I86" s="209">
        <f t="shared" si="2"/>
        <v>0</v>
      </c>
    </row>
    <row r="87" spans="1:9">
      <c r="A87" s="209">
        <v>11</v>
      </c>
      <c r="B87" s="210">
        <v>46247</v>
      </c>
      <c r="C87" s="209" t="s">
        <v>2223</v>
      </c>
      <c r="D87" s="209" t="s">
        <v>2657</v>
      </c>
      <c r="E87" s="209" t="s">
        <v>2199</v>
      </c>
      <c r="F87" s="209" t="s">
        <v>2660</v>
      </c>
      <c r="G87" s="209" t="s">
        <v>332</v>
      </c>
      <c r="H87" s="209" t="s">
        <v>49</v>
      </c>
      <c r="I87" s="209">
        <f t="shared" si="2"/>
        <v>0</v>
      </c>
    </row>
    <row r="88" spans="1:9">
      <c r="A88" s="209">
        <v>11</v>
      </c>
      <c r="B88" s="210">
        <v>46248</v>
      </c>
      <c r="C88" s="209" t="s">
        <v>2224</v>
      </c>
      <c r="D88" s="209" t="s">
        <v>2652</v>
      </c>
      <c r="E88" s="209" t="s">
        <v>2199</v>
      </c>
      <c r="F88" s="209" t="s">
        <v>2663</v>
      </c>
      <c r="G88" s="209" t="s">
        <v>332</v>
      </c>
      <c r="H88" s="209" t="s">
        <v>49</v>
      </c>
      <c r="I88" s="209">
        <f t="shared" si="2"/>
        <v>0</v>
      </c>
    </row>
    <row r="89" spans="1:9">
      <c r="A89" s="209">
        <v>11</v>
      </c>
      <c r="B89" s="210">
        <v>46249</v>
      </c>
      <c r="C89" s="209" t="s">
        <v>2225</v>
      </c>
      <c r="D89" s="209" t="s">
        <v>2665</v>
      </c>
      <c r="E89" s="209" t="s">
        <v>35</v>
      </c>
      <c r="F89" s="209" t="s">
        <v>2666</v>
      </c>
      <c r="G89" s="209" t="s">
        <v>332</v>
      </c>
      <c r="H89" s="209" t="s">
        <v>49</v>
      </c>
      <c r="I89" s="209">
        <f t="shared" si="2"/>
        <v>0</v>
      </c>
    </row>
    <row r="90" spans="1:9">
      <c r="A90" s="209">
        <v>11</v>
      </c>
      <c r="B90" s="210">
        <v>46249</v>
      </c>
      <c r="C90" s="209" t="s">
        <v>2225</v>
      </c>
      <c r="D90" s="209" t="s">
        <v>2667</v>
      </c>
      <c r="E90" s="209" t="s">
        <v>2189</v>
      </c>
      <c r="F90" s="209" t="s">
        <v>2769</v>
      </c>
      <c r="G90" s="209" t="s">
        <v>1289</v>
      </c>
      <c r="H90" s="209" t="s">
        <v>49</v>
      </c>
      <c r="I90" s="209">
        <f t="shared" si="2"/>
        <v>0</v>
      </c>
    </row>
    <row r="91" spans="1:9">
      <c r="A91" s="209">
        <v>11</v>
      </c>
      <c r="B91" s="210">
        <v>46250</v>
      </c>
      <c r="C91" s="209" t="s">
        <v>2226</v>
      </c>
      <c r="D91" s="209" t="s">
        <v>2669</v>
      </c>
      <c r="E91" s="209" t="s">
        <v>2670</v>
      </c>
      <c r="F91" s="209" t="s">
        <v>2671</v>
      </c>
      <c r="G91" s="209" t="s">
        <v>1907</v>
      </c>
      <c r="H91" s="209" t="s">
        <v>49</v>
      </c>
      <c r="I91" s="209">
        <f t="shared" si="2"/>
        <v>0</v>
      </c>
    </row>
    <row r="92" spans="1:9">
      <c r="A92" s="209">
        <v>12</v>
      </c>
      <c r="B92" s="210">
        <v>46251</v>
      </c>
      <c r="C92" s="209" t="s">
        <v>2220</v>
      </c>
      <c r="D92" s="209" t="s">
        <v>2652</v>
      </c>
      <c r="E92" s="209" t="s">
        <v>2184</v>
      </c>
      <c r="F92" s="209" t="s">
        <v>2768</v>
      </c>
      <c r="G92" s="209" t="s">
        <v>332</v>
      </c>
      <c r="H92" s="209" t="s">
        <v>49</v>
      </c>
      <c r="I92" s="209">
        <f t="shared" si="2"/>
        <v>0</v>
      </c>
    </row>
    <row r="93" spans="1:9">
      <c r="A93" s="209">
        <v>12</v>
      </c>
      <c r="B93" s="210">
        <v>46252</v>
      </c>
      <c r="C93" s="209" t="s">
        <v>2221</v>
      </c>
      <c r="D93" s="209" t="s">
        <v>2657</v>
      </c>
      <c r="E93" s="209" t="s">
        <v>2184</v>
      </c>
      <c r="F93" s="209" t="s">
        <v>2658</v>
      </c>
      <c r="G93" s="209" t="s">
        <v>332</v>
      </c>
      <c r="H93" s="209" t="s">
        <v>49</v>
      </c>
      <c r="I93" s="209">
        <f t="shared" si="2"/>
        <v>0</v>
      </c>
    </row>
    <row r="94" spans="1:9">
      <c r="A94" s="209">
        <v>12</v>
      </c>
      <c r="B94" s="210">
        <v>46253</v>
      </c>
      <c r="C94" s="209" t="s">
        <v>2222</v>
      </c>
      <c r="D94" s="209" t="s">
        <v>2657</v>
      </c>
      <c r="E94" s="209" t="s">
        <v>35</v>
      </c>
      <c r="F94" s="209" t="s">
        <v>2659</v>
      </c>
      <c r="G94" s="209" t="s">
        <v>332</v>
      </c>
      <c r="H94" s="209" t="s">
        <v>49</v>
      </c>
      <c r="I94" s="209">
        <f t="shared" si="2"/>
        <v>0</v>
      </c>
    </row>
    <row r="95" spans="1:9">
      <c r="A95" s="209">
        <v>12</v>
      </c>
      <c r="B95" s="210">
        <v>46254</v>
      </c>
      <c r="C95" s="209" t="s">
        <v>2223</v>
      </c>
      <c r="D95" s="209" t="s">
        <v>2657</v>
      </c>
      <c r="E95" s="209" t="s">
        <v>2199</v>
      </c>
      <c r="F95" s="209" t="s">
        <v>2660</v>
      </c>
      <c r="G95" s="209" t="s">
        <v>332</v>
      </c>
      <c r="H95" s="209" t="s">
        <v>49</v>
      </c>
      <c r="I95" s="209">
        <f t="shared" si="2"/>
        <v>0</v>
      </c>
    </row>
    <row r="96" spans="1:9">
      <c r="A96" s="209">
        <v>12</v>
      </c>
      <c r="B96" s="210">
        <v>46255</v>
      </c>
      <c r="C96" s="209" t="s">
        <v>2224</v>
      </c>
      <c r="D96" s="209" t="s">
        <v>2652</v>
      </c>
      <c r="E96" s="209" t="s">
        <v>2199</v>
      </c>
      <c r="F96" s="209" t="s">
        <v>2663</v>
      </c>
      <c r="G96" s="209" t="s">
        <v>332</v>
      </c>
      <c r="H96" s="209" t="s">
        <v>49</v>
      </c>
      <c r="I96" s="209">
        <f t="shared" si="2"/>
        <v>0</v>
      </c>
    </row>
    <row r="97" spans="1:9">
      <c r="A97" s="209">
        <v>12</v>
      </c>
      <c r="B97" s="210">
        <v>46256</v>
      </c>
      <c r="C97" s="209" t="s">
        <v>2225</v>
      </c>
      <c r="D97" s="209" t="s">
        <v>2665</v>
      </c>
      <c r="E97" s="209" t="s">
        <v>35</v>
      </c>
      <c r="F97" s="209" t="s">
        <v>2666</v>
      </c>
      <c r="G97" s="209" t="s">
        <v>332</v>
      </c>
      <c r="H97" s="209" t="s">
        <v>49</v>
      </c>
      <c r="I97" s="209">
        <f t="shared" si="2"/>
        <v>0</v>
      </c>
    </row>
    <row r="98" spans="1:9">
      <c r="A98" s="209">
        <v>12</v>
      </c>
      <c r="B98" s="210">
        <v>46256</v>
      </c>
      <c r="C98" s="209" t="s">
        <v>2225</v>
      </c>
      <c r="D98" s="209" t="s">
        <v>2667</v>
      </c>
      <c r="E98" s="209" t="s">
        <v>2189</v>
      </c>
      <c r="F98" s="209" t="s">
        <v>2769</v>
      </c>
      <c r="G98" s="209" t="s">
        <v>1289</v>
      </c>
      <c r="H98" s="209" t="s">
        <v>49</v>
      </c>
      <c r="I98" s="209">
        <f t="shared" si="2"/>
        <v>0</v>
      </c>
    </row>
    <row r="99" spans="1:9">
      <c r="A99" s="209">
        <v>12</v>
      </c>
      <c r="B99" s="210">
        <v>46257</v>
      </c>
      <c r="C99" s="209" t="s">
        <v>2226</v>
      </c>
      <c r="D99" s="209" t="s">
        <v>2669</v>
      </c>
      <c r="E99" s="209" t="s">
        <v>2670</v>
      </c>
      <c r="F99" s="209" t="s">
        <v>2671</v>
      </c>
      <c r="G99" s="209" t="s">
        <v>1907</v>
      </c>
      <c r="H99" s="209" t="s">
        <v>49</v>
      </c>
      <c r="I99" s="209">
        <f t="shared" si="2"/>
        <v>0</v>
      </c>
    </row>
  </sheetData>
  <mergeCells count="2">
    <mergeCell ref="A2:N2"/>
    <mergeCell ref="A1:N1"/>
  </mergeCells>
  <dataValidations count="2">
    <dataValidation type="list" allowBlank="1" sqref="D5:D204" xr:uid="{00000000-0002-0000-3C00-000000000000}">
      <formula1>"Comprensión,Práctica,Producción,Corrección,Simulación,Clase"</formula1>
    </dataValidation>
    <dataValidation type="list" allowBlank="1" sqref="E5:E204" xr:uid="{00000000-0002-0000-3C00-000001000000}">
      <formula1>"Sí,No"</formula1>
    </dataValidation>
  </dataValidation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7030A0"/>
  </sheetPr>
  <dimension ref="A1:L15"/>
  <sheetViews>
    <sheetView showGridLines="0" workbookViewId="0"/>
  </sheetViews>
  <sheetFormatPr baseColWidth="10" defaultColWidth="8.7265625" defaultRowHeight="14.5"/>
  <cols>
    <col min="1" max="1" width="45" customWidth="1"/>
    <col min="2" max="3" width="14" customWidth="1"/>
    <col min="4" max="8" width="45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 ht="28" customHeight="1">
      <c r="A1" s="486" t="s">
        <v>2770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85" t="s">
        <v>2771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>
      <c r="A3" s="207" t="s">
        <v>1115</v>
      </c>
      <c r="B3" s="207" t="s">
        <v>1233</v>
      </c>
      <c r="C3" s="207" t="s">
        <v>2772</v>
      </c>
      <c r="D3" s="207" t="s">
        <v>2184</v>
      </c>
      <c r="E3" s="207" t="s">
        <v>2773</v>
      </c>
      <c r="F3" s="207" t="s">
        <v>2774</v>
      </c>
      <c r="G3" s="207" t="s">
        <v>2775</v>
      </c>
      <c r="H3" s="207" t="s">
        <v>2776</v>
      </c>
      <c r="I3" s="207" t="s">
        <v>2777</v>
      </c>
      <c r="J3" s="207" t="s">
        <v>248</v>
      </c>
      <c r="K3" s="207" t="s">
        <v>2778</v>
      </c>
      <c r="L3" s="207" t="s">
        <v>2779</v>
      </c>
    </row>
    <row r="4" spans="1:12" ht="29" customHeight="1">
      <c r="A4" s="209">
        <v>1</v>
      </c>
      <c r="B4" s="210">
        <v>46174</v>
      </c>
      <c r="C4" s="210">
        <v>46180</v>
      </c>
      <c r="D4" s="209" t="s">
        <v>2255</v>
      </c>
      <c r="E4" s="209" t="s">
        <v>2386</v>
      </c>
      <c r="F4" s="209" t="s">
        <v>2341</v>
      </c>
      <c r="G4" s="209" t="s">
        <v>2301</v>
      </c>
      <c r="H4" s="209" t="s">
        <v>2608</v>
      </c>
      <c r="I4" s="209" t="s">
        <v>49</v>
      </c>
      <c r="J4" s="209" t="s">
        <v>1907</v>
      </c>
      <c r="K4" s="209" t="s">
        <v>49</v>
      </c>
      <c r="L4" s="209" t="s">
        <v>49</v>
      </c>
    </row>
    <row r="5" spans="1:12" ht="29" customHeight="1">
      <c r="A5" s="209">
        <v>2</v>
      </c>
      <c r="B5" s="210">
        <v>46181</v>
      </c>
      <c r="C5" s="210">
        <v>46187</v>
      </c>
      <c r="D5" s="209" t="s">
        <v>2259</v>
      </c>
      <c r="E5" s="209" t="s">
        <v>2390</v>
      </c>
      <c r="F5" s="209" t="s">
        <v>2344</v>
      </c>
      <c r="G5" s="209" t="s">
        <v>2304</v>
      </c>
      <c r="H5" s="209" t="s">
        <v>2610</v>
      </c>
      <c r="I5" s="209" t="s">
        <v>49</v>
      </c>
      <c r="J5" s="209" t="s">
        <v>1907</v>
      </c>
      <c r="K5" s="209" t="s">
        <v>49</v>
      </c>
      <c r="L5" s="209" t="s">
        <v>49</v>
      </c>
    </row>
    <row r="6" spans="1:12" ht="43.5" customHeight="1">
      <c r="A6" s="209">
        <v>3</v>
      </c>
      <c r="B6" s="210">
        <v>46188</v>
      </c>
      <c r="C6" s="210">
        <v>46194</v>
      </c>
      <c r="D6" s="209" t="s">
        <v>2262</v>
      </c>
      <c r="E6" s="209" t="s">
        <v>2394</v>
      </c>
      <c r="F6" s="209" t="s">
        <v>2348</v>
      </c>
      <c r="G6" s="209" t="s">
        <v>2307</v>
      </c>
      <c r="H6" s="209" t="s">
        <v>2611</v>
      </c>
      <c r="I6" s="209" t="s">
        <v>49</v>
      </c>
      <c r="J6" s="209" t="s">
        <v>1907</v>
      </c>
      <c r="K6" s="209" t="s">
        <v>49</v>
      </c>
      <c r="L6" s="209" t="s">
        <v>49</v>
      </c>
    </row>
    <row r="7" spans="1:12" ht="58" customHeight="1">
      <c r="A7" s="209">
        <v>4</v>
      </c>
      <c r="B7" s="210">
        <v>46195</v>
      </c>
      <c r="C7" s="210">
        <v>46201</v>
      </c>
      <c r="D7" s="209" t="s">
        <v>2265</v>
      </c>
      <c r="E7" s="209" t="s">
        <v>2398</v>
      </c>
      <c r="F7" s="209" t="s">
        <v>2352</v>
      </c>
      <c r="G7" s="209" t="s">
        <v>2310</v>
      </c>
      <c r="H7" s="209" t="s">
        <v>2612</v>
      </c>
      <c r="I7" s="209" t="s">
        <v>49</v>
      </c>
      <c r="J7" s="209" t="s">
        <v>1907</v>
      </c>
      <c r="K7" s="209" t="s">
        <v>49</v>
      </c>
      <c r="L7" s="209" t="s">
        <v>49</v>
      </c>
    </row>
    <row r="8" spans="1:12">
      <c r="A8" s="209">
        <v>5</v>
      </c>
      <c r="B8" s="210">
        <v>46202</v>
      </c>
      <c r="C8" s="210">
        <v>46208</v>
      </c>
      <c r="D8" s="209" t="s">
        <v>2269</v>
      </c>
      <c r="E8" s="209" t="s">
        <v>2401</v>
      </c>
      <c r="F8" s="209" t="s">
        <v>2356</v>
      </c>
      <c r="G8" s="209" t="s">
        <v>2314</v>
      </c>
      <c r="H8" s="209" t="s">
        <v>2610</v>
      </c>
      <c r="I8" s="209" t="s">
        <v>49</v>
      </c>
      <c r="J8" s="209" t="s">
        <v>1907</v>
      </c>
      <c r="K8" s="209" t="s">
        <v>49</v>
      </c>
      <c r="L8" s="209" t="s">
        <v>49</v>
      </c>
    </row>
    <row r="9" spans="1:12">
      <c r="A9" s="209">
        <v>6</v>
      </c>
      <c r="B9" s="210">
        <v>46209</v>
      </c>
      <c r="C9" s="210">
        <v>46215</v>
      </c>
      <c r="D9" s="209" t="s">
        <v>2273</v>
      </c>
      <c r="E9" s="209" t="s">
        <v>2405</v>
      </c>
      <c r="F9" s="209" t="s">
        <v>2360</v>
      </c>
      <c r="G9" s="209" t="s">
        <v>2317</v>
      </c>
      <c r="H9" s="209" t="s">
        <v>2610</v>
      </c>
      <c r="I9" s="209" t="s">
        <v>49</v>
      </c>
      <c r="J9" s="209" t="s">
        <v>1907</v>
      </c>
      <c r="K9" s="209" t="s">
        <v>49</v>
      </c>
      <c r="L9" s="209" t="s">
        <v>49</v>
      </c>
    </row>
    <row r="10" spans="1:12" ht="29" customHeight="1">
      <c r="A10" s="209">
        <v>7</v>
      </c>
      <c r="B10" s="210">
        <v>46216</v>
      </c>
      <c r="C10" s="210">
        <v>46222</v>
      </c>
      <c r="D10" s="209" t="s">
        <v>2277</v>
      </c>
      <c r="E10" s="209" t="s">
        <v>2409</v>
      </c>
      <c r="F10" s="209" t="s">
        <v>2364</v>
      </c>
      <c r="G10" s="209" t="s">
        <v>2320</v>
      </c>
      <c r="H10" s="209" t="s">
        <v>2613</v>
      </c>
      <c r="I10" s="209" t="s">
        <v>49</v>
      </c>
      <c r="J10" s="209" t="s">
        <v>1907</v>
      </c>
      <c r="K10" s="209" t="s">
        <v>49</v>
      </c>
      <c r="L10" s="209" t="s">
        <v>49</v>
      </c>
    </row>
    <row r="11" spans="1:12" ht="58" customHeight="1">
      <c r="A11" s="209">
        <v>8</v>
      </c>
      <c r="B11" s="210">
        <v>46223</v>
      </c>
      <c r="C11" s="210">
        <v>46229</v>
      </c>
      <c r="D11" s="209" t="s">
        <v>2281</v>
      </c>
      <c r="E11" s="209" t="s">
        <v>2413</v>
      </c>
      <c r="F11" s="209" t="s">
        <v>2368</v>
      </c>
      <c r="G11" s="209" t="s">
        <v>2323</v>
      </c>
      <c r="H11" s="209" t="s">
        <v>2614</v>
      </c>
      <c r="I11" s="209" t="s">
        <v>49</v>
      </c>
      <c r="J11" s="209" t="s">
        <v>1907</v>
      </c>
      <c r="K11" s="209" t="s">
        <v>49</v>
      </c>
      <c r="L11" s="209" t="s">
        <v>49</v>
      </c>
    </row>
    <row r="12" spans="1:12">
      <c r="A12" s="209">
        <v>9</v>
      </c>
      <c r="B12" s="210">
        <v>46230</v>
      </c>
      <c r="C12" s="210">
        <v>46236</v>
      </c>
      <c r="D12" s="209" t="s">
        <v>2285</v>
      </c>
      <c r="E12" s="209" t="s">
        <v>2417</v>
      </c>
      <c r="F12" s="209" t="s">
        <v>2372</v>
      </c>
      <c r="G12" s="209" t="s">
        <v>2327</v>
      </c>
      <c r="H12" s="209"/>
      <c r="I12" s="209" t="s">
        <v>49</v>
      </c>
      <c r="J12" s="209" t="s">
        <v>1289</v>
      </c>
      <c r="K12" s="209" t="s">
        <v>49</v>
      </c>
      <c r="L12" s="209" t="s">
        <v>49</v>
      </c>
    </row>
    <row r="13" spans="1:12" ht="29" customHeight="1">
      <c r="A13" s="209">
        <v>10</v>
      </c>
      <c r="B13" s="210">
        <v>46237</v>
      </c>
      <c r="C13" s="210">
        <v>46243</v>
      </c>
      <c r="D13" s="209" t="s">
        <v>2289</v>
      </c>
      <c r="E13" s="209" t="s">
        <v>2421</v>
      </c>
      <c r="F13" s="209" t="s">
        <v>2376</v>
      </c>
      <c r="G13" s="209" t="s">
        <v>2331</v>
      </c>
      <c r="H13" s="209" t="s">
        <v>2615</v>
      </c>
      <c r="I13" s="209" t="s">
        <v>49</v>
      </c>
      <c r="J13" s="209" t="s">
        <v>1907</v>
      </c>
      <c r="K13" s="209" t="s">
        <v>49</v>
      </c>
      <c r="L13" s="209" t="s">
        <v>49</v>
      </c>
    </row>
    <row r="14" spans="1:12" ht="43.5" customHeight="1">
      <c r="A14" s="209">
        <v>11</v>
      </c>
      <c r="B14" s="210">
        <v>46244</v>
      </c>
      <c r="C14" s="210">
        <v>46250</v>
      </c>
      <c r="D14" s="209" t="s">
        <v>2293</v>
      </c>
      <c r="E14" s="209" t="s">
        <v>2424</v>
      </c>
      <c r="F14" s="209" t="s">
        <v>2380</v>
      </c>
      <c r="G14" s="209" t="s">
        <v>2335</v>
      </c>
      <c r="H14" s="209" t="s">
        <v>2616</v>
      </c>
      <c r="I14" s="209" t="s">
        <v>49</v>
      </c>
      <c r="J14" s="209" t="s">
        <v>1907</v>
      </c>
      <c r="K14" s="209" t="s">
        <v>49</v>
      </c>
      <c r="L14" s="209" t="s">
        <v>49</v>
      </c>
    </row>
    <row r="15" spans="1:12" ht="87" customHeight="1">
      <c r="A15" s="209">
        <v>12</v>
      </c>
      <c r="B15" s="210">
        <v>46251</v>
      </c>
      <c r="C15" s="210">
        <v>46257</v>
      </c>
      <c r="D15" s="209" t="s">
        <v>2297</v>
      </c>
      <c r="E15" s="209" t="s">
        <v>2427</v>
      </c>
      <c r="F15" s="209" t="s">
        <v>2383</v>
      </c>
      <c r="G15" s="209" t="s">
        <v>2338</v>
      </c>
      <c r="H15" s="209" t="s">
        <v>2617</v>
      </c>
      <c r="I15" s="209" t="s">
        <v>49</v>
      </c>
      <c r="J15" s="209" t="s">
        <v>1907</v>
      </c>
      <c r="K15" s="209" t="s">
        <v>49</v>
      </c>
      <c r="L15" s="209" t="s">
        <v>49</v>
      </c>
    </row>
  </sheetData>
  <mergeCells count="2">
    <mergeCell ref="A2:L2"/>
    <mergeCell ref="A1:L1"/>
  </mergeCells>
  <conditionalFormatting sqref="J5:J64">
    <cfRule type="expression" dxfId="661" priority="1">
      <formula>ISNUMBER(SEARCH("🔴",J5))</formula>
    </cfRule>
    <cfRule type="expression" dxfId="660" priority="2">
      <formula>ISNUMBER(SEARCH("🟡",J5))</formula>
    </cfRule>
    <cfRule type="expression" dxfId="659" priority="3">
      <formula>ISNUMBER(SEARCH("🟢",J5))</formula>
    </cfRule>
    <cfRule type="expression" dxfId="658" priority="4">
      <formula>ISNUMBER(SEARCH("⭐",J5))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BFBFBF"/>
  </sheetPr>
  <dimension ref="A1:N4"/>
  <sheetViews>
    <sheetView showGridLines="0" workbookViewId="0"/>
  </sheetViews>
  <sheetFormatPr baseColWidth="10" defaultRowHeight="14.5"/>
  <cols>
    <col min="1" max="1" width="14" customWidth="1"/>
    <col min="2" max="2" width="26" customWidth="1"/>
    <col min="3" max="3" width="25" customWidth="1"/>
    <col min="4" max="4" width="32" customWidth="1"/>
    <col min="5" max="5" width="25" customWidth="1"/>
    <col min="6" max="6" width="32" customWidth="1"/>
    <col min="7" max="9" width="12" customWidth="1"/>
    <col min="10" max="12" width="14" customWidth="1"/>
    <col min="13" max="13" width="30" customWidth="1"/>
    <col min="14" max="14" width="12" customWidth="1"/>
  </cols>
  <sheetData>
    <row r="1" spans="1:14" ht="28" customHeight="1">
      <c r="A1" s="492" t="s">
        <v>2780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4">
      <c r="A2" s="491" t="s">
        <v>2781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4" spans="1:14" ht="29" customHeight="1">
      <c r="A4" s="168" t="s">
        <v>13</v>
      </c>
      <c r="B4" s="168" t="s">
        <v>2230</v>
      </c>
      <c r="C4" s="168" t="s">
        <v>2431</v>
      </c>
      <c r="D4" s="168" t="s">
        <v>2201</v>
      </c>
      <c r="E4" s="168" t="s">
        <v>2782</v>
      </c>
      <c r="F4" s="168" t="s">
        <v>2436</v>
      </c>
      <c r="G4" s="168" t="s">
        <v>2783</v>
      </c>
      <c r="H4" s="168" t="s">
        <v>1115</v>
      </c>
      <c r="I4" s="168" t="s">
        <v>248</v>
      </c>
      <c r="J4" s="168" t="s">
        <v>2439</v>
      </c>
      <c r="K4" s="168" t="s">
        <v>655</v>
      </c>
      <c r="L4" s="168" t="s">
        <v>2784</v>
      </c>
      <c r="M4" s="168" t="s">
        <v>2785</v>
      </c>
      <c r="N4" s="168" t="s">
        <v>1631</v>
      </c>
    </row>
  </sheetData>
  <mergeCells count="2">
    <mergeCell ref="A2:L2"/>
    <mergeCell ref="A1:L1"/>
  </mergeCells>
  <dataValidations count="2">
    <dataValidation type="list" allowBlank="1" sqref="G5:G204" xr:uid="{00000000-0002-0000-3E00-000000000000}">
      <formula1>"Sí,No"</formula1>
    </dataValidation>
    <dataValidation type="list" allowBlank="1" sqref="L5:L204" xr:uid="{00000000-0002-0000-3E00-000001000000}">
      <formula1>"Conceptual,Operacional,Lectura,Tiempo,Estrategia,Energía"</formula1>
    </dataValidation>
  </dataValidation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BFBFBF"/>
  </sheetPr>
  <dimension ref="A1:P28"/>
  <sheetViews>
    <sheetView showGridLines="0" workbookViewId="0"/>
  </sheetViews>
  <sheetFormatPr baseColWidth="10" defaultRowHeight="14.5"/>
  <cols>
    <col min="1" max="1" width="42" customWidth="1"/>
    <col min="2" max="2" width="30" customWidth="1"/>
    <col min="3" max="3" width="12" customWidth="1"/>
    <col min="4" max="4" width="41" customWidth="1"/>
    <col min="5" max="5" width="15" customWidth="1"/>
    <col min="6" max="6" width="14" customWidth="1"/>
    <col min="7" max="8" width="12" customWidth="1"/>
    <col min="9" max="11" width="42" customWidth="1"/>
    <col min="12" max="12" width="13" customWidth="1"/>
    <col min="13" max="14" width="12" customWidth="1"/>
    <col min="15" max="15" width="16" customWidth="1"/>
    <col min="16" max="16" width="28" customWidth="1"/>
  </cols>
  <sheetData>
    <row r="1" spans="1:16" ht="28" customHeight="1">
      <c r="A1" s="486" t="s">
        <v>2786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</row>
    <row r="2" spans="1:16">
      <c r="A2" s="485" t="s">
        <v>2787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</row>
    <row r="3" spans="1:16">
      <c r="A3" s="207" t="s">
        <v>73</v>
      </c>
      <c r="B3" s="207" t="s">
        <v>2230</v>
      </c>
      <c r="C3" s="207" t="s">
        <v>1115</v>
      </c>
      <c r="D3" s="207" t="s">
        <v>2623</v>
      </c>
      <c r="E3" s="207" t="s">
        <v>2236</v>
      </c>
      <c r="F3" s="207" t="s">
        <v>1278</v>
      </c>
      <c r="G3" s="207" t="s">
        <v>655</v>
      </c>
      <c r="H3" s="207" t="s">
        <v>882</v>
      </c>
      <c r="I3" s="207" t="s">
        <v>2181</v>
      </c>
      <c r="J3" s="207" t="s">
        <v>696</v>
      </c>
      <c r="K3" s="207" t="s">
        <v>252</v>
      </c>
      <c r="L3" s="207" t="s">
        <v>11</v>
      </c>
    </row>
    <row r="4" spans="1:16" ht="29" customHeight="1">
      <c r="A4" s="209" t="s">
        <v>2627</v>
      </c>
      <c r="B4" s="209" t="s">
        <v>2199</v>
      </c>
      <c r="C4" s="209">
        <v>1</v>
      </c>
      <c r="D4" s="209" t="s">
        <v>2569</v>
      </c>
      <c r="E4" s="209">
        <v>0</v>
      </c>
      <c r="F4" s="210">
        <v>46180</v>
      </c>
      <c r="G4" s="209" t="s">
        <v>49</v>
      </c>
      <c r="H4" s="209"/>
      <c r="I4" s="209" t="str">
        <f t="shared" ref="I4:I28" ca="1" si="0">IF(G4="Completado","Cerrado",IF(F4-TODAY()&lt;=3,"Crítico",IF(F4-TODAY()&lt;=7,"Alto","Controlado")))</f>
        <v>Crítico</v>
      </c>
      <c r="J4" s="209" t="s">
        <v>2788</v>
      </c>
      <c r="K4" s="209" t="s">
        <v>2789</v>
      </c>
      <c r="L4" s="209"/>
    </row>
    <row r="5" spans="1:16">
      <c r="A5" s="209" t="s">
        <v>2629</v>
      </c>
      <c r="B5" s="209" t="s">
        <v>2199</v>
      </c>
      <c r="C5" s="209">
        <v>2</v>
      </c>
      <c r="D5" s="209" t="s">
        <v>2569</v>
      </c>
      <c r="E5" s="209">
        <v>0</v>
      </c>
      <c r="F5" s="210">
        <v>46187</v>
      </c>
      <c r="G5" s="209" t="s">
        <v>49</v>
      </c>
      <c r="H5" s="209"/>
      <c r="I5" s="209" t="str">
        <f t="shared" ca="1" si="0"/>
        <v>Crítico</v>
      </c>
      <c r="J5" s="209" t="s">
        <v>2790</v>
      </c>
      <c r="K5" s="209" t="s">
        <v>2789</v>
      </c>
      <c r="L5" s="209"/>
    </row>
    <row r="6" spans="1:16">
      <c r="A6" s="209" t="s">
        <v>2630</v>
      </c>
      <c r="B6" s="209" t="s">
        <v>2199</v>
      </c>
      <c r="C6" s="209">
        <v>3</v>
      </c>
      <c r="D6" s="209" t="s">
        <v>2569</v>
      </c>
      <c r="E6" s="209">
        <v>6</v>
      </c>
      <c r="F6" s="210">
        <v>46194</v>
      </c>
      <c r="G6" s="209" t="s">
        <v>49</v>
      </c>
      <c r="H6" s="209"/>
      <c r="I6" s="209" t="str">
        <f t="shared" ca="1" si="0"/>
        <v>Crítico</v>
      </c>
      <c r="J6" s="209" t="s">
        <v>2791</v>
      </c>
      <c r="K6" s="209" t="s">
        <v>2789</v>
      </c>
      <c r="L6" s="209"/>
    </row>
    <row r="7" spans="1:16">
      <c r="A7" s="209" t="s">
        <v>2631</v>
      </c>
      <c r="B7" s="209" t="s">
        <v>2199</v>
      </c>
      <c r="C7" s="209">
        <v>4</v>
      </c>
      <c r="D7" s="209" t="s">
        <v>2570</v>
      </c>
      <c r="E7" s="209">
        <v>35</v>
      </c>
      <c r="F7" s="210">
        <v>46201</v>
      </c>
      <c r="G7" s="209" t="s">
        <v>49</v>
      </c>
      <c r="H7" s="209"/>
      <c r="I7" s="209" t="str">
        <f t="shared" ca="1" si="0"/>
        <v>Crítico</v>
      </c>
      <c r="J7" s="209" t="s">
        <v>2792</v>
      </c>
      <c r="K7" s="209" t="s">
        <v>2789</v>
      </c>
      <c r="L7" s="209"/>
    </row>
    <row r="8" spans="1:16">
      <c r="A8" s="209" t="s">
        <v>2632</v>
      </c>
      <c r="B8" s="209" t="s">
        <v>2199</v>
      </c>
      <c r="C8" s="209">
        <v>5</v>
      </c>
      <c r="D8" s="209" t="s">
        <v>2569</v>
      </c>
      <c r="E8" s="209">
        <v>0</v>
      </c>
      <c r="F8" s="210">
        <v>46208</v>
      </c>
      <c r="G8" s="209" t="s">
        <v>49</v>
      </c>
      <c r="H8" s="209"/>
      <c r="I8" s="209" t="str">
        <f t="shared" ca="1" si="0"/>
        <v>Crítico</v>
      </c>
      <c r="J8" s="209" t="s">
        <v>2793</v>
      </c>
      <c r="K8" s="209" t="s">
        <v>2789</v>
      </c>
      <c r="L8" s="209"/>
    </row>
    <row r="9" spans="1:16">
      <c r="A9" s="209" t="s">
        <v>2633</v>
      </c>
      <c r="B9" s="209" t="s">
        <v>2199</v>
      </c>
      <c r="C9" s="209">
        <v>6</v>
      </c>
      <c r="D9" s="209" t="s">
        <v>2569</v>
      </c>
      <c r="E9" s="209">
        <v>0</v>
      </c>
      <c r="F9" s="210">
        <v>46215</v>
      </c>
      <c r="G9" s="209" t="s">
        <v>49</v>
      </c>
      <c r="H9" s="209"/>
      <c r="I9" s="209" t="str">
        <f t="shared" ca="1" si="0"/>
        <v>Controlado</v>
      </c>
      <c r="J9" s="209" t="s">
        <v>2794</v>
      </c>
      <c r="K9" s="209" t="s">
        <v>2789</v>
      </c>
      <c r="L9" s="209"/>
    </row>
    <row r="10" spans="1:16">
      <c r="A10" s="209" t="s">
        <v>2634</v>
      </c>
      <c r="B10" s="209" t="s">
        <v>2199</v>
      </c>
      <c r="C10" s="209">
        <v>7</v>
      </c>
      <c r="D10" s="209" t="s">
        <v>2569</v>
      </c>
      <c r="E10" s="209">
        <v>35</v>
      </c>
      <c r="F10" s="210">
        <v>46222</v>
      </c>
      <c r="G10" s="209" t="s">
        <v>49</v>
      </c>
      <c r="H10" s="209"/>
      <c r="I10" s="209" t="str">
        <f t="shared" ca="1" si="0"/>
        <v>Controlado</v>
      </c>
      <c r="J10" s="209" t="s">
        <v>2795</v>
      </c>
      <c r="K10" s="209" t="s">
        <v>2789</v>
      </c>
      <c r="L10" s="209"/>
    </row>
    <row r="11" spans="1:16">
      <c r="A11" s="209" t="s">
        <v>2635</v>
      </c>
      <c r="B11" s="209" t="s">
        <v>2199</v>
      </c>
      <c r="C11" s="209">
        <v>8</v>
      </c>
      <c r="D11" s="209" t="s">
        <v>2569</v>
      </c>
      <c r="E11" s="209">
        <v>6</v>
      </c>
      <c r="F11" s="210">
        <v>46229</v>
      </c>
      <c r="G11" s="209" t="s">
        <v>49</v>
      </c>
      <c r="H11" s="209"/>
      <c r="I11" s="209" t="str">
        <f t="shared" ca="1" si="0"/>
        <v>Controlado</v>
      </c>
      <c r="J11" s="209" t="s">
        <v>2488</v>
      </c>
      <c r="K11" s="209" t="s">
        <v>2789</v>
      </c>
      <c r="L11" s="209"/>
    </row>
    <row r="12" spans="1:16">
      <c r="A12" s="209" t="s">
        <v>2636</v>
      </c>
      <c r="B12" s="209" t="s">
        <v>2199</v>
      </c>
      <c r="C12" s="209">
        <v>10</v>
      </c>
      <c r="D12" s="209" t="s">
        <v>2569</v>
      </c>
      <c r="E12" s="209">
        <v>6</v>
      </c>
      <c r="F12" s="210">
        <v>46243</v>
      </c>
      <c r="G12" s="209" t="s">
        <v>49</v>
      </c>
      <c r="H12" s="209"/>
      <c r="I12" s="209" t="str">
        <f t="shared" ca="1" si="0"/>
        <v>Controlado</v>
      </c>
      <c r="J12" s="209" t="s">
        <v>2497</v>
      </c>
      <c r="K12" s="209" t="s">
        <v>2789</v>
      </c>
      <c r="L12" s="209"/>
    </row>
    <row r="13" spans="1:16">
      <c r="A13" s="209" t="s">
        <v>2637</v>
      </c>
      <c r="B13" s="209" t="s">
        <v>2199</v>
      </c>
      <c r="C13" s="209">
        <v>11</v>
      </c>
      <c r="D13" s="209" t="s">
        <v>2569</v>
      </c>
      <c r="E13" s="209">
        <v>6</v>
      </c>
      <c r="F13" s="210">
        <v>46250</v>
      </c>
      <c r="G13" s="209" t="s">
        <v>49</v>
      </c>
      <c r="H13" s="209"/>
      <c r="I13" s="209" t="str">
        <f t="shared" ca="1" si="0"/>
        <v>Controlado</v>
      </c>
      <c r="J13" s="209" t="s">
        <v>2503</v>
      </c>
      <c r="K13" s="209" t="s">
        <v>2789</v>
      </c>
      <c r="L13" s="209"/>
    </row>
    <row r="14" spans="1:16">
      <c r="A14" s="209" t="s">
        <v>2638</v>
      </c>
      <c r="B14" s="209" t="s">
        <v>2199</v>
      </c>
      <c r="C14" s="209">
        <v>12</v>
      </c>
      <c r="D14" s="209" t="s">
        <v>2569</v>
      </c>
      <c r="E14" s="209">
        <v>6</v>
      </c>
      <c r="F14" s="210">
        <v>46257</v>
      </c>
      <c r="G14" s="209" t="s">
        <v>49</v>
      </c>
      <c r="H14" s="209"/>
      <c r="I14" s="209" t="str">
        <f t="shared" ca="1" si="0"/>
        <v>Controlado</v>
      </c>
      <c r="J14" s="209" t="s">
        <v>2512</v>
      </c>
      <c r="K14" s="209" t="s">
        <v>2789</v>
      </c>
      <c r="L14" s="209"/>
    </row>
    <row r="15" spans="1:16" ht="29" customHeight="1">
      <c r="A15" s="209" t="s">
        <v>2639</v>
      </c>
      <c r="B15" s="209" t="s">
        <v>35</v>
      </c>
      <c r="C15" s="209">
        <v>4</v>
      </c>
      <c r="D15" s="209" t="s">
        <v>2473</v>
      </c>
      <c r="E15" s="209">
        <v>30</v>
      </c>
      <c r="F15" s="210">
        <v>46201</v>
      </c>
      <c r="G15" s="209" t="s">
        <v>49</v>
      </c>
      <c r="H15" s="209"/>
      <c r="I15" s="209" t="str">
        <f t="shared" ca="1" si="0"/>
        <v>Crítico</v>
      </c>
      <c r="J15" s="209" t="s">
        <v>2474</v>
      </c>
      <c r="K15" s="209" t="s">
        <v>2796</v>
      </c>
      <c r="L15" s="209"/>
    </row>
    <row r="16" spans="1:16">
      <c r="A16" s="209" t="s">
        <v>2640</v>
      </c>
      <c r="B16" s="209" t="s">
        <v>35</v>
      </c>
      <c r="C16" s="209">
        <v>8</v>
      </c>
      <c r="D16" s="209" t="s">
        <v>2490</v>
      </c>
      <c r="E16" s="209">
        <v>30</v>
      </c>
      <c r="F16" s="210">
        <v>46229</v>
      </c>
      <c r="G16" s="209" t="s">
        <v>49</v>
      </c>
      <c r="H16" s="209"/>
      <c r="I16" s="209" t="str">
        <f t="shared" ca="1" si="0"/>
        <v>Controlado</v>
      </c>
      <c r="J16" s="209" t="s">
        <v>2491</v>
      </c>
      <c r="K16" s="209" t="s">
        <v>2796</v>
      </c>
      <c r="L16" s="209"/>
    </row>
    <row r="17" spans="1:12">
      <c r="A17" s="209" t="s">
        <v>2641</v>
      </c>
      <c r="B17" s="209" t="s">
        <v>35</v>
      </c>
      <c r="C17" s="209">
        <v>12</v>
      </c>
      <c r="D17" s="209" t="s">
        <v>2515</v>
      </c>
      <c r="E17" s="209">
        <v>30</v>
      </c>
      <c r="F17" s="210">
        <v>46257</v>
      </c>
      <c r="G17" s="209" t="s">
        <v>49</v>
      </c>
      <c r="H17" s="209"/>
      <c r="I17" s="209" t="str">
        <f t="shared" ca="1" si="0"/>
        <v>Controlado</v>
      </c>
      <c r="J17" s="209" t="s">
        <v>2516</v>
      </c>
      <c r="K17" s="209" t="s">
        <v>2796</v>
      </c>
      <c r="L17" s="209"/>
    </row>
    <row r="18" spans="1:12">
      <c r="A18" s="209" t="s">
        <v>2642</v>
      </c>
      <c r="B18" s="209" t="s">
        <v>35</v>
      </c>
      <c r="C18" s="209">
        <v>12</v>
      </c>
      <c r="D18" s="209" t="s">
        <v>2518</v>
      </c>
      <c r="E18" s="209">
        <v>10</v>
      </c>
      <c r="F18" s="210">
        <v>46257</v>
      </c>
      <c r="G18" s="209" t="s">
        <v>49</v>
      </c>
      <c r="H18" s="209"/>
      <c r="I18" s="209" t="str">
        <f t="shared" ca="1" si="0"/>
        <v>Controlado</v>
      </c>
      <c r="J18" s="209" t="s">
        <v>2797</v>
      </c>
      <c r="K18" s="209" t="s">
        <v>2798</v>
      </c>
      <c r="L18" s="209"/>
    </row>
    <row r="19" spans="1:12">
      <c r="A19" s="209" t="s">
        <v>2643</v>
      </c>
      <c r="B19" s="209" t="s">
        <v>2189</v>
      </c>
      <c r="C19" s="209">
        <v>3</v>
      </c>
      <c r="D19" s="209" t="s">
        <v>2453</v>
      </c>
      <c r="E19" s="209">
        <v>15</v>
      </c>
      <c r="F19" s="210">
        <v>46194</v>
      </c>
      <c r="G19" s="209" t="s">
        <v>49</v>
      </c>
      <c r="H19" s="209"/>
      <c r="I19" s="209" t="str">
        <f t="shared" ca="1" si="0"/>
        <v>Crítico</v>
      </c>
      <c r="J19" s="209" t="s">
        <v>2456</v>
      </c>
      <c r="K19" s="209" t="s">
        <v>2799</v>
      </c>
      <c r="L19" s="209"/>
    </row>
    <row r="20" spans="1:12">
      <c r="A20" s="209" t="s">
        <v>2644</v>
      </c>
      <c r="B20" s="209" t="s">
        <v>2189</v>
      </c>
      <c r="C20" s="209">
        <v>4</v>
      </c>
      <c r="D20" s="209" t="s">
        <v>2465</v>
      </c>
      <c r="E20" s="209">
        <v>15</v>
      </c>
      <c r="F20" s="210">
        <v>46201</v>
      </c>
      <c r="G20" s="209" t="s">
        <v>49</v>
      </c>
      <c r="H20" s="209"/>
      <c r="I20" s="209" t="str">
        <f t="shared" ca="1" si="0"/>
        <v>Crítico</v>
      </c>
      <c r="J20" s="209" t="s">
        <v>2800</v>
      </c>
      <c r="K20" s="209" t="s">
        <v>2801</v>
      </c>
      <c r="L20" s="209"/>
    </row>
    <row r="21" spans="1:12">
      <c r="A21" s="209" t="s">
        <v>2645</v>
      </c>
      <c r="B21" s="209" t="s">
        <v>2189</v>
      </c>
      <c r="C21" s="209">
        <v>8</v>
      </c>
      <c r="D21" s="209" t="s">
        <v>2483</v>
      </c>
      <c r="E21" s="209">
        <v>35</v>
      </c>
      <c r="F21" s="210">
        <v>46229</v>
      </c>
      <c r="G21" s="209" t="s">
        <v>49</v>
      </c>
      <c r="H21" s="209"/>
      <c r="I21" s="209" t="str">
        <f t="shared" ca="1" si="0"/>
        <v>Controlado</v>
      </c>
      <c r="J21" s="209" t="s">
        <v>2485</v>
      </c>
      <c r="K21" s="209" t="s">
        <v>2802</v>
      </c>
      <c r="L21" s="209"/>
    </row>
    <row r="22" spans="1:12">
      <c r="A22" s="209" t="s">
        <v>2646</v>
      </c>
      <c r="B22" s="209" t="s">
        <v>2189</v>
      </c>
      <c r="C22" s="209">
        <v>11</v>
      </c>
      <c r="D22" s="209" t="s">
        <v>2499</v>
      </c>
      <c r="E22" s="209">
        <v>30</v>
      </c>
      <c r="F22" s="210">
        <v>46250</v>
      </c>
      <c r="G22" s="209" t="s">
        <v>49</v>
      </c>
      <c r="H22" s="209"/>
      <c r="I22" s="209" t="str">
        <f t="shared" ca="1" si="0"/>
        <v>Controlado</v>
      </c>
      <c r="J22" s="209" t="s">
        <v>2803</v>
      </c>
      <c r="K22" s="209" t="s">
        <v>2802</v>
      </c>
      <c r="L22" s="209"/>
    </row>
    <row r="23" spans="1:12">
      <c r="A23" s="209" t="s">
        <v>2647</v>
      </c>
      <c r="B23" s="209" t="s">
        <v>2189</v>
      </c>
      <c r="C23" s="209">
        <v>12</v>
      </c>
      <c r="D23" s="209" t="s">
        <v>2573</v>
      </c>
      <c r="E23" s="209">
        <v>5</v>
      </c>
      <c r="F23" s="210">
        <v>46257</v>
      </c>
      <c r="G23" s="209" t="s">
        <v>49</v>
      </c>
      <c r="H23" s="209"/>
      <c r="I23" s="209" t="str">
        <f t="shared" ca="1" si="0"/>
        <v>Controlado</v>
      </c>
      <c r="J23" s="209" t="s">
        <v>2804</v>
      </c>
      <c r="K23" s="209" t="s">
        <v>2805</v>
      </c>
      <c r="L23" s="209"/>
    </row>
    <row r="24" spans="1:12">
      <c r="A24" s="209" t="s">
        <v>2806</v>
      </c>
      <c r="B24" s="209" t="s">
        <v>2184</v>
      </c>
      <c r="C24" s="209">
        <v>1</v>
      </c>
      <c r="D24" s="209" t="s">
        <v>2566</v>
      </c>
      <c r="E24" s="209">
        <v>0</v>
      </c>
      <c r="F24" s="210">
        <v>46180</v>
      </c>
      <c r="G24" s="209" t="s">
        <v>49</v>
      </c>
      <c r="H24" s="209"/>
      <c r="I24" s="209" t="str">
        <f t="shared" ca="1" si="0"/>
        <v>Crítico</v>
      </c>
      <c r="J24" s="209" t="s">
        <v>2807</v>
      </c>
      <c r="K24" s="209" t="s">
        <v>2808</v>
      </c>
      <c r="L24" s="209"/>
    </row>
    <row r="25" spans="1:12">
      <c r="A25" s="209" t="s">
        <v>2809</v>
      </c>
      <c r="B25" s="209" t="s">
        <v>2184</v>
      </c>
      <c r="C25" s="209">
        <v>3</v>
      </c>
      <c r="D25" s="209" t="s">
        <v>2458</v>
      </c>
      <c r="E25" s="209">
        <v>6</v>
      </c>
      <c r="F25" s="210">
        <v>46194</v>
      </c>
      <c r="G25" s="209" t="s">
        <v>49</v>
      </c>
      <c r="H25" s="209"/>
      <c r="I25" s="209" t="str">
        <f t="shared" ca="1" si="0"/>
        <v>Crítico</v>
      </c>
      <c r="J25" s="209" t="s">
        <v>2460</v>
      </c>
      <c r="K25" s="209" t="s">
        <v>2789</v>
      </c>
      <c r="L25" s="209"/>
    </row>
    <row r="26" spans="1:12">
      <c r="A26" s="209" t="s">
        <v>2810</v>
      </c>
      <c r="B26" s="209" t="s">
        <v>2184</v>
      </c>
      <c r="C26" s="209">
        <v>7</v>
      </c>
      <c r="D26" s="209" t="s">
        <v>2476</v>
      </c>
      <c r="E26" s="209">
        <v>35</v>
      </c>
      <c r="F26" s="210">
        <v>46222</v>
      </c>
      <c r="G26" s="209" t="s">
        <v>49</v>
      </c>
      <c r="H26" s="209"/>
      <c r="I26" s="209" t="str">
        <f t="shared" ca="1" si="0"/>
        <v>Controlado</v>
      </c>
      <c r="J26" s="209" t="s">
        <v>2478</v>
      </c>
      <c r="K26" s="209" t="s">
        <v>2789</v>
      </c>
      <c r="L26" s="209"/>
    </row>
    <row r="27" spans="1:12">
      <c r="A27" s="209" t="s">
        <v>2811</v>
      </c>
      <c r="B27" s="209" t="s">
        <v>2184</v>
      </c>
      <c r="C27" s="209">
        <v>10</v>
      </c>
      <c r="D27" s="209" t="s">
        <v>2493</v>
      </c>
      <c r="E27" s="209">
        <v>6</v>
      </c>
      <c r="F27" s="210">
        <v>46243</v>
      </c>
      <c r="G27" s="209" t="s">
        <v>49</v>
      </c>
      <c r="H27" s="209"/>
      <c r="I27" s="209" t="str">
        <f t="shared" ca="1" si="0"/>
        <v>Controlado</v>
      </c>
      <c r="J27" s="209" t="s">
        <v>2495</v>
      </c>
      <c r="K27" s="209" t="s">
        <v>2812</v>
      </c>
      <c r="L27" s="209"/>
    </row>
    <row r="28" spans="1:12">
      <c r="A28" s="209" t="s">
        <v>2813</v>
      </c>
      <c r="B28" s="209" t="s">
        <v>2184</v>
      </c>
      <c r="C28" s="209">
        <v>12</v>
      </c>
      <c r="D28" s="209" t="s">
        <v>2509</v>
      </c>
      <c r="E28" s="209">
        <v>53</v>
      </c>
      <c r="F28" s="210">
        <v>46257</v>
      </c>
      <c r="G28" s="209" t="s">
        <v>49</v>
      </c>
      <c r="H28" s="209"/>
      <c r="I28" s="209" t="str">
        <f t="shared" ca="1" si="0"/>
        <v>Controlado</v>
      </c>
      <c r="J28" s="209" t="s">
        <v>2510</v>
      </c>
      <c r="K28" s="209" t="s">
        <v>2814</v>
      </c>
      <c r="L28" s="209"/>
    </row>
  </sheetData>
  <mergeCells count="2">
    <mergeCell ref="A1:P1"/>
    <mergeCell ref="A2:P2"/>
  </mergeCells>
  <conditionalFormatting sqref="L5:L204">
    <cfRule type="expression" dxfId="657" priority="5">
      <formula>ISNUMBER(SEARCH("🔴",L5))</formula>
    </cfRule>
    <cfRule type="expression" dxfId="656" priority="6">
      <formula>ISNUMBER(SEARCH("🟡",L5))</formula>
    </cfRule>
    <cfRule type="expression" dxfId="655" priority="7">
      <formula>ISNUMBER(SEARCH("🟢",L5))</formula>
    </cfRule>
    <cfRule type="expression" dxfId="654" priority="8">
      <formula>ISNUMBER(SEARCH("⭐",L5))</formula>
    </cfRule>
  </conditionalFormatting>
  <conditionalFormatting sqref="O5:O204">
    <cfRule type="expression" dxfId="653" priority="1">
      <formula>ISNUMBER(SEARCH("🔴",O5))</formula>
    </cfRule>
    <cfRule type="expression" dxfId="652" priority="2">
      <formula>ISNUMBER(SEARCH("🟡",O5))</formula>
    </cfRule>
    <cfRule type="expression" dxfId="651" priority="3">
      <formula>ISNUMBER(SEARCH("🟢",O5))</formula>
    </cfRule>
    <cfRule type="expression" dxfId="650" priority="4">
      <formula>ISNUMBER(SEARCH("⭐",O5))</formula>
    </cfRule>
    <cfRule type="expression" dxfId="649" priority="9">
      <formula>ISNUMBER(SEARCH("🔴",O5))</formula>
    </cfRule>
    <cfRule type="expression" dxfId="648" priority="10">
      <formula>ISNUMBER(SEARCH("🟡",O5))</formula>
    </cfRule>
    <cfRule type="expression" dxfId="647" priority="11">
      <formula>ISNUMBER(SEARCH("🟢",O5))</formula>
    </cfRule>
    <cfRule type="expression" dxfId="646" priority="12">
      <formula>ISNUMBER(SEARCH("⭐",O5))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7030A0"/>
  </sheetPr>
  <dimension ref="A1:L7"/>
  <sheetViews>
    <sheetView showGridLines="0" workbookViewId="0"/>
  </sheetViews>
  <sheetFormatPr baseColWidth="10" defaultColWidth="8.7265625" defaultRowHeight="14.5"/>
  <cols>
    <col min="1" max="3" width="42" customWidth="1"/>
    <col min="4" max="4" width="15" customWidth="1"/>
    <col min="5" max="5" width="12" customWidth="1"/>
    <col min="6" max="7" width="42" customWidth="1"/>
    <col min="8" max="8" width="12" customWidth="1"/>
    <col min="9" max="10" width="14" customWidth="1"/>
    <col min="11" max="11" width="28" customWidth="1"/>
  </cols>
  <sheetData>
    <row r="1" spans="1:12" ht="28" customHeight="1">
      <c r="A1" s="486" t="s">
        <v>2815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85" t="s">
        <v>2816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>
      <c r="A3" s="207" t="s">
        <v>2230</v>
      </c>
      <c r="B3" s="207" t="s">
        <v>2817</v>
      </c>
      <c r="C3" s="207" t="s">
        <v>2818</v>
      </c>
      <c r="D3" s="207" t="s">
        <v>2819</v>
      </c>
      <c r="E3" s="207" t="s">
        <v>2820</v>
      </c>
      <c r="F3" s="207" t="s">
        <v>2821</v>
      </c>
      <c r="G3" s="207" t="s">
        <v>655</v>
      </c>
      <c r="H3" s="207" t="s">
        <v>656</v>
      </c>
    </row>
    <row r="4" spans="1:12" ht="29" customHeight="1">
      <c r="A4" s="209" t="s">
        <v>2184</v>
      </c>
      <c r="B4" s="211">
        <f>SUMIF('62_T2_Evaluaciones'!B:B,A4,'62_T2_Evaluaciones'!F:F)</f>
        <v>100</v>
      </c>
      <c r="C4" s="211">
        <f>SUMIF('62_T2_Evaluaciones'!B:B,A4,'62_T2_Evaluaciones'!K:K)</f>
        <v>0</v>
      </c>
      <c r="D4" s="211">
        <v>5.5</v>
      </c>
      <c r="E4" s="211">
        <f>D4-C4</f>
        <v>5.5</v>
      </c>
      <c r="F4" s="211" t="str">
        <f>IF(B4&gt;=100,"Cerrado",IF((100-B4)=0,"",MAX(1,MIN(7,(D4*100-C4*B4)/(100-B4)))))</f>
        <v>Cerrado</v>
      </c>
      <c r="G4" s="209" t="str">
        <f>IF(C4&gt;=D4,"Sobre objetivo",IF(E4&lt;=0.5,"Cerca","Requiere foco"))</f>
        <v>Requiere foco</v>
      </c>
      <c r="H4" s="209"/>
    </row>
    <row r="5" spans="1:12">
      <c r="A5" s="209" t="s">
        <v>2189</v>
      </c>
      <c r="B5" s="211">
        <f>SUMIF('62_T2_Evaluaciones'!B:B,A5,'62_T2_Evaluaciones'!F:F)</f>
        <v>100</v>
      </c>
      <c r="C5" s="211">
        <f>SUMIF('62_T2_Evaluaciones'!B:B,A5,'62_T2_Evaluaciones'!K:K)</f>
        <v>0</v>
      </c>
      <c r="D5" s="211">
        <v>5.5</v>
      </c>
      <c r="E5" s="211">
        <f>D5-C5</f>
        <v>5.5</v>
      </c>
      <c r="F5" s="211" t="str">
        <f>IF(B5&gt;=100,"Cerrado",IF((100-B5)=0,"",MAX(1,MIN(7,(D5*100-C5*B5)/(100-B5)))))</f>
        <v>Cerrado</v>
      </c>
      <c r="G5" s="209" t="str">
        <f>IF(C5&gt;=D5,"Sobre objetivo",IF(E5&lt;=0.5,"Cerca","Requiere foco"))</f>
        <v>Requiere foco</v>
      </c>
      <c r="H5" s="209"/>
    </row>
    <row r="6" spans="1:12">
      <c r="A6" s="209" t="s">
        <v>35</v>
      </c>
      <c r="B6" s="211">
        <f>SUMIF('62_T2_Evaluaciones'!B:B,A6,'62_T2_Evaluaciones'!F:F)</f>
        <v>100</v>
      </c>
      <c r="C6" s="211">
        <f>SUMIF('62_T2_Evaluaciones'!B:B,A6,'62_T2_Evaluaciones'!K:K)</f>
        <v>0</v>
      </c>
      <c r="D6" s="211">
        <v>5.5</v>
      </c>
      <c r="E6" s="211">
        <f>D6-C6</f>
        <v>5.5</v>
      </c>
      <c r="F6" s="211" t="str">
        <f>IF(B6&gt;=100,"Cerrado",IF((100-B6)=0,"",MAX(1,MIN(7,(D6*100-C6*B6)/(100-B6)))))</f>
        <v>Cerrado</v>
      </c>
      <c r="G6" s="209" t="str">
        <f>IF(C6&gt;=D6,"Sobre objetivo",IF(E6&lt;=0.5,"Cerca","Requiere foco"))</f>
        <v>Requiere foco</v>
      </c>
      <c r="H6" s="209"/>
    </row>
    <row r="7" spans="1:12">
      <c r="A7" s="209" t="s">
        <v>2199</v>
      </c>
      <c r="B7" s="211">
        <f>SUMIF('62_T2_Evaluaciones'!B:B,A7,'62_T2_Evaluaciones'!F:F)</f>
        <v>100</v>
      </c>
      <c r="C7" s="211">
        <f>SUMIF('62_T2_Evaluaciones'!B:B,A7,'62_T2_Evaluaciones'!K:K)</f>
        <v>0</v>
      </c>
      <c r="D7" s="211">
        <v>5.5</v>
      </c>
      <c r="E7" s="211">
        <f>D7-C7</f>
        <v>5.5</v>
      </c>
      <c r="F7" s="211" t="str">
        <f>IF(B7&gt;=100,"Cerrado",IF((100-B7)=0,"",MAX(1,MIN(7,(D7*100-C7*B7)/(100-B7)))))</f>
        <v>Cerrado</v>
      </c>
      <c r="G7" s="209" t="str">
        <f>IF(C7&gt;=D7,"Sobre objetivo",IF(E7&lt;=0.5,"Cerca","Requiere foco"))</f>
        <v>Requiere foco</v>
      </c>
      <c r="H7" s="209"/>
    </row>
  </sheetData>
  <mergeCells count="2">
    <mergeCell ref="A2:L2"/>
    <mergeCell ref="A1:L1"/>
  </mergeCells>
  <conditionalFormatting sqref="J5:J204">
    <cfRule type="expression" dxfId="645" priority="1">
      <formula>ISNUMBER(SEARCH("🔴",J5))</formula>
    </cfRule>
    <cfRule type="expression" dxfId="644" priority="2">
      <formula>ISNUMBER(SEARCH("🟡",J5))</formula>
    </cfRule>
    <cfRule type="expression" dxfId="643" priority="3">
      <formula>ISNUMBER(SEARCH("🟢",J5))</formula>
    </cfRule>
    <cfRule type="expression" dxfId="642" priority="4">
      <formula>ISNUMBER(SEARCH("⭐",J5))</formula>
    </cfRule>
    <cfRule type="expression" dxfId="641" priority="5">
      <formula>ISNUMBER(SEARCH("🔴",J5))</formula>
    </cfRule>
    <cfRule type="expression" dxfId="640" priority="6">
      <formula>ISNUMBER(SEARCH("🟡",J5))</formula>
    </cfRule>
    <cfRule type="expression" dxfId="639" priority="7">
      <formula>ISNUMBER(SEARCH("🟢",J5))</formula>
    </cfRule>
    <cfRule type="expression" dxfId="638" priority="8">
      <formula>ISNUMBER(SEARCH("⭐",J5))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7030A0"/>
  </sheetPr>
  <dimension ref="A1:L204"/>
  <sheetViews>
    <sheetView showGridLines="0" workbookViewId="0"/>
  </sheetViews>
  <sheetFormatPr baseColWidth="10" defaultColWidth="14.453125" defaultRowHeight="14.5"/>
  <cols>
    <col min="1" max="1" width="15" customWidth="1"/>
    <col min="2" max="2" width="22" customWidth="1"/>
    <col min="3" max="3" width="35" customWidth="1"/>
    <col min="4" max="4" width="14" customWidth="1"/>
    <col min="5" max="5" width="13" customWidth="1"/>
    <col min="6" max="7" width="14" customWidth="1"/>
    <col min="8" max="8" width="16" customWidth="1"/>
    <col min="9" max="9" width="14" customWidth="1"/>
    <col min="10" max="10" width="34" customWidth="1"/>
    <col min="11" max="11" width="38" customWidth="1"/>
    <col min="12" max="12" width="14" customWidth="1"/>
  </cols>
  <sheetData>
    <row r="1" spans="1:12" ht="21.5" customHeight="1">
      <c r="A1" s="493" t="s">
        <v>2822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35" t="s">
        <v>2823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9" customHeight="1">
      <c r="A4" s="41" t="s">
        <v>2824</v>
      </c>
      <c r="B4" s="41" t="s">
        <v>2230</v>
      </c>
      <c r="C4" s="41" t="s">
        <v>2431</v>
      </c>
      <c r="D4" s="41" t="s">
        <v>1824</v>
      </c>
      <c r="E4" s="41" t="s">
        <v>2825</v>
      </c>
      <c r="F4" s="41" t="s">
        <v>2826</v>
      </c>
      <c r="G4" s="41" t="s">
        <v>2439</v>
      </c>
      <c r="H4" s="41" t="s">
        <v>655</v>
      </c>
      <c r="I4" s="41" t="s">
        <v>2827</v>
      </c>
      <c r="J4" s="41" t="s">
        <v>656</v>
      </c>
      <c r="K4" s="41" t="s">
        <v>2828</v>
      </c>
      <c r="L4" s="41" t="s">
        <v>2829</v>
      </c>
    </row>
    <row r="5" spans="1:12" ht="29" customHeight="1">
      <c r="A5" s="44">
        <v>46145</v>
      </c>
      <c r="B5" s="17" t="s">
        <v>2830</v>
      </c>
      <c r="C5" s="17" t="s">
        <v>2831</v>
      </c>
      <c r="D5" s="17" t="s">
        <v>2832</v>
      </c>
      <c r="E5" s="17">
        <v>4</v>
      </c>
      <c r="F5" s="44"/>
      <c r="G5" s="45">
        <f t="shared" ref="G5:G21" si="0">IF(F5="",A5+3,F5+7)</f>
        <v>46148</v>
      </c>
      <c r="H5" s="84" t="str">
        <f t="shared" ref="H5:H21" ca="1" si="1">IF(G5&lt;TODAY(),"🔴 Riesgo",IF(G5=TODAY(),"🟡 Hoy","🟢 Programado"))</f>
        <v>🔴 Riesgo</v>
      </c>
      <c r="I5" s="17">
        <v>0</v>
      </c>
      <c r="J5" s="17" t="s">
        <v>2833</v>
      </c>
      <c r="K5" s="4" t="s">
        <v>2834</v>
      </c>
      <c r="L5" s="4" t="s">
        <v>49</v>
      </c>
    </row>
    <row r="6" spans="1:12" ht="29" customHeight="1">
      <c r="A6" s="44">
        <v>46146</v>
      </c>
      <c r="B6" s="17" t="s">
        <v>2830</v>
      </c>
      <c r="C6" s="17" t="s">
        <v>2835</v>
      </c>
      <c r="D6" s="17" t="s">
        <v>2832</v>
      </c>
      <c r="E6" s="17">
        <v>4</v>
      </c>
      <c r="F6" s="44"/>
      <c r="G6" s="45">
        <f t="shared" si="0"/>
        <v>46149</v>
      </c>
      <c r="H6" s="84" t="str">
        <f t="shared" ca="1" si="1"/>
        <v>🔴 Riesgo</v>
      </c>
      <c r="I6" s="17">
        <v>0</v>
      </c>
      <c r="J6" s="17" t="s">
        <v>2833</v>
      </c>
      <c r="K6" s="4" t="s">
        <v>2834</v>
      </c>
      <c r="L6" s="4" t="s">
        <v>49</v>
      </c>
    </row>
    <row r="7" spans="1:12" ht="29" customHeight="1">
      <c r="A7" s="44">
        <v>46148</v>
      </c>
      <c r="B7" s="17" t="s">
        <v>2830</v>
      </c>
      <c r="C7" s="17" t="s">
        <v>2836</v>
      </c>
      <c r="D7" s="17" t="s">
        <v>2837</v>
      </c>
      <c r="E7" s="17">
        <v>4</v>
      </c>
      <c r="F7" s="44"/>
      <c r="G7" s="45">
        <f t="shared" si="0"/>
        <v>46151</v>
      </c>
      <c r="H7" s="84" t="str">
        <f t="shared" ca="1" si="1"/>
        <v>🔴 Riesgo</v>
      </c>
      <c r="I7" s="17">
        <v>0</v>
      </c>
      <c r="J7" s="17" t="s">
        <v>2833</v>
      </c>
      <c r="K7" s="4" t="s">
        <v>2834</v>
      </c>
      <c r="L7" s="4" t="s">
        <v>49</v>
      </c>
    </row>
    <row r="8" spans="1:12" ht="29" customHeight="1">
      <c r="A8" s="44">
        <v>46153</v>
      </c>
      <c r="B8" s="17" t="s">
        <v>2830</v>
      </c>
      <c r="C8" s="17" t="s">
        <v>2838</v>
      </c>
      <c r="D8" s="17" t="s">
        <v>2839</v>
      </c>
      <c r="E8" s="17">
        <v>5</v>
      </c>
      <c r="F8" s="44"/>
      <c r="G8" s="45">
        <f t="shared" si="0"/>
        <v>46156</v>
      </c>
      <c r="H8" s="84" t="str">
        <f t="shared" ca="1" si="1"/>
        <v>🔴 Riesgo</v>
      </c>
      <c r="I8" s="17">
        <v>0</v>
      </c>
      <c r="J8" s="17" t="s">
        <v>2833</v>
      </c>
      <c r="K8" s="4" t="s">
        <v>2834</v>
      </c>
      <c r="L8" s="4" t="s">
        <v>49</v>
      </c>
    </row>
    <row r="9" spans="1:12" ht="29" customHeight="1">
      <c r="A9" s="44">
        <v>46160</v>
      </c>
      <c r="B9" s="17" t="s">
        <v>2830</v>
      </c>
      <c r="C9" s="17" t="s">
        <v>2840</v>
      </c>
      <c r="D9" s="17" t="s">
        <v>2841</v>
      </c>
      <c r="E9" s="17">
        <v>5</v>
      </c>
      <c r="F9" s="44"/>
      <c r="G9" s="45">
        <f t="shared" si="0"/>
        <v>46163</v>
      </c>
      <c r="H9" s="84" t="str">
        <f t="shared" ca="1" si="1"/>
        <v>🔴 Riesgo</v>
      </c>
      <c r="I9" s="17">
        <v>0</v>
      </c>
      <c r="J9" s="17" t="s">
        <v>2833</v>
      </c>
      <c r="K9" s="4" t="s">
        <v>2834</v>
      </c>
      <c r="L9" s="4" t="s">
        <v>49</v>
      </c>
    </row>
    <row r="10" spans="1:12" ht="29" customHeight="1">
      <c r="A10" s="44">
        <v>46145</v>
      </c>
      <c r="B10" s="17" t="s">
        <v>2842</v>
      </c>
      <c r="C10" s="17" t="s">
        <v>2843</v>
      </c>
      <c r="D10" s="17" t="s">
        <v>2832</v>
      </c>
      <c r="E10" s="17">
        <v>4</v>
      </c>
      <c r="F10" s="44"/>
      <c r="G10" s="45">
        <f t="shared" si="0"/>
        <v>46148</v>
      </c>
      <c r="H10" s="84" t="str">
        <f t="shared" ca="1" si="1"/>
        <v>🔴 Riesgo</v>
      </c>
      <c r="I10" s="17">
        <v>0</v>
      </c>
      <c r="J10" s="17" t="s">
        <v>2833</v>
      </c>
      <c r="K10" s="4" t="s">
        <v>2834</v>
      </c>
      <c r="L10" s="4" t="s">
        <v>49</v>
      </c>
    </row>
    <row r="11" spans="1:12" ht="29" customHeight="1">
      <c r="A11" s="44">
        <v>46145</v>
      </c>
      <c r="B11" s="17" t="s">
        <v>2842</v>
      </c>
      <c r="C11" s="17" t="s">
        <v>2844</v>
      </c>
      <c r="D11" s="17" t="s">
        <v>2832</v>
      </c>
      <c r="E11" s="17">
        <v>4</v>
      </c>
      <c r="F11" s="44"/>
      <c r="G11" s="45">
        <f t="shared" si="0"/>
        <v>46148</v>
      </c>
      <c r="H11" s="84" t="str">
        <f t="shared" ca="1" si="1"/>
        <v>🔴 Riesgo</v>
      </c>
      <c r="I11" s="17">
        <v>0</v>
      </c>
      <c r="J11" s="17" t="s">
        <v>2833</v>
      </c>
      <c r="K11" s="4" t="s">
        <v>2834</v>
      </c>
      <c r="L11" s="4" t="s">
        <v>49</v>
      </c>
    </row>
    <row r="12" spans="1:12" ht="29" customHeight="1">
      <c r="A12" s="44">
        <v>46152</v>
      </c>
      <c r="B12" s="17" t="s">
        <v>2842</v>
      </c>
      <c r="C12" s="17" t="s">
        <v>2845</v>
      </c>
      <c r="D12" s="17" t="s">
        <v>2837</v>
      </c>
      <c r="E12" s="17">
        <v>3</v>
      </c>
      <c r="F12" s="44"/>
      <c r="G12" s="45">
        <f t="shared" si="0"/>
        <v>46155</v>
      </c>
      <c r="H12" s="84" t="str">
        <f t="shared" ca="1" si="1"/>
        <v>🔴 Riesgo</v>
      </c>
      <c r="I12" s="17">
        <v>0</v>
      </c>
      <c r="J12" s="17" t="s">
        <v>2833</v>
      </c>
      <c r="K12" s="4" t="s">
        <v>2834</v>
      </c>
      <c r="L12" s="4" t="s">
        <v>49</v>
      </c>
    </row>
    <row r="13" spans="1:12" ht="29" customHeight="1">
      <c r="A13" s="44">
        <v>46159</v>
      </c>
      <c r="B13" s="17" t="s">
        <v>2842</v>
      </c>
      <c r="C13" s="17" t="s">
        <v>2846</v>
      </c>
      <c r="D13" s="17" t="s">
        <v>2839</v>
      </c>
      <c r="E13" s="17">
        <v>4</v>
      </c>
      <c r="F13" s="44"/>
      <c r="G13" s="45">
        <f t="shared" si="0"/>
        <v>46162</v>
      </c>
      <c r="H13" s="84" t="str">
        <f t="shared" ca="1" si="1"/>
        <v>🔴 Riesgo</v>
      </c>
      <c r="I13" s="17">
        <v>0</v>
      </c>
      <c r="J13" s="17" t="s">
        <v>2833</v>
      </c>
      <c r="K13" s="4" t="s">
        <v>2834</v>
      </c>
      <c r="L13" s="4" t="s">
        <v>49</v>
      </c>
    </row>
    <row r="14" spans="1:12" ht="29" customHeight="1">
      <c r="A14" s="44">
        <v>46160</v>
      </c>
      <c r="B14" s="17" t="s">
        <v>2842</v>
      </c>
      <c r="C14" s="17" t="s">
        <v>2847</v>
      </c>
      <c r="D14" s="17" t="s">
        <v>2841</v>
      </c>
      <c r="E14" s="17">
        <v>5</v>
      </c>
      <c r="F14" s="44"/>
      <c r="G14" s="45">
        <f t="shared" si="0"/>
        <v>46163</v>
      </c>
      <c r="H14" s="84" t="str">
        <f t="shared" ca="1" si="1"/>
        <v>🔴 Riesgo</v>
      </c>
      <c r="I14" s="17">
        <v>0</v>
      </c>
      <c r="J14" s="17" t="s">
        <v>2833</v>
      </c>
      <c r="K14" s="4" t="s">
        <v>2834</v>
      </c>
      <c r="L14" s="4" t="s">
        <v>49</v>
      </c>
    </row>
    <row r="15" spans="1:12" ht="29" customHeight="1">
      <c r="A15" s="44">
        <v>46145</v>
      </c>
      <c r="B15" s="17" t="s">
        <v>2773</v>
      </c>
      <c r="C15" s="17" t="s">
        <v>2848</v>
      </c>
      <c r="D15" s="17" t="s">
        <v>2832</v>
      </c>
      <c r="E15" s="17">
        <v>3</v>
      </c>
      <c r="F15" s="44"/>
      <c r="G15" s="45">
        <f t="shared" si="0"/>
        <v>46148</v>
      </c>
      <c r="H15" s="84" t="str">
        <f t="shared" ca="1" si="1"/>
        <v>🔴 Riesgo</v>
      </c>
      <c r="I15" s="17">
        <v>0</v>
      </c>
      <c r="J15" s="17" t="s">
        <v>2833</v>
      </c>
      <c r="K15" s="4" t="s">
        <v>2834</v>
      </c>
      <c r="L15" s="4" t="s">
        <v>49</v>
      </c>
    </row>
    <row r="16" spans="1:12" ht="29" customHeight="1">
      <c r="A16" s="44">
        <v>46152</v>
      </c>
      <c r="B16" s="17" t="s">
        <v>2773</v>
      </c>
      <c r="C16" s="17" t="s">
        <v>2849</v>
      </c>
      <c r="D16" s="17" t="s">
        <v>2837</v>
      </c>
      <c r="E16" s="17">
        <v>3</v>
      </c>
      <c r="F16" s="44"/>
      <c r="G16" s="45">
        <f t="shared" si="0"/>
        <v>46155</v>
      </c>
      <c r="H16" s="84" t="str">
        <f t="shared" ca="1" si="1"/>
        <v>🔴 Riesgo</v>
      </c>
      <c r="I16" s="17">
        <v>0</v>
      </c>
      <c r="J16" s="17" t="s">
        <v>2833</v>
      </c>
      <c r="K16" s="4" t="s">
        <v>2834</v>
      </c>
      <c r="L16" s="4" t="s">
        <v>49</v>
      </c>
    </row>
    <row r="17" spans="1:12" ht="29" customHeight="1">
      <c r="A17" s="44">
        <v>46159</v>
      </c>
      <c r="B17" s="17" t="s">
        <v>2773</v>
      </c>
      <c r="C17" s="17" t="s">
        <v>2850</v>
      </c>
      <c r="D17" s="17" t="s">
        <v>2839</v>
      </c>
      <c r="E17" s="17">
        <v>4</v>
      </c>
      <c r="F17" s="44"/>
      <c r="G17" s="45">
        <f t="shared" si="0"/>
        <v>46162</v>
      </c>
      <c r="H17" s="84" t="str">
        <f t="shared" ca="1" si="1"/>
        <v>🔴 Riesgo</v>
      </c>
      <c r="I17" s="17">
        <v>0</v>
      </c>
      <c r="J17" s="17" t="s">
        <v>2833</v>
      </c>
      <c r="K17" s="4" t="s">
        <v>2834</v>
      </c>
      <c r="L17" s="4" t="s">
        <v>49</v>
      </c>
    </row>
    <row r="18" spans="1:12" ht="29" customHeight="1">
      <c r="A18" s="44">
        <v>46160</v>
      </c>
      <c r="B18" s="17" t="s">
        <v>2773</v>
      </c>
      <c r="C18" s="17" t="s">
        <v>2209</v>
      </c>
      <c r="D18" s="17" t="s">
        <v>2841</v>
      </c>
      <c r="E18" s="17">
        <v>5</v>
      </c>
      <c r="F18" s="44"/>
      <c r="G18" s="45">
        <f t="shared" si="0"/>
        <v>46163</v>
      </c>
      <c r="H18" s="84" t="str">
        <f t="shared" ca="1" si="1"/>
        <v>🔴 Riesgo</v>
      </c>
      <c r="I18" s="17">
        <v>0</v>
      </c>
      <c r="J18" s="17" t="s">
        <v>2833</v>
      </c>
      <c r="K18" s="4" t="s">
        <v>2834</v>
      </c>
      <c r="L18" s="4" t="s">
        <v>49</v>
      </c>
    </row>
    <row r="19" spans="1:12" ht="29" customHeight="1">
      <c r="A19" s="44">
        <v>46145</v>
      </c>
      <c r="B19" s="17" t="s">
        <v>2851</v>
      </c>
      <c r="C19" s="17" t="s">
        <v>2852</v>
      </c>
      <c r="D19" s="17" t="s">
        <v>2832</v>
      </c>
      <c r="E19" s="17">
        <v>3</v>
      </c>
      <c r="F19" s="44"/>
      <c r="G19" s="45">
        <f t="shared" si="0"/>
        <v>46148</v>
      </c>
      <c r="H19" s="84" t="str">
        <f t="shared" ca="1" si="1"/>
        <v>🔴 Riesgo</v>
      </c>
      <c r="I19" s="17">
        <v>0</v>
      </c>
      <c r="J19" s="17" t="s">
        <v>2833</v>
      </c>
      <c r="K19" s="4" t="s">
        <v>2834</v>
      </c>
      <c r="L19" s="4" t="s">
        <v>49</v>
      </c>
    </row>
    <row r="20" spans="1:12" ht="29" customHeight="1">
      <c r="A20" s="44">
        <v>46152</v>
      </c>
      <c r="B20" s="17" t="s">
        <v>2851</v>
      </c>
      <c r="C20" s="17" t="s">
        <v>2853</v>
      </c>
      <c r="D20" s="17" t="s">
        <v>2837</v>
      </c>
      <c r="E20" s="17">
        <v>4</v>
      </c>
      <c r="F20" s="44"/>
      <c r="G20" s="45">
        <f t="shared" si="0"/>
        <v>46155</v>
      </c>
      <c r="H20" s="84" t="str">
        <f t="shared" ca="1" si="1"/>
        <v>🔴 Riesgo</v>
      </c>
      <c r="I20" s="17">
        <v>0</v>
      </c>
      <c r="J20" s="17" t="s">
        <v>2833</v>
      </c>
      <c r="K20" s="4" t="s">
        <v>2834</v>
      </c>
      <c r="L20" s="4" t="s">
        <v>49</v>
      </c>
    </row>
    <row r="21" spans="1:12" ht="29" customHeight="1">
      <c r="A21" s="44">
        <v>46159</v>
      </c>
      <c r="B21" s="17" t="s">
        <v>2851</v>
      </c>
      <c r="C21" s="17" t="s">
        <v>2854</v>
      </c>
      <c r="D21" s="17" t="s">
        <v>2841</v>
      </c>
      <c r="E21" s="17">
        <v>5</v>
      </c>
      <c r="F21" s="44"/>
      <c r="G21" s="45">
        <f t="shared" si="0"/>
        <v>46162</v>
      </c>
      <c r="H21" s="84" t="str">
        <f t="shared" ca="1" si="1"/>
        <v>🔴 Riesgo</v>
      </c>
      <c r="I21" s="17">
        <v>0</v>
      </c>
      <c r="J21" s="17" t="s">
        <v>2833</v>
      </c>
      <c r="K21" s="4" t="s">
        <v>2834</v>
      </c>
      <c r="L21" s="4" t="s">
        <v>49</v>
      </c>
    </row>
    <row r="22" spans="1:12">
      <c r="A22" s="16"/>
      <c r="B22" s="17"/>
      <c r="C22" s="17"/>
      <c r="D22" s="17"/>
      <c r="E22" s="17"/>
      <c r="F22" s="16"/>
      <c r="G22" s="23"/>
      <c r="H22" s="6"/>
      <c r="I22" s="17"/>
      <c r="J22" s="17"/>
      <c r="K22" s="4"/>
      <c r="L22" s="4"/>
    </row>
    <row r="23" spans="1:12">
      <c r="A23" s="16"/>
      <c r="B23" s="17"/>
      <c r="C23" s="17"/>
      <c r="D23" s="17"/>
      <c r="E23" s="17"/>
      <c r="F23" s="16"/>
      <c r="G23" s="23"/>
      <c r="H23" s="6"/>
      <c r="I23" s="17"/>
      <c r="J23" s="17"/>
      <c r="K23" s="4"/>
      <c r="L23" s="4"/>
    </row>
    <row r="24" spans="1:12" ht="1.9" customHeight="1">
      <c r="A24" s="16"/>
      <c r="B24" s="17"/>
      <c r="C24" s="17"/>
      <c r="D24" s="17"/>
      <c r="E24" s="17"/>
      <c r="F24" s="16"/>
      <c r="G24" s="23"/>
      <c r="H24" s="6"/>
      <c r="I24" s="17"/>
      <c r="J24" s="17"/>
      <c r="K24" s="4"/>
      <c r="L24" s="4"/>
    </row>
    <row r="25" spans="1:12" ht="1.9" customHeight="1">
      <c r="A25" s="16"/>
      <c r="B25" s="17"/>
      <c r="C25" s="17"/>
      <c r="D25" s="17"/>
      <c r="E25" s="17"/>
      <c r="F25" s="16"/>
      <c r="G25" s="23"/>
      <c r="H25" s="6"/>
      <c r="I25" s="17"/>
      <c r="J25" s="17"/>
      <c r="K25" s="4"/>
      <c r="L25" s="4"/>
    </row>
    <row r="26" spans="1:12" ht="1.9" customHeight="1">
      <c r="A26" s="16"/>
      <c r="B26" s="17"/>
      <c r="C26" s="17"/>
      <c r="D26" s="17"/>
      <c r="E26" s="17"/>
      <c r="F26" s="16"/>
      <c r="G26" s="23"/>
      <c r="H26" s="6"/>
      <c r="I26" s="17"/>
      <c r="J26" s="17"/>
      <c r="K26" s="4"/>
      <c r="L26" s="4"/>
    </row>
    <row r="27" spans="1:12" ht="1.9" customHeight="1">
      <c r="A27" s="16"/>
      <c r="B27" s="17"/>
      <c r="C27" s="17"/>
      <c r="D27" s="17"/>
      <c r="E27" s="17"/>
      <c r="F27" s="16"/>
      <c r="G27" s="23"/>
      <c r="H27" s="6"/>
      <c r="I27" s="17"/>
      <c r="J27" s="17"/>
      <c r="K27" s="4"/>
      <c r="L27" s="4"/>
    </row>
    <row r="28" spans="1:12" ht="1.9" customHeight="1">
      <c r="A28" s="16"/>
      <c r="B28" s="17"/>
      <c r="C28" s="17"/>
      <c r="D28" s="17"/>
      <c r="E28" s="17"/>
      <c r="F28" s="16"/>
      <c r="G28" s="23"/>
      <c r="H28" s="6"/>
      <c r="I28" s="17"/>
      <c r="J28" s="17"/>
      <c r="K28" s="4"/>
      <c r="L28" s="4"/>
    </row>
    <row r="29" spans="1:12" ht="1.9" customHeight="1">
      <c r="A29" s="16"/>
      <c r="B29" s="17"/>
      <c r="C29" s="17"/>
      <c r="D29" s="17"/>
      <c r="E29" s="17"/>
      <c r="F29" s="16"/>
      <c r="G29" s="23"/>
      <c r="H29" s="6"/>
      <c r="I29" s="17"/>
      <c r="J29" s="17"/>
      <c r="K29" s="4"/>
      <c r="L29" s="4"/>
    </row>
    <row r="30" spans="1:12" ht="1.9" customHeight="1">
      <c r="A30" s="16"/>
      <c r="B30" s="17"/>
      <c r="C30" s="17"/>
      <c r="D30" s="17"/>
      <c r="E30" s="17"/>
      <c r="F30" s="16"/>
      <c r="G30" s="23"/>
      <c r="H30" s="6"/>
      <c r="I30" s="17"/>
      <c r="J30" s="17"/>
      <c r="K30" s="4"/>
      <c r="L30" s="4"/>
    </row>
    <row r="31" spans="1:12" ht="1.9" customHeight="1">
      <c r="A31" s="16"/>
      <c r="B31" s="17"/>
      <c r="C31" s="17"/>
      <c r="D31" s="17"/>
      <c r="E31" s="17"/>
      <c r="F31" s="16"/>
      <c r="G31" s="23"/>
      <c r="H31" s="6"/>
      <c r="I31" s="17"/>
      <c r="J31" s="17"/>
      <c r="K31" s="4"/>
      <c r="L31" s="4"/>
    </row>
    <row r="32" spans="1:12" ht="1.9" customHeight="1">
      <c r="A32" s="16"/>
      <c r="B32" s="17"/>
      <c r="C32" s="17"/>
      <c r="D32" s="17"/>
      <c r="E32" s="17"/>
      <c r="F32" s="16"/>
      <c r="G32" s="23"/>
      <c r="H32" s="6"/>
      <c r="I32" s="17"/>
      <c r="J32" s="17"/>
      <c r="K32" s="4"/>
      <c r="L32" s="4"/>
    </row>
    <row r="33" spans="1:12" ht="1.9" customHeight="1">
      <c r="A33" s="16"/>
      <c r="B33" s="17"/>
      <c r="C33" s="17"/>
      <c r="D33" s="17"/>
      <c r="E33" s="17"/>
      <c r="F33" s="16"/>
      <c r="G33" s="23"/>
      <c r="H33" s="6"/>
      <c r="I33" s="17"/>
      <c r="J33" s="17"/>
      <c r="K33" s="4"/>
      <c r="L33" s="4"/>
    </row>
    <row r="34" spans="1:12" ht="1.9" customHeight="1">
      <c r="A34" s="16"/>
      <c r="B34" s="17"/>
      <c r="C34" s="17"/>
      <c r="D34" s="17"/>
      <c r="E34" s="17"/>
      <c r="F34" s="16"/>
      <c r="G34" s="23"/>
      <c r="H34" s="6"/>
      <c r="I34" s="17"/>
      <c r="J34" s="17"/>
      <c r="K34" s="4"/>
      <c r="L34" s="4"/>
    </row>
    <row r="35" spans="1:12" ht="1.9" customHeight="1">
      <c r="A35" s="16"/>
      <c r="B35" s="17"/>
      <c r="C35" s="17"/>
      <c r="D35" s="17"/>
      <c r="E35" s="17"/>
      <c r="F35" s="16"/>
      <c r="G35" s="23"/>
      <c r="H35" s="6"/>
      <c r="I35" s="17"/>
      <c r="J35" s="17"/>
      <c r="K35" s="4"/>
      <c r="L35" s="4"/>
    </row>
    <row r="36" spans="1:12" ht="1.9" customHeight="1">
      <c r="A36" s="16"/>
      <c r="B36" s="17"/>
      <c r="C36" s="17"/>
      <c r="D36" s="17"/>
      <c r="E36" s="17"/>
      <c r="F36" s="16"/>
      <c r="G36" s="23"/>
      <c r="H36" s="6"/>
      <c r="I36" s="17"/>
      <c r="J36" s="17"/>
      <c r="K36" s="4"/>
      <c r="L36" s="4"/>
    </row>
    <row r="37" spans="1:12" ht="1.9" customHeight="1">
      <c r="A37" s="16"/>
      <c r="B37" s="17"/>
      <c r="C37" s="17"/>
      <c r="D37" s="17"/>
      <c r="E37" s="17"/>
      <c r="F37" s="16"/>
      <c r="G37" s="23"/>
      <c r="H37" s="6"/>
      <c r="I37" s="17"/>
      <c r="J37" s="17"/>
      <c r="K37" s="4"/>
      <c r="L37" s="4"/>
    </row>
    <row r="38" spans="1:12" ht="1.9" customHeight="1">
      <c r="A38" s="16"/>
      <c r="B38" s="17"/>
      <c r="C38" s="17"/>
      <c r="D38" s="17"/>
      <c r="E38" s="17"/>
      <c r="F38" s="16"/>
      <c r="G38" s="23"/>
      <c r="H38" s="6"/>
      <c r="I38" s="17"/>
      <c r="J38" s="17"/>
      <c r="K38" s="4"/>
      <c r="L38" s="4"/>
    </row>
    <row r="39" spans="1:12" ht="1.9" customHeight="1">
      <c r="A39" s="16"/>
      <c r="B39" s="17"/>
      <c r="C39" s="17"/>
      <c r="D39" s="17"/>
      <c r="E39" s="17"/>
      <c r="F39" s="16"/>
      <c r="G39" s="23"/>
      <c r="H39" s="6"/>
      <c r="I39" s="17"/>
      <c r="J39" s="17"/>
      <c r="K39" s="4"/>
      <c r="L39" s="4"/>
    </row>
    <row r="40" spans="1:12" ht="1.9" customHeight="1">
      <c r="A40" s="16"/>
      <c r="B40" s="17"/>
      <c r="C40" s="17"/>
      <c r="D40" s="17"/>
      <c r="E40" s="17"/>
      <c r="F40" s="16"/>
      <c r="G40" s="23"/>
      <c r="H40" s="6"/>
      <c r="I40" s="17"/>
      <c r="J40" s="17"/>
      <c r="K40" s="4"/>
      <c r="L40" s="4"/>
    </row>
    <row r="41" spans="1:12" ht="1.9" customHeight="1">
      <c r="A41" s="16"/>
      <c r="B41" s="17"/>
      <c r="C41" s="17"/>
      <c r="D41" s="17"/>
      <c r="E41" s="17"/>
      <c r="F41" s="16"/>
      <c r="G41" s="23"/>
      <c r="H41" s="6"/>
      <c r="I41" s="17"/>
      <c r="J41" s="17"/>
      <c r="K41" s="4"/>
      <c r="L41" s="4"/>
    </row>
    <row r="42" spans="1:12" ht="1.9" customHeight="1">
      <c r="A42" s="16"/>
      <c r="B42" s="17"/>
      <c r="C42" s="17"/>
      <c r="D42" s="17"/>
      <c r="E42" s="17"/>
      <c r="F42" s="16"/>
      <c r="G42" s="23"/>
      <c r="H42" s="6"/>
      <c r="I42" s="17"/>
      <c r="J42" s="17"/>
      <c r="K42" s="4"/>
      <c r="L42" s="4"/>
    </row>
    <row r="43" spans="1:12" ht="1.9" customHeight="1">
      <c r="A43" s="16"/>
      <c r="B43" s="17"/>
      <c r="C43" s="17"/>
      <c r="D43" s="17"/>
      <c r="E43" s="17"/>
      <c r="F43" s="16"/>
      <c r="G43" s="23"/>
      <c r="H43" s="6"/>
      <c r="I43" s="17"/>
      <c r="J43" s="17"/>
      <c r="K43" s="4"/>
      <c r="L43" s="4"/>
    </row>
    <row r="44" spans="1:12" ht="1.9" customHeight="1">
      <c r="A44" s="16"/>
      <c r="B44" s="17"/>
      <c r="C44" s="17"/>
      <c r="D44" s="17"/>
      <c r="E44" s="17"/>
      <c r="F44" s="16"/>
      <c r="G44" s="23"/>
      <c r="H44" s="6"/>
      <c r="I44" s="17"/>
      <c r="J44" s="17"/>
      <c r="K44" s="4"/>
      <c r="L44" s="4"/>
    </row>
    <row r="45" spans="1:12" ht="1.9" customHeight="1">
      <c r="A45" s="16"/>
      <c r="B45" s="17"/>
      <c r="C45" s="17"/>
      <c r="D45" s="17"/>
      <c r="E45" s="17"/>
      <c r="F45" s="16"/>
      <c r="G45" s="23"/>
      <c r="H45" s="6"/>
      <c r="I45" s="17"/>
      <c r="J45" s="17"/>
      <c r="K45" s="4"/>
      <c r="L45" s="4"/>
    </row>
    <row r="46" spans="1:12" ht="1.9" customHeight="1">
      <c r="A46" s="16"/>
      <c r="B46" s="17"/>
      <c r="C46" s="17"/>
      <c r="D46" s="17"/>
      <c r="E46" s="17"/>
      <c r="F46" s="16"/>
      <c r="G46" s="23"/>
      <c r="H46" s="6"/>
      <c r="I46" s="17"/>
      <c r="J46" s="17"/>
      <c r="K46" s="4"/>
      <c r="L46" s="4"/>
    </row>
    <row r="47" spans="1:12" ht="1.9" customHeight="1">
      <c r="A47" s="16"/>
      <c r="B47" s="17"/>
      <c r="C47" s="17"/>
      <c r="D47" s="17"/>
      <c r="E47" s="17"/>
      <c r="F47" s="16"/>
      <c r="G47" s="23"/>
      <c r="H47" s="6"/>
      <c r="I47" s="17"/>
      <c r="J47" s="17"/>
      <c r="K47" s="4"/>
      <c r="L47" s="4"/>
    </row>
    <row r="48" spans="1:12" ht="1.9" customHeight="1">
      <c r="A48" s="16"/>
      <c r="B48" s="17"/>
      <c r="C48" s="17"/>
      <c r="D48" s="17"/>
      <c r="E48" s="17"/>
      <c r="F48" s="16"/>
      <c r="G48" s="23"/>
      <c r="H48" s="6"/>
      <c r="I48" s="17"/>
      <c r="J48" s="17"/>
      <c r="K48" s="4"/>
      <c r="L48" s="4"/>
    </row>
    <row r="49" spans="1:12" ht="1.9" customHeight="1">
      <c r="A49" s="16"/>
      <c r="B49" s="17"/>
      <c r="C49" s="17"/>
      <c r="D49" s="17"/>
      <c r="E49" s="17"/>
      <c r="F49" s="16"/>
      <c r="G49" s="23"/>
      <c r="H49" s="6"/>
      <c r="I49" s="17"/>
      <c r="J49" s="17"/>
      <c r="K49" s="4"/>
      <c r="L49" s="4"/>
    </row>
    <row r="50" spans="1:12" ht="1.9" customHeight="1">
      <c r="A50" s="16"/>
      <c r="B50" s="17"/>
      <c r="C50" s="17"/>
      <c r="D50" s="17"/>
      <c r="E50" s="17"/>
      <c r="F50" s="16"/>
      <c r="G50" s="23"/>
      <c r="H50" s="6"/>
      <c r="I50" s="17"/>
      <c r="J50" s="17"/>
      <c r="K50" s="4"/>
      <c r="L50" s="4"/>
    </row>
    <row r="51" spans="1:12" ht="1.9" customHeight="1">
      <c r="A51" s="16"/>
      <c r="B51" s="17"/>
      <c r="C51" s="17"/>
      <c r="D51" s="17"/>
      <c r="E51" s="17"/>
      <c r="F51" s="16"/>
      <c r="G51" s="23"/>
      <c r="H51" s="6"/>
      <c r="I51" s="17"/>
      <c r="J51" s="17"/>
      <c r="K51" s="4"/>
      <c r="L51" s="4"/>
    </row>
    <row r="52" spans="1:12" ht="1.9" customHeight="1">
      <c r="A52" s="16"/>
      <c r="B52" s="17"/>
      <c r="C52" s="17"/>
      <c r="D52" s="17"/>
      <c r="E52" s="17"/>
      <c r="F52" s="16"/>
      <c r="G52" s="23"/>
      <c r="H52" s="6"/>
      <c r="I52" s="17"/>
      <c r="J52" s="17"/>
      <c r="K52" s="4"/>
      <c r="L52" s="4"/>
    </row>
    <row r="53" spans="1:12" ht="1.9" customHeight="1">
      <c r="A53" s="16"/>
      <c r="B53" s="17"/>
      <c r="C53" s="17"/>
      <c r="D53" s="17"/>
      <c r="E53" s="17"/>
      <c r="F53" s="16"/>
      <c r="G53" s="23"/>
      <c r="H53" s="6"/>
      <c r="I53" s="17"/>
      <c r="J53" s="17"/>
      <c r="K53" s="4"/>
      <c r="L53" s="4"/>
    </row>
    <row r="54" spans="1:12" ht="1.9" customHeight="1">
      <c r="A54" s="16"/>
      <c r="B54" s="17"/>
      <c r="C54" s="17"/>
      <c r="D54" s="17"/>
      <c r="E54" s="17"/>
      <c r="F54" s="16"/>
      <c r="G54" s="23"/>
      <c r="H54" s="6"/>
      <c r="I54" s="17"/>
      <c r="J54" s="17"/>
      <c r="K54" s="4"/>
      <c r="L54" s="4"/>
    </row>
    <row r="55" spans="1:12" ht="1.9" customHeight="1">
      <c r="A55" s="16"/>
      <c r="B55" s="17"/>
      <c r="C55" s="17"/>
      <c r="D55" s="17"/>
      <c r="E55" s="17"/>
      <c r="F55" s="16"/>
      <c r="G55" s="23"/>
      <c r="H55" s="6"/>
      <c r="I55" s="17"/>
      <c r="J55" s="17"/>
      <c r="K55" s="4"/>
      <c r="L55" s="4"/>
    </row>
    <row r="56" spans="1:12" ht="1.9" customHeight="1">
      <c r="A56" s="16"/>
      <c r="B56" s="17"/>
      <c r="C56" s="17"/>
      <c r="D56" s="17"/>
      <c r="E56" s="17"/>
      <c r="F56" s="16"/>
      <c r="G56" s="23"/>
      <c r="H56" s="6"/>
      <c r="I56" s="17"/>
      <c r="J56" s="17"/>
      <c r="K56" s="4"/>
      <c r="L56" s="4"/>
    </row>
    <row r="57" spans="1:12" ht="1.9" customHeight="1">
      <c r="A57" s="16"/>
      <c r="B57" s="17"/>
      <c r="C57" s="17"/>
      <c r="D57" s="17"/>
      <c r="E57" s="17"/>
      <c r="F57" s="16"/>
      <c r="G57" s="23"/>
      <c r="H57" s="6"/>
      <c r="I57" s="17"/>
      <c r="J57" s="17"/>
      <c r="K57" s="4"/>
      <c r="L57" s="4"/>
    </row>
    <row r="58" spans="1:12" ht="1.9" customHeight="1">
      <c r="A58" s="16"/>
      <c r="B58" s="17"/>
      <c r="C58" s="17"/>
      <c r="D58" s="17"/>
      <c r="E58" s="17"/>
      <c r="F58" s="16"/>
      <c r="G58" s="23"/>
      <c r="H58" s="6"/>
      <c r="I58" s="17"/>
      <c r="J58" s="17"/>
      <c r="K58" s="4"/>
      <c r="L58" s="4"/>
    </row>
    <row r="59" spans="1:12" ht="1.9" customHeight="1">
      <c r="A59" s="16"/>
      <c r="B59" s="17"/>
      <c r="C59" s="17"/>
      <c r="D59" s="17"/>
      <c r="E59" s="17"/>
      <c r="F59" s="16"/>
      <c r="G59" s="23"/>
      <c r="H59" s="6"/>
      <c r="I59" s="17"/>
      <c r="J59" s="17"/>
      <c r="K59" s="4"/>
      <c r="L59" s="4"/>
    </row>
    <row r="60" spans="1:12" ht="1.9" customHeight="1">
      <c r="A60" s="16"/>
      <c r="B60" s="17"/>
      <c r="C60" s="17"/>
      <c r="D60" s="17"/>
      <c r="E60" s="17"/>
      <c r="F60" s="16"/>
      <c r="G60" s="23"/>
      <c r="H60" s="6"/>
      <c r="I60" s="17"/>
      <c r="J60" s="17"/>
      <c r="K60" s="4"/>
      <c r="L60" s="4"/>
    </row>
    <row r="61" spans="1:12" ht="1.9" customHeight="1">
      <c r="A61" s="16"/>
      <c r="B61" s="17"/>
      <c r="C61" s="17"/>
      <c r="D61" s="17"/>
      <c r="E61" s="17"/>
      <c r="F61" s="16"/>
      <c r="G61" s="23"/>
      <c r="H61" s="6"/>
      <c r="I61" s="17"/>
      <c r="J61" s="17"/>
      <c r="K61" s="4"/>
      <c r="L61" s="4"/>
    </row>
    <row r="62" spans="1:12" ht="1.9" customHeight="1">
      <c r="A62" s="16"/>
      <c r="B62" s="17"/>
      <c r="C62" s="17"/>
      <c r="D62" s="17"/>
      <c r="E62" s="17"/>
      <c r="F62" s="16"/>
      <c r="G62" s="23"/>
      <c r="H62" s="6"/>
      <c r="I62" s="17"/>
      <c r="J62" s="17"/>
      <c r="K62" s="4"/>
      <c r="L62" s="4"/>
    </row>
    <row r="63" spans="1:12" ht="1.9" customHeight="1">
      <c r="A63" s="16"/>
      <c r="B63" s="17"/>
      <c r="C63" s="17"/>
      <c r="D63" s="17"/>
      <c r="E63" s="17"/>
      <c r="F63" s="16"/>
      <c r="G63" s="23"/>
      <c r="H63" s="6"/>
      <c r="I63" s="17"/>
      <c r="J63" s="17"/>
      <c r="K63" s="4"/>
      <c r="L63" s="4"/>
    </row>
    <row r="64" spans="1:12" ht="1.9" customHeight="1">
      <c r="A64" s="16"/>
      <c r="B64" s="17"/>
      <c r="C64" s="17"/>
      <c r="D64" s="17"/>
      <c r="E64" s="17"/>
      <c r="F64" s="16"/>
      <c r="G64" s="23"/>
      <c r="H64" s="6"/>
      <c r="I64" s="17"/>
      <c r="J64" s="17"/>
      <c r="K64" s="4"/>
      <c r="L64" s="4"/>
    </row>
    <row r="65" spans="1:12" ht="1.9" customHeight="1">
      <c r="A65" s="16"/>
      <c r="B65" s="17"/>
      <c r="C65" s="17"/>
      <c r="D65" s="17"/>
      <c r="E65" s="17"/>
      <c r="F65" s="16"/>
      <c r="G65" s="23"/>
      <c r="H65" s="6"/>
      <c r="I65" s="17"/>
      <c r="J65" s="17"/>
      <c r="K65" s="4"/>
      <c r="L65" s="4"/>
    </row>
    <row r="66" spans="1:12" ht="1.9" customHeight="1">
      <c r="A66" s="16"/>
      <c r="B66" s="17"/>
      <c r="C66" s="17"/>
      <c r="D66" s="17"/>
      <c r="E66" s="17"/>
      <c r="F66" s="16"/>
      <c r="G66" s="23"/>
      <c r="H66" s="6"/>
      <c r="I66" s="17"/>
      <c r="J66" s="17"/>
      <c r="K66" s="4"/>
      <c r="L66" s="4"/>
    </row>
    <row r="67" spans="1:12" ht="1.9" customHeight="1">
      <c r="A67" s="16"/>
      <c r="B67" s="17"/>
      <c r="C67" s="17"/>
      <c r="D67" s="17"/>
      <c r="E67" s="17"/>
      <c r="F67" s="16"/>
      <c r="G67" s="23"/>
      <c r="H67" s="6"/>
      <c r="I67" s="17"/>
      <c r="J67" s="17"/>
      <c r="K67" s="4"/>
      <c r="L67" s="4"/>
    </row>
    <row r="68" spans="1:12" ht="1.9" customHeight="1">
      <c r="A68" s="16"/>
      <c r="B68" s="17"/>
      <c r="C68" s="17"/>
      <c r="D68" s="17"/>
      <c r="E68" s="17"/>
      <c r="F68" s="16"/>
      <c r="G68" s="23"/>
      <c r="H68" s="6"/>
      <c r="I68" s="17"/>
      <c r="J68" s="17"/>
      <c r="K68" s="4"/>
      <c r="L68" s="4"/>
    </row>
    <row r="69" spans="1:12" ht="1.9" customHeight="1">
      <c r="A69" s="16"/>
      <c r="B69" s="17"/>
      <c r="C69" s="17"/>
      <c r="D69" s="17"/>
      <c r="E69" s="17"/>
      <c r="F69" s="16"/>
      <c r="G69" s="23"/>
      <c r="H69" s="6"/>
      <c r="I69" s="17"/>
      <c r="J69" s="17"/>
      <c r="K69" s="4"/>
      <c r="L69" s="4"/>
    </row>
    <row r="70" spans="1:12" ht="1.9" customHeight="1">
      <c r="A70" s="16"/>
      <c r="B70" s="17"/>
      <c r="C70" s="17"/>
      <c r="D70" s="17"/>
      <c r="E70" s="17"/>
      <c r="F70" s="16"/>
      <c r="G70" s="23"/>
      <c r="H70" s="6"/>
      <c r="I70" s="17"/>
      <c r="J70" s="17"/>
      <c r="K70" s="4"/>
      <c r="L70" s="4"/>
    </row>
    <row r="71" spans="1:12" ht="1.9" customHeight="1">
      <c r="A71" s="16"/>
      <c r="B71" s="17"/>
      <c r="C71" s="17"/>
      <c r="D71" s="17"/>
      <c r="E71" s="17"/>
      <c r="F71" s="16"/>
      <c r="G71" s="23"/>
      <c r="H71" s="6"/>
      <c r="I71" s="17"/>
      <c r="J71" s="17"/>
      <c r="K71" s="4"/>
      <c r="L71" s="4"/>
    </row>
    <row r="72" spans="1:12" ht="1.9" customHeight="1">
      <c r="A72" s="16"/>
      <c r="B72" s="17"/>
      <c r="C72" s="17"/>
      <c r="D72" s="17"/>
      <c r="E72" s="17"/>
      <c r="F72" s="16"/>
      <c r="G72" s="23"/>
      <c r="H72" s="6"/>
      <c r="I72" s="17"/>
      <c r="J72" s="17"/>
      <c r="K72" s="4"/>
      <c r="L72" s="4"/>
    </row>
    <row r="73" spans="1:12" ht="1.9" customHeight="1">
      <c r="A73" s="16"/>
      <c r="B73" s="17"/>
      <c r="C73" s="17"/>
      <c r="D73" s="17"/>
      <c r="E73" s="17"/>
      <c r="F73" s="16"/>
      <c r="G73" s="23"/>
      <c r="H73" s="6"/>
      <c r="I73" s="17"/>
      <c r="J73" s="17"/>
      <c r="K73" s="4"/>
      <c r="L73" s="4"/>
    </row>
    <row r="74" spans="1:12" ht="1.9" customHeight="1">
      <c r="A74" s="16"/>
      <c r="B74" s="17"/>
      <c r="C74" s="17"/>
      <c r="D74" s="17"/>
      <c r="E74" s="17"/>
      <c r="F74" s="16"/>
      <c r="G74" s="23"/>
      <c r="H74" s="6"/>
      <c r="I74" s="17"/>
      <c r="J74" s="17"/>
      <c r="K74" s="4"/>
      <c r="L74" s="4"/>
    </row>
    <row r="75" spans="1:12" ht="1.9" customHeight="1">
      <c r="A75" s="16"/>
      <c r="B75" s="17"/>
      <c r="C75" s="17"/>
      <c r="D75" s="17"/>
      <c r="E75" s="17"/>
      <c r="F75" s="16"/>
      <c r="G75" s="23"/>
      <c r="H75" s="6"/>
      <c r="I75" s="17"/>
      <c r="J75" s="17"/>
      <c r="K75" s="4"/>
      <c r="L75" s="4"/>
    </row>
    <row r="76" spans="1:12" ht="1.9" customHeight="1">
      <c r="A76" s="16"/>
      <c r="B76" s="17"/>
      <c r="C76" s="17"/>
      <c r="D76" s="17"/>
      <c r="E76" s="17"/>
      <c r="F76" s="16"/>
      <c r="G76" s="23"/>
      <c r="H76" s="6"/>
      <c r="I76" s="17"/>
      <c r="J76" s="17"/>
      <c r="K76" s="4"/>
      <c r="L76" s="4"/>
    </row>
    <row r="77" spans="1:12" ht="1.9" customHeight="1">
      <c r="A77" s="16"/>
      <c r="B77" s="17"/>
      <c r="C77" s="17"/>
      <c r="D77" s="17"/>
      <c r="E77" s="17"/>
      <c r="F77" s="16"/>
      <c r="G77" s="23"/>
      <c r="H77" s="6"/>
      <c r="I77" s="17"/>
      <c r="J77" s="17"/>
      <c r="K77" s="4"/>
      <c r="L77" s="4"/>
    </row>
    <row r="78" spans="1:12" ht="1.9" customHeight="1">
      <c r="A78" s="16"/>
      <c r="B78" s="17"/>
      <c r="C78" s="17"/>
      <c r="D78" s="17"/>
      <c r="E78" s="17"/>
      <c r="F78" s="16"/>
      <c r="G78" s="23"/>
      <c r="H78" s="6"/>
      <c r="I78" s="17"/>
      <c r="J78" s="17"/>
      <c r="K78" s="4"/>
      <c r="L78" s="4"/>
    </row>
    <row r="79" spans="1:12" ht="1.9" customHeight="1">
      <c r="A79" s="16"/>
      <c r="B79" s="17"/>
      <c r="C79" s="17"/>
      <c r="D79" s="17"/>
      <c r="E79" s="17"/>
      <c r="F79" s="16"/>
      <c r="G79" s="23"/>
      <c r="H79" s="6"/>
      <c r="I79" s="17"/>
      <c r="J79" s="17"/>
      <c r="K79" s="4"/>
      <c r="L79" s="4"/>
    </row>
    <row r="80" spans="1:12" ht="1.9" customHeight="1">
      <c r="A80" s="16"/>
      <c r="B80" s="17"/>
      <c r="C80" s="17"/>
      <c r="D80" s="17"/>
      <c r="E80" s="17"/>
      <c r="F80" s="16"/>
      <c r="G80" s="23"/>
      <c r="H80" s="6"/>
      <c r="I80" s="17"/>
      <c r="J80" s="17"/>
      <c r="K80" s="4"/>
      <c r="L80" s="4"/>
    </row>
    <row r="81" spans="1:12" ht="1.9" customHeight="1">
      <c r="A81" s="16"/>
      <c r="B81" s="17"/>
      <c r="C81" s="17"/>
      <c r="D81" s="17"/>
      <c r="E81" s="17"/>
      <c r="F81" s="16"/>
      <c r="G81" s="23"/>
      <c r="H81" s="6"/>
      <c r="I81" s="17"/>
      <c r="J81" s="17"/>
      <c r="K81" s="4"/>
      <c r="L81" s="4"/>
    </row>
    <row r="82" spans="1:12" ht="1.9" customHeight="1">
      <c r="A82" s="16"/>
      <c r="B82" s="17"/>
      <c r="C82" s="17"/>
      <c r="D82" s="17"/>
      <c r="E82" s="17"/>
      <c r="F82" s="16"/>
      <c r="G82" s="23"/>
      <c r="H82" s="6"/>
      <c r="I82" s="17"/>
      <c r="J82" s="17"/>
      <c r="K82" s="4"/>
      <c r="L82" s="4"/>
    </row>
    <row r="83" spans="1:12" ht="1.9" customHeight="1">
      <c r="A83" s="16"/>
      <c r="B83" s="17"/>
      <c r="C83" s="17"/>
      <c r="D83" s="17"/>
      <c r="E83" s="17"/>
      <c r="F83" s="16"/>
      <c r="G83" s="23"/>
      <c r="H83" s="6"/>
      <c r="I83" s="17"/>
      <c r="J83" s="17"/>
      <c r="K83" s="4"/>
      <c r="L83" s="4"/>
    </row>
    <row r="84" spans="1:12" ht="1.9" customHeight="1">
      <c r="A84" s="16"/>
      <c r="B84" s="17"/>
      <c r="C84" s="17"/>
      <c r="D84" s="17"/>
      <c r="E84" s="17"/>
      <c r="F84" s="16"/>
      <c r="G84" s="23"/>
      <c r="H84" s="6"/>
      <c r="I84" s="17"/>
      <c r="J84" s="17"/>
      <c r="K84" s="4"/>
      <c r="L84" s="4"/>
    </row>
    <row r="85" spans="1:12" ht="1.9" customHeight="1">
      <c r="A85" s="16"/>
      <c r="B85" s="17"/>
      <c r="C85" s="17"/>
      <c r="D85" s="17"/>
      <c r="E85" s="17"/>
      <c r="F85" s="16"/>
      <c r="G85" s="23"/>
      <c r="H85" s="6"/>
      <c r="I85" s="17"/>
      <c r="J85" s="17"/>
      <c r="K85" s="4"/>
      <c r="L85" s="4"/>
    </row>
    <row r="86" spans="1:12" ht="1.9" customHeight="1">
      <c r="A86" s="16"/>
      <c r="B86" s="17"/>
      <c r="C86" s="17"/>
      <c r="D86" s="17"/>
      <c r="E86" s="17"/>
      <c r="F86" s="16"/>
      <c r="G86" s="23"/>
      <c r="H86" s="6"/>
      <c r="I86" s="17"/>
      <c r="J86" s="17"/>
      <c r="K86" s="4"/>
      <c r="L86" s="4"/>
    </row>
    <row r="87" spans="1:12" ht="1.9" customHeight="1">
      <c r="A87" s="16"/>
      <c r="B87" s="17"/>
      <c r="C87" s="17"/>
      <c r="D87" s="17"/>
      <c r="E87" s="17"/>
      <c r="F87" s="16"/>
      <c r="G87" s="23"/>
      <c r="H87" s="6"/>
      <c r="I87" s="17"/>
      <c r="J87" s="17"/>
      <c r="K87" s="4"/>
      <c r="L87" s="4"/>
    </row>
    <row r="88" spans="1:12" ht="1.9" customHeight="1">
      <c r="A88" s="16"/>
      <c r="B88" s="17"/>
      <c r="C88" s="17"/>
      <c r="D88" s="17"/>
      <c r="E88" s="17"/>
      <c r="F88" s="16"/>
      <c r="G88" s="23"/>
      <c r="H88" s="6"/>
      <c r="I88" s="17"/>
      <c r="J88" s="17"/>
      <c r="K88" s="4"/>
      <c r="L88" s="4"/>
    </row>
    <row r="89" spans="1:12" ht="1.9" customHeight="1">
      <c r="A89" s="16"/>
      <c r="B89" s="17"/>
      <c r="C89" s="17"/>
      <c r="D89" s="17"/>
      <c r="E89" s="17"/>
      <c r="F89" s="16"/>
      <c r="G89" s="23"/>
      <c r="H89" s="6"/>
      <c r="I89" s="17"/>
      <c r="J89" s="17"/>
      <c r="K89" s="4"/>
      <c r="L89" s="4"/>
    </row>
    <row r="90" spans="1:12" ht="1.9" customHeight="1">
      <c r="A90" s="16"/>
      <c r="B90" s="17"/>
      <c r="C90" s="17"/>
      <c r="D90" s="17"/>
      <c r="E90" s="17"/>
      <c r="F90" s="16"/>
      <c r="G90" s="23"/>
      <c r="H90" s="6"/>
      <c r="I90" s="17"/>
      <c r="J90" s="17"/>
      <c r="K90" s="4"/>
      <c r="L90" s="4"/>
    </row>
    <row r="91" spans="1:12" ht="1.9" customHeight="1">
      <c r="A91" s="16"/>
      <c r="B91" s="17"/>
      <c r="C91" s="17"/>
      <c r="D91" s="17"/>
      <c r="E91" s="17"/>
      <c r="F91" s="16"/>
      <c r="G91" s="23"/>
      <c r="H91" s="6"/>
      <c r="I91" s="17"/>
      <c r="J91" s="17"/>
      <c r="K91" s="4"/>
      <c r="L91" s="4"/>
    </row>
    <row r="92" spans="1:12" ht="1.9" customHeight="1">
      <c r="A92" s="16"/>
      <c r="B92" s="17"/>
      <c r="C92" s="17"/>
      <c r="D92" s="17"/>
      <c r="E92" s="17"/>
      <c r="F92" s="16"/>
      <c r="G92" s="23"/>
      <c r="H92" s="6"/>
      <c r="I92" s="17"/>
      <c r="J92" s="17"/>
      <c r="K92" s="4"/>
      <c r="L92" s="4"/>
    </row>
    <row r="93" spans="1:12" ht="1.9" customHeight="1">
      <c r="A93" s="16"/>
      <c r="B93" s="17"/>
      <c r="C93" s="17"/>
      <c r="D93" s="17"/>
      <c r="E93" s="17"/>
      <c r="F93" s="16"/>
      <c r="G93" s="23"/>
      <c r="H93" s="6"/>
      <c r="I93" s="17"/>
      <c r="J93" s="17"/>
      <c r="K93" s="4"/>
      <c r="L93" s="4"/>
    </row>
    <row r="94" spans="1:12" ht="1.9" customHeight="1">
      <c r="A94" s="16"/>
      <c r="B94" s="17"/>
      <c r="C94" s="17"/>
      <c r="D94" s="17"/>
      <c r="E94" s="17"/>
      <c r="F94" s="16"/>
      <c r="G94" s="23"/>
      <c r="H94" s="6"/>
      <c r="I94" s="17"/>
      <c r="J94" s="17"/>
      <c r="K94" s="4"/>
      <c r="L94" s="4"/>
    </row>
    <row r="95" spans="1:12" ht="1.9" customHeight="1">
      <c r="A95" s="16"/>
      <c r="B95" s="17"/>
      <c r="C95" s="17"/>
      <c r="D95" s="17"/>
      <c r="E95" s="17"/>
      <c r="F95" s="16"/>
      <c r="G95" s="23"/>
      <c r="H95" s="6"/>
      <c r="I95" s="17"/>
      <c r="J95" s="17"/>
      <c r="K95" s="4"/>
      <c r="L95" s="4"/>
    </row>
    <row r="96" spans="1:12" ht="1.9" customHeight="1">
      <c r="A96" s="16"/>
      <c r="B96" s="17"/>
      <c r="C96" s="17"/>
      <c r="D96" s="17"/>
      <c r="E96" s="17"/>
      <c r="F96" s="16"/>
      <c r="G96" s="23"/>
      <c r="H96" s="6"/>
      <c r="I96" s="17"/>
      <c r="J96" s="17"/>
      <c r="K96" s="4"/>
      <c r="L96" s="4"/>
    </row>
    <row r="97" spans="1:12" ht="1.9" customHeight="1">
      <c r="A97" s="16"/>
      <c r="B97" s="17"/>
      <c r="C97" s="17"/>
      <c r="D97" s="17"/>
      <c r="E97" s="17"/>
      <c r="F97" s="16"/>
      <c r="G97" s="23"/>
      <c r="H97" s="6"/>
      <c r="I97" s="17"/>
      <c r="J97" s="17"/>
      <c r="K97" s="4"/>
      <c r="L97" s="4"/>
    </row>
    <row r="98" spans="1:12" ht="1.9" customHeight="1">
      <c r="A98" s="16"/>
      <c r="B98" s="17"/>
      <c r="C98" s="17"/>
      <c r="D98" s="17"/>
      <c r="E98" s="17"/>
      <c r="F98" s="16"/>
      <c r="G98" s="23"/>
      <c r="H98" s="6"/>
      <c r="I98" s="17"/>
      <c r="J98" s="17"/>
      <c r="K98" s="4"/>
      <c r="L98" s="4"/>
    </row>
    <row r="99" spans="1:12" ht="1.9" customHeight="1">
      <c r="A99" s="16"/>
      <c r="B99" s="17"/>
      <c r="C99" s="17"/>
      <c r="D99" s="17"/>
      <c r="E99" s="17"/>
      <c r="F99" s="16"/>
      <c r="G99" s="23"/>
      <c r="H99" s="6"/>
      <c r="I99" s="17"/>
      <c r="J99" s="17"/>
      <c r="K99" s="4"/>
      <c r="L99" s="4"/>
    </row>
    <row r="100" spans="1:12" ht="1.9" customHeight="1">
      <c r="A100" s="16"/>
      <c r="B100" s="17"/>
      <c r="C100" s="17"/>
      <c r="D100" s="17"/>
      <c r="E100" s="17"/>
      <c r="F100" s="16"/>
      <c r="G100" s="23"/>
      <c r="H100" s="6"/>
      <c r="I100" s="17"/>
      <c r="J100" s="17"/>
      <c r="K100" s="4"/>
      <c r="L100" s="4"/>
    </row>
    <row r="101" spans="1:12" ht="1.9" customHeight="1">
      <c r="A101" s="16"/>
      <c r="B101" s="17"/>
      <c r="C101" s="17"/>
      <c r="D101" s="17"/>
      <c r="E101" s="17"/>
      <c r="F101" s="16"/>
      <c r="G101" s="23"/>
      <c r="H101" s="6"/>
      <c r="I101" s="17"/>
      <c r="J101" s="17"/>
      <c r="K101" s="4"/>
      <c r="L101" s="4"/>
    </row>
    <row r="102" spans="1:12" ht="1.9" customHeight="1">
      <c r="A102" s="16"/>
      <c r="B102" s="17"/>
      <c r="C102" s="17"/>
      <c r="D102" s="17"/>
      <c r="E102" s="17"/>
      <c r="F102" s="16"/>
      <c r="G102" s="23"/>
      <c r="H102" s="6"/>
      <c r="I102" s="17"/>
      <c r="J102" s="17"/>
      <c r="K102" s="4"/>
      <c r="L102" s="4"/>
    </row>
    <row r="103" spans="1:12" ht="1.9" customHeight="1">
      <c r="A103" s="16"/>
      <c r="B103" s="17"/>
      <c r="C103" s="17"/>
      <c r="D103" s="17"/>
      <c r="E103" s="17"/>
      <c r="F103" s="16"/>
      <c r="G103" s="23"/>
      <c r="H103" s="6"/>
      <c r="I103" s="17"/>
      <c r="J103" s="17"/>
      <c r="K103" s="4"/>
      <c r="L103" s="4"/>
    </row>
    <row r="104" spans="1:12" ht="1.9" customHeight="1">
      <c r="A104" s="16"/>
      <c r="B104" s="17"/>
      <c r="C104" s="17"/>
      <c r="D104" s="17"/>
      <c r="E104" s="17"/>
      <c r="F104" s="16"/>
      <c r="G104" s="23"/>
      <c r="H104" s="6"/>
      <c r="I104" s="17"/>
      <c r="J104" s="17"/>
      <c r="K104" s="4"/>
      <c r="L104" s="4"/>
    </row>
    <row r="105" spans="1:12" ht="1.9" customHeight="1">
      <c r="A105" s="16"/>
      <c r="B105" s="17"/>
      <c r="C105" s="17"/>
      <c r="D105" s="17"/>
      <c r="E105" s="17"/>
      <c r="F105" s="16"/>
      <c r="G105" s="23"/>
      <c r="H105" s="6"/>
      <c r="I105" s="17"/>
      <c r="J105" s="17"/>
      <c r="K105" s="4"/>
      <c r="L105" s="4"/>
    </row>
    <row r="106" spans="1:12" ht="1.9" customHeight="1">
      <c r="A106" s="16"/>
      <c r="B106" s="17"/>
      <c r="C106" s="17"/>
      <c r="D106" s="17"/>
      <c r="E106" s="17"/>
      <c r="F106" s="16"/>
      <c r="G106" s="23"/>
      <c r="H106" s="6"/>
      <c r="I106" s="17"/>
      <c r="J106" s="17"/>
      <c r="K106" s="4"/>
      <c r="L106" s="4"/>
    </row>
    <row r="107" spans="1:12" ht="1.9" customHeight="1">
      <c r="A107" s="16"/>
      <c r="B107" s="17"/>
      <c r="C107" s="17"/>
      <c r="D107" s="17"/>
      <c r="E107" s="17"/>
      <c r="F107" s="16"/>
      <c r="G107" s="23"/>
      <c r="H107" s="6"/>
      <c r="I107" s="17"/>
      <c r="J107" s="17"/>
      <c r="K107" s="4"/>
      <c r="L107" s="4"/>
    </row>
    <row r="108" spans="1:12" ht="1.9" customHeight="1">
      <c r="A108" s="16"/>
      <c r="B108" s="17"/>
      <c r="C108" s="17"/>
      <c r="D108" s="17"/>
      <c r="E108" s="17"/>
      <c r="F108" s="16"/>
      <c r="G108" s="23"/>
      <c r="H108" s="6"/>
      <c r="I108" s="17"/>
      <c r="J108" s="17"/>
      <c r="K108" s="4"/>
      <c r="L108" s="4"/>
    </row>
    <row r="109" spans="1:12" ht="1.9" customHeight="1">
      <c r="A109" s="16"/>
      <c r="B109" s="17"/>
      <c r="C109" s="17"/>
      <c r="D109" s="17"/>
      <c r="E109" s="17"/>
      <c r="F109" s="16"/>
      <c r="G109" s="23"/>
      <c r="H109" s="6"/>
      <c r="I109" s="17"/>
      <c r="J109" s="17"/>
      <c r="K109" s="4"/>
      <c r="L109" s="4"/>
    </row>
    <row r="110" spans="1:12" ht="1.9" customHeight="1">
      <c r="A110" s="16"/>
      <c r="B110" s="17"/>
      <c r="C110" s="17"/>
      <c r="D110" s="17"/>
      <c r="E110" s="17"/>
      <c r="F110" s="16"/>
      <c r="G110" s="23"/>
      <c r="H110" s="6"/>
      <c r="I110" s="17"/>
      <c r="J110" s="17"/>
      <c r="K110" s="4"/>
      <c r="L110" s="4"/>
    </row>
    <row r="111" spans="1:12" ht="1.9" customHeight="1">
      <c r="A111" s="16"/>
      <c r="B111" s="17"/>
      <c r="C111" s="17"/>
      <c r="D111" s="17"/>
      <c r="E111" s="17"/>
      <c r="F111" s="16"/>
      <c r="G111" s="23"/>
      <c r="H111" s="6"/>
      <c r="I111" s="17"/>
      <c r="J111" s="17"/>
      <c r="K111" s="4"/>
      <c r="L111" s="4"/>
    </row>
    <row r="112" spans="1:12" ht="1.9" customHeight="1">
      <c r="A112" s="16"/>
      <c r="B112" s="17"/>
      <c r="C112" s="17"/>
      <c r="D112" s="17"/>
      <c r="E112" s="17"/>
      <c r="F112" s="16"/>
      <c r="G112" s="23"/>
      <c r="H112" s="6"/>
      <c r="I112" s="17"/>
      <c r="J112" s="17"/>
      <c r="K112" s="4"/>
      <c r="L112" s="4"/>
    </row>
    <row r="113" spans="1:12" ht="1.9" customHeight="1">
      <c r="A113" s="16"/>
      <c r="B113" s="17"/>
      <c r="C113" s="17"/>
      <c r="D113" s="17"/>
      <c r="E113" s="17"/>
      <c r="F113" s="16"/>
      <c r="G113" s="23"/>
      <c r="H113" s="6"/>
      <c r="I113" s="17"/>
      <c r="J113" s="17"/>
      <c r="K113" s="4"/>
      <c r="L113" s="4"/>
    </row>
    <row r="114" spans="1:12" ht="1.9" customHeight="1">
      <c r="A114" s="16"/>
      <c r="B114" s="17"/>
      <c r="C114" s="17"/>
      <c r="D114" s="17"/>
      <c r="E114" s="17"/>
      <c r="F114" s="16"/>
      <c r="G114" s="23"/>
      <c r="H114" s="6"/>
      <c r="I114" s="17"/>
      <c r="J114" s="17"/>
      <c r="K114" s="4"/>
      <c r="L114" s="4"/>
    </row>
    <row r="115" spans="1:12" ht="1.9" customHeight="1">
      <c r="A115" s="16"/>
      <c r="B115" s="17"/>
      <c r="C115" s="17"/>
      <c r="D115" s="17"/>
      <c r="E115" s="17"/>
      <c r="F115" s="16"/>
      <c r="G115" s="23"/>
      <c r="H115" s="6"/>
      <c r="I115" s="17"/>
      <c r="J115" s="17"/>
      <c r="K115" s="4"/>
      <c r="L115" s="4"/>
    </row>
    <row r="116" spans="1:12" ht="1.9" customHeight="1">
      <c r="A116" s="16"/>
      <c r="B116" s="17"/>
      <c r="C116" s="17"/>
      <c r="D116" s="17"/>
      <c r="E116" s="17"/>
      <c r="F116" s="16"/>
      <c r="G116" s="23"/>
      <c r="H116" s="6"/>
      <c r="I116" s="17"/>
      <c r="J116" s="17"/>
      <c r="K116" s="4"/>
      <c r="L116" s="4"/>
    </row>
    <row r="117" spans="1:12" ht="1.9" customHeight="1">
      <c r="A117" s="16"/>
      <c r="B117" s="17"/>
      <c r="C117" s="17"/>
      <c r="D117" s="17"/>
      <c r="E117" s="17"/>
      <c r="F117" s="16"/>
      <c r="G117" s="23"/>
      <c r="H117" s="6"/>
      <c r="I117" s="17"/>
      <c r="J117" s="17"/>
      <c r="K117" s="4"/>
      <c r="L117" s="4"/>
    </row>
    <row r="118" spans="1:12" ht="1.9" customHeight="1">
      <c r="A118" s="16"/>
      <c r="B118" s="17"/>
      <c r="C118" s="17"/>
      <c r="D118" s="17"/>
      <c r="E118" s="17"/>
      <c r="F118" s="16"/>
      <c r="G118" s="23"/>
      <c r="H118" s="6"/>
      <c r="I118" s="17"/>
      <c r="J118" s="17"/>
      <c r="K118" s="4"/>
      <c r="L118" s="4"/>
    </row>
    <row r="119" spans="1:12" ht="1.9" customHeight="1">
      <c r="A119" s="16"/>
      <c r="B119" s="17"/>
      <c r="C119" s="17"/>
      <c r="D119" s="17"/>
      <c r="E119" s="17"/>
      <c r="F119" s="16"/>
      <c r="G119" s="23"/>
      <c r="H119" s="6"/>
      <c r="I119" s="17"/>
      <c r="J119" s="17"/>
      <c r="K119" s="4"/>
      <c r="L119" s="4"/>
    </row>
    <row r="120" spans="1:12" ht="1.9" customHeight="1">
      <c r="A120" s="16"/>
      <c r="B120" s="17"/>
      <c r="C120" s="17"/>
      <c r="D120" s="17"/>
      <c r="E120" s="17"/>
      <c r="F120" s="16"/>
      <c r="G120" s="23"/>
      <c r="H120" s="6"/>
      <c r="I120" s="17"/>
      <c r="J120" s="17"/>
      <c r="K120" s="4"/>
      <c r="L120" s="4"/>
    </row>
    <row r="121" spans="1:12" ht="1.9" customHeight="1">
      <c r="A121" s="16"/>
      <c r="B121" s="17"/>
      <c r="C121" s="17"/>
      <c r="D121" s="17"/>
      <c r="E121" s="17"/>
      <c r="F121" s="16"/>
      <c r="G121" s="23"/>
      <c r="H121" s="6"/>
      <c r="I121" s="17"/>
      <c r="J121" s="17"/>
      <c r="K121" s="4"/>
      <c r="L121" s="4"/>
    </row>
    <row r="122" spans="1:12" ht="1.9" customHeight="1">
      <c r="A122" s="16"/>
      <c r="B122" s="17"/>
      <c r="C122" s="17"/>
      <c r="D122" s="17"/>
      <c r="E122" s="17"/>
      <c r="F122" s="16"/>
      <c r="G122" s="23"/>
      <c r="H122" s="6"/>
      <c r="I122" s="17"/>
      <c r="J122" s="17"/>
      <c r="K122" s="4"/>
      <c r="L122" s="4"/>
    </row>
    <row r="123" spans="1:12" ht="1.9" customHeight="1">
      <c r="A123" s="16"/>
      <c r="B123" s="17"/>
      <c r="C123" s="17"/>
      <c r="D123" s="17"/>
      <c r="E123" s="17"/>
      <c r="F123" s="16"/>
      <c r="G123" s="23"/>
      <c r="H123" s="6"/>
      <c r="I123" s="17"/>
      <c r="J123" s="17"/>
      <c r="K123" s="4"/>
      <c r="L123" s="4"/>
    </row>
    <row r="124" spans="1:12" ht="1.9" customHeight="1">
      <c r="A124" s="16"/>
      <c r="B124" s="17"/>
      <c r="C124" s="17"/>
      <c r="D124" s="17"/>
      <c r="E124" s="17"/>
      <c r="F124" s="16"/>
      <c r="G124" s="23"/>
      <c r="H124" s="6"/>
      <c r="I124" s="17"/>
      <c r="J124" s="17"/>
      <c r="K124" s="4"/>
      <c r="L124" s="4"/>
    </row>
    <row r="125" spans="1:12" ht="1.9" customHeight="1">
      <c r="A125" s="16"/>
      <c r="B125" s="17"/>
      <c r="C125" s="17"/>
      <c r="D125" s="17"/>
      <c r="E125" s="17"/>
      <c r="F125" s="16"/>
      <c r="G125" s="23"/>
      <c r="H125" s="6"/>
      <c r="I125" s="17"/>
      <c r="J125" s="17"/>
      <c r="K125" s="4"/>
      <c r="L125" s="4"/>
    </row>
    <row r="126" spans="1:12" ht="1.9" customHeight="1">
      <c r="A126" s="16"/>
      <c r="B126" s="17"/>
      <c r="C126" s="17"/>
      <c r="D126" s="17"/>
      <c r="E126" s="17"/>
      <c r="F126" s="16"/>
      <c r="G126" s="23"/>
      <c r="H126" s="6"/>
      <c r="I126" s="17"/>
      <c r="J126" s="17"/>
      <c r="K126" s="4"/>
      <c r="L126" s="4"/>
    </row>
    <row r="127" spans="1:12" ht="1.9" customHeight="1">
      <c r="A127" s="16"/>
      <c r="B127" s="17"/>
      <c r="C127" s="17"/>
      <c r="D127" s="17"/>
      <c r="E127" s="17"/>
      <c r="F127" s="16"/>
      <c r="G127" s="23"/>
      <c r="H127" s="6"/>
      <c r="I127" s="17"/>
      <c r="J127" s="17"/>
      <c r="K127" s="4"/>
      <c r="L127" s="4"/>
    </row>
    <row r="128" spans="1:12" ht="1.9" customHeight="1">
      <c r="A128" s="16"/>
      <c r="B128" s="17"/>
      <c r="C128" s="17"/>
      <c r="D128" s="17"/>
      <c r="E128" s="17"/>
      <c r="F128" s="16"/>
      <c r="G128" s="23"/>
      <c r="H128" s="6"/>
      <c r="I128" s="17"/>
      <c r="J128" s="17"/>
      <c r="K128" s="4"/>
      <c r="L128" s="4"/>
    </row>
    <row r="129" spans="1:12" ht="1.9" customHeight="1">
      <c r="A129" s="16"/>
      <c r="B129" s="17"/>
      <c r="C129" s="17"/>
      <c r="D129" s="17"/>
      <c r="E129" s="17"/>
      <c r="F129" s="16"/>
      <c r="G129" s="23"/>
      <c r="H129" s="6"/>
      <c r="I129" s="17"/>
      <c r="J129" s="17"/>
      <c r="K129" s="4"/>
      <c r="L129" s="4"/>
    </row>
    <row r="130" spans="1:12" ht="1.9" customHeight="1">
      <c r="A130" s="16"/>
      <c r="B130" s="17"/>
      <c r="C130" s="17"/>
      <c r="D130" s="17"/>
      <c r="E130" s="17"/>
      <c r="F130" s="16"/>
      <c r="G130" s="23"/>
      <c r="H130" s="6"/>
      <c r="I130" s="17"/>
      <c r="J130" s="17"/>
      <c r="K130" s="4"/>
      <c r="L130" s="4"/>
    </row>
    <row r="131" spans="1:12" ht="1.9" customHeight="1">
      <c r="A131" s="16"/>
      <c r="B131" s="17"/>
      <c r="C131" s="17"/>
      <c r="D131" s="17"/>
      <c r="E131" s="17"/>
      <c r="F131" s="16"/>
      <c r="G131" s="23"/>
      <c r="H131" s="6"/>
      <c r="I131" s="17"/>
      <c r="J131" s="17"/>
      <c r="K131" s="4"/>
      <c r="L131" s="4"/>
    </row>
    <row r="132" spans="1:12" ht="1.9" customHeight="1">
      <c r="A132" s="16"/>
      <c r="B132" s="17"/>
      <c r="C132" s="17"/>
      <c r="D132" s="17"/>
      <c r="E132" s="17"/>
      <c r="F132" s="16"/>
      <c r="G132" s="23"/>
      <c r="H132" s="6"/>
      <c r="I132" s="17"/>
      <c r="J132" s="17"/>
      <c r="K132" s="4"/>
      <c r="L132" s="4"/>
    </row>
    <row r="133" spans="1:12" ht="1.9" customHeight="1">
      <c r="A133" s="16"/>
      <c r="B133" s="17"/>
      <c r="C133" s="17"/>
      <c r="D133" s="17"/>
      <c r="E133" s="17"/>
      <c r="F133" s="16"/>
      <c r="G133" s="23"/>
      <c r="H133" s="6"/>
      <c r="I133" s="17"/>
      <c r="J133" s="17"/>
      <c r="K133" s="4"/>
      <c r="L133" s="4"/>
    </row>
    <row r="134" spans="1:12" ht="1.9" customHeight="1">
      <c r="A134" s="16"/>
      <c r="B134" s="17"/>
      <c r="C134" s="17"/>
      <c r="D134" s="17"/>
      <c r="E134" s="17"/>
      <c r="F134" s="16"/>
      <c r="G134" s="23"/>
      <c r="H134" s="6"/>
      <c r="I134" s="17"/>
      <c r="J134" s="17"/>
      <c r="K134" s="4"/>
      <c r="L134" s="4"/>
    </row>
    <row r="135" spans="1:12" ht="1.9" customHeight="1">
      <c r="A135" s="16"/>
      <c r="B135" s="17"/>
      <c r="C135" s="17"/>
      <c r="D135" s="17"/>
      <c r="E135" s="17"/>
      <c r="F135" s="16"/>
      <c r="G135" s="23"/>
      <c r="H135" s="6"/>
      <c r="I135" s="17"/>
      <c r="J135" s="17"/>
      <c r="K135" s="4"/>
      <c r="L135" s="4"/>
    </row>
    <row r="136" spans="1:12" ht="1.9" customHeight="1">
      <c r="A136" s="16"/>
      <c r="B136" s="17"/>
      <c r="C136" s="17"/>
      <c r="D136" s="17"/>
      <c r="E136" s="17"/>
      <c r="F136" s="16"/>
      <c r="G136" s="23"/>
      <c r="H136" s="6"/>
      <c r="I136" s="17"/>
      <c r="J136" s="17"/>
      <c r="K136" s="4"/>
      <c r="L136" s="4"/>
    </row>
    <row r="137" spans="1:12" ht="1.9" customHeight="1">
      <c r="A137" s="16"/>
      <c r="B137" s="17"/>
      <c r="C137" s="17"/>
      <c r="D137" s="17"/>
      <c r="E137" s="17"/>
      <c r="F137" s="16"/>
      <c r="G137" s="23"/>
      <c r="H137" s="6"/>
      <c r="I137" s="17"/>
      <c r="J137" s="17"/>
      <c r="K137" s="4"/>
      <c r="L137" s="4"/>
    </row>
    <row r="138" spans="1:12" ht="1.9" customHeight="1">
      <c r="A138" s="16"/>
      <c r="B138" s="17"/>
      <c r="C138" s="17"/>
      <c r="D138" s="17"/>
      <c r="E138" s="17"/>
      <c r="F138" s="16"/>
      <c r="G138" s="23"/>
      <c r="H138" s="6"/>
      <c r="I138" s="17"/>
      <c r="J138" s="17"/>
      <c r="K138" s="4"/>
      <c r="L138" s="4"/>
    </row>
    <row r="139" spans="1:12" ht="1.9" customHeight="1">
      <c r="A139" s="16"/>
      <c r="B139" s="17"/>
      <c r="C139" s="17"/>
      <c r="D139" s="17"/>
      <c r="E139" s="17"/>
      <c r="F139" s="16"/>
      <c r="G139" s="23"/>
      <c r="H139" s="6"/>
      <c r="I139" s="17"/>
      <c r="J139" s="17"/>
      <c r="K139" s="4"/>
      <c r="L139" s="4"/>
    </row>
    <row r="140" spans="1:12" ht="1.9" customHeight="1">
      <c r="A140" s="16"/>
      <c r="B140" s="17"/>
      <c r="C140" s="17"/>
      <c r="D140" s="17"/>
      <c r="E140" s="17"/>
      <c r="F140" s="16"/>
      <c r="G140" s="23"/>
      <c r="H140" s="6"/>
      <c r="I140" s="17"/>
      <c r="J140" s="17"/>
      <c r="K140" s="4"/>
      <c r="L140" s="4"/>
    </row>
    <row r="141" spans="1:12" ht="1.9" customHeight="1">
      <c r="A141" s="16"/>
      <c r="B141" s="17"/>
      <c r="C141" s="17"/>
      <c r="D141" s="17"/>
      <c r="E141" s="17"/>
      <c r="F141" s="16"/>
      <c r="G141" s="23"/>
      <c r="H141" s="6"/>
      <c r="I141" s="17"/>
      <c r="J141" s="17"/>
      <c r="K141" s="4"/>
      <c r="L141" s="4"/>
    </row>
    <row r="142" spans="1:12" ht="1.9" customHeight="1">
      <c r="A142" s="16"/>
      <c r="B142" s="17"/>
      <c r="C142" s="17"/>
      <c r="D142" s="17"/>
      <c r="E142" s="17"/>
      <c r="F142" s="16"/>
      <c r="G142" s="23"/>
      <c r="H142" s="6"/>
      <c r="I142" s="17"/>
      <c r="J142" s="17"/>
      <c r="K142" s="4"/>
      <c r="L142" s="4"/>
    </row>
    <row r="143" spans="1:12" ht="1.9" customHeight="1">
      <c r="A143" s="16"/>
      <c r="B143" s="17"/>
      <c r="C143" s="17"/>
      <c r="D143" s="17"/>
      <c r="E143" s="17"/>
      <c r="F143" s="16"/>
      <c r="G143" s="23"/>
      <c r="H143" s="6"/>
      <c r="I143" s="17"/>
      <c r="J143" s="17"/>
      <c r="K143" s="4"/>
      <c r="L143" s="4"/>
    </row>
    <row r="144" spans="1:12" ht="1.9" customHeight="1">
      <c r="A144" s="16"/>
      <c r="B144" s="17"/>
      <c r="C144" s="17"/>
      <c r="D144" s="17"/>
      <c r="E144" s="17"/>
      <c r="F144" s="16"/>
      <c r="G144" s="23"/>
      <c r="H144" s="6"/>
      <c r="I144" s="17"/>
      <c r="J144" s="17"/>
      <c r="K144" s="4"/>
      <c r="L144" s="4"/>
    </row>
    <row r="145" spans="1:12" ht="1.9" customHeight="1">
      <c r="A145" s="16"/>
      <c r="B145" s="17"/>
      <c r="C145" s="17"/>
      <c r="D145" s="17"/>
      <c r="E145" s="17"/>
      <c r="F145" s="16"/>
      <c r="G145" s="23"/>
      <c r="H145" s="6"/>
      <c r="I145" s="17"/>
      <c r="J145" s="17"/>
      <c r="K145" s="4"/>
      <c r="L145" s="4"/>
    </row>
    <row r="146" spans="1:12" ht="1.9" customHeight="1">
      <c r="A146" s="16"/>
      <c r="B146" s="17"/>
      <c r="C146" s="17"/>
      <c r="D146" s="17"/>
      <c r="E146" s="17"/>
      <c r="F146" s="16"/>
      <c r="G146" s="23"/>
      <c r="H146" s="6"/>
      <c r="I146" s="17"/>
      <c r="J146" s="17"/>
      <c r="K146" s="4"/>
      <c r="L146" s="4"/>
    </row>
    <row r="147" spans="1:12" ht="1.9" customHeight="1">
      <c r="A147" s="16"/>
      <c r="B147" s="17"/>
      <c r="C147" s="17"/>
      <c r="D147" s="17"/>
      <c r="E147" s="17"/>
      <c r="F147" s="16"/>
      <c r="G147" s="23"/>
      <c r="H147" s="6"/>
      <c r="I147" s="17"/>
      <c r="J147" s="17"/>
      <c r="K147" s="4"/>
      <c r="L147" s="4"/>
    </row>
    <row r="148" spans="1:12" ht="1.9" customHeight="1">
      <c r="A148" s="16"/>
      <c r="B148" s="17"/>
      <c r="C148" s="17"/>
      <c r="D148" s="17"/>
      <c r="E148" s="17"/>
      <c r="F148" s="16"/>
      <c r="G148" s="23"/>
      <c r="H148" s="6"/>
      <c r="I148" s="17"/>
      <c r="J148" s="17"/>
      <c r="K148" s="4"/>
      <c r="L148" s="4"/>
    </row>
    <row r="149" spans="1:12" ht="1.9" customHeight="1">
      <c r="A149" s="16"/>
      <c r="B149" s="17"/>
      <c r="C149" s="17"/>
      <c r="D149" s="17"/>
      <c r="E149" s="17"/>
      <c r="F149" s="16"/>
      <c r="G149" s="23"/>
      <c r="H149" s="6"/>
      <c r="I149" s="17"/>
      <c r="J149" s="17"/>
      <c r="K149" s="4"/>
      <c r="L149" s="4"/>
    </row>
    <row r="150" spans="1:12" ht="1.9" customHeight="1">
      <c r="A150" s="16"/>
      <c r="B150" s="17"/>
      <c r="C150" s="17"/>
      <c r="D150" s="17"/>
      <c r="E150" s="17"/>
      <c r="F150" s="16"/>
      <c r="G150" s="23"/>
      <c r="H150" s="6"/>
      <c r="I150" s="17"/>
      <c r="J150" s="17"/>
      <c r="K150" s="4"/>
      <c r="L150" s="4"/>
    </row>
    <row r="151" spans="1:12" ht="1.9" customHeight="1">
      <c r="A151" s="16"/>
      <c r="B151" s="17"/>
      <c r="C151" s="17"/>
      <c r="D151" s="17"/>
      <c r="E151" s="17"/>
      <c r="F151" s="16"/>
      <c r="G151" s="23"/>
      <c r="H151" s="6"/>
      <c r="I151" s="17"/>
      <c r="J151" s="17"/>
      <c r="K151" s="4"/>
      <c r="L151" s="4"/>
    </row>
    <row r="152" spans="1:12" ht="1.9" customHeight="1">
      <c r="A152" s="16"/>
      <c r="B152" s="17"/>
      <c r="C152" s="17"/>
      <c r="D152" s="17"/>
      <c r="E152" s="17"/>
      <c r="F152" s="16"/>
      <c r="G152" s="23"/>
      <c r="H152" s="6"/>
      <c r="I152" s="17"/>
      <c r="J152" s="17"/>
      <c r="K152" s="4"/>
      <c r="L152" s="4"/>
    </row>
    <row r="153" spans="1:12" ht="1.9" customHeight="1">
      <c r="A153" s="16"/>
      <c r="B153" s="17"/>
      <c r="C153" s="17"/>
      <c r="D153" s="17"/>
      <c r="E153" s="17"/>
      <c r="F153" s="16"/>
      <c r="G153" s="23"/>
      <c r="H153" s="6"/>
      <c r="I153" s="17"/>
      <c r="J153" s="17"/>
      <c r="K153" s="4"/>
      <c r="L153" s="4"/>
    </row>
    <row r="154" spans="1:12" ht="1.9" customHeight="1">
      <c r="A154" s="16"/>
      <c r="B154" s="17"/>
      <c r="C154" s="17"/>
      <c r="D154" s="17"/>
      <c r="E154" s="17"/>
      <c r="F154" s="16"/>
      <c r="G154" s="23"/>
      <c r="H154" s="6"/>
      <c r="I154" s="17"/>
      <c r="J154" s="17"/>
      <c r="K154" s="4"/>
      <c r="L154" s="4"/>
    </row>
    <row r="155" spans="1:12" ht="1.9" customHeight="1">
      <c r="A155" s="16"/>
      <c r="B155" s="17"/>
      <c r="C155" s="17"/>
      <c r="D155" s="17"/>
      <c r="E155" s="17"/>
      <c r="F155" s="16"/>
      <c r="G155" s="23"/>
      <c r="H155" s="6"/>
      <c r="I155" s="17"/>
      <c r="J155" s="17"/>
      <c r="K155" s="4"/>
      <c r="L155" s="4"/>
    </row>
    <row r="156" spans="1:12" ht="1.9" customHeight="1">
      <c r="A156" s="16"/>
      <c r="B156" s="17"/>
      <c r="C156" s="17"/>
      <c r="D156" s="17"/>
      <c r="E156" s="17"/>
      <c r="F156" s="16"/>
      <c r="G156" s="23"/>
      <c r="H156" s="6"/>
      <c r="I156" s="17"/>
      <c r="J156" s="17"/>
      <c r="K156" s="4"/>
      <c r="L156" s="4"/>
    </row>
    <row r="157" spans="1:12" ht="1.9" customHeight="1">
      <c r="A157" s="16"/>
      <c r="B157" s="17"/>
      <c r="C157" s="17"/>
      <c r="D157" s="17"/>
      <c r="E157" s="17"/>
      <c r="F157" s="16"/>
      <c r="G157" s="23"/>
      <c r="H157" s="6"/>
      <c r="I157" s="17"/>
      <c r="J157" s="17"/>
      <c r="K157" s="4"/>
      <c r="L157" s="4"/>
    </row>
    <row r="158" spans="1:12" ht="1.9" customHeight="1">
      <c r="A158" s="16"/>
      <c r="B158" s="17"/>
      <c r="C158" s="17"/>
      <c r="D158" s="17"/>
      <c r="E158" s="17"/>
      <c r="F158" s="16"/>
      <c r="G158" s="23"/>
      <c r="H158" s="6"/>
      <c r="I158" s="17"/>
      <c r="J158" s="17"/>
      <c r="K158" s="4"/>
      <c r="L158" s="4"/>
    </row>
    <row r="159" spans="1:12" ht="1.9" customHeight="1">
      <c r="A159" s="16"/>
      <c r="B159" s="17"/>
      <c r="C159" s="17"/>
      <c r="D159" s="17"/>
      <c r="E159" s="17"/>
      <c r="F159" s="16"/>
      <c r="G159" s="23"/>
      <c r="H159" s="6"/>
      <c r="I159" s="17"/>
      <c r="J159" s="17"/>
      <c r="K159" s="4"/>
      <c r="L159" s="4"/>
    </row>
    <row r="160" spans="1:12" ht="1.9" customHeight="1">
      <c r="A160" s="16"/>
      <c r="B160" s="17"/>
      <c r="C160" s="17"/>
      <c r="D160" s="17"/>
      <c r="E160" s="17"/>
      <c r="F160" s="16"/>
      <c r="G160" s="23"/>
      <c r="H160" s="6"/>
      <c r="I160" s="17"/>
      <c r="J160" s="17"/>
      <c r="K160" s="4"/>
      <c r="L160" s="4"/>
    </row>
    <row r="161" spans="1:12" ht="1.9" customHeight="1">
      <c r="A161" s="16"/>
      <c r="B161" s="17"/>
      <c r="C161" s="17"/>
      <c r="D161" s="17"/>
      <c r="E161" s="17"/>
      <c r="F161" s="16"/>
      <c r="G161" s="23"/>
      <c r="H161" s="6"/>
      <c r="I161" s="17"/>
      <c r="J161" s="17"/>
      <c r="K161" s="4"/>
      <c r="L161" s="4"/>
    </row>
    <row r="162" spans="1:12" ht="1.9" customHeight="1">
      <c r="A162" s="16"/>
      <c r="B162" s="17"/>
      <c r="C162" s="17"/>
      <c r="D162" s="17"/>
      <c r="E162" s="17"/>
      <c r="F162" s="16"/>
      <c r="G162" s="23"/>
      <c r="H162" s="6"/>
      <c r="I162" s="17"/>
      <c r="J162" s="17"/>
      <c r="K162" s="4"/>
      <c r="L162" s="4"/>
    </row>
    <row r="163" spans="1:12" ht="1.9" customHeight="1">
      <c r="A163" s="16"/>
      <c r="B163" s="17"/>
      <c r="C163" s="17"/>
      <c r="D163" s="17"/>
      <c r="E163" s="17"/>
      <c r="F163" s="16"/>
      <c r="G163" s="23"/>
      <c r="H163" s="6"/>
      <c r="I163" s="17"/>
      <c r="J163" s="17"/>
      <c r="K163" s="4"/>
      <c r="L163" s="4"/>
    </row>
    <row r="164" spans="1:12" ht="1.9" customHeight="1">
      <c r="A164" s="16"/>
      <c r="B164" s="17"/>
      <c r="C164" s="17"/>
      <c r="D164" s="17"/>
      <c r="E164" s="17"/>
      <c r="F164" s="16"/>
      <c r="G164" s="23"/>
      <c r="H164" s="6"/>
      <c r="I164" s="17"/>
      <c r="J164" s="17"/>
      <c r="K164" s="4"/>
      <c r="L164" s="4"/>
    </row>
    <row r="165" spans="1:12" ht="1.9" customHeight="1">
      <c r="A165" s="16"/>
      <c r="B165" s="17"/>
      <c r="C165" s="17"/>
      <c r="D165" s="17"/>
      <c r="E165" s="17"/>
      <c r="F165" s="16"/>
      <c r="G165" s="23"/>
      <c r="H165" s="6"/>
      <c r="I165" s="17"/>
      <c r="J165" s="17"/>
      <c r="K165" s="4"/>
      <c r="L165" s="4"/>
    </row>
    <row r="166" spans="1:12" ht="1.9" customHeight="1">
      <c r="A166" s="16"/>
      <c r="B166" s="17"/>
      <c r="C166" s="17"/>
      <c r="D166" s="17"/>
      <c r="E166" s="17"/>
      <c r="F166" s="16"/>
      <c r="G166" s="23"/>
      <c r="H166" s="6"/>
      <c r="I166" s="17"/>
      <c r="J166" s="17"/>
      <c r="K166" s="4"/>
      <c r="L166" s="4"/>
    </row>
    <row r="167" spans="1:12" ht="1.9" customHeight="1">
      <c r="A167" s="16"/>
      <c r="B167" s="17"/>
      <c r="C167" s="17"/>
      <c r="D167" s="17"/>
      <c r="E167" s="17"/>
      <c r="F167" s="16"/>
      <c r="G167" s="23"/>
      <c r="H167" s="6"/>
      <c r="I167" s="17"/>
      <c r="J167" s="17"/>
      <c r="K167" s="4"/>
      <c r="L167" s="4"/>
    </row>
    <row r="168" spans="1:12" ht="1.9" customHeight="1">
      <c r="A168" s="16"/>
      <c r="B168" s="17"/>
      <c r="C168" s="17"/>
      <c r="D168" s="17"/>
      <c r="E168" s="17"/>
      <c r="F168" s="16"/>
      <c r="G168" s="23"/>
      <c r="H168" s="6"/>
      <c r="I168" s="17"/>
      <c r="J168" s="17"/>
      <c r="K168" s="4"/>
      <c r="L168" s="4"/>
    </row>
    <row r="169" spans="1:12" ht="1.9" customHeight="1">
      <c r="A169" s="16"/>
      <c r="B169" s="17"/>
      <c r="C169" s="17"/>
      <c r="D169" s="17"/>
      <c r="E169" s="17"/>
      <c r="F169" s="16"/>
      <c r="G169" s="23"/>
      <c r="H169" s="6"/>
      <c r="I169" s="17"/>
      <c r="J169" s="17"/>
      <c r="K169" s="4"/>
      <c r="L169" s="4"/>
    </row>
    <row r="170" spans="1:12" ht="1.9" customHeight="1">
      <c r="A170" s="16"/>
      <c r="B170" s="17"/>
      <c r="C170" s="17"/>
      <c r="D170" s="17"/>
      <c r="E170" s="17"/>
      <c r="F170" s="16"/>
      <c r="G170" s="23"/>
      <c r="H170" s="6"/>
      <c r="I170" s="17"/>
      <c r="J170" s="17"/>
      <c r="K170" s="4"/>
      <c r="L170" s="4"/>
    </row>
    <row r="171" spans="1:12" ht="1.9" customHeight="1">
      <c r="A171" s="16"/>
      <c r="B171" s="17"/>
      <c r="C171" s="17"/>
      <c r="D171" s="17"/>
      <c r="E171" s="17"/>
      <c r="F171" s="16"/>
      <c r="G171" s="23"/>
      <c r="H171" s="6"/>
      <c r="I171" s="17"/>
      <c r="J171" s="17"/>
      <c r="K171" s="4"/>
      <c r="L171" s="4"/>
    </row>
    <row r="172" spans="1:12" ht="1.9" customHeight="1">
      <c r="A172" s="16"/>
      <c r="B172" s="17"/>
      <c r="C172" s="17"/>
      <c r="D172" s="17"/>
      <c r="E172" s="17"/>
      <c r="F172" s="16"/>
      <c r="G172" s="23"/>
      <c r="H172" s="6"/>
      <c r="I172" s="17"/>
      <c r="J172" s="17"/>
      <c r="K172" s="4"/>
      <c r="L172" s="4"/>
    </row>
    <row r="173" spans="1:12" ht="1.9" customHeight="1">
      <c r="A173" s="16"/>
      <c r="B173" s="17"/>
      <c r="C173" s="17"/>
      <c r="D173" s="17"/>
      <c r="E173" s="17"/>
      <c r="F173" s="16"/>
      <c r="G173" s="23"/>
      <c r="H173" s="6"/>
      <c r="I173" s="17"/>
      <c r="J173" s="17"/>
      <c r="K173" s="4"/>
      <c r="L173" s="4"/>
    </row>
    <row r="174" spans="1:12" ht="1.9" customHeight="1">
      <c r="A174" s="16"/>
      <c r="B174" s="17"/>
      <c r="C174" s="17"/>
      <c r="D174" s="17"/>
      <c r="E174" s="17"/>
      <c r="F174" s="16"/>
      <c r="G174" s="23"/>
      <c r="H174" s="6"/>
      <c r="I174" s="17"/>
      <c r="J174" s="17"/>
      <c r="K174" s="4"/>
      <c r="L174" s="4"/>
    </row>
    <row r="175" spans="1:12" ht="1.9" customHeight="1">
      <c r="A175" s="16"/>
      <c r="B175" s="17"/>
      <c r="C175" s="17"/>
      <c r="D175" s="17"/>
      <c r="E175" s="17"/>
      <c r="F175" s="16"/>
      <c r="G175" s="23"/>
      <c r="H175" s="6"/>
      <c r="I175" s="17"/>
      <c r="J175" s="17"/>
      <c r="K175" s="4"/>
      <c r="L175" s="4"/>
    </row>
    <row r="176" spans="1:12" ht="1.9" customHeight="1">
      <c r="A176" s="16"/>
      <c r="B176" s="17"/>
      <c r="C176" s="17"/>
      <c r="D176" s="17"/>
      <c r="E176" s="17"/>
      <c r="F176" s="16"/>
      <c r="G176" s="23"/>
      <c r="H176" s="6"/>
      <c r="I176" s="17"/>
      <c r="J176" s="17"/>
      <c r="K176" s="4"/>
      <c r="L176" s="4"/>
    </row>
    <row r="177" spans="1:12" ht="1.9" customHeight="1">
      <c r="A177" s="16"/>
      <c r="B177" s="17"/>
      <c r="C177" s="17"/>
      <c r="D177" s="17"/>
      <c r="E177" s="17"/>
      <c r="F177" s="16"/>
      <c r="G177" s="23"/>
      <c r="H177" s="6"/>
      <c r="I177" s="17"/>
      <c r="J177" s="17"/>
      <c r="K177" s="4"/>
      <c r="L177" s="4"/>
    </row>
    <row r="178" spans="1:12" ht="1.9" customHeight="1">
      <c r="A178" s="16"/>
      <c r="B178" s="17"/>
      <c r="C178" s="17"/>
      <c r="D178" s="17"/>
      <c r="E178" s="17"/>
      <c r="F178" s="16"/>
      <c r="G178" s="23"/>
      <c r="H178" s="6"/>
      <c r="I178" s="17"/>
      <c r="J178" s="17"/>
      <c r="K178" s="4"/>
      <c r="L178" s="4"/>
    </row>
    <row r="179" spans="1:12" ht="1.9" customHeight="1">
      <c r="A179" s="16"/>
      <c r="B179" s="17"/>
      <c r="C179" s="17"/>
      <c r="D179" s="17"/>
      <c r="E179" s="17"/>
      <c r="F179" s="16"/>
      <c r="G179" s="23"/>
      <c r="H179" s="6"/>
      <c r="I179" s="17"/>
      <c r="J179" s="17"/>
      <c r="K179" s="4"/>
      <c r="L179" s="4"/>
    </row>
    <row r="180" spans="1:12" ht="1.9" customHeight="1">
      <c r="A180" s="16"/>
      <c r="B180" s="17"/>
      <c r="C180" s="17"/>
      <c r="D180" s="17"/>
      <c r="E180" s="17"/>
      <c r="F180" s="16"/>
      <c r="G180" s="23"/>
      <c r="H180" s="6"/>
      <c r="I180" s="17"/>
      <c r="J180" s="17"/>
      <c r="K180" s="4"/>
      <c r="L180" s="4"/>
    </row>
    <row r="181" spans="1:12" ht="1.9" customHeight="1">
      <c r="A181" s="16"/>
      <c r="B181" s="17"/>
      <c r="C181" s="17"/>
      <c r="D181" s="17"/>
      <c r="E181" s="17"/>
      <c r="F181" s="16"/>
      <c r="G181" s="23"/>
      <c r="H181" s="6"/>
      <c r="I181" s="17"/>
      <c r="J181" s="17"/>
      <c r="K181" s="4"/>
      <c r="L181" s="4"/>
    </row>
    <row r="182" spans="1:12" ht="1.9" customHeight="1">
      <c r="A182" s="16"/>
      <c r="B182" s="17"/>
      <c r="C182" s="17"/>
      <c r="D182" s="17"/>
      <c r="E182" s="17"/>
      <c r="F182" s="16"/>
      <c r="G182" s="23"/>
      <c r="H182" s="6"/>
      <c r="I182" s="17"/>
      <c r="J182" s="17"/>
      <c r="K182" s="4"/>
      <c r="L182" s="4"/>
    </row>
    <row r="183" spans="1:12" ht="1.9" customHeight="1">
      <c r="A183" s="16"/>
      <c r="B183" s="17"/>
      <c r="C183" s="17"/>
      <c r="D183" s="17"/>
      <c r="E183" s="17"/>
      <c r="F183" s="16"/>
      <c r="G183" s="23"/>
      <c r="H183" s="6"/>
      <c r="I183" s="17"/>
      <c r="J183" s="17"/>
      <c r="K183" s="4"/>
      <c r="L183" s="4"/>
    </row>
    <row r="184" spans="1:12" ht="1.9" customHeight="1">
      <c r="A184" s="16"/>
      <c r="B184" s="17"/>
      <c r="C184" s="17"/>
      <c r="D184" s="17"/>
      <c r="E184" s="17"/>
      <c r="F184" s="16"/>
      <c r="G184" s="23"/>
      <c r="H184" s="6"/>
      <c r="I184" s="17"/>
      <c r="J184" s="17"/>
      <c r="K184" s="4"/>
      <c r="L184" s="4"/>
    </row>
    <row r="185" spans="1:12" ht="1.9" customHeight="1">
      <c r="A185" s="16"/>
      <c r="B185" s="17"/>
      <c r="C185" s="17"/>
      <c r="D185" s="17"/>
      <c r="E185" s="17"/>
      <c r="F185" s="16"/>
      <c r="G185" s="23"/>
      <c r="H185" s="6"/>
      <c r="I185" s="17"/>
      <c r="J185" s="17"/>
      <c r="K185" s="4"/>
      <c r="L185" s="4"/>
    </row>
    <row r="186" spans="1:12" ht="1.9" customHeight="1">
      <c r="A186" s="16"/>
      <c r="B186" s="17"/>
      <c r="C186" s="17"/>
      <c r="D186" s="17"/>
      <c r="E186" s="17"/>
      <c r="F186" s="16"/>
      <c r="G186" s="23"/>
      <c r="H186" s="6"/>
      <c r="I186" s="17"/>
      <c r="J186" s="17"/>
      <c r="K186" s="4"/>
      <c r="L186" s="4"/>
    </row>
    <row r="187" spans="1:12" ht="1.9" customHeight="1">
      <c r="A187" s="16"/>
      <c r="B187" s="17"/>
      <c r="C187" s="17"/>
      <c r="D187" s="17"/>
      <c r="E187" s="17"/>
      <c r="F187" s="16"/>
      <c r="G187" s="23"/>
      <c r="H187" s="6"/>
      <c r="I187" s="17"/>
      <c r="J187" s="17"/>
      <c r="K187" s="4"/>
      <c r="L187" s="4"/>
    </row>
    <row r="188" spans="1:12" ht="1.9" customHeight="1">
      <c r="A188" s="16"/>
      <c r="B188" s="17"/>
      <c r="C188" s="17"/>
      <c r="D188" s="17"/>
      <c r="E188" s="17"/>
      <c r="F188" s="16"/>
      <c r="G188" s="23"/>
      <c r="H188" s="6"/>
      <c r="I188" s="17"/>
      <c r="J188" s="17"/>
      <c r="K188" s="4"/>
      <c r="L188" s="4"/>
    </row>
    <row r="189" spans="1:12" ht="1.9" customHeight="1">
      <c r="A189" s="16"/>
      <c r="B189" s="17"/>
      <c r="C189" s="17"/>
      <c r="D189" s="17"/>
      <c r="E189" s="17"/>
      <c r="F189" s="16"/>
      <c r="G189" s="23"/>
      <c r="H189" s="6"/>
      <c r="I189" s="17"/>
      <c r="J189" s="17"/>
      <c r="K189" s="4"/>
      <c r="L189" s="4"/>
    </row>
    <row r="190" spans="1:12" ht="1.9" customHeight="1">
      <c r="A190" s="16"/>
      <c r="B190" s="17"/>
      <c r="C190" s="17"/>
      <c r="D190" s="17"/>
      <c r="E190" s="17"/>
      <c r="F190" s="16"/>
      <c r="G190" s="23"/>
      <c r="H190" s="6"/>
      <c r="I190" s="17"/>
      <c r="J190" s="17"/>
      <c r="K190" s="4"/>
      <c r="L190" s="4"/>
    </row>
    <row r="191" spans="1:12" ht="1.9" customHeight="1">
      <c r="A191" s="16"/>
      <c r="B191" s="17"/>
      <c r="C191" s="17"/>
      <c r="D191" s="17"/>
      <c r="E191" s="17"/>
      <c r="F191" s="16"/>
      <c r="G191" s="23"/>
      <c r="H191" s="6"/>
      <c r="I191" s="17"/>
      <c r="J191" s="17"/>
      <c r="K191" s="4"/>
      <c r="L191" s="4"/>
    </row>
    <row r="192" spans="1:12" ht="1.9" customHeight="1">
      <c r="A192" s="16"/>
      <c r="B192" s="17"/>
      <c r="C192" s="17"/>
      <c r="D192" s="17"/>
      <c r="E192" s="17"/>
      <c r="F192" s="16"/>
      <c r="G192" s="23"/>
      <c r="H192" s="6"/>
      <c r="I192" s="17"/>
      <c r="J192" s="17"/>
      <c r="K192" s="4"/>
      <c r="L192" s="4"/>
    </row>
    <row r="193" spans="1:12" ht="1.9" customHeight="1">
      <c r="A193" s="16"/>
      <c r="B193" s="17"/>
      <c r="C193" s="17"/>
      <c r="D193" s="17"/>
      <c r="E193" s="17"/>
      <c r="F193" s="16"/>
      <c r="G193" s="23"/>
      <c r="H193" s="6"/>
      <c r="I193" s="17"/>
      <c r="J193" s="17"/>
      <c r="K193" s="4"/>
      <c r="L193" s="4"/>
    </row>
    <row r="194" spans="1:12" ht="1.9" customHeight="1">
      <c r="A194" s="16"/>
      <c r="B194" s="17"/>
      <c r="C194" s="17"/>
      <c r="D194" s="17"/>
      <c r="E194" s="17"/>
      <c r="F194" s="16"/>
      <c r="G194" s="23"/>
      <c r="H194" s="6"/>
      <c r="I194" s="17"/>
      <c r="J194" s="17"/>
      <c r="K194" s="4"/>
      <c r="L194" s="4"/>
    </row>
    <row r="195" spans="1:12" ht="1.9" customHeight="1">
      <c r="A195" s="16"/>
      <c r="B195" s="17"/>
      <c r="C195" s="17"/>
      <c r="D195" s="17"/>
      <c r="E195" s="17"/>
      <c r="F195" s="16"/>
      <c r="G195" s="23"/>
      <c r="H195" s="6"/>
      <c r="I195" s="17"/>
      <c r="J195" s="17"/>
      <c r="K195" s="4"/>
      <c r="L195" s="4"/>
    </row>
    <row r="196" spans="1:12" ht="1.9" customHeight="1">
      <c r="A196" s="16"/>
      <c r="B196" s="17"/>
      <c r="C196" s="17"/>
      <c r="D196" s="17"/>
      <c r="E196" s="17"/>
      <c r="F196" s="16"/>
      <c r="G196" s="23"/>
      <c r="H196" s="6"/>
      <c r="I196" s="17"/>
      <c r="J196" s="17"/>
      <c r="K196" s="4"/>
      <c r="L196" s="4"/>
    </row>
    <row r="197" spans="1:12" ht="1.9" customHeight="1">
      <c r="A197" s="16"/>
      <c r="B197" s="17"/>
      <c r="C197" s="17"/>
      <c r="D197" s="17"/>
      <c r="E197" s="17"/>
      <c r="F197" s="16"/>
      <c r="G197" s="23"/>
      <c r="H197" s="6"/>
      <c r="I197" s="17"/>
      <c r="J197" s="17"/>
      <c r="K197" s="4"/>
      <c r="L197" s="4"/>
    </row>
    <row r="198" spans="1:12" ht="1.9" customHeight="1">
      <c r="A198" s="16"/>
      <c r="B198" s="17"/>
      <c r="C198" s="17"/>
      <c r="D198" s="17"/>
      <c r="E198" s="17"/>
      <c r="F198" s="16"/>
      <c r="G198" s="23"/>
      <c r="H198" s="6"/>
      <c r="I198" s="17"/>
      <c r="J198" s="17"/>
      <c r="K198" s="4"/>
      <c r="L198" s="4"/>
    </row>
    <row r="199" spans="1:12" ht="1.9" customHeight="1">
      <c r="A199" s="16"/>
      <c r="B199" s="17"/>
      <c r="C199" s="17"/>
      <c r="D199" s="17"/>
      <c r="E199" s="17"/>
      <c r="F199" s="16"/>
      <c r="G199" s="23"/>
      <c r="H199" s="6"/>
      <c r="I199" s="17"/>
      <c r="J199" s="17"/>
      <c r="K199" s="4"/>
      <c r="L199" s="4"/>
    </row>
    <row r="200" spans="1:12" ht="1.9" customHeight="1">
      <c r="A200" s="16"/>
      <c r="B200" s="17"/>
      <c r="C200" s="17"/>
      <c r="D200" s="17"/>
      <c r="E200" s="17"/>
      <c r="F200" s="16"/>
      <c r="G200" s="23"/>
      <c r="H200" s="6"/>
      <c r="I200" s="17"/>
      <c r="J200" s="17"/>
      <c r="K200" s="4"/>
      <c r="L200" s="4"/>
    </row>
    <row r="201" spans="1:12" ht="1.9" customHeight="1">
      <c r="A201" s="16"/>
      <c r="B201" s="17"/>
      <c r="C201" s="17"/>
      <c r="D201" s="17"/>
      <c r="E201" s="17"/>
      <c r="F201" s="16"/>
      <c r="G201" s="23"/>
      <c r="H201" s="6"/>
      <c r="I201" s="17"/>
      <c r="J201" s="17"/>
      <c r="K201" s="4"/>
      <c r="L201" s="4"/>
    </row>
    <row r="202" spans="1:12" ht="1.9" customHeight="1">
      <c r="A202" s="16"/>
      <c r="B202" s="17"/>
      <c r="C202" s="17"/>
      <c r="D202" s="17"/>
      <c r="E202" s="17"/>
      <c r="F202" s="16"/>
      <c r="G202" s="23"/>
      <c r="H202" s="6"/>
      <c r="I202" s="17"/>
      <c r="J202" s="17"/>
      <c r="K202" s="4"/>
      <c r="L202" s="4"/>
    </row>
    <row r="203" spans="1:12" ht="1.9" customHeight="1">
      <c r="A203" s="16"/>
      <c r="B203" s="17"/>
      <c r="C203" s="17"/>
      <c r="D203" s="17"/>
      <c r="E203" s="17"/>
      <c r="F203" s="16"/>
      <c r="G203" s="23"/>
      <c r="H203" s="6"/>
      <c r="I203" s="17"/>
      <c r="J203" s="17"/>
      <c r="K203" s="4"/>
      <c r="L203" s="4"/>
    </row>
    <row r="204" spans="1:12" ht="1.9" customHeight="1">
      <c r="A204" s="16"/>
      <c r="B204" s="17"/>
      <c r="C204" s="17"/>
      <c r="D204" s="17"/>
      <c r="E204" s="17"/>
      <c r="F204" s="16"/>
      <c r="G204" s="23"/>
      <c r="H204" s="6"/>
      <c r="I204" s="17"/>
      <c r="J204" s="17"/>
      <c r="K204" s="4"/>
      <c r="L204" s="4"/>
    </row>
  </sheetData>
  <mergeCells count="2">
    <mergeCell ref="A2:L2"/>
    <mergeCell ref="A1:L1"/>
  </mergeCells>
  <conditionalFormatting sqref="A1:L204">
    <cfRule type="expression" dxfId="637" priority="3">
      <formula>ISNUMBER(SEARCH("🔴",A1))</formula>
    </cfRule>
    <cfRule type="expression" dxfId="636" priority="4">
      <formula>ISNUMBER(SEARCH("🟡",A1))</formula>
    </cfRule>
    <cfRule type="expression" dxfId="635" priority="5">
      <formula>ISNUMBER(SEARCH("🟢",A1))</formula>
    </cfRule>
  </conditionalFormatting>
  <conditionalFormatting sqref="H5:H21">
    <cfRule type="expression" dxfId="634" priority="6">
      <formula>ISNUMBER(SEARCH("Riesgo",H5))</formula>
    </cfRule>
    <cfRule type="expression" dxfId="633" priority="7">
      <formula>ISNUMBER(SEARCH("Crítico",H5))</formula>
    </cfRule>
    <cfRule type="expression" dxfId="632" priority="8">
      <formula>ISNUMBER(SEARCH("Pendiente",H5))</formula>
    </cfRule>
    <cfRule type="expression" dxfId="631" priority="9">
      <formula>ISNUMBER(SEARCH("En riesgo",H5))</formula>
    </cfRule>
    <cfRule type="expression" dxfId="630" priority="10">
      <formula>ISNUMBER(SEARCH("Atención",H5))</formula>
    </cfRule>
    <cfRule type="expression" dxfId="629" priority="11">
      <formula>ISNUMBER(SEARCH("En proceso",H5))</formula>
    </cfRule>
    <cfRule type="expression" dxfId="628" priority="12">
      <formula>ISNUMBER(SEARCH("Meta",H5))</formula>
    </cfRule>
    <cfRule type="expression" dxfId="627" priority="13">
      <formula>ISNUMBER(SEARCH("Cumple",H5))</formula>
    </cfRule>
    <cfRule type="expression" dxfId="626" priority="14">
      <formula>ISNUMBER(SEARCH("Cumplido",H5))</formula>
    </cfRule>
    <cfRule type="expression" dxfId="625" priority="15">
      <formula>ISNUMBER(SEARCH("Positivo",H5))</formula>
    </cfRule>
    <cfRule type="expression" dxfId="624" priority="16">
      <formula>ISNUMBER(SEARCH("Dominio",H5))</formula>
    </cfRule>
    <cfRule type="expression" dxfId="623" priority="17">
      <formula>ISNUMBER(SEARCH("Alto",H5))</formula>
    </cfRule>
    <cfRule type="expression" dxfId="622" priority="18">
      <formula>ISNUMBER(SEARCH("Superado",H5))</formula>
    </cfRule>
    <cfRule type="expression" dxfId="621" priority="19">
      <formula>ISNUMBER(SEARCH("Cuadrado",H5))</formula>
    </cfRule>
    <cfRule type="expression" dxfId="620" priority="20">
      <formula>ISNUMBER(SEARCH("Revisar",H5))</formula>
    </cfRule>
    <cfRule type="expression" dxfId="619" priority="21">
      <formula>ISNUMBER(SEARCH("Vacío",H5))</formula>
    </cfRule>
  </conditionalFormatting>
  <conditionalFormatting sqref="H5:H204">
    <cfRule type="cellIs" dxfId="618" priority="1" operator="equal">
      <formula>"🔴 Riesgo"</formula>
    </cfRule>
    <cfRule type="cellIs" dxfId="617" priority="2" operator="equal">
      <formula>"🟢 Programado"</formula>
    </cfRule>
  </conditionalFormatting>
  <dataValidations count="4">
    <dataValidation type="list" allowBlank="1" sqref="E5:E204" xr:uid="{00000000-0002-0000-4100-000000000000}">
      <formula1>"1,2,3,4,5"</formula1>
    </dataValidation>
    <dataValidation type="list" allowBlank="1" sqref="D5:D204" xr:uid="{00000000-0002-0000-4100-000001000000}">
      <formula1>"Error,Prueba,Tema débil,Ejercicio,Clase"</formula1>
    </dataValidation>
    <dataValidation type="list" allowBlank="1" sqref="L5:L204" xr:uid="{00000000-0002-0000-4100-000002000000}">
      <formula1>"Bajo,Medio,Alto"</formula1>
    </dataValidation>
    <dataValidation type="list" allowBlank="1" sqref="B5:B204" xr:uid="{00000000-0002-0000-4100-000003000000}">
      <formula1>"Cálculo I,Química,Comunicación,Industria y Desarrollo"</formula1>
    </dataValidation>
  </dataValidation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2855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C09000"/>
  </sheetPr>
  <dimension ref="A1:P213"/>
  <sheetViews>
    <sheetView showGridLines="0" workbookViewId="0"/>
  </sheetViews>
  <sheetFormatPr baseColWidth="10" defaultColWidth="14.453125" defaultRowHeight="14.5"/>
  <cols>
    <col min="1" max="1" width="90.54296875" customWidth="1"/>
    <col min="2" max="2" width="7.1796875" customWidth="1"/>
    <col min="3" max="4" width="8.26953125" customWidth="1"/>
    <col min="5" max="5" width="10.54296875" customWidth="1"/>
    <col min="6" max="6" width="6.36328125" customWidth="1"/>
    <col min="7" max="7" width="12.08984375" customWidth="1"/>
    <col min="8" max="8" width="16.453125" customWidth="1"/>
    <col min="9" max="9" width="11.08984375" customWidth="1"/>
    <col min="10" max="10" width="11.453125" customWidth="1"/>
    <col min="11" max="11" width="19.26953125" customWidth="1"/>
    <col min="12" max="12" width="12" customWidth="1"/>
    <col min="13" max="13" width="8.6328125" customWidth="1"/>
    <col min="14" max="14" width="12.36328125" customWidth="1"/>
    <col min="15" max="15" width="15.1796875" customWidth="1"/>
    <col min="16" max="16" width="12.54296875" customWidth="1"/>
  </cols>
  <sheetData>
    <row r="1" spans="1:16" ht="21" customHeight="1">
      <c r="A1" s="496" t="s">
        <v>2856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</row>
    <row r="2" spans="1:16">
      <c r="A2" s="497" t="s">
        <v>2857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</row>
    <row r="3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9" customHeight="1">
      <c r="A4" s="134" t="s">
        <v>73</v>
      </c>
      <c r="B4" s="134" t="s">
        <v>2858</v>
      </c>
      <c r="C4" s="134" t="s">
        <v>2859</v>
      </c>
      <c r="D4" s="134" t="s">
        <v>1613</v>
      </c>
      <c r="E4" s="134" t="s">
        <v>2860</v>
      </c>
      <c r="F4" s="134" t="s">
        <v>2861</v>
      </c>
      <c r="G4" s="134" t="s">
        <v>2862</v>
      </c>
      <c r="H4" s="134" t="s">
        <v>2863</v>
      </c>
      <c r="I4" s="134" t="s">
        <v>2864</v>
      </c>
      <c r="J4" s="134" t="s">
        <v>2865</v>
      </c>
      <c r="K4" s="134" t="s">
        <v>2866</v>
      </c>
      <c r="L4" s="134" t="s">
        <v>2867</v>
      </c>
      <c r="M4" s="134" t="s">
        <v>655</v>
      </c>
      <c r="N4" s="134" t="s">
        <v>2252</v>
      </c>
      <c r="O4" s="134" t="s">
        <v>2868</v>
      </c>
      <c r="P4" s="134" t="s">
        <v>11</v>
      </c>
    </row>
    <row r="5" spans="1:16">
      <c r="A5" s="37" t="str">
        <f>IF(OR('41_Clasificacion_Empresas'!F5="A",'41_Clasificacion_Empresas'!F5="B"),'41_Clasificacion_Empresas'!A5,"")</f>
        <v/>
      </c>
      <c r="B5" s="16" t="str">
        <f t="shared" ref="B5:B36" ca="1" si="0">IF(A5="","",TODAY())</f>
        <v/>
      </c>
      <c r="C5" s="17" t="str">
        <f>IF(A5="","",'41_Clasificacion_Empresas'!C5)</f>
        <v/>
      </c>
      <c r="D5" s="17" t="str">
        <f t="shared" ref="D5:D36" si="1">IF(A5="","","Por definir")</f>
        <v/>
      </c>
      <c r="E5" s="17" t="str">
        <f>IF(A5="","",'41_Clasificacion_Empresas'!C5)</f>
        <v/>
      </c>
      <c r="F5" s="17" t="str">
        <f>IF(A5="","",'41_Clasificacion_Empresas'!E5)</f>
        <v/>
      </c>
      <c r="G5" s="17" t="str">
        <f>IF(A5="","",'41_Clasificacion_Empresas'!D5)</f>
        <v/>
      </c>
      <c r="H5" s="17" t="str">
        <f>IF(A5="","",'41_Clasificacion_Empresas'!D5)</f>
        <v/>
      </c>
      <c r="I5" s="17" t="str">
        <f t="shared" ref="I5:I36" si="2">IF(A5="","","Empresa / mercado")</f>
        <v/>
      </c>
      <c r="J5" s="17" t="str">
        <f>IF(A5="","",'41_Clasificacion_Empresas'!F5)</f>
        <v/>
      </c>
      <c r="K5" s="17" t="str">
        <f>IF(A5="","",IF('41_Clasificacion_Empresas'!F5="A","Sí","No"))</f>
        <v/>
      </c>
      <c r="L5" s="17" t="str">
        <f>IF(A5="","",'41_Clasificacion_Empresas'!G5)</f>
        <v/>
      </c>
      <c r="M5" s="17" t="str">
        <f>IF(A5="","",IF('41_Clasificacion_Empresas'!F5="A","🟢 Oportunidad","🟡 En investigación"))</f>
        <v/>
      </c>
      <c r="N5" s="17" t="str">
        <f>IF(A5="","",'41_Clasificacion_Empresas'!M5)</f>
        <v/>
      </c>
      <c r="O5" s="16" t="str">
        <f t="shared" ref="O5:O36" ca="1" si="3">IF(A5="","",TODAY()+7)</f>
        <v/>
      </c>
      <c r="P5" s="17" t="str">
        <f t="shared" ref="P5:P36" si="4">IF(A5="","","Fuente: 40→41→32→33→30")</f>
        <v/>
      </c>
    </row>
    <row r="6" spans="1:16">
      <c r="A6" s="37"/>
      <c r="B6" s="16" t="str">
        <f t="shared" ca="1" si="0"/>
        <v/>
      </c>
      <c r="C6" s="17" t="str">
        <f>IF(A6="","",'41_Clasificacion_Empresas'!C6)</f>
        <v/>
      </c>
      <c r="D6" s="17" t="str">
        <f t="shared" si="1"/>
        <v/>
      </c>
      <c r="E6" s="17" t="str">
        <f>IF(A6="","",'41_Clasificacion_Empresas'!C6)</f>
        <v/>
      </c>
      <c r="F6" s="17" t="str">
        <f>IF(A6="","",'41_Clasificacion_Empresas'!E6)</f>
        <v/>
      </c>
      <c r="G6" s="17" t="str">
        <f>IF(A6="","",'41_Clasificacion_Empresas'!D6)</f>
        <v/>
      </c>
      <c r="H6" s="17" t="str">
        <f>IF(A6="","",'41_Clasificacion_Empresas'!D6)</f>
        <v/>
      </c>
      <c r="I6" s="17" t="str">
        <f t="shared" si="2"/>
        <v/>
      </c>
      <c r="J6" s="17" t="str">
        <f>IF(A6="","",'41_Clasificacion_Empresas'!F6)</f>
        <v/>
      </c>
      <c r="K6" s="17" t="str">
        <f>IF(A6="","",IF('41_Clasificacion_Empresas'!F6="A","Sí","No"))</f>
        <v/>
      </c>
      <c r="L6" s="17" t="str">
        <f>IF(A6="","",'41_Clasificacion_Empresas'!G6)</f>
        <v/>
      </c>
      <c r="M6" s="17" t="str">
        <f>IF(A6="","",IF('41_Clasificacion_Empresas'!F6="A","🟢 Oportunidad","🟡 En investigación"))</f>
        <v/>
      </c>
      <c r="N6" s="17" t="str">
        <f>IF(A6="","",'41_Clasificacion_Empresas'!M6)</f>
        <v/>
      </c>
      <c r="O6" s="16" t="str">
        <f t="shared" ca="1" si="3"/>
        <v/>
      </c>
      <c r="P6" s="17" t="str">
        <f t="shared" si="4"/>
        <v/>
      </c>
    </row>
    <row r="7" spans="1:16">
      <c r="A7" s="37"/>
      <c r="B7" s="16" t="str">
        <f t="shared" ca="1" si="0"/>
        <v/>
      </c>
      <c r="C7" s="17" t="str">
        <f>IF(A7="","",'41_Clasificacion_Empresas'!C7)</f>
        <v/>
      </c>
      <c r="D7" s="17" t="str">
        <f t="shared" si="1"/>
        <v/>
      </c>
      <c r="E7" s="17" t="str">
        <f>IF(A7="","",'41_Clasificacion_Empresas'!C7)</f>
        <v/>
      </c>
      <c r="F7" s="17" t="str">
        <f>IF(A7="","",'41_Clasificacion_Empresas'!E7)</f>
        <v/>
      </c>
      <c r="G7" s="17" t="str">
        <f>IF(A7="","",'41_Clasificacion_Empresas'!D7)</f>
        <v/>
      </c>
      <c r="H7" s="17" t="str">
        <f>IF(A7="","",'41_Clasificacion_Empresas'!D7)</f>
        <v/>
      </c>
      <c r="I7" s="17" t="str">
        <f t="shared" si="2"/>
        <v/>
      </c>
      <c r="J7" s="17" t="str">
        <f>IF(A7="","",'41_Clasificacion_Empresas'!F7)</f>
        <v/>
      </c>
      <c r="K7" s="17" t="str">
        <f>IF(A7="","",IF('41_Clasificacion_Empresas'!F7="A","Sí","No"))</f>
        <v/>
      </c>
      <c r="L7" s="17" t="str">
        <f>IF(A7="","",'41_Clasificacion_Empresas'!G7)</f>
        <v/>
      </c>
      <c r="M7" s="17" t="str">
        <f>IF(A7="","",IF('41_Clasificacion_Empresas'!F7="A","🟢 Oportunidad","🟡 En investigación"))</f>
        <v/>
      </c>
      <c r="N7" s="17" t="str">
        <f>IF(A7="","",'41_Clasificacion_Empresas'!M7)</f>
        <v/>
      </c>
      <c r="O7" s="16" t="str">
        <f t="shared" ca="1" si="3"/>
        <v/>
      </c>
      <c r="P7" s="17" t="str">
        <f t="shared" si="4"/>
        <v/>
      </c>
    </row>
    <row r="8" spans="1:16">
      <c r="A8" s="37"/>
      <c r="B8" s="16" t="str">
        <f t="shared" ca="1" si="0"/>
        <v/>
      </c>
      <c r="C8" s="17" t="str">
        <f>IF(A8="","",'41_Clasificacion_Empresas'!C8)</f>
        <v/>
      </c>
      <c r="D8" s="17" t="str">
        <f t="shared" si="1"/>
        <v/>
      </c>
      <c r="E8" s="17" t="str">
        <f>IF(A8="","",'41_Clasificacion_Empresas'!C8)</f>
        <v/>
      </c>
      <c r="F8" s="17" t="str">
        <f>IF(A8="","",'41_Clasificacion_Empresas'!E8)</f>
        <v/>
      </c>
      <c r="G8" s="17" t="str">
        <f>IF(A8="","",'41_Clasificacion_Empresas'!D8)</f>
        <v/>
      </c>
      <c r="H8" s="17" t="str">
        <f>IF(A8="","",'41_Clasificacion_Empresas'!D8)</f>
        <v/>
      </c>
      <c r="I8" s="17" t="str">
        <f t="shared" si="2"/>
        <v/>
      </c>
      <c r="J8" s="17" t="str">
        <f>IF(A8="","",'41_Clasificacion_Empresas'!F8)</f>
        <v/>
      </c>
      <c r="K8" s="17" t="str">
        <f>IF(A8="","",IF('41_Clasificacion_Empresas'!F8="A","Sí","No"))</f>
        <v/>
      </c>
      <c r="L8" s="17" t="str">
        <f>IF(A8="","",'41_Clasificacion_Empresas'!G8)</f>
        <v/>
      </c>
      <c r="M8" s="17" t="str">
        <f>IF(A8="","",IF('41_Clasificacion_Empresas'!F8="A","🟢 Oportunidad","🟡 En investigación"))</f>
        <v/>
      </c>
      <c r="N8" s="17" t="str">
        <f>IF(A8="","",'41_Clasificacion_Empresas'!M8)</f>
        <v/>
      </c>
      <c r="O8" s="16" t="str">
        <f t="shared" ca="1" si="3"/>
        <v/>
      </c>
      <c r="P8" s="17" t="str">
        <f t="shared" si="4"/>
        <v/>
      </c>
    </row>
    <row r="9" spans="1:16">
      <c r="A9" s="37"/>
      <c r="B9" s="16" t="str">
        <f t="shared" ca="1" si="0"/>
        <v/>
      </c>
      <c r="C9" s="17" t="str">
        <f>IF(A9="","",'41_Clasificacion_Empresas'!C9)</f>
        <v/>
      </c>
      <c r="D9" s="17" t="str">
        <f t="shared" si="1"/>
        <v/>
      </c>
      <c r="E9" s="17" t="str">
        <f>IF(A9="","",'41_Clasificacion_Empresas'!C9)</f>
        <v/>
      </c>
      <c r="F9" s="17" t="str">
        <f>IF(A9="","",'41_Clasificacion_Empresas'!E9)</f>
        <v/>
      </c>
      <c r="G9" s="17" t="str">
        <f>IF(A9="","",'41_Clasificacion_Empresas'!D9)</f>
        <v/>
      </c>
      <c r="H9" s="17" t="str">
        <f>IF(A9="","",'41_Clasificacion_Empresas'!D9)</f>
        <v/>
      </c>
      <c r="I9" s="17" t="str">
        <f t="shared" si="2"/>
        <v/>
      </c>
      <c r="J9" s="17" t="str">
        <f>IF(A9="","",'41_Clasificacion_Empresas'!F9)</f>
        <v/>
      </c>
      <c r="K9" s="17" t="str">
        <f>IF(A9="","",IF('41_Clasificacion_Empresas'!F9="A","Sí","No"))</f>
        <v/>
      </c>
      <c r="L9" s="17" t="str">
        <f>IF(A9="","",'41_Clasificacion_Empresas'!G9)</f>
        <v/>
      </c>
      <c r="M9" s="17" t="str">
        <f>IF(A9="","",IF('41_Clasificacion_Empresas'!F9="A","🟢 Oportunidad","🟡 En investigación"))</f>
        <v/>
      </c>
      <c r="N9" s="17" t="str">
        <f>IF(A9="","",'41_Clasificacion_Empresas'!M9)</f>
        <v/>
      </c>
      <c r="O9" s="16" t="str">
        <f t="shared" ca="1" si="3"/>
        <v/>
      </c>
      <c r="P9" s="17" t="str">
        <f t="shared" si="4"/>
        <v/>
      </c>
    </row>
    <row r="10" spans="1:16">
      <c r="A10" s="37"/>
      <c r="B10" s="16" t="str">
        <f t="shared" ca="1" si="0"/>
        <v/>
      </c>
      <c r="C10" s="17" t="str">
        <f>IF(A10="","",'41_Clasificacion_Empresas'!C10)</f>
        <v/>
      </c>
      <c r="D10" s="17" t="str">
        <f t="shared" si="1"/>
        <v/>
      </c>
      <c r="E10" s="17" t="str">
        <f>IF(A10="","",'41_Clasificacion_Empresas'!C10)</f>
        <v/>
      </c>
      <c r="F10" s="17" t="str">
        <f>IF(A10="","",'41_Clasificacion_Empresas'!E10)</f>
        <v/>
      </c>
      <c r="G10" s="17" t="str">
        <f>IF(A10="","",'41_Clasificacion_Empresas'!D10)</f>
        <v/>
      </c>
      <c r="H10" s="17" t="str">
        <f>IF(A10="","",'41_Clasificacion_Empresas'!D10)</f>
        <v/>
      </c>
      <c r="I10" s="17" t="str">
        <f t="shared" si="2"/>
        <v/>
      </c>
      <c r="J10" s="17" t="str">
        <f>IF(A10="","",'41_Clasificacion_Empresas'!F10)</f>
        <v/>
      </c>
      <c r="K10" s="17" t="str">
        <f>IF(A10="","",IF('41_Clasificacion_Empresas'!F10="A","Sí","No"))</f>
        <v/>
      </c>
      <c r="L10" s="17" t="str">
        <f>IF(A10="","",'41_Clasificacion_Empresas'!G10)</f>
        <v/>
      </c>
      <c r="M10" s="17" t="str">
        <f>IF(A10="","",IF('41_Clasificacion_Empresas'!F10="A","🟢 Oportunidad","🟡 En investigación"))</f>
        <v/>
      </c>
      <c r="N10" s="17" t="str">
        <f>IF(A10="","",'41_Clasificacion_Empresas'!M10)</f>
        <v/>
      </c>
      <c r="O10" s="16" t="str">
        <f t="shared" ca="1" si="3"/>
        <v/>
      </c>
      <c r="P10" s="17" t="str">
        <f t="shared" si="4"/>
        <v/>
      </c>
    </row>
    <row r="11" spans="1:16" ht="1.9" customHeight="1">
      <c r="A11" s="37"/>
      <c r="B11" s="16" t="str">
        <f t="shared" ca="1" si="0"/>
        <v/>
      </c>
      <c r="C11" s="17" t="str">
        <f>IF(A11="","",'41_Clasificacion_Empresas'!C11)</f>
        <v/>
      </c>
      <c r="D11" s="17" t="str">
        <f t="shared" si="1"/>
        <v/>
      </c>
      <c r="E11" s="17" t="str">
        <f>IF(A11="","",'41_Clasificacion_Empresas'!C11)</f>
        <v/>
      </c>
      <c r="F11" s="17" t="str">
        <f>IF(A11="","",'41_Clasificacion_Empresas'!E11)</f>
        <v/>
      </c>
      <c r="G11" s="17" t="str">
        <f>IF(A11="","",'41_Clasificacion_Empresas'!D11)</f>
        <v/>
      </c>
      <c r="H11" s="17" t="str">
        <f>IF(A11="","",'41_Clasificacion_Empresas'!D11)</f>
        <v/>
      </c>
      <c r="I11" s="17" t="str">
        <f t="shared" si="2"/>
        <v/>
      </c>
      <c r="J11" s="17" t="str">
        <f>IF(A11="","",'41_Clasificacion_Empresas'!F11)</f>
        <v/>
      </c>
      <c r="K11" s="17" t="str">
        <f>IF(A11="","",IF('41_Clasificacion_Empresas'!F11="A","Sí","No"))</f>
        <v/>
      </c>
      <c r="L11" s="17" t="str">
        <f>IF(A11="","",'41_Clasificacion_Empresas'!G11)</f>
        <v/>
      </c>
      <c r="M11" s="17" t="str">
        <f>IF(A11="","",IF('41_Clasificacion_Empresas'!F11="A","🟢 Oportunidad","🟡 En investigación"))</f>
        <v/>
      </c>
      <c r="N11" s="17" t="str">
        <f>IF(A11="","",'41_Clasificacion_Empresas'!M11)</f>
        <v/>
      </c>
      <c r="O11" s="16" t="str">
        <f t="shared" ca="1" si="3"/>
        <v/>
      </c>
      <c r="P11" s="17" t="str">
        <f t="shared" si="4"/>
        <v/>
      </c>
    </row>
    <row r="12" spans="1:16" ht="1.9" customHeight="1">
      <c r="A12" s="37"/>
      <c r="B12" s="16" t="str">
        <f t="shared" ca="1" si="0"/>
        <v/>
      </c>
      <c r="C12" s="17" t="str">
        <f>IF(A12="","",'41_Clasificacion_Empresas'!C12)</f>
        <v/>
      </c>
      <c r="D12" s="17" t="str">
        <f t="shared" si="1"/>
        <v/>
      </c>
      <c r="E12" s="17" t="str">
        <f>IF(A12="","",'41_Clasificacion_Empresas'!C12)</f>
        <v/>
      </c>
      <c r="F12" s="17" t="str">
        <f>IF(A12="","",'41_Clasificacion_Empresas'!E12)</f>
        <v/>
      </c>
      <c r="G12" s="17" t="str">
        <f>IF(A12="","",'41_Clasificacion_Empresas'!D12)</f>
        <v/>
      </c>
      <c r="H12" s="17" t="str">
        <f>IF(A12="","",'41_Clasificacion_Empresas'!D12)</f>
        <v/>
      </c>
      <c r="I12" s="17" t="str">
        <f t="shared" si="2"/>
        <v/>
      </c>
      <c r="J12" s="17" t="str">
        <f>IF(A12="","",'41_Clasificacion_Empresas'!F12)</f>
        <v/>
      </c>
      <c r="K12" s="17" t="str">
        <f>IF(A12="","",IF('41_Clasificacion_Empresas'!F12="A","Sí","No"))</f>
        <v/>
      </c>
      <c r="L12" s="17" t="str">
        <f>IF(A12="","",'41_Clasificacion_Empresas'!G12)</f>
        <v/>
      </c>
      <c r="M12" s="17" t="str">
        <f>IF(A12="","",IF('41_Clasificacion_Empresas'!F12="A","🟢 Oportunidad","🟡 En investigación"))</f>
        <v/>
      </c>
      <c r="N12" s="17" t="str">
        <f>IF(A12="","",'41_Clasificacion_Empresas'!M12)</f>
        <v/>
      </c>
      <c r="O12" s="16" t="str">
        <f t="shared" ca="1" si="3"/>
        <v/>
      </c>
      <c r="P12" s="17" t="str">
        <f t="shared" si="4"/>
        <v/>
      </c>
    </row>
    <row r="13" spans="1:16" ht="1.9" customHeight="1">
      <c r="A13" s="37"/>
      <c r="B13" s="16" t="str">
        <f t="shared" ca="1" si="0"/>
        <v/>
      </c>
      <c r="C13" s="17" t="str">
        <f>IF(A13="","",'41_Clasificacion_Empresas'!C13)</f>
        <v/>
      </c>
      <c r="D13" s="17" t="str">
        <f t="shared" si="1"/>
        <v/>
      </c>
      <c r="E13" s="17" t="str">
        <f>IF(A13="","",'41_Clasificacion_Empresas'!C13)</f>
        <v/>
      </c>
      <c r="F13" s="17" t="str">
        <f>IF(A13="","",'41_Clasificacion_Empresas'!E13)</f>
        <v/>
      </c>
      <c r="G13" s="17" t="str">
        <f>IF(A13="","",'41_Clasificacion_Empresas'!D13)</f>
        <v/>
      </c>
      <c r="H13" s="17" t="str">
        <f>IF(A13="","",'41_Clasificacion_Empresas'!D13)</f>
        <v/>
      </c>
      <c r="I13" s="17" t="str">
        <f t="shared" si="2"/>
        <v/>
      </c>
      <c r="J13" s="17" t="str">
        <f>IF(A13="","",'41_Clasificacion_Empresas'!F13)</f>
        <v/>
      </c>
      <c r="K13" s="17" t="str">
        <f>IF(A13="","",IF('41_Clasificacion_Empresas'!F13="A","Sí","No"))</f>
        <v/>
      </c>
      <c r="L13" s="17" t="str">
        <f>IF(A13="","",'41_Clasificacion_Empresas'!G13)</f>
        <v/>
      </c>
      <c r="M13" s="17" t="str">
        <f>IF(A13="","",IF('41_Clasificacion_Empresas'!F13="A","🟢 Oportunidad","🟡 En investigación"))</f>
        <v/>
      </c>
      <c r="N13" s="17" t="str">
        <f>IF(A13="","",'41_Clasificacion_Empresas'!M13)</f>
        <v/>
      </c>
      <c r="O13" s="16" t="str">
        <f t="shared" ca="1" si="3"/>
        <v/>
      </c>
      <c r="P13" s="17" t="str">
        <f t="shared" si="4"/>
        <v/>
      </c>
    </row>
    <row r="14" spans="1:16" ht="1.9" customHeight="1">
      <c r="A14" s="37"/>
      <c r="B14" s="16" t="str">
        <f t="shared" ca="1" si="0"/>
        <v/>
      </c>
      <c r="C14" s="17" t="str">
        <f>IF(A14="","",'41_Clasificacion_Empresas'!C14)</f>
        <v/>
      </c>
      <c r="D14" s="17" t="str">
        <f t="shared" si="1"/>
        <v/>
      </c>
      <c r="E14" s="17" t="str">
        <f>IF(A14="","",'41_Clasificacion_Empresas'!C14)</f>
        <v/>
      </c>
      <c r="F14" s="17" t="str">
        <f>IF(A14="","",'41_Clasificacion_Empresas'!E14)</f>
        <v/>
      </c>
      <c r="G14" s="17" t="str">
        <f>IF(A14="","",'41_Clasificacion_Empresas'!D14)</f>
        <v/>
      </c>
      <c r="H14" s="17" t="str">
        <f>IF(A14="","",'41_Clasificacion_Empresas'!D14)</f>
        <v/>
      </c>
      <c r="I14" s="17" t="str">
        <f t="shared" si="2"/>
        <v/>
      </c>
      <c r="J14" s="17" t="str">
        <f>IF(A14="","",'41_Clasificacion_Empresas'!F14)</f>
        <v/>
      </c>
      <c r="K14" s="17" t="str">
        <f>IF(A14="","",IF('41_Clasificacion_Empresas'!F14="A","Sí","No"))</f>
        <v/>
      </c>
      <c r="L14" s="17" t="str">
        <f>IF(A14="","",'41_Clasificacion_Empresas'!G14)</f>
        <v/>
      </c>
      <c r="M14" s="17" t="str">
        <f>IF(A14="","",IF('41_Clasificacion_Empresas'!F14="A","🟢 Oportunidad","🟡 En investigación"))</f>
        <v/>
      </c>
      <c r="N14" s="17" t="str">
        <f>IF(A14="","",'41_Clasificacion_Empresas'!M14)</f>
        <v/>
      </c>
      <c r="O14" s="16" t="str">
        <f t="shared" ca="1" si="3"/>
        <v/>
      </c>
      <c r="P14" s="17" t="str">
        <f t="shared" si="4"/>
        <v/>
      </c>
    </row>
    <row r="15" spans="1:16" ht="1.9" customHeight="1">
      <c r="A15" s="37"/>
      <c r="B15" s="16" t="str">
        <f t="shared" ca="1" si="0"/>
        <v/>
      </c>
      <c r="C15" s="17" t="str">
        <f>IF(A15="","",'41_Clasificacion_Empresas'!C15)</f>
        <v/>
      </c>
      <c r="D15" s="17" t="str">
        <f t="shared" si="1"/>
        <v/>
      </c>
      <c r="E15" s="17" t="str">
        <f>IF(A15="","",'41_Clasificacion_Empresas'!C15)</f>
        <v/>
      </c>
      <c r="F15" s="17" t="str">
        <f>IF(A15="","",'41_Clasificacion_Empresas'!E15)</f>
        <v/>
      </c>
      <c r="G15" s="17" t="str">
        <f>IF(A15="","",'41_Clasificacion_Empresas'!D15)</f>
        <v/>
      </c>
      <c r="H15" s="17" t="str">
        <f>IF(A15="","",'41_Clasificacion_Empresas'!D15)</f>
        <v/>
      </c>
      <c r="I15" s="17" t="str">
        <f t="shared" si="2"/>
        <v/>
      </c>
      <c r="J15" s="17" t="str">
        <f>IF(A15="","",'41_Clasificacion_Empresas'!F15)</f>
        <v/>
      </c>
      <c r="K15" s="17" t="str">
        <f>IF(A15="","",IF('41_Clasificacion_Empresas'!F15="A","Sí","No"))</f>
        <v/>
      </c>
      <c r="L15" s="17" t="str">
        <f>IF(A15="","",'41_Clasificacion_Empresas'!G15)</f>
        <v/>
      </c>
      <c r="M15" s="17" t="str">
        <f>IF(A15="","",IF('41_Clasificacion_Empresas'!F15="A","🟢 Oportunidad","🟡 En investigación"))</f>
        <v/>
      </c>
      <c r="N15" s="17" t="str">
        <f>IF(A15="","",'41_Clasificacion_Empresas'!M15)</f>
        <v/>
      </c>
      <c r="O15" s="16" t="str">
        <f t="shared" ca="1" si="3"/>
        <v/>
      </c>
      <c r="P15" s="17" t="str">
        <f t="shared" si="4"/>
        <v/>
      </c>
    </row>
    <row r="16" spans="1:16" ht="1.9" customHeight="1">
      <c r="A16" s="37"/>
      <c r="B16" s="16" t="str">
        <f t="shared" ca="1" si="0"/>
        <v/>
      </c>
      <c r="C16" s="17" t="str">
        <f>IF(A16="","",'41_Clasificacion_Empresas'!C16)</f>
        <v/>
      </c>
      <c r="D16" s="17" t="str">
        <f t="shared" si="1"/>
        <v/>
      </c>
      <c r="E16" s="17" t="str">
        <f>IF(A16="","",'41_Clasificacion_Empresas'!C16)</f>
        <v/>
      </c>
      <c r="F16" s="17" t="str">
        <f>IF(A16="","",'41_Clasificacion_Empresas'!E16)</f>
        <v/>
      </c>
      <c r="G16" s="17" t="str">
        <f>IF(A16="","",'41_Clasificacion_Empresas'!D16)</f>
        <v/>
      </c>
      <c r="H16" s="17" t="str">
        <f>IF(A16="","",'41_Clasificacion_Empresas'!D16)</f>
        <v/>
      </c>
      <c r="I16" s="17" t="str">
        <f t="shared" si="2"/>
        <v/>
      </c>
      <c r="J16" s="17" t="str">
        <f>IF(A16="","",'41_Clasificacion_Empresas'!F16)</f>
        <v/>
      </c>
      <c r="K16" s="17" t="str">
        <f>IF(A16="","",IF('41_Clasificacion_Empresas'!F16="A","Sí","No"))</f>
        <v/>
      </c>
      <c r="L16" s="17" t="str">
        <f>IF(A16="","",'41_Clasificacion_Empresas'!G16)</f>
        <v/>
      </c>
      <c r="M16" s="17" t="str">
        <f>IF(A16="","",IF('41_Clasificacion_Empresas'!F16="A","🟢 Oportunidad","🟡 En investigación"))</f>
        <v/>
      </c>
      <c r="N16" s="17" t="str">
        <f>IF(A16="","",'41_Clasificacion_Empresas'!M16)</f>
        <v/>
      </c>
      <c r="O16" s="16" t="str">
        <f t="shared" ca="1" si="3"/>
        <v/>
      </c>
      <c r="P16" s="17" t="str">
        <f t="shared" si="4"/>
        <v/>
      </c>
    </row>
    <row r="17" spans="1:16" ht="1.9" customHeight="1">
      <c r="A17" s="37"/>
      <c r="B17" s="16" t="str">
        <f t="shared" ca="1" si="0"/>
        <v/>
      </c>
      <c r="C17" s="17" t="str">
        <f>IF(A17="","",'41_Clasificacion_Empresas'!C17)</f>
        <v/>
      </c>
      <c r="D17" s="17" t="str">
        <f t="shared" si="1"/>
        <v/>
      </c>
      <c r="E17" s="17" t="str">
        <f>IF(A17="","",'41_Clasificacion_Empresas'!C17)</f>
        <v/>
      </c>
      <c r="F17" s="17" t="str">
        <f>IF(A17="","",'41_Clasificacion_Empresas'!E17)</f>
        <v/>
      </c>
      <c r="G17" s="17" t="str">
        <f>IF(A17="","",'41_Clasificacion_Empresas'!D17)</f>
        <v/>
      </c>
      <c r="H17" s="17" t="str">
        <f>IF(A17="","",'41_Clasificacion_Empresas'!D17)</f>
        <v/>
      </c>
      <c r="I17" s="17" t="str">
        <f t="shared" si="2"/>
        <v/>
      </c>
      <c r="J17" s="17" t="str">
        <f>IF(A17="","",'41_Clasificacion_Empresas'!F17)</f>
        <v/>
      </c>
      <c r="K17" s="17" t="str">
        <f>IF(A17="","",IF('41_Clasificacion_Empresas'!F17="A","Sí","No"))</f>
        <v/>
      </c>
      <c r="L17" s="17" t="str">
        <f>IF(A17="","",'41_Clasificacion_Empresas'!G17)</f>
        <v/>
      </c>
      <c r="M17" s="17" t="str">
        <f>IF(A17="","",IF('41_Clasificacion_Empresas'!F17="A","🟢 Oportunidad","🟡 En investigación"))</f>
        <v/>
      </c>
      <c r="N17" s="17" t="str">
        <f>IF(A17="","",'41_Clasificacion_Empresas'!M17)</f>
        <v/>
      </c>
      <c r="O17" s="16" t="str">
        <f t="shared" ca="1" si="3"/>
        <v/>
      </c>
      <c r="P17" s="17" t="str">
        <f t="shared" si="4"/>
        <v/>
      </c>
    </row>
    <row r="18" spans="1:16" ht="1.9" customHeight="1">
      <c r="A18" s="37"/>
      <c r="B18" s="16" t="str">
        <f t="shared" ca="1" si="0"/>
        <v/>
      </c>
      <c r="C18" s="17" t="str">
        <f>IF(A18="","",'41_Clasificacion_Empresas'!C18)</f>
        <v/>
      </c>
      <c r="D18" s="17" t="str">
        <f t="shared" si="1"/>
        <v/>
      </c>
      <c r="E18" s="17" t="str">
        <f>IF(A18="","",'41_Clasificacion_Empresas'!C18)</f>
        <v/>
      </c>
      <c r="F18" s="17" t="str">
        <f>IF(A18="","",'41_Clasificacion_Empresas'!E18)</f>
        <v/>
      </c>
      <c r="G18" s="17" t="str">
        <f>IF(A18="","",'41_Clasificacion_Empresas'!D18)</f>
        <v/>
      </c>
      <c r="H18" s="17" t="str">
        <f>IF(A18="","",'41_Clasificacion_Empresas'!D18)</f>
        <v/>
      </c>
      <c r="I18" s="17" t="str">
        <f t="shared" si="2"/>
        <v/>
      </c>
      <c r="J18" s="17" t="str">
        <f>IF(A18="","",'41_Clasificacion_Empresas'!F18)</f>
        <v/>
      </c>
      <c r="K18" s="17" t="str">
        <f>IF(A18="","",IF('41_Clasificacion_Empresas'!F18="A","Sí","No"))</f>
        <v/>
      </c>
      <c r="L18" s="17" t="str">
        <f>IF(A18="","",'41_Clasificacion_Empresas'!G18)</f>
        <v/>
      </c>
      <c r="M18" s="17" t="str">
        <f>IF(A18="","",IF('41_Clasificacion_Empresas'!F18="A","🟢 Oportunidad","🟡 En investigación"))</f>
        <v/>
      </c>
      <c r="N18" s="17" t="str">
        <f>IF(A18="","",'41_Clasificacion_Empresas'!M18)</f>
        <v/>
      </c>
      <c r="O18" s="16" t="str">
        <f t="shared" ca="1" si="3"/>
        <v/>
      </c>
      <c r="P18" s="17" t="str">
        <f t="shared" si="4"/>
        <v/>
      </c>
    </row>
    <row r="19" spans="1:16" ht="1.9" customHeight="1">
      <c r="A19" s="37"/>
      <c r="B19" s="16" t="str">
        <f t="shared" ca="1" si="0"/>
        <v/>
      </c>
      <c r="C19" s="17" t="str">
        <f>IF(A19="","",'41_Clasificacion_Empresas'!C19)</f>
        <v/>
      </c>
      <c r="D19" s="17" t="str">
        <f t="shared" si="1"/>
        <v/>
      </c>
      <c r="E19" s="17" t="str">
        <f>IF(A19="","",'41_Clasificacion_Empresas'!C19)</f>
        <v/>
      </c>
      <c r="F19" s="17" t="str">
        <f>IF(A19="","",'41_Clasificacion_Empresas'!E19)</f>
        <v/>
      </c>
      <c r="G19" s="17" t="str">
        <f>IF(A19="","",'41_Clasificacion_Empresas'!D19)</f>
        <v/>
      </c>
      <c r="H19" s="17" t="str">
        <f>IF(A19="","",'41_Clasificacion_Empresas'!D19)</f>
        <v/>
      </c>
      <c r="I19" s="17" t="str">
        <f t="shared" si="2"/>
        <v/>
      </c>
      <c r="J19" s="17" t="str">
        <f>IF(A19="","",'41_Clasificacion_Empresas'!F19)</f>
        <v/>
      </c>
      <c r="K19" s="17" t="str">
        <f>IF(A19="","",IF('41_Clasificacion_Empresas'!F19="A","Sí","No"))</f>
        <v/>
      </c>
      <c r="L19" s="17" t="str">
        <f>IF(A19="","",'41_Clasificacion_Empresas'!G19)</f>
        <v/>
      </c>
      <c r="M19" s="17" t="str">
        <f>IF(A19="","",IF('41_Clasificacion_Empresas'!F19="A","🟢 Oportunidad","🟡 En investigación"))</f>
        <v/>
      </c>
      <c r="N19" s="17" t="str">
        <f>IF(A19="","",'41_Clasificacion_Empresas'!M19)</f>
        <v/>
      </c>
      <c r="O19" s="16" t="str">
        <f t="shared" ca="1" si="3"/>
        <v/>
      </c>
      <c r="P19" s="17" t="str">
        <f t="shared" si="4"/>
        <v/>
      </c>
    </row>
    <row r="20" spans="1:16" ht="1.9" customHeight="1">
      <c r="A20" s="37"/>
      <c r="B20" s="16" t="str">
        <f t="shared" ca="1" si="0"/>
        <v/>
      </c>
      <c r="C20" s="17" t="str">
        <f>IF(A20="","",'41_Clasificacion_Empresas'!C20)</f>
        <v/>
      </c>
      <c r="D20" s="17" t="str">
        <f t="shared" si="1"/>
        <v/>
      </c>
      <c r="E20" s="17" t="str">
        <f>IF(A20="","",'41_Clasificacion_Empresas'!C20)</f>
        <v/>
      </c>
      <c r="F20" s="17" t="str">
        <f>IF(A20="","",'41_Clasificacion_Empresas'!E20)</f>
        <v/>
      </c>
      <c r="G20" s="17" t="str">
        <f>IF(A20="","",'41_Clasificacion_Empresas'!D20)</f>
        <v/>
      </c>
      <c r="H20" s="17" t="str">
        <f>IF(A20="","",'41_Clasificacion_Empresas'!D20)</f>
        <v/>
      </c>
      <c r="I20" s="17" t="str">
        <f t="shared" si="2"/>
        <v/>
      </c>
      <c r="J20" s="17" t="str">
        <f>IF(A20="","",'41_Clasificacion_Empresas'!F20)</f>
        <v/>
      </c>
      <c r="K20" s="17" t="str">
        <f>IF(A20="","",IF('41_Clasificacion_Empresas'!F20="A","Sí","No"))</f>
        <v/>
      </c>
      <c r="L20" s="17" t="str">
        <f>IF(A20="","",'41_Clasificacion_Empresas'!G20)</f>
        <v/>
      </c>
      <c r="M20" s="17" t="str">
        <f>IF(A20="","",IF('41_Clasificacion_Empresas'!F20="A","🟢 Oportunidad","🟡 En investigación"))</f>
        <v/>
      </c>
      <c r="N20" s="17" t="str">
        <f>IF(A20="","",'41_Clasificacion_Empresas'!M20)</f>
        <v/>
      </c>
      <c r="O20" s="16" t="str">
        <f t="shared" ca="1" si="3"/>
        <v/>
      </c>
      <c r="P20" s="17" t="str">
        <f t="shared" si="4"/>
        <v/>
      </c>
    </row>
    <row r="21" spans="1:16" ht="1.9" customHeight="1">
      <c r="A21" s="37"/>
      <c r="B21" s="16" t="str">
        <f t="shared" ca="1" si="0"/>
        <v/>
      </c>
      <c r="C21" s="17" t="str">
        <f>IF(A21="","",'41_Clasificacion_Empresas'!C21)</f>
        <v/>
      </c>
      <c r="D21" s="17" t="str">
        <f t="shared" si="1"/>
        <v/>
      </c>
      <c r="E21" s="17" t="str">
        <f>IF(A21="","",'41_Clasificacion_Empresas'!C21)</f>
        <v/>
      </c>
      <c r="F21" s="17" t="str">
        <f>IF(A21="","",'41_Clasificacion_Empresas'!E21)</f>
        <v/>
      </c>
      <c r="G21" s="17" t="str">
        <f>IF(A21="","",'41_Clasificacion_Empresas'!D21)</f>
        <v/>
      </c>
      <c r="H21" s="17" t="str">
        <f>IF(A21="","",'41_Clasificacion_Empresas'!D21)</f>
        <v/>
      </c>
      <c r="I21" s="17" t="str">
        <f t="shared" si="2"/>
        <v/>
      </c>
      <c r="J21" s="17" t="str">
        <f>IF(A21="","",'41_Clasificacion_Empresas'!F21)</f>
        <v/>
      </c>
      <c r="K21" s="17" t="str">
        <f>IF(A21="","",IF('41_Clasificacion_Empresas'!F21="A","Sí","No"))</f>
        <v/>
      </c>
      <c r="L21" s="17" t="str">
        <f>IF(A21="","",'41_Clasificacion_Empresas'!G21)</f>
        <v/>
      </c>
      <c r="M21" s="17" t="str">
        <f>IF(A21="","",IF('41_Clasificacion_Empresas'!F21="A","🟢 Oportunidad","🟡 En investigación"))</f>
        <v/>
      </c>
      <c r="N21" s="17" t="str">
        <f>IF(A21="","",'41_Clasificacion_Empresas'!M21)</f>
        <v/>
      </c>
      <c r="O21" s="16" t="str">
        <f t="shared" ca="1" si="3"/>
        <v/>
      </c>
      <c r="P21" s="17" t="str">
        <f t="shared" si="4"/>
        <v/>
      </c>
    </row>
    <row r="22" spans="1:16" ht="1.9" customHeight="1">
      <c r="A22" s="37"/>
      <c r="B22" s="16" t="str">
        <f t="shared" ca="1" si="0"/>
        <v/>
      </c>
      <c r="C22" s="17" t="str">
        <f>IF(A22="","",'41_Clasificacion_Empresas'!C22)</f>
        <v/>
      </c>
      <c r="D22" s="17" t="str">
        <f t="shared" si="1"/>
        <v/>
      </c>
      <c r="E22" s="17" t="str">
        <f>IF(A22="","",'41_Clasificacion_Empresas'!C22)</f>
        <v/>
      </c>
      <c r="F22" s="17" t="str">
        <f>IF(A22="","",'41_Clasificacion_Empresas'!E22)</f>
        <v/>
      </c>
      <c r="G22" s="17" t="str">
        <f>IF(A22="","",'41_Clasificacion_Empresas'!D22)</f>
        <v/>
      </c>
      <c r="H22" s="17" t="str">
        <f>IF(A22="","",'41_Clasificacion_Empresas'!D22)</f>
        <v/>
      </c>
      <c r="I22" s="17" t="str">
        <f t="shared" si="2"/>
        <v/>
      </c>
      <c r="J22" s="17" t="str">
        <f>IF(A22="","",'41_Clasificacion_Empresas'!F22)</f>
        <v/>
      </c>
      <c r="K22" s="17" t="str">
        <f>IF(A22="","",IF('41_Clasificacion_Empresas'!F22="A","Sí","No"))</f>
        <v/>
      </c>
      <c r="L22" s="17" t="str">
        <f>IF(A22="","",'41_Clasificacion_Empresas'!G22)</f>
        <v/>
      </c>
      <c r="M22" s="17" t="str">
        <f>IF(A22="","",IF('41_Clasificacion_Empresas'!F22="A","🟢 Oportunidad","🟡 En investigación"))</f>
        <v/>
      </c>
      <c r="N22" s="17" t="str">
        <f>IF(A22="","",'41_Clasificacion_Empresas'!M22)</f>
        <v/>
      </c>
      <c r="O22" s="16" t="str">
        <f t="shared" ca="1" si="3"/>
        <v/>
      </c>
      <c r="P22" s="17" t="str">
        <f t="shared" si="4"/>
        <v/>
      </c>
    </row>
    <row r="23" spans="1:16" ht="1.9" customHeight="1">
      <c r="A23" s="37"/>
      <c r="B23" s="16" t="str">
        <f t="shared" ca="1" si="0"/>
        <v/>
      </c>
      <c r="C23" s="17" t="str">
        <f>IF(A23="","",'41_Clasificacion_Empresas'!C23)</f>
        <v/>
      </c>
      <c r="D23" s="17" t="str">
        <f t="shared" si="1"/>
        <v/>
      </c>
      <c r="E23" s="17" t="str">
        <f>IF(A23="","",'41_Clasificacion_Empresas'!C23)</f>
        <v/>
      </c>
      <c r="F23" s="17" t="str">
        <f>IF(A23="","",'41_Clasificacion_Empresas'!E23)</f>
        <v/>
      </c>
      <c r="G23" s="17" t="str">
        <f>IF(A23="","",'41_Clasificacion_Empresas'!D23)</f>
        <v/>
      </c>
      <c r="H23" s="17" t="str">
        <f>IF(A23="","",'41_Clasificacion_Empresas'!D23)</f>
        <v/>
      </c>
      <c r="I23" s="17" t="str">
        <f t="shared" si="2"/>
        <v/>
      </c>
      <c r="J23" s="17" t="str">
        <f>IF(A23="","",'41_Clasificacion_Empresas'!F23)</f>
        <v/>
      </c>
      <c r="K23" s="17" t="str">
        <f>IF(A23="","",IF('41_Clasificacion_Empresas'!F23="A","Sí","No"))</f>
        <v/>
      </c>
      <c r="L23" s="17" t="str">
        <f>IF(A23="","",'41_Clasificacion_Empresas'!G23)</f>
        <v/>
      </c>
      <c r="M23" s="17" t="str">
        <f>IF(A23="","",IF('41_Clasificacion_Empresas'!F23="A","🟢 Oportunidad","🟡 En investigación"))</f>
        <v/>
      </c>
      <c r="N23" s="17" t="str">
        <f>IF(A23="","",'41_Clasificacion_Empresas'!M23)</f>
        <v/>
      </c>
      <c r="O23" s="16" t="str">
        <f t="shared" ca="1" si="3"/>
        <v/>
      </c>
      <c r="P23" s="17" t="str">
        <f t="shared" si="4"/>
        <v/>
      </c>
    </row>
    <row r="24" spans="1:16" ht="1.9" customHeight="1">
      <c r="A24" s="37"/>
      <c r="B24" s="16" t="str">
        <f t="shared" ca="1" si="0"/>
        <v/>
      </c>
      <c r="C24" s="17" t="str">
        <f>IF(A24="","",'41_Clasificacion_Empresas'!C24)</f>
        <v/>
      </c>
      <c r="D24" s="17" t="str">
        <f t="shared" si="1"/>
        <v/>
      </c>
      <c r="E24" s="17" t="str">
        <f>IF(A24="","",'41_Clasificacion_Empresas'!C24)</f>
        <v/>
      </c>
      <c r="F24" s="17" t="str">
        <f>IF(A24="","",'41_Clasificacion_Empresas'!E24)</f>
        <v/>
      </c>
      <c r="G24" s="17" t="str">
        <f>IF(A24="","",'41_Clasificacion_Empresas'!D24)</f>
        <v/>
      </c>
      <c r="H24" s="17" t="str">
        <f>IF(A24="","",'41_Clasificacion_Empresas'!D24)</f>
        <v/>
      </c>
      <c r="I24" s="17" t="str">
        <f t="shared" si="2"/>
        <v/>
      </c>
      <c r="J24" s="17" t="str">
        <f>IF(A24="","",'41_Clasificacion_Empresas'!F24)</f>
        <v/>
      </c>
      <c r="K24" s="17" t="str">
        <f>IF(A24="","",IF('41_Clasificacion_Empresas'!F24="A","Sí","No"))</f>
        <v/>
      </c>
      <c r="L24" s="17" t="str">
        <f>IF(A24="","",'41_Clasificacion_Empresas'!G24)</f>
        <v/>
      </c>
      <c r="M24" s="17" t="str">
        <f>IF(A24="","",IF('41_Clasificacion_Empresas'!F24="A","🟢 Oportunidad","🟡 En investigación"))</f>
        <v/>
      </c>
      <c r="N24" s="17" t="str">
        <f>IF(A24="","",'41_Clasificacion_Empresas'!M24)</f>
        <v/>
      </c>
      <c r="O24" s="16" t="str">
        <f t="shared" ca="1" si="3"/>
        <v/>
      </c>
      <c r="P24" s="17" t="str">
        <f t="shared" si="4"/>
        <v/>
      </c>
    </row>
    <row r="25" spans="1:16" ht="1.9" customHeight="1">
      <c r="A25" s="37"/>
      <c r="B25" s="16" t="str">
        <f t="shared" ca="1" si="0"/>
        <v/>
      </c>
      <c r="C25" s="17" t="str">
        <f>IF(A25="","",'41_Clasificacion_Empresas'!C25)</f>
        <v/>
      </c>
      <c r="D25" s="17" t="str">
        <f t="shared" si="1"/>
        <v/>
      </c>
      <c r="E25" s="17" t="str">
        <f>IF(A25="","",'41_Clasificacion_Empresas'!C25)</f>
        <v/>
      </c>
      <c r="F25" s="17" t="str">
        <f>IF(A25="","",'41_Clasificacion_Empresas'!E25)</f>
        <v/>
      </c>
      <c r="G25" s="17" t="str">
        <f>IF(A25="","",'41_Clasificacion_Empresas'!D25)</f>
        <v/>
      </c>
      <c r="H25" s="17" t="str">
        <f>IF(A25="","",'41_Clasificacion_Empresas'!D25)</f>
        <v/>
      </c>
      <c r="I25" s="17" t="str">
        <f t="shared" si="2"/>
        <v/>
      </c>
      <c r="J25" s="17" t="str">
        <f>IF(A25="","",'41_Clasificacion_Empresas'!F25)</f>
        <v/>
      </c>
      <c r="K25" s="17" t="str">
        <f>IF(A25="","",IF('41_Clasificacion_Empresas'!F25="A","Sí","No"))</f>
        <v/>
      </c>
      <c r="L25" s="17" t="str">
        <f>IF(A25="","",'41_Clasificacion_Empresas'!G25)</f>
        <v/>
      </c>
      <c r="M25" s="17" t="str">
        <f>IF(A25="","",IF('41_Clasificacion_Empresas'!F25="A","🟢 Oportunidad","🟡 En investigación"))</f>
        <v/>
      </c>
      <c r="N25" s="17" t="str">
        <f>IF(A25="","",'41_Clasificacion_Empresas'!M25)</f>
        <v/>
      </c>
      <c r="O25" s="16" t="str">
        <f t="shared" ca="1" si="3"/>
        <v/>
      </c>
      <c r="P25" s="17" t="str">
        <f t="shared" si="4"/>
        <v/>
      </c>
    </row>
    <row r="26" spans="1:16" ht="1.9" customHeight="1">
      <c r="A26" s="37"/>
      <c r="B26" s="16" t="str">
        <f t="shared" ca="1" si="0"/>
        <v/>
      </c>
      <c r="C26" s="17" t="str">
        <f>IF(A26="","",'41_Clasificacion_Empresas'!C26)</f>
        <v/>
      </c>
      <c r="D26" s="17" t="str">
        <f t="shared" si="1"/>
        <v/>
      </c>
      <c r="E26" s="17" t="str">
        <f>IF(A26="","",'41_Clasificacion_Empresas'!C26)</f>
        <v/>
      </c>
      <c r="F26" s="17" t="str">
        <f>IF(A26="","",'41_Clasificacion_Empresas'!E26)</f>
        <v/>
      </c>
      <c r="G26" s="17" t="str">
        <f>IF(A26="","",'41_Clasificacion_Empresas'!D26)</f>
        <v/>
      </c>
      <c r="H26" s="17" t="str">
        <f>IF(A26="","",'41_Clasificacion_Empresas'!D26)</f>
        <v/>
      </c>
      <c r="I26" s="17" t="str">
        <f t="shared" si="2"/>
        <v/>
      </c>
      <c r="J26" s="17" t="str">
        <f>IF(A26="","",'41_Clasificacion_Empresas'!F26)</f>
        <v/>
      </c>
      <c r="K26" s="17" t="str">
        <f>IF(A26="","",IF('41_Clasificacion_Empresas'!F26="A","Sí","No"))</f>
        <v/>
      </c>
      <c r="L26" s="17" t="str">
        <f>IF(A26="","",'41_Clasificacion_Empresas'!G26)</f>
        <v/>
      </c>
      <c r="M26" s="17" t="str">
        <f>IF(A26="","",IF('41_Clasificacion_Empresas'!F26="A","🟢 Oportunidad","🟡 En investigación"))</f>
        <v/>
      </c>
      <c r="N26" s="17" t="str">
        <f>IF(A26="","",'41_Clasificacion_Empresas'!M26)</f>
        <v/>
      </c>
      <c r="O26" s="16" t="str">
        <f t="shared" ca="1" si="3"/>
        <v/>
      </c>
      <c r="P26" s="17" t="str">
        <f t="shared" si="4"/>
        <v/>
      </c>
    </row>
    <row r="27" spans="1:16" ht="1.9" customHeight="1">
      <c r="A27" s="37"/>
      <c r="B27" s="16" t="str">
        <f t="shared" ca="1" si="0"/>
        <v/>
      </c>
      <c r="C27" s="17" t="str">
        <f>IF(A27="","",'41_Clasificacion_Empresas'!C27)</f>
        <v/>
      </c>
      <c r="D27" s="17" t="str">
        <f t="shared" si="1"/>
        <v/>
      </c>
      <c r="E27" s="17" t="str">
        <f>IF(A27="","",'41_Clasificacion_Empresas'!C27)</f>
        <v/>
      </c>
      <c r="F27" s="17" t="str">
        <f>IF(A27="","",'41_Clasificacion_Empresas'!E27)</f>
        <v/>
      </c>
      <c r="G27" s="17" t="str">
        <f>IF(A27="","",'41_Clasificacion_Empresas'!D27)</f>
        <v/>
      </c>
      <c r="H27" s="17" t="str">
        <f>IF(A27="","",'41_Clasificacion_Empresas'!D27)</f>
        <v/>
      </c>
      <c r="I27" s="17" t="str">
        <f t="shared" si="2"/>
        <v/>
      </c>
      <c r="J27" s="17" t="str">
        <f>IF(A27="","",'41_Clasificacion_Empresas'!F27)</f>
        <v/>
      </c>
      <c r="K27" s="17" t="str">
        <f>IF(A27="","",IF('41_Clasificacion_Empresas'!F27="A","Sí","No"))</f>
        <v/>
      </c>
      <c r="L27" s="17" t="str">
        <f>IF(A27="","",'41_Clasificacion_Empresas'!G27)</f>
        <v/>
      </c>
      <c r="M27" s="17" t="str">
        <f>IF(A27="","",IF('41_Clasificacion_Empresas'!F27="A","🟢 Oportunidad","🟡 En investigación"))</f>
        <v/>
      </c>
      <c r="N27" s="17" t="str">
        <f>IF(A27="","",'41_Clasificacion_Empresas'!M27)</f>
        <v/>
      </c>
      <c r="O27" s="16" t="str">
        <f t="shared" ca="1" si="3"/>
        <v/>
      </c>
      <c r="P27" s="17" t="str">
        <f t="shared" si="4"/>
        <v/>
      </c>
    </row>
    <row r="28" spans="1:16" ht="1.9" customHeight="1">
      <c r="A28" s="37"/>
      <c r="B28" s="16" t="str">
        <f t="shared" ca="1" si="0"/>
        <v/>
      </c>
      <c r="C28" s="17" t="str">
        <f>IF(A28="","",'41_Clasificacion_Empresas'!C28)</f>
        <v/>
      </c>
      <c r="D28" s="17" t="str">
        <f t="shared" si="1"/>
        <v/>
      </c>
      <c r="E28" s="17" t="str">
        <f>IF(A28="","",'41_Clasificacion_Empresas'!C28)</f>
        <v/>
      </c>
      <c r="F28" s="17" t="str">
        <f>IF(A28="","",'41_Clasificacion_Empresas'!E28)</f>
        <v/>
      </c>
      <c r="G28" s="17" t="str">
        <f>IF(A28="","",'41_Clasificacion_Empresas'!D28)</f>
        <v/>
      </c>
      <c r="H28" s="17" t="str">
        <f>IF(A28="","",'41_Clasificacion_Empresas'!D28)</f>
        <v/>
      </c>
      <c r="I28" s="17" t="str">
        <f t="shared" si="2"/>
        <v/>
      </c>
      <c r="J28" s="17" t="str">
        <f>IF(A28="","",'41_Clasificacion_Empresas'!F28)</f>
        <v/>
      </c>
      <c r="K28" s="17" t="str">
        <f>IF(A28="","",IF('41_Clasificacion_Empresas'!F28="A","Sí","No"))</f>
        <v/>
      </c>
      <c r="L28" s="17" t="str">
        <f>IF(A28="","",'41_Clasificacion_Empresas'!G28)</f>
        <v/>
      </c>
      <c r="M28" s="17" t="str">
        <f>IF(A28="","",IF('41_Clasificacion_Empresas'!F28="A","🟢 Oportunidad","🟡 En investigación"))</f>
        <v/>
      </c>
      <c r="N28" s="17" t="str">
        <f>IF(A28="","",'41_Clasificacion_Empresas'!M28)</f>
        <v/>
      </c>
      <c r="O28" s="16" t="str">
        <f t="shared" ca="1" si="3"/>
        <v/>
      </c>
      <c r="P28" s="17" t="str">
        <f t="shared" si="4"/>
        <v/>
      </c>
    </row>
    <row r="29" spans="1:16" ht="1.9" customHeight="1">
      <c r="A29" s="37"/>
      <c r="B29" s="16" t="str">
        <f t="shared" ca="1" si="0"/>
        <v/>
      </c>
      <c r="C29" s="17" t="str">
        <f>IF(A29="","",'41_Clasificacion_Empresas'!C29)</f>
        <v/>
      </c>
      <c r="D29" s="17" t="str">
        <f t="shared" si="1"/>
        <v/>
      </c>
      <c r="E29" s="17" t="str">
        <f>IF(A29="","",'41_Clasificacion_Empresas'!C29)</f>
        <v/>
      </c>
      <c r="F29" s="17" t="str">
        <f>IF(A29="","",'41_Clasificacion_Empresas'!E29)</f>
        <v/>
      </c>
      <c r="G29" s="17" t="str">
        <f>IF(A29="","",'41_Clasificacion_Empresas'!D29)</f>
        <v/>
      </c>
      <c r="H29" s="17" t="str">
        <f>IF(A29="","",'41_Clasificacion_Empresas'!D29)</f>
        <v/>
      </c>
      <c r="I29" s="17" t="str">
        <f t="shared" si="2"/>
        <v/>
      </c>
      <c r="J29" s="17" t="str">
        <f>IF(A29="","",'41_Clasificacion_Empresas'!F29)</f>
        <v/>
      </c>
      <c r="K29" s="17" t="str">
        <f>IF(A29="","",IF('41_Clasificacion_Empresas'!F29="A","Sí","No"))</f>
        <v/>
      </c>
      <c r="L29" s="17" t="str">
        <f>IF(A29="","",'41_Clasificacion_Empresas'!G29)</f>
        <v/>
      </c>
      <c r="M29" s="17" t="str">
        <f>IF(A29="","",IF('41_Clasificacion_Empresas'!F29="A","🟢 Oportunidad","🟡 En investigación"))</f>
        <v/>
      </c>
      <c r="N29" s="17" t="str">
        <f>IF(A29="","",'41_Clasificacion_Empresas'!M29)</f>
        <v/>
      </c>
      <c r="O29" s="16" t="str">
        <f t="shared" ca="1" si="3"/>
        <v/>
      </c>
      <c r="P29" s="17" t="str">
        <f t="shared" si="4"/>
        <v/>
      </c>
    </row>
    <row r="30" spans="1:16" ht="1.9" customHeight="1">
      <c r="A30" s="37"/>
      <c r="B30" s="16" t="str">
        <f t="shared" ca="1" si="0"/>
        <v/>
      </c>
      <c r="C30" s="17" t="str">
        <f>IF(A30="","",'41_Clasificacion_Empresas'!C30)</f>
        <v/>
      </c>
      <c r="D30" s="17" t="str">
        <f t="shared" si="1"/>
        <v/>
      </c>
      <c r="E30" s="17" t="str">
        <f>IF(A30="","",'41_Clasificacion_Empresas'!C30)</f>
        <v/>
      </c>
      <c r="F30" s="17" t="str">
        <f>IF(A30="","",'41_Clasificacion_Empresas'!E30)</f>
        <v/>
      </c>
      <c r="G30" s="17" t="str">
        <f>IF(A30="","",'41_Clasificacion_Empresas'!D30)</f>
        <v/>
      </c>
      <c r="H30" s="17" t="str">
        <f>IF(A30="","",'41_Clasificacion_Empresas'!D30)</f>
        <v/>
      </c>
      <c r="I30" s="17" t="str">
        <f t="shared" si="2"/>
        <v/>
      </c>
      <c r="J30" s="17" t="str">
        <f>IF(A30="","",'41_Clasificacion_Empresas'!F30)</f>
        <v/>
      </c>
      <c r="K30" s="17" t="str">
        <f>IF(A30="","",IF('41_Clasificacion_Empresas'!F30="A","Sí","No"))</f>
        <v/>
      </c>
      <c r="L30" s="17" t="str">
        <f>IF(A30="","",'41_Clasificacion_Empresas'!G30)</f>
        <v/>
      </c>
      <c r="M30" s="17" t="str">
        <f>IF(A30="","",IF('41_Clasificacion_Empresas'!F30="A","🟢 Oportunidad","🟡 En investigación"))</f>
        <v/>
      </c>
      <c r="N30" s="17" t="str">
        <f>IF(A30="","",'41_Clasificacion_Empresas'!M30)</f>
        <v/>
      </c>
      <c r="O30" s="16" t="str">
        <f t="shared" ca="1" si="3"/>
        <v/>
      </c>
      <c r="P30" s="17" t="str">
        <f t="shared" si="4"/>
        <v/>
      </c>
    </row>
    <row r="31" spans="1:16" ht="1.9" customHeight="1">
      <c r="A31" s="37"/>
      <c r="B31" s="16" t="str">
        <f t="shared" ca="1" si="0"/>
        <v/>
      </c>
      <c r="C31" s="17" t="str">
        <f>IF(A31="","",'41_Clasificacion_Empresas'!C31)</f>
        <v/>
      </c>
      <c r="D31" s="17" t="str">
        <f t="shared" si="1"/>
        <v/>
      </c>
      <c r="E31" s="17" t="str">
        <f>IF(A31="","",'41_Clasificacion_Empresas'!C31)</f>
        <v/>
      </c>
      <c r="F31" s="17" t="str">
        <f>IF(A31="","",'41_Clasificacion_Empresas'!E31)</f>
        <v/>
      </c>
      <c r="G31" s="17" t="str">
        <f>IF(A31="","",'41_Clasificacion_Empresas'!D31)</f>
        <v/>
      </c>
      <c r="H31" s="17" t="str">
        <f>IF(A31="","",'41_Clasificacion_Empresas'!D31)</f>
        <v/>
      </c>
      <c r="I31" s="17" t="str">
        <f t="shared" si="2"/>
        <v/>
      </c>
      <c r="J31" s="17" t="str">
        <f>IF(A31="","",'41_Clasificacion_Empresas'!F31)</f>
        <v/>
      </c>
      <c r="K31" s="17" t="str">
        <f>IF(A31="","",IF('41_Clasificacion_Empresas'!F31="A","Sí","No"))</f>
        <v/>
      </c>
      <c r="L31" s="17" t="str">
        <f>IF(A31="","",'41_Clasificacion_Empresas'!G31)</f>
        <v/>
      </c>
      <c r="M31" s="17" t="str">
        <f>IF(A31="","",IF('41_Clasificacion_Empresas'!F31="A","🟢 Oportunidad","🟡 En investigación"))</f>
        <v/>
      </c>
      <c r="N31" s="17" t="str">
        <f>IF(A31="","",'41_Clasificacion_Empresas'!M31)</f>
        <v/>
      </c>
      <c r="O31" s="16" t="str">
        <f t="shared" ca="1" si="3"/>
        <v/>
      </c>
      <c r="P31" s="17" t="str">
        <f t="shared" si="4"/>
        <v/>
      </c>
    </row>
    <row r="32" spans="1:16" ht="1.9" customHeight="1">
      <c r="A32" s="37"/>
      <c r="B32" s="16" t="str">
        <f t="shared" ca="1" si="0"/>
        <v/>
      </c>
      <c r="C32" s="17" t="str">
        <f>IF(A32="","",'41_Clasificacion_Empresas'!C32)</f>
        <v/>
      </c>
      <c r="D32" s="17" t="str">
        <f t="shared" si="1"/>
        <v/>
      </c>
      <c r="E32" s="17" t="str">
        <f>IF(A32="","",'41_Clasificacion_Empresas'!C32)</f>
        <v/>
      </c>
      <c r="F32" s="17" t="str">
        <f>IF(A32="","",'41_Clasificacion_Empresas'!E32)</f>
        <v/>
      </c>
      <c r="G32" s="17" t="str">
        <f>IF(A32="","",'41_Clasificacion_Empresas'!D32)</f>
        <v/>
      </c>
      <c r="H32" s="17" t="str">
        <f>IF(A32="","",'41_Clasificacion_Empresas'!D32)</f>
        <v/>
      </c>
      <c r="I32" s="17" t="str">
        <f t="shared" si="2"/>
        <v/>
      </c>
      <c r="J32" s="17" t="str">
        <f>IF(A32="","",'41_Clasificacion_Empresas'!F32)</f>
        <v/>
      </c>
      <c r="K32" s="17" t="str">
        <f>IF(A32="","",IF('41_Clasificacion_Empresas'!F32="A","Sí","No"))</f>
        <v/>
      </c>
      <c r="L32" s="17" t="str">
        <f>IF(A32="","",'41_Clasificacion_Empresas'!G32)</f>
        <v/>
      </c>
      <c r="M32" s="17" t="str">
        <f>IF(A32="","",IF('41_Clasificacion_Empresas'!F32="A","🟢 Oportunidad","🟡 En investigación"))</f>
        <v/>
      </c>
      <c r="N32" s="17" t="str">
        <f>IF(A32="","",'41_Clasificacion_Empresas'!M32)</f>
        <v/>
      </c>
      <c r="O32" s="16" t="str">
        <f t="shared" ca="1" si="3"/>
        <v/>
      </c>
      <c r="P32" s="17" t="str">
        <f t="shared" si="4"/>
        <v/>
      </c>
    </row>
    <row r="33" spans="1:16" ht="1.9" customHeight="1">
      <c r="A33" s="37"/>
      <c r="B33" s="16" t="str">
        <f t="shared" ca="1" si="0"/>
        <v/>
      </c>
      <c r="C33" s="17" t="str">
        <f>IF(A33="","",'41_Clasificacion_Empresas'!C33)</f>
        <v/>
      </c>
      <c r="D33" s="17" t="str">
        <f t="shared" si="1"/>
        <v/>
      </c>
      <c r="E33" s="17" t="str">
        <f>IF(A33="","",'41_Clasificacion_Empresas'!C33)</f>
        <v/>
      </c>
      <c r="F33" s="17" t="str">
        <f>IF(A33="","",'41_Clasificacion_Empresas'!E33)</f>
        <v/>
      </c>
      <c r="G33" s="17" t="str">
        <f>IF(A33="","",'41_Clasificacion_Empresas'!D33)</f>
        <v/>
      </c>
      <c r="H33" s="17" t="str">
        <f>IF(A33="","",'41_Clasificacion_Empresas'!D33)</f>
        <v/>
      </c>
      <c r="I33" s="17" t="str">
        <f t="shared" si="2"/>
        <v/>
      </c>
      <c r="J33" s="17" t="str">
        <f>IF(A33="","",'41_Clasificacion_Empresas'!F33)</f>
        <v/>
      </c>
      <c r="K33" s="17" t="str">
        <f>IF(A33="","",IF('41_Clasificacion_Empresas'!F33="A","Sí","No"))</f>
        <v/>
      </c>
      <c r="L33" s="17" t="str">
        <f>IF(A33="","",'41_Clasificacion_Empresas'!G33)</f>
        <v/>
      </c>
      <c r="M33" s="17" t="str">
        <f>IF(A33="","",IF('41_Clasificacion_Empresas'!F33="A","🟢 Oportunidad","🟡 En investigación"))</f>
        <v/>
      </c>
      <c r="N33" s="17" t="str">
        <f>IF(A33="","",'41_Clasificacion_Empresas'!M33)</f>
        <v/>
      </c>
      <c r="O33" s="16" t="str">
        <f t="shared" ca="1" si="3"/>
        <v/>
      </c>
      <c r="P33" s="17" t="str">
        <f t="shared" si="4"/>
        <v/>
      </c>
    </row>
    <row r="34" spans="1:16" ht="1.9" customHeight="1">
      <c r="A34" s="37"/>
      <c r="B34" s="16" t="str">
        <f t="shared" ca="1" si="0"/>
        <v/>
      </c>
      <c r="C34" s="17" t="str">
        <f>IF(A34="","",'41_Clasificacion_Empresas'!C34)</f>
        <v/>
      </c>
      <c r="D34" s="17" t="str">
        <f t="shared" si="1"/>
        <v/>
      </c>
      <c r="E34" s="17" t="str">
        <f>IF(A34="","",'41_Clasificacion_Empresas'!C34)</f>
        <v/>
      </c>
      <c r="F34" s="17" t="str">
        <f>IF(A34="","",'41_Clasificacion_Empresas'!E34)</f>
        <v/>
      </c>
      <c r="G34" s="17" t="str">
        <f>IF(A34="","",'41_Clasificacion_Empresas'!D34)</f>
        <v/>
      </c>
      <c r="H34" s="17" t="str">
        <f>IF(A34="","",'41_Clasificacion_Empresas'!D34)</f>
        <v/>
      </c>
      <c r="I34" s="17" t="str">
        <f t="shared" si="2"/>
        <v/>
      </c>
      <c r="J34" s="17" t="str">
        <f>IF(A34="","",'41_Clasificacion_Empresas'!F34)</f>
        <v/>
      </c>
      <c r="K34" s="17" t="str">
        <f>IF(A34="","",IF('41_Clasificacion_Empresas'!F34="A","Sí","No"))</f>
        <v/>
      </c>
      <c r="L34" s="17" t="str">
        <f>IF(A34="","",'41_Clasificacion_Empresas'!G34)</f>
        <v/>
      </c>
      <c r="M34" s="17" t="str">
        <f>IF(A34="","",IF('41_Clasificacion_Empresas'!F34="A","🟢 Oportunidad","🟡 En investigación"))</f>
        <v/>
      </c>
      <c r="N34" s="17" t="str">
        <f>IF(A34="","",'41_Clasificacion_Empresas'!M34)</f>
        <v/>
      </c>
      <c r="O34" s="16" t="str">
        <f t="shared" ca="1" si="3"/>
        <v/>
      </c>
      <c r="P34" s="17" t="str">
        <f t="shared" si="4"/>
        <v/>
      </c>
    </row>
    <row r="35" spans="1:16" ht="1.9" customHeight="1">
      <c r="A35" s="37"/>
      <c r="B35" s="16" t="str">
        <f t="shared" ca="1" si="0"/>
        <v/>
      </c>
      <c r="C35" s="17" t="str">
        <f>IF(A35="","",'41_Clasificacion_Empresas'!C35)</f>
        <v/>
      </c>
      <c r="D35" s="17" t="str">
        <f t="shared" si="1"/>
        <v/>
      </c>
      <c r="E35" s="17" t="str">
        <f>IF(A35="","",'41_Clasificacion_Empresas'!C35)</f>
        <v/>
      </c>
      <c r="F35" s="17" t="str">
        <f>IF(A35="","",'41_Clasificacion_Empresas'!E35)</f>
        <v/>
      </c>
      <c r="G35" s="17" t="str">
        <f>IF(A35="","",'41_Clasificacion_Empresas'!D35)</f>
        <v/>
      </c>
      <c r="H35" s="17" t="str">
        <f>IF(A35="","",'41_Clasificacion_Empresas'!D35)</f>
        <v/>
      </c>
      <c r="I35" s="17" t="str">
        <f t="shared" si="2"/>
        <v/>
      </c>
      <c r="J35" s="17" t="str">
        <f>IF(A35="","",'41_Clasificacion_Empresas'!F35)</f>
        <v/>
      </c>
      <c r="K35" s="17" t="str">
        <f>IF(A35="","",IF('41_Clasificacion_Empresas'!F35="A","Sí","No"))</f>
        <v/>
      </c>
      <c r="L35" s="17" t="str">
        <f>IF(A35="","",'41_Clasificacion_Empresas'!G35)</f>
        <v/>
      </c>
      <c r="M35" s="17" t="str">
        <f>IF(A35="","",IF('41_Clasificacion_Empresas'!F35="A","🟢 Oportunidad","🟡 En investigación"))</f>
        <v/>
      </c>
      <c r="N35" s="17" t="str">
        <f>IF(A35="","",'41_Clasificacion_Empresas'!M35)</f>
        <v/>
      </c>
      <c r="O35" s="16" t="str">
        <f t="shared" ca="1" si="3"/>
        <v/>
      </c>
      <c r="P35" s="17" t="str">
        <f t="shared" si="4"/>
        <v/>
      </c>
    </row>
    <row r="36" spans="1:16" ht="1.9" customHeight="1">
      <c r="A36" s="37"/>
      <c r="B36" s="16" t="str">
        <f t="shared" ca="1" si="0"/>
        <v/>
      </c>
      <c r="C36" s="17" t="str">
        <f>IF(A36="","",'41_Clasificacion_Empresas'!C36)</f>
        <v/>
      </c>
      <c r="D36" s="17" t="str">
        <f t="shared" si="1"/>
        <v/>
      </c>
      <c r="E36" s="17" t="str">
        <f>IF(A36="","",'41_Clasificacion_Empresas'!C36)</f>
        <v/>
      </c>
      <c r="F36" s="17" t="str">
        <f>IF(A36="","",'41_Clasificacion_Empresas'!E36)</f>
        <v/>
      </c>
      <c r="G36" s="17" t="str">
        <f>IF(A36="","",'41_Clasificacion_Empresas'!D36)</f>
        <v/>
      </c>
      <c r="H36" s="17" t="str">
        <f>IF(A36="","",'41_Clasificacion_Empresas'!D36)</f>
        <v/>
      </c>
      <c r="I36" s="17" t="str">
        <f t="shared" si="2"/>
        <v/>
      </c>
      <c r="J36" s="17" t="str">
        <f>IF(A36="","",'41_Clasificacion_Empresas'!F36)</f>
        <v/>
      </c>
      <c r="K36" s="17" t="str">
        <f>IF(A36="","",IF('41_Clasificacion_Empresas'!F36="A","Sí","No"))</f>
        <v/>
      </c>
      <c r="L36" s="17" t="str">
        <f>IF(A36="","",'41_Clasificacion_Empresas'!G36)</f>
        <v/>
      </c>
      <c r="M36" s="17" t="str">
        <f>IF(A36="","",IF('41_Clasificacion_Empresas'!F36="A","🟢 Oportunidad","🟡 En investigación"))</f>
        <v/>
      </c>
      <c r="N36" s="17" t="str">
        <f>IF(A36="","",'41_Clasificacion_Empresas'!M36)</f>
        <v/>
      </c>
      <c r="O36" s="16" t="str">
        <f t="shared" ca="1" si="3"/>
        <v/>
      </c>
      <c r="P36" s="17" t="str">
        <f t="shared" si="4"/>
        <v/>
      </c>
    </row>
    <row r="37" spans="1:16" ht="1.9" customHeight="1">
      <c r="A37" s="37"/>
      <c r="B37" s="16" t="str">
        <f t="shared" ref="B37:B68" ca="1" si="5">IF(A37="","",TODAY())</f>
        <v/>
      </c>
      <c r="C37" s="17" t="str">
        <f>IF(A37="","",'41_Clasificacion_Empresas'!C37)</f>
        <v/>
      </c>
      <c r="D37" s="17" t="str">
        <f t="shared" ref="D37:D68" si="6">IF(A37="","","Por definir")</f>
        <v/>
      </c>
      <c r="E37" s="17" t="str">
        <f>IF(A37="","",'41_Clasificacion_Empresas'!C37)</f>
        <v/>
      </c>
      <c r="F37" s="17" t="str">
        <f>IF(A37="","",'41_Clasificacion_Empresas'!E37)</f>
        <v/>
      </c>
      <c r="G37" s="17" t="str">
        <f>IF(A37="","",'41_Clasificacion_Empresas'!D37)</f>
        <v/>
      </c>
      <c r="H37" s="17" t="str">
        <f>IF(A37="","",'41_Clasificacion_Empresas'!D37)</f>
        <v/>
      </c>
      <c r="I37" s="17" t="str">
        <f t="shared" ref="I37:I68" si="7">IF(A37="","","Empresa / mercado")</f>
        <v/>
      </c>
      <c r="J37" s="17" t="str">
        <f>IF(A37="","",'41_Clasificacion_Empresas'!F37)</f>
        <v/>
      </c>
      <c r="K37" s="17" t="str">
        <f>IF(A37="","",IF('41_Clasificacion_Empresas'!F37="A","Sí","No"))</f>
        <v/>
      </c>
      <c r="L37" s="17" t="str">
        <f>IF(A37="","",'41_Clasificacion_Empresas'!G37)</f>
        <v/>
      </c>
      <c r="M37" s="17" t="str">
        <f>IF(A37="","",IF('41_Clasificacion_Empresas'!F37="A","🟢 Oportunidad","🟡 En investigación"))</f>
        <v/>
      </c>
      <c r="N37" s="17" t="str">
        <f>IF(A37="","",'41_Clasificacion_Empresas'!M37)</f>
        <v/>
      </c>
      <c r="O37" s="16" t="str">
        <f t="shared" ref="O37:O68" ca="1" si="8">IF(A37="","",TODAY()+7)</f>
        <v/>
      </c>
      <c r="P37" s="17" t="str">
        <f t="shared" ref="P37:P68" si="9">IF(A37="","","Fuente: 40→41→32→33→30")</f>
        <v/>
      </c>
    </row>
    <row r="38" spans="1:16" ht="1.9" customHeight="1">
      <c r="A38" s="37"/>
      <c r="B38" s="16" t="str">
        <f t="shared" ca="1" si="5"/>
        <v/>
      </c>
      <c r="C38" s="17" t="str">
        <f>IF(A38="","",'41_Clasificacion_Empresas'!C38)</f>
        <v/>
      </c>
      <c r="D38" s="17" t="str">
        <f t="shared" si="6"/>
        <v/>
      </c>
      <c r="E38" s="17" t="str">
        <f>IF(A38="","",'41_Clasificacion_Empresas'!C38)</f>
        <v/>
      </c>
      <c r="F38" s="17" t="str">
        <f>IF(A38="","",'41_Clasificacion_Empresas'!E38)</f>
        <v/>
      </c>
      <c r="G38" s="17" t="str">
        <f>IF(A38="","",'41_Clasificacion_Empresas'!D38)</f>
        <v/>
      </c>
      <c r="H38" s="17" t="str">
        <f>IF(A38="","",'41_Clasificacion_Empresas'!D38)</f>
        <v/>
      </c>
      <c r="I38" s="17" t="str">
        <f t="shared" si="7"/>
        <v/>
      </c>
      <c r="J38" s="17" t="str">
        <f>IF(A38="","",'41_Clasificacion_Empresas'!F38)</f>
        <v/>
      </c>
      <c r="K38" s="17" t="str">
        <f>IF(A38="","",IF('41_Clasificacion_Empresas'!F38="A","Sí","No"))</f>
        <v/>
      </c>
      <c r="L38" s="17" t="str">
        <f>IF(A38="","",'41_Clasificacion_Empresas'!G38)</f>
        <v/>
      </c>
      <c r="M38" s="17" t="str">
        <f>IF(A38="","",IF('41_Clasificacion_Empresas'!F38="A","🟢 Oportunidad","🟡 En investigación"))</f>
        <v/>
      </c>
      <c r="N38" s="17" t="str">
        <f>IF(A38="","",'41_Clasificacion_Empresas'!M38)</f>
        <v/>
      </c>
      <c r="O38" s="16" t="str">
        <f t="shared" ca="1" si="8"/>
        <v/>
      </c>
      <c r="P38" s="17" t="str">
        <f t="shared" si="9"/>
        <v/>
      </c>
    </row>
    <row r="39" spans="1:16" ht="1.9" customHeight="1">
      <c r="A39" s="37"/>
      <c r="B39" s="16" t="str">
        <f t="shared" ca="1" si="5"/>
        <v/>
      </c>
      <c r="C39" s="17" t="str">
        <f>IF(A39="","",'41_Clasificacion_Empresas'!C39)</f>
        <v/>
      </c>
      <c r="D39" s="17" t="str">
        <f t="shared" si="6"/>
        <v/>
      </c>
      <c r="E39" s="17" t="str">
        <f>IF(A39="","",'41_Clasificacion_Empresas'!C39)</f>
        <v/>
      </c>
      <c r="F39" s="17" t="str">
        <f>IF(A39="","",'41_Clasificacion_Empresas'!E39)</f>
        <v/>
      </c>
      <c r="G39" s="17" t="str">
        <f>IF(A39="","",'41_Clasificacion_Empresas'!D39)</f>
        <v/>
      </c>
      <c r="H39" s="17" t="str">
        <f>IF(A39="","",'41_Clasificacion_Empresas'!D39)</f>
        <v/>
      </c>
      <c r="I39" s="17" t="str">
        <f t="shared" si="7"/>
        <v/>
      </c>
      <c r="J39" s="17" t="str">
        <f>IF(A39="","",'41_Clasificacion_Empresas'!F39)</f>
        <v/>
      </c>
      <c r="K39" s="17" t="str">
        <f>IF(A39="","",IF('41_Clasificacion_Empresas'!F39="A","Sí","No"))</f>
        <v/>
      </c>
      <c r="L39" s="17" t="str">
        <f>IF(A39="","",'41_Clasificacion_Empresas'!G39)</f>
        <v/>
      </c>
      <c r="M39" s="17" t="str">
        <f>IF(A39="","",IF('41_Clasificacion_Empresas'!F39="A","🟢 Oportunidad","🟡 En investigación"))</f>
        <v/>
      </c>
      <c r="N39" s="17" t="str">
        <f>IF(A39="","",'41_Clasificacion_Empresas'!M39)</f>
        <v/>
      </c>
      <c r="O39" s="16" t="str">
        <f t="shared" ca="1" si="8"/>
        <v/>
      </c>
      <c r="P39" s="17" t="str">
        <f t="shared" si="9"/>
        <v/>
      </c>
    </row>
    <row r="40" spans="1:16" ht="1.9" customHeight="1">
      <c r="A40" s="37"/>
      <c r="B40" s="16" t="str">
        <f t="shared" ca="1" si="5"/>
        <v/>
      </c>
      <c r="C40" s="17" t="str">
        <f>IF(A40="","",'41_Clasificacion_Empresas'!C40)</f>
        <v/>
      </c>
      <c r="D40" s="17" t="str">
        <f t="shared" si="6"/>
        <v/>
      </c>
      <c r="E40" s="17" t="str">
        <f>IF(A40="","",'41_Clasificacion_Empresas'!C40)</f>
        <v/>
      </c>
      <c r="F40" s="17" t="str">
        <f>IF(A40="","",'41_Clasificacion_Empresas'!E40)</f>
        <v/>
      </c>
      <c r="G40" s="17" t="str">
        <f>IF(A40="","",'41_Clasificacion_Empresas'!D40)</f>
        <v/>
      </c>
      <c r="H40" s="17" t="str">
        <f>IF(A40="","",'41_Clasificacion_Empresas'!D40)</f>
        <v/>
      </c>
      <c r="I40" s="17" t="str">
        <f t="shared" si="7"/>
        <v/>
      </c>
      <c r="J40" s="17" t="str">
        <f>IF(A40="","",'41_Clasificacion_Empresas'!F40)</f>
        <v/>
      </c>
      <c r="K40" s="17" t="str">
        <f>IF(A40="","",IF('41_Clasificacion_Empresas'!F40="A","Sí","No"))</f>
        <v/>
      </c>
      <c r="L40" s="17" t="str">
        <f>IF(A40="","",'41_Clasificacion_Empresas'!G40)</f>
        <v/>
      </c>
      <c r="M40" s="17" t="str">
        <f>IF(A40="","",IF('41_Clasificacion_Empresas'!F40="A","🟢 Oportunidad","🟡 En investigación"))</f>
        <v/>
      </c>
      <c r="N40" s="17" t="str">
        <f>IF(A40="","",'41_Clasificacion_Empresas'!M40)</f>
        <v/>
      </c>
      <c r="O40" s="16" t="str">
        <f t="shared" ca="1" si="8"/>
        <v/>
      </c>
      <c r="P40" s="17" t="str">
        <f t="shared" si="9"/>
        <v/>
      </c>
    </row>
    <row r="41" spans="1:16" ht="1.9" customHeight="1">
      <c r="A41" s="37"/>
      <c r="B41" s="16" t="str">
        <f t="shared" ca="1" si="5"/>
        <v/>
      </c>
      <c r="C41" s="17" t="str">
        <f>IF(A41="","",'41_Clasificacion_Empresas'!C41)</f>
        <v/>
      </c>
      <c r="D41" s="17" t="str">
        <f t="shared" si="6"/>
        <v/>
      </c>
      <c r="E41" s="17" t="str">
        <f>IF(A41="","",'41_Clasificacion_Empresas'!C41)</f>
        <v/>
      </c>
      <c r="F41" s="17" t="str">
        <f>IF(A41="","",'41_Clasificacion_Empresas'!E41)</f>
        <v/>
      </c>
      <c r="G41" s="17" t="str">
        <f>IF(A41="","",'41_Clasificacion_Empresas'!D41)</f>
        <v/>
      </c>
      <c r="H41" s="17" t="str">
        <f>IF(A41="","",'41_Clasificacion_Empresas'!D41)</f>
        <v/>
      </c>
      <c r="I41" s="17" t="str">
        <f t="shared" si="7"/>
        <v/>
      </c>
      <c r="J41" s="17" t="str">
        <f>IF(A41="","",'41_Clasificacion_Empresas'!F41)</f>
        <v/>
      </c>
      <c r="K41" s="17" t="str">
        <f>IF(A41="","",IF('41_Clasificacion_Empresas'!F41="A","Sí","No"))</f>
        <v/>
      </c>
      <c r="L41" s="17" t="str">
        <f>IF(A41="","",'41_Clasificacion_Empresas'!G41)</f>
        <v/>
      </c>
      <c r="M41" s="17" t="str">
        <f>IF(A41="","",IF('41_Clasificacion_Empresas'!F41="A","🟢 Oportunidad","🟡 En investigación"))</f>
        <v/>
      </c>
      <c r="N41" s="17" t="str">
        <f>IF(A41="","",'41_Clasificacion_Empresas'!M41)</f>
        <v/>
      </c>
      <c r="O41" s="16" t="str">
        <f t="shared" ca="1" si="8"/>
        <v/>
      </c>
      <c r="P41" s="17" t="str">
        <f t="shared" si="9"/>
        <v/>
      </c>
    </row>
    <row r="42" spans="1:16" ht="1.9" customHeight="1">
      <c r="A42" s="37"/>
      <c r="B42" s="16" t="str">
        <f t="shared" ca="1" si="5"/>
        <v/>
      </c>
      <c r="C42" s="17" t="str">
        <f>IF(A42="","",'41_Clasificacion_Empresas'!C42)</f>
        <v/>
      </c>
      <c r="D42" s="17" t="str">
        <f t="shared" si="6"/>
        <v/>
      </c>
      <c r="E42" s="17" t="str">
        <f>IF(A42="","",'41_Clasificacion_Empresas'!C42)</f>
        <v/>
      </c>
      <c r="F42" s="17" t="str">
        <f>IF(A42="","",'41_Clasificacion_Empresas'!E42)</f>
        <v/>
      </c>
      <c r="G42" s="17" t="str">
        <f>IF(A42="","",'41_Clasificacion_Empresas'!D42)</f>
        <v/>
      </c>
      <c r="H42" s="17" t="str">
        <f>IF(A42="","",'41_Clasificacion_Empresas'!D42)</f>
        <v/>
      </c>
      <c r="I42" s="17" t="str">
        <f t="shared" si="7"/>
        <v/>
      </c>
      <c r="J42" s="17" t="str">
        <f>IF(A42="","",'41_Clasificacion_Empresas'!F42)</f>
        <v/>
      </c>
      <c r="K42" s="17" t="str">
        <f>IF(A42="","",IF('41_Clasificacion_Empresas'!F42="A","Sí","No"))</f>
        <v/>
      </c>
      <c r="L42" s="17" t="str">
        <f>IF(A42="","",'41_Clasificacion_Empresas'!G42)</f>
        <v/>
      </c>
      <c r="M42" s="17" t="str">
        <f>IF(A42="","",IF('41_Clasificacion_Empresas'!F42="A","🟢 Oportunidad","🟡 En investigación"))</f>
        <v/>
      </c>
      <c r="N42" s="17" t="str">
        <f>IF(A42="","",'41_Clasificacion_Empresas'!M42)</f>
        <v/>
      </c>
      <c r="O42" s="16" t="str">
        <f t="shared" ca="1" si="8"/>
        <v/>
      </c>
      <c r="P42" s="17" t="str">
        <f t="shared" si="9"/>
        <v/>
      </c>
    </row>
    <row r="43" spans="1:16" ht="1.9" customHeight="1">
      <c r="A43" s="37"/>
      <c r="B43" s="16" t="str">
        <f t="shared" ca="1" si="5"/>
        <v/>
      </c>
      <c r="C43" s="17" t="str">
        <f>IF(A43="","",'41_Clasificacion_Empresas'!C43)</f>
        <v/>
      </c>
      <c r="D43" s="17" t="str">
        <f t="shared" si="6"/>
        <v/>
      </c>
      <c r="E43" s="17" t="str">
        <f>IF(A43="","",'41_Clasificacion_Empresas'!C43)</f>
        <v/>
      </c>
      <c r="F43" s="17" t="str">
        <f>IF(A43="","",'41_Clasificacion_Empresas'!E43)</f>
        <v/>
      </c>
      <c r="G43" s="17" t="str">
        <f>IF(A43="","",'41_Clasificacion_Empresas'!D43)</f>
        <v/>
      </c>
      <c r="H43" s="17" t="str">
        <f>IF(A43="","",'41_Clasificacion_Empresas'!D43)</f>
        <v/>
      </c>
      <c r="I43" s="17" t="str">
        <f t="shared" si="7"/>
        <v/>
      </c>
      <c r="J43" s="17" t="str">
        <f>IF(A43="","",'41_Clasificacion_Empresas'!F43)</f>
        <v/>
      </c>
      <c r="K43" s="17" t="str">
        <f>IF(A43="","",IF('41_Clasificacion_Empresas'!F43="A","Sí","No"))</f>
        <v/>
      </c>
      <c r="L43" s="17" t="str">
        <f>IF(A43="","",'41_Clasificacion_Empresas'!G43)</f>
        <v/>
      </c>
      <c r="M43" s="17" t="str">
        <f>IF(A43="","",IF('41_Clasificacion_Empresas'!F43="A","🟢 Oportunidad","🟡 En investigación"))</f>
        <v/>
      </c>
      <c r="N43" s="17" t="str">
        <f>IF(A43="","",'41_Clasificacion_Empresas'!M43)</f>
        <v/>
      </c>
      <c r="O43" s="16" t="str">
        <f t="shared" ca="1" si="8"/>
        <v/>
      </c>
      <c r="P43" s="17" t="str">
        <f t="shared" si="9"/>
        <v/>
      </c>
    </row>
    <row r="44" spans="1:16" ht="1.9" customHeight="1">
      <c r="A44" s="37"/>
      <c r="B44" s="16" t="str">
        <f t="shared" ca="1" si="5"/>
        <v/>
      </c>
      <c r="C44" s="17" t="str">
        <f>IF(A44="","",'41_Clasificacion_Empresas'!C44)</f>
        <v/>
      </c>
      <c r="D44" s="17" t="str">
        <f t="shared" si="6"/>
        <v/>
      </c>
      <c r="E44" s="17" t="str">
        <f>IF(A44="","",'41_Clasificacion_Empresas'!C44)</f>
        <v/>
      </c>
      <c r="F44" s="17" t="str">
        <f>IF(A44="","",'41_Clasificacion_Empresas'!E44)</f>
        <v/>
      </c>
      <c r="G44" s="17" t="str">
        <f>IF(A44="","",'41_Clasificacion_Empresas'!D44)</f>
        <v/>
      </c>
      <c r="H44" s="17" t="str">
        <f>IF(A44="","",'41_Clasificacion_Empresas'!D44)</f>
        <v/>
      </c>
      <c r="I44" s="17" t="str">
        <f t="shared" si="7"/>
        <v/>
      </c>
      <c r="J44" s="17" t="str">
        <f>IF(A44="","",'41_Clasificacion_Empresas'!F44)</f>
        <v/>
      </c>
      <c r="K44" s="17" t="str">
        <f>IF(A44="","",IF('41_Clasificacion_Empresas'!F44="A","Sí","No"))</f>
        <v/>
      </c>
      <c r="L44" s="17" t="str">
        <f>IF(A44="","",'41_Clasificacion_Empresas'!G44)</f>
        <v/>
      </c>
      <c r="M44" s="17" t="str">
        <f>IF(A44="","",IF('41_Clasificacion_Empresas'!F44="A","🟢 Oportunidad","🟡 En investigación"))</f>
        <v/>
      </c>
      <c r="N44" s="17" t="str">
        <f>IF(A44="","",'41_Clasificacion_Empresas'!M44)</f>
        <v/>
      </c>
      <c r="O44" s="16" t="str">
        <f t="shared" ca="1" si="8"/>
        <v/>
      </c>
      <c r="P44" s="17" t="str">
        <f t="shared" si="9"/>
        <v/>
      </c>
    </row>
    <row r="45" spans="1:16" ht="1.9" customHeight="1">
      <c r="A45" s="37"/>
      <c r="B45" s="16" t="str">
        <f t="shared" ca="1" si="5"/>
        <v/>
      </c>
      <c r="C45" s="17" t="str">
        <f>IF(A45="","",'41_Clasificacion_Empresas'!C45)</f>
        <v/>
      </c>
      <c r="D45" s="17" t="str">
        <f t="shared" si="6"/>
        <v/>
      </c>
      <c r="E45" s="17" t="str">
        <f>IF(A45="","",'41_Clasificacion_Empresas'!C45)</f>
        <v/>
      </c>
      <c r="F45" s="17" t="str">
        <f>IF(A45="","",'41_Clasificacion_Empresas'!E45)</f>
        <v/>
      </c>
      <c r="G45" s="17" t="str">
        <f>IF(A45="","",'41_Clasificacion_Empresas'!D45)</f>
        <v/>
      </c>
      <c r="H45" s="17" t="str">
        <f>IF(A45="","",'41_Clasificacion_Empresas'!D45)</f>
        <v/>
      </c>
      <c r="I45" s="17" t="str">
        <f t="shared" si="7"/>
        <v/>
      </c>
      <c r="J45" s="17" t="str">
        <f>IF(A45="","",'41_Clasificacion_Empresas'!F45)</f>
        <v/>
      </c>
      <c r="K45" s="17" t="str">
        <f>IF(A45="","",IF('41_Clasificacion_Empresas'!F45="A","Sí","No"))</f>
        <v/>
      </c>
      <c r="L45" s="17" t="str">
        <f>IF(A45="","",'41_Clasificacion_Empresas'!G45)</f>
        <v/>
      </c>
      <c r="M45" s="17" t="str">
        <f>IF(A45="","",IF('41_Clasificacion_Empresas'!F45="A","🟢 Oportunidad","🟡 En investigación"))</f>
        <v/>
      </c>
      <c r="N45" s="17" t="str">
        <f>IF(A45="","",'41_Clasificacion_Empresas'!M45)</f>
        <v/>
      </c>
      <c r="O45" s="16" t="str">
        <f t="shared" ca="1" si="8"/>
        <v/>
      </c>
      <c r="P45" s="17" t="str">
        <f t="shared" si="9"/>
        <v/>
      </c>
    </row>
    <row r="46" spans="1:16" ht="1.9" customHeight="1">
      <c r="A46" s="37"/>
      <c r="B46" s="16" t="str">
        <f t="shared" ca="1" si="5"/>
        <v/>
      </c>
      <c r="C46" s="17" t="str">
        <f>IF(A46="","",'41_Clasificacion_Empresas'!C46)</f>
        <v/>
      </c>
      <c r="D46" s="17" t="str">
        <f t="shared" si="6"/>
        <v/>
      </c>
      <c r="E46" s="17" t="str">
        <f>IF(A46="","",'41_Clasificacion_Empresas'!C46)</f>
        <v/>
      </c>
      <c r="F46" s="17" t="str">
        <f>IF(A46="","",'41_Clasificacion_Empresas'!E46)</f>
        <v/>
      </c>
      <c r="G46" s="17" t="str">
        <f>IF(A46="","",'41_Clasificacion_Empresas'!D46)</f>
        <v/>
      </c>
      <c r="H46" s="17" t="str">
        <f>IF(A46="","",'41_Clasificacion_Empresas'!D46)</f>
        <v/>
      </c>
      <c r="I46" s="17" t="str">
        <f t="shared" si="7"/>
        <v/>
      </c>
      <c r="J46" s="17" t="str">
        <f>IF(A46="","",'41_Clasificacion_Empresas'!F46)</f>
        <v/>
      </c>
      <c r="K46" s="17" t="str">
        <f>IF(A46="","",IF('41_Clasificacion_Empresas'!F46="A","Sí","No"))</f>
        <v/>
      </c>
      <c r="L46" s="17" t="str">
        <f>IF(A46="","",'41_Clasificacion_Empresas'!G46)</f>
        <v/>
      </c>
      <c r="M46" s="17" t="str">
        <f>IF(A46="","",IF('41_Clasificacion_Empresas'!F46="A","🟢 Oportunidad","🟡 En investigación"))</f>
        <v/>
      </c>
      <c r="N46" s="17" t="str">
        <f>IF(A46="","",'41_Clasificacion_Empresas'!M46)</f>
        <v/>
      </c>
      <c r="O46" s="16" t="str">
        <f t="shared" ca="1" si="8"/>
        <v/>
      </c>
      <c r="P46" s="17" t="str">
        <f t="shared" si="9"/>
        <v/>
      </c>
    </row>
    <row r="47" spans="1:16" ht="1.9" customHeight="1">
      <c r="A47" s="37"/>
      <c r="B47" s="16" t="str">
        <f t="shared" ca="1" si="5"/>
        <v/>
      </c>
      <c r="C47" s="17" t="str">
        <f>IF(A47="","",'41_Clasificacion_Empresas'!C47)</f>
        <v/>
      </c>
      <c r="D47" s="17" t="str">
        <f t="shared" si="6"/>
        <v/>
      </c>
      <c r="E47" s="17" t="str">
        <f>IF(A47="","",'41_Clasificacion_Empresas'!C47)</f>
        <v/>
      </c>
      <c r="F47" s="17" t="str">
        <f>IF(A47="","",'41_Clasificacion_Empresas'!E47)</f>
        <v/>
      </c>
      <c r="G47" s="17" t="str">
        <f>IF(A47="","",'41_Clasificacion_Empresas'!D47)</f>
        <v/>
      </c>
      <c r="H47" s="17" t="str">
        <f>IF(A47="","",'41_Clasificacion_Empresas'!D47)</f>
        <v/>
      </c>
      <c r="I47" s="17" t="str">
        <f t="shared" si="7"/>
        <v/>
      </c>
      <c r="J47" s="17" t="str">
        <f>IF(A47="","",'41_Clasificacion_Empresas'!F47)</f>
        <v/>
      </c>
      <c r="K47" s="17" t="str">
        <f>IF(A47="","",IF('41_Clasificacion_Empresas'!F47="A","Sí","No"))</f>
        <v/>
      </c>
      <c r="L47" s="17" t="str">
        <f>IF(A47="","",'41_Clasificacion_Empresas'!G47)</f>
        <v/>
      </c>
      <c r="M47" s="17" t="str">
        <f>IF(A47="","",IF('41_Clasificacion_Empresas'!F47="A","🟢 Oportunidad","🟡 En investigación"))</f>
        <v/>
      </c>
      <c r="N47" s="17" t="str">
        <f>IF(A47="","",'41_Clasificacion_Empresas'!M47)</f>
        <v/>
      </c>
      <c r="O47" s="16" t="str">
        <f t="shared" ca="1" si="8"/>
        <v/>
      </c>
      <c r="P47" s="17" t="str">
        <f t="shared" si="9"/>
        <v/>
      </c>
    </row>
    <row r="48" spans="1:16" ht="1.9" customHeight="1">
      <c r="A48" s="37"/>
      <c r="B48" s="16" t="str">
        <f t="shared" ca="1" si="5"/>
        <v/>
      </c>
      <c r="C48" s="17" t="str">
        <f>IF(A48="","",'41_Clasificacion_Empresas'!C48)</f>
        <v/>
      </c>
      <c r="D48" s="17" t="str">
        <f t="shared" si="6"/>
        <v/>
      </c>
      <c r="E48" s="17" t="str">
        <f>IF(A48="","",'41_Clasificacion_Empresas'!C48)</f>
        <v/>
      </c>
      <c r="F48" s="17" t="str">
        <f>IF(A48="","",'41_Clasificacion_Empresas'!E48)</f>
        <v/>
      </c>
      <c r="G48" s="17" t="str">
        <f>IF(A48="","",'41_Clasificacion_Empresas'!D48)</f>
        <v/>
      </c>
      <c r="H48" s="17" t="str">
        <f>IF(A48="","",'41_Clasificacion_Empresas'!D48)</f>
        <v/>
      </c>
      <c r="I48" s="17" t="str">
        <f t="shared" si="7"/>
        <v/>
      </c>
      <c r="J48" s="17" t="str">
        <f>IF(A48="","",'41_Clasificacion_Empresas'!F48)</f>
        <v/>
      </c>
      <c r="K48" s="17" t="str">
        <f>IF(A48="","",IF('41_Clasificacion_Empresas'!F48="A","Sí","No"))</f>
        <v/>
      </c>
      <c r="L48" s="17" t="str">
        <f>IF(A48="","",'41_Clasificacion_Empresas'!G48)</f>
        <v/>
      </c>
      <c r="M48" s="17" t="str">
        <f>IF(A48="","",IF('41_Clasificacion_Empresas'!F48="A","🟢 Oportunidad","🟡 En investigación"))</f>
        <v/>
      </c>
      <c r="N48" s="17" t="str">
        <f>IF(A48="","",'41_Clasificacion_Empresas'!M48)</f>
        <v/>
      </c>
      <c r="O48" s="16" t="str">
        <f t="shared" ca="1" si="8"/>
        <v/>
      </c>
      <c r="P48" s="17" t="str">
        <f t="shared" si="9"/>
        <v/>
      </c>
    </row>
    <row r="49" spans="1:16" ht="1.9" customHeight="1">
      <c r="A49" s="37"/>
      <c r="B49" s="16" t="str">
        <f t="shared" ca="1" si="5"/>
        <v/>
      </c>
      <c r="C49" s="17" t="str">
        <f>IF(A49="","",'41_Clasificacion_Empresas'!C49)</f>
        <v/>
      </c>
      <c r="D49" s="17" t="str">
        <f t="shared" si="6"/>
        <v/>
      </c>
      <c r="E49" s="17" t="str">
        <f>IF(A49="","",'41_Clasificacion_Empresas'!C49)</f>
        <v/>
      </c>
      <c r="F49" s="17" t="str">
        <f>IF(A49="","",'41_Clasificacion_Empresas'!E49)</f>
        <v/>
      </c>
      <c r="G49" s="17" t="str">
        <f>IF(A49="","",'41_Clasificacion_Empresas'!D49)</f>
        <v/>
      </c>
      <c r="H49" s="17" t="str">
        <f>IF(A49="","",'41_Clasificacion_Empresas'!D49)</f>
        <v/>
      </c>
      <c r="I49" s="17" t="str">
        <f t="shared" si="7"/>
        <v/>
      </c>
      <c r="J49" s="17" t="str">
        <f>IF(A49="","",'41_Clasificacion_Empresas'!F49)</f>
        <v/>
      </c>
      <c r="K49" s="17" t="str">
        <f>IF(A49="","",IF('41_Clasificacion_Empresas'!F49="A","Sí","No"))</f>
        <v/>
      </c>
      <c r="L49" s="17" t="str">
        <f>IF(A49="","",'41_Clasificacion_Empresas'!G49)</f>
        <v/>
      </c>
      <c r="M49" s="17" t="str">
        <f>IF(A49="","",IF('41_Clasificacion_Empresas'!F49="A","🟢 Oportunidad","🟡 En investigación"))</f>
        <v/>
      </c>
      <c r="N49" s="17" t="str">
        <f>IF(A49="","",'41_Clasificacion_Empresas'!M49)</f>
        <v/>
      </c>
      <c r="O49" s="16" t="str">
        <f t="shared" ca="1" si="8"/>
        <v/>
      </c>
      <c r="P49" s="17" t="str">
        <f t="shared" si="9"/>
        <v/>
      </c>
    </row>
    <row r="50" spans="1:16" ht="1.9" customHeight="1">
      <c r="A50" s="37"/>
      <c r="B50" s="16" t="str">
        <f t="shared" ca="1" si="5"/>
        <v/>
      </c>
      <c r="C50" s="17" t="str">
        <f>IF(A50="","",'41_Clasificacion_Empresas'!C50)</f>
        <v/>
      </c>
      <c r="D50" s="17" t="str">
        <f t="shared" si="6"/>
        <v/>
      </c>
      <c r="E50" s="17" t="str">
        <f>IF(A50="","",'41_Clasificacion_Empresas'!C50)</f>
        <v/>
      </c>
      <c r="F50" s="17" t="str">
        <f>IF(A50="","",'41_Clasificacion_Empresas'!E50)</f>
        <v/>
      </c>
      <c r="G50" s="17" t="str">
        <f>IF(A50="","",'41_Clasificacion_Empresas'!D50)</f>
        <v/>
      </c>
      <c r="H50" s="17" t="str">
        <f>IF(A50="","",'41_Clasificacion_Empresas'!D50)</f>
        <v/>
      </c>
      <c r="I50" s="17" t="str">
        <f t="shared" si="7"/>
        <v/>
      </c>
      <c r="J50" s="17" t="str">
        <f>IF(A50="","",'41_Clasificacion_Empresas'!F50)</f>
        <v/>
      </c>
      <c r="K50" s="17" t="str">
        <f>IF(A50="","",IF('41_Clasificacion_Empresas'!F50="A","Sí","No"))</f>
        <v/>
      </c>
      <c r="L50" s="17" t="str">
        <f>IF(A50="","",'41_Clasificacion_Empresas'!G50)</f>
        <v/>
      </c>
      <c r="M50" s="17" t="str">
        <f>IF(A50="","",IF('41_Clasificacion_Empresas'!F50="A","🟢 Oportunidad","🟡 En investigación"))</f>
        <v/>
      </c>
      <c r="N50" s="17" t="str">
        <f>IF(A50="","",'41_Clasificacion_Empresas'!M50)</f>
        <v/>
      </c>
      <c r="O50" s="16" t="str">
        <f t="shared" ca="1" si="8"/>
        <v/>
      </c>
      <c r="P50" s="17" t="str">
        <f t="shared" si="9"/>
        <v/>
      </c>
    </row>
    <row r="51" spans="1:16" ht="1.9" customHeight="1">
      <c r="A51" s="37"/>
      <c r="B51" s="16" t="str">
        <f t="shared" ca="1" si="5"/>
        <v/>
      </c>
      <c r="C51" s="17" t="str">
        <f>IF(A51="","",'41_Clasificacion_Empresas'!C51)</f>
        <v/>
      </c>
      <c r="D51" s="17" t="str">
        <f t="shared" si="6"/>
        <v/>
      </c>
      <c r="E51" s="17" t="str">
        <f>IF(A51="","",'41_Clasificacion_Empresas'!C51)</f>
        <v/>
      </c>
      <c r="F51" s="17" t="str">
        <f>IF(A51="","",'41_Clasificacion_Empresas'!E51)</f>
        <v/>
      </c>
      <c r="G51" s="17" t="str">
        <f>IF(A51="","",'41_Clasificacion_Empresas'!D51)</f>
        <v/>
      </c>
      <c r="H51" s="17" t="str">
        <f>IF(A51="","",'41_Clasificacion_Empresas'!D51)</f>
        <v/>
      </c>
      <c r="I51" s="17" t="str">
        <f t="shared" si="7"/>
        <v/>
      </c>
      <c r="J51" s="17" t="str">
        <f>IF(A51="","",'41_Clasificacion_Empresas'!F51)</f>
        <v/>
      </c>
      <c r="K51" s="17" t="str">
        <f>IF(A51="","",IF('41_Clasificacion_Empresas'!F51="A","Sí","No"))</f>
        <v/>
      </c>
      <c r="L51" s="17" t="str">
        <f>IF(A51="","",'41_Clasificacion_Empresas'!G51)</f>
        <v/>
      </c>
      <c r="M51" s="17" t="str">
        <f>IF(A51="","",IF('41_Clasificacion_Empresas'!F51="A","🟢 Oportunidad","🟡 En investigación"))</f>
        <v/>
      </c>
      <c r="N51" s="17" t="str">
        <f>IF(A51="","",'41_Clasificacion_Empresas'!M51)</f>
        <v/>
      </c>
      <c r="O51" s="16" t="str">
        <f t="shared" ca="1" si="8"/>
        <v/>
      </c>
      <c r="P51" s="17" t="str">
        <f t="shared" si="9"/>
        <v/>
      </c>
    </row>
    <row r="52" spans="1:16" ht="1.9" customHeight="1">
      <c r="A52" s="37"/>
      <c r="B52" s="16" t="str">
        <f t="shared" ca="1" si="5"/>
        <v/>
      </c>
      <c r="C52" s="17" t="str">
        <f>IF(A52="","",'41_Clasificacion_Empresas'!C52)</f>
        <v/>
      </c>
      <c r="D52" s="17" t="str">
        <f t="shared" si="6"/>
        <v/>
      </c>
      <c r="E52" s="17" t="str">
        <f>IF(A52="","",'41_Clasificacion_Empresas'!C52)</f>
        <v/>
      </c>
      <c r="F52" s="17" t="str">
        <f>IF(A52="","",'41_Clasificacion_Empresas'!E52)</f>
        <v/>
      </c>
      <c r="G52" s="17" t="str">
        <f>IF(A52="","",'41_Clasificacion_Empresas'!D52)</f>
        <v/>
      </c>
      <c r="H52" s="17" t="str">
        <f>IF(A52="","",'41_Clasificacion_Empresas'!D52)</f>
        <v/>
      </c>
      <c r="I52" s="17" t="str">
        <f t="shared" si="7"/>
        <v/>
      </c>
      <c r="J52" s="17" t="str">
        <f>IF(A52="","",'41_Clasificacion_Empresas'!F52)</f>
        <v/>
      </c>
      <c r="K52" s="17" t="str">
        <f>IF(A52="","",IF('41_Clasificacion_Empresas'!F52="A","Sí","No"))</f>
        <v/>
      </c>
      <c r="L52" s="17" t="str">
        <f>IF(A52="","",'41_Clasificacion_Empresas'!G52)</f>
        <v/>
      </c>
      <c r="M52" s="17" t="str">
        <f>IF(A52="","",IF('41_Clasificacion_Empresas'!F52="A","🟢 Oportunidad","🟡 En investigación"))</f>
        <v/>
      </c>
      <c r="N52" s="17" t="str">
        <f>IF(A52="","",'41_Clasificacion_Empresas'!M52)</f>
        <v/>
      </c>
      <c r="O52" s="16" t="str">
        <f t="shared" ca="1" si="8"/>
        <v/>
      </c>
      <c r="P52" s="17" t="str">
        <f t="shared" si="9"/>
        <v/>
      </c>
    </row>
    <row r="53" spans="1:16" ht="1.9" customHeight="1">
      <c r="A53" s="37"/>
      <c r="B53" s="16" t="str">
        <f t="shared" ca="1" si="5"/>
        <v/>
      </c>
      <c r="C53" s="17" t="str">
        <f>IF(A53="","",'41_Clasificacion_Empresas'!C53)</f>
        <v/>
      </c>
      <c r="D53" s="17" t="str">
        <f t="shared" si="6"/>
        <v/>
      </c>
      <c r="E53" s="17" t="str">
        <f>IF(A53="","",'41_Clasificacion_Empresas'!C53)</f>
        <v/>
      </c>
      <c r="F53" s="17" t="str">
        <f>IF(A53="","",'41_Clasificacion_Empresas'!E53)</f>
        <v/>
      </c>
      <c r="G53" s="17" t="str">
        <f>IF(A53="","",'41_Clasificacion_Empresas'!D53)</f>
        <v/>
      </c>
      <c r="H53" s="17" t="str">
        <f>IF(A53="","",'41_Clasificacion_Empresas'!D53)</f>
        <v/>
      </c>
      <c r="I53" s="17" t="str">
        <f t="shared" si="7"/>
        <v/>
      </c>
      <c r="J53" s="17" t="str">
        <f>IF(A53="","",'41_Clasificacion_Empresas'!F53)</f>
        <v/>
      </c>
      <c r="K53" s="17" t="str">
        <f>IF(A53="","",IF('41_Clasificacion_Empresas'!F53="A","Sí","No"))</f>
        <v/>
      </c>
      <c r="L53" s="17" t="str">
        <f>IF(A53="","",'41_Clasificacion_Empresas'!G53)</f>
        <v/>
      </c>
      <c r="M53" s="17" t="str">
        <f>IF(A53="","",IF('41_Clasificacion_Empresas'!F53="A","🟢 Oportunidad","🟡 En investigación"))</f>
        <v/>
      </c>
      <c r="N53" s="17" t="str">
        <f>IF(A53="","",'41_Clasificacion_Empresas'!M53)</f>
        <v/>
      </c>
      <c r="O53" s="16" t="str">
        <f t="shared" ca="1" si="8"/>
        <v/>
      </c>
      <c r="P53" s="17" t="str">
        <f t="shared" si="9"/>
        <v/>
      </c>
    </row>
    <row r="54" spans="1:16" ht="1.9" customHeight="1">
      <c r="A54" s="37"/>
      <c r="B54" s="16" t="str">
        <f t="shared" ca="1" si="5"/>
        <v/>
      </c>
      <c r="C54" s="17" t="str">
        <f>IF(A54="","",'41_Clasificacion_Empresas'!C54)</f>
        <v/>
      </c>
      <c r="D54" s="17" t="str">
        <f t="shared" si="6"/>
        <v/>
      </c>
      <c r="E54" s="17" t="str">
        <f>IF(A54="","",'41_Clasificacion_Empresas'!C54)</f>
        <v/>
      </c>
      <c r="F54" s="17" t="str">
        <f>IF(A54="","",'41_Clasificacion_Empresas'!E54)</f>
        <v/>
      </c>
      <c r="G54" s="17" t="str">
        <f>IF(A54="","",'41_Clasificacion_Empresas'!D54)</f>
        <v/>
      </c>
      <c r="H54" s="17" t="str">
        <f>IF(A54="","",'41_Clasificacion_Empresas'!D54)</f>
        <v/>
      </c>
      <c r="I54" s="17" t="str">
        <f t="shared" si="7"/>
        <v/>
      </c>
      <c r="J54" s="17" t="str">
        <f>IF(A54="","",'41_Clasificacion_Empresas'!F54)</f>
        <v/>
      </c>
      <c r="K54" s="17" t="str">
        <f>IF(A54="","",IF('41_Clasificacion_Empresas'!F54="A","Sí","No"))</f>
        <v/>
      </c>
      <c r="L54" s="17" t="str">
        <f>IF(A54="","",'41_Clasificacion_Empresas'!G54)</f>
        <v/>
      </c>
      <c r="M54" s="17" t="str">
        <f>IF(A54="","",IF('41_Clasificacion_Empresas'!F54="A","🟢 Oportunidad","🟡 En investigación"))</f>
        <v/>
      </c>
      <c r="N54" s="17" t="str">
        <f>IF(A54="","",'41_Clasificacion_Empresas'!M54)</f>
        <v/>
      </c>
      <c r="O54" s="16" t="str">
        <f t="shared" ca="1" si="8"/>
        <v/>
      </c>
      <c r="P54" s="17" t="str">
        <f t="shared" si="9"/>
        <v/>
      </c>
    </row>
    <row r="55" spans="1:16" ht="1.9" customHeight="1">
      <c r="A55" s="37"/>
      <c r="B55" s="16" t="str">
        <f t="shared" ca="1" si="5"/>
        <v/>
      </c>
      <c r="C55" s="17" t="str">
        <f>IF(A55="","",'41_Clasificacion_Empresas'!C55)</f>
        <v/>
      </c>
      <c r="D55" s="17" t="str">
        <f t="shared" si="6"/>
        <v/>
      </c>
      <c r="E55" s="17" t="str">
        <f>IF(A55="","",'41_Clasificacion_Empresas'!C55)</f>
        <v/>
      </c>
      <c r="F55" s="17" t="str">
        <f>IF(A55="","",'41_Clasificacion_Empresas'!E55)</f>
        <v/>
      </c>
      <c r="G55" s="17" t="str">
        <f>IF(A55="","",'41_Clasificacion_Empresas'!D55)</f>
        <v/>
      </c>
      <c r="H55" s="17" t="str">
        <f>IF(A55="","",'41_Clasificacion_Empresas'!D55)</f>
        <v/>
      </c>
      <c r="I55" s="17" t="str">
        <f t="shared" si="7"/>
        <v/>
      </c>
      <c r="J55" s="17" t="str">
        <f>IF(A55="","",'41_Clasificacion_Empresas'!F55)</f>
        <v/>
      </c>
      <c r="K55" s="17" t="str">
        <f>IF(A55="","",IF('41_Clasificacion_Empresas'!F55="A","Sí","No"))</f>
        <v/>
      </c>
      <c r="L55" s="17" t="str">
        <f>IF(A55="","",'41_Clasificacion_Empresas'!G55)</f>
        <v/>
      </c>
      <c r="M55" s="17" t="str">
        <f>IF(A55="","",IF('41_Clasificacion_Empresas'!F55="A","🟢 Oportunidad","🟡 En investigación"))</f>
        <v/>
      </c>
      <c r="N55" s="17" t="str">
        <f>IF(A55="","",'41_Clasificacion_Empresas'!M55)</f>
        <v/>
      </c>
      <c r="O55" s="16" t="str">
        <f t="shared" ca="1" si="8"/>
        <v/>
      </c>
      <c r="P55" s="17" t="str">
        <f t="shared" si="9"/>
        <v/>
      </c>
    </row>
    <row r="56" spans="1:16" ht="1.9" customHeight="1">
      <c r="A56" s="37"/>
      <c r="B56" s="16" t="str">
        <f t="shared" ca="1" si="5"/>
        <v/>
      </c>
      <c r="C56" s="17" t="str">
        <f>IF(A56="","",'41_Clasificacion_Empresas'!C56)</f>
        <v/>
      </c>
      <c r="D56" s="17" t="str">
        <f t="shared" si="6"/>
        <v/>
      </c>
      <c r="E56" s="17" t="str">
        <f>IF(A56="","",'41_Clasificacion_Empresas'!C56)</f>
        <v/>
      </c>
      <c r="F56" s="17" t="str">
        <f>IF(A56="","",'41_Clasificacion_Empresas'!E56)</f>
        <v/>
      </c>
      <c r="G56" s="17" t="str">
        <f>IF(A56="","",'41_Clasificacion_Empresas'!D56)</f>
        <v/>
      </c>
      <c r="H56" s="17" t="str">
        <f>IF(A56="","",'41_Clasificacion_Empresas'!D56)</f>
        <v/>
      </c>
      <c r="I56" s="17" t="str">
        <f t="shared" si="7"/>
        <v/>
      </c>
      <c r="J56" s="17" t="str">
        <f>IF(A56="","",'41_Clasificacion_Empresas'!F56)</f>
        <v/>
      </c>
      <c r="K56" s="17" t="str">
        <f>IF(A56="","",IF('41_Clasificacion_Empresas'!F56="A","Sí","No"))</f>
        <v/>
      </c>
      <c r="L56" s="17" t="str">
        <f>IF(A56="","",'41_Clasificacion_Empresas'!G56)</f>
        <v/>
      </c>
      <c r="M56" s="17" t="str">
        <f>IF(A56="","",IF('41_Clasificacion_Empresas'!F56="A","🟢 Oportunidad","🟡 En investigación"))</f>
        <v/>
      </c>
      <c r="N56" s="17" t="str">
        <f>IF(A56="","",'41_Clasificacion_Empresas'!M56)</f>
        <v/>
      </c>
      <c r="O56" s="16" t="str">
        <f t="shared" ca="1" si="8"/>
        <v/>
      </c>
      <c r="P56" s="17" t="str">
        <f t="shared" si="9"/>
        <v/>
      </c>
    </row>
    <row r="57" spans="1:16" ht="1.9" customHeight="1">
      <c r="A57" s="37"/>
      <c r="B57" s="16" t="str">
        <f t="shared" ca="1" si="5"/>
        <v/>
      </c>
      <c r="C57" s="17" t="str">
        <f>IF(A57="","",'41_Clasificacion_Empresas'!C57)</f>
        <v/>
      </c>
      <c r="D57" s="17" t="str">
        <f t="shared" si="6"/>
        <v/>
      </c>
      <c r="E57" s="17" t="str">
        <f>IF(A57="","",'41_Clasificacion_Empresas'!C57)</f>
        <v/>
      </c>
      <c r="F57" s="17" t="str">
        <f>IF(A57="","",'41_Clasificacion_Empresas'!E57)</f>
        <v/>
      </c>
      <c r="G57" s="17" t="str">
        <f>IF(A57="","",'41_Clasificacion_Empresas'!D57)</f>
        <v/>
      </c>
      <c r="H57" s="17" t="str">
        <f>IF(A57="","",'41_Clasificacion_Empresas'!D57)</f>
        <v/>
      </c>
      <c r="I57" s="17" t="str">
        <f t="shared" si="7"/>
        <v/>
      </c>
      <c r="J57" s="17" t="str">
        <f>IF(A57="","",'41_Clasificacion_Empresas'!F57)</f>
        <v/>
      </c>
      <c r="K57" s="17" t="str">
        <f>IF(A57="","",IF('41_Clasificacion_Empresas'!F57="A","Sí","No"))</f>
        <v/>
      </c>
      <c r="L57" s="17" t="str">
        <f>IF(A57="","",'41_Clasificacion_Empresas'!G57)</f>
        <v/>
      </c>
      <c r="M57" s="17" t="str">
        <f>IF(A57="","",IF('41_Clasificacion_Empresas'!F57="A","🟢 Oportunidad","🟡 En investigación"))</f>
        <v/>
      </c>
      <c r="N57" s="17" t="str">
        <f>IF(A57="","",'41_Clasificacion_Empresas'!M57)</f>
        <v/>
      </c>
      <c r="O57" s="16" t="str">
        <f t="shared" ca="1" si="8"/>
        <v/>
      </c>
      <c r="P57" s="17" t="str">
        <f t="shared" si="9"/>
        <v/>
      </c>
    </row>
    <row r="58" spans="1:16" ht="1.9" customHeight="1">
      <c r="A58" s="37"/>
      <c r="B58" s="16" t="str">
        <f t="shared" ca="1" si="5"/>
        <v/>
      </c>
      <c r="C58" s="17" t="str">
        <f>IF(A58="","",'41_Clasificacion_Empresas'!C58)</f>
        <v/>
      </c>
      <c r="D58" s="17" t="str">
        <f t="shared" si="6"/>
        <v/>
      </c>
      <c r="E58" s="17" t="str">
        <f>IF(A58="","",'41_Clasificacion_Empresas'!C58)</f>
        <v/>
      </c>
      <c r="F58" s="17" t="str">
        <f>IF(A58="","",'41_Clasificacion_Empresas'!E58)</f>
        <v/>
      </c>
      <c r="G58" s="17" t="str">
        <f>IF(A58="","",'41_Clasificacion_Empresas'!D58)</f>
        <v/>
      </c>
      <c r="H58" s="17" t="str">
        <f>IF(A58="","",'41_Clasificacion_Empresas'!D58)</f>
        <v/>
      </c>
      <c r="I58" s="17" t="str">
        <f t="shared" si="7"/>
        <v/>
      </c>
      <c r="J58" s="17" t="str">
        <f>IF(A58="","",'41_Clasificacion_Empresas'!F58)</f>
        <v/>
      </c>
      <c r="K58" s="17" t="str">
        <f>IF(A58="","",IF('41_Clasificacion_Empresas'!F58="A","Sí","No"))</f>
        <v/>
      </c>
      <c r="L58" s="17" t="str">
        <f>IF(A58="","",'41_Clasificacion_Empresas'!G58)</f>
        <v/>
      </c>
      <c r="M58" s="17" t="str">
        <f>IF(A58="","",IF('41_Clasificacion_Empresas'!F58="A","🟢 Oportunidad","🟡 En investigación"))</f>
        <v/>
      </c>
      <c r="N58" s="17" t="str">
        <f>IF(A58="","",'41_Clasificacion_Empresas'!M58)</f>
        <v/>
      </c>
      <c r="O58" s="16" t="str">
        <f t="shared" ca="1" si="8"/>
        <v/>
      </c>
      <c r="P58" s="17" t="str">
        <f t="shared" si="9"/>
        <v/>
      </c>
    </row>
    <row r="59" spans="1:16" ht="1.9" customHeight="1">
      <c r="A59" s="37"/>
      <c r="B59" s="16" t="str">
        <f t="shared" ca="1" si="5"/>
        <v/>
      </c>
      <c r="C59" s="17" t="str">
        <f>IF(A59="","",'41_Clasificacion_Empresas'!C59)</f>
        <v/>
      </c>
      <c r="D59" s="17" t="str">
        <f t="shared" si="6"/>
        <v/>
      </c>
      <c r="E59" s="17" t="str">
        <f>IF(A59="","",'41_Clasificacion_Empresas'!C59)</f>
        <v/>
      </c>
      <c r="F59" s="17" t="str">
        <f>IF(A59="","",'41_Clasificacion_Empresas'!E59)</f>
        <v/>
      </c>
      <c r="G59" s="17" t="str">
        <f>IF(A59="","",'41_Clasificacion_Empresas'!D59)</f>
        <v/>
      </c>
      <c r="H59" s="17" t="str">
        <f>IF(A59="","",'41_Clasificacion_Empresas'!D59)</f>
        <v/>
      </c>
      <c r="I59" s="17" t="str">
        <f t="shared" si="7"/>
        <v/>
      </c>
      <c r="J59" s="17" t="str">
        <f>IF(A59="","",'41_Clasificacion_Empresas'!F59)</f>
        <v/>
      </c>
      <c r="K59" s="17" t="str">
        <f>IF(A59="","",IF('41_Clasificacion_Empresas'!F59="A","Sí","No"))</f>
        <v/>
      </c>
      <c r="L59" s="17" t="str">
        <f>IF(A59="","",'41_Clasificacion_Empresas'!G59)</f>
        <v/>
      </c>
      <c r="M59" s="17" t="str">
        <f>IF(A59="","",IF('41_Clasificacion_Empresas'!F59="A","🟢 Oportunidad","🟡 En investigación"))</f>
        <v/>
      </c>
      <c r="N59" s="17" t="str">
        <f>IF(A59="","",'41_Clasificacion_Empresas'!M59)</f>
        <v/>
      </c>
      <c r="O59" s="16" t="str">
        <f t="shared" ca="1" si="8"/>
        <v/>
      </c>
      <c r="P59" s="17" t="str">
        <f t="shared" si="9"/>
        <v/>
      </c>
    </row>
    <row r="60" spans="1:16" ht="1.9" customHeight="1">
      <c r="A60" s="37"/>
      <c r="B60" s="16" t="str">
        <f t="shared" ca="1" si="5"/>
        <v/>
      </c>
      <c r="C60" s="17" t="str">
        <f>IF(A60="","",'41_Clasificacion_Empresas'!C60)</f>
        <v/>
      </c>
      <c r="D60" s="17" t="str">
        <f t="shared" si="6"/>
        <v/>
      </c>
      <c r="E60" s="17" t="str">
        <f>IF(A60="","",'41_Clasificacion_Empresas'!C60)</f>
        <v/>
      </c>
      <c r="F60" s="17" t="str">
        <f>IF(A60="","",'41_Clasificacion_Empresas'!E60)</f>
        <v/>
      </c>
      <c r="G60" s="17" t="str">
        <f>IF(A60="","",'41_Clasificacion_Empresas'!D60)</f>
        <v/>
      </c>
      <c r="H60" s="17" t="str">
        <f>IF(A60="","",'41_Clasificacion_Empresas'!D60)</f>
        <v/>
      </c>
      <c r="I60" s="17" t="str">
        <f t="shared" si="7"/>
        <v/>
      </c>
      <c r="J60" s="17" t="str">
        <f>IF(A60="","",'41_Clasificacion_Empresas'!F60)</f>
        <v/>
      </c>
      <c r="K60" s="17" t="str">
        <f>IF(A60="","",IF('41_Clasificacion_Empresas'!F60="A","Sí","No"))</f>
        <v/>
      </c>
      <c r="L60" s="17" t="str">
        <f>IF(A60="","",'41_Clasificacion_Empresas'!G60)</f>
        <v/>
      </c>
      <c r="M60" s="17" t="str">
        <f>IF(A60="","",IF('41_Clasificacion_Empresas'!F60="A","🟢 Oportunidad","🟡 En investigación"))</f>
        <v/>
      </c>
      <c r="N60" s="17" t="str">
        <f>IF(A60="","",'41_Clasificacion_Empresas'!M60)</f>
        <v/>
      </c>
      <c r="O60" s="16" t="str">
        <f t="shared" ca="1" si="8"/>
        <v/>
      </c>
      <c r="P60" s="17" t="str">
        <f t="shared" si="9"/>
        <v/>
      </c>
    </row>
    <row r="61" spans="1:16" ht="1.9" customHeight="1">
      <c r="A61" s="37"/>
      <c r="B61" s="16" t="str">
        <f t="shared" ca="1" si="5"/>
        <v/>
      </c>
      <c r="C61" s="17" t="str">
        <f>IF(A61="","",'41_Clasificacion_Empresas'!C61)</f>
        <v/>
      </c>
      <c r="D61" s="17" t="str">
        <f t="shared" si="6"/>
        <v/>
      </c>
      <c r="E61" s="17" t="str">
        <f>IF(A61="","",'41_Clasificacion_Empresas'!C61)</f>
        <v/>
      </c>
      <c r="F61" s="17" t="str">
        <f>IF(A61="","",'41_Clasificacion_Empresas'!E61)</f>
        <v/>
      </c>
      <c r="G61" s="17" t="str">
        <f>IF(A61="","",'41_Clasificacion_Empresas'!D61)</f>
        <v/>
      </c>
      <c r="H61" s="17" t="str">
        <f>IF(A61="","",'41_Clasificacion_Empresas'!D61)</f>
        <v/>
      </c>
      <c r="I61" s="17" t="str">
        <f t="shared" si="7"/>
        <v/>
      </c>
      <c r="J61" s="17" t="str">
        <f>IF(A61="","",'41_Clasificacion_Empresas'!F61)</f>
        <v/>
      </c>
      <c r="K61" s="17" t="str">
        <f>IF(A61="","",IF('41_Clasificacion_Empresas'!F61="A","Sí","No"))</f>
        <v/>
      </c>
      <c r="L61" s="17" t="str">
        <f>IF(A61="","",'41_Clasificacion_Empresas'!G61)</f>
        <v/>
      </c>
      <c r="M61" s="17" t="str">
        <f>IF(A61="","",IF('41_Clasificacion_Empresas'!F61="A","🟢 Oportunidad","🟡 En investigación"))</f>
        <v/>
      </c>
      <c r="N61" s="17" t="str">
        <f>IF(A61="","",'41_Clasificacion_Empresas'!M61)</f>
        <v/>
      </c>
      <c r="O61" s="16" t="str">
        <f t="shared" ca="1" si="8"/>
        <v/>
      </c>
      <c r="P61" s="17" t="str">
        <f t="shared" si="9"/>
        <v/>
      </c>
    </row>
    <row r="62" spans="1:16" ht="1.9" customHeight="1">
      <c r="A62" s="37"/>
      <c r="B62" s="16" t="str">
        <f t="shared" ca="1" si="5"/>
        <v/>
      </c>
      <c r="C62" s="17" t="str">
        <f>IF(A62="","",'41_Clasificacion_Empresas'!C62)</f>
        <v/>
      </c>
      <c r="D62" s="17" t="str">
        <f t="shared" si="6"/>
        <v/>
      </c>
      <c r="E62" s="17" t="str">
        <f>IF(A62="","",'41_Clasificacion_Empresas'!C62)</f>
        <v/>
      </c>
      <c r="F62" s="17" t="str">
        <f>IF(A62="","",'41_Clasificacion_Empresas'!E62)</f>
        <v/>
      </c>
      <c r="G62" s="17" t="str">
        <f>IF(A62="","",'41_Clasificacion_Empresas'!D62)</f>
        <v/>
      </c>
      <c r="H62" s="17" t="str">
        <f>IF(A62="","",'41_Clasificacion_Empresas'!D62)</f>
        <v/>
      </c>
      <c r="I62" s="17" t="str">
        <f t="shared" si="7"/>
        <v/>
      </c>
      <c r="J62" s="17" t="str">
        <f>IF(A62="","",'41_Clasificacion_Empresas'!F62)</f>
        <v/>
      </c>
      <c r="K62" s="17" t="str">
        <f>IF(A62="","",IF('41_Clasificacion_Empresas'!F62="A","Sí","No"))</f>
        <v/>
      </c>
      <c r="L62" s="17" t="str">
        <f>IF(A62="","",'41_Clasificacion_Empresas'!G62)</f>
        <v/>
      </c>
      <c r="M62" s="17" t="str">
        <f>IF(A62="","",IF('41_Clasificacion_Empresas'!F62="A","🟢 Oportunidad","🟡 En investigación"))</f>
        <v/>
      </c>
      <c r="N62" s="17" t="str">
        <f>IF(A62="","",'41_Clasificacion_Empresas'!M62)</f>
        <v/>
      </c>
      <c r="O62" s="16" t="str">
        <f t="shared" ca="1" si="8"/>
        <v/>
      </c>
      <c r="P62" s="17" t="str">
        <f t="shared" si="9"/>
        <v/>
      </c>
    </row>
    <row r="63" spans="1:16" ht="1.9" customHeight="1">
      <c r="A63" s="37"/>
      <c r="B63" s="16" t="str">
        <f t="shared" ca="1" si="5"/>
        <v/>
      </c>
      <c r="C63" s="17" t="str">
        <f>IF(A63="","",'41_Clasificacion_Empresas'!C63)</f>
        <v/>
      </c>
      <c r="D63" s="17" t="str">
        <f t="shared" si="6"/>
        <v/>
      </c>
      <c r="E63" s="17" t="str">
        <f>IF(A63="","",'41_Clasificacion_Empresas'!C63)</f>
        <v/>
      </c>
      <c r="F63" s="17" t="str">
        <f>IF(A63="","",'41_Clasificacion_Empresas'!E63)</f>
        <v/>
      </c>
      <c r="G63" s="17" t="str">
        <f>IF(A63="","",'41_Clasificacion_Empresas'!D63)</f>
        <v/>
      </c>
      <c r="H63" s="17" t="str">
        <f>IF(A63="","",'41_Clasificacion_Empresas'!D63)</f>
        <v/>
      </c>
      <c r="I63" s="17" t="str">
        <f t="shared" si="7"/>
        <v/>
      </c>
      <c r="J63" s="17" t="str">
        <f>IF(A63="","",'41_Clasificacion_Empresas'!F63)</f>
        <v/>
      </c>
      <c r="K63" s="17" t="str">
        <f>IF(A63="","",IF('41_Clasificacion_Empresas'!F63="A","Sí","No"))</f>
        <v/>
      </c>
      <c r="L63" s="17" t="str">
        <f>IF(A63="","",'41_Clasificacion_Empresas'!G63)</f>
        <v/>
      </c>
      <c r="M63" s="17" t="str">
        <f>IF(A63="","",IF('41_Clasificacion_Empresas'!F63="A","🟢 Oportunidad","🟡 En investigación"))</f>
        <v/>
      </c>
      <c r="N63" s="17" t="str">
        <f>IF(A63="","",'41_Clasificacion_Empresas'!M63)</f>
        <v/>
      </c>
      <c r="O63" s="16" t="str">
        <f t="shared" ca="1" si="8"/>
        <v/>
      </c>
      <c r="P63" s="17" t="str">
        <f t="shared" si="9"/>
        <v/>
      </c>
    </row>
    <row r="64" spans="1:16" ht="1.9" customHeight="1">
      <c r="A64" s="37"/>
      <c r="B64" s="16" t="str">
        <f t="shared" ca="1" si="5"/>
        <v/>
      </c>
      <c r="C64" s="17" t="str">
        <f>IF(A64="","",'41_Clasificacion_Empresas'!C64)</f>
        <v/>
      </c>
      <c r="D64" s="17" t="str">
        <f t="shared" si="6"/>
        <v/>
      </c>
      <c r="E64" s="17" t="str">
        <f>IF(A64="","",'41_Clasificacion_Empresas'!C64)</f>
        <v/>
      </c>
      <c r="F64" s="17" t="str">
        <f>IF(A64="","",'41_Clasificacion_Empresas'!E64)</f>
        <v/>
      </c>
      <c r="G64" s="17" t="str">
        <f>IF(A64="","",'41_Clasificacion_Empresas'!D64)</f>
        <v/>
      </c>
      <c r="H64" s="17" t="str">
        <f>IF(A64="","",'41_Clasificacion_Empresas'!D64)</f>
        <v/>
      </c>
      <c r="I64" s="17" t="str">
        <f t="shared" si="7"/>
        <v/>
      </c>
      <c r="J64" s="17" t="str">
        <f>IF(A64="","",'41_Clasificacion_Empresas'!F64)</f>
        <v/>
      </c>
      <c r="K64" s="17" t="str">
        <f>IF(A64="","",IF('41_Clasificacion_Empresas'!F64="A","Sí","No"))</f>
        <v/>
      </c>
      <c r="L64" s="17" t="str">
        <f>IF(A64="","",'41_Clasificacion_Empresas'!G64)</f>
        <v/>
      </c>
      <c r="M64" s="17" t="str">
        <f>IF(A64="","",IF('41_Clasificacion_Empresas'!F64="A","🟢 Oportunidad","🟡 En investigación"))</f>
        <v/>
      </c>
      <c r="N64" s="17" t="str">
        <f>IF(A64="","",'41_Clasificacion_Empresas'!M64)</f>
        <v/>
      </c>
      <c r="O64" s="16" t="str">
        <f t="shared" ca="1" si="8"/>
        <v/>
      </c>
      <c r="P64" s="17" t="str">
        <f t="shared" si="9"/>
        <v/>
      </c>
    </row>
    <row r="65" spans="1:16" ht="1.9" customHeight="1">
      <c r="A65" s="37"/>
      <c r="B65" s="16" t="str">
        <f t="shared" ca="1" si="5"/>
        <v/>
      </c>
      <c r="C65" s="17" t="str">
        <f>IF(A65="","",'41_Clasificacion_Empresas'!C65)</f>
        <v/>
      </c>
      <c r="D65" s="17" t="str">
        <f t="shared" si="6"/>
        <v/>
      </c>
      <c r="E65" s="17" t="str">
        <f>IF(A65="","",'41_Clasificacion_Empresas'!C65)</f>
        <v/>
      </c>
      <c r="F65" s="17" t="str">
        <f>IF(A65="","",'41_Clasificacion_Empresas'!E65)</f>
        <v/>
      </c>
      <c r="G65" s="17" t="str">
        <f>IF(A65="","",'41_Clasificacion_Empresas'!D65)</f>
        <v/>
      </c>
      <c r="H65" s="17" t="str">
        <f>IF(A65="","",'41_Clasificacion_Empresas'!D65)</f>
        <v/>
      </c>
      <c r="I65" s="17" t="str">
        <f t="shared" si="7"/>
        <v/>
      </c>
      <c r="J65" s="17" t="str">
        <f>IF(A65="","",'41_Clasificacion_Empresas'!F65)</f>
        <v/>
      </c>
      <c r="K65" s="17" t="str">
        <f>IF(A65="","",IF('41_Clasificacion_Empresas'!F65="A","Sí","No"))</f>
        <v/>
      </c>
      <c r="L65" s="17" t="str">
        <f>IF(A65="","",'41_Clasificacion_Empresas'!G65)</f>
        <v/>
      </c>
      <c r="M65" s="17" t="str">
        <f>IF(A65="","",IF('41_Clasificacion_Empresas'!F65="A","🟢 Oportunidad","🟡 En investigación"))</f>
        <v/>
      </c>
      <c r="N65" s="17" t="str">
        <f>IF(A65="","",'41_Clasificacion_Empresas'!M65)</f>
        <v/>
      </c>
      <c r="O65" s="16" t="str">
        <f t="shared" ca="1" si="8"/>
        <v/>
      </c>
      <c r="P65" s="17" t="str">
        <f t="shared" si="9"/>
        <v/>
      </c>
    </row>
    <row r="66" spans="1:16" ht="1.9" customHeight="1">
      <c r="A66" s="37"/>
      <c r="B66" s="16" t="str">
        <f t="shared" ca="1" si="5"/>
        <v/>
      </c>
      <c r="C66" s="17" t="str">
        <f>IF(A66="","",'41_Clasificacion_Empresas'!C66)</f>
        <v/>
      </c>
      <c r="D66" s="17" t="str">
        <f t="shared" si="6"/>
        <v/>
      </c>
      <c r="E66" s="17" t="str">
        <f>IF(A66="","",'41_Clasificacion_Empresas'!C66)</f>
        <v/>
      </c>
      <c r="F66" s="17" t="str">
        <f>IF(A66="","",'41_Clasificacion_Empresas'!E66)</f>
        <v/>
      </c>
      <c r="G66" s="17" t="str">
        <f>IF(A66="","",'41_Clasificacion_Empresas'!D66)</f>
        <v/>
      </c>
      <c r="H66" s="17" t="str">
        <f>IF(A66="","",'41_Clasificacion_Empresas'!D66)</f>
        <v/>
      </c>
      <c r="I66" s="17" t="str">
        <f t="shared" si="7"/>
        <v/>
      </c>
      <c r="J66" s="17" t="str">
        <f>IF(A66="","",'41_Clasificacion_Empresas'!F66)</f>
        <v/>
      </c>
      <c r="K66" s="17" t="str">
        <f>IF(A66="","",IF('41_Clasificacion_Empresas'!F66="A","Sí","No"))</f>
        <v/>
      </c>
      <c r="L66" s="17" t="str">
        <f>IF(A66="","",'41_Clasificacion_Empresas'!G66)</f>
        <v/>
      </c>
      <c r="M66" s="17" t="str">
        <f>IF(A66="","",IF('41_Clasificacion_Empresas'!F66="A","🟢 Oportunidad","🟡 En investigación"))</f>
        <v/>
      </c>
      <c r="N66" s="17" t="str">
        <f>IF(A66="","",'41_Clasificacion_Empresas'!M66)</f>
        <v/>
      </c>
      <c r="O66" s="16" t="str">
        <f t="shared" ca="1" si="8"/>
        <v/>
      </c>
      <c r="P66" s="17" t="str">
        <f t="shared" si="9"/>
        <v/>
      </c>
    </row>
    <row r="67" spans="1:16" ht="1.9" customHeight="1">
      <c r="A67" s="37"/>
      <c r="B67" s="16" t="str">
        <f t="shared" ca="1" si="5"/>
        <v/>
      </c>
      <c r="C67" s="17" t="str">
        <f>IF(A67="","",'41_Clasificacion_Empresas'!C67)</f>
        <v/>
      </c>
      <c r="D67" s="17" t="str">
        <f t="shared" si="6"/>
        <v/>
      </c>
      <c r="E67" s="17" t="str">
        <f>IF(A67="","",'41_Clasificacion_Empresas'!C67)</f>
        <v/>
      </c>
      <c r="F67" s="17" t="str">
        <f>IF(A67="","",'41_Clasificacion_Empresas'!E67)</f>
        <v/>
      </c>
      <c r="G67" s="17" t="str">
        <f>IF(A67="","",'41_Clasificacion_Empresas'!D67)</f>
        <v/>
      </c>
      <c r="H67" s="17" t="str">
        <f>IF(A67="","",'41_Clasificacion_Empresas'!D67)</f>
        <v/>
      </c>
      <c r="I67" s="17" t="str">
        <f t="shared" si="7"/>
        <v/>
      </c>
      <c r="J67" s="17" t="str">
        <f>IF(A67="","",'41_Clasificacion_Empresas'!F67)</f>
        <v/>
      </c>
      <c r="K67" s="17" t="str">
        <f>IF(A67="","",IF('41_Clasificacion_Empresas'!F67="A","Sí","No"))</f>
        <v/>
      </c>
      <c r="L67" s="17" t="str">
        <f>IF(A67="","",'41_Clasificacion_Empresas'!G67)</f>
        <v/>
      </c>
      <c r="M67" s="17" t="str">
        <f>IF(A67="","",IF('41_Clasificacion_Empresas'!F67="A","🟢 Oportunidad","🟡 En investigación"))</f>
        <v/>
      </c>
      <c r="N67" s="17" t="str">
        <f>IF(A67="","",'41_Clasificacion_Empresas'!M67)</f>
        <v/>
      </c>
      <c r="O67" s="16" t="str">
        <f t="shared" ca="1" si="8"/>
        <v/>
      </c>
      <c r="P67" s="17" t="str">
        <f t="shared" si="9"/>
        <v/>
      </c>
    </row>
    <row r="68" spans="1:16" ht="1.9" customHeight="1">
      <c r="A68" s="37"/>
      <c r="B68" s="16" t="str">
        <f t="shared" ca="1" si="5"/>
        <v/>
      </c>
      <c r="C68" s="17" t="str">
        <f>IF(A68="","",'41_Clasificacion_Empresas'!C68)</f>
        <v/>
      </c>
      <c r="D68" s="17" t="str">
        <f t="shared" si="6"/>
        <v/>
      </c>
      <c r="E68" s="17" t="str">
        <f>IF(A68="","",'41_Clasificacion_Empresas'!C68)</f>
        <v/>
      </c>
      <c r="F68" s="17" t="str">
        <f>IF(A68="","",'41_Clasificacion_Empresas'!E68)</f>
        <v/>
      </c>
      <c r="G68" s="17" t="str">
        <f>IF(A68="","",'41_Clasificacion_Empresas'!D68)</f>
        <v/>
      </c>
      <c r="H68" s="17" t="str">
        <f>IF(A68="","",'41_Clasificacion_Empresas'!D68)</f>
        <v/>
      </c>
      <c r="I68" s="17" t="str">
        <f t="shared" si="7"/>
        <v/>
      </c>
      <c r="J68" s="17" t="str">
        <f>IF(A68="","",'41_Clasificacion_Empresas'!F68)</f>
        <v/>
      </c>
      <c r="K68" s="17" t="str">
        <f>IF(A68="","",IF('41_Clasificacion_Empresas'!F68="A","Sí","No"))</f>
        <v/>
      </c>
      <c r="L68" s="17" t="str">
        <f>IF(A68="","",'41_Clasificacion_Empresas'!G68)</f>
        <v/>
      </c>
      <c r="M68" s="17" t="str">
        <f>IF(A68="","",IF('41_Clasificacion_Empresas'!F68="A","🟢 Oportunidad","🟡 En investigación"))</f>
        <v/>
      </c>
      <c r="N68" s="17" t="str">
        <f>IF(A68="","",'41_Clasificacion_Empresas'!M68)</f>
        <v/>
      </c>
      <c r="O68" s="16" t="str">
        <f t="shared" ca="1" si="8"/>
        <v/>
      </c>
      <c r="P68" s="17" t="str">
        <f t="shared" si="9"/>
        <v/>
      </c>
    </row>
    <row r="69" spans="1:16" ht="1.9" customHeight="1">
      <c r="A69" s="37"/>
      <c r="B69" s="16" t="str">
        <f t="shared" ref="B69:B100" ca="1" si="10">IF(A69="","",TODAY())</f>
        <v/>
      </c>
      <c r="C69" s="17" t="str">
        <f>IF(A69="","",'41_Clasificacion_Empresas'!C69)</f>
        <v/>
      </c>
      <c r="D69" s="17" t="str">
        <f t="shared" ref="D69:D100" si="11">IF(A69="","","Por definir")</f>
        <v/>
      </c>
      <c r="E69" s="17" t="str">
        <f>IF(A69="","",'41_Clasificacion_Empresas'!C69)</f>
        <v/>
      </c>
      <c r="F69" s="17" t="str">
        <f>IF(A69="","",'41_Clasificacion_Empresas'!E69)</f>
        <v/>
      </c>
      <c r="G69" s="17" t="str">
        <f>IF(A69="","",'41_Clasificacion_Empresas'!D69)</f>
        <v/>
      </c>
      <c r="H69" s="17" t="str">
        <f>IF(A69="","",'41_Clasificacion_Empresas'!D69)</f>
        <v/>
      </c>
      <c r="I69" s="17" t="str">
        <f t="shared" ref="I69:I100" si="12">IF(A69="","","Empresa / mercado")</f>
        <v/>
      </c>
      <c r="J69" s="17" t="str">
        <f>IF(A69="","",'41_Clasificacion_Empresas'!F69)</f>
        <v/>
      </c>
      <c r="K69" s="17" t="str">
        <f>IF(A69="","",IF('41_Clasificacion_Empresas'!F69="A","Sí","No"))</f>
        <v/>
      </c>
      <c r="L69" s="17" t="str">
        <f>IF(A69="","",'41_Clasificacion_Empresas'!G69)</f>
        <v/>
      </c>
      <c r="M69" s="17" t="str">
        <f>IF(A69="","",IF('41_Clasificacion_Empresas'!F69="A","🟢 Oportunidad","🟡 En investigación"))</f>
        <v/>
      </c>
      <c r="N69" s="17" t="str">
        <f>IF(A69="","",'41_Clasificacion_Empresas'!M69)</f>
        <v/>
      </c>
      <c r="O69" s="16" t="str">
        <f t="shared" ref="O69:O100" ca="1" si="13">IF(A69="","",TODAY()+7)</f>
        <v/>
      </c>
      <c r="P69" s="17" t="str">
        <f t="shared" ref="P69:P100" si="14">IF(A69="","","Fuente: 40→41→32→33→30")</f>
        <v/>
      </c>
    </row>
    <row r="70" spans="1:16" ht="1.9" customHeight="1">
      <c r="A70" s="37"/>
      <c r="B70" s="16" t="str">
        <f t="shared" ca="1" si="10"/>
        <v/>
      </c>
      <c r="C70" s="17" t="str">
        <f>IF(A70="","",'41_Clasificacion_Empresas'!C70)</f>
        <v/>
      </c>
      <c r="D70" s="17" t="str">
        <f t="shared" si="11"/>
        <v/>
      </c>
      <c r="E70" s="17" t="str">
        <f>IF(A70="","",'41_Clasificacion_Empresas'!C70)</f>
        <v/>
      </c>
      <c r="F70" s="17" t="str">
        <f>IF(A70="","",'41_Clasificacion_Empresas'!E70)</f>
        <v/>
      </c>
      <c r="G70" s="17" t="str">
        <f>IF(A70="","",'41_Clasificacion_Empresas'!D70)</f>
        <v/>
      </c>
      <c r="H70" s="17" t="str">
        <f>IF(A70="","",'41_Clasificacion_Empresas'!D70)</f>
        <v/>
      </c>
      <c r="I70" s="17" t="str">
        <f t="shared" si="12"/>
        <v/>
      </c>
      <c r="J70" s="17" t="str">
        <f>IF(A70="","",'41_Clasificacion_Empresas'!F70)</f>
        <v/>
      </c>
      <c r="K70" s="17" t="str">
        <f>IF(A70="","",IF('41_Clasificacion_Empresas'!F70="A","Sí","No"))</f>
        <v/>
      </c>
      <c r="L70" s="17" t="str">
        <f>IF(A70="","",'41_Clasificacion_Empresas'!G70)</f>
        <v/>
      </c>
      <c r="M70" s="17" t="str">
        <f>IF(A70="","",IF('41_Clasificacion_Empresas'!F70="A","🟢 Oportunidad","🟡 En investigación"))</f>
        <v/>
      </c>
      <c r="N70" s="17" t="str">
        <f>IF(A70="","",'41_Clasificacion_Empresas'!M70)</f>
        <v/>
      </c>
      <c r="O70" s="16" t="str">
        <f t="shared" ca="1" si="13"/>
        <v/>
      </c>
      <c r="P70" s="17" t="str">
        <f t="shared" si="14"/>
        <v/>
      </c>
    </row>
    <row r="71" spans="1:16" ht="1.9" customHeight="1">
      <c r="A71" s="37"/>
      <c r="B71" s="16" t="str">
        <f t="shared" ca="1" si="10"/>
        <v/>
      </c>
      <c r="C71" s="17" t="str">
        <f>IF(A71="","",'41_Clasificacion_Empresas'!C71)</f>
        <v/>
      </c>
      <c r="D71" s="17" t="str">
        <f t="shared" si="11"/>
        <v/>
      </c>
      <c r="E71" s="17" t="str">
        <f>IF(A71="","",'41_Clasificacion_Empresas'!C71)</f>
        <v/>
      </c>
      <c r="F71" s="17" t="str">
        <f>IF(A71="","",'41_Clasificacion_Empresas'!E71)</f>
        <v/>
      </c>
      <c r="G71" s="17" t="str">
        <f>IF(A71="","",'41_Clasificacion_Empresas'!D71)</f>
        <v/>
      </c>
      <c r="H71" s="17" t="str">
        <f>IF(A71="","",'41_Clasificacion_Empresas'!D71)</f>
        <v/>
      </c>
      <c r="I71" s="17" t="str">
        <f t="shared" si="12"/>
        <v/>
      </c>
      <c r="J71" s="17" t="str">
        <f>IF(A71="","",'41_Clasificacion_Empresas'!F71)</f>
        <v/>
      </c>
      <c r="K71" s="17" t="str">
        <f>IF(A71="","",IF('41_Clasificacion_Empresas'!F71="A","Sí","No"))</f>
        <v/>
      </c>
      <c r="L71" s="17" t="str">
        <f>IF(A71="","",'41_Clasificacion_Empresas'!G71)</f>
        <v/>
      </c>
      <c r="M71" s="17" t="str">
        <f>IF(A71="","",IF('41_Clasificacion_Empresas'!F71="A","🟢 Oportunidad","🟡 En investigación"))</f>
        <v/>
      </c>
      <c r="N71" s="17" t="str">
        <f>IF(A71="","",'41_Clasificacion_Empresas'!M71)</f>
        <v/>
      </c>
      <c r="O71" s="16" t="str">
        <f t="shared" ca="1" si="13"/>
        <v/>
      </c>
      <c r="P71" s="17" t="str">
        <f t="shared" si="14"/>
        <v/>
      </c>
    </row>
    <row r="72" spans="1:16" ht="1.9" customHeight="1">
      <c r="A72" s="37"/>
      <c r="B72" s="16" t="str">
        <f t="shared" ca="1" si="10"/>
        <v/>
      </c>
      <c r="C72" s="17" t="str">
        <f>IF(A72="","",'41_Clasificacion_Empresas'!C72)</f>
        <v/>
      </c>
      <c r="D72" s="17" t="str">
        <f t="shared" si="11"/>
        <v/>
      </c>
      <c r="E72" s="17" t="str">
        <f>IF(A72="","",'41_Clasificacion_Empresas'!C72)</f>
        <v/>
      </c>
      <c r="F72" s="17" t="str">
        <f>IF(A72="","",'41_Clasificacion_Empresas'!E72)</f>
        <v/>
      </c>
      <c r="G72" s="17" t="str">
        <f>IF(A72="","",'41_Clasificacion_Empresas'!D72)</f>
        <v/>
      </c>
      <c r="H72" s="17" t="str">
        <f>IF(A72="","",'41_Clasificacion_Empresas'!D72)</f>
        <v/>
      </c>
      <c r="I72" s="17" t="str">
        <f t="shared" si="12"/>
        <v/>
      </c>
      <c r="J72" s="17" t="str">
        <f>IF(A72="","",'41_Clasificacion_Empresas'!F72)</f>
        <v/>
      </c>
      <c r="K72" s="17" t="str">
        <f>IF(A72="","",IF('41_Clasificacion_Empresas'!F72="A","Sí","No"))</f>
        <v/>
      </c>
      <c r="L72" s="17" t="str">
        <f>IF(A72="","",'41_Clasificacion_Empresas'!G72)</f>
        <v/>
      </c>
      <c r="M72" s="17" t="str">
        <f>IF(A72="","",IF('41_Clasificacion_Empresas'!F72="A","🟢 Oportunidad","🟡 En investigación"))</f>
        <v/>
      </c>
      <c r="N72" s="17" t="str">
        <f>IF(A72="","",'41_Clasificacion_Empresas'!M72)</f>
        <v/>
      </c>
      <c r="O72" s="16" t="str">
        <f t="shared" ca="1" si="13"/>
        <v/>
      </c>
      <c r="P72" s="17" t="str">
        <f t="shared" si="14"/>
        <v/>
      </c>
    </row>
    <row r="73" spans="1:16" ht="1.9" customHeight="1">
      <c r="A73" s="37"/>
      <c r="B73" s="16" t="str">
        <f t="shared" ca="1" si="10"/>
        <v/>
      </c>
      <c r="C73" s="17" t="str">
        <f>IF(A73="","",'41_Clasificacion_Empresas'!C73)</f>
        <v/>
      </c>
      <c r="D73" s="17" t="str">
        <f t="shared" si="11"/>
        <v/>
      </c>
      <c r="E73" s="17" t="str">
        <f>IF(A73="","",'41_Clasificacion_Empresas'!C73)</f>
        <v/>
      </c>
      <c r="F73" s="17" t="str">
        <f>IF(A73="","",'41_Clasificacion_Empresas'!E73)</f>
        <v/>
      </c>
      <c r="G73" s="17" t="str">
        <f>IF(A73="","",'41_Clasificacion_Empresas'!D73)</f>
        <v/>
      </c>
      <c r="H73" s="17" t="str">
        <f>IF(A73="","",'41_Clasificacion_Empresas'!D73)</f>
        <v/>
      </c>
      <c r="I73" s="17" t="str">
        <f t="shared" si="12"/>
        <v/>
      </c>
      <c r="J73" s="17" t="str">
        <f>IF(A73="","",'41_Clasificacion_Empresas'!F73)</f>
        <v/>
      </c>
      <c r="K73" s="17" t="str">
        <f>IF(A73="","",IF('41_Clasificacion_Empresas'!F73="A","Sí","No"))</f>
        <v/>
      </c>
      <c r="L73" s="17" t="str">
        <f>IF(A73="","",'41_Clasificacion_Empresas'!G73)</f>
        <v/>
      </c>
      <c r="M73" s="17" t="str">
        <f>IF(A73="","",IF('41_Clasificacion_Empresas'!F73="A","🟢 Oportunidad","🟡 En investigación"))</f>
        <v/>
      </c>
      <c r="N73" s="17" t="str">
        <f>IF(A73="","",'41_Clasificacion_Empresas'!M73)</f>
        <v/>
      </c>
      <c r="O73" s="16" t="str">
        <f t="shared" ca="1" si="13"/>
        <v/>
      </c>
      <c r="P73" s="17" t="str">
        <f t="shared" si="14"/>
        <v/>
      </c>
    </row>
    <row r="74" spans="1:16" ht="1.9" customHeight="1">
      <c r="A74" s="37"/>
      <c r="B74" s="16" t="str">
        <f t="shared" ca="1" si="10"/>
        <v/>
      </c>
      <c r="C74" s="17" t="str">
        <f>IF(A74="","",'41_Clasificacion_Empresas'!C74)</f>
        <v/>
      </c>
      <c r="D74" s="17" t="str">
        <f t="shared" si="11"/>
        <v/>
      </c>
      <c r="E74" s="17" t="str">
        <f>IF(A74="","",'41_Clasificacion_Empresas'!C74)</f>
        <v/>
      </c>
      <c r="F74" s="17" t="str">
        <f>IF(A74="","",'41_Clasificacion_Empresas'!E74)</f>
        <v/>
      </c>
      <c r="G74" s="17" t="str">
        <f>IF(A74="","",'41_Clasificacion_Empresas'!D74)</f>
        <v/>
      </c>
      <c r="H74" s="17" t="str">
        <f>IF(A74="","",'41_Clasificacion_Empresas'!D74)</f>
        <v/>
      </c>
      <c r="I74" s="17" t="str">
        <f t="shared" si="12"/>
        <v/>
      </c>
      <c r="J74" s="17" t="str">
        <f>IF(A74="","",'41_Clasificacion_Empresas'!F74)</f>
        <v/>
      </c>
      <c r="K74" s="17" t="str">
        <f>IF(A74="","",IF('41_Clasificacion_Empresas'!F74="A","Sí","No"))</f>
        <v/>
      </c>
      <c r="L74" s="17" t="str">
        <f>IF(A74="","",'41_Clasificacion_Empresas'!G74)</f>
        <v/>
      </c>
      <c r="M74" s="17" t="str">
        <f>IF(A74="","",IF('41_Clasificacion_Empresas'!F74="A","🟢 Oportunidad","🟡 En investigación"))</f>
        <v/>
      </c>
      <c r="N74" s="17" t="str">
        <f>IF(A74="","",'41_Clasificacion_Empresas'!M74)</f>
        <v/>
      </c>
      <c r="O74" s="16" t="str">
        <f t="shared" ca="1" si="13"/>
        <v/>
      </c>
      <c r="P74" s="17" t="str">
        <f t="shared" si="14"/>
        <v/>
      </c>
    </row>
    <row r="75" spans="1:16" ht="1.9" customHeight="1">
      <c r="A75" s="37"/>
      <c r="B75" s="16" t="str">
        <f t="shared" ca="1" si="10"/>
        <v/>
      </c>
      <c r="C75" s="17" t="str">
        <f>IF(A75="","",'41_Clasificacion_Empresas'!C75)</f>
        <v/>
      </c>
      <c r="D75" s="17" t="str">
        <f t="shared" si="11"/>
        <v/>
      </c>
      <c r="E75" s="17" t="str">
        <f>IF(A75="","",'41_Clasificacion_Empresas'!C75)</f>
        <v/>
      </c>
      <c r="F75" s="17" t="str">
        <f>IF(A75="","",'41_Clasificacion_Empresas'!E75)</f>
        <v/>
      </c>
      <c r="G75" s="17" t="str">
        <f>IF(A75="","",'41_Clasificacion_Empresas'!D75)</f>
        <v/>
      </c>
      <c r="H75" s="17" t="str">
        <f>IF(A75="","",'41_Clasificacion_Empresas'!D75)</f>
        <v/>
      </c>
      <c r="I75" s="17" t="str">
        <f t="shared" si="12"/>
        <v/>
      </c>
      <c r="J75" s="17" t="str">
        <f>IF(A75="","",'41_Clasificacion_Empresas'!F75)</f>
        <v/>
      </c>
      <c r="K75" s="17" t="str">
        <f>IF(A75="","",IF('41_Clasificacion_Empresas'!F75="A","Sí","No"))</f>
        <v/>
      </c>
      <c r="L75" s="17" t="str">
        <f>IF(A75="","",'41_Clasificacion_Empresas'!G75)</f>
        <v/>
      </c>
      <c r="M75" s="17" t="str">
        <f>IF(A75="","",IF('41_Clasificacion_Empresas'!F75="A","🟢 Oportunidad","🟡 En investigación"))</f>
        <v/>
      </c>
      <c r="N75" s="17" t="str">
        <f>IF(A75="","",'41_Clasificacion_Empresas'!M75)</f>
        <v/>
      </c>
      <c r="O75" s="16" t="str">
        <f t="shared" ca="1" si="13"/>
        <v/>
      </c>
      <c r="P75" s="17" t="str">
        <f t="shared" si="14"/>
        <v/>
      </c>
    </row>
    <row r="76" spans="1:16" ht="1.9" customHeight="1">
      <c r="A76" s="37"/>
      <c r="B76" s="16" t="str">
        <f t="shared" ca="1" si="10"/>
        <v/>
      </c>
      <c r="C76" s="17" t="str">
        <f>IF(A76="","",'41_Clasificacion_Empresas'!C76)</f>
        <v/>
      </c>
      <c r="D76" s="17" t="str">
        <f t="shared" si="11"/>
        <v/>
      </c>
      <c r="E76" s="17" t="str">
        <f>IF(A76="","",'41_Clasificacion_Empresas'!C76)</f>
        <v/>
      </c>
      <c r="F76" s="17" t="str">
        <f>IF(A76="","",'41_Clasificacion_Empresas'!E76)</f>
        <v/>
      </c>
      <c r="G76" s="17" t="str">
        <f>IF(A76="","",'41_Clasificacion_Empresas'!D76)</f>
        <v/>
      </c>
      <c r="H76" s="17" t="str">
        <f>IF(A76="","",'41_Clasificacion_Empresas'!D76)</f>
        <v/>
      </c>
      <c r="I76" s="17" t="str">
        <f t="shared" si="12"/>
        <v/>
      </c>
      <c r="J76" s="17" t="str">
        <f>IF(A76="","",'41_Clasificacion_Empresas'!F76)</f>
        <v/>
      </c>
      <c r="K76" s="17" t="str">
        <f>IF(A76="","",IF('41_Clasificacion_Empresas'!F76="A","Sí","No"))</f>
        <v/>
      </c>
      <c r="L76" s="17" t="str">
        <f>IF(A76="","",'41_Clasificacion_Empresas'!G76)</f>
        <v/>
      </c>
      <c r="M76" s="17" t="str">
        <f>IF(A76="","",IF('41_Clasificacion_Empresas'!F76="A","🟢 Oportunidad","🟡 En investigación"))</f>
        <v/>
      </c>
      <c r="N76" s="17" t="str">
        <f>IF(A76="","",'41_Clasificacion_Empresas'!M76)</f>
        <v/>
      </c>
      <c r="O76" s="16" t="str">
        <f t="shared" ca="1" si="13"/>
        <v/>
      </c>
      <c r="P76" s="17" t="str">
        <f t="shared" si="14"/>
        <v/>
      </c>
    </row>
    <row r="77" spans="1:16" ht="1.9" customHeight="1">
      <c r="A77" s="37"/>
      <c r="B77" s="16" t="str">
        <f t="shared" ca="1" si="10"/>
        <v/>
      </c>
      <c r="C77" s="17" t="str">
        <f>IF(A77="","",'41_Clasificacion_Empresas'!C77)</f>
        <v/>
      </c>
      <c r="D77" s="17" t="str">
        <f t="shared" si="11"/>
        <v/>
      </c>
      <c r="E77" s="17" t="str">
        <f>IF(A77="","",'41_Clasificacion_Empresas'!C77)</f>
        <v/>
      </c>
      <c r="F77" s="17" t="str">
        <f>IF(A77="","",'41_Clasificacion_Empresas'!E77)</f>
        <v/>
      </c>
      <c r="G77" s="17" t="str">
        <f>IF(A77="","",'41_Clasificacion_Empresas'!D77)</f>
        <v/>
      </c>
      <c r="H77" s="17" t="str">
        <f>IF(A77="","",'41_Clasificacion_Empresas'!D77)</f>
        <v/>
      </c>
      <c r="I77" s="17" t="str">
        <f t="shared" si="12"/>
        <v/>
      </c>
      <c r="J77" s="17" t="str">
        <f>IF(A77="","",'41_Clasificacion_Empresas'!F77)</f>
        <v/>
      </c>
      <c r="K77" s="17" t="str">
        <f>IF(A77="","",IF('41_Clasificacion_Empresas'!F77="A","Sí","No"))</f>
        <v/>
      </c>
      <c r="L77" s="17" t="str">
        <f>IF(A77="","",'41_Clasificacion_Empresas'!G77)</f>
        <v/>
      </c>
      <c r="M77" s="17" t="str">
        <f>IF(A77="","",IF('41_Clasificacion_Empresas'!F77="A","🟢 Oportunidad","🟡 En investigación"))</f>
        <v/>
      </c>
      <c r="N77" s="17" t="str">
        <f>IF(A77="","",'41_Clasificacion_Empresas'!M77)</f>
        <v/>
      </c>
      <c r="O77" s="16" t="str">
        <f t="shared" ca="1" si="13"/>
        <v/>
      </c>
      <c r="P77" s="17" t="str">
        <f t="shared" si="14"/>
        <v/>
      </c>
    </row>
    <row r="78" spans="1:16" ht="1.9" customHeight="1">
      <c r="A78" s="37"/>
      <c r="B78" s="16" t="str">
        <f t="shared" ca="1" si="10"/>
        <v/>
      </c>
      <c r="C78" s="17" t="str">
        <f>IF(A78="","",'41_Clasificacion_Empresas'!C78)</f>
        <v/>
      </c>
      <c r="D78" s="17" t="str">
        <f t="shared" si="11"/>
        <v/>
      </c>
      <c r="E78" s="17" t="str">
        <f>IF(A78="","",'41_Clasificacion_Empresas'!C78)</f>
        <v/>
      </c>
      <c r="F78" s="17" t="str">
        <f>IF(A78="","",'41_Clasificacion_Empresas'!E78)</f>
        <v/>
      </c>
      <c r="G78" s="17" t="str">
        <f>IF(A78="","",'41_Clasificacion_Empresas'!D78)</f>
        <v/>
      </c>
      <c r="H78" s="17" t="str">
        <f>IF(A78="","",'41_Clasificacion_Empresas'!D78)</f>
        <v/>
      </c>
      <c r="I78" s="17" t="str">
        <f t="shared" si="12"/>
        <v/>
      </c>
      <c r="J78" s="17" t="str">
        <f>IF(A78="","",'41_Clasificacion_Empresas'!F78)</f>
        <v/>
      </c>
      <c r="K78" s="17" t="str">
        <f>IF(A78="","",IF('41_Clasificacion_Empresas'!F78="A","Sí","No"))</f>
        <v/>
      </c>
      <c r="L78" s="17" t="str">
        <f>IF(A78="","",'41_Clasificacion_Empresas'!G78)</f>
        <v/>
      </c>
      <c r="M78" s="17" t="str">
        <f>IF(A78="","",IF('41_Clasificacion_Empresas'!F78="A","🟢 Oportunidad","🟡 En investigación"))</f>
        <v/>
      </c>
      <c r="N78" s="17" t="str">
        <f>IF(A78="","",'41_Clasificacion_Empresas'!M78)</f>
        <v/>
      </c>
      <c r="O78" s="16" t="str">
        <f t="shared" ca="1" si="13"/>
        <v/>
      </c>
      <c r="P78" s="17" t="str">
        <f t="shared" si="14"/>
        <v/>
      </c>
    </row>
    <row r="79" spans="1:16" ht="1.9" customHeight="1">
      <c r="A79" s="37"/>
      <c r="B79" s="16" t="str">
        <f t="shared" ca="1" si="10"/>
        <v/>
      </c>
      <c r="C79" s="17" t="str">
        <f>IF(A79="","",'41_Clasificacion_Empresas'!C79)</f>
        <v/>
      </c>
      <c r="D79" s="17" t="str">
        <f t="shared" si="11"/>
        <v/>
      </c>
      <c r="E79" s="17" t="str">
        <f>IF(A79="","",'41_Clasificacion_Empresas'!C79)</f>
        <v/>
      </c>
      <c r="F79" s="17" t="str">
        <f>IF(A79="","",'41_Clasificacion_Empresas'!E79)</f>
        <v/>
      </c>
      <c r="G79" s="17" t="str">
        <f>IF(A79="","",'41_Clasificacion_Empresas'!D79)</f>
        <v/>
      </c>
      <c r="H79" s="17" t="str">
        <f>IF(A79="","",'41_Clasificacion_Empresas'!D79)</f>
        <v/>
      </c>
      <c r="I79" s="17" t="str">
        <f t="shared" si="12"/>
        <v/>
      </c>
      <c r="J79" s="17" t="str">
        <f>IF(A79="","",'41_Clasificacion_Empresas'!F79)</f>
        <v/>
      </c>
      <c r="K79" s="17" t="str">
        <f>IF(A79="","",IF('41_Clasificacion_Empresas'!F79="A","Sí","No"))</f>
        <v/>
      </c>
      <c r="L79" s="17" t="str">
        <f>IF(A79="","",'41_Clasificacion_Empresas'!G79)</f>
        <v/>
      </c>
      <c r="M79" s="17" t="str">
        <f>IF(A79="","",IF('41_Clasificacion_Empresas'!F79="A","🟢 Oportunidad","🟡 En investigación"))</f>
        <v/>
      </c>
      <c r="N79" s="17" t="str">
        <f>IF(A79="","",'41_Clasificacion_Empresas'!M79)</f>
        <v/>
      </c>
      <c r="O79" s="16" t="str">
        <f t="shared" ca="1" si="13"/>
        <v/>
      </c>
      <c r="P79" s="17" t="str">
        <f t="shared" si="14"/>
        <v/>
      </c>
    </row>
    <row r="80" spans="1:16" ht="1.9" customHeight="1">
      <c r="A80" s="37"/>
      <c r="B80" s="16" t="str">
        <f t="shared" ca="1" si="10"/>
        <v/>
      </c>
      <c r="C80" s="17" t="str">
        <f>IF(A80="","",'41_Clasificacion_Empresas'!C80)</f>
        <v/>
      </c>
      <c r="D80" s="17" t="str">
        <f t="shared" si="11"/>
        <v/>
      </c>
      <c r="E80" s="17" t="str">
        <f>IF(A80="","",'41_Clasificacion_Empresas'!C80)</f>
        <v/>
      </c>
      <c r="F80" s="17" t="str">
        <f>IF(A80="","",'41_Clasificacion_Empresas'!E80)</f>
        <v/>
      </c>
      <c r="G80" s="17" t="str">
        <f>IF(A80="","",'41_Clasificacion_Empresas'!D80)</f>
        <v/>
      </c>
      <c r="H80" s="17" t="str">
        <f>IF(A80="","",'41_Clasificacion_Empresas'!D80)</f>
        <v/>
      </c>
      <c r="I80" s="17" t="str">
        <f t="shared" si="12"/>
        <v/>
      </c>
      <c r="J80" s="17" t="str">
        <f>IF(A80="","",'41_Clasificacion_Empresas'!F80)</f>
        <v/>
      </c>
      <c r="K80" s="17" t="str">
        <f>IF(A80="","",IF('41_Clasificacion_Empresas'!F80="A","Sí","No"))</f>
        <v/>
      </c>
      <c r="L80" s="17" t="str">
        <f>IF(A80="","",'41_Clasificacion_Empresas'!G80)</f>
        <v/>
      </c>
      <c r="M80" s="17" t="str">
        <f>IF(A80="","",IF('41_Clasificacion_Empresas'!F80="A","🟢 Oportunidad","🟡 En investigación"))</f>
        <v/>
      </c>
      <c r="N80" s="17" t="str">
        <f>IF(A80="","",'41_Clasificacion_Empresas'!M80)</f>
        <v/>
      </c>
      <c r="O80" s="16" t="str">
        <f t="shared" ca="1" si="13"/>
        <v/>
      </c>
      <c r="P80" s="17" t="str">
        <f t="shared" si="14"/>
        <v/>
      </c>
    </row>
    <row r="81" spans="1:16" ht="1.9" customHeight="1">
      <c r="A81" s="37"/>
      <c r="B81" s="16" t="str">
        <f t="shared" ca="1" si="10"/>
        <v/>
      </c>
      <c r="C81" s="17" t="str">
        <f>IF(A81="","",'41_Clasificacion_Empresas'!C81)</f>
        <v/>
      </c>
      <c r="D81" s="17" t="str">
        <f t="shared" si="11"/>
        <v/>
      </c>
      <c r="E81" s="17" t="str">
        <f>IF(A81="","",'41_Clasificacion_Empresas'!C81)</f>
        <v/>
      </c>
      <c r="F81" s="17" t="str">
        <f>IF(A81="","",'41_Clasificacion_Empresas'!E81)</f>
        <v/>
      </c>
      <c r="G81" s="17" t="str">
        <f>IF(A81="","",'41_Clasificacion_Empresas'!D81)</f>
        <v/>
      </c>
      <c r="H81" s="17" t="str">
        <f>IF(A81="","",'41_Clasificacion_Empresas'!D81)</f>
        <v/>
      </c>
      <c r="I81" s="17" t="str">
        <f t="shared" si="12"/>
        <v/>
      </c>
      <c r="J81" s="17" t="str">
        <f>IF(A81="","",'41_Clasificacion_Empresas'!F81)</f>
        <v/>
      </c>
      <c r="K81" s="17" t="str">
        <f>IF(A81="","",IF('41_Clasificacion_Empresas'!F81="A","Sí","No"))</f>
        <v/>
      </c>
      <c r="L81" s="17" t="str">
        <f>IF(A81="","",'41_Clasificacion_Empresas'!G81)</f>
        <v/>
      </c>
      <c r="M81" s="17" t="str">
        <f>IF(A81="","",IF('41_Clasificacion_Empresas'!F81="A","🟢 Oportunidad","🟡 En investigación"))</f>
        <v/>
      </c>
      <c r="N81" s="17" t="str">
        <f>IF(A81="","",'41_Clasificacion_Empresas'!M81)</f>
        <v/>
      </c>
      <c r="O81" s="16" t="str">
        <f t="shared" ca="1" si="13"/>
        <v/>
      </c>
      <c r="P81" s="17" t="str">
        <f t="shared" si="14"/>
        <v/>
      </c>
    </row>
    <row r="82" spans="1:16" ht="1.9" customHeight="1">
      <c r="A82" s="37"/>
      <c r="B82" s="16" t="str">
        <f t="shared" ca="1" si="10"/>
        <v/>
      </c>
      <c r="C82" s="17" t="str">
        <f>IF(A82="","",'41_Clasificacion_Empresas'!C82)</f>
        <v/>
      </c>
      <c r="D82" s="17" t="str">
        <f t="shared" si="11"/>
        <v/>
      </c>
      <c r="E82" s="17" t="str">
        <f>IF(A82="","",'41_Clasificacion_Empresas'!C82)</f>
        <v/>
      </c>
      <c r="F82" s="17" t="str">
        <f>IF(A82="","",'41_Clasificacion_Empresas'!E82)</f>
        <v/>
      </c>
      <c r="G82" s="17" t="str">
        <f>IF(A82="","",'41_Clasificacion_Empresas'!D82)</f>
        <v/>
      </c>
      <c r="H82" s="17" t="str">
        <f>IF(A82="","",'41_Clasificacion_Empresas'!D82)</f>
        <v/>
      </c>
      <c r="I82" s="17" t="str">
        <f t="shared" si="12"/>
        <v/>
      </c>
      <c r="J82" s="17" t="str">
        <f>IF(A82="","",'41_Clasificacion_Empresas'!F82)</f>
        <v/>
      </c>
      <c r="K82" s="17" t="str">
        <f>IF(A82="","",IF('41_Clasificacion_Empresas'!F82="A","Sí","No"))</f>
        <v/>
      </c>
      <c r="L82" s="17" t="str">
        <f>IF(A82="","",'41_Clasificacion_Empresas'!G82)</f>
        <v/>
      </c>
      <c r="M82" s="17" t="str">
        <f>IF(A82="","",IF('41_Clasificacion_Empresas'!F82="A","🟢 Oportunidad","🟡 En investigación"))</f>
        <v/>
      </c>
      <c r="N82" s="17" t="str">
        <f>IF(A82="","",'41_Clasificacion_Empresas'!M82)</f>
        <v/>
      </c>
      <c r="O82" s="16" t="str">
        <f t="shared" ca="1" si="13"/>
        <v/>
      </c>
      <c r="P82" s="17" t="str">
        <f t="shared" si="14"/>
        <v/>
      </c>
    </row>
    <row r="83" spans="1:16" ht="1.9" customHeight="1">
      <c r="A83" s="37"/>
      <c r="B83" s="16" t="str">
        <f t="shared" ca="1" si="10"/>
        <v/>
      </c>
      <c r="C83" s="17" t="str">
        <f>IF(A83="","",'41_Clasificacion_Empresas'!C83)</f>
        <v/>
      </c>
      <c r="D83" s="17" t="str">
        <f t="shared" si="11"/>
        <v/>
      </c>
      <c r="E83" s="17" t="str">
        <f>IF(A83="","",'41_Clasificacion_Empresas'!C83)</f>
        <v/>
      </c>
      <c r="F83" s="17" t="str">
        <f>IF(A83="","",'41_Clasificacion_Empresas'!E83)</f>
        <v/>
      </c>
      <c r="G83" s="17" t="str">
        <f>IF(A83="","",'41_Clasificacion_Empresas'!D83)</f>
        <v/>
      </c>
      <c r="H83" s="17" t="str">
        <f>IF(A83="","",'41_Clasificacion_Empresas'!D83)</f>
        <v/>
      </c>
      <c r="I83" s="17" t="str">
        <f t="shared" si="12"/>
        <v/>
      </c>
      <c r="J83" s="17" t="str">
        <f>IF(A83="","",'41_Clasificacion_Empresas'!F83)</f>
        <v/>
      </c>
      <c r="K83" s="17" t="str">
        <f>IF(A83="","",IF('41_Clasificacion_Empresas'!F83="A","Sí","No"))</f>
        <v/>
      </c>
      <c r="L83" s="17" t="str">
        <f>IF(A83="","",'41_Clasificacion_Empresas'!G83)</f>
        <v/>
      </c>
      <c r="M83" s="17" t="str">
        <f>IF(A83="","",IF('41_Clasificacion_Empresas'!F83="A","🟢 Oportunidad","🟡 En investigación"))</f>
        <v/>
      </c>
      <c r="N83" s="17" t="str">
        <f>IF(A83="","",'41_Clasificacion_Empresas'!M83)</f>
        <v/>
      </c>
      <c r="O83" s="16" t="str">
        <f t="shared" ca="1" si="13"/>
        <v/>
      </c>
      <c r="P83" s="17" t="str">
        <f t="shared" si="14"/>
        <v/>
      </c>
    </row>
    <row r="84" spans="1:16" ht="1.9" customHeight="1">
      <c r="A84" s="37"/>
      <c r="B84" s="16" t="str">
        <f t="shared" ca="1" si="10"/>
        <v/>
      </c>
      <c r="C84" s="17" t="str">
        <f>IF(A84="","",'41_Clasificacion_Empresas'!C84)</f>
        <v/>
      </c>
      <c r="D84" s="17" t="str">
        <f t="shared" si="11"/>
        <v/>
      </c>
      <c r="E84" s="17" t="str">
        <f>IF(A84="","",'41_Clasificacion_Empresas'!C84)</f>
        <v/>
      </c>
      <c r="F84" s="17" t="str">
        <f>IF(A84="","",'41_Clasificacion_Empresas'!E84)</f>
        <v/>
      </c>
      <c r="G84" s="17" t="str">
        <f>IF(A84="","",'41_Clasificacion_Empresas'!D84)</f>
        <v/>
      </c>
      <c r="H84" s="17" t="str">
        <f>IF(A84="","",'41_Clasificacion_Empresas'!D84)</f>
        <v/>
      </c>
      <c r="I84" s="17" t="str">
        <f t="shared" si="12"/>
        <v/>
      </c>
      <c r="J84" s="17" t="str">
        <f>IF(A84="","",'41_Clasificacion_Empresas'!F84)</f>
        <v/>
      </c>
      <c r="K84" s="17" t="str">
        <f>IF(A84="","",IF('41_Clasificacion_Empresas'!F84="A","Sí","No"))</f>
        <v/>
      </c>
      <c r="L84" s="17" t="str">
        <f>IF(A84="","",'41_Clasificacion_Empresas'!G84)</f>
        <v/>
      </c>
      <c r="M84" s="17" t="str">
        <f>IF(A84="","",IF('41_Clasificacion_Empresas'!F84="A","🟢 Oportunidad","🟡 En investigación"))</f>
        <v/>
      </c>
      <c r="N84" s="17" t="str">
        <f>IF(A84="","",'41_Clasificacion_Empresas'!M84)</f>
        <v/>
      </c>
      <c r="O84" s="16" t="str">
        <f t="shared" ca="1" si="13"/>
        <v/>
      </c>
      <c r="P84" s="17" t="str">
        <f t="shared" si="14"/>
        <v/>
      </c>
    </row>
    <row r="85" spans="1:16" ht="1.9" customHeight="1">
      <c r="A85" s="37"/>
      <c r="B85" s="16" t="str">
        <f t="shared" ca="1" si="10"/>
        <v/>
      </c>
      <c r="C85" s="17" t="str">
        <f>IF(A85="","",'41_Clasificacion_Empresas'!C85)</f>
        <v/>
      </c>
      <c r="D85" s="17" t="str">
        <f t="shared" si="11"/>
        <v/>
      </c>
      <c r="E85" s="17" t="str">
        <f>IF(A85="","",'41_Clasificacion_Empresas'!C85)</f>
        <v/>
      </c>
      <c r="F85" s="17" t="str">
        <f>IF(A85="","",'41_Clasificacion_Empresas'!E85)</f>
        <v/>
      </c>
      <c r="G85" s="17" t="str">
        <f>IF(A85="","",'41_Clasificacion_Empresas'!D85)</f>
        <v/>
      </c>
      <c r="H85" s="17" t="str">
        <f>IF(A85="","",'41_Clasificacion_Empresas'!D85)</f>
        <v/>
      </c>
      <c r="I85" s="17" t="str">
        <f t="shared" si="12"/>
        <v/>
      </c>
      <c r="J85" s="17" t="str">
        <f>IF(A85="","",'41_Clasificacion_Empresas'!F85)</f>
        <v/>
      </c>
      <c r="K85" s="17" t="str">
        <f>IF(A85="","",IF('41_Clasificacion_Empresas'!F85="A","Sí","No"))</f>
        <v/>
      </c>
      <c r="L85" s="17" t="str">
        <f>IF(A85="","",'41_Clasificacion_Empresas'!G85)</f>
        <v/>
      </c>
      <c r="M85" s="17" t="str">
        <f>IF(A85="","",IF('41_Clasificacion_Empresas'!F85="A","🟢 Oportunidad","🟡 En investigación"))</f>
        <v/>
      </c>
      <c r="N85" s="17" t="str">
        <f>IF(A85="","",'41_Clasificacion_Empresas'!M85)</f>
        <v/>
      </c>
      <c r="O85" s="16" t="str">
        <f t="shared" ca="1" si="13"/>
        <v/>
      </c>
      <c r="P85" s="17" t="str">
        <f t="shared" si="14"/>
        <v/>
      </c>
    </row>
    <row r="86" spans="1:16" ht="1.9" customHeight="1">
      <c r="A86" s="37"/>
      <c r="B86" s="16" t="str">
        <f t="shared" ca="1" si="10"/>
        <v/>
      </c>
      <c r="C86" s="17" t="str">
        <f>IF(A86="","",'41_Clasificacion_Empresas'!C86)</f>
        <v/>
      </c>
      <c r="D86" s="17" t="str">
        <f t="shared" si="11"/>
        <v/>
      </c>
      <c r="E86" s="17" t="str">
        <f>IF(A86="","",'41_Clasificacion_Empresas'!C86)</f>
        <v/>
      </c>
      <c r="F86" s="17" t="str">
        <f>IF(A86="","",'41_Clasificacion_Empresas'!E86)</f>
        <v/>
      </c>
      <c r="G86" s="17" t="str">
        <f>IF(A86="","",'41_Clasificacion_Empresas'!D86)</f>
        <v/>
      </c>
      <c r="H86" s="17" t="str">
        <f>IF(A86="","",'41_Clasificacion_Empresas'!D86)</f>
        <v/>
      </c>
      <c r="I86" s="17" t="str">
        <f t="shared" si="12"/>
        <v/>
      </c>
      <c r="J86" s="17" t="str">
        <f>IF(A86="","",'41_Clasificacion_Empresas'!F86)</f>
        <v/>
      </c>
      <c r="K86" s="17" t="str">
        <f>IF(A86="","",IF('41_Clasificacion_Empresas'!F86="A","Sí","No"))</f>
        <v/>
      </c>
      <c r="L86" s="17" t="str">
        <f>IF(A86="","",'41_Clasificacion_Empresas'!G86)</f>
        <v/>
      </c>
      <c r="M86" s="17" t="str">
        <f>IF(A86="","",IF('41_Clasificacion_Empresas'!F86="A","🟢 Oportunidad","🟡 En investigación"))</f>
        <v/>
      </c>
      <c r="N86" s="17" t="str">
        <f>IF(A86="","",'41_Clasificacion_Empresas'!M86)</f>
        <v/>
      </c>
      <c r="O86" s="16" t="str">
        <f t="shared" ca="1" si="13"/>
        <v/>
      </c>
      <c r="P86" s="17" t="str">
        <f t="shared" si="14"/>
        <v/>
      </c>
    </row>
    <row r="87" spans="1:16" ht="1.9" customHeight="1">
      <c r="A87" s="37"/>
      <c r="B87" s="16" t="str">
        <f t="shared" ca="1" si="10"/>
        <v/>
      </c>
      <c r="C87" s="17" t="str">
        <f>IF(A87="","",'41_Clasificacion_Empresas'!C87)</f>
        <v/>
      </c>
      <c r="D87" s="17" t="str">
        <f t="shared" si="11"/>
        <v/>
      </c>
      <c r="E87" s="17" t="str">
        <f>IF(A87="","",'41_Clasificacion_Empresas'!C87)</f>
        <v/>
      </c>
      <c r="F87" s="17" t="str">
        <f>IF(A87="","",'41_Clasificacion_Empresas'!E87)</f>
        <v/>
      </c>
      <c r="G87" s="17" t="str">
        <f>IF(A87="","",'41_Clasificacion_Empresas'!D87)</f>
        <v/>
      </c>
      <c r="H87" s="17" t="str">
        <f>IF(A87="","",'41_Clasificacion_Empresas'!D87)</f>
        <v/>
      </c>
      <c r="I87" s="17" t="str">
        <f t="shared" si="12"/>
        <v/>
      </c>
      <c r="J87" s="17" t="str">
        <f>IF(A87="","",'41_Clasificacion_Empresas'!F87)</f>
        <v/>
      </c>
      <c r="K87" s="17" t="str">
        <f>IF(A87="","",IF('41_Clasificacion_Empresas'!F87="A","Sí","No"))</f>
        <v/>
      </c>
      <c r="L87" s="17" t="str">
        <f>IF(A87="","",'41_Clasificacion_Empresas'!G87)</f>
        <v/>
      </c>
      <c r="M87" s="17" t="str">
        <f>IF(A87="","",IF('41_Clasificacion_Empresas'!F87="A","🟢 Oportunidad","🟡 En investigación"))</f>
        <v/>
      </c>
      <c r="N87" s="17" t="str">
        <f>IF(A87="","",'41_Clasificacion_Empresas'!M87)</f>
        <v/>
      </c>
      <c r="O87" s="16" t="str">
        <f t="shared" ca="1" si="13"/>
        <v/>
      </c>
      <c r="P87" s="17" t="str">
        <f t="shared" si="14"/>
        <v/>
      </c>
    </row>
    <row r="88" spans="1:16" ht="1.9" customHeight="1">
      <c r="A88" s="37"/>
      <c r="B88" s="16" t="str">
        <f t="shared" ca="1" si="10"/>
        <v/>
      </c>
      <c r="C88" s="17" t="str">
        <f>IF(A88="","",'41_Clasificacion_Empresas'!C88)</f>
        <v/>
      </c>
      <c r="D88" s="17" t="str">
        <f t="shared" si="11"/>
        <v/>
      </c>
      <c r="E88" s="17" t="str">
        <f>IF(A88="","",'41_Clasificacion_Empresas'!C88)</f>
        <v/>
      </c>
      <c r="F88" s="17" t="str">
        <f>IF(A88="","",'41_Clasificacion_Empresas'!E88)</f>
        <v/>
      </c>
      <c r="G88" s="17" t="str">
        <f>IF(A88="","",'41_Clasificacion_Empresas'!D88)</f>
        <v/>
      </c>
      <c r="H88" s="17" t="str">
        <f>IF(A88="","",'41_Clasificacion_Empresas'!D88)</f>
        <v/>
      </c>
      <c r="I88" s="17" t="str">
        <f t="shared" si="12"/>
        <v/>
      </c>
      <c r="J88" s="17" t="str">
        <f>IF(A88="","",'41_Clasificacion_Empresas'!F88)</f>
        <v/>
      </c>
      <c r="K88" s="17" t="str">
        <f>IF(A88="","",IF('41_Clasificacion_Empresas'!F88="A","Sí","No"))</f>
        <v/>
      </c>
      <c r="L88" s="17" t="str">
        <f>IF(A88="","",'41_Clasificacion_Empresas'!G88)</f>
        <v/>
      </c>
      <c r="M88" s="17" t="str">
        <f>IF(A88="","",IF('41_Clasificacion_Empresas'!F88="A","🟢 Oportunidad","🟡 En investigación"))</f>
        <v/>
      </c>
      <c r="N88" s="17" t="str">
        <f>IF(A88="","",'41_Clasificacion_Empresas'!M88)</f>
        <v/>
      </c>
      <c r="O88" s="16" t="str">
        <f t="shared" ca="1" si="13"/>
        <v/>
      </c>
      <c r="P88" s="17" t="str">
        <f t="shared" si="14"/>
        <v/>
      </c>
    </row>
    <row r="89" spans="1:16" ht="1.9" customHeight="1">
      <c r="A89" s="37"/>
      <c r="B89" s="16" t="str">
        <f t="shared" ca="1" si="10"/>
        <v/>
      </c>
      <c r="C89" s="17" t="str">
        <f>IF(A89="","",'41_Clasificacion_Empresas'!C89)</f>
        <v/>
      </c>
      <c r="D89" s="17" t="str">
        <f t="shared" si="11"/>
        <v/>
      </c>
      <c r="E89" s="17" t="str">
        <f>IF(A89="","",'41_Clasificacion_Empresas'!C89)</f>
        <v/>
      </c>
      <c r="F89" s="17" t="str">
        <f>IF(A89="","",'41_Clasificacion_Empresas'!E89)</f>
        <v/>
      </c>
      <c r="G89" s="17" t="str">
        <f>IF(A89="","",'41_Clasificacion_Empresas'!D89)</f>
        <v/>
      </c>
      <c r="H89" s="17" t="str">
        <f>IF(A89="","",'41_Clasificacion_Empresas'!D89)</f>
        <v/>
      </c>
      <c r="I89" s="17" t="str">
        <f t="shared" si="12"/>
        <v/>
      </c>
      <c r="J89" s="17" t="str">
        <f>IF(A89="","",'41_Clasificacion_Empresas'!F89)</f>
        <v/>
      </c>
      <c r="K89" s="17" t="str">
        <f>IF(A89="","",IF('41_Clasificacion_Empresas'!F89="A","Sí","No"))</f>
        <v/>
      </c>
      <c r="L89" s="17" t="str">
        <f>IF(A89="","",'41_Clasificacion_Empresas'!G89)</f>
        <v/>
      </c>
      <c r="M89" s="17" t="str">
        <f>IF(A89="","",IF('41_Clasificacion_Empresas'!F89="A","🟢 Oportunidad","🟡 En investigación"))</f>
        <v/>
      </c>
      <c r="N89" s="17" t="str">
        <f>IF(A89="","",'41_Clasificacion_Empresas'!M89)</f>
        <v/>
      </c>
      <c r="O89" s="16" t="str">
        <f t="shared" ca="1" si="13"/>
        <v/>
      </c>
      <c r="P89" s="17" t="str">
        <f t="shared" si="14"/>
        <v/>
      </c>
    </row>
    <row r="90" spans="1:16" ht="1.9" customHeight="1">
      <c r="A90" s="37"/>
      <c r="B90" s="16" t="str">
        <f t="shared" ca="1" si="10"/>
        <v/>
      </c>
      <c r="C90" s="17" t="str">
        <f>IF(A90="","",'41_Clasificacion_Empresas'!C90)</f>
        <v/>
      </c>
      <c r="D90" s="17" t="str">
        <f t="shared" si="11"/>
        <v/>
      </c>
      <c r="E90" s="17" t="str">
        <f>IF(A90="","",'41_Clasificacion_Empresas'!C90)</f>
        <v/>
      </c>
      <c r="F90" s="17" t="str">
        <f>IF(A90="","",'41_Clasificacion_Empresas'!E90)</f>
        <v/>
      </c>
      <c r="G90" s="17" t="str">
        <f>IF(A90="","",'41_Clasificacion_Empresas'!D90)</f>
        <v/>
      </c>
      <c r="H90" s="17" t="str">
        <f>IF(A90="","",'41_Clasificacion_Empresas'!D90)</f>
        <v/>
      </c>
      <c r="I90" s="17" t="str">
        <f t="shared" si="12"/>
        <v/>
      </c>
      <c r="J90" s="17" t="str">
        <f>IF(A90="","",'41_Clasificacion_Empresas'!F90)</f>
        <v/>
      </c>
      <c r="K90" s="17" t="str">
        <f>IF(A90="","",IF('41_Clasificacion_Empresas'!F90="A","Sí","No"))</f>
        <v/>
      </c>
      <c r="L90" s="17" t="str">
        <f>IF(A90="","",'41_Clasificacion_Empresas'!G90)</f>
        <v/>
      </c>
      <c r="M90" s="17" t="str">
        <f>IF(A90="","",IF('41_Clasificacion_Empresas'!F90="A","🟢 Oportunidad","🟡 En investigación"))</f>
        <v/>
      </c>
      <c r="N90" s="17" t="str">
        <f>IF(A90="","",'41_Clasificacion_Empresas'!M90)</f>
        <v/>
      </c>
      <c r="O90" s="16" t="str">
        <f t="shared" ca="1" si="13"/>
        <v/>
      </c>
      <c r="P90" s="17" t="str">
        <f t="shared" si="14"/>
        <v/>
      </c>
    </row>
    <row r="91" spans="1:16" ht="1.9" customHeight="1">
      <c r="A91" s="37"/>
      <c r="B91" s="16" t="str">
        <f t="shared" ca="1" si="10"/>
        <v/>
      </c>
      <c r="C91" s="17" t="str">
        <f>IF(A91="","",'41_Clasificacion_Empresas'!C91)</f>
        <v/>
      </c>
      <c r="D91" s="17" t="str">
        <f t="shared" si="11"/>
        <v/>
      </c>
      <c r="E91" s="17" t="str">
        <f>IF(A91="","",'41_Clasificacion_Empresas'!C91)</f>
        <v/>
      </c>
      <c r="F91" s="17" t="str">
        <f>IF(A91="","",'41_Clasificacion_Empresas'!E91)</f>
        <v/>
      </c>
      <c r="G91" s="17" t="str">
        <f>IF(A91="","",'41_Clasificacion_Empresas'!D91)</f>
        <v/>
      </c>
      <c r="H91" s="17" t="str">
        <f>IF(A91="","",'41_Clasificacion_Empresas'!D91)</f>
        <v/>
      </c>
      <c r="I91" s="17" t="str">
        <f t="shared" si="12"/>
        <v/>
      </c>
      <c r="J91" s="17" t="str">
        <f>IF(A91="","",'41_Clasificacion_Empresas'!F91)</f>
        <v/>
      </c>
      <c r="K91" s="17" t="str">
        <f>IF(A91="","",IF('41_Clasificacion_Empresas'!F91="A","Sí","No"))</f>
        <v/>
      </c>
      <c r="L91" s="17" t="str">
        <f>IF(A91="","",'41_Clasificacion_Empresas'!G91)</f>
        <v/>
      </c>
      <c r="M91" s="17" t="str">
        <f>IF(A91="","",IF('41_Clasificacion_Empresas'!F91="A","🟢 Oportunidad","🟡 En investigación"))</f>
        <v/>
      </c>
      <c r="N91" s="17" t="str">
        <f>IF(A91="","",'41_Clasificacion_Empresas'!M91)</f>
        <v/>
      </c>
      <c r="O91" s="16" t="str">
        <f t="shared" ca="1" si="13"/>
        <v/>
      </c>
      <c r="P91" s="17" t="str">
        <f t="shared" si="14"/>
        <v/>
      </c>
    </row>
    <row r="92" spans="1:16" ht="1.9" customHeight="1">
      <c r="A92" s="37"/>
      <c r="B92" s="16" t="str">
        <f t="shared" ca="1" si="10"/>
        <v/>
      </c>
      <c r="C92" s="17" t="str">
        <f>IF(A92="","",'41_Clasificacion_Empresas'!C92)</f>
        <v/>
      </c>
      <c r="D92" s="17" t="str">
        <f t="shared" si="11"/>
        <v/>
      </c>
      <c r="E92" s="17" t="str">
        <f>IF(A92="","",'41_Clasificacion_Empresas'!C92)</f>
        <v/>
      </c>
      <c r="F92" s="17" t="str">
        <f>IF(A92="","",'41_Clasificacion_Empresas'!E92)</f>
        <v/>
      </c>
      <c r="G92" s="17" t="str">
        <f>IF(A92="","",'41_Clasificacion_Empresas'!D92)</f>
        <v/>
      </c>
      <c r="H92" s="17" t="str">
        <f>IF(A92="","",'41_Clasificacion_Empresas'!D92)</f>
        <v/>
      </c>
      <c r="I92" s="17" t="str">
        <f t="shared" si="12"/>
        <v/>
      </c>
      <c r="J92" s="17" t="str">
        <f>IF(A92="","",'41_Clasificacion_Empresas'!F92)</f>
        <v/>
      </c>
      <c r="K92" s="17" t="str">
        <f>IF(A92="","",IF('41_Clasificacion_Empresas'!F92="A","Sí","No"))</f>
        <v/>
      </c>
      <c r="L92" s="17" t="str">
        <f>IF(A92="","",'41_Clasificacion_Empresas'!G92)</f>
        <v/>
      </c>
      <c r="M92" s="17" t="str">
        <f>IF(A92="","",IF('41_Clasificacion_Empresas'!F92="A","🟢 Oportunidad","🟡 En investigación"))</f>
        <v/>
      </c>
      <c r="N92" s="17" t="str">
        <f>IF(A92="","",'41_Clasificacion_Empresas'!M92)</f>
        <v/>
      </c>
      <c r="O92" s="16" t="str">
        <f t="shared" ca="1" si="13"/>
        <v/>
      </c>
      <c r="P92" s="17" t="str">
        <f t="shared" si="14"/>
        <v/>
      </c>
    </row>
    <row r="93" spans="1:16" ht="1.9" customHeight="1">
      <c r="A93" s="37"/>
      <c r="B93" s="16" t="str">
        <f t="shared" ca="1" si="10"/>
        <v/>
      </c>
      <c r="C93" s="17" t="str">
        <f>IF(A93="","",'41_Clasificacion_Empresas'!C93)</f>
        <v/>
      </c>
      <c r="D93" s="17" t="str">
        <f t="shared" si="11"/>
        <v/>
      </c>
      <c r="E93" s="17" t="str">
        <f>IF(A93="","",'41_Clasificacion_Empresas'!C93)</f>
        <v/>
      </c>
      <c r="F93" s="17" t="str">
        <f>IF(A93="","",'41_Clasificacion_Empresas'!E93)</f>
        <v/>
      </c>
      <c r="G93" s="17" t="str">
        <f>IF(A93="","",'41_Clasificacion_Empresas'!D93)</f>
        <v/>
      </c>
      <c r="H93" s="17" t="str">
        <f>IF(A93="","",'41_Clasificacion_Empresas'!D93)</f>
        <v/>
      </c>
      <c r="I93" s="17" t="str">
        <f t="shared" si="12"/>
        <v/>
      </c>
      <c r="J93" s="17" t="str">
        <f>IF(A93="","",'41_Clasificacion_Empresas'!F93)</f>
        <v/>
      </c>
      <c r="K93" s="17" t="str">
        <f>IF(A93="","",IF('41_Clasificacion_Empresas'!F93="A","Sí","No"))</f>
        <v/>
      </c>
      <c r="L93" s="17" t="str">
        <f>IF(A93="","",'41_Clasificacion_Empresas'!G93)</f>
        <v/>
      </c>
      <c r="M93" s="17" t="str">
        <f>IF(A93="","",IF('41_Clasificacion_Empresas'!F93="A","🟢 Oportunidad","🟡 En investigación"))</f>
        <v/>
      </c>
      <c r="N93" s="17" t="str">
        <f>IF(A93="","",'41_Clasificacion_Empresas'!M93)</f>
        <v/>
      </c>
      <c r="O93" s="16" t="str">
        <f t="shared" ca="1" si="13"/>
        <v/>
      </c>
      <c r="P93" s="17" t="str">
        <f t="shared" si="14"/>
        <v/>
      </c>
    </row>
    <row r="94" spans="1:16" ht="1.9" customHeight="1">
      <c r="A94" s="37"/>
      <c r="B94" s="16" t="str">
        <f t="shared" ca="1" si="10"/>
        <v/>
      </c>
      <c r="C94" s="17" t="str">
        <f>IF(A94="","",'41_Clasificacion_Empresas'!C94)</f>
        <v/>
      </c>
      <c r="D94" s="17" t="str">
        <f t="shared" si="11"/>
        <v/>
      </c>
      <c r="E94" s="17" t="str">
        <f>IF(A94="","",'41_Clasificacion_Empresas'!C94)</f>
        <v/>
      </c>
      <c r="F94" s="17" t="str">
        <f>IF(A94="","",'41_Clasificacion_Empresas'!E94)</f>
        <v/>
      </c>
      <c r="G94" s="17" t="str">
        <f>IF(A94="","",'41_Clasificacion_Empresas'!D94)</f>
        <v/>
      </c>
      <c r="H94" s="17" t="str">
        <f>IF(A94="","",'41_Clasificacion_Empresas'!D94)</f>
        <v/>
      </c>
      <c r="I94" s="17" t="str">
        <f t="shared" si="12"/>
        <v/>
      </c>
      <c r="J94" s="17" t="str">
        <f>IF(A94="","",'41_Clasificacion_Empresas'!F94)</f>
        <v/>
      </c>
      <c r="K94" s="17" t="str">
        <f>IF(A94="","",IF('41_Clasificacion_Empresas'!F94="A","Sí","No"))</f>
        <v/>
      </c>
      <c r="L94" s="17" t="str">
        <f>IF(A94="","",'41_Clasificacion_Empresas'!G94)</f>
        <v/>
      </c>
      <c r="M94" s="17" t="str">
        <f>IF(A94="","",IF('41_Clasificacion_Empresas'!F94="A","🟢 Oportunidad","🟡 En investigación"))</f>
        <v/>
      </c>
      <c r="N94" s="17" t="str">
        <f>IF(A94="","",'41_Clasificacion_Empresas'!M94)</f>
        <v/>
      </c>
      <c r="O94" s="16" t="str">
        <f t="shared" ca="1" si="13"/>
        <v/>
      </c>
      <c r="P94" s="17" t="str">
        <f t="shared" si="14"/>
        <v/>
      </c>
    </row>
    <row r="95" spans="1:16" ht="1.9" customHeight="1">
      <c r="A95" s="37"/>
      <c r="B95" s="16" t="str">
        <f t="shared" ca="1" si="10"/>
        <v/>
      </c>
      <c r="C95" s="17" t="str">
        <f>IF(A95="","",'41_Clasificacion_Empresas'!C95)</f>
        <v/>
      </c>
      <c r="D95" s="17" t="str">
        <f t="shared" si="11"/>
        <v/>
      </c>
      <c r="E95" s="17" t="str">
        <f>IF(A95="","",'41_Clasificacion_Empresas'!C95)</f>
        <v/>
      </c>
      <c r="F95" s="17" t="str">
        <f>IF(A95="","",'41_Clasificacion_Empresas'!E95)</f>
        <v/>
      </c>
      <c r="G95" s="17" t="str">
        <f>IF(A95="","",'41_Clasificacion_Empresas'!D95)</f>
        <v/>
      </c>
      <c r="H95" s="17" t="str">
        <f>IF(A95="","",'41_Clasificacion_Empresas'!D95)</f>
        <v/>
      </c>
      <c r="I95" s="17" t="str">
        <f t="shared" si="12"/>
        <v/>
      </c>
      <c r="J95" s="17" t="str">
        <f>IF(A95="","",'41_Clasificacion_Empresas'!F95)</f>
        <v/>
      </c>
      <c r="K95" s="17" t="str">
        <f>IF(A95="","",IF('41_Clasificacion_Empresas'!F95="A","Sí","No"))</f>
        <v/>
      </c>
      <c r="L95" s="17" t="str">
        <f>IF(A95="","",'41_Clasificacion_Empresas'!G95)</f>
        <v/>
      </c>
      <c r="M95" s="17" t="str">
        <f>IF(A95="","",IF('41_Clasificacion_Empresas'!F95="A","🟢 Oportunidad","🟡 En investigación"))</f>
        <v/>
      </c>
      <c r="N95" s="17" t="str">
        <f>IF(A95="","",'41_Clasificacion_Empresas'!M95)</f>
        <v/>
      </c>
      <c r="O95" s="16" t="str">
        <f t="shared" ca="1" si="13"/>
        <v/>
      </c>
      <c r="P95" s="17" t="str">
        <f t="shared" si="14"/>
        <v/>
      </c>
    </row>
    <row r="96" spans="1:16" ht="1.9" customHeight="1">
      <c r="A96" s="37"/>
      <c r="B96" s="16" t="str">
        <f t="shared" ca="1" si="10"/>
        <v/>
      </c>
      <c r="C96" s="17" t="str">
        <f>IF(A96="","",'41_Clasificacion_Empresas'!C96)</f>
        <v/>
      </c>
      <c r="D96" s="17" t="str">
        <f t="shared" si="11"/>
        <v/>
      </c>
      <c r="E96" s="17" t="str">
        <f>IF(A96="","",'41_Clasificacion_Empresas'!C96)</f>
        <v/>
      </c>
      <c r="F96" s="17" t="str">
        <f>IF(A96="","",'41_Clasificacion_Empresas'!E96)</f>
        <v/>
      </c>
      <c r="G96" s="17" t="str">
        <f>IF(A96="","",'41_Clasificacion_Empresas'!D96)</f>
        <v/>
      </c>
      <c r="H96" s="17" t="str">
        <f>IF(A96="","",'41_Clasificacion_Empresas'!D96)</f>
        <v/>
      </c>
      <c r="I96" s="17" t="str">
        <f t="shared" si="12"/>
        <v/>
      </c>
      <c r="J96" s="17" t="str">
        <f>IF(A96="","",'41_Clasificacion_Empresas'!F96)</f>
        <v/>
      </c>
      <c r="K96" s="17" t="str">
        <f>IF(A96="","",IF('41_Clasificacion_Empresas'!F96="A","Sí","No"))</f>
        <v/>
      </c>
      <c r="L96" s="17" t="str">
        <f>IF(A96="","",'41_Clasificacion_Empresas'!G96)</f>
        <v/>
      </c>
      <c r="M96" s="17" t="str">
        <f>IF(A96="","",IF('41_Clasificacion_Empresas'!F96="A","🟢 Oportunidad","🟡 En investigación"))</f>
        <v/>
      </c>
      <c r="N96" s="17" t="str">
        <f>IF(A96="","",'41_Clasificacion_Empresas'!M96)</f>
        <v/>
      </c>
      <c r="O96" s="16" t="str">
        <f t="shared" ca="1" si="13"/>
        <v/>
      </c>
      <c r="P96" s="17" t="str">
        <f t="shared" si="14"/>
        <v/>
      </c>
    </row>
    <row r="97" spans="1:16" ht="1.9" customHeight="1">
      <c r="A97" s="37"/>
      <c r="B97" s="16" t="str">
        <f t="shared" ca="1" si="10"/>
        <v/>
      </c>
      <c r="C97" s="17" t="str">
        <f>IF(A97="","",'41_Clasificacion_Empresas'!C97)</f>
        <v/>
      </c>
      <c r="D97" s="17" t="str">
        <f t="shared" si="11"/>
        <v/>
      </c>
      <c r="E97" s="17" t="str">
        <f>IF(A97="","",'41_Clasificacion_Empresas'!C97)</f>
        <v/>
      </c>
      <c r="F97" s="17" t="str">
        <f>IF(A97="","",'41_Clasificacion_Empresas'!E97)</f>
        <v/>
      </c>
      <c r="G97" s="17" t="str">
        <f>IF(A97="","",'41_Clasificacion_Empresas'!D97)</f>
        <v/>
      </c>
      <c r="H97" s="17" t="str">
        <f>IF(A97="","",'41_Clasificacion_Empresas'!D97)</f>
        <v/>
      </c>
      <c r="I97" s="17" t="str">
        <f t="shared" si="12"/>
        <v/>
      </c>
      <c r="J97" s="17" t="str">
        <f>IF(A97="","",'41_Clasificacion_Empresas'!F97)</f>
        <v/>
      </c>
      <c r="K97" s="17" t="str">
        <f>IF(A97="","",IF('41_Clasificacion_Empresas'!F97="A","Sí","No"))</f>
        <v/>
      </c>
      <c r="L97" s="17" t="str">
        <f>IF(A97="","",'41_Clasificacion_Empresas'!G97)</f>
        <v/>
      </c>
      <c r="M97" s="17" t="str">
        <f>IF(A97="","",IF('41_Clasificacion_Empresas'!F97="A","🟢 Oportunidad","🟡 En investigación"))</f>
        <v/>
      </c>
      <c r="N97" s="17" t="str">
        <f>IF(A97="","",'41_Clasificacion_Empresas'!M97)</f>
        <v/>
      </c>
      <c r="O97" s="16" t="str">
        <f t="shared" ca="1" si="13"/>
        <v/>
      </c>
      <c r="P97" s="17" t="str">
        <f t="shared" si="14"/>
        <v/>
      </c>
    </row>
    <row r="98" spans="1:16" ht="1.9" customHeight="1">
      <c r="A98" s="37"/>
      <c r="B98" s="16" t="str">
        <f t="shared" ca="1" si="10"/>
        <v/>
      </c>
      <c r="C98" s="17" t="str">
        <f>IF(A98="","",'41_Clasificacion_Empresas'!C98)</f>
        <v/>
      </c>
      <c r="D98" s="17" t="str">
        <f t="shared" si="11"/>
        <v/>
      </c>
      <c r="E98" s="17" t="str">
        <f>IF(A98="","",'41_Clasificacion_Empresas'!C98)</f>
        <v/>
      </c>
      <c r="F98" s="17" t="str">
        <f>IF(A98="","",'41_Clasificacion_Empresas'!E98)</f>
        <v/>
      </c>
      <c r="G98" s="17" t="str">
        <f>IF(A98="","",'41_Clasificacion_Empresas'!D98)</f>
        <v/>
      </c>
      <c r="H98" s="17" t="str">
        <f>IF(A98="","",'41_Clasificacion_Empresas'!D98)</f>
        <v/>
      </c>
      <c r="I98" s="17" t="str">
        <f t="shared" si="12"/>
        <v/>
      </c>
      <c r="J98" s="17" t="str">
        <f>IF(A98="","",'41_Clasificacion_Empresas'!F98)</f>
        <v/>
      </c>
      <c r="K98" s="17" t="str">
        <f>IF(A98="","",IF('41_Clasificacion_Empresas'!F98="A","Sí","No"))</f>
        <v/>
      </c>
      <c r="L98" s="17" t="str">
        <f>IF(A98="","",'41_Clasificacion_Empresas'!G98)</f>
        <v/>
      </c>
      <c r="M98" s="17" t="str">
        <f>IF(A98="","",IF('41_Clasificacion_Empresas'!F98="A","🟢 Oportunidad","🟡 En investigación"))</f>
        <v/>
      </c>
      <c r="N98" s="17" t="str">
        <f>IF(A98="","",'41_Clasificacion_Empresas'!M98)</f>
        <v/>
      </c>
      <c r="O98" s="16" t="str">
        <f t="shared" ca="1" si="13"/>
        <v/>
      </c>
      <c r="P98" s="17" t="str">
        <f t="shared" si="14"/>
        <v/>
      </c>
    </row>
    <row r="99" spans="1:16" ht="1.9" customHeight="1">
      <c r="A99" s="37"/>
      <c r="B99" s="16" t="str">
        <f t="shared" ca="1" si="10"/>
        <v/>
      </c>
      <c r="C99" s="17" t="str">
        <f>IF(A99="","",'41_Clasificacion_Empresas'!C99)</f>
        <v/>
      </c>
      <c r="D99" s="17" t="str">
        <f t="shared" si="11"/>
        <v/>
      </c>
      <c r="E99" s="17" t="str">
        <f>IF(A99="","",'41_Clasificacion_Empresas'!C99)</f>
        <v/>
      </c>
      <c r="F99" s="17" t="str">
        <f>IF(A99="","",'41_Clasificacion_Empresas'!E99)</f>
        <v/>
      </c>
      <c r="G99" s="17" t="str">
        <f>IF(A99="","",'41_Clasificacion_Empresas'!D99)</f>
        <v/>
      </c>
      <c r="H99" s="17" t="str">
        <f>IF(A99="","",'41_Clasificacion_Empresas'!D99)</f>
        <v/>
      </c>
      <c r="I99" s="17" t="str">
        <f t="shared" si="12"/>
        <v/>
      </c>
      <c r="J99" s="17" t="str">
        <f>IF(A99="","",'41_Clasificacion_Empresas'!F99)</f>
        <v/>
      </c>
      <c r="K99" s="17" t="str">
        <f>IF(A99="","",IF('41_Clasificacion_Empresas'!F99="A","Sí","No"))</f>
        <v/>
      </c>
      <c r="L99" s="17" t="str">
        <f>IF(A99="","",'41_Clasificacion_Empresas'!G99)</f>
        <v/>
      </c>
      <c r="M99" s="17" t="str">
        <f>IF(A99="","",IF('41_Clasificacion_Empresas'!F99="A","🟢 Oportunidad","🟡 En investigación"))</f>
        <v/>
      </c>
      <c r="N99" s="17" t="str">
        <f>IF(A99="","",'41_Clasificacion_Empresas'!M99)</f>
        <v/>
      </c>
      <c r="O99" s="16" t="str">
        <f t="shared" ca="1" si="13"/>
        <v/>
      </c>
      <c r="P99" s="17" t="str">
        <f t="shared" si="14"/>
        <v/>
      </c>
    </row>
    <row r="100" spans="1:16" ht="1.9" customHeight="1">
      <c r="A100" s="37"/>
      <c r="B100" s="16" t="str">
        <f t="shared" ca="1" si="10"/>
        <v/>
      </c>
      <c r="C100" s="17" t="str">
        <f>IF(A100="","",'41_Clasificacion_Empresas'!C100)</f>
        <v/>
      </c>
      <c r="D100" s="17" t="str">
        <f t="shared" si="11"/>
        <v/>
      </c>
      <c r="E100" s="17" t="str">
        <f>IF(A100="","",'41_Clasificacion_Empresas'!C100)</f>
        <v/>
      </c>
      <c r="F100" s="17" t="str">
        <f>IF(A100="","",'41_Clasificacion_Empresas'!E100)</f>
        <v/>
      </c>
      <c r="G100" s="17" t="str">
        <f>IF(A100="","",'41_Clasificacion_Empresas'!D100)</f>
        <v/>
      </c>
      <c r="H100" s="17" t="str">
        <f>IF(A100="","",'41_Clasificacion_Empresas'!D100)</f>
        <v/>
      </c>
      <c r="I100" s="17" t="str">
        <f t="shared" si="12"/>
        <v/>
      </c>
      <c r="J100" s="17" t="str">
        <f>IF(A100="","",'41_Clasificacion_Empresas'!F100)</f>
        <v/>
      </c>
      <c r="K100" s="17" t="str">
        <f>IF(A100="","",IF('41_Clasificacion_Empresas'!F100="A","Sí","No"))</f>
        <v/>
      </c>
      <c r="L100" s="17" t="str">
        <f>IF(A100="","",'41_Clasificacion_Empresas'!G100)</f>
        <v/>
      </c>
      <c r="M100" s="17" t="str">
        <f>IF(A100="","",IF('41_Clasificacion_Empresas'!F100="A","🟢 Oportunidad","🟡 En investigación"))</f>
        <v/>
      </c>
      <c r="N100" s="17" t="str">
        <f>IF(A100="","",'41_Clasificacion_Empresas'!M100)</f>
        <v/>
      </c>
      <c r="O100" s="16" t="str">
        <f t="shared" ca="1" si="13"/>
        <v/>
      </c>
      <c r="P100" s="17" t="str">
        <f t="shared" si="14"/>
        <v/>
      </c>
    </row>
    <row r="101" spans="1:16" ht="1.9" customHeight="1">
      <c r="A101" s="37"/>
      <c r="B101" s="16" t="str">
        <f t="shared" ref="B101:B132" ca="1" si="15">IF(A101="","",TODAY())</f>
        <v/>
      </c>
      <c r="C101" s="17" t="str">
        <f>IF(A101="","",'41_Clasificacion_Empresas'!C101)</f>
        <v/>
      </c>
      <c r="D101" s="17" t="str">
        <f t="shared" ref="D101:D132" si="16">IF(A101="","","Por definir")</f>
        <v/>
      </c>
      <c r="E101" s="17" t="str">
        <f>IF(A101="","",'41_Clasificacion_Empresas'!C101)</f>
        <v/>
      </c>
      <c r="F101" s="17" t="str">
        <f>IF(A101="","",'41_Clasificacion_Empresas'!E101)</f>
        <v/>
      </c>
      <c r="G101" s="17" t="str">
        <f>IF(A101="","",'41_Clasificacion_Empresas'!D101)</f>
        <v/>
      </c>
      <c r="H101" s="17" t="str">
        <f>IF(A101="","",'41_Clasificacion_Empresas'!D101)</f>
        <v/>
      </c>
      <c r="I101" s="17" t="str">
        <f t="shared" ref="I101:I132" si="17">IF(A101="","","Empresa / mercado")</f>
        <v/>
      </c>
      <c r="J101" s="17" t="str">
        <f>IF(A101="","",'41_Clasificacion_Empresas'!F101)</f>
        <v/>
      </c>
      <c r="K101" s="17" t="str">
        <f>IF(A101="","",IF('41_Clasificacion_Empresas'!F101="A","Sí","No"))</f>
        <v/>
      </c>
      <c r="L101" s="17" t="str">
        <f>IF(A101="","",'41_Clasificacion_Empresas'!G101)</f>
        <v/>
      </c>
      <c r="M101" s="17" t="str">
        <f>IF(A101="","",IF('41_Clasificacion_Empresas'!F101="A","🟢 Oportunidad","🟡 En investigación"))</f>
        <v/>
      </c>
      <c r="N101" s="17" t="str">
        <f>IF(A101="","",'41_Clasificacion_Empresas'!M101)</f>
        <v/>
      </c>
      <c r="O101" s="16" t="str">
        <f t="shared" ref="O101:O132" ca="1" si="18">IF(A101="","",TODAY()+7)</f>
        <v/>
      </c>
      <c r="P101" s="17" t="str">
        <f t="shared" ref="P101:P132" si="19">IF(A101="","","Fuente: 40→41→32→33→30")</f>
        <v/>
      </c>
    </row>
    <row r="102" spans="1:16" ht="1.9" customHeight="1">
      <c r="A102" s="37"/>
      <c r="B102" s="16" t="str">
        <f t="shared" ca="1" si="15"/>
        <v/>
      </c>
      <c r="C102" s="17" t="str">
        <f>IF(A102="","",'41_Clasificacion_Empresas'!C102)</f>
        <v/>
      </c>
      <c r="D102" s="17" t="str">
        <f t="shared" si="16"/>
        <v/>
      </c>
      <c r="E102" s="17" t="str">
        <f>IF(A102="","",'41_Clasificacion_Empresas'!C102)</f>
        <v/>
      </c>
      <c r="F102" s="17" t="str">
        <f>IF(A102="","",'41_Clasificacion_Empresas'!E102)</f>
        <v/>
      </c>
      <c r="G102" s="17" t="str">
        <f>IF(A102="","",'41_Clasificacion_Empresas'!D102)</f>
        <v/>
      </c>
      <c r="H102" s="17" t="str">
        <f>IF(A102="","",'41_Clasificacion_Empresas'!D102)</f>
        <v/>
      </c>
      <c r="I102" s="17" t="str">
        <f t="shared" si="17"/>
        <v/>
      </c>
      <c r="J102" s="17" t="str">
        <f>IF(A102="","",'41_Clasificacion_Empresas'!F102)</f>
        <v/>
      </c>
      <c r="K102" s="17" t="str">
        <f>IF(A102="","",IF('41_Clasificacion_Empresas'!F102="A","Sí","No"))</f>
        <v/>
      </c>
      <c r="L102" s="17" t="str">
        <f>IF(A102="","",'41_Clasificacion_Empresas'!G102)</f>
        <v/>
      </c>
      <c r="M102" s="17" t="str">
        <f>IF(A102="","",IF('41_Clasificacion_Empresas'!F102="A","🟢 Oportunidad","🟡 En investigación"))</f>
        <v/>
      </c>
      <c r="N102" s="17" t="str">
        <f>IF(A102="","",'41_Clasificacion_Empresas'!M102)</f>
        <v/>
      </c>
      <c r="O102" s="16" t="str">
        <f t="shared" ca="1" si="18"/>
        <v/>
      </c>
      <c r="P102" s="17" t="str">
        <f t="shared" si="19"/>
        <v/>
      </c>
    </row>
    <row r="103" spans="1:16" ht="1.9" customHeight="1">
      <c r="A103" s="37"/>
      <c r="B103" s="16" t="str">
        <f t="shared" ca="1" si="15"/>
        <v/>
      </c>
      <c r="C103" s="17" t="str">
        <f>IF(A103="","",'41_Clasificacion_Empresas'!C103)</f>
        <v/>
      </c>
      <c r="D103" s="17" t="str">
        <f t="shared" si="16"/>
        <v/>
      </c>
      <c r="E103" s="17" t="str">
        <f>IF(A103="","",'41_Clasificacion_Empresas'!C103)</f>
        <v/>
      </c>
      <c r="F103" s="17" t="str">
        <f>IF(A103="","",'41_Clasificacion_Empresas'!E103)</f>
        <v/>
      </c>
      <c r="G103" s="17" t="str">
        <f>IF(A103="","",'41_Clasificacion_Empresas'!D103)</f>
        <v/>
      </c>
      <c r="H103" s="17" t="str">
        <f>IF(A103="","",'41_Clasificacion_Empresas'!D103)</f>
        <v/>
      </c>
      <c r="I103" s="17" t="str">
        <f t="shared" si="17"/>
        <v/>
      </c>
      <c r="J103" s="17" t="str">
        <f>IF(A103="","",'41_Clasificacion_Empresas'!F103)</f>
        <v/>
      </c>
      <c r="K103" s="17" t="str">
        <f>IF(A103="","",IF('41_Clasificacion_Empresas'!F103="A","Sí","No"))</f>
        <v/>
      </c>
      <c r="L103" s="17" t="str">
        <f>IF(A103="","",'41_Clasificacion_Empresas'!G103)</f>
        <v/>
      </c>
      <c r="M103" s="17" t="str">
        <f>IF(A103="","",IF('41_Clasificacion_Empresas'!F103="A","🟢 Oportunidad","🟡 En investigación"))</f>
        <v/>
      </c>
      <c r="N103" s="17" t="str">
        <f>IF(A103="","",'41_Clasificacion_Empresas'!M103)</f>
        <v/>
      </c>
      <c r="O103" s="16" t="str">
        <f t="shared" ca="1" si="18"/>
        <v/>
      </c>
      <c r="P103" s="17" t="str">
        <f t="shared" si="19"/>
        <v/>
      </c>
    </row>
    <row r="104" spans="1:16" ht="1.9" customHeight="1">
      <c r="A104" s="37"/>
      <c r="B104" s="16" t="str">
        <f t="shared" ca="1" si="15"/>
        <v/>
      </c>
      <c r="C104" s="17" t="str">
        <f>IF(A104="","",'41_Clasificacion_Empresas'!C104)</f>
        <v/>
      </c>
      <c r="D104" s="17" t="str">
        <f t="shared" si="16"/>
        <v/>
      </c>
      <c r="E104" s="17" t="str">
        <f>IF(A104="","",'41_Clasificacion_Empresas'!C104)</f>
        <v/>
      </c>
      <c r="F104" s="17" t="str">
        <f>IF(A104="","",'41_Clasificacion_Empresas'!E104)</f>
        <v/>
      </c>
      <c r="G104" s="17" t="str">
        <f>IF(A104="","",'41_Clasificacion_Empresas'!D104)</f>
        <v/>
      </c>
      <c r="H104" s="17" t="str">
        <f>IF(A104="","",'41_Clasificacion_Empresas'!D104)</f>
        <v/>
      </c>
      <c r="I104" s="17" t="str">
        <f t="shared" si="17"/>
        <v/>
      </c>
      <c r="J104" s="17" t="str">
        <f>IF(A104="","",'41_Clasificacion_Empresas'!F104)</f>
        <v/>
      </c>
      <c r="K104" s="17" t="str">
        <f>IF(A104="","",IF('41_Clasificacion_Empresas'!F104="A","Sí","No"))</f>
        <v/>
      </c>
      <c r="L104" s="17" t="str">
        <f>IF(A104="","",'41_Clasificacion_Empresas'!G104)</f>
        <v/>
      </c>
      <c r="M104" s="17" t="str">
        <f>IF(A104="","",IF('41_Clasificacion_Empresas'!F104="A","🟢 Oportunidad","🟡 En investigación"))</f>
        <v/>
      </c>
      <c r="N104" s="17" t="str">
        <f>IF(A104="","",'41_Clasificacion_Empresas'!M104)</f>
        <v/>
      </c>
      <c r="O104" s="16" t="str">
        <f t="shared" ca="1" si="18"/>
        <v/>
      </c>
      <c r="P104" s="17" t="str">
        <f t="shared" si="19"/>
        <v/>
      </c>
    </row>
    <row r="105" spans="1:16" ht="1.9" customHeight="1">
      <c r="A105" s="37"/>
      <c r="B105" s="16" t="str">
        <f t="shared" ca="1" si="15"/>
        <v/>
      </c>
      <c r="C105" s="17" t="str">
        <f>IF(A105="","",'41_Clasificacion_Empresas'!C105)</f>
        <v/>
      </c>
      <c r="D105" s="17" t="str">
        <f t="shared" si="16"/>
        <v/>
      </c>
      <c r="E105" s="17" t="str">
        <f>IF(A105="","",'41_Clasificacion_Empresas'!C105)</f>
        <v/>
      </c>
      <c r="F105" s="17" t="str">
        <f>IF(A105="","",'41_Clasificacion_Empresas'!E105)</f>
        <v/>
      </c>
      <c r="G105" s="17" t="str">
        <f>IF(A105="","",'41_Clasificacion_Empresas'!D105)</f>
        <v/>
      </c>
      <c r="H105" s="17" t="str">
        <f>IF(A105="","",'41_Clasificacion_Empresas'!D105)</f>
        <v/>
      </c>
      <c r="I105" s="17" t="str">
        <f t="shared" si="17"/>
        <v/>
      </c>
      <c r="J105" s="17" t="str">
        <f>IF(A105="","",'41_Clasificacion_Empresas'!F105)</f>
        <v/>
      </c>
      <c r="K105" s="17" t="str">
        <f>IF(A105="","",IF('41_Clasificacion_Empresas'!F105="A","Sí","No"))</f>
        <v/>
      </c>
      <c r="L105" s="17" t="str">
        <f>IF(A105="","",'41_Clasificacion_Empresas'!G105)</f>
        <v/>
      </c>
      <c r="M105" s="17" t="str">
        <f>IF(A105="","",IF('41_Clasificacion_Empresas'!F105="A","🟢 Oportunidad","🟡 En investigación"))</f>
        <v/>
      </c>
      <c r="N105" s="17" t="str">
        <f>IF(A105="","",'41_Clasificacion_Empresas'!M105)</f>
        <v/>
      </c>
      <c r="O105" s="16" t="str">
        <f t="shared" ca="1" si="18"/>
        <v/>
      </c>
      <c r="P105" s="17" t="str">
        <f t="shared" si="19"/>
        <v/>
      </c>
    </row>
    <row r="106" spans="1:16" ht="1.9" customHeight="1">
      <c r="A106" s="37"/>
      <c r="B106" s="16" t="str">
        <f t="shared" ca="1" si="15"/>
        <v/>
      </c>
      <c r="C106" s="17" t="str">
        <f>IF(A106="","",'41_Clasificacion_Empresas'!C106)</f>
        <v/>
      </c>
      <c r="D106" s="17" t="str">
        <f t="shared" si="16"/>
        <v/>
      </c>
      <c r="E106" s="17" t="str">
        <f>IF(A106="","",'41_Clasificacion_Empresas'!C106)</f>
        <v/>
      </c>
      <c r="F106" s="17" t="str">
        <f>IF(A106="","",'41_Clasificacion_Empresas'!E106)</f>
        <v/>
      </c>
      <c r="G106" s="17" t="str">
        <f>IF(A106="","",'41_Clasificacion_Empresas'!D106)</f>
        <v/>
      </c>
      <c r="H106" s="17" t="str">
        <f>IF(A106="","",'41_Clasificacion_Empresas'!D106)</f>
        <v/>
      </c>
      <c r="I106" s="17" t="str">
        <f t="shared" si="17"/>
        <v/>
      </c>
      <c r="J106" s="17" t="str">
        <f>IF(A106="","",'41_Clasificacion_Empresas'!F106)</f>
        <v/>
      </c>
      <c r="K106" s="17" t="str">
        <f>IF(A106="","",IF('41_Clasificacion_Empresas'!F106="A","Sí","No"))</f>
        <v/>
      </c>
      <c r="L106" s="17" t="str">
        <f>IF(A106="","",'41_Clasificacion_Empresas'!G106)</f>
        <v/>
      </c>
      <c r="M106" s="17" t="str">
        <f>IF(A106="","",IF('41_Clasificacion_Empresas'!F106="A","🟢 Oportunidad","🟡 En investigación"))</f>
        <v/>
      </c>
      <c r="N106" s="17" t="str">
        <f>IF(A106="","",'41_Clasificacion_Empresas'!M106)</f>
        <v/>
      </c>
      <c r="O106" s="16" t="str">
        <f t="shared" ca="1" si="18"/>
        <v/>
      </c>
      <c r="P106" s="17" t="str">
        <f t="shared" si="19"/>
        <v/>
      </c>
    </row>
    <row r="107" spans="1:16" ht="1.9" customHeight="1">
      <c r="A107" s="37"/>
      <c r="B107" s="16" t="str">
        <f t="shared" ca="1" si="15"/>
        <v/>
      </c>
      <c r="C107" s="17" t="str">
        <f>IF(A107="","",'41_Clasificacion_Empresas'!C107)</f>
        <v/>
      </c>
      <c r="D107" s="17" t="str">
        <f t="shared" si="16"/>
        <v/>
      </c>
      <c r="E107" s="17" t="str">
        <f>IF(A107="","",'41_Clasificacion_Empresas'!C107)</f>
        <v/>
      </c>
      <c r="F107" s="17" t="str">
        <f>IF(A107="","",'41_Clasificacion_Empresas'!E107)</f>
        <v/>
      </c>
      <c r="G107" s="17" t="str">
        <f>IF(A107="","",'41_Clasificacion_Empresas'!D107)</f>
        <v/>
      </c>
      <c r="H107" s="17" t="str">
        <f>IF(A107="","",'41_Clasificacion_Empresas'!D107)</f>
        <v/>
      </c>
      <c r="I107" s="17" t="str">
        <f t="shared" si="17"/>
        <v/>
      </c>
      <c r="J107" s="17" t="str">
        <f>IF(A107="","",'41_Clasificacion_Empresas'!F107)</f>
        <v/>
      </c>
      <c r="K107" s="17" t="str">
        <f>IF(A107="","",IF('41_Clasificacion_Empresas'!F107="A","Sí","No"))</f>
        <v/>
      </c>
      <c r="L107" s="17" t="str">
        <f>IF(A107="","",'41_Clasificacion_Empresas'!G107)</f>
        <v/>
      </c>
      <c r="M107" s="17" t="str">
        <f>IF(A107="","",IF('41_Clasificacion_Empresas'!F107="A","🟢 Oportunidad","🟡 En investigación"))</f>
        <v/>
      </c>
      <c r="N107" s="17" t="str">
        <f>IF(A107="","",'41_Clasificacion_Empresas'!M107)</f>
        <v/>
      </c>
      <c r="O107" s="16" t="str">
        <f t="shared" ca="1" si="18"/>
        <v/>
      </c>
      <c r="P107" s="17" t="str">
        <f t="shared" si="19"/>
        <v/>
      </c>
    </row>
    <row r="108" spans="1:16" ht="1.9" customHeight="1">
      <c r="A108" s="37"/>
      <c r="B108" s="16" t="str">
        <f t="shared" ca="1" si="15"/>
        <v/>
      </c>
      <c r="C108" s="17" t="str">
        <f>IF(A108="","",'41_Clasificacion_Empresas'!C108)</f>
        <v/>
      </c>
      <c r="D108" s="17" t="str">
        <f t="shared" si="16"/>
        <v/>
      </c>
      <c r="E108" s="17" t="str">
        <f>IF(A108="","",'41_Clasificacion_Empresas'!C108)</f>
        <v/>
      </c>
      <c r="F108" s="17" t="str">
        <f>IF(A108="","",'41_Clasificacion_Empresas'!E108)</f>
        <v/>
      </c>
      <c r="G108" s="17" t="str">
        <f>IF(A108="","",'41_Clasificacion_Empresas'!D108)</f>
        <v/>
      </c>
      <c r="H108" s="17" t="str">
        <f>IF(A108="","",'41_Clasificacion_Empresas'!D108)</f>
        <v/>
      </c>
      <c r="I108" s="17" t="str">
        <f t="shared" si="17"/>
        <v/>
      </c>
      <c r="J108" s="17" t="str">
        <f>IF(A108="","",'41_Clasificacion_Empresas'!F108)</f>
        <v/>
      </c>
      <c r="K108" s="17" t="str">
        <f>IF(A108="","",IF('41_Clasificacion_Empresas'!F108="A","Sí","No"))</f>
        <v/>
      </c>
      <c r="L108" s="17" t="str">
        <f>IF(A108="","",'41_Clasificacion_Empresas'!G108)</f>
        <v/>
      </c>
      <c r="M108" s="17" t="str">
        <f>IF(A108="","",IF('41_Clasificacion_Empresas'!F108="A","🟢 Oportunidad","🟡 En investigación"))</f>
        <v/>
      </c>
      <c r="N108" s="17" t="str">
        <f>IF(A108="","",'41_Clasificacion_Empresas'!M108)</f>
        <v/>
      </c>
      <c r="O108" s="16" t="str">
        <f t="shared" ca="1" si="18"/>
        <v/>
      </c>
      <c r="P108" s="17" t="str">
        <f t="shared" si="19"/>
        <v/>
      </c>
    </row>
    <row r="109" spans="1:16" ht="1.9" customHeight="1">
      <c r="A109" s="37"/>
      <c r="B109" s="16" t="str">
        <f t="shared" ca="1" si="15"/>
        <v/>
      </c>
      <c r="C109" s="17" t="str">
        <f>IF(A109="","",'41_Clasificacion_Empresas'!C109)</f>
        <v/>
      </c>
      <c r="D109" s="17" t="str">
        <f t="shared" si="16"/>
        <v/>
      </c>
      <c r="E109" s="17" t="str">
        <f>IF(A109="","",'41_Clasificacion_Empresas'!C109)</f>
        <v/>
      </c>
      <c r="F109" s="17" t="str">
        <f>IF(A109="","",'41_Clasificacion_Empresas'!E109)</f>
        <v/>
      </c>
      <c r="G109" s="17" t="str">
        <f>IF(A109="","",'41_Clasificacion_Empresas'!D109)</f>
        <v/>
      </c>
      <c r="H109" s="17" t="str">
        <f>IF(A109="","",'41_Clasificacion_Empresas'!D109)</f>
        <v/>
      </c>
      <c r="I109" s="17" t="str">
        <f t="shared" si="17"/>
        <v/>
      </c>
      <c r="J109" s="17" t="str">
        <f>IF(A109="","",'41_Clasificacion_Empresas'!F109)</f>
        <v/>
      </c>
      <c r="K109" s="17" t="str">
        <f>IF(A109="","",IF('41_Clasificacion_Empresas'!F109="A","Sí","No"))</f>
        <v/>
      </c>
      <c r="L109" s="17" t="str">
        <f>IF(A109="","",'41_Clasificacion_Empresas'!G109)</f>
        <v/>
      </c>
      <c r="M109" s="17" t="str">
        <f>IF(A109="","",IF('41_Clasificacion_Empresas'!F109="A","🟢 Oportunidad","🟡 En investigación"))</f>
        <v/>
      </c>
      <c r="N109" s="17" t="str">
        <f>IF(A109="","",'41_Clasificacion_Empresas'!M109)</f>
        <v/>
      </c>
      <c r="O109" s="16" t="str">
        <f t="shared" ca="1" si="18"/>
        <v/>
      </c>
      <c r="P109" s="17" t="str">
        <f t="shared" si="19"/>
        <v/>
      </c>
    </row>
    <row r="110" spans="1:16" ht="1.9" customHeight="1">
      <c r="A110" s="37"/>
      <c r="B110" s="16" t="str">
        <f t="shared" ca="1" si="15"/>
        <v/>
      </c>
      <c r="C110" s="17" t="str">
        <f>IF(A110="","",'41_Clasificacion_Empresas'!C110)</f>
        <v/>
      </c>
      <c r="D110" s="17" t="str">
        <f t="shared" si="16"/>
        <v/>
      </c>
      <c r="E110" s="17" t="str">
        <f>IF(A110="","",'41_Clasificacion_Empresas'!C110)</f>
        <v/>
      </c>
      <c r="F110" s="17" t="str">
        <f>IF(A110="","",'41_Clasificacion_Empresas'!E110)</f>
        <v/>
      </c>
      <c r="G110" s="17" t="str">
        <f>IF(A110="","",'41_Clasificacion_Empresas'!D110)</f>
        <v/>
      </c>
      <c r="H110" s="17" t="str">
        <f>IF(A110="","",'41_Clasificacion_Empresas'!D110)</f>
        <v/>
      </c>
      <c r="I110" s="17" t="str">
        <f t="shared" si="17"/>
        <v/>
      </c>
      <c r="J110" s="17" t="str">
        <f>IF(A110="","",'41_Clasificacion_Empresas'!F110)</f>
        <v/>
      </c>
      <c r="K110" s="17" t="str">
        <f>IF(A110="","",IF('41_Clasificacion_Empresas'!F110="A","Sí","No"))</f>
        <v/>
      </c>
      <c r="L110" s="17" t="str">
        <f>IF(A110="","",'41_Clasificacion_Empresas'!G110)</f>
        <v/>
      </c>
      <c r="M110" s="17" t="str">
        <f>IF(A110="","",IF('41_Clasificacion_Empresas'!F110="A","🟢 Oportunidad","🟡 En investigación"))</f>
        <v/>
      </c>
      <c r="N110" s="17" t="str">
        <f>IF(A110="","",'41_Clasificacion_Empresas'!M110)</f>
        <v/>
      </c>
      <c r="O110" s="16" t="str">
        <f t="shared" ca="1" si="18"/>
        <v/>
      </c>
      <c r="P110" s="17" t="str">
        <f t="shared" si="19"/>
        <v/>
      </c>
    </row>
    <row r="111" spans="1:16" ht="1.9" customHeight="1">
      <c r="A111" s="37"/>
      <c r="B111" s="16" t="str">
        <f t="shared" ca="1" si="15"/>
        <v/>
      </c>
      <c r="C111" s="17" t="str">
        <f>IF(A111="","",'41_Clasificacion_Empresas'!C111)</f>
        <v/>
      </c>
      <c r="D111" s="17" t="str">
        <f t="shared" si="16"/>
        <v/>
      </c>
      <c r="E111" s="17" t="str">
        <f>IF(A111="","",'41_Clasificacion_Empresas'!C111)</f>
        <v/>
      </c>
      <c r="F111" s="17" t="str">
        <f>IF(A111="","",'41_Clasificacion_Empresas'!E111)</f>
        <v/>
      </c>
      <c r="G111" s="17" t="str">
        <f>IF(A111="","",'41_Clasificacion_Empresas'!D111)</f>
        <v/>
      </c>
      <c r="H111" s="17" t="str">
        <f>IF(A111="","",'41_Clasificacion_Empresas'!D111)</f>
        <v/>
      </c>
      <c r="I111" s="17" t="str">
        <f t="shared" si="17"/>
        <v/>
      </c>
      <c r="J111" s="17" t="str">
        <f>IF(A111="","",'41_Clasificacion_Empresas'!F111)</f>
        <v/>
      </c>
      <c r="K111" s="17" t="str">
        <f>IF(A111="","",IF('41_Clasificacion_Empresas'!F111="A","Sí","No"))</f>
        <v/>
      </c>
      <c r="L111" s="17" t="str">
        <f>IF(A111="","",'41_Clasificacion_Empresas'!G111)</f>
        <v/>
      </c>
      <c r="M111" s="17" t="str">
        <f>IF(A111="","",IF('41_Clasificacion_Empresas'!F111="A","🟢 Oportunidad","🟡 En investigación"))</f>
        <v/>
      </c>
      <c r="N111" s="17" t="str">
        <f>IF(A111="","",'41_Clasificacion_Empresas'!M111)</f>
        <v/>
      </c>
      <c r="O111" s="16" t="str">
        <f t="shared" ca="1" si="18"/>
        <v/>
      </c>
      <c r="P111" s="17" t="str">
        <f t="shared" si="19"/>
        <v/>
      </c>
    </row>
    <row r="112" spans="1:16" ht="1.9" customHeight="1">
      <c r="A112" s="37"/>
      <c r="B112" s="16" t="str">
        <f t="shared" ca="1" si="15"/>
        <v/>
      </c>
      <c r="C112" s="17" t="str">
        <f>IF(A112="","",'41_Clasificacion_Empresas'!C112)</f>
        <v/>
      </c>
      <c r="D112" s="17" t="str">
        <f t="shared" si="16"/>
        <v/>
      </c>
      <c r="E112" s="17" t="str">
        <f>IF(A112="","",'41_Clasificacion_Empresas'!C112)</f>
        <v/>
      </c>
      <c r="F112" s="17" t="str">
        <f>IF(A112="","",'41_Clasificacion_Empresas'!E112)</f>
        <v/>
      </c>
      <c r="G112" s="17" t="str">
        <f>IF(A112="","",'41_Clasificacion_Empresas'!D112)</f>
        <v/>
      </c>
      <c r="H112" s="17" t="str">
        <f>IF(A112="","",'41_Clasificacion_Empresas'!D112)</f>
        <v/>
      </c>
      <c r="I112" s="17" t="str">
        <f t="shared" si="17"/>
        <v/>
      </c>
      <c r="J112" s="17" t="str">
        <f>IF(A112="","",'41_Clasificacion_Empresas'!F112)</f>
        <v/>
      </c>
      <c r="K112" s="17" t="str">
        <f>IF(A112="","",IF('41_Clasificacion_Empresas'!F112="A","Sí","No"))</f>
        <v/>
      </c>
      <c r="L112" s="17" t="str">
        <f>IF(A112="","",'41_Clasificacion_Empresas'!G112)</f>
        <v/>
      </c>
      <c r="M112" s="17" t="str">
        <f>IF(A112="","",IF('41_Clasificacion_Empresas'!F112="A","🟢 Oportunidad","🟡 En investigación"))</f>
        <v/>
      </c>
      <c r="N112" s="17" t="str">
        <f>IF(A112="","",'41_Clasificacion_Empresas'!M112)</f>
        <v/>
      </c>
      <c r="O112" s="16" t="str">
        <f t="shared" ca="1" si="18"/>
        <v/>
      </c>
      <c r="P112" s="17" t="str">
        <f t="shared" si="19"/>
        <v/>
      </c>
    </row>
    <row r="113" spans="1:16" ht="1.9" customHeight="1">
      <c r="A113" s="37"/>
      <c r="B113" s="16" t="str">
        <f t="shared" ca="1" si="15"/>
        <v/>
      </c>
      <c r="C113" s="17" t="str">
        <f>IF(A113="","",'41_Clasificacion_Empresas'!C113)</f>
        <v/>
      </c>
      <c r="D113" s="17" t="str">
        <f t="shared" si="16"/>
        <v/>
      </c>
      <c r="E113" s="17" t="str">
        <f>IF(A113="","",'41_Clasificacion_Empresas'!C113)</f>
        <v/>
      </c>
      <c r="F113" s="17" t="str">
        <f>IF(A113="","",'41_Clasificacion_Empresas'!E113)</f>
        <v/>
      </c>
      <c r="G113" s="17" t="str">
        <f>IF(A113="","",'41_Clasificacion_Empresas'!D113)</f>
        <v/>
      </c>
      <c r="H113" s="17" t="str">
        <f>IF(A113="","",'41_Clasificacion_Empresas'!D113)</f>
        <v/>
      </c>
      <c r="I113" s="17" t="str">
        <f t="shared" si="17"/>
        <v/>
      </c>
      <c r="J113" s="17" t="str">
        <f>IF(A113="","",'41_Clasificacion_Empresas'!F113)</f>
        <v/>
      </c>
      <c r="K113" s="17" t="str">
        <f>IF(A113="","",IF('41_Clasificacion_Empresas'!F113="A","Sí","No"))</f>
        <v/>
      </c>
      <c r="L113" s="17" t="str">
        <f>IF(A113="","",'41_Clasificacion_Empresas'!G113)</f>
        <v/>
      </c>
      <c r="M113" s="17" t="str">
        <f>IF(A113="","",IF('41_Clasificacion_Empresas'!F113="A","🟢 Oportunidad","🟡 En investigación"))</f>
        <v/>
      </c>
      <c r="N113" s="17" t="str">
        <f>IF(A113="","",'41_Clasificacion_Empresas'!M113)</f>
        <v/>
      </c>
      <c r="O113" s="16" t="str">
        <f t="shared" ca="1" si="18"/>
        <v/>
      </c>
      <c r="P113" s="17" t="str">
        <f t="shared" si="19"/>
        <v/>
      </c>
    </row>
    <row r="114" spans="1:16" ht="1.9" customHeight="1">
      <c r="A114" s="37"/>
      <c r="B114" s="16" t="str">
        <f t="shared" ca="1" si="15"/>
        <v/>
      </c>
      <c r="C114" s="17" t="str">
        <f>IF(A114="","",'41_Clasificacion_Empresas'!C114)</f>
        <v/>
      </c>
      <c r="D114" s="17" t="str">
        <f t="shared" si="16"/>
        <v/>
      </c>
      <c r="E114" s="17" t="str">
        <f>IF(A114="","",'41_Clasificacion_Empresas'!C114)</f>
        <v/>
      </c>
      <c r="F114" s="17" t="str">
        <f>IF(A114="","",'41_Clasificacion_Empresas'!E114)</f>
        <v/>
      </c>
      <c r="G114" s="17" t="str">
        <f>IF(A114="","",'41_Clasificacion_Empresas'!D114)</f>
        <v/>
      </c>
      <c r="H114" s="17" t="str">
        <f>IF(A114="","",'41_Clasificacion_Empresas'!D114)</f>
        <v/>
      </c>
      <c r="I114" s="17" t="str">
        <f t="shared" si="17"/>
        <v/>
      </c>
      <c r="J114" s="17" t="str">
        <f>IF(A114="","",'41_Clasificacion_Empresas'!F114)</f>
        <v/>
      </c>
      <c r="K114" s="17" t="str">
        <f>IF(A114="","",IF('41_Clasificacion_Empresas'!F114="A","Sí","No"))</f>
        <v/>
      </c>
      <c r="L114" s="17" t="str">
        <f>IF(A114="","",'41_Clasificacion_Empresas'!G114)</f>
        <v/>
      </c>
      <c r="M114" s="17" t="str">
        <f>IF(A114="","",IF('41_Clasificacion_Empresas'!F114="A","🟢 Oportunidad","🟡 En investigación"))</f>
        <v/>
      </c>
      <c r="N114" s="17" t="str">
        <f>IF(A114="","",'41_Clasificacion_Empresas'!M114)</f>
        <v/>
      </c>
      <c r="O114" s="16" t="str">
        <f t="shared" ca="1" si="18"/>
        <v/>
      </c>
      <c r="P114" s="17" t="str">
        <f t="shared" si="19"/>
        <v/>
      </c>
    </row>
    <row r="115" spans="1:16" ht="1.9" customHeight="1">
      <c r="A115" s="37"/>
      <c r="B115" s="16" t="str">
        <f t="shared" ca="1" si="15"/>
        <v/>
      </c>
      <c r="C115" s="17" t="str">
        <f>IF(A115="","",'41_Clasificacion_Empresas'!C115)</f>
        <v/>
      </c>
      <c r="D115" s="17" t="str">
        <f t="shared" si="16"/>
        <v/>
      </c>
      <c r="E115" s="17" t="str">
        <f>IF(A115="","",'41_Clasificacion_Empresas'!C115)</f>
        <v/>
      </c>
      <c r="F115" s="17" t="str">
        <f>IF(A115="","",'41_Clasificacion_Empresas'!E115)</f>
        <v/>
      </c>
      <c r="G115" s="17" t="str">
        <f>IF(A115="","",'41_Clasificacion_Empresas'!D115)</f>
        <v/>
      </c>
      <c r="H115" s="17" t="str">
        <f>IF(A115="","",'41_Clasificacion_Empresas'!D115)</f>
        <v/>
      </c>
      <c r="I115" s="17" t="str">
        <f t="shared" si="17"/>
        <v/>
      </c>
      <c r="J115" s="17" t="str">
        <f>IF(A115="","",'41_Clasificacion_Empresas'!F115)</f>
        <v/>
      </c>
      <c r="K115" s="17" t="str">
        <f>IF(A115="","",IF('41_Clasificacion_Empresas'!F115="A","Sí","No"))</f>
        <v/>
      </c>
      <c r="L115" s="17" t="str">
        <f>IF(A115="","",'41_Clasificacion_Empresas'!G115)</f>
        <v/>
      </c>
      <c r="M115" s="17" t="str">
        <f>IF(A115="","",IF('41_Clasificacion_Empresas'!F115="A","🟢 Oportunidad","🟡 En investigación"))</f>
        <v/>
      </c>
      <c r="N115" s="17" t="str">
        <f>IF(A115="","",'41_Clasificacion_Empresas'!M115)</f>
        <v/>
      </c>
      <c r="O115" s="16" t="str">
        <f t="shared" ca="1" si="18"/>
        <v/>
      </c>
      <c r="P115" s="17" t="str">
        <f t="shared" si="19"/>
        <v/>
      </c>
    </row>
    <row r="116" spans="1:16" ht="1.9" customHeight="1">
      <c r="A116" s="37"/>
      <c r="B116" s="16" t="str">
        <f t="shared" ca="1" si="15"/>
        <v/>
      </c>
      <c r="C116" s="17" t="str">
        <f>IF(A116="","",'41_Clasificacion_Empresas'!C116)</f>
        <v/>
      </c>
      <c r="D116" s="17" t="str">
        <f t="shared" si="16"/>
        <v/>
      </c>
      <c r="E116" s="17" t="str">
        <f>IF(A116="","",'41_Clasificacion_Empresas'!C116)</f>
        <v/>
      </c>
      <c r="F116" s="17" t="str">
        <f>IF(A116="","",'41_Clasificacion_Empresas'!E116)</f>
        <v/>
      </c>
      <c r="G116" s="17" t="str">
        <f>IF(A116="","",'41_Clasificacion_Empresas'!D116)</f>
        <v/>
      </c>
      <c r="H116" s="17" t="str">
        <f>IF(A116="","",'41_Clasificacion_Empresas'!D116)</f>
        <v/>
      </c>
      <c r="I116" s="17" t="str">
        <f t="shared" si="17"/>
        <v/>
      </c>
      <c r="J116" s="17" t="str">
        <f>IF(A116="","",'41_Clasificacion_Empresas'!F116)</f>
        <v/>
      </c>
      <c r="K116" s="17" t="str">
        <f>IF(A116="","",IF('41_Clasificacion_Empresas'!F116="A","Sí","No"))</f>
        <v/>
      </c>
      <c r="L116" s="17" t="str">
        <f>IF(A116="","",'41_Clasificacion_Empresas'!G116)</f>
        <v/>
      </c>
      <c r="M116" s="17" t="str">
        <f>IF(A116="","",IF('41_Clasificacion_Empresas'!F116="A","🟢 Oportunidad","🟡 En investigación"))</f>
        <v/>
      </c>
      <c r="N116" s="17" t="str">
        <f>IF(A116="","",'41_Clasificacion_Empresas'!M116)</f>
        <v/>
      </c>
      <c r="O116" s="16" t="str">
        <f t="shared" ca="1" si="18"/>
        <v/>
      </c>
      <c r="P116" s="17" t="str">
        <f t="shared" si="19"/>
        <v/>
      </c>
    </row>
    <row r="117" spans="1:16" ht="1.9" customHeight="1">
      <c r="A117" s="37"/>
      <c r="B117" s="16" t="str">
        <f t="shared" ca="1" si="15"/>
        <v/>
      </c>
      <c r="C117" s="17" t="str">
        <f>IF(A117="","",'41_Clasificacion_Empresas'!C117)</f>
        <v/>
      </c>
      <c r="D117" s="17" t="str">
        <f t="shared" si="16"/>
        <v/>
      </c>
      <c r="E117" s="17" t="str">
        <f>IF(A117="","",'41_Clasificacion_Empresas'!C117)</f>
        <v/>
      </c>
      <c r="F117" s="17" t="str">
        <f>IF(A117="","",'41_Clasificacion_Empresas'!E117)</f>
        <v/>
      </c>
      <c r="G117" s="17" t="str">
        <f>IF(A117="","",'41_Clasificacion_Empresas'!D117)</f>
        <v/>
      </c>
      <c r="H117" s="17" t="str">
        <f>IF(A117="","",'41_Clasificacion_Empresas'!D117)</f>
        <v/>
      </c>
      <c r="I117" s="17" t="str">
        <f t="shared" si="17"/>
        <v/>
      </c>
      <c r="J117" s="17" t="str">
        <f>IF(A117="","",'41_Clasificacion_Empresas'!F117)</f>
        <v/>
      </c>
      <c r="K117" s="17" t="str">
        <f>IF(A117="","",IF('41_Clasificacion_Empresas'!F117="A","Sí","No"))</f>
        <v/>
      </c>
      <c r="L117" s="17" t="str">
        <f>IF(A117="","",'41_Clasificacion_Empresas'!G117)</f>
        <v/>
      </c>
      <c r="M117" s="17" t="str">
        <f>IF(A117="","",IF('41_Clasificacion_Empresas'!F117="A","🟢 Oportunidad","🟡 En investigación"))</f>
        <v/>
      </c>
      <c r="N117" s="17" t="str">
        <f>IF(A117="","",'41_Clasificacion_Empresas'!M117)</f>
        <v/>
      </c>
      <c r="O117" s="16" t="str">
        <f t="shared" ca="1" si="18"/>
        <v/>
      </c>
      <c r="P117" s="17" t="str">
        <f t="shared" si="19"/>
        <v/>
      </c>
    </row>
    <row r="118" spans="1:16" ht="1.9" customHeight="1">
      <c r="A118" s="37"/>
      <c r="B118" s="16" t="str">
        <f t="shared" ca="1" si="15"/>
        <v/>
      </c>
      <c r="C118" s="17" t="str">
        <f>IF(A118="","",'41_Clasificacion_Empresas'!C118)</f>
        <v/>
      </c>
      <c r="D118" s="17" t="str">
        <f t="shared" si="16"/>
        <v/>
      </c>
      <c r="E118" s="17" t="str">
        <f>IF(A118="","",'41_Clasificacion_Empresas'!C118)</f>
        <v/>
      </c>
      <c r="F118" s="17" t="str">
        <f>IF(A118="","",'41_Clasificacion_Empresas'!E118)</f>
        <v/>
      </c>
      <c r="G118" s="17" t="str">
        <f>IF(A118="","",'41_Clasificacion_Empresas'!D118)</f>
        <v/>
      </c>
      <c r="H118" s="17" t="str">
        <f>IF(A118="","",'41_Clasificacion_Empresas'!D118)</f>
        <v/>
      </c>
      <c r="I118" s="17" t="str">
        <f t="shared" si="17"/>
        <v/>
      </c>
      <c r="J118" s="17" t="str">
        <f>IF(A118="","",'41_Clasificacion_Empresas'!F118)</f>
        <v/>
      </c>
      <c r="K118" s="17" t="str">
        <f>IF(A118="","",IF('41_Clasificacion_Empresas'!F118="A","Sí","No"))</f>
        <v/>
      </c>
      <c r="L118" s="17" t="str">
        <f>IF(A118="","",'41_Clasificacion_Empresas'!G118)</f>
        <v/>
      </c>
      <c r="M118" s="17" t="str">
        <f>IF(A118="","",IF('41_Clasificacion_Empresas'!F118="A","🟢 Oportunidad","🟡 En investigación"))</f>
        <v/>
      </c>
      <c r="N118" s="17" t="str">
        <f>IF(A118="","",'41_Clasificacion_Empresas'!M118)</f>
        <v/>
      </c>
      <c r="O118" s="16" t="str">
        <f t="shared" ca="1" si="18"/>
        <v/>
      </c>
      <c r="P118" s="17" t="str">
        <f t="shared" si="19"/>
        <v/>
      </c>
    </row>
    <row r="119" spans="1:16" ht="1.9" customHeight="1">
      <c r="A119" s="37"/>
      <c r="B119" s="16" t="str">
        <f t="shared" ca="1" si="15"/>
        <v/>
      </c>
      <c r="C119" s="17" t="str">
        <f>IF(A119="","",'41_Clasificacion_Empresas'!C119)</f>
        <v/>
      </c>
      <c r="D119" s="17" t="str">
        <f t="shared" si="16"/>
        <v/>
      </c>
      <c r="E119" s="17" t="str">
        <f>IF(A119="","",'41_Clasificacion_Empresas'!C119)</f>
        <v/>
      </c>
      <c r="F119" s="17" t="str">
        <f>IF(A119="","",'41_Clasificacion_Empresas'!E119)</f>
        <v/>
      </c>
      <c r="G119" s="17" t="str">
        <f>IF(A119="","",'41_Clasificacion_Empresas'!D119)</f>
        <v/>
      </c>
      <c r="H119" s="17" t="str">
        <f>IF(A119="","",'41_Clasificacion_Empresas'!D119)</f>
        <v/>
      </c>
      <c r="I119" s="17" t="str">
        <f t="shared" si="17"/>
        <v/>
      </c>
      <c r="J119" s="17" t="str">
        <f>IF(A119="","",'41_Clasificacion_Empresas'!F119)</f>
        <v/>
      </c>
      <c r="K119" s="17" t="str">
        <f>IF(A119="","",IF('41_Clasificacion_Empresas'!F119="A","Sí","No"))</f>
        <v/>
      </c>
      <c r="L119" s="17" t="str">
        <f>IF(A119="","",'41_Clasificacion_Empresas'!G119)</f>
        <v/>
      </c>
      <c r="M119" s="17" t="str">
        <f>IF(A119="","",IF('41_Clasificacion_Empresas'!F119="A","🟢 Oportunidad","🟡 En investigación"))</f>
        <v/>
      </c>
      <c r="N119" s="17" t="str">
        <f>IF(A119="","",'41_Clasificacion_Empresas'!M119)</f>
        <v/>
      </c>
      <c r="O119" s="16" t="str">
        <f t="shared" ca="1" si="18"/>
        <v/>
      </c>
      <c r="P119" s="17" t="str">
        <f t="shared" si="19"/>
        <v/>
      </c>
    </row>
    <row r="120" spans="1:16" ht="1.9" customHeight="1">
      <c r="A120" s="37"/>
      <c r="B120" s="16" t="str">
        <f t="shared" ca="1" si="15"/>
        <v/>
      </c>
      <c r="C120" s="17" t="str">
        <f>IF(A120="","",'41_Clasificacion_Empresas'!C120)</f>
        <v/>
      </c>
      <c r="D120" s="17" t="str">
        <f t="shared" si="16"/>
        <v/>
      </c>
      <c r="E120" s="17" t="str">
        <f>IF(A120="","",'41_Clasificacion_Empresas'!C120)</f>
        <v/>
      </c>
      <c r="F120" s="17" t="str">
        <f>IF(A120="","",'41_Clasificacion_Empresas'!E120)</f>
        <v/>
      </c>
      <c r="G120" s="17" t="str">
        <f>IF(A120="","",'41_Clasificacion_Empresas'!D120)</f>
        <v/>
      </c>
      <c r="H120" s="17" t="str">
        <f>IF(A120="","",'41_Clasificacion_Empresas'!D120)</f>
        <v/>
      </c>
      <c r="I120" s="17" t="str">
        <f t="shared" si="17"/>
        <v/>
      </c>
      <c r="J120" s="17" t="str">
        <f>IF(A120="","",'41_Clasificacion_Empresas'!F120)</f>
        <v/>
      </c>
      <c r="K120" s="17" t="str">
        <f>IF(A120="","",IF('41_Clasificacion_Empresas'!F120="A","Sí","No"))</f>
        <v/>
      </c>
      <c r="L120" s="17" t="str">
        <f>IF(A120="","",'41_Clasificacion_Empresas'!G120)</f>
        <v/>
      </c>
      <c r="M120" s="17" t="str">
        <f>IF(A120="","",IF('41_Clasificacion_Empresas'!F120="A","🟢 Oportunidad","🟡 En investigación"))</f>
        <v/>
      </c>
      <c r="N120" s="17" t="str">
        <f>IF(A120="","",'41_Clasificacion_Empresas'!M120)</f>
        <v/>
      </c>
      <c r="O120" s="16" t="str">
        <f t="shared" ca="1" si="18"/>
        <v/>
      </c>
      <c r="P120" s="17" t="str">
        <f t="shared" si="19"/>
        <v/>
      </c>
    </row>
    <row r="121" spans="1:16" ht="1.9" customHeight="1">
      <c r="A121" s="37"/>
      <c r="B121" s="16" t="str">
        <f t="shared" ca="1" si="15"/>
        <v/>
      </c>
      <c r="C121" s="17" t="str">
        <f>IF(A121="","",'41_Clasificacion_Empresas'!C121)</f>
        <v/>
      </c>
      <c r="D121" s="17" t="str">
        <f t="shared" si="16"/>
        <v/>
      </c>
      <c r="E121" s="17" t="str">
        <f>IF(A121="","",'41_Clasificacion_Empresas'!C121)</f>
        <v/>
      </c>
      <c r="F121" s="17" t="str">
        <f>IF(A121="","",'41_Clasificacion_Empresas'!E121)</f>
        <v/>
      </c>
      <c r="G121" s="17" t="str">
        <f>IF(A121="","",'41_Clasificacion_Empresas'!D121)</f>
        <v/>
      </c>
      <c r="H121" s="17" t="str">
        <f>IF(A121="","",'41_Clasificacion_Empresas'!D121)</f>
        <v/>
      </c>
      <c r="I121" s="17" t="str">
        <f t="shared" si="17"/>
        <v/>
      </c>
      <c r="J121" s="17" t="str">
        <f>IF(A121="","",'41_Clasificacion_Empresas'!F121)</f>
        <v/>
      </c>
      <c r="K121" s="17" t="str">
        <f>IF(A121="","",IF('41_Clasificacion_Empresas'!F121="A","Sí","No"))</f>
        <v/>
      </c>
      <c r="L121" s="17" t="str">
        <f>IF(A121="","",'41_Clasificacion_Empresas'!G121)</f>
        <v/>
      </c>
      <c r="M121" s="17" t="str">
        <f>IF(A121="","",IF('41_Clasificacion_Empresas'!F121="A","🟢 Oportunidad","🟡 En investigación"))</f>
        <v/>
      </c>
      <c r="N121" s="17" t="str">
        <f>IF(A121="","",'41_Clasificacion_Empresas'!M121)</f>
        <v/>
      </c>
      <c r="O121" s="16" t="str">
        <f t="shared" ca="1" si="18"/>
        <v/>
      </c>
      <c r="P121" s="17" t="str">
        <f t="shared" si="19"/>
        <v/>
      </c>
    </row>
    <row r="122" spans="1:16" ht="1.9" customHeight="1">
      <c r="A122" s="37"/>
      <c r="B122" s="16" t="str">
        <f t="shared" ca="1" si="15"/>
        <v/>
      </c>
      <c r="C122" s="17" t="str">
        <f>IF(A122="","",'41_Clasificacion_Empresas'!C122)</f>
        <v/>
      </c>
      <c r="D122" s="17" t="str">
        <f t="shared" si="16"/>
        <v/>
      </c>
      <c r="E122" s="17" t="str">
        <f>IF(A122="","",'41_Clasificacion_Empresas'!C122)</f>
        <v/>
      </c>
      <c r="F122" s="17" t="str">
        <f>IF(A122="","",'41_Clasificacion_Empresas'!E122)</f>
        <v/>
      </c>
      <c r="G122" s="17" t="str">
        <f>IF(A122="","",'41_Clasificacion_Empresas'!D122)</f>
        <v/>
      </c>
      <c r="H122" s="17" t="str">
        <f>IF(A122="","",'41_Clasificacion_Empresas'!D122)</f>
        <v/>
      </c>
      <c r="I122" s="17" t="str">
        <f t="shared" si="17"/>
        <v/>
      </c>
      <c r="J122" s="17" t="str">
        <f>IF(A122="","",'41_Clasificacion_Empresas'!F122)</f>
        <v/>
      </c>
      <c r="K122" s="17" t="str">
        <f>IF(A122="","",IF('41_Clasificacion_Empresas'!F122="A","Sí","No"))</f>
        <v/>
      </c>
      <c r="L122" s="17" t="str">
        <f>IF(A122="","",'41_Clasificacion_Empresas'!G122)</f>
        <v/>
      </c>
      <c r="M122" s="17" t="str">
        <f>IF(A122="","",IF('41_Clasificacion_Empresas'!F122="A","🟢 Oportunidad","🟡 En investigación"))</f>
        <v/>
      </c>
      <c r="N122" s="17" t="str">
        <f>IF(A122="","",'41_Clasificacion_Empresas'!M122)</f>
        <v/>
      </c>
      <c r="O122" s="16" t="str">
        <f t="shared" ca="1" si="18"/>
        <v/>
      </c>
      <c r="P122" s="17" t="str">
        <f t="shared" si="19"/>
        <v/>
      </c>
    </row>
    <row r="123" spans="1:16" ht="1.9" customHeight="1">
      <c r="A123" s="37"/>
      <c r="B123" s="16" t="str">
        <f t="shared" ca="1" si="15"/>
        <v/>
      </c>
      <c r="C123" s="17" t="str">
        <f>IF(A123="","",'41_Clasificacion_Empresas'!C123)</f>
        <v/>
      </c>
      <c r="D123" s="17" t="str">
        <f t="shared" si="16"/>
        <v/>
      </c>
      <c r="E123" s="17" t="str">
        <f>IF(A123="","",'41_Clasificacion_Empresas'!C123)</f>
        <v/>
      </c>
      <c r="F123" s="17" t="str">
        <f>IF(A123="","",'41_Clasificacion_Empresas'!E123)</f>
        <v/>
      </c>
      <c r="G123" s="17" t="str">
        <f>IF(A123="","",'41_Clasificacion_Empresas'!D123)</f>
        <v/>
      </c>
      <c r="H123" s="17" t="str">
        <f>IF(A123="","",'41_Clasificacion_Empresas'!D123)</f>
        <v/>
      </c>
      <c r="I123" s="17" t="str">
        <f t="shared" si="17"/>
        <v/>
      </c>
      <c r="J123" s="17" t="str">
        <f>IF(A123="","",'41_Clasificacion_Empresas'!F123)</f>
        <v/>
      </c>
      <c r="K123" s="17" t="str">
        <f>IF(A123="","",IF('41_Clasificacion_Empresas'!F123="A","Sí","No"))</f>
        <v/>
      </c>
      <c r="L123" s="17" t="str">
        <f>IF(A123="","",'41_Clasificacion_Empresas'!G123)</f>
        <v/>
      </c>
      <c r="M123" s="17" t="str">
        <f>IF(A123="","",IF('41_Clasificacion_Empresas'!F123="A","🟢 Oportunidad","🟡 En investigación"))</f>
        <v/>
      </c>
      <c r="N123" s="17" t="str">
        <f>IF(A123="","",'41_Clasificacion_Empresas'!M123)</f>
        <v/>
      </c>
      <c r="O123" s="16" t="str">
        <f t="shared" ca="1" si="18"/>
        <v/>
      </c>
      <c r="P123" s="17" t="str">
        <f t="shared" si="19"/>
        <v/>
      </c>
    </row>
    <row r="124" spans="1:16" ht="1.9" customHeight="1">
      <c r="A124" s="37"/>
      <c r="B124" s="16" t="str">
        <f t="shared" ca="1" si="15"/>
        <v/>
      </c>
      <c r="C124" s="17" t="str">
        <f>IF(A124="","",'41_Clasificacion_Empresas'!C124)</f>
        <v/>
      </c>
      <c r="D124" s="17" t="str">
        <f t="shared" si="16"/>
        <v/>
      </c>
      <c r="E124" s="17" t="str">
        <f>IF(A124="","",'41_Clasificacion_Empresas'!C124)</f>
        <v/>
      </c>
      <c r="F124" s="17" t="str">
        <f>IF(A124="","",'41_Clasificacion_Empresas'!E124)</f>
        <v/>
      </c>
      <c r="G124" s="17" t="str">
        <f>IF(A124="","",'41_Clasificacion_Empresas'!D124)</f>
        <v/>
      </c>
      <c r="H124" s="17" t="str">
        <f>IF(A124="","",'41_Clasificacion_Empresas'!D124)</f>
        <v/>
      </c>
      <c r="I124" s="17" t="str">
        <f t="shared" si="17"/>
        <v/>
      </c>
      <c r="J124" s="17" t="str">
        <f>IF(A124="","",'41_Clasificacion_Empresas'!F124)</f>
        <v/>
      </c>
      <c r="K124" s="17" t="str">
        <f>IF(A124="","",IF('41_Clasificacion_Empresas'!F124="A","Sí","No"))</f>
        <v/>
      </c>
      <c r="L124" s="17" t="str">
        <f>IF(A124="","",'41_Clasificacion_Empresas'!G124)</f>
        <v/>
      </c>
      <c r="M124" s="17" t="str">
        <f>IF(A124="","",IF('41_Clasificacion_Empresas'!F124="A","🟢 Oportunidad","🟡 En investigación"))</f>
        <v/>
      </c>
      <c r="N124" s="17" t="str">
        <f>IF(A124="","",'41_Clasificacion_Empresas'!M124)</f>
        <v/>
      </c>
      <c r="O124" s="16" t="str">
        <f t="shared" ca="1" si="18"/>
        <v/>
      </c>
      <c r="P124" s="17" t="str">
        <f t="shared" si="19"/>
        <v/>
      </c>
    </row>
    <row r="125" spans="1:16" ht="1.9" customHeight="1">
      <c r="A125" s="37"/>
      <c r="B125" s="16" t="str">
        <f t="shared" ca="1" si="15"/>
        <v/>
      </c>
      <c r="C125" s="17" t="str">
        <f>IF(A125="","",'41_Clasificacion_Empresas'!C125)</f>
        <v/>
      </c>
      <c r="D125" s="17" t="str">
        <f t="shared" si="16"/>
        <v/>
      </c>
      <c r="E125" s="17" t="str">
        <f>IF(A125="","",'41_Clasificacion_Empresas'!C125)</f>
        <v/>
      </c>
      <c r="F125" s="17" t="str">
        <f>IF(A125="","",'41_Clasificacion_Empresas'!E125)</f>
        <v/>
      </c>
      <c r="G125" s="17" t="str">
        <f>IF(A125="","",'41_Clasificacion_Empresas'!D125)</f>
        <v/>
      </c>
      <c r="H125" s="17" t="str">
        <f>IF(A125="","",'41_Clasificacion_Empresas'!D125)</f>
        <v/>
      </c>
      <c r="I125" s="17" t="str">
        <f t="shared" si="17"/>
        <v/>
      </c>
      <c r="J125" s="17" t="str">
        <f>IF(A125="","",'41_Clasificacion_Empresas'!F125)</f>
        <v/>
      </c>
      <c r="K125" s="17" t="str">
        <f>IF(A125="","",IF('41_Clasificacion_Empresas'!F125="A","Sí","No"))</f>
        <v/>
      </c>
      <c r="L125" s="17" t="str">
        <f>IF(A125="","",'41_Clasificacion_Empresas'!G125)</f>
        <v/>
      </c>
      <c r="M125" s="17" t="str">
        <f>IF(A125="","",IF('41_Clasificacion_Empresas'!F125="A","🟢 Oportunidad","🟡 En investigación"))</f>
        <v/>
      </c>
      <c r="N125" s="17" t="str">
        <f>IF(A125="","",'41_Clasificacion_Empresas'!M125)</f>
        <v/>
      </c>
      <c r="O125" s="16" t="str">
        <f t="shared" ca="1" si="18"/>
        <v/>
      </c>
      <c r="P125" s="17" t="str">
        <f t="shared" si="19"/>
        <v/>
      </c>
    </row>
    <row r="126" spans="1:16" ht="1.9" customHeight="1">
      <c r="A126" s="37"/>
      <c r="B126" s="16" t="str">
        <f t="shared" ca="1" si="15"/>
        <v/>
      </c>
      <c r="C126" s="17" t="str">
        <f>IF(A126="","",'41_Clasificacion_Empresas'!C126)</f>
        <v/>
      </c>
      <c r="D126" s="17" t="str">
        <f t="shared" si="16"/>
        <v/>
      </c>
      <c r="E126" s="17" t="str">
        <f>IF(A126="","",'41_Clasificacion_Empresas'!C126)</f>
        <v/>
      </c>
      <c r="F126" s="17" t="str">
        <f>IF(A126="","",'41_Clasificacion_Empresas'!E126)</f>
        <v/>
      </c>
      <c r="G126" s="17" t="str">
        <f>IF(A126="","",'41_Clasificacion_Empresas'!D126)</f>
        <v/>
      </c>
      <c r="H126" s="17" t="str">
        <f>IF(A126="","",'41_Clasificacion_Empresas'!D126)</f>
        <v/>
      </c>
      <c r="I126" s="17" t="str">
        <f t="shared" si="17"/>
        <v/>
      </c>
      <c r="J126" s="17" t="str">
        <f>IF(A126="","",'41_Clasificacion_Empresas'!F126)</f>
        <v/>
      </c>
      <c r="K126" s="17" t="str">
        <f>IF(A126="","",IF('41_Clasificacion_Empresas'!F126="A","Sí","No"))</f>
        <v/>
      </c>
      <c r="L126" s="17" t="str">
        <f>IF(A126="","",'41_Clasificacion_Empresas'!G126)</f>
        <v/>
      </c>
      <c r="M126" s="17" t="str">
        <f>IF(A126="","",IF('41_Clasificacion_Empresas'!F126="A","🟢 Oportunidad","🟡 En investigación"))</f>
        <v/>
      </c>
      <c r="N126" s="17" t="str">
        <f>IF(A126="","",'41_Clasificacion_Empresas'!M126)</f>
        <v/>
      </c>
      <c r="O126" s="16" t="str">
        <f t="shared" ca="1" si="18"/>
        <v/>
      </c>
      <c r="P126" s="17" t="str">
        <f t="shared" si="19"/>
        <v/>
      </c>
    </row>
    <row r="127" spans="1:16" ht="1.9" customHeight="1">
      <c r="A127" s="37"/>
      <c r="B127" s="16" t="str">
        <f t="shared" ca="1" si="15"/>
        <v/>
      </c>
      <c r="C127" s="17" t="str">
        <f>IF(A127="","",'41_Clasificacion_Empresas'!C127)</f>
        <v/>
      </c>
      <c r="D127" s="17" t="str">
        <f t="shared" si="16"/>
        <v/>
      </c>
      <c r="E127" s="17" t="str">
        <f>IF(A127="","",'41_Clasificacion_Empresas'!C127)</f>
        <v/>
      </c>
      <c r="F127" s="17" t="str">
        <f>IF(A127="","",'41_Clasificacion_Empresas'!E127)</f>
        <v/>
      </c>
      <c r="G127" s="17" t="str">
        <f>IF(A127="","",'41_Clasificacion_Empresas'!D127)</f>
        <v/>
      </c>
      <c r="H127" s="17" t="str">
        <f>IF(A127="","",'41_Clasificacion_Empresas'!D127)</f>
        <v/>
      </c>
      <c r="I127" s="17" t="str">
        <f t="shared" si="17"/>
        <v/>
      </c>
      <c r="J127" s="17" t="str">
        <f>IF(A127="","",'41_Clasificacion_Empresas'!F127)</f>
        <v/>
      </c>
      <c r="K127" s="17" t="str">
        <f>IF(A127="","",IF('41_Clasificacion_Empresas'!F127="A","Sí","No"))</f>
        <v/>
      </c>
      <c r="L127" s="17" t="str">
        <f>IF(A127="","",'41_Clasificacion_Empresas'!G127)</f>
        <v/>
      </c>
      <c r="M127" s="17" t="str">
        <f>IF(A127="","",IF('41_Clasificacion_Empresas'!F127="A","🟢 Oportunidad","🟡 En investigación"))</f>
        <v/>
      </c>
      <c r="N127" s="17" t="str">
        <f>IF(A127="","",'41_Clasificacion_Empresas'!M127)</f>
        <v/>
      </c>
      <c r="O127" s="16" t="str">
        <f t="shared" ca="1" si="18"/>
        <v/>
      </c>
      <c r="P127" s="17" t="str">
        <f t="shared" si="19"/>
        <v/>
      </c>
    </row>
    <row r="128" spans="1:16" ht="1.9" customHeight="1">
      <c r="A128" s="37"/>
      <c r="B128" s="16" t="str">
        <f t="shared" ca="1" si="15"/>
        <v/>
      </c>
      <c r="C128" s="17" t="str">
        <f>IF(A128="","",'41_Clasificacion_Empresas'!C128)</f>
        <v/>
      </c>
      <c r="D128" s="17" t="str">
        <f t="shared" si="16"/>
        <v/>
      </c>
      <c r="E128" s="17" t="str">
        <f>IF(A128="","",'41_Clasificacion_Empresas'!C128)</f>
        <v/>
      </c>
      <c r="F128" s="17" t="str">
        <f>IF(A128="","",'41_Clasificacion_Empresas'!E128)</f>
        <v/>
      </c>
      <c r="G128" s="17" t="str">
        <f>IF(A128="","",'41_Clasificacion_Empresas'!D128)</f>
        <v/>
      </c>
      <c r="H128" s="17" t="str">
        <f>IF(A128="","",'41_Clasificacion_Empresas'!D128)</f>
        <v/>
      </c>
      <c r="I128" s="17" t="str">
        <f t="shared" si="17"/>
        <v/>
      </c>
      <c r="J128" s="17" t="str">
        <f>IF(A128="","",'41_Clasificacion_Empresas'!F128)</f>
        <v/>
      </c>
      <c r="K128" s="17" t="str">
        <f>IF(A128="","",IF('41_Clasificacion_Empresas'!F128="A","Sí","No"))</f>
        <v/>
      </c>
      <c r="L128" s="17" t="str">
        <f>IF(A128="","",'41_Clasificacion_Empresas'!G128)</f>
        <v/>
      </c>
      <c r="M128" s="17" t="str">
        <f>IF(A128="","",IF('41_Clasificacion_Empresas'!F128="A","🟢 Oportunidad","🟡 En investigación"))</f>
        <v/>
      </c>
      <c r="N128" s="17" t="str">
        <f>IF(A128="","",'41_Clasificacion_Empresas'!M128)</f>
        <v/>
      </c>
      <c r="O128" s="16" t="str">
        <f t="shared" ca="1" si="18"/>
        <v/>
      </c>
      <c r="P128" s="17" t="str">
        <f t="shared" si="19"/>
        <v/>
      </c>
    </row>
    <row r="129" spans="1:16" ht="1.9" customHeight="1">
      <c r="A129" s="37"/>
      <c r="B129" s="16" t="str">
        <f t="shared" ca="1" si="15"/>
        <v/>
      </c>
      <c r="C129" s="17" t="str">
        <f>IF(A129="","",'41_Clasificacion_Empresas'!C129)</f>
        <v/>
      </c>
      <c r="D129" s="17" t="str">
        <f t="shared" si="16"/>
        <v/>
      </c>
      <c r="E129" s="17" t="str">
        <f>IF(A129="","",'41_Clasificacion_Empresas'!C129)</f>
        <v/>
      </c>
      <c r="F129" s="17" t="str">
        <f>IF(A129="","",'41_Clasificacion_Empresas'!E129)</f>
        <v/>
      </c>
      <c r="G129" s="17" t="str">
        <f>IF(A129="","",'41_Clasificacion_Empresas'!D129)</f>
        <v/>
      </c>
      <c r="H129" s="17" t="str">
        <f>IF(A129="","",'41_Clasificacion_Empresas'!D129)</f>
        <v/>
      </c>
      <c r="I129" s="17" t="str">
        <f t="shared" si="17"/>
        <v/>
      </c>
      <c r="J129" s="17" t="str">
        <f>IF(A129="","",'41_Clasificacion_Empresas'!F129)</f>
        <v/>
      </c>
      <c r="K129" s="17" t="str">
        <f>IF(A129="","",IF('41_Clasificacion_Empresas'!F129="A","Sí","No"))</f>
        <v/>
      </c>
      <c r="L129" s="17" t="str">
        <f>IF(A129="","",'41_Clasificacion_Empresas'!G129)</f>
        <v/>
      </c>
      <c r="M129" s="17" t="str">
        <f>IF(A129="","",IF('41_Clasificacion_Empresas'!F129="A","🟢 Oportunidad","🟡 En investigación"))</f>
        <v/>
      </c>
      <c r="N129" s="17" t="str">
        <f>IF(A129="","",'41_Clasificacion_Empresas'!M129)</f>
        <v/>
      </c>
      <c r="O129" s="16" t="str">
        <f t="shared" ca="1" si="18"/>
        <v/>
      </c>
      <c r="P129" s="17" t="str">
        <f t="shared" si="19"/>
        <v/>
      </c>
    </row>
    <row r="130" spans="1:16" ht="1.9" customHeight="1">
      <c r="A130" s="37"/>
      <c r="B130" s="16" t="str">
        <f t="shared" ca="1" si="15"/>
        <v/>
      </c>
      <c r="C130" s="17" t="str">
        <f>IF(A130="","",'41_Clasificacion_Empresas'!C130)</f>
        <v/>
      </c>
      <c r="D130" s="17" t="str">
        <f t="shared" si="16"/>
        <v/>
      </c>
      <c r="E130" s="17" t="str">
        <f>IF(A130="","",'41_Clasificacion_Empresas'!C130)</f>
        <v/>
      </c>
      <c r="F130" s="17" t="str">
        <f>IF(A130="","",'41_Clasificacion_Empresas'!E130)</f>
        <v/>
      </c>
      <c r="G130" s="17" t="str">
        <f>IF(A130="","",'41_Clasificacion_Empresas'!D130)</f>
        <v/>
      </c>
      <c r="H130" s="17" t="str">
        <f>IF(A130="","",'41_Clasificacion_Empresas'!D130)</f>
        <v/>
      </c>
      <c r="I130" s="17" t="str">
        <f t="shared" si="17"/>
        <v/>
      </c>
      <c r="J130" s="17" t="str">
        <f>IF(A130="","",'41_Clasificacion_Empresas'!F130)</f>
        <v/>
      </c>
      <c r="K130" s="17" t="str">
        <f>IF(A130="","",IF('41_Clasificacion_Empresas'!F130="A","Sí","No"))</f>
        <v/>
      </c>
      <c r="L130" s="17" t="str">
        <f>IF(A130="","",'41_Clasificacion_Empresas'!G130)</f>
        <v/>
      </c>
      <c r="M130" s="17" t="str">
        <f>IF(A130="","",IF('41_Clasificacion_Empresas'!F130="A","🟢 Oportunidad","🟡 En investigación"))</f>
        <v/>
      </c>
      <c r="N130" s="17" t="str">
        <f>IF(A130="","",'41_Clasificacion_Empresas'!M130)</f>
        <v/>
      </c>
      <c r="O130" s="16" t="str">
        <f t="shared" ca="1" si="18"/>
        <v/>
      </c>
      <c r="P130" s="17" t="str">
        <f t="shared" si="19"/>
        <v/>
      </c>
    </row>
    <row r="131" spans="1:16" ht="1.9" customHeight="1">
      <c r="A131" s="37"/>
      <c r="B131" s="16" t="str">
        <f t="shared" ca="1" si="15"/>
        <v/>
      </c>
      <c r="C131" s="17" t="str">
        <f>IF(A131="","",'41_Clasificacion_Empresas'!C131)</f>
        <v/>
      </c>
      <c r="D131" s="17" t="str">
        <f t="shared" si="16"/>
        <v/>
      </c>
      <c r="E131" s="17" t="str">
        <f>IF(A131="","",'41_Clasificacion_Empresas'!C131)</f>
        <v/>
      </c>
      <c r="F131" s="17" t="str">
        <f>IF(A131="","",'41_Clasificacion_Empresas'!E131)</f>
        <v/>
      </c>
      <c r="G131" s="17" t="str">
        <f>IF(A131="","",'41_Clasificacion_Empresas'!D131)</f>
        <v/>
      </c>
      <c r="H131" s="17" t="str">
        <f>IF(A131="","",'41_Clasificacion_Empresas'!D131)</f>
        <v/>
      </c>
      <c r="I131" s="17" t="str">
        <f t="shared" si="17"/>
        <v/>
      </c>
      <c r="J131" s="17" t="str">
        <f>IF(A131="","",'41_Clasificacion_Empresas'!F131)</f>
        <v/>
      </c>
      <c r="K131" s="17" t="str">
        <f>IF(A131="","",IF('41_Clasificacion_Empresas'!F131="A","Sí","No"))</f>
        <v/>
      </c>
      <c r="L131" s="17" t="str">
        <f>IF(A131="","",'41_Clasificacion_Empresas'!G131)</f>
        <v/>
      </c>
      <c r="M131" s="17" t="str">
        <f>IF(A131="","",IF('41_Clasificacion_Empresas'!F131="A","🟢 Oportunidad","🟡 En investigación"))</f>
        <v/>
      </c>
      <c r="N131" s="17" t="str">
        <f>IF(A131="","",'41_Clasificacion_Empresas'!M131)</f>
        <v/>
      </c>
      <c r="O131" s="16" t="str">
        <f t="shared" ca="1" si="18"/>
        <v/>
      </c>
      <c r="P131" s="17" t="str">
        <f t="shared" si="19"/>
        <v/>
      </c>
    </row>
    <row r="132" spans="1:16" ht="1.9" customHeight="1">
      <c r="A132" s="37"/>
      <c r="B132" s="16" t="str">
        <f t="shared" ca="1" si="15"/>
        <v/>
      </c>
      <c r="C132" s="17" t="str">
        <f>IF(A132="","",'41_Clasificacion_Empresas'!C132)</f>
        <v/>
      </c>
      <c r="D132" s="17" t="str">
        <f t="shared" si="16"/>
        <v/>
      </c>
      <c r="E132" s="17" t="str">
        <f>IF(A132="","",'41_Clasificacion_Empresas'!C132)</f>
        <v/>
      </c>
      <c r="F132" s="17" t="str">
        <f>IF(A132="","",'41_Clasificacion_Empresas'!E132)</f>
        <v/>
      </c>
      <c r="G132" s="17" t="str">
        <f>IF(A132="","",'41_Clasificacion_Empresas'!D132)</f>
        <v/>
      </c>
      <c r="H132" s="17" t="str">
        <f>IF(A132="","",'41_Clasificacion_Empresas'!D132)</f>
        <v/>
      </c>
      <c r="I132" s="17" t="str">
        <f t="shared" si="17"/>
        <v/>
      </c>
      <c r="J132" s="17" t="str">
        <f>IF(A132="","",'41_Clasificacion_Empresas'!F132)</f>
        <v/>
      </c>
      <c r="K132" s="17" t="str">
        <f>IF(A132="","",IF('41_Clasificacion_Empresas'!F132="A","Sí","No"))</f>
        <v/>
      </c>
      <c r="L132" s="17" t="str">
        <f>IF(A132="","",'41_Clasificacion_Empresas'!G132)</f>
        <v/>
      </c>
      <c r="M132" s="17" t="str">
        <f>IF(A132="","",IF('41_Clasificacion_Empresas'!F132="A","🟢 Oportunidad","🟡 En investigación"))</f>
        <v/>
      </c>
      <c r="N132" s="17" t="str">
        <f>IF(A132="","",'41_Clasificacion_Empresas'!M132)</f>
        <v/>
      </c>
      <c r="O132" s="16" t="str">
        <f t="shared" ca="1" si="18"/>
        <v/>
      </c>
      <c r="P132" s="17" t="str">
        <f t="shared" si="19"/>
        <v/>
      </c>
    </row>
    <row r="133" spans="1:16" ht="1.9" customHeight="1">
      <c r="A133" s="37"/>
      <c r="B133" s="16" t="str">
        <f t="shared" ref="B133:B164" ca="1" si="20">IF(A133="","",TODAY())</f>
        <v/>
      </c>
      <c r="C133" s="17" t="str">
        <f>IF(A133="","",'41_Clasificacion_Empresas'!C133)</f>
        <v/>
      </c>
      <c r="D133" s="17" t="str">
        <f t="shared" ref="D133:D164" si="21">IF(A133="","","Por definir")</f>
        <v/>
      </c>
      <c r="E133" s="17" t="str">
        <f>IF(A133="","",'41_Clasificacion_Empresas'!C133)</f>
        <v/>
      </c>
      <c r="F133" s="17" t="str">
        <f>IF(A133="","",'41_Clasificacion_Empresas'!E133)</f>
        <v/>
      </c>
      <c r="G133" s="17" t="str">
        <f>IF(A133="","",'41_Clasificacion_Empresas'!D133)</f>
        <v/>
      </c>
      <c r="H133" s="17" t="str">
        <f>IF(A133="","",'41_Clasificacion_Empresas'!D133)</f>
        <v/>
      </c>
      <c r="I133" s="17" t="str">
        <f t="shared" ref="I133:I164" si="22">IF(A133="","","Empresa / mercado")</f>
        <v/>
      </c>
      <c r="J133" s="17" t="str">
        <f>IF(A133="","",'41_Clasificacion_Empresas'!F133)</f>
        <v/>
      </c>
      <c r="K133" s="17" t="str">
        <f>IF(A133="","",IF('41_Clasificacion_Empresas'!F133="A","Sí","No"))</f>
        <v/>
      </c>
      <c r="L133" s="17" t="str">
        <f>IF(A133="","",'41_Clasificacion_Empresas'!G133)</f>
        <v/>
      </c>
      <c r="M133" s="17" t="str">
        <f>IF(A133="","",IF('41_Clasificacion_Empresas'!F133="A","🟢 Oportunidad","🟡 En investigación"))</f>
        <v/>
      </c>
      <c r="N133" s="17" t="str">
        <f>IF(A133="","",'41_Clasificacion_Empresas'!M133)</f>
        <v/>
      </c>
      <c r="O133" s="16" t="str">
        <f t="shared" ref="O133:O164" ca="1" si="23">IF(A133="","",TODAY()+7)</f>
        <v/>
      </c>
      <c r="P133" s="17" t="str">
        <f t="shared" ref="P133:P164" si="24">IF(A133="","","Fuente: 40→41→32→33→30")</f>
        <v/>
      </c>
    </row>
    <row r="134" spans="1:16" ht="1.9" customHeight="1">
      <c r="A134" s="37"/>
      <c r="B134" s="16" t="str">
        <f t="shared" ca="1" si="20"/>
        <v/>
      </c>
      <c r="C134" s="17" t="str">
        <f>IF(A134="","",'41_Clasificacion_Empresas'!C134)</f>
        <v/>
      </c>
      <c r="D134" s="17" t="str">
        <f t="shared" si="21"/>
        <v/>
      </c>
      <c r="E134" s="17" t="str">
        <f>IF(A134="","",'41_Clasificacion_Empresas'!C134)</f>
        <v/>
      </c>
      <c r="F134" s="17" t="str">
        <f>IF(A134="","",'41_Clasificacion_Empresas'!E134)</f>
        <v/>
      </c>
      <c r="G134" s="17" t="str">
        <f>IF(A134="","",'41_Clasificacion_Empresas'!D134)</f>
        <v/>
      </c>
      <c r="H134" s="17" t="str">
        <f>IF(A134="","",'41_Clasificacion_Empresas'!D134)</f>
        <v/>
      </c>
      <c r="I134" s="17" t="str">
        <f t="shared" si="22"/>
        <v/>
      </c>
      <c r="J134" s="17" t="str">
        <f>IF(A134="","",'41_Clasificacion_Empresas'!F134)</f>
        <v/>
      </c>
      <c r="K134" s="17" t="str">
        <f>IF(A134="","",IF('41_Clasificacion_Empresas'!F134="A","Sí","No"))</f>
        <v/>
      </c>
      <c r="L134" s="17" t="str">
        <f>IF(A134="","",'41_Clasificacion_Empresas'!G134)</f>
        <v/>
      </c>
      <c r="M134" s="17" t="str">
        <f>IF(A134="","",IF('41_Clasificacion_Empresas'!F134="A","🟢 Oportunidad","🟡 En investigación"))</f>
        <v/>
      </c>
      <c r="N134" s="17" t="str">
        <f>IF(A134="","",'41_Clasificacion_Empresas'!M134)</f>
        <v/>
      </c>
      <c r="O134" s="16" t="str">
        <f t="shared" ca="1" si="23"/>
        <v/>
      </c>
      <c r="P134" s="17" t="str">
        <f t="shared" si="24"/>
        <v/>
      </c>
    </row>
    <row r="135" spans="1:16" ht="1.9" customHeight="1">
      <c r="A135" s="37"/>
      <c r="B135" s="16" t="str">
        <f t="shared" ca="1" si="20"/>
        <v/>
      </c>
      <c r="C135" s="17" t="str">
        <f>IF(A135="","",'41_Clasificacion_Empresas'!C135)</f>
        <v/>
      </c>
      <c r="D135" s="17" t="str">
        <f t="shared" si="21"/>
        <v/>
      </c>
      <c r="E135" s="17" t="str">
        <f>IF(A135="","",'41_Clasificacion_Empresas'!C135)</f>
        <v/>
      </c>
      <c r="F135" s="17" t="str">
        <f>IF(A135="","",'41_Clasificacion_Empresas'!E135)</f>
        <v/>
      </c>
      <c r="G135" s="17" t="str">
        <f>IF(A135="","",'41_Clasificacion_Empresas'!D135)</f>
        <v/>
      </c>
      <c r="H135" s="17" t="str">
        <f>IF(A135="","",'41_Clasificacion_Empresas'!D135)</f>
        <v/>
      </c>
      <c r="I135" s="17" t="str">
        <f t="shared" si="22"/>
        <v/>
      </c>
      <c r="J135" s="17" t="str">
        <f>IF(A135="","",'41_Clasificacion_Empresas'!F135)</f>
        <v/>
      </c>
      <c r="K135" s="17" t="str">
        <f>IF(A135="","",IF('41_Clasificacion_Empresas'!F135="A","Sí","No"))</f>
        <v/>
      </c>
      <c r="L135" s="17" t="str">
        <f>IF(A135="","",'41_Clasificacion_Empresas'!G135)</f>
        <v/>
      </c>
      <c r="M135" s="17" t="str">
        <f>IF(A135="","",IF('41_Clasificacion_Empresas'!F135="A","🟢 Oportunidad","🟡 En investigación"))</f>
        <v/>
      </c>
      <c r="N135" s="17" t="str">
        <f>IF(A135="","",'41_Clasificacion_Empresas'!M135)</f>
        <v/>
      </c>
      <c r="O135" s="16" t="str">
        <f t="shared" ca="1" si="23"/>
        <v/>
      </c>
      <c r="P135" s="17" t="str">
        <f t="shared" si="24"/>
        <v/>
      </c>
    </row>
    <row r="136" spans="1:16" ht="1.9" customHeight="1">
      <c r="A136" s="37"/>
      <c r="B136" s="16" t="str">
        <f t="shared" ca="1" si="20"/>
        <v/>
      </c>
      <c r="C136" s="17" t="str">
        <f>IF(A136="","",'41_Clasificacion_Empresas'!C136)</f>
        <v/>
      </c>
      <c r="D136" s="17" t="str">
        <f t="shared" si="21"/>
        <v/>
      </c>
      <c r="E136" s="17" t="str">
        <f>IF(A136="","",'41_Clasificacion_Empresas'!C136)</f>
        <v/>
      </c>
      <c r="F136" s="17" t="str">
        <f>IF(A136="","",'41_Clasificacion_Empresas'!E136)</f>
        <v/>
      </c>
      <c r="G136" s="17" t="str">
        <f>IF(A136="","",'41_Clasificacion_Empresas'!D136)</f>
        <v/>
      </c>
      <c r="H136" s="17" t="str">
        <f>IF(A136="","",'41_Clasificacion_Empresas'!D136)</f>
        <v/>
      </c>
      <c r="I136" s="17" t="str">
        <f t="shared" si="22"/>
        <v/>
      </c>
      <c r="J136" s="17" t="str">
        <f>IF(A136="","",'41_Clasificacion_Empresas'!F136)</f>
        <v/>
      </c>
      <c r="K136" s="17" t="str">
        <f>IF(A136="","",IF('41_Clasificacion_Empresas'!F136="A","Sí","No"))</f>
        <v/>
      </c>
      <c r="L136" s="17" t="str">
        <f>IF(A136="","",'41_Clasificacion_Empresas'!G136)</f>
        <v/>
      </c>
      <c r="M136" s="17" t="str">
        <f>IF(A136="","",IF('41_Clasificacion_Empresas'!F136="A","🟢 Oportunidad","🟡 En investigación"))</f>
        <v/>
      </c>
      <c r="N136" s="17" t="str">
        <f>IF(A136="","",'41_Clasificacion_Empresas'!M136)</f>
        <v/>
      </c>
      <c r="O136" s="16" t="str">
        <f t="shared" ca="1" si="23"/>
        <v/>
      </c>
      <c r="P136" s="17" t="str">
        <f t="shared" si="24"/>
        <v/>
      </c>
    </row>
    <row r="137" spans="1:16" ht="1.9" customHeight="1">
      <c r="A137" s="37"/>
      <c r="B137" s="16" t="str">
        <f t="shared" ca="1" si="20"/>
        <v/>
      </c>
      <c r="C137" s="17" t="str">
        <f>IF(A137="","",'41_Clasificacion_Empresas'!C137)</f>
        <v/>
      </c>
      <c r="D137" s="17" t="str">
        <f t="shared" si="21"/>
        <v/>
      </c>
      <c r="E137" s="17" t="str">
        <f>IF(A137="","",'41_Clasificacion_Empresas'!C137)</f>
        <v/>
      </c>
      <c r="F137" s="17" t="str">
        <f>IF(A137="","",'41_Clasificacion_Empresas'!E137)</f>
        <v/>
      </c>
      <c r="G137" s="17" t="str">
        <f>IF(A137="","",'41_Clasificacion_Empresas'!D137)</f>
        <v/>
      </c>
      <c r="H137" s="17" t="str">
        <f>IF(A137="","",'41_Clasificacion_Empresas'!D137)</f>
        <v/>
      </c>
      <c r="I137" s="17" t="str">
        <f t="shared" si="22"/>
        <v/>
      </c>
      <c r="J137" s="17" t="str">
        <f>IF(A137="","",'41_Clasificacion_Empresas'!F137)</f>
        <v/>
      </c>
      <c r="K137" s="17" t="str">
        <f>IF(A137="","",IF('41_Clasificacion_Empresas'!F137="A","Sí","No"))</f>
        <v/>
      </c>
      <c r="L137" s="17" t="str">
        <f>IF(A137="","",'41_Clasificacion_Empresas'!G137)</f>
        <v/>
      </c>
      <c r="M137" s="17" t="str">
        <f>IF(A137="","",IF('41_Clasificacion_Empresas'!F137="A","🟢 Oportunidad","🟡 En investigación"))</f>
        <v/>
      </c>
      <c r="N137" s="17" t="str">
        <f>IF(A137="","",'41_Clasificacion_Empresas'!M137)</f>
        <v/>
      </c>
      <c r="O137" s="16" t="str">
        <f t="shared" ca="1" si="23"/>
        <v/>
      </c>
      <c r="P137" s="17" t="str">
        <f t="shared" si="24"/>
        <v/>
      </c>
    </row>
    <row r="138" spans="1:16" ht="1.9" customHeight="1">
      <c r="A138" s="37"/>
      <c r="B138" s="16" t="str">
        <f t="shared" ca="1" si="20"/>
        <v/>
      </c>
      <c r="C138" s="17" t="str">
        <f>IF(A138="","",'41_Clasificacion_Empresas'!C138)</f>
        <v/>
      </c>
      <c r="D138" s="17" t="str">
        <f t="shared" si="21"/>
        <v/>
      </c>
      <c r="E138" s="17" t="str">
        <f>IF(A138="","",'41_Clasificacion_Empresas'!C138)</f>
        <v/>
      </c>
      <c r="F138" s="17" t="str">
        <f>IF(A138="","",'41_Clasificacion_Empresas'!E138)</f>
        <v/>
      </c>
      <c r="G138" s="17" t="str">
        <f>IF(A138="","",'41_Clasificacion_Empresas'!D138)</f>
        <v/>
      </c>
      <c r="H138" s="17" t="str">
        <f>IF(A138="","",'41_Clasificacion_Empresas'!D138)</f>
        <v/>
      </c>
      <c r="I138" s="17" t="str">
        <f t="shared" si="22"/>
        <v/>
      </c>
      <c r="J138" s="17" t="str">
        <f>IF(A138="","",'41_Clasificacion_Empresas'!F138)</f>
        <v/>
      </c>
      <c r="K138" s="17" t="str">
        <f>IF(A138="","",IF('41_Clasificacion_Empresas'!F138="A","Sí","No"))</f>
        <v/>
      </c>
      <c r="L138" s="17" t="str">
        <f>IF(A138="","",'41_Clasificacion_Empresas'!G138)</f>
        <v/>
      </c>
      <c r="M138" s="17" t="str">
        <f>IF(A138="","",IF('41_Clasificacion_Empresas'!F138="A","🟢 Oportunidad","🟡 En investigación"))</f>
        <v/>
      </c>
      <c r="N138" s="17" t="str">
        <f>IF(A138="","",'41_Clasificacion_Empresas'!M138)</f>
        <v/>
      </c>
      <c r="O138" s="16" t="str">
        <f t="shared" ca="1" si="23"/>
        <v/>
      </c>
      <c r="P138" s="17" t="str">
        <f t="shared" si="24"/>
        <v/>
      </c>
    </row>
    <row r="139" spans="1:16" ht="1.9" customHeight="1">
      <c r="A139" s="37"/>
      <c r="B139" s="16" t="str">
        <f t="shared" ca="1" si="20"/>
        <v/>
      </c>
      <c r="C139" s="17" t="str">
        <f>IF(A139="","",'41_Clasificacion_Empresas'!C139)</f>
        <v/>
      </c>
      <c r="D139" s="17" t="str">
        <f t="shared" si="21"/>
        <v/>
      </c>
      <c r="E139" s="17" t="str">
        <f>IF(A139="","",'41_Clasificacion_Empresas'!C139)</f>
        <v/>
      </c>
      <c r="F139" s="17" t="str">
        <f>IF(A139="","",'41_Clasificacion_Empresas'!E139)</f>
        <v/>
      </c>
      <c r="G139" s="17" t="str">
        <f>IF(A139="","",'41_Clasificacion_Empresas'!D139)</f>
        <v/>
      </c>
      <c r="H139" s="17" t="str">
        <f>IF(A139="","",'41_Clasificacion_Empresas'!D139)</f>
        <v/>
      </c>
      <c r="I139" s="17" t="str">
        <f t="shared" si="22"/>
        <v/>
      </c>
      <c r="J139" s="17" t="str">
        <f>IF(A139="","",'41_Clasificacion_Empresas'!F139)</f>
        <v/>
      </c>
      <c r="K139" s="17" t="str">
        <f>IF(A139="","",IF('41_Clasificacion_Empresas'!F139="A","Sí","No"))</f>
        <v/>
      </c>
      <c r="L139" s="17" t="str">
        <f>IF(A139="","",'41_Clasificacion_Empresas'!G139)</f>
        <v/>
      </c>
      <c r="M139" s="17" t="str">
        <f>IF(A139="","",IF('41_Clasificacion_Empresas'!F139="A","🟢 Oportunidad","🟡 En investigación"))</f>
        <v/>
      </c>
      <c r="N139" s="17" t="str">
        <f>IF(A139="","",'41_Clasificacion_Empresas'!M139)</f>
        <v/>
      </c>
      <c r="O139" s="16" t="str">
        <f t="shared" ca="1" si="23"/>
        <v/>
      </c>
      <c r="P139" s="17" t="str">
        <f t="shared" si="24"/>
        <v/>
      </c>
    </row>
    <row r="140" spans="1:16" ht="1.9" customHeight="1">
      <c r="A140" s="37"/>
      <c r="B140" s="16" t="str">
        <f t="shared" ca="1" si="20"/>
        <v/>
      </c>
      <c r="C140" s="17" t="str">
        <f>IF(A140="","",'41_Clasificacion_Empresas'!C140)</f>
        <v/>
      </c>
      <c r="D140" s="17" t="str">
        <f t="shared" si="21"/>
        <v/>
      </c>
      <c r="E140" s="17" t="str">
        <f>IF(A140="","",'41_Clasificacion_Empresas'!C140)</f>
        <v/>
      </c>
      <c r="F140" s="17" t="str">
        <f>IF(A140="","",'41_Clasificacion_Empresas'!E140)</f>
        <v/>
      </c>
      <c r="G140" s="17" t="str">
        <f>IF(A140="","",'41_Clasificacion_Empresas'!D140)</f>
        <v/>
      </c>
      <c r="H140" s="17" t="str">
        <f>IF(A140="","",'41_Clasificacion_Empresas'!D140)</f>
        <v/>
      </c>
      <c r="I140" s="17" t="str">
        <f t="shared" si="22"/>
        <v/>
      </c>
      <c r="J140" s="17" t="str">
        <f>IF(A140="","",'41_Clasificacion_Empresas'!F140)</f>
        <v/>
      </c>
      <c r="K140" s="17" t="str">
        <f>IF(A140="","",IF('41_Clasificacion_Empresas'!F140="A","Sí","No"))</f>
        <v/>
      </c>
      <c r="L140" s="17" t="str">
        <f>IF(A140="","",'41_Clasificacion_Empresas'!G140)</f>
        <v/>
      </c>
      <c r="M140" s="17" t="str">
        <f>IF(A140="","",IF('41_Clasificacion_Empresas'!F140="A","🟢 Oportunidad","🟡 En investigación"))</f>
        <v/>
      </c>
      <c r="N140" s="17" t="str">
        <f>IF(A140="","",'41_Clasificacion_Empresas'!M140)</f>
        <v/>
      </c>
      <c r="O140" s="16" t="str">
        <f t="shared" ca="1" si="23"/>
        <v/>
      </c>
      <c r="P140" s="17" t="str">
        <f t="shared" si="24"/>
        <v/>
      </c>
    </row>
    <row r="141" spans="1:16" ht="1.9" customHeight="1">
      <c r="A141" s="37"/>
      <c r="B141" s="16" t="str">
        <f t="shared" ca="1" si="20"/>
        <v/>
      </c>
      <c r="C141" s="17" t="str">
        <f>IF(A141="","",'41_Clasificacion_Empresas'!C141)</f>
        <v/>
      </c>
      <c r="D141" s="17" t="str">
        <f t="shared" si="21"/>
        <v/>
      </c>
      <c r="E141" s="17" t="str">
        <f>IF(A141="","",'41_Clasificacion_Empresas'!C141)</f>
        <v/>
      </c>
      <c r="F141" s="17" t="str">
        <f>IF(A141="","",'41_Clasificacion_Empresas'!E141)</f>
        <v/>
      </c>
      <c r="G141" s="17" t="str">
        <f>IF(A141="","",'41_Clasificacion_Empresas'!D141)</f>
        <v/>
      </c>
      <c r="H141" s="17" t="str">
        <f>IF(A141="","",'41_Clasificacion_Empresas'!D141)</f>
        <v/>
      </c>
      <c r="I141" s="17" t="str">
        <f t="shared" si="22"/>
        <v/>
      </c>
      <c r="J141" s="17" t="str">
        <f>IF(A141="","",'41_Clasificacion_Empresas'!F141)</f>
        <v/>
      </c>
      <c r="K141" s="17" t="str">
        <f>IF(A141="","",IF('41_Clasificacion_Empresas'!F141="A","Sí","No"))</f>
        <v/>
      </c>
      <c r="L141" s="17" t="str">
        <f>IF(A141="","",'41_Clasificacion_Empresas'!G141)</f>
        <v/>
      </c>
      <c r="M141" s="17" t="str">
        <f>IF(A141="","",IF('41_Clasificacion_Empresas'!F141="A","🟢 Oportunidad","🟡 En investigación"))</f>
        <v/>
      </c>
      <c r="N141" s="17" t="str">
        <f>IF(A141="","",'41_Clasificacion_Empresas'!M141)</f>
        <v/>
      </c>
      <c r="O141" s="16" t="str">
        <f t="shared" ca="1" si="23"/>
        <v/>
      </c>
      <c r="P141" s="17" t="str">
        <f t="shared" si="24"/>
        <v/>
      </c>
    </row>
    <row r="142" spans="1:16" ht="1.9" customHeight="1">
      <c r="A142" s="37"/>
      <c r="B142" s="16" t="str">
        <f t="shared" ca="1" si="20"/>
        <v/>
      </c>
      <c r="C142" s="17" t="str">
        <f>IF(A142="","",'41_Clasificacion_Empresas'!C142)</f>
        <v/>
      </c>
      <c r="D142" s="17" t="str">
        <f t="shared" si="21"/>
        <v/>
      </c>
      <c r="E142" s="17" t="str">
        <f>IF(A142="","",'41_Clasificacion_Empresas'!C142)</f>
        <v/>
      </c>
      <c r="F142" s="17" t="str">
        <f>IF(A142="","",'41_Clasificacion_Empresas'!E142)</f>
        <v/>
      </c>
      <c r="G142" s="17" t="str">
        <f>IF(A142="","",'41_Clasificacion_Empresas'!D142)</f>
        <v/>
      </c>
      <c r="H142" s="17" t="str">
        <f>IF(A142="","",'41_Clasificacion_Empresas'!D142)</f>
        <v/>
      </c>
      <c r="I142" s="17" t="str">
        <f t="shared" si="22"/>
        <v/>
      </c>
      <c r="J142" s="17" t="str">
        <f>IF(A142="","",'41_Clasificacion_Empresas'!F142)</f>
        <v/>
      </c>
      <c r="K142" s="17" t="str">
        <f>IF(A142="","",IF('41_Clasificacion_Empresas'!F142="A","Sí","No"))</f>
        <v/>
      </c>
      <c r="L142" s="17" t="str">
        <f>IF(A142="","",'41_Clasificacion_Empresas'!G142)</f>
        <v/>
      </c>
      <c r="M142" s="17" t="str">
        <f>IF(A142="","",IF('41_Clasificacion_Empresas'!F142="A","🟢 Oportunidad","🟡 En investigación"))</f>
        <v/>
      </c>
      <c r="N142" s="17" t="str">
        <f>IF(A142="","",'41_Clasificacion_Empresas'!M142)</f>
        <v/>
      </c>
      <c r="O142" s="16" t="str">
        <f t="shared" ca="1" si="23"/>
        <v/>
      </c>
      <c r="P142" s="17" t="str">
        <f t="shared" si="24"/>
        <v/>
      </c>
    </row>
    <row r="143" spans="1:16" ht="1.9" customHeight="1">
      <c r="A143" s="37"/>
      <c r="B143" s="16" t="str">
        <f t="shared" ca="1" si="20"/>
        <v/>
      </c>
      <c r="C143" s="17" t="str">
        <f>IF(A143="","",'41_Clasificacion_Empresas'!C143)</f>
        <v/>
      </c>
      <c r="D143" s="17" t="str">
        <f t="shared" si="21"/>
        <v/>
      </c>
      <c r="E143" s="17" t="str">
        <f>IF(A143="","",'41_Clasificacion_Empresas'!C143)</f>
        <v/>
      </c>
      <c r="F143" s="17" t="str">
        <f>IF(A143="","",'41_Clasificacion_Empresas'!E143)</f>
        <v/>
      </c>
      <c r="G143" s="17" t="str">
        <f>IF(A143="","",'41_Clasificacion_Empresas'!D143)</f>
        <v/>
      </c>
      <c r="H143" s="17" t="str">
        <f>IF(A143="","",'41_Clasificacion_Empresas'!D143)</f>
        <v/>
      </c>
      <c r="I143" s="17" t="str">
        <f t="shared" si="22"/>
        <v/>
      </c>
      <c r="J143" s="17" t="str">
        <f>IF(A143="","",'41_Clasificacion_Empresas'!F143)</f>
        <v/>
      </c>
      <c r="K143" s="17" t="str">
        <f>IF(A143="","",IF('41_Clasificacion_Empresas'!F143="A","Sí","No"))</f>
        <v/>
      </c>
      <c r="L143" s="17" t="str">
        <f>IF(A143="","",'41_Clasificacion_Empresas'!G143)</f>
        <v/>
      </c>
      <c r="M143" s="17" t="str">
        <f>IF(A143="","",IF('41_Clasificacion_Empresas'!F143="A","🟢 Oportunidad","🟡 En investigación"))</f>
        <v/>
      </c>
      <c r="N143" s="17" t="str">
        <f>IF(A143="","",'41_Clasificacion_Empresas'!M143)</f>
        <v/>
      </c>
      <c r="O143" s="16" t="str">
        <f t="shared" ca="1" si="23"/>
        <v/>
      </c>
      <c r="P143" s="17" t="str">
        <f t="shared" si="24"/>
        <v/>
      </c>
    </row>
    <row r="144" spans="1:16" ht="1.9" customHeight="1">
      <c r="A144" s="37"/>
      <c r="B144" s="16" t="str">
        <f t="shared" ca="1" si="20"/>
        <v/>
      </c>
      <c r="C144" s="17" t="str">
        <f>IF(A144="","",'41_Clasificacion_Empresas'!C144)</f>
        <v/>
      </c>
      <c r="D144" s="17" t="str">
        <f t="shared" si="21"/>
        <v/>
      </c>
      <c r="E144" s="17" t="str">
        <f>IF(A144="","",'41_Clasificacion_Empresas'!C144)</f>
        <v/>
      </c>
      <c r="F144" s="17" t="str">
        <f>IF(A144="","",'41_Clasificacion_Empresas'!E144)</f>
        <v/>
      </c>
      <c r="G144" s="17" t="str">
        <f>IF(A144="","",'41_Clasificacion_Empresas'!D144)</f>
        <v/>
      </c>
      <c r="H144" s="17" t="str">
        <f>IF(A144="","",'41_Clasificacion_Empresas'!D144)</f>
        <v/>
      </c>
      <c r="I144" s="17" t="str">
        <f t="shared" si="22"/>
        <v/>
      </c>
      <c r="J144" s="17" t="str">
        <f>IF(A144="","",'41_Clasificacion_Empresas'!F144)</f>
        <v/>
      </c>
      <c r="K144" s="17" t="str">
        <f>IF(A144="","",IF('41_Clasificacion_Empresas'!F144="A","Sí","No"))</f>
        <v/>
      </c>
      <c r="L144" s="17" t="str">
        <f>IF(A144="","",'41_Clasificacion_Empresas'!G144)</f>
        <v/>
      </c>
      <c r="M144" s="17" t="str">
        <f>IF(A144="","",IF('41_Clasificacion_Empresas'!F144="A","🟢 Oportunidad","🟡 En investigación"))</f>
        <v/>
      </c>
      <c r="N144" s="17" t="str">
        <f>IF(A144="","",'41_Clasificacion_Empresas'!M144)</f>
        <v/>
      </c>
      <c r="O144" s="16" t="str">
        <f t="shared" ca="1" si="23"/>
        <v/>
      </c>
      <c r="P144" s="17" t="str">
        <f t="shared" si="24"/>
        <v/>
      </c>
    </row>
    <row r="145" spans="1:16" ht="1.9" customHeight="1">
      <c r="A145" s="37"/>
      <c r="B145" s="16" t="str">
        <f t="shared" ca="1" si="20"/>
        <v/>
      </c>
      <c r="C145" s="17" t="str">
        <f>IF(A145="","",'41_Clasificacion_Empresas'!C145)</f>
        <v/>
      </c>
      <c r="D145" s="17" t="str">
        <f t="shared" si="21"/>
        <v/>
      </c>
      <c r="E145" s="17" t="str">
        <f>IF(A145="","",'41_Clasificacion_Empresas'!C145)</f>
        <v/>
      </c>
      <c r="F145" s="17" t="str">
        <f>IF(A145="","",'41_Clasificacion_Empresas'!E145)</f>
        <v/>
      </c>
      <c r="G145" s="17" t="str">
        <f>IF(A145="","",'41_Clasificacion_Empresas'!D145)</f>
        <v/>
      </c>
      <c r="H145" s="17" t="str">
        <f>IF(A145="","",'41_Clasificacion_Empresas'!D145)</f>
        <v/>
      </c>
      <c r="I145" s="17" t="str">
        <f t="shared" si="22"/>
        <v/>
      </c>
      <c r="J145" s="17" t="str">
        <f>IF(A145="","",'41_Clasificacion_Empresas'!F145)</f>
        <v/>
      </c>
      <c r="K145" s="17" t="str">
        <f>IF(A145="","",IF('41_Clasificacion_Empresas'!F145="A","Sí","No"))</f>
        <v/>
      </c>
      <c r="L145" s="17" t="str">
        <f>IF(A145="","",'41_Clasificacion_Empresas'!G145)</f>
        <v/>
      </c>
      <c r="M145" s="17" t="str">
        <f>IF(A145="","",IF('41_Clasificacion_Empresas'!F145="A","🟢 Oportunidad","🟡 En investigación"))</f>
        <v/>
      </c>
      <c r="N145" s="17" t="str">
        <f>IF(A145="","",'41_Clasificacion_Empresas'!M145)</f>
        <v/>
      </c>
      <c r="O145" s="16" t="str">
        <f t="shared" ca="1" si="23"/>
        <v/>
      </c>
      <c r="P145" s="17" t="str">
        <f t="shared" si="24"/>
        <v/>
      </c>
    </row>
    <row r="146" spans="1:16" ht="1.9" customHeight="1">
      <c r="A146" s="37"/>
      <c r="B146" s="16" t="str">
        <f t="shared" ca="1" si="20"/>
        <v/>
      </c>
      <c r="C146" s="17" t="str">
        <f>IF(A146="","",'41_Clasificacion_Empresas'!C146)</f>
        <v/>
      </c>
      <c r="D146" s="17" t="str">
        <f t="shared" si="21"/>
        <v/>
      </c>
      <c r="E146" s="17" t="str">
        <f>IF(A146="","",'41_Clasificacion_Empresas'!C146)</f>
        <v/>
      </c>
      <c r="F146" s="17" t="str">
        <f>IF(A146="","",'41_Clasificacion_Empresas'!E146)</f>
        <v/>
      </c>
      <c r="G146" s="17" t="str">
        <f>IF(A146="","",'41_Clasificacion_Empresas'!D146)</f>
        <v/>
      </c>
      <c r="H146" s="17" t="str">
        <f>IF(A146="","",'41_Clasificacion_Empresas'!D146)</f>
        <v/>
      </c>
      <c r="I146" s="17" t="str">
        <f t="shared" si="22"/>
        <v/>
      </c>
      <c r="J146" s="17" t="str">
        <f>IF(A146="","",'41_Clasificacion_Empresas'!F146)</f>
        <v/>
      </c>
      <c r="K146" s="17" t="str">
        <f>IF(A146="","",IF('41_Clasificacion_Empresas'!F146="A","Sí","No"))</f>
        <v/>
      </c>
      <c r="L146" s="17" t="str">
        <f>IF(A146="","",'41_Clasificacion_Empresas'!G146)</f>
        <v/>
      </c>
      <c r="M146" s="17" t="str">
        <f>IF(A146="","",IF('41_Clasificacion_Empresas'!F146="A","🟢 Oportunidad","🟡 En investigación"))</f>
        <v/>
      </c>
      <c r="N146" s="17" t="str">
        <f>IF(A146="","",'41_Clasificacion_Empresas'!M146)</f>
        <v/>
      </c>
      <c r="O146" s="16" t="str">
        <f t="shared" ca="1" si="23"/>
        <v/>
      </c>
      <c r="P146" s="17" t="str">
        <f t="shared" si="24"/>
        <v/>
      </c>
    </row>
    <row r="147" spans="1:16" ht="1.9" customHeight="1">
      <c r="A147" s="37"/>
      <c r="B147" s="16" t="str">
        <f t="shared" ca="1" si="20"/>
        <v/>
      </c>
      <c r="C147" s="17" t="str">
        <f>IF(A147="","",'41_Clasificacion_Empresas'!C147)</f>
        <v/>
      </c>
      <c r="D147" s="17" t="str">
        <f t="shared" si="21"/>
        <v/>
      </c>
      <c r="E147" s="17" t="str">
        <f>IF(A147="","",'41_Clasificacion_Empresas'!C147)</f>
        <v/>
      </c>
      <c r="F147" s="17" t="str">
        <f>IF(A147="","",'41_Clasificacion_Empresas'!E147)</f>
        <v/>
      </c>
      <c r="G147" s="17" t="str">
        <f>IF(A147="","",'41_Clasificacion_Empresas'!D147)</f>
        <v/>
      </c>
      <c r="H147" s="17" t="str">
        <f>IF(A147="","",'41_Clasificacion_Empresas'!D147)</f>
        <v/>
      </c>
      <c r="I147" s="17" t="str">
        <f t="shared" si="22"/>
        <v/>
      </c>
      <c r="J147" s="17" t="str">
        <f>IF(A147="","",'41_Clasificacion_Empresas'!F147)</f>
        <v/>
      </c>
      <c r="K147" s="17" t="str">
        <f>IF(A147="","",IF('41_Clasificacion_Empresas'!F147="A","Sí","No"))</f>
        <v/>
      </c>
      <c r="L147" s="17" t="str">
        <f>IF(A147="","",'41_Clasificacion_Empresas'!G147)</f>
        <v/>
      </c>
      <c r="M147" s="17" t="str">
        <f>IF(A147="","",IF('41_Clasificacion_Empresas'!F147="A","🟢 Oportunidad","🟡 En investigación"))</f>
        <v/>
      </c>
      <c r="N147" s="17" t="str">
        <f>IF(A147="","",'41_Clasificacion_Empresas'!M147)</f>
        <v/>
      </c>
      <c r="O147" s="16" t="str">
        <f t="shared" ca="1" si="23"/>
        <v/>
      </c>
      <c r="P147" s="17" t="str">
        <f t="shared" si="24"/>
        <v/>
      </c>
    </row>
    <row r="148" spans="1:16" ht="1.9" customHeight="1">
      <c r="A148" s="37"/>
      <c r="B148" s="16" t="str">
        <f t="shared" ca="1" si="20"/>
        <v/>
      </c>
      <c r="C148" s="17" t="str">
        <f>IF(A148="","",'41_Clasificacion_Empresas'!C148)</f>
        <v/>
      </c>
      <c r="D148" s="17" t="str">
        <f t="shared" si="21"/>
        <v/>
      </c>
      <c r="E148" s="17" t="str">
        <f>IF(A148="","",'41_Clasificacion_Empresas'!C148)</f>
        <v/>
      </c>
      <c r="F148" s="17" t="str">
        <f>IF(A148="","",'41_Clasificacion_Empresas'!E148)</f>
        <v/>
      </c>
      <c r="G148" s="17" t="str">
        <f>IF(A148="","",'41_Clasificacion_Empresas'!D148)</f>
        <v/>
      </c>
      <c r="H148" s="17" t="str">
        <f>IF(A148="","",'41_Clasificacion_Empresas'!D148)</f>
        <v/>
      </c>
      <c r="I148" s="17" t="str">
        <f t="shared" si="22"/>
        <v/>
      </c>
      <c r="J148" s="17" t="str">
        <f>IF(A148="","",'41_Clasificacion_Empresas'!F148)</f>
        <v/>
      </c>
      <c r="K148" s="17" t="str">
        <f>IF(A148="","",IF('41_Clasificacion_Empresas'!F148="A","Sí","No"))</f>
        <v/>
      </c>
      <c r="L148" s="17" t="str">
        <f>IF(A148="","",'41_Clasificacion_Empresas'!G148)</f>
        <v/>
      </c>
      <c r="M148" s="17" t="str">
        <f>IF(A148="","",IF('41_Clasificacion_Empresas'!F148="A","🟢 Oportunidad","🟡 En investigación"))</f>
        <v/>
      </c>
      <c r="N148" s="17" t="str">
        <f>IF(A148="","",'41_Clasificacion_Empresas'!M148)</f>
        <v/>
      </c>
      <c r="O148" s="16" t="str">
        <f t="shared" ca="1" si="23"/>
        <v/>
      </c>
      <c r="P148" s="17" t="str">
        <f t="shared" si="24"/>
        <v/>
      </c>
    </row>
    <row r="149" spans="1:16" ht="1.9" customHeight="1">
      <c r="A149" s="37"/>
      <c r="B149" s="16" t="str">
        <f t="shared" ca="1" si="20"/>
        <v/>
      </c>
      <c r="C149" s="17" t="str">
        <f>IF(A149="","",'41_Clasificacion_Empresas'!C149)</f>
        <v/>
      </c>
      <c r="D149" s="17" t="str">
        <f t="shared" si="21"/>
        <v/>
      </c>
      <c r="E149" s="17" t="str">
        <f>IF(A149="","",'41_Clasificacion_Empresas'!C149)</f>
        <v/>
      </c>
      <c r="F149" s="17" t="str">
        <f>IF(A149="","",'41_Clasificacion_Empresas'!E149)</f>
        <v/>
      </c>
      <c r="G149" s="17" t="str">
        <f>IF(A149="","",'41_Clasificacion_Empresas'!D149)</f>
        <v/>
      </c>
      <c r="H149" s="17" t="str">
        <f>IF(A149="","",'41_Clasificacion_Empresas'!D149)</f>
        <v/>
      </c>
      <c r="I149" s="17" t="str">
        <f t="shared" si="22"/>
        <v/>
      </c>
      <c r="J149" s="17" t="str">
        <f>IF(A149="","",'41_Clasificacion_Empresas'!F149)</f>
        <v/>
      </c>
      <c r="K149" s="17" t="str">
        <f>IF(A149="","",IF('41_Clasificacion_Empresas'!F149="A","Sí","No"))</f>
        <v/>
      </c>
      <c r="L149" s="17" t="str">
        <f>IF(A149="","",'41_Clasificacion_Empresas'!G149)</f>
        <v/>
      </c>
      <c r="M149" s="17" t="str">
        <f>IF(A149="","",IF('41_Clasificacion_Empresas'!F149="A","🟢 Oportunidad","🟡 En investigación"))</f>
        <v/>
      </c>
      <c r="N149" s="17" t="str">
        <f>IF(A149="","",'41_Clasificacion_Empresas'!M149)</f>
        <v/>
      </c>
      <c r="O149" s="16" t="str">
        <f t="shared" ca="1" si="23"/>
        <v/>
      </c>
      <c r="P149" s="17" t="str">
        <f t="shared" si="24"/>
        <v/>
      </c>
    </row>
    <row r="150" spans="1:16" ht="1.9" customHeight="1">
      <c r="A150" s="37"/>
      <c r="B150" s="16" t="str">
        <f t="shared" ca="1" si="20"/>
        <v/>
      </c>
      <c r="C150" s="17" t="str">
        <f>IF(A150="","",'41_Clasificacion_Empresas'!C150)</f>
        <v/>
      </c>
      <c r="D150" s="17" t="str">
        <f t="shared" si="21"/>
        <v/>
      </c>
      <c r="E150" s="17" t="str">
        <f>IF(A150="","",'41_Clasificacion_Empresas'!C150)</f>
        <v/>
      </c>
      <c r="F150" s="17" t="str">
        <f>IF(A150="","",'41_Clasificacion_Empresas'!E150)</f>
        <v/>
      </c>
      <c r="G150" s="17" t="str">
        <f>IF(A150="","",'41_Clasificacion_Empresas'!D150)</f>
        <v/>
      </c>
      <c r="H150" s="17" t="str">
        <f>IF(A150="","",'41_Clasificacion_Empresas'!D150)</f>
        <v/>
      </c>
      <c r="I150" s="17" t="str">
        <f t="shared" si="22"/>
        <v/>
      </c>
      <c r="J150" s="17" t="str">
        <f>IF(A150="","",'41_Clasificacion_Empresas'!F150)</f>
        <v/>
      </c>
      <c r="K150" s="17" t="str">
        <f>IF(A150="","",IF('41_Clasificacion_Empresas'!F150="A","Sí","No"))</f>
        <v/>
      </c>
      <c r="L150" s="17" t="str">
        <f>IF(A150="","",'41_Clasificacion_Empresas'!G150)</f>
        <v/>
      </c>
      <c r="M150" s="17" t="str">
        <f>IF(A150="","",IF('41_Clasificacion_Empresas'!F150="A","🟢 Oportunidad","🟡 En investigación"))</f>
        <v/>
      </c>
      <c r="N150" s="17" t="str">
        <f>IF(A150="","",'41_Clasificacion_Empresas'!M150)</f>
        <v/>
      </c>
      <c r="O150" s="16" t="str">
        <f t="shared" ca="1" si="23"/>
        <v/>
      </c>
      <c r="P150" s="17" t="str">
        <f t="shared" si="24"/>
        <v/>
      </c>
    </row>
    <row r="151" spans="1:16" ht="1.9" customHeight="1">
      <c r="A151" s="37"/>
      <c r="B151" s="16" t="str">
        <f t="shared" ca="1" si="20"/>
        <v/>
      </c>
      <c r="C151" s="17" t="str">
        <f>IF(A151="","",'41_Clasificacion_Empresas'!C151)</f>
        <v/>
      </c>
      <c r="D151" s="17" t="str">
        <f t="shared" si="21"/>
        <v/>
      </c>
      <c r="E151" s="17" t="str">
        <f>IF(A151="","",'41_Clasificacion_Empresas'!C151)</f>
        <v/>
      </c>
      <c r="F151" s="17" t="str">
        <f>IF(A151="","",'41_Clasificacion_Empresas'!E151)</f>
        <v/>
      </c>
      <c r="G151" s="17" t="str">
        <f>IF(A151="","",'41_Clasificacion_Empresas'!D151)</f>
        <v/>
      </c>
      <c r="H151" s="17" t="str">
        <f>IF(A151="","",'41_Clasificacion_Empresas'!D151)</f>
        <v/>
      </c>
      <c r="I151" s="17" t="str">
        <f t="shared" si="22"/>
        <v/>
      </c>
      <c r="J151" s="17" t="str">
        <f>IF(A151="","",'41_Clasificacion_Empresas'!F151)</f>
        <v/>
      </c>
      <c r="K151" s="17" t="str">
        <f>IF(A151="","",IF('41_Clasificacion_Empresas'!F151="A","Sí","No"))</f>
        <v/>
      </c>
      <c r="L151" s="17" t="str">
        <f>IF(A151="","",'41_Clasificacion_Empresas'!G151)</f>
        <v/>
      </c>
      <c r="M151" s="17" t="str">
        <f>IF(A151="","",IF('41_Clasificacion_Empresas'!F151="A","🟢 Oportunidad","🟡 En investigación"))</f>
        <v/>
      </c>
      <c r="N151" s="17" t="str">
        <f>IF(A151="","",'41_Clasificacion_Empresas'!M151)</f>
        <v/>
      </c>
      <c r="O151" s="16" t="str">
        <f t="shared" ca="1" si="23"/>
        <v/>
      </c>
      <c r="P151" s="17" t="str">
        <f t="shared" si="24"/>
        <v/>
      </c>
    </row>
    <row r="152" spans="1:16" ht="1.9" customHeight="1">
      <c r="A152" s="37"/>
      <c r="B152" s="16" t="str">
        <f t="shared" ca="1" si="20"/>
        <v/>
      </c>
      <c r="C152" s="17" t="str">
        <f>IF(A152="","",'41_Clasificacion_Empresas'!C152)</f>
        <v/>
      </c>
      <c r="D152" s="17" t="str">
        <f t="shared" si="21"/>
        <v/>
      </c>
      <c r="E152" s="17" t="str">
        <f>IF(A152="","",'41_Clasificacion_Empresas'!C152)</f>
        <v/>
      </c>
      <c r="F152" s="17" t="str">
        <f>IF(A152="","",'41_Clasificacion_Empresas'!E152)</f>
        <v/>
      </c>
      <c r="G152" s="17" t="str">
        <f>IF(A152="","",'41_Clasificacion_Empresas'!D152)</f>
        <v/>
      </c>
      <c r="H152" s="17" t="str">
        <f>IF(A152="","",'41_Clasificacion_Empresas'!D152)</f>
        <v/>
      </c>
      <c r="I152" s="17" t="str">
        <f t="shared" si="22"/>
        <v/>
      </c>
      <c r="J152" s="17" t="str">
        <f>IF(A152="","",'41_Clasificacion_Empresas'!F152)</f>
        <v/>
      </c>
      <c r="K152" s="17" t="str">
        <f>IF(A152="","",IF('41_Clasificacion_Empresas'!F152="A","Sí","No"))</f>
        <v/>
      </c>
      <c r="L152" s="17" t="str">
        <f>IF(A152="","",'41_Clasificacion_Empresas'!G152)</f>
        <v/>
      </c>
      <c r="M152" s="17" t="str">
        <f>IF(A152="","",IF('41_Clasificacion_Empresas'!F152="A","🟢 Oportunidad","🟡 En investigación"))</f>
        <v/>
      </c>
      <c r="N152" s="17" t="str">
        <f>IF(A152="","",'41_Clasificacion_Empresas'!M152)</f>
        <v/>
      </c>
      <c r="O152" s="16" t="str">
        <f t="shared" ca="1" si="23"/>
        <v/>
      </c>
      <c r="P152" s="17" t="str">
        <f t="shared" si="24"/>
        <v/>
      </c>
    </row>
    <row r="153" spans="1:16" ht="1.9" customHeight="1">
      <c r="A153" s="37"/>
      <c r="B153" s="16" t="str">
        <f t="shared" ca="1" si="20"/>
        <v/>
      </c>
      <c r="C153" s="17" t="str">
        <f>IF(A153="","",'41_Clasificacion_Empresas'!C153)</f>
        <v/>
      </c>
      <c r="D153" s="17" t="str">
        <f t="shared" si="21"/>
        <v/>
      </c>
      <c r="E153" s="17" t="str">
        <f>IF(A153="","",'41_Clasificacion_Empresas'!C153)</f>
        <v/>
      </c>
      <c r="F153" s="17" t="str">
        <f>IF(A153="","",'41_Clasificacion_Empresas'!E153)</f>
        <v/>
      </c>
      <c r="G153" s="17" t="str">
        <f>IF(A153="","",'41_Clasificacion_Empresas'!D153)</f>
        <v/>
      </c>
      <c r="H153" s="17" t="str">
        <f>IF(A153="","",'41_Clasificacion_Empresas'!D153)</f>
        <v/>
      </c>
      <c r="I153" s="17" t="str">
        <f t="shared" si="22"/>
        <v/>
      </c>
      <c r="J153" s="17" t="str">
        <f>IF(A153="","",'41_Clasificacion_Empresas'!F153)</f>
        <v/>
      </c>
      <c r="K153" s="17" t="str">
        <f>IF(A153="","",IF('41_Clasificacion_Empresas'!F153="A","Sí","No"))</f>
        <v/>
      </c>
      <c r="L153" s="17" t="str">
        <f>IF(A153="","",'41_Clasificacion_Empresas'!G153)</f>
        <v/>
      </c>
      <c r="M153" s="17" t="str">
        <f>IF(A153="","",IF('41_Clasificacion_Empresas'!F153="A","🟢 Oportunidad","🟡 En investigación"))</f>
        <v/>
      </c>
      <c r="N153" s="17" t="str">
        <f>IF(A153="","",'41_Clasificacion_Empresas'!M153)</f>
        <v/>
      </c>
      <c r="O153" s="16" t="str">
        <f t="shared" ca="1" si="23"/>
        <v/>
      </c>
      <c r="P153" s="17" t="str">
        <f t="shared" si="24"/>
        <v/>
      </c>
    </row>
    <row r="154" spans="1:16" ht="1.9" customHeight="1">
      <c r="A154" s="37"/>
      <c r="B154" s="16" t="str">
        <f t="shared" ca="1" si="20"/>
        <v/>
      </c>
      <c r="C154" s="17" t="str">
        <f>IF(A154="","",'41_Clasificacion_Empresas'!C154)</f>
        <v/>
      </c>
      <c r="D154" s="17" t="str">
        <f t="shared" si="21"/>
        <v/>
      </c>
      <c r="E154" s="17" t="str">
        <f>IF(A154="","",'41_Clasificacion_Empresas'!C154)</f>
        <v/>
      </c>
      <c r="F154" s="17" t="str">
        <f>IF(A154="","",'41_Clasificacion_Empresas'!E154)</f>
        <v/>
      </c>
      <c r="G154" s="17" t="str">
        <f>IF(A154="","",'41_Clasificacion_Empresas'!D154)</f>
        <v/>
      </c>
      <c r="H154" s="17" t="str">
        <f>IF(A154="","",'41_Clasificacion_Empresas'!D154)</f>
        <v/>
      </c>
      <c r="I154" s="17" t="str">
        <f t="shared" si="22"/>
        <v/>
      </c>
      <c r="J154" s="17" t="str">
        <f>IF(A154="","",'41_Clasificacion_Empresas'!F154)</f>
        <v/>
      </c>
      <c r="K154" s="17" t="str">
        <f>IF(A154="","",IF('41_Clasificacion_Empresas'!F154="A","Sí","No"))</f>
        <v/>
      </c>
      <c r="L154" s="17" t="str">
        <f>IF(A154="","",'41_Clasificacion_Empresas'!G154)</f>
        <v/>
      </c>
      <c r="M154" s="17" t="str">
        <f>IF(A154="","",IF('41_Clasificacion_Empresas'!F154="A","🟢 Oportunidad","🟡 En investigación"))</f>
        <v/>
      </c>
      <c r="N154" s="17" t="str">
        <f>IF(A154="","",'41_Clasificacion_Empresas'!M154)</f>
        <v/>
      </c>
      <c r="O154" s="16" t="str">
        <f t="shared" ca="1" si="23"/>
        <v/>
      </c>
      <c r="P154" s="17" t="str">
        <f t="shared" si="24"/>
        <v/>
      </c>
    </row>
    <row r="155" spans="1:16" ht="1.9" customHeight="1">
      <c r="A155" s="37"/>
      <c r="B155" s="16" t="str">
        <f t="shared" ca="1" si="20"/>
        <v/>
      </c>
      <c r="C155" s="17" t="str">
        <f>IF(A155="","",'41_Clasificacion_Empresas'!C155)</f>
        <v/>
      </c>
      <c r="D155" s="17" t="str">
        <f t="shared" si="21"/>
        <v/>
      </c>
      <c r="E155" s="17" t="str">
        <f>IF(A155="","",'41_Clasificacion_Empresas'!C155)</f>
        <v/>
      </c>
      <c r="F155" s="17" t="str">
        <f>IF(A155="","",'41_Clasificacion_Empresas'!E155)</f>
        <v/>
      </c>
      <c r="G155" s="17" t="str">
        <f>IF(A155="","",'41_Clasificacion_Empresas'!D155)</f>
        <v/>
      </c>
      <c r="H155" s="17" t="str">
        <f>IF(A155="","",'41_Clasificacion_Empresas'!D155)</f>
        <v/>
      </c>
      <c r="I155" s="17" t="str">
        <f t="shared" si="22"/>
        <v/>
      </c>
      <c r="J155" s="17" t="str">
        <f>IF(A155="","",'41_Clasificacion_Empresas'!F155)</f>
        <v/>
      </c>
      <c r="K155" s="17" t="str">
        <f>IF(A155="","",IF('41_Clasificacion_Empresas'!F155="A","Sí","No"))</f>
        <v/>
      </c>
      <c r="L155" s="17" t="str">
        <f>IF(A155="","",'41_Clasificacion_Empresas'!G155)</f>
        <v/>
      </c>
      <c r="M155" s="17" t="str">
        <f>IF(A155="","",IF('41_Clasificacion_Empresas'!F155="A","🟢 Oportunidad","🟡 En investigación"))</f>
        <v/>
      </c>
      <c r="N155" s="17" t="str">
        <f>IF(A155="","",'41_Clasificacion_Empresas'!M155)</f>
        <v/>
      </c>
      <c r="O155" s="16" t="str">
        <f t="shared" ca="1" si="23"/>
        <v/>
      </c>
      <c r="P155" s="17" t="str">
        <f t="shared" si="24"/>
        <v/>
      </c>
    </row>
    <row r="156" spans="1:16" ht="1.9" customHeight="1">
      <c r="A156" s="37"/>
      <c r="B156" s="16" t="str">
        <f t="shared" ca="1" si="20"/>
        <v/>
      </c>
      <c r="C156" s="17" t="str">
        <f>IF(A156="","",'41_Clasificacion_Empresas'!C156)</f>
        <v/>
      </c>
      <c r="D156" s="17" t="str">
        <f t="shared" si="21"/>
        <v/>
      </c>
      <c r="E156" s="17" t="str">
        <f>IF(A156="","",'41_Clasificacion_Empresas'!C156)</f>
        <v/>
      </c>
      <c r="F156" s="17" t="str">
        <f>IF(A156="","",'41_Clasificacion_Empresas'!E156)</f>
        <v/>
      </c>
      <c r="G156" s="17" t="str">
        <f>IF(A156="","",'41_Clasificacion_Empresas'!D156)</f>
        <v/>
      </c>
      <c r="H156" s="17" t="str">
        <f>IF(A156="","",'41_Clasificacion_Empresas'!D156)</f>
        <v/>
      </c>
      <c r="I156" s="17" t="str">
        <f t="shared" si="22"/>
        <v/>
      </c>
      <c r="J156" s="17" t="str">
        <f>IF(A156="","",'41_Clasificacion_Empresas'!F156)</f>
        <v/>
      </c>
      <c r="K156" s="17" t="str">
        <f>IF(A156="","",IF('41_Clasificacion_Empresas'!F156="A","Sí","No"))</f>
        <v/>
      </c>
      <c r="L156" s="17" t="str">
        <f>IF(A156="","",'41_Clasificacion_Empresas'!G156)</f>
        <v/>
      </c>
      <c r="M156" s="17" t="str">
        <f>IF(A156="","",IF('41_Clasificacion_Empresas'!F156="A","🟢 Oportunidad","🟡 En investigación"))</f>
        <v/>
      </c>
      <c r="N156" s="17" t="str">
        <f>IF(A156="","",'41_Clasificacion_Empresas'!M156)</f>
        <v/>
      </c>
      <c r="O156" s="16" t="str">
        <f t="shared" ca="1" si="23"/>
        <v/>
      </c>
      <c r="P156" s="17" t="str">
        <f t="shared" si="24"/>
        <v/>
      </c>
    </row>
    <row r="157" spans="1:16" ht="1.9" customHeight="1">
      <c r="A157" s="37"/>
      <c r="B157" s="16" t="str">
        <f t="shared" ca="1" si="20"/>
        <v/>
      </c>
      <c r="C157" s="17" t="str">
        <f>IF(A157="","",'41_Clasificacion_Empresas'!C157)</f>
        <v/>
      </c>
      <c r="D157" s="17" t="str">
        <f t="shared" si="21"/>
        <v/>
      </c>
      <c r="E157" s="17" t="str">
        <f>IF(A157="","",'41_Clasificacion_Empresas'!C157)</f>
        <v/>
      </c>
      <c r="F157" s="17" t="str">
        <f>IF(A157="","",'41_Clasificacion_Empresas'!E157)</f>
        <v/>
      </c>
      <c r="G157" s="17" t="str">
        <f>IF(A157="","",'41_Clasificacion_Empresas'!D157)</f>
        <v/>
      </c>
      <c r="H157" s="17" t="str">
        <f>IF(A157="","",'41_Clasificacion_Empresas'!D157)</f>
        <v/>
      </c>
      <c r="I157" s="17" t="str">
        <f t="shared" si="22"/>
        <v/>
      </c>
      <c r="J157" s="17" t="str">
        <f>IF(A157="","",'41_Clasificacion_Empresas'!F157)</f>
        <v/>
      </c>
      <c r="K157" s="17" t="str">
        <f>IF(A157="","",IF('41_Clasificacion_Empresas'!F157="A","Sí","No"))</f>
        <v/>
      </c>
      <c r="L157" s="17" t="str">
        <f>IF(A157="","",'41_Clasificacion_Empresas'!G157)</f>
        <v/>
      </c>
      <c r="M157" s="17" t="str">
        <f>IF(A157="","",IF('41_Clasificacion_Empresas'!F157="A","🟢 Oportunidad","🟡 En investigación"))</f>
        <v/>
      </c>
      <c r="N157" s="17" t="str">
        <f>IF(A157="","",'41_Clasificacion_Empresas'!M157)</f>
        <v/>
      </c>
      <c r="O157" s="16" t="str">
        <f t="shared" ca="1" si="23"/>
        <v/>
      </c>
      <c r="P157" s="17" t="str">
        <f t="shared" si="24"/>
        <v/>
      </c>
    </row>
    <row r="158" spans="1:16" ht="1.9" customHeight="1">
      <c r="A158" s="37"/>
      <c r="B158" s="16" t="str">
        <f t="shared" ca="1" si="20"/>
        <v/>
      </c>
      <c r="C158" s="17" t="str">
        <f>IF(A158="","",'41_Clasificacion_Empresas'!C158)</f>
        <v/>
      </c>
      <c r="D158" s="17" t="str">
        <f t="shared" si="21"/>
        <v/>
      </c>
      <c r="E158" s="17" t="str">
        <f>IF(A158="","",'41_Clasificacion_Empresas'!C158)</f>
        <v/>
      </c>
      <c r="F158" s="17" t="str">
        <f>IF(A158="","",'41_Clasificacion_Empresas'!E158)</f>
        <v/>
      </c>
      <c r="G158" s="17" t="str">
        <f>IF(A158="","",'41_Clasificacion_Empresas'!D158)</f>
        <v/>
      </c>
      <c r="H158" s="17" t="str">
        <f>IF(A158="","",'41_Clasificacion_Empresas'!D158)</f>
        <v/>
      </c>
      <c r="I158" s="17" t="str">
        <f t="shared" si="22"/>
        <v/>
      </c>
      <c r="J158" s="17" t="str">
        <f>IF(A158="","",'41_Clasificacion_Empresas'!F158)</f>
        <v/>
      </c>
      <c r="K158" s="17" t="str">
        <f>IF(A158="","",IF('41_Clasificacion_Empresas'!F158="A","Sí","No"))</f>
        <v/>
      </c>
      <c r="L158" s="17" t="str">
        <f>IF(A158="","",'41_Clasificacion_Empresas'!G158)</f>
        <v/>
      </c>
      <c r="M158" s="17" t="str">
        <f>IF(A158="","",IF('41_Clasificacion_Empresas'!F158="A","🟢 Oportunidad","🟡 En investigación"))</f>
        <v/>
      </c>
      <c r="N158" s="17" t="str">
        <f>IF(A158="","",'41_Clasificacion_Empresas'!M158)</f>
        <v/>
      </c>
      <c r="O158" s="16" t="str">
        <f t="shared" ca="1" si="23"/>
        <v/>
      </c>
      <c r="P158" s="17" t="str">
        <f t="shared" si="24"/>
        <v/>
      </c>
    </row>
    <row r="159" spans="1:16" ht="1.9" customHeight="1">
      <c r="A159" s="37"/>
      <c r="B159" s="16" t="str">
        <f t="shared" ca="1" si="20"/>
        <v/>
      </c>
      <c r="C159" s="17" t="str">
        <f>IF(A159="","",'41_Clasificacion_Empresas'!C159)</f>
        <v/>
      </c>
      <c r="D159" s="17" t="str">
        <f t="shared" si="21"/>
        <v/>
      </c>
      <c r="E159" s="17" t="str">
        <f>IF(A159="","",'41_Clasificacion_Empresas'!C159)</f>
        <v/>
      </c>
      <c r="F159" s="17" t="str">
        <f>IF(A159="","",'41_Clasificacion_Empresas'!E159)</f>
        <v/>
      </c>
      <c r="G159" s="17" t="str">
        <f>IF(A159="","",'41_Clasificacion_Empresas'!D159)</f>
        <v/>
      </c>
      <c r="H159" s="17" t="str">
        <f>IF(A159="","",'41_Clasificacion_Empresas'!D159)</f>
        <v/>
      </c>
      <c r="I159" s="17" t="str">
        <f t="shared" si="22"/>
        <v/>
      </c>
      <c r="J159" s="17" t="str">
        <f>IF(A159="","",'41_Clasificacion_Empresas'!F159)</f>
        <v/>
      </c>
      <c r="K159" s="17" t="str">
        <f>IF(A159="","",IF('41_Clasificacion_Empresas'!F159="A","Sí","No"))</f>
        <v/>
      </c>
      <c r="L159" s="17" t="str">
        <f>IF(A159="","",'41_Clasificacion_Empresas'!G159)</f>
        <v/>
      </c>
      <c r="M159" s="17" t="str">
        <f>IF(A159="","",IF('41_Clasificacion_Empresas'!F159="A","🟢 Oportunidad","🟡 En investigación"))</f>
        <v/>
      </c>
      <c r="N159" s="17" t="str">
        <f>IF(A159="","",'41_Clasificacion_Empresas'!M159)</f>
        <v/>
      </c>
      <c r="O159" s="16" t="str">
        <f t="shared" ca="1" si="23"/>
        <v/>
      </c>
      <c r="P159" s="17" t="str">
        <f t="shared" si="24"/>
        <v/>
      </c>
    </row>
    <row r="160" spans="1:16" ht="1.9" customHeight="1">
      <c r="A160" s="37"/>
      <c r="B160" s="16" t="str">
        <f t="shared" ca="1" si="20"/>
        <v/>
      </c>
      <c r="C160" s="17" t="str">
        <f>IF(A160="","",'41_Clasificacion_Empresas'!C160)</f>
        <v/>
      </c>
      <c r="D160" s="17" t="str">
        <f t="shared" si="21"/>
        <v/>
      </c>
      <c r="E160" s="17" t="str">
        <f>IF(A160="","",'41_Clasificacion_Empresas'!C160)</f>
        <v/>
      </c>
      <c r="F160" s="17" t="str">
        <f>IF(A160="","",'41_Clasificacion_Empresas'!E160)</f>
        <v/>
      </c>
      <c r="G160" s="17" t="str">
        <f>IF(A160="","",'41_Clasificacion_Empresas'!D160)</f>
        <v/>
      </c>
      <c r="H160" s="17" t="str">
        <f>IF(A160="","",'41_Clasificacion_Empresas'!D160)</f>
        <v/>
      </c>
      <c r="I160" s="17" t="str">
        <f t="shared" si="22"/>
        <v/>
      </c>
      <c r="J160" s="17" t="str">
        <f>IF(A160="","",'41_Clasificacion_Empresas'!F160)</f>
        <v/>
      </c>
      <c r="K160" s="17" t="str">
        <f>IF(A160="","",IF('41_Clasificacion_Empresas'!F160="A","Sí","No"))</f>
        <v/>
      </c>
      <c r="L160" s="17" t="str">
        <f>IF(A160="","",'41_Clasificacion_Empresas'!G160)</f>
        <v/>
      </c>
      <c r="M160" s="17" t="str">
        <f>IF(A160="","",IF('41_Clasificacion_Empresas'!F160="A","🟢 Oportunidad","🟡 En investigación"))</f>
        <v/>
      </c>
      <c r="N160" s="17" t="str">
        <f>IF(A160="","",'41_Clasificacion_Empresas'!M160)</f>
        <v/>
      </c>
      <c r="O160" s="16" t="str">
        <f t="shared" ca="1" si="23"/>
        <v/>
      </c>
      <c r="P160" s="17" t="str">
        <f t="shared" si="24"/>
        <v/>
      </c>
    </row>
    <row r="161" spans="1:16" ht="1.9" customHeight="1">
      <c r="A161" s="37"/>
      <c r="B161" s="16" t="str">
        <f t="shared" ca="1" si="20"/>
        <v/>
      </c>
      <c r="C161" s="17" t="str">
        <f>IF(A161="","",'41_Clasificacion_Empresas'!C161)</f>
        <v/>
      </c>
      <c r="D161" s="17" t="str">
        <f t="shared" si="21"/>
        <v/>
      </c>
      <c r="E161" s="17" t="str">
        <f>IF(A161="","",'41_Clasificacion_Empresas'!C161)</f>
        <v/>
      </c>
      <c r="F161" s="17" t="str">
        <f>IF(A161="","",'41_Clasificacion_Empresas'!E161)</f>
        <v/>
      </c>
      <c r="G161" s="17" t="str">
        <f>IF(A161="","",'41_Clasificacion_Empresas'!D161)</f>
        <v/>
      </c>
      <c r="H161" s="17" t="str">
        <f>IF(A161="","",'41_Clasificacion_Empresas'!D161)</f>
        <v/>
      </c>
      <c r="I161" s="17" t="str">
        <f t="shared" si="22"/>
        <v/>
      </c>
      <c r="J161" s="17" t="str">
        <f>IF(A161="","",'41_Clasificacion_Empresas'!F161)</f>
        <v/>
      </c>
      <c r="K161" s="17" t="str">
        <f>IF(A161="","",IF('41_Clasificacion_Empresas'!F161="A","Sí","No"))</f>
        <v/>
      </c>
      <c r="L161" s="17" t="str">
        <f>IF(A161="","",'41_Clasificacion_Empresas'!G161)</f>
        <v/>
      </c>
      <c r="M161" s="17" t="str">
        <f>IF(A161="","",IF('41_Clasificacion_Empresas'!F161="A","🟢 Oportunidad","🟡 En investigación"))</f>
        <v/>
      </c>
      <c r="N161" s="17" t="str">
        <f>IF(A161="","",'41_Clasificacion_Empresas'!M161)</f>
        <v/>
      </c>
      <c r="O161" s="16" t="str">
        <f t="shared" ca="1" si="23"/>
        <v/>
      </c>
      <c r="P161" s="17" t="str">
        <f t="shared" si="24"/>
        <v/>
      </c>
    </row>
    <row r="162" spans="1:16" ht="1.9" customHeight="1">
      <c r="A162" s="37"/>
      <c r="B162" s="16" t="str">
        <f t="shared" ca="1" si="20"/>
        <v/>
      </c>
      <c r="C162" s="17" t="str">
        <f>IF(A162="","",'41_Clasificacion_Empresas'!C162)</f>
        <v/>
      </c>
      <c r="D162" s="17" t="str">
        <f t="shared" si="21"/>
        <v/>
      </c>
      <c r="E162" s="17" t="str">
        <f>IF(A162="","",'41_Clasificacion_Empresas'!C162)</f>
        <v/>
      </c>
      <c r="F162" s="17" t="str">
        <f>IF(A162="","",'41_Clasificacion_Empresas'!E162)</f>
        <v/>
      </c>
      <c r="G162" s="17" t="str">
        <f>IF(A162="","",'41_Clasificacion_Empresas'!D162)</f>
        <v/>
      </c>
      <c r="H162" s="17" t="str">
        <f>IF(A162="","",'41_Clasificacion_Empresas'!D162)</f>
        <v/>
      </c>
      <c r="I162" s="17" t="str">
        <f t="shared" si="22"/>
        <v/>
      </c>
      <c r="J162" s="17" t="str">
        <f>IF(A162="","",'41_Clasificacion_Empresas'!F162)</f>
        <v/>
      </c>
      <c r="K162" s="17" t="str">
        <f>IF(A162="","",IF('41_Clasificacion_Empresas'!F162="A","Sí","No"))</f>
        <v/>
      </c>
      <c r="L162" s="17" t="str">
        <f>IF(A162="","",'41_Clasificacion_Empresas'!G162)</f>
        <v/>
      </c>
      <c r="M162" s="17" t="str">
        <f>IF(A162="","",IF('41_Clasificacion_Empresas'!F162="A","🟢 Oportunidad","🟡 En investigación"))</f>
        <v/>
      </c>
      <c r="N162" s="17" t="str">
        <f>IF(A162="","",'41_Clasificacion_Empresas'!M162)</f>
        <v/>
      </c>
      <c r="O162" s="16" t="str">
        <f t="shared" ca="1" si="23"/>
        <v/>
      </c>
      <c r="P162" s="17" t="str">
        <f t="shared" si="24"/>
        <v/>
      </c>
    </row>
    <row r="163" spans="1:16" ht="1.9" customHeight="1">
      <c r="A163" s="37"/>
      <c r="B163" s="16" t="str">
        <f t="shared" ca="1" si="20"/>
        <v/>
      </c>
      <c r="C163" s="17" t="str">
        <f>IF(A163="","",'41_Clasificacion_Empresas'!C163)</f>
        <v/>
      </c>
      <c r="D163" s="17" t="str">
        <f t="shared" si="21"/>
        <v/>
      </c>
      <c r="E163" s="17" t="str">
        <f>IF(A163="","",'41_Clasificacion_Empresas'!C163)</f>
        <v/>
      </c>
      <c r="F163" s="17" t="str">
        <f>IF(A163="","",'41_Clasificacion_Empresas'!E163)</f>
        <v/>
      </c>
      <c r="G163" s="17" t="str">
        <f>IF(A163="","",'41_Clasificacion_Empresas'!D163)</f>
        <v/>
      </c>
      <c r="H163" s="17" t="str">
        <f>IF(A163="","",'41_Clasificacion_Empresas'!D163)</f>
        <v/>
      </c>
      <c r="I163" s="17" t="str">
        <f t="shared" si="22"/>
        <v/>
      </c>
      <c r="J163" s="17" t="str">
        <f>IF(A163="","",'41_Clasificacion_Empresas'!F163)</f>
        <v/>
      </c>
      <c r="K163" s="17" t="str">
        <f>IF(A163="","",IF('41_Clasificacion_Empresas'!F163="A","Sí","No"))</f>
        <v/>
      </c>
      <c r="L163" s="17" t="str">
        <f>IF(A163="","",'41_Clasificacion_Empresas'!G163)</f>
        <v/>
      </c>
      <c r="M163" s="17" t="str">
        <f>IF(A163="","",IF('41_Clasificacion_Empresas'!F163="A","🟢 Oportunidad","🟡 En investigación"))</f>
        <v/>
      </c>
      <c r="N163" s="17" t="str">
        <f>IF(A163="","",'41_Clasificacion_Empresas'!M163)</f>
        <v/>
      </c>
      <c r="O163" s="16" t="str">
        <f t="shared" ca="1" si="23"/>
        <v/>
      </c>
      <c r="P163" s="17" t="str">
        <f t="shared" si="24"/>
        <v/>
      </c>
    </row>
    <row r="164" spans="1:16" ht="1.9" customHeight="1">
      <c r="A164" s="37"/>
      <c r="B164" s="16" t="str">
        <f t="shared" ca="1" si="20"/>
        <v/>
      </c>
      <c r="C164" s="17" t="str">
        <f>IF(A164="","",'41_Clasificacion_Empresas'!C164)</f>
        <v/>
      </c>
      <c r="D164" s="17" t="str">
        <f t="shared" si="21"/>
        <v/>
      </c>
      <c r="E164" s="17" t="str">
        <f>IF(A164="","",'41_Clasificacion_Empresas'!C164)</f>
        <v/>
      </c>
      <c r="F164" s="17" t="str">
        <f>IF(A164="","",'41_Clasificacion_Empresas'!E164)</f>
        <v/>
      </c>
      <c r="G164" s="17" t="str">
        <f>IF(A164="","",'41_Clasificacion_Empresas'!D164)</f>
        <v/>
      </c>
      <c r="H164" s="17" t="str">
        <f>IF(A164="","",'41_Clasificacion_Empresas'!D164)</f>
        <v/>
      </c>
      <c r="I164" s="17" t="str">
        <f t="shared" si="22"/>
        <v/>
      </c>
      <c r="J164" s="17" t="str">
        <f>IF(A164="","",'41_Clasificacion_Empresas'!F164)</f>
        <v/>
      </c>
      <c r="K164" s="17" t="str">
        <f>IF(A164="","",IF('41_Clasificacion_Empresas'!F164="A","Sí","No"))</f>
        <v/>
      </c>
      <c r="L164" s="17" t="str">
        <f>IF(A164="","",'41_Clasificacion_Empresas'!G164)</f>
        <v/>
      </c>
      <c r="M164" s="17" t="str">
        <f>IF(A164="","",IF('41_Clasificacion_Empresas'!F164="A","🟢 Oportunidad","🟡 En investigación"))</f>
        <v/>
      </c>
      <c r="N164" s="17" t="str">
        <f>IF(A164="","",'41_Clasificacion_Empresas'!M164)</f>
        <v/>
      </c>
      <c r="O164" s="16" t="str">
        <f t="shared" ca="1" si="23"/>
        <v/>
      </c>
      <c r="P164" s="17" t="str">
        <f t="shared" si="24"/>
        <v/>
      </c>
    </row>
    <row r="165" spans="1:16" ht="1.9" customHeight="1">
      <c r="A165" s="37"/>
      <c r="B165" s="16" t="str">
        <f t="shared" ref="B165:B196" ca="1" si="25">IF(A165="","",TODAY())</f>
        <v/>
      </c>
      <c r="C165" s="17" t="str">
        <f>IF(A165="","",'41_Clasificacion_Empresas'!C165)</f>
        <v/>
      </c>
      <c r="D165" s="17" t="str">
        <f t="shared" ref="D165:D196" si="26">IF(A165="","","Por definir")</f>
        <v/>
      </c>
      <c r="E165" s="17" t="str">
        <f>IF(A165="","",'41_Clasificacion_Empresas'!C165)</f>
        <v/>
      </c>
      <c r="F165" s="17" t="str">
        <f>IF(A165="","",'41_Clasificacion_Empresas'!E165)</f>
        <v/>
      </c>
      <c r="G165" s="17" t="str">
        <f>IF(A165="","",'41_Clasificacion_Empresas'!D165)</f>
        <v/>
      </c>
      <c r="H165" s="17" t="str">
        <f>IF(A165="","",'41_Clasificacion_Empresas'!D165)</f>
        <v/>
      </c>
      <c r="I165" s="17" t="str">
        <f t="shared" ref="I165:I196" si="27">IF(A165="","","Empresa / mercado")</f>
        <v/>
      </c>
      <c r="J165" s="17" t="str">
        <f>IF(A165="","",'41_Clasificacion_Empresas'!F165)</f>
        <v/>
      </c>
      <c r="K165" s="17" t="str">
        <f>IF(A165="","",IF('41_Clasificacion_Empresas'!F165="A","Sí","No"))</f>
        <v/>
      </c>
      <c r="L165" s="17" t="str">
        <f>IF(A165="","",'41_Clasificacion_Empresas'!G165)</f>
        <v/>
      </c>
      <c r="M165" s="17" t="str">
        <f>IF(A165="","",IF('41_Clasificacion_Empresas'!F165="A","🟢 Oportunidad","🟡 En investigación"))</f>
        <v/>
      </c>
      <c r="N165" s="17" t="str">
        <f>IF(A165="","",'41_Clasificacion_Empresas'!M165)</f>
        <v/>
      </c>
      <c r="O165" s="16" t="str">
        <f t="shared" ref="O165:O196" ca="1" si="28">IF(A165="","",TODAY()+7)</f>
        <v/>
      </c>
      <c r="P165" s="17" t="str">
        <f t="shared" ref="P165:P196" si="29">IF(A165="","","Fuente: 40→41→32→33→30")</f>
        <v/>
      </c>
    </row>
    <row r="166" spans="1:16" ht="1.9" customHeight="1">
      <c r="A166" s="37"/>
      <c r="B166" s="16" t="str">
        <f t="shared" ca="1" si="25"/>
        <v/>
      </c>
      <c r="C166" s="17" t="str">
        <f>IF(A166="","",'41_Clasificacion_Empresas'!C166)</f>
        <v/>
      </c>
      <c r="D166" s="17" t="str">
        <f t="shared" si="26"/>
        <v/>
      </c>
      <c r="E166" s="17" t="str">
        <f>IF(A166="","",'41_Clasificacion_Empresas'!C166)</f>
        <v/>
      </c>
      <c r="F166" s="17" t="str">
        <f>IF(A166="","",'41_Clasificacion_Empresas'!E166)</f>
        <v/>
      </c>
      <c r="G166" s="17" t="str">
        <f>IF(A166="","",'41_Clasificacion_Empresas'!D166)</f>
        <v/>
      </c>
      <c r="H166" s="17" t="str">
        <f>IF(A166="","",'41_Clasificacion_Empresas'!D166)</f>
        <v/>
      </c>
      <c r="I166" s="17" t="str">
        <f t="shared" si="27"/>
        <v/>
      </c>
      <c r="J166" s="17" t="str">
        <f>IF(A166="","",'41_Clasificacion_Empresas'!F166)</f>
        <v/>
      </c>
      <c r="K166" s="17" t="str">
        <f>IF(A166="","",IF('41_Clasificacion_Empresas'!F166="A","Sí","No"))</f>
        <v/>
      </c>
      <c r="L166" s="17" t="str">
        <f>IF(A166="","",'41_Clasificacion_Empresas'!G166)</f>
        <v/>
      </c>
      <c r="M166" s="17" t="str">
        <f>IF(A166="","",IF('41_Clasificacion_Empresas'!F166="A","🟢 Oportunidad","🟡 En investigación"))</f>
        <v/>
      </c>
      <c r="N166" s="17" t="str">
        <f>IF(A166="","",'41_Clasificacion_Empresas'!M166)</f>
        <v/>
      </c>
      <c r="O166" s="16" t="str">
        <f t="shared" ca="1" si="28"/>
        <v/>
      </c>
      <c r="P166" s="17" t="str">
        <f t="shared" si="29"/>
        <v/>
      </c>
    </row>
    <row r="167" spans="1:16" ht="1.9" customHeight="1">
      <c r="A167" s="37"/>
      <c r="B167" s="16" t="str">
        <f t="shared" ca="1" si="25"/>
        <v/>
      </c>
      <c r="C167" s="17" t="str">
        <f>IF(A167="","",'41_Clasificacion_Empresas'!C167)</f>
        <v/>
      </c>
      <c r="D167" s="17" t="str">
        <f t="shared" si="26"/>
        <v/>
      </c>
      <c r="E167" s="17" t="str">
        <f>IF(A167="","",'41_Clasificacion_Empresas'!C167)</f>
        <v/>
      </c>
      <c r="F167" s="17" t="str">
        <f>IF(A167="","",'41_Clasificacion_Empresas'!E167)</f>
        <v/>
      </c>
      <c r="G167" s="17" t="str">
        <f>IF(A167="","",'41_Clasificacion_Empresas'!D167)</f>
        <v/>
      </c>
      <c r="H167" s="17" t="str">
        <f>IF(A167="","",'41_Clasificacion_Empresas'!D167)</f>
        <v/>
      </c>
      <c r="I167" s="17" t="str">
        <f t="shared" si="27"/>
        <v/>
      </c>
      <c r="J167" s="17" t="str">
        <f>IF(A167="","",'41_Clasificacion_Empresas'!F167)</f>
        <v/>
      </c>
      <c r="K167" s="17" t="str">
        <f>IF(A167="","",IF('41_Clasificacion_Empresas'!F167="A","Sí","No"))</f>
        <v/>
      </c>
      <c r="L167" s="17" t="str">
        <f>IF(A167="","",'41_Clasificacion_Empresas'!G167)</f>
        <v/>
      </c>
      <c r="M167" s="17" t="str">
        <f>IF(A167="","",IF('41_Clasificacion_Empresas'!F167="A","🟢 Oportunidad","🟡 En investigación"))</f>
        <v/>
      </c>
      <c r="N167" s="17" t="str">
        <f>IF(A167="","",'41_Clasificacion_Empresas'!M167)</f>
        <v/>
      </c>
      <c r="O167" s="16" t="str">
        <f t="shared" ca="1" si="28"/>
        <v/>
      </c>
      <c r="P167" s="17" t="str">
        <f t="shared" si="29"/>
        <v/>
      </c>
    </row>
    <row r="168" spans="1:16" ht="1.9" customHeight="1">
      <c r="A168" s="37"/>
      <c r="B168" s="16" t="str">
        <f t="shared" ca="1" si="25"/>
        <v/>
      </c>
      <c r="C168" s="17" t="str">
        <f>IF(A168="","",'41_Clasificacion_Empresas'!C168)</f>
        <v/>
      </c>
      <c r="D168" s="17" t="str">
        <f t="shared" si="26"/>
        <v/>
      </c>
      <c r="E168" s="17" t="str">
        <f>IF(A168="","",'41_Clasificacion_Empresas'!C168)</f>
        <v/>
      </c>
      <c r="F168" s="17" t="str">
        <f>IF(A168="","",'41_Clasificacion_Empresas'!E168)</f>
        <v/>
      </c>
      <c r="G168" s="17" t="str">
        <f>IF(A168="","",'41_Clasificacion_Empresas'!D168)</f>
        <v/>
      </c>
      <c r="H168" s="17" t="str">
        <f>IF(A168="","",'41_Clasificacion_Empresas'!D168)</f>
        <v/>
      </c>
      <c r="I168" s="17" t="str">
        <f t="shared" si="27"/>
        <v/>
      </c>
      <c r="J168" s="17" t="str">
        <f>IF(A168="","",'41_Clasificacion_Empresas'!F168)</f>
        <v/>
      </c>
      <c r="K168" s="17" t="str">
        <f>IF(A168="","",IF('41_Clasificacion_Empresas'!F168="A","Sí","No"))</f>
        <v/>
      </c>
      <c r="L168" s="17" t="str">
        <f>IF(A168="","",'41_Clasificacion_Empresas'!G168)</f>
        <v/>
      </c>
      <c r="M168" s="17" t="str">
        <f>IF(A168="","",IF('41_Clasificacion_Empresas'!F168="A","🟢 Oportunidad","🟡 En investigación"))</f>
        <v/>
      </c>
      <c r="N168" s="17" t="str">
        <f>IF(A168="","",'41_Clasificacion_Empresas'!M168)</f>
        <v/>
      </c>
      <c r="O168" s="16" t="str">
        <f t="shared" ca="1" si="28"/>
        <v/>
      </c>
      <c r="P168" s="17" t="str">
        <f t="shared" si="29"/>
        <v/>
      </c>
    </row>
    <row r="169" spans="1:16" ht="1.9" customHeight="1">
      <c r="A169" s="37"/>
      <c r="B169" s="16" t="str">
        <f t="shared" ca="1" si="25"/>
        <v/>
      </c>
      <c r="C169" s="17" t="str">
        <f>IF(A169="","",'41_Clasificacion_Empresas'!C169)</f>
        <v/>
      </c>
      <c r="D169" s="17" t="str">
        <f t="shared" si="26"/>
        <v/>
      </c>
      <c r="E169" s="17" t="str">
        <f>IF(A169="","",'41_Clasificacion_Empresas'!C169)</f>
        <v/>
      </c>
      <c r="F169" s="17" t="str">
        <f>IF(A169="","",'41_Clasificacion_Empresas'!E169)</f>
        <v/>
      </c>
      <c r="G169" s="17" t="str">
        <f>IF(A169="","",'41_Clasificacion_Empresas'!D169)</f>
        <v/>
      </c>
      <c r="H169" s="17" t="str">
        <f>IF(A169="","",'41_Clasificacion_Empresas'!D169)</f>
        <v/>
      </c>
      <c r="I169" s="17" t="str">
        <f t="shared" si="27"/>
        <v/>
      </c>
      <c r="J169" s="17" t="str">
        <f>IF(A169="","",'41_Clasificacion_Empresas'!F169)</f>
        <v/>
      </c>
      <c r="K169" s="17" t="str">
        <f>IF(A169="","",IF('41_Clasificacion_Empresas'!F169="A","Sí","No"))</f>
        <v/>
      </c>
      <c r="L169" s="17" t="str">
        <f>IF(A169="","",'41_Clasificacion_Empresas'!G169)</f>
        <v/>
      </c>
      <c r="M169" s="17" t="str">
        <f>IF(A169="","",IF('41_Clasificacion_Empresas'!F169="A","🟢 Oportunidad","🟡 En investigación"))</f>
        <v/>
      </c>
      <c r="N169" s="17" t="str">
        <f>IF(A169="","",'41_Clasificacion_Empresas'!M169)</f>
        <v/>
      </c>
      <c r="O169" s="16" t="str">
        <f t="shared" ca="1" si="28"/>
        <v/>
      </c>
      <c r="P169" s="17" t="str">
        <f t="shared" si="29"/>
        <v/>
      </c>
    </row>
    <row r="170" spans="1:16" ht="1.9" customHeight="1">
      <c r="A170" s="37"/>
      <c r="B170" s="16" t="str">
        <f t="shared" ca="1" si="25"/>
        <v/>
      </c>
      <c r="C170" s="17" t="str">
        <f>IF(A170="","",'41_Clasificacion_Empresas'!C170)</f>
        <v/>
      </c>
      <c r="D170" s="17" t="str">
        <f t="shared" si="26"/>
        <v/>
      </c>
      <c r="E170" s="17" t="str">
        <f>IF(A170="","",'41_Clasificacion_Empresas'!C170)</f>
        <v/>
      </c>
      <c r="F170" s="17" t="str">
        <f>IF(A170="","",'41_Clasificacion_Empresas'!E170)</f>
        <v/>
      </c>
      <c r="G170" s="17" t="str">
        <f>IF(A170="","",'41_Clasificacion_Empresas'!D170)</f>
        <v/>
      </c>
      <c r="H170" s="17" t="str">
        <f>IF(A170="","",'41_Clasificacion_Empresas'!D170)</f>
        <v/>
      </c>
      <c r="I170" s="17" t="str">
        <f t="shared" si="27"/>
        <v/>
      </c>
      <c r="J170" s="17" t="str">
        <f>IF(A170="","",'41_Clasificacion_Empresas'!F170)</f>
        <v/>
      </c>
      <c r="K170" s="17" t="str">
        <f>IF(A170="","",IF('41_Clasificacion_Empresas'!F170="A","Sí","No"))</f>
        <v/>
      </c>
      <c r="L170" s="17" t="str">
        <f>IF(A170="","",'41_Clasificacion_Empresas'!G170)</f>
        <v/>
      </c>
      <c r="M170" s="17" t="str">
        <f>IF(A170="","",IF('41_Clasificacion_Empresas'!F170="A","🟢 Oportunidad","🟡 En investigación"))</f>
        <v/>
      </c>
      <c r="N170" s="17" t="str">
        <f>IF(A170="","",'41_Clasificacion_Empresas'!M170)</f>
        <v/>
      </c>
      <c r="O170" s="16" t="str">
        <f t="shared" ca="1" si="28"/>
        <v/>
      </c>
      <c r="P170" s="17" t="str">
        <f t="shared" si="29"/>
        <v/>
      </c>
    </row>
    <row r="171" spans="1:16" ht="1.9" customHeight="1">
      <c r="A171" s="37"/>
      <c r="B171" s="16" t="str">
        <f t="shared" ca="1" si="25"/>
        <v/>
      </c>
      <c r="C171" s="17" t="str">
        <f>IF(A171="","",'41_Clasificacion_Empresas'!C171)</f>
        <v/>
      </c>
      <c r="D171" s="17" t="str">
        <f t="shared" si="26"/>
        <v/>
      </c>
      <c r="E171" s="17" t="str">
        <f>IF(A171="","",'41_Clasificacion_Empresas'!C171)</f>
        <v/>
      </c>
      <c r="F171" s="17" t="str">
        <f>IF(A171="","",'41_Clasificacion_Empresas'!E171)</f>
        <v/>
      </c>
      <c r="G171" s="17" t="str">
        <f>IF(A171="","",'41_Clasificacion_Empresas'!D171)</f>
        <v/>
      </c>
      <c r="H171" s="17" t="str">
        <f>IF(A171="","",'41_Clasificacion_Empresas'!D171)</f>
        <v/>
      </c>
      <c r="I171" s="17" t="str">
        <f t="shared" si="27"/>
        <v/>
      </c>
      <c r="J171" s="17" t="str">
        <f>IF(A171="","",'41_Clasificacion_Empresas'!F171)</f>
        <v/>
      </c>
      <c r="K171" s="17" t="str">
        <f>IF(A171="","",IF('41_Clasificacion_Empresas'!F171="A","Sí","No"))</f>
        <v/>
      </c>
      <c r="L171" s="17" t="str">
        <f>IF(A171="","",'41_Clasificacion_Empresas'!G171)</f>
        <v/>
      </c>
      <c r="M171" s="17" t="str">
        <f>IF(A171="","",IF('41_Clasificacion_Empresas'!F171="A","🟢 Oportunidad","🟡 En investigación"))</f>
        <v/>
      </c>
      <c r="N171" s="17" t="str">
        <f>IF(A171="","",'41_Clasificacion_Empresas'!M171)</f>
        <v/>
      </c>
      <c r="O171" s="16" t="str">
        <f t="shared" ca="1" si="28"/>
        <v/>
      </c>
      <c r="P171" s="17" t="str">
        <f t="shared" si="29"/>
        <v/>
      </c>
    </row>
    <row r="172" spans="1:16" ht="1.9" customHeight="1">
      <c r="A172" s="37"/>
      <c r="B172" s="16" t="str">
        <f t="shared" ca="1" si="25"/>
        <v/>
      </c>
      <c r="C172" s="17" t="str">
        <f>IF(A172="","",'41_Clasificacion_Empresas'!C172)</f>
        <v/>
      </c>
      <c r="D172" s="17" t="str">
        <f t="shared" si="26"/>
        <v/>
      </c>
      <c r="E172" s="17" t="str">
        <f>IF(A172="","",'41_Clasificacion_Empresas'!C172)</f>
        <v/>
      </c>
      <c r="F172" s="17" t="str">
        <f>IF(A172="","",'41_Clasificacion_Empresas'!E172)</f>
        <v/>
      </c>
      <c r="G172" s="17" t="str">
        <f>IF(A172="","",'41_Clasificacion_Empresas'!D172)</f>
        <v/>
      </c>
      <c r="H172" s="17" t="str">
        <f>IF(A172="","",'41_Clasificacion_Empresas'!D172)</f>
        <v/>
      </c>
      <c r="I172" s="17" t="str">
        <f t="shared" si="27"/>
        <v/>
      </c>
      <c r="J172" s="17" t="str">
        <f>IF(A172="","",'41_Clasificacion_Empresas'!F172)</f>
        <v/>
      </c>
      <c r="K172" s="17" t="str">
        <f>IF(A172="","",IF('41_Clasificacion_Empresas'!F172="A","Sí","No"))</f>
        <v/>
      </c>
      <c r="L172" s="17" t="str">
        <f>IF(A172="","",'41_Clasificacion_Empresas'!G172)</f>
        <v/>
      </c>
      <c r="M172" s="17" t="str">
        <f>IF(A172="","",IF('41_Clasificacion_Empresas'!F172="A","🟢 Oportunidad","🟡 En investigación"))</f>
        <v/>
      </c>
      <c r="N172" s="17" t="str">
        <f>IF(A172="","",'41_Clasificacion_Empresas'!M172)</f>
        <v/>
      </c>
      <c r="O172" s="16" t="str">
        <f t="shared" ca="1" si="28"/>
        <v/>
      </c>
      <c r="P172" s="17" t="str">
        <f t="shared" si="29"/>
        <v/>
      </c>
    </row>
    <row r="173" spans="1:16" ht="1.9" customHeight="1">
      <c r="A173" s="37"/>
      <c r="B173" s="16" t="str">
        <f t="shared" ca="1" si="25"/>
        <v/>
      </c>
      <c r="C173" s="17" t="str">
        <f>IF(A173="","",'41_Clasificacion_Empresas'!C173)</f>
        <v/>
      </c>
      <c r="D173" s="17" t="str">
        <f t="shared" si="26"/>
        <v/>
      </c>
      <c r="E173" s="17" t="str">
        <f>IF(A173="","",'41_Clasificacion_Empresas'!C173)</f>
        <v/>
      </c>
      <c r="F173" s="17" t="str">
        <f>IF(A173="","",'41_Clasificacion_Empresas'!E173)</f>
        <v/>
      </c>
      <c r="G173" s="17" t="str">
        <f>IF(A173="","",'41_Clasificacion_Empresas'!D173)</f>
        <v/>
      </c>
      <c r="H173" s="17" t="str">
        <f>IF(A173="","",'41_Clasificacion_Empresas'!D173)</f>
        <v/>
      </c>
      <c r="I173" s="17" t="str">
        <f t="shared" si="27"/>
        <v/>
      </c>
      <c r="J173" s="17" t="str">
        <f>IF(A173="","",'41_Clasificacion_Empresas'!F173)</f>
        <v/>
      </c>
      <c r="K173" s="17" t="str">
        <f>IF(A173="","",IF('41_Clasificacion_Empresas'!F173="A","Sí","No"))</f>
        <v/>
      </c>
      <c r="L173" s="17" t="str">
        <f>IF(A173="","",'41_Clasificacion_Empresas'!G173)</f>
        <v/>
      </c>
      <c r="M173" s="17" t="str">
        <f>IF(A173="","",IF('41_Clasificacion_Empresas'!F173="A","🟢 Oportunidad","🟡 En investigación"))</f>
        <v/>
      </c>
      <c r="N173" s="17" t="str">
        <f>IF(A173="","",'41_Clasificacion_Empresas'!M173)</f>
        <v/>
      </c>
      <c r="O173" s="16" t="str">
        <f t="shared" ca="1" si="28"/>
        <v/>
      </c>
      <c r="P173" s="17" t="str">
        <f t="shared" si="29"/>
        <v/>
      </c>
    </row>
    <row r="174" spans="1:16" ht="1.9" customHeight="1">
      <c r="A174" s="37"/>
      <c r="B174" s="16" t="str">
        <f t="shared" ca="1" si="25"/>
        <v/>
      </c>
      <c r="C174" s="17" t="str">
        <f>IF(A174="","",'41_Clasificacion_Empresas'!C174)</f>
        <v/>
      </c>
      <c r="D174" s="17" t="str">
        <f t="shared" si="26"/>
        <v/>
      </c>
      <c r="E174" s="17" t="str">
        <f>IF(A174="","",'41_Clasificacion_Empresas'!C174)</f>
        <v/>
      </c>
      <c r="F174" s="17" t="str">
        <f>IF(A174="","",'41_Clasificacion_Empresas'!E174)</f>
        <v/>
      </c>
      <c r="G174" s="17" t="str">
        <f>IF(A174="","",'41_Clasificacion_Empresas'!D174)</f>
        <v/>
      </c>
      <c r="H174" s="17" t="str">
        <f>IF(A174="","",'41_Clasificacion_Empresas'!D174)</f>
        <v/>
      </c>
      <c r="I174" s="17" t="str">
        <f t="shared" si="27"/>
        <v/>
      </c>
      <c r="J174" s="17" t="str">
        <f>IF(A174="","",'41_Clasificacion_Empresas'!F174)</f>
        <v/>
      </c>
      <c r="K174" s="17" t="str">
        <f>IF(A174="","",IF('41_Clasificacion_Empresas'!F174="A","Sí","No"))</f>
        <v/>
      </c>
      <c r="L174" s="17" t="str">
        <f>IF(A174="","",'41_Clasificacion_Empresas'!G174)</f>
        <v/>
      </c>
      <c r="M174" s="17" t="str">
        <f>IF(A174="","",IF('41_Clasificacion_Empresas'!F174="A","🟢 Oportunidad","🟡 En investigación"))</f>
        <v/>
      </c>
      <c r="N174" s="17" t="str">
        <f>IF(A174="","",'41_Clasificacion_Empresas'!M174)</f>
        <v/>
      </c>
      <c r="O174" s="16" t="str">
        <f t="shared" ca="1" si="28"/>
        <v/>
      </c>
      <c r="P174" s="17" t="str">
        <f t="shared" si="29"/>
        <v/>
      </c>
    </row>
    <row r="175" spans="1:16" ht="1.9" customHeight="1">
      <c r="A175" s="37"/>
      <c r="B175" s="16" t="str">
        <f t="shared" ca="1" si="25"/>
        <v/>
      </c>
      <c r="C175" s="17" t="str">
        <f>IF(A175="","",'41_Clasificacion_Empresas'!C175)</f>
        <v/>
      </c>
      <c r="D175" s="17" t="str">
        <f t="shared" si="26"/>
        <v/>
      </c>
      <c r="E175" s="17" t="str">
        <f>IF(A175="","",'41_Clasificacion_Empresas'!C175)</f>
        <v/>
      </c>
      <c r="F175" s="17" t="str">
        <f>IF(A175="","",'41_Clasificacion_Empresas'!E175)</f>
        <v/>
      </c>
      <c r="G175" s="17" t="str">
        <f>IF(A175="","",'41_Clasificacion_Empresas'!D175)</f>
        <v/>
      </c>
      <c r="H175" s="17" t="str">
        <f>IF(A175="","",'41_Clasificacion_Empresas'!D175)</f>
        <v/>
      </c>
      <c r="I175" s="17" t="str">
        <f t="shared" si="27"/>
        <v/>
      </c>
      <c r="J175" s="17" t="str">
        <f>IF(A175="","",'41_Clasificacion_Empresas'!F175)</f>
        <v/>
      </c>
      <c r="K175" s="17" t="str">
        <f>IF(A175="","",IF('41_Clasificacion_Empresas'!F175="A","Sí","No"))</f>
        <v/>
      </c>
      <c r="L175" s="17" t="str">
        <f>IF(A175="","",'41_Clasificacion_Empresas'!G175)</f>
        <v/>
      </c>
      <c r="M175" s="17" t="str">
        <f>IF(A175="","",IF('41_Clasificacion_Empresas'!F175="A","🟢 Oportunidad","🟡 En investigación"))</f>
        <v/>
      </c>
      <c r="N175" s="17" t="str">
        <f>IF(A175="","",'41_Clasificacion_Empresas'!M175)</f>
        <v/>
      </c>
      <c r="O175" s="16" t="str">
        <f t="shared" ca="1" si="28"/>
        <v/>
      </c>
      <c r="P175" s="17" t="str">
        <f t="shared" si="29"/>
        <v/>
      </c>
    </row>
    <row r="176" spans="1:16" ht="1.9" customHeight="1">
      <c r="A176" s="37"/>
      <c r="B176" s="16" t="str">
        <f t="shared" ca="1" si="25"/>
        <v/>
      </c>
      <c r="C176" s="17" t="str">
        <f>IF(A176="","",'41_Clasificacion_Empresas'!C176)</f>
        <v/>
      </c>
      <c r="D176" s="17" t="str">
        <f t="shared" si="26"/>
        <v/>
      </c>
      <c r="E176" s="17" t="str">
        <f>IF(A176="","",'41_Clasificacion_Empresas'!C176)</f>
        <v/>
      </c>
      <c r="F176" s="17" t="str">
        <f>IF(A176="","",'41_Clasificacion_Empresas'!E176)</f>
        <v/>
      </c>
      <c r="G176" s="17" t="str">
        <f>IF(A176="","",'41_Clasificacion_Empresas'!D176)</f>
        <v/>
      </c>
      <c r="H176" s="17" t="str">
        <f>IF(A176="","",'41_Clasificacion_Empresas'!D176)</f>
        <v/>
      </c>
      <c r="I176" s="17" t="str">
        <f t="shared" si="27"/>
        <v/>
      </c>
      <c r="J176" s="17" t="str">
        <f>IF(A176="","",'41_Clasificacion_Empresas'!F176)</f>
        <v/>
      </c>
      <c r="K176" s="17" t="str">
        <f>IF(A176="","",IF('41_Clasificacion_Empresas'!F176="A","Sí","No"))</f>
        <v/>
      </c>
      <c r="L176" s="17" t="str">
        <f>IF(A176="","",'41_Clasificacion_Empresas'!G176)</f>
        <v/>
      </c>
      <c r="M176" s="17" t="str">
        <f>IF(A176="","",IF('41_Clasificacion_Empresas'!F176="A","🟢 Oportunidad","🟡 En investigación"))</f>
        <v/>
      </c>
      <c r="N176" s="17" t="str">
        <f>IF(A176="","",'41_Clasificacion_Empresas'!M176)</f>
        <v/>
      </c>
      <c r="O176" s="16" t="str">
        <f t="shared" ca="1" si="28"/>
        <v/>
      </c>
      <c r="P176" s="17" t="str">
        <f t="shared" si="29"/>
        <v/>
      </c>
    </row>
    <row r="177" spans="1:16" ht="1.9" customHeight="1">
      <c r="A177" s="37"/>
      <c r="B177" s="16" t="str">
        <f t="shared" ca="1" si="25"/>
        <v/>
      </c>
      <c r="C177" s="17" t="str">
        <f>IF(A177="","",'41_Clasificacion_Empresas'!C177)</f>
        <v/>
      </c>
      <c r="D177" s="17" t="str">
        <f t="shared" si="26"/>
        <v/>
      </c>
      <c r="E177" s="17" t="str">
        <f>IF(A177="","",'41_Clasificacion_Empresas'!C177)</f>
        <v/>
      </c>
      <c r="F177" s="17" t="str">
        <f>IF(A177="","",'41_Clasificacion_Empresas'!E177)</f>
        <v/>
      </c>
      <c r="G177" s="17" t="str">
        <f>IF(A177="","",'41_Clasificacion_Empresas'!D177)</f>
        <v/>
      </c>
      <c r="H177" s="17" t="str">
        <f>IF(A177="","",'41_Clasificacion_Empresas'!D177)</f>
        <v/>
      </c>
      <c r="I177" s="17" t="str">
        <f t="shared" si="27"/>
        <v/>
      </c>
      <c r="J177" s="17" t="str">
        <f>IF(A177="","",'41_Clasificacion_Empresas'!F177)</f>
        <v/>
      </c>
      <c r="K177" s="17" t="str">
        <f>IF(A177="","",IF('41_Clasificacion_Empresas'!F177="A","Sí","No"))</f>
        <v/>
      </c>
      <c r="L177" s="17" t="str">
        <f>IF(A177="","",'41_Clasificacion_Empresas'!G177)</f>
        <v/>
      </c>
      <c r="M177" s="17" t="str">
        <f>IF(A177="","",IF('41_Clasificacion_Empresas'!F177="A","🟢 Oportunidad","🟡 En investigación"))</f>
        <v/>
      </c>
      <c r="N177" s="17" t="str">
        <f>IF(A177="","",'41_Clasificacion_Empresas'!M177)</f>
        <v/>
      </c>
      <c r="O177" s="16" t="str">
        <f t="shared" ca="1" si="28"/>
        <v/>
      </c>
      <c r="P177" s="17" t="str">
        <f t="shared" si="29"/>
        <v/>
      </c>
    </row>
    <row r="178" spans="1:16" ht="1.9" customHeight="1">
      <c r="A178" s="37"/>
      <c r="B178" s="16" t="str">
        <f t="shared" ca="1" si="25"/>
        <v/>
      </c>
      <c r="C178" s="17" t="str">
        <f>IF(A178="","",'41_Clasificacion_Empresas'!C178)</f>
        <v/>
      </c>
      <c r="D178" s="17" t="str">
        <f t="shared" si="26"/>
        <v/>
      </c>
      <c r="E178" s="17" t="str">
        <f>IF(A178="","",'41_Clasificacion_Empresas'!C178)</f>
        <v/>
      </c>
      <c r="F178" s="17" t="str">
        <f>IF(A178="","",'41_Clasificacion_Empresas'!E178)</f>
        <v/>
      </c>
      <c r="G178" s="17" t="str">
        <f>IF(A178="","",'41_Clasificacion_Empresas'!D178)</f>
        <v/>
      </c>
      <c r="H178" s="17" t="str">
        <f>IF(A178="","",'41_Clasificacion_Empresas'!D178)</f>
        <v/>
      </c>
      <c r="I178" s="17" t="str">
        <f t="shared" si="27"/>
        <v/>
      </c>
      <c r="J178" s="17" t="str">
        <f>IF(A178="","",'41_Clasificacion_Empresas'!F178)</f>
        <v/>
      </c>
      <c r="K178" s="17" t="str">
        <f>IF(A178="","",IF('41_Clasificacion_Empresas'!F178="A","Sí","No"))</f>
        <v/>
      </c>
      <c r="L178" s="17" t="str">
        <f>IF(A178="","",'41_Clasificacion_Empresas'!G178)</f>
        <v/>
      </c>
      <c r="M178" s="17" t="str">
        <f>IF(A178="","",IF('41_Clasificacion_Empresas'!F178="A","🟢 Oportunidad","🟡 En investigación"))</f>
        <v/>
      </c>
      <c r="N178" s="17" t="str">
        <f>IF(A178="","",'41_Clasificacion_Empresas'!M178)</f>
        <v/>
      </c>
      <c r="O178" s="16" t="str">
        <f t="shared" ca="1" si="28"/>
        <v/>
      </c>
      <c r="P178" s="17" t="str">
        <f t="shared" si="29"/>
        <v/>
      </c>
    </row>
    <row r="179" spans="1:16" ht="1.9" customHeight="1">
      <c r="A179" s="37"/>
      <c r="B179" s="16" t="str">
        <f t="shared" ca="1" si="25"/>
        <v/>
      </c>
      <c r="C179" s="17" t="str">
        <f>IF(A179="","",'41_Clasificacion_Empresas'!C179)</f>
        <v/>
      </c>
      <c r="D179" s="17" t="str">
        <f t="shared" si="26"/>
        <v/>
      </c>
      <c r="E179" s="17" t="str">
        <f>IF(A179="","",'41_Clasificacion_Empresas'!C179)</f>
        <v/>
      </c>
      <c r="F179" s="17" t="str">
        <f>IF(A179="","",'41_Clasificacion_Empresas'!E179)</f>
        <v/>
      </c>
      <c r="G179" s="17" t="str">
        <f>IF(A179="","",'41_Clasificacion_Empresas'!D179)</f>
        <v/>
      </c>
      <c r="H179" s="17" t="str">
        <f>IF(A179="","",'41_Clasificacion_Empresas'!D179)</f>
        <v/>
      </c>
      <c r="I179" s="17" t="str">
        <f t="shared" si="27"/>
        <v/>
      </c>
      <c r="J179" s="17" t="str">
        <f>IF(A179="","",'41_Clasificacion_Empresas'!F179)</f>
        <v/>
      </c>
      <c r="K179" s="17" t="str">
        <f>IF(A179="","",IF('41_Clasificacion_Empresas'!F179="A","Sí","No"))</f>
        <v/>
      </c>
      <c r="L179" s="17" t="str">
        <f>IF(A179="","",'41_Clasificacion_Empresas'!G179)</f>
        <v/>
      </c>
      <c r="M179" s="17" t="str">
        <f>IF(A179="","",IF('41_Clasificacion_Empresas'!F179="A","🟢 Oportunidad","🟡 En investigación"))</f>
        <v/>
      </c>
      <c r="N179" s="17" t="str">
        <f>IF(A179="","",'41_Clasificacion_Empresas'!M179)</f>
        <v/>
      </c>
      <c r="O179" s="16" t="str">
        <f t="shared" ca="1" si="28"/>
        <v/>
      </c>
      <c r="P179" s="17" t="str">
        <f t="shared" si="29"/>
        <v/>
      </c>
    </row>
    <row r="180" spans="1:16" ht="1.9" customHeight="1">
      <c r="A180" s="37"/>
      <c r="B180" s="16" t="str">
        <f t="shared" ca="1" si="25"/>
        <v/>
      </c>
      <c r="C180" s="17" t="str">
        <f>IF(A180="","",'41_Clasificacion_Empresas'!C180)</f>
        <v/>
      </c>
      <c r="D180" s="17" t="str">
        <f t="shared" si="26"/>
        <v/>
      </c>
      <c r="E180" s="17" t="str">
        <f>IF(A180="","",'41_Clasificacion_Empresas'!C180)</f>
        <v/>
      </c>
      <c r="F180" s="17" t="str">
        <f>IF(A180="","",'41_Clasificacion_Empresas'!E180)</f>
        <v/>
      </c>
      <c r="G180" s="17" t="str">
        <f>IF(A180="","",'41_Clasificacion_Empresas'!D180)</f>
        <v/>
      </c>
      <c r="H180" s="17" t="str">
        <f>IF(A180="","",'41_Clasificacion_Empresas'!D180)</f>
        <v/>
      </c>
      <c r="I180" s="17" t="str">
        <f t="shared" si="27"/>
        <v/>
      </c>
      <c r="J180" s="17" t="str">
        <f>IF(A180="","",'41_Clasificacion_Empresas'!F180)</f>
        <v/>
      </c>
      <c r="K180" s="17" t="str">
        <f>IF(A180="","",IF('41_Clasificacion_Empresas'!F180="A","Sí","No"))</f>
        <v/>
      </c>
      <c r="L180" s="17" t="str">
        <f>IF(A180="","",'41_Clasificacion_Empresas'!G180)</f>
        <v/>
      </c>
      <c r="M180" s="17" t="str">
        <f>IF(A180="","",IF('41_Clasificacion_Empresas'!F180="A","🟢 Oportunidad","🟡 En investigación"))</f>
        <v/>
      </c>
      <c r="N180" s="17" t="str">
        <f>IF(A180="","",'41_Clasificacion_Empresas'!M180)</f>
        <v/>
      </c>
      <c r="O180" s="16" t="str">
        <f t="shared" ca="1" si="28"/>
        <v/>
      </c>
      <c r="P180" s="17" t="str">
        <f t="shared" si="29"/>
        <v/>
      </c>
    </row>
    <row r="181" spans="1:16" ht="1.9" customHeight="1">
      <c r="A181" s="37"/>
      <c r="B181" s="16" t="str">
        <f t="shared" ca="1" si="25"/>
        <v/>
      </c>
      <c r="C181" s="17" t="str">
        <f>IF(A181="","",'41_Clasificacion_Empresas'!C181)</f>
        <v/>
      </c>
      <c r="D181" s="17" t="str">
        <f t="shared" si="26"/>
        <v/>
      </c>
      <c r="E181" s="17" t="str">
        <f>IF(A181="","",'41_Clasificacion_Empresas'!C181)</f>
        <v/>
      </c>
      <c r="F181" s="17" t="str">
        <f>IF(A181="","",'41_Clasificacion_Empresas'!E181)</f>
        <v/>
      </c>
      <c r="G181" s="17" t="str">
        <f>IF(A181="","",'41_Clasificacion_Empresas'!D181)</f>
        <v/>
      </c>
      <c r="H181" s="17" t="str">
        <f>IF(A181="","",'41_Clasificacion_Empresas'!D181)</f>
        <v/>
      </c>
      <c r="I181" s="17" t="str">
        <f t="shared" si="27"/>
        <v/>
      </c>
      <c r="J181" s="17" t="str">
        <f>IF(A181="","",'41_Clasificacion_Empresas'!F181)</f>
        <v/>
      </c>
      <c r="K181" s="17" t="str">
        <f>IF(A181="","",IF('41_Clasificacion_Empresas'!F181="A","Sí","No"))</f>
        <v/>
      </c>
      <c r="L181" s="17" t="str">
        <f>IF(A181="","",'41_Clasificacion_Empresas'!G181)</f>
        <v/>
      </c>
      <c r="M181" s="17" t="str">
        <f>IF(A181="","",IF('41_Clasificacion_Empresas'!F181="A","🟢 Oportunidad","🟡 En investigación"))</f>
        <v/>
      </c>
      <c r="N181" s="17" t="str">
        <f>IF(A181="","",'41_Clasificacion_Empresas'!M181)</f>
        <v/>
      </c>
      <c r="O181" s="16" t="str">
        <f t="shared" ca="1" si="28"/>
        <v/>
      </c>
      <c r="P181" s="17" t="str">
        <f t="shared" si="29"/>
        <v/>
      </c>
    </row>
    <row r="182" spans="1:16" ht="1.9" customHeight="1">
      <c r="A182" s="37"/>
      <c r="B182" s="16" t="str">
        <f t="shared" ca="1" si="25"/>
        <v/>
      </c>
      <c r="C182" s="17" t="str">
        <f>IF(A182="","",'41_Clasificacion_Empresas'!C182)</f>
        <v/>
      </c>
      <c r="D182" s="17" t="str">
        <f t="shared" si="26"/>
        <v/>
      </c>
      <c r="E182" s="17" t="str">
        <f>IF(A182="","",'41_Clasificacion_Empresas'!C182)</f>
        <v/>
      </c>
      <c r="F182" s="17" t="str">
        <f>IF(A182="","",'41_Clasificacion_Empresas'!E182)</f>
        <v/>
      </c>
      <c r="G182" s="17" t="str">
        <f>IF(A182="","",'41_Clasificacion_Empresas'!D182)</f>
        <v/>
      </c>
      <c r="H182" s="17" t="str">
        <f>IF(A182="","",'41_Clasificacion_Empresas'!D182)</f>
        <v/>
      </c>
      <c r="I182" s="17" t="str">
        <f t="shared" si="27"/>
        <v/>
      </c>
      <c r="J182" s="17" t="str">
        <f>IF(A182="","",'41_Clasificacion_Empresas'!F182)</f>
        <v/>
      </c>
      <c r="K182" s="17" t="str">
        <f>IF(A182="","",IF('41_Clasificacion_Empresas'!F182="A","Sí","No"))</f>
        <v/>
      </c>
      <c r="L182" s="17" t="str">
        <f>IF(A182="","",'41_Clasificacion_Empresas'!G182)</f>
        <v/>
      </c>
      <c r="M182" s="17" t="str">
        <f>IF(A182="","",IF('41_Clasificacion_Empresas'!F182="A","🟢 Oportunidad","🟡 En investigación"))</f>
        <v/>
      </c>
      <c r="N182" s="17" t="str">
        <f>IF(A182="","",'41_Clasificacion_Empresas'!M182)</f>
        <v/>
      </c>
      <c r="O182" s="16" t="str">
        <f t="shared" ca="1" si="28"/>
        <v/>
      </c>
      <c r="P182" s="17" t="str">
        <f t="shared" si="29"/>
        <v/>
      </c>
    </row>
    <row r="183" spans="1:16" ht="1.9" customHeight="1">
      <c r="A183" s="37"/>
      <c r="B183" s="16" t="str">
        <f t="shared" ca="1" si="25"/>
        <v/>
      </c>
      <c r="C183" s="17" t="str">
        <f>IF(A183="","",'41_Clasificacion_Empresas'!C183)</f>
        <v/>
      </c>
      <c r="D183" s="17" t="str">
        <f t="shared" si="26"/>
        <v/>
      </c>
      <c r="E183" s="17" t="str">
        <f>IF(A183="","",'41_Clasificacion_Empresas'!C183)</f>
        <v/>
      </c>
      <c r="F183" s="17" t="str">
        <f>IF(A183="","",'41_Clasificacion_Empresas'!E183)</f>
        <v/>
      </c>
      <c r="G183" s="17" t="str">
        <f>IF(A183="","",'41_Clasificacion_Empresas'!D183)</f>
        <v/>
      </c>
      <c r="H183" s="17" t="str">
        <f>IF(A183="","",'41_Clasificacion_Empresas'!D183)</f>
        <v/>
      </c>
      <c r="I183" s="17" t="str">
        <f t="shared" si="27"/>
        <v/>
      </c>
      <c r="J183" s="17" t="str">
        <f>IF(A183="","",'41_Clasificacion_Empresas'!F183)</f>
        <v/>
      </c>
      <c r="K183" s="17" t="str">
        <f>IF(A183="","",IF('41_Clasificacion_Empresas'!F183="A","Sí","No"))</f>
        <v/>
      </c>
      <c r="L183" s="17" t="str">
        <f>IF(A183="","",'41_Clasificacion_Empresas'!G183)</f>
        <v/>
      </c>
      <c r="M183" s="17" t="str">
        <f>IF(A183="","",IF('41_Clasificacion_Empresas'!F183="A","🟢 Oportunidad","🟡 En investigación"))</f>
        <v/>
      </c>
      <c r="N183" s="17" t="str">
        <f>IF(A183="","",'41_Clasificacion_Empresas'!M183)</f>
        <v/>
      </c>
      <c r="O183" s="16" t="str">
        <f t="shared" ca="1" si="28"/>
        <v/>
      </c>
      <c r="P183" s="17" t="str">
        <f t="shared" si="29"/>
        <v/>
      </c>
    </row>
    <row r="184" spans="1:16" ht="1.9" customHeight="1">
      <c r="A184" s="37"/>
      <c r="B184" s="16" t="str">
        <f t="shared" ca="1" si="25"/>
        <v/>
      </c>
      <c r="C184" s="17" t="str">
        <f>IF(A184="","",'41_Clasificacion_Empresas'!C184)</f>
        <v/>
      </c>
      <c r="D184" s="17" t="str">
        <f t="shared" si="26"/>
        <v/>
      </c>
      <c r="E184" s="17" t="str">
        <f>IF(A184="","",'41_Clasificacion_Empresas'!C184)</f>
        <v/>
      </c>
      <c r="F184" s="17" t="str">
        <f>IF(A184="","",'41_Clasificacion_Empresas'!E184)</f>
        <v/>
      </c>
      <c r="G184" s="17" t="str">
        <f>IF(A184="","",'41_Clasificacion_Empresas'!D184)</f>
        <v/>
      </c>
      <c r="H184" s="17" t="str">
        <f>IF(A184="","",'41_Clasificacion_Empresas'!D184)</f>
        <v/>
      </c>
      <c r="I184" s="17" t="str">
        <f t="shared" si="27"/>
        <v/>
      </c>
      <c r="J184" s="17" t="str">
        <f>IF(A184="","",'41_Clasificacion_Empresas'!F184)</f>
        <v/>
      </c>
      <c r="K184" s="17" t="str">
        <f>IF(A184="","",IF('41_Clasificacion_Empresas'!F184="A","Sí","No"))</f>
        <v/>
      </c>
      <c r="L184" s="17" t="str">
        <f>IF(A184="","",'41_Clasificacion_Empresas'!G184)</f>
        <v/>
      </c>
      <c r="M184" s="17" t="str">
        <f>IF(A184="","",IF('41_Clasificacion_Empresas'!F184="A","🟢 Oportunidad","🟡 En investigación"))</f>
        <v/>
      </c>
      <c r="N184" s="17" t="str">
        <f>IF(A184="","",'41_Clasificacion_Empresas'!M184)</f>
        <v/>
      </c>
      <c r="O184" s="16" t="str">
        <f t="shared" ca="1" si="28"/>
        <v/>
      </c>
      <c r="P184" s="17" t="str">
        <f t="shared" si="29"/>
        <v/>
      </c>
    </row>
    <row r="185" spans="1:16" ht="1.9" customHeight="1">
      <c r="A185" s="37"/>
      <c r="B185" s="16" t="str">
        <f t="shared" ca="1" si="25"/>
        <v/>
      </c>
      <c r="C185" s="17" t="str">
        <f>IF(A185="","",'41_Clasificacion_Empresas'!C185)</f>
        <v/>
      </c>
      <c r="D185" s="17" t="str">
        <f t="shared" si="26"/>
        <v/>
      </c>
      <c r="E185" s="17" t="str">
        <f>IF(A185="","",'41_Clasificacion_Empresas'!C185)</f>
        <v/>
      </c>
      <c r="F185" s="17" t="str">
        <f>IF(A185="","",'41_Clasificacion_Empresas'!E185)</f>
        <v/>
      </c>
      <c r="G185" s="17" t="str">
        <f>IF(A185="","",'41_Clasificacion_Empresas'!D185)</f>
        <v/>
      </c>
      <c r="H185" s="17" t="str">
        <f>IF(A185="","",'41_Clasificacion_Empresas'!D185)</f>
        <v/>
      </c>
      <c r="I185" s="17" t="str">
        <f t="shared" si="27"/>
        <v/>
      </c>
      <c r="J185" s="17" t="str">
        <f>IF(A185="","",'41_Clasificacion_Empresas'!F185)</f>
        <v/>
      </c>
      <c r="K185" s="17" t="str">
        <f>IF(A185="","",IF('41_Clasificacion_Empresas'!F185="A","Sí","No"))</f>
        <v/>
      </c>
      <c r="L185" s="17" t="str">
        <f>IF(A185="","",'41_Clasificacion_Empresas'!G185)</f>
        <v/>
      </c>
      <c r="M185" s="17" t="str">
        <f>IF(A185="","",IF('41_Clasificacion_Empresas'!F185="A","🟢 Oportunidad","🟡 En investigación"))</f>
        <v/>
      </c>
      <c r="N185" s="17" t="str">
        <f>IF(A185="","",'41_Clasificacion_Empresas'!M185)</f>
        <v/>
      </c>
      <c r="O185" s="16" t="str">
        <f t="shared" ca="1" si="28"/>
        <v/>
      </c>
      <c r="P185" s="17" t="str">
        <f t="shared" si="29"/>
        <v/>
      </c>
    </row>
    <row r="186" spans="1:16" ht="1.9" customHeight="1">
      <c r="A186" s="37"/>
      <c r="B186" s="16" t="str">
        <f t="shared" ca="1" si="25"/>
        <v/>
      </c>
      <c r="C186" s="17" t="str">
        <f>IF(A186="","",'41_Clasificacion_Empresas'!C186)</f>
        <v/>
      </c>
      <c r="D186" s="17" t="str">
        <f t="shared" si="26"/>
        <v/>
      </c>
      <c r="E186" s="17" t="str">
        <f>IF(A186="","",'41_Clasificacion_Empresas'!C186)</f>
        <v/>
      </c>
      <c r="F186" s="17" t="str">
        <f>IF(A186="","",'41_Clasificacion_Empresas'!E186)</f>
        <v/>
      </c>
      <c r="G186" s="17" t="str">
        <f>IF(A186="","",'41_Clasificacion_Empresas'!D186)</f>
        <v/>
      </c>
      <c r="H186" s="17" t="str">
        <f>IF(A186="","",'41_Clasificacion_Empresas'!D186)</f>
        <v/>
      </c>
      <c r="I186" s="17" t="str">
        <f t="shared" si="27"/>
        <v/>
      </c>
      <c r="J186" s="17" t="str">
        <f>IF(A186="","",'41_Clasificacion_Empresas'!F186)</f>
        <v/>
      </c>
      <c r="K186" s="17" t="str">
        <f>IF(A186="","",IF('41_Clasificacion_Empresas'!F186="A","Sí","No"))</f>
        <v/>
      </c>
      <c r="L186" s="17" t="str">
        <f>IF(A186="","",'41_Clasificacion_Empresas'!G186)</f>
        <v/>
      </c>
      <c r="M186" s="17" t="str">
        <f>IF(A186="","",IF('41_Clasificacion_Empresas'!F186="A","🟢 Oportunidad","🟡 En investigación"))</f>
        <v/>
      </c>
      <c r="N186" s="17" t="str">
        <f>IF(A186="","",'41_Clasificacion_Empresas'!M186)</f>
        <v/>
      </c>
      <c r="O186" s="16" t="str">
        <f t="shared" ca="1" si="28"/>
        <v/>
      </c>
      <c r="P186" s="17" t="str">
        <f t="shared" si="29"/>
        <v/>
      </c>
    </row>
    <row r="187" spans="1:16" ht="1.9" customHeight="1">
      <c r="A187" s="37"/>
      <c r="B187" s="16" t="str">
        <f t="shared" ca="1" si="25"/>
        <v/>
      </c>
      <c r="C187" s="17" t="str">
        <f>IF(A187="","",'41_Clasificacion_Empresas'!C187)</f>
        <v/>
      </c>
      <c r="D187" s="17" t="str">
        <f t="shared" si="26"/>
        <v/>
      </c>
      <c r="E187" s="17" t="str">
        <f>IF(A187="","",'41_Clasificacion_Empresas'!C187)</f>
        <v/>
      </c>
      <c r="F187" s="17" t="str">
        <f>IF(A187="","",'41_Clasificacion_Empresas'!E187)</f>
        <v/>
      </c>
      <c r="G187" s="17" t="str">
        <f>IF(A187="","",'41_Clasificacion_Empresas'!D187)</f>
        <v/>
      </c>
      <c r="H187" s="17" t="str">
        <f>IF(A187="","",'41_Clasificacion_Empresas'!D187)</f>
        <v/>
      </c>
      <c r="I187" s="17" t="str">
        <f t="shared" si="27"/>
        <v/>
      </c>
      <c r="J187" s="17" t="str">
        <f>IF(A187="","",'41_Clasificacion_Empresas'!F187)</f>
        <v/>
      </c>
      <c r="K187" s="17" t="str">
        <f>IF(A187="","",IF('41_Clasificacion_Empresas'!F187="A","Sí","No"))</f>
        <v/>
      </c>
      <c r="L187" s="17" t="str">
        <f>IF(A187="","",'41_Clasificacion_Empresas'!G187)</f>
        <v/>
      </c>
      <c r="M187" s="17" t="str">
        <f>IF(A187="","",IF('41_Clasificacion_Empresas'!F187="A","🟢 Oportunidad","🟡 En investigación"))</f>
        <v/>
      </c>
      <c r="N187" s="17" t="str">
        <f>IF(A187="","",'41_Clasificacion_Empresas'!M187)</f>
        <v/>
      </c>
      <c r="O187" s="16" t="str">
        <f t="shared" ca="1" si="28"/>
        <v/>
      </c>
      <c r="P187" s="17" t="str">
        <f t="shared" si="29"/>
        <v/>
      </c>
    </row>
    <row r="188" spans="1:16" ht="1.9" customHeight="1">
      <c r="A188" s="37"/>
      <c r="B188" s="16" t="str">
        <f t="shared" ca="1" si="25"/>
        <v/>
      </c>
      <c r="C188" s="17" t="str">
        <f>IF(A188="","",'41_Clasificacion_Empresas'!C188)</f>
        <v/>
      </c>
      <c r="D188" s="17" t="str">
        <f t="shared" si="26"/>
        <v/>
      </c>
      <c r="E188" s="17" t="str">
        <f>IF(A188="","",'41_Clasificacion_Empresas'!C188)</f>
        <v/>
      </c>
      <c r="F188" s="17" t="str">
        <f>IF(A188="","",'41_Clasificacion_Empresas'!E188)</f>
        <v/>
      </c>
      <c r="G188" s="17" t="str">
        <f>IF(A188="","",'41_Clasificacion_Empresas'!D188)</f>
        <v/>
      </c>
      <c r="H188" s="17" t="str">
        <f>IF(A188="","",'41_Clasificacion_Empresas'!D188)</f>
        <v/>
      </c>
      <c r="I188" s="17" t="str">
        <f t="shared" si="27"/>
        <v/>
      </c>
      <c r="J188" s="17" t="str">
        <f>IF(A188="","",'41_Clasificacion_Empresas'!F188)</f>
        <v/>
      </c>
      <c r="K188" s="17" t="str">
        <f>IF(A188="","",IF('41_Clasificacion_Empresas'!F188="A","Sí","No"))</f>
        <v/>
      </c>
      <c r="L188" s="17" t="str">
        <f>IF(A188="","",'41_Clasificacion_Empresas'!G188)</f>
        <v/>
      </c>
      <c r="M188" s="17" t="str">
        <f>IF(A188="","",IF('41_Clasificacion_Empresas'!F188="A","🟢 Oportunidad","🟡 En investigación"))</f>
        <v/>
      </c>
      <c r="N188" s="17" t="str">
        <f>IF(A188="","",'41_Clasificacion_Empresas'!M188)</f>
        <v/>
      </c>
      <c r="O188" s="16" t="str">
        <f t="shared" ca="1" si="28"/>
        <v/>
      </c>
      <c r="P188" s="17" t="str">
        <f t="shared" si="29"/>
        <v/>
      </c>
    </row>
    <row r="189" spans="1:16" ht="1.9" customHeight="1">
      <c r="A189" s="37"/>
      <c r="B189" s="16" t="str">
        <f t="shared" ca="1" si="25"/>
        <v/>
      </c>
      <c r="C189" s="17" t="str">
        <f>IF(A189="","",'41_Clasificacion_Empresas'!C189)</f>
        <v/>
      </c>
      <c r="D189" s="17" t="str">
        <f t="shared" si="26"/>
        <v/>
      </c>
      <c r="E189" s="17" t="str">
        <f>IF(A189="","",'41_Clasificacion_Empresas'!C189)</f>
        <v/>
      </c>
      <c r="F189" s="17" t="str">
        <f>IF(A189="","",'41_Clasificacion_Empresas'!E189)</f>
        <v/>
      </c>
      <c r="G189" s="17" t="str">
        <f>IF(A189="","",'41_Clasificacion_Empresas'!D189)</f>
        <v/>
      </c>
      <c r="H189" s="17" t="str">
        <f>IF(A189="","",'41_Clasificacion_Empresas'!D189)</f>
        <v/>
      </c>
      <c r="I189" s="17" t="str">
        <f t="shared" si="27"/>
        <v/>
      </c>
      <c r="J189" s="17" t="str">
        <f>IF(A189="","",'41_Clasificacion_Empresas'!F189)</f>
        <v/>
      </c>
      <c r="K189" s="17" t="str">
        <f>IF(A189="","",IF('41_Clasificacion_Empresas'!F189="A","Sí","No"))</f>
        <v/>
      </c>
      <c r="L189" s="17" t="str">
        <f>IF(A189="","",'41_Clasificacion_Empresas'!G189)</f>
        <v/>
      </c>
      <c r="M189" s="17" t="str">
        <f>IF(A189="","",IF('41_Clasificacion_Empresas'!F189="A","🟢 Oportunidad","🟡 En investigación"))</f>
        <v/>
      </c>
      <c r="N189" s="17" t="str">
        <f>IF(A189="","",'41_Clasificacion_Empresas'!M189)</f>
        <v/>
      </c>
      <c r="O189" s="16" t="str">
        <f t="shared" ca="1" si="28"/>
        <v/>
      </c>
      <c r="P189" s="17" t="str">
        <f t="shared" si="29"/>
        <v/>
      </c>
    </row>
    <row r="190" spans="1:16" ht="1.9" customHeight="1">
      <c r="A190" s="37"/>
      <c r="B190" s="16" t="str">
        <f t="shared" ca="1" si="25"/>
        <v/>
      </c>
      <c r="C190" s="17" t="str">
        <f>IF(A190="","",'41_Clasificacion_Empresas'!C190)</f>
        <v/>
      </c>
      <c r="D190" s="17" t="str">
        <f t="shared" si="26"/>
        <v/>
      </c>
      <c r="E190" s="17" t="str">
        <f>IF(A190="","",'41_Clasificacion_Empresas'!C190)</f>
        <v/>
      </c>
      <c r="F190" s="17" t="str">
        <f>IF(A190="","",'41_Clasificacion_Empresas'!E190)</f>
        <v/>
      </c>
      <c r="G190" s="17" t="str">
        <f>IF(A190="","",'41_Clasificacion_Empresas'!D190)</f>
        <v/>
      </c>
      <c r="H190" s="17" t="str">
        <f>IF(A190="","",'41_Clasificacion_Empresas'!D190)</f>
        <v/>
      </c>
      <c r="I190" s="17" t="str">
        <f t="shared" si="27"/>
        <v/>
      </c>
      <c r="J190" s="17" t="str">
        <f>IF(A190="","",'41_Clasificacion_Empresas'!F190)</f>
        <v/>
      </c>
      <c r="K190" s="17" t="str">
        <f>IF(A190="","",IF('41_Clasificacion_Empresas'!F190="A","Sí","No"))</f>
        <v/>
      </c>
      <c r="L190" s="17" t="str">
        <f>IF(A190="","",'41_Clasificacion_Empresas'!G190)</f>
        <v/>
      </c>
      <c r="M190" s="17" t="str">
        <f>IF(A190="","",IF('41_Clasificacion_Empresas'!F190="A","🟢 Oportunidad","🟡 En investigación"))</f>
        <v/>
      </c>
      <c r="N190" s="17" t="str">
        <f>IF(A190="","",'41_Clasificacion_Empresas'!M190)</f>
        <v/>
      </c>
      <c r="O190" s="16" t="str">
        <f t="shared" ca="1" si="28"/>
        <v/>
      </c>
      <c r="P190" s="17" t="str">
        <f t="shared" si="29"/>
        <v/>
      </c>
    </row>
    <row r="191" spans="1:16" ht="1.9" customHeight="1">
      <c r="A191" s="37"/>
      <c r="B191" s="16" t="str">
        <f t="shared" ca="1" si="25"/>
        <v/>
      </c>
      <c r="C191" s="17" t="str">
        <f>IF(A191="","",'41_Clasificacion_Empresas'!C191)</f>
        <v/>
      </c>
      <c r="D191" s="17" t="str">
        <f t="shared" si="26"/>
        <v/>
      </c>
      <c r="E191" s="17" t="str">
        <f>IF(A191="","",'41_Clasificacion_Empresas'!C191)</f>
        <v/>
      </c>
      <c r="F191" s="17" t="str">
        <f>IF(A191="","",'41_Clasificacion_Empresas'!E191)</f>
        <v/>
      </c>
      <c r="G191" s="17" t="str">
        <f>IF(A191="","",'41_Clasificacion_Empresas'!D191)</f>
        <v/>
      </c>
      <c r="H191" s="17" t="str">
        <f>IF(A191="","",'41_Clasificacion_Empresas'!D191)</f>
        <v/>
      </c>
      <c r="I191" s="17" t="str">
        <f t="shared" si="27"/>
        <v/>
      </c>
      <c r="J191" s="17" t="str">
        <f>IF(A191="","",'41_Clasificacion_Empresas'!F191)</f>
        <v/>
      </c>
      <c r="K191" s="17" t="str">
        <f>IF(A191="","",IF('41_Clasificacion_Empresas'!F191="A","Sí","No"))</f>
        <v/>
      </c>
      <c r="L191" s="17" t="str">
        <f>IF(A191="","",'41_Clasificacion_Empresas'!G191)</f>
        <v/>
      </c>
      <c r="M191" s="17" t="str">
        <f>IF(A191="","",IF('41_Clasificacion_Empresas'!F191="A","🟢 Oportunidad","🟡 En investigación"))</f>
        <v/>
      </c>
      <c r="N191" s="17" t="str">
        <f>IF(A191="","",'41_Clasificacion_Empresas'!M191)</f>
        <v/>
      </c>
      <c r="O191" s="16" t="str">
        <f t="shared" ca="1" si="28"/>
        <v/>
      </c>
      <c r="P191" s="17" t="str">
        <f t="shared" si="29"/>
        <v/>
      </c>
    </row>
    <row r="192" spans="1:16" ht="1.9" customHeight="1">
      <c r="A192" s="37"/>
      <c r="B192" s="16" t="str">
        <f t="shared" ca="1" si="25"/>
        <v/>
      </c>
      <c r="C192" s="17" t="str">
        <f>IF(A192="","",'41_Clasificacion_Empresas'!C192)</f>
        <v/>
      </c>
      <c r="D192" s="17" t="str">
        <f t="shared" si="26"/>
        <v/>
      </c>
      <c r="E192" s="17" t="str">
        <f>IF(A192="","",'41_Clasificacion_Empresas'!C192)</f>
        <v/>
      </c>
      <c r="F192" s="17" t="str">
        <f>IF(A192="","",'41_Clasificacion_Empresas'!E192)</f>
        <v/>
      </c>
      <c r="G192" s="17" t="str">
        <f>IF(A192="","",'41_Clasificacion_Empresas'!D192)</f>
        <v/>
      </c>
      <c r="H192" s="17" t="str">
        <f>IF(A192="","",'41_Clasificacion_Empresas'!D192)</f>
        <v/>
      </c>
      <c r="I192" s="17" t="str">
        <f t="shared" si="27"/>
        <v/>
      </c>
      <c r="J192" s="17" t="str">
        <f>IF(A192="","",'41_Clasificacion_Empresas'!F192)</f>
        <v/>
      </c>
      <c r="K192" s="17" t="str">
        <f>IF(A192="","",IF('41_Clasificacion_Empresas'!F192="A","Sí","No"))</f>
        <v/>
      </c>
      <c r="L192" s="17" t="str">
        <f>IF(A192="","",'41_Clasificacion_Empresas'!G192)</f>
        <v/>
      </c>
      <c r="M192" s="17" t="str">
        <f>IF(A192="","",IF('41_Clasificacion_Empresas'!F192="A","🟢 Oportunidad","🟡 En investigación"))</f>
        <v/>
      </c>
      <c r="N192" s="17" t="str">
        <f>IF(A192="","",'41_Clasificacion_Empresas'!M192)</f>
        <v/>
      </c>
      <c r="O192" s="16" t="str">
        <f t="shared" ca="1" si="28"/>
        <v/>
      </c>
      <c r="P192" s="17" t="str">
        <f t="shared" si="29"/>
        <v/>
      </c>
    </row>
    <row r="193" spans="1:16" ht="1.9" customHeight="1">
      <c r="A193" s="37"/>
      <c r="B193" s="16" t="str">
        <f t="shared" ca="1" si="25"/>
        <v/>
      </c>
      <c r="C193" s="17" t="str">
        <f>IF(A193="","",'41_Clasificacion_Empresas'!C193)</f>
        <v/>
      </c>
      <c r="D193" s="17" t="str">
        <f t="shared" si="26"/>
        <v/>
      </c>
      <c r="E193" s="17" t="str">
        <f>IF(A193="","",'41_Clasificacion_Empresas'!C193)</f>
        <v/>
      </c>
      <c r="F193" s="17" t="str">
        <f>IF(A193="","",'41_Clasificacion_Empresas'!E193)</f>
        <v/>
      </c>
      <c r="G193" s="17" t="str">
        <f>IF(A193="","",'41_Clasificacion_Empresas'!D193)</f>
        <v/>
      </c>
      <c r="H193" s="17" t="str">
        <f>IF(A193="","",'41_Clasificacion_Empresas'!D193)</f>
        <v/>
      </c>
      <c r="I193" s="17" t="str">
        <f t="shared" si="27"/>
        <v/>
      </c>
      <c r="J193" s="17" t="str">
        <f>IF(A193="","",'41_Clasificacion_Empresas'!F193)</f>
        <v/>
      </c>
      <c r="K193" s="17" t="str">
        <f>IF(A193="","",IF('41_Clasificacion_Empresas'!F193="A","Sí","No"))</f>
        <v/>
      </c>
      <c r="L193" s="17" t="str">
        <f>IF(A193="","",'41_Clasificacion_Empresas'!G193)</f>
        <v/>
      </c>
      <c r="M193" s="17" t="str">
        <f>IF(A193="","",IF('41_Clasificacion_Empresas'!F193="A","🟢 Oportunidad","🟡 En investigación"))</f>
        <v/>
      </c>
      <c r="N193" s="17" t="str">
        <f>IF(A193="","",'41_Clasificacion_Empresas'!M193)</f>
        <v/>
      </c>
      <c r="O193" s="16" t="str">
        <f t="shared" ca="1" si="28"/>
        <v/>
      </c>
      <c r="P193" s="17" t="str">
        <f t="shared" si="29"/>
        <v/>
      </c>
    </row>
    <row r="194" spans="1:16" ht="1.9" customHeight="1">
      <c r="A194" s="37"/>
      <c r="B194" s="16" t="str">
        <f t="shared" ca="1" si="25"/>
        <v/>
      </c>
      <c r="C194" s="17" t="str">
        <f>IF(A194="","",'41_Clasificacion_Empresas'!C194)</f>
        <v/>
      </c>
      <c r="D194" s="17" t="str">
        <f t="shared" si="26"/>
        <v/>
      </c>
      <c r="E194" s="17" t="str">
        <f>IF(A194="","",'41_Clasificacion_Empresas'!C194)</f>
        <v/>
      </c>
      <c r="F194" s="17" t="str">
        <f>IF(A194="","",'41_Clasificacion_Empresas'!E194)</f>
        <v/>
      </c>
      <c r="G194" s="17" t="str">
        <f>IF(A194="","",'41_Clasificacion_Empresas'!D194)</f>
        <v/>
      </c>
      <c r="H194" s="17" t="str">
        <f>IF(A194="","",'41_Clasificacion_Empresas'!D194)</f>
        <v/>
      </c>
      <c r="I194" s="17" t="str">
        <f t="shared" si="27"/>
        <v/>
      </c>
      <c r="J194" s="17" t="str">
        <f>IF(A194="","",'41_Clasificacion_Empresas'!F194)</f>
        <v/>
      </c>
      <c r="K194" s="17" t="str">
        <f>IF(A194="","",IF('41_Clasificacion_Empresas'!F194="A","Sí","No"))</f>
        <v/>
      </c>
      <c r="L194" s="17" t="str">
        <f>IF(A194="","",'41_Clasificacion_Empresas'!G194)</f>
        <v/>
      </c>
      <c r="M194" s="17" t="str">
        <f>IF(A194="","",IF('41_Clasificacion_Empresas'!F194="A","🟢 Oportunidad","🟡 En investigación"))</f>
        <v/>
      </c>
      <c r="N194" s="17" t="str">
        <f>IF(A194="","",'41_Clasificacion_Empresas'!M194)</f>
        <v/>
      </c>
      <c r="O194" s="16" t="str">
        <f t="shared" ca="1" si="28"/>
        <v/>
      </c>
      <c r="P194" s="17" t="str">
        <f t="shared" si="29"/>
        <v/>
      </c>
    </row>
    <row r="195" spans="1:16" ht="1.9" customHeight="1">
      <c r="A195" s="37"/>
      <c r="B195" s="16" t="str">
        <f t="shared" ca="1" si="25"/>
        <v/>
      </c>
      <c r="C195" s="17" t="str">
        <f>IF(A195="","",'41_Clasificacion_Empresas'!C195)</f>
        <v/>
      </c>
      <c r="D195" s="17" t="str">
        <f t="shared" si="26"/>
        <v/>
      </c>
      <c r="E195" s="17" t="str">
        <f>IF(A195="","",'41_Clasificacion_Empresas'!C195)</f>
        <v/>
      </c>
      <c r="F195" s="17" t="str">
        <f>IF(A195="","",'41_Clasificacion_Empresas'!E195)</f>
        <v/>
      </c>
      <c r="G195" s="17" t="str">
        <f>IF(A195="","",'41_Clasificacion_Empresas'!D195)</f>
        <v/>
      </c>
      <c r="H195" s="17" t="str">
        <f>IF(A195="","",'41_Clasificacion_Empresas'!D195)</f>
        <v/>
      </c>
      <c r="I195" s="17" t="str">
        <f t="shared" si="27"/>
        <v/>
      </c>
      <c r="J195" s="17" t="str">
        <f>IF(A195="","",'41_Clasificacion_Empresas'!F195)</f>
        <v/>
      </c>
      <c r="K195" s="17" t="str">
        <f>IF(A195="","",IF('41_Clasificacion_Empresas'!F195="A","Sí","No"))</f>
        <v/>
      </c>
      <c r="L195" s="17" t="str">
        <f>IF(A195="","",'41_Clasificacion_Empresas'!G195)</f>
        <v/>
      </c>
      <c r="M195" s="17" t="str">
        <f>IF(A195="","",IF('41_Clasificacion_Empresas'!F195="A","🟢 Oportunidad","🟡 En investigación"))</f>
        <v/>
      </c>
      <c r="N195" s="17" t="str">
        <f>IF(A195="","",'41_Clasificacion_Empresas'!M195)</f>
        <v/>
      </c>
      <c r="O195" s="16" t="str">
        <f t="shared" ca="1" si="28"/>
        <v/>
      </c>
      <c r="P195" s="17" t="str">
        <f t="shared" si="29"/>
        <v/>
      </c>
    </row>
    <row r="196" spans="1:16" ht="1.9" customHeight="1">
      <c r="A196" s="37"/>
      <c r="B196" s="16" t="str">
        <f t="shared" ca="1" si="25"/>
        <v/>
      </c>
      <c r="C196" s="17" t="str">
        <f>IF(A196="","",'41_Clasificacion_Empresas'!C196)</f>
        <v/>
      </c>
      <c r="D196" s="17" t="str">
        <f t="shared" si="26"/>
        <v/>
      </c>
      <c r="E196" s="17" t="str">
        <f>IF(A196="","",'41_Clasificacion_Empresas'!C196)</f>
        <v/>
      </c>
      <c r="F196" s="17" t="str">
        <f>IF(A196="","",'41_Clasificacion_Empresas'!E196)</f>
        <v/>
      </c>
      <c r="G196" s="17" t="str">
        <f>IF(A196="","",'41_Clasificacion_Empresas'!D196)</f>
        <v/>
      </c>
      <c r="H196" s="17" t="str">
        <f>IF(A196="","",'41_Clasificacion_Empresas'!D196)</f>
        <v/>
      </c>
      <c r="I196" s="17" t="str">
        <f t="shared" si="27"/>
        <v/>
      </c>
      <c r="J196" s="17" t="str">
        <f>IF(A196="","",'41_Clasificacion_Empresas'!F196)</f>
        <v/>
      </c>
      <c r="K196" s="17" t="str">
        <f>IF(A196="","",IF('41_Clasificacion_Empresas'!F196="A","Sí","No"))</f>
        <v/>
      </c>
      <c r="L196" s="17" t="str">
        <f>IF(A196="","",'41_Clasificacion_Empresas'!G196)</f>
        <v/>
      </c>
      <c r="M196" s="17" t="str">
        <f>IF(A196="","",IF('41_Clasificacion_Empresas'!F196="A","🟢 Oportunidad","🟡 En investigación"))</f>
        <v/>
      </c>
      <c r="N196" s="17" t="str">
        <f>IF(A196="","",'41_Clasificacion_Empresas'!M196)</f>
        <v/>
      </c>
      <c r="O196" s="16" t="str">
        <f t="shared" ca="1" si="28"/>
        <v/>
      </c>
      <c r="P196" s="17" t="str">
        <f t="shared" si="29"/>
        <v/>
      </c>
    </row>
    <row r="197" spans="1:16" ht="1.9" customHeight="1">
      <c r="A197" s="37"/>
      <c r="B197" s="16" t="str">
        <f t="shared" ref="B197:B204" ca="1" si="30">IF(A197="","",TODAY())</f>
        <v/>
      </c>
      <c r="C197" s="17" t="str">
        <f>IF(A197="","",'41_Clasificacion_Empresas'!C197)</f>
        <v/>
      </c>
      <c r="D197" s="17" t="str">
        <f t="shared" ref="D197:D204" si="31">IF(A197="","","Por definir")</f>
        <v/>
      </c>
      <c r="E197" s="17" t="str">
        <f>IF(A197="","",'41_Clasificacion_Empresas'!C197)</f>
        <v/>
      </c>
      <c r="F197" s="17" t="str">
        <f>IF(A197="","",'41_Clasificacion_Empresas'!E197)</f>
        <v/>
      </c>
      <c r="G197" s="17" t="str">
        <f>IF(A197="","",'41_Clasificacion_Empresas'!D197)</f>
        <v/>
      </c>
      <c r="H197" s="17" t="str">
        <f>IF(A197="","",'41_Clasificacion_Empresas'!D197)</f>
        <v/>
      </c>
      <c r="I197" s="17" t="str">
        <f t="shared" ref="I197:I204" si="32">IF(A197="","","Empresa / mercado")</f>
        <v/>
      </c>
      <c r="J197" s="17" t="str">
        <f>IF(A197="","",'41_Clasificacion_Empresas'!F197)</f>
        <v/>
      </c>
      <c r="K197" s="17" t="str">
        <f>IF(A197="","",IF('41_Clasificacion_Empresas'!F197="A","Sí","No"))</f>
        <v/>
      </c>
      <c r="L197" s="17" t="str">
        <f>IF(A197="","",'41_Clasificacion_Empresas'!G197)</f>
        <v/>
      </c>
      <c r="M197" s="17" t="str">
        <f>IF(A197="","",IF('41_Clasificacion_Empresas'!F197="A","🟢 Oportunidad","🟡 En investigación"))</f>
        <v/>
      </c>
      <c r="N197" s="17" t="str">
        <f>IF(A197="","",'41_Clasificacion_Empresas'!M197)</f>
        <v/>
      </c>
      <c r="O197" s="16" t="str">
        <f t="shared" ref="O197:O204" ca="1" si="33">IF(A197="","",TODAY()+7)</f>
        <v/>
      </c>
      <c r="P197" s="17" t="str">
        <f t="shared" ref="P197:P204" si="34">IF(A197="","","Fuente: 40→41→32→33→30")</f>
        <v/>
      </c>
    </row>
    <row r="198" spans="1:16" ht="1.9" customHeight="1">
      <c r="A198" s="37"/>
      <c r="B198" s="16" t="str">
        <f t="shared" ca="1" si="30"/>
        <v/>
      </c>
      <c r="C198" s="17" t="str">
        <f>IF(A198="","",'41_Clasificacion_Empresas'!C198)</f>
        <v/>
      </c>
      <c r="D198" s="17" t="str">
        <f t="shared" si="31"/>
        <v/>
      </c>
      <c r="E198" s="17" t="str">
        <f>IF(A198="","",'41_Clasificacion_Empresas'!C198)</f>
        <v/>
      </c>
      <c r="F198" s="17" t="str">
        <f>IF(A198="","",'41_Clasificacion_Empresas'!E198)</f>
        <v/>
      </c>
      <c r="G198" s="17" t="str">
        <f>IF(A198="","",'41_Clasificacion_Empresas'!D198)</f>
        <v/>
      </c>
      <c r="H198" s="17" t="str">
        <f>IF(A198="","",'41_Clasificacion_Empresas'!D198)</f>
        <v/>
      </c>
      <c r="I198" s="17" t="str">
        <f t="shared" si="32"/>
        <v/>
      </c>
      <c r="J198" s="17" t="str">
        <f>IF(A198="","",'41_Clasificacion_Empresas'!F198)</f>
        <v/>
      </c>
      <c r="K198" s="17" t="str">
        <f>IF(A198="","",IF('41_Clasificacion_Empresas'!F198="A","Sí","No"))</f>
        <v/>
      </c>
      <c r="L198" s="17" t="str">
        <f>IF(A198="","",'41_Clasificacion_Empresas'!G198)</f>
        <v/>
      </c>
      <c r="M198" s="17" t="str">
        <f>IF(A198="","",IF('41_Clasificacion_Empresas'!F198="A","🟢 Oportunidad","🟡 En investigación"))</f>
        <v/>
      </c>
      <c r="N198" s="17" t="str">
        <f>IF(A198="","",'41_Clasificacion_Empresas'!M198)</f>
        <v/>
      </c>
      <c r="O198" s="16" t="str">
        <f t="shared" ca="1" si="33"/>
        <v/>
      </c>
      <c r="P198" s="17" t="str">
        <f t="shared" si="34"/>
        <v/>
      </c>
    </row>
    <row r="199" spans="1:16" ht="1.9" customHeight="1">
      <c r="A199" s="37"/>
      <c r="B199" s="16" t="str">
        <f t="shared" ca="1" si="30"/>
        <v/>
      </c>
      <c r="C199" s="17" t="str">
        <f>IF(A199="","",'41_Clasificacion_Empresas'!C199)</f>
        <v/>
      </c>
      <c r="D199" s="17" t="str">
        <f t="shared" si="31"/>
        <v/>
      </c>
      <c r="E199" s="17" t="str">
        <f>IF(A199="","",'41_Clasificacion_Empresas'!C199)</f>
        <v/>
      </c>
      <c r="F199" s="17" t="str">
        <f>IF(A199="","",'41_Clasificacion_Empresas'!E199)</f>
        <v/>
      </c>
      <c r="G199" s="17" t="str">
        <f>IF(A199="","",'41_Clasificacion_Empresas'!D199)</f>
        <v/>
      </c>
      <c r="H199" s="17" t="str">
        <f>IF(A199="","",'41_Clasificacion_Empresas'!D199)</f>
        <v/>
      </c>
      <c r="I199" s="17" t="str">
        <f t="shared" si="32"/>
        <v/>
      </c>
      <c r="J199" s="17" t="str">
        <f>IF(A199="","",'41_Clasificacion_Empresas'!F199)</f>
        <v/>
      </c>
      <c r="K199" s="17" t="str">
        <f>IF(A199="","",IF('41_Clasificacion_Empresas'!F199="A","Sí","No"))</f>
        <v/>
      </c>
      <c r="L199" s="17" t="str">
        <f>IF(A199="","",'41_Clasificacion_Empresas'!G199)</f>
        <v/>
      </c>
      <c r="M199" s="17" t="str">
        <f>IF(A199="","",IF('41_Clasificacion_Empresas'!F199="A","🟢 Oportunidad","🟡 En investigación"))</f>
        <v/>
      </c>
      <c r="N199" s="17" t="str">
        <f>IF(A199="","",'41_Clasificacion_Empresas'!M199)</f>
        <v/>
      </c>
      <c r="O199" s="16" t="str">
        <f t="shared" ca="1" si="33"/>
        <v/>
      </c>
      <c r="P199" s="17" t="str">
        <f t="shared" si="34"/>
        <v/>
      </c>
    </row>
    <row r="200" spans="1:16" ht="1.9" customHeight="1">
      <c r="A200" s="37"/>
      <c r="B200" s="16" t="str">
        <f t="shared" ca="1" si="30"/>
        <v/>
      </c>
      <c r="C200" s="17" t="str">
        <f>IF(A200="","",'41_Clasificacion_Empresas'!C200)</f>
        <v/>
      </c>
      <c r="D200" s="17" t="str">
        <f t="shared" si="31"/>
        <v/>
      </c>
      <c r="E200" s="17" t="str">
        <f>IF(A200="","",'41_Clasificacion_Empresas'!C200)</f>
        <v/>
      </c>
      <c r="F200" s="17" t="str">
        <f>IF(A200="","",'41_Clasificacion_Empresas'!E200)</f>
        <v/>
      </c>
      <c r="G200" s="17" t="str">
        <f>IF(A200="","",'41_Clasificacion_Empresas'!D200)</f>
        <v/>
      </c>
      <c r="H200" s="17" t="str">
        <f>IF(A200="","",'41_Clasificacion_Empresas'!D200)</f>
        <v/>
      </c>
      <c r="I200" s="17" t="str">
        <f t="shared" si="32"/>
        <v/>
      </c>
      <c r="J200" s="17" t="str">
        <f>IF(A200="","",'41_Clasificacion_Empresas'!F200)</f>
        <v/>
      </c>
      <c r="K200" s="17" t="str">
        <f>IF(A200="","",IF('41_Clasificacion_Empresas'!F200="A","Sí","No"))</f>
        <v/>
      </c>
      <c r="L200" s="17" t="str">
        <f>IF(A200="","",'41_Clasificacion_Empresas'!G200)</f>
        <v/>
      </c>
      <c r="M200" s="17" t="str">
        <f>IF(A200="","",IF('41_Clasificacion_Empresas'!F200="A","🟢 Oportunidad","🟡 En investigación"))</f>
        <v/>
      </c>
      <c r="N200" s="17" t="str">
        <f>IF(A200="","",'41_Clasificacion_Empresas'!M200)</f>
        <v/>
      </c>
      <c r="O200" s="16" t="str">
        <f t="shared" ca="1" si="33"/>
        <v/>
      </c>
      <c r="P200" s="17" t="str">
        <f t="shared" si="34"/>
        <v/>
      </c>
    </row>
    <row r="201" spans="1:16" ht="1.9" customHeight="1">
      <c r="A201" s="37"/>
      <c r="B201" s="16" t="str">
        <f t="shared" ca="1" si="30"/>
        <v/>
      </c>
      <c r="C201" s="17" t="str">
        <f>IF(A201="","",'41_Clasificacion_Empresas'!C201)</f>
        <v/>
      </c>
      <c r="D201" s="17" t="str">
        <f t="shared" si="31"/>
        <v/>
      </c>
      <c r="E201" s="17" t="str">
        <f>IF(A201="","",'41_Clasificacion_Empresas'!C201)</f>
        <v/>
      </c>
      <c r="F201" s="17" t="str">
        <f>IF(A201="","",'41_Clasificacion_Empresas'!E201)</f>
        <v/>
      </c>
      <c r="G201" s="17" t="str">
        <f>IF(A201="","",'41_Clasificacion_Empresas'!D201)</f>
        <v/>
      </c>
      <c r="H201" s="17" t="str">
        <f>IF(A201="","",'41_Clasificacion_Empresas'!D201)</f>
        <v/>
      </c>
      <c r="I201" s="17" t="str">
        <f t="shared" si="32"/>
        <v/>
      </c>
      <c r="J201" s="17" t="str">
        <f>IF(A201="","",'41_Clasificacion_Empresas'!F201)</f>
        <v/>
      </c>
      <c r="K201" s="17" t="str">
        <f>IF(A201="","",IF('41_Clasificacion_Empresas'!F201="A","Sí","No"))</f>
        <v/>
      </c>
      <c r="L201" s="17" t="str">
        <f>IF(A201="","",'41_Clasificacion_Empresas'!G201)</f>
        <v/>
      </c>
      <c r="M201" s="17" t="str">
        <f>IF(A201="","",IF('41_Clasificacion_Empresas'!F201="A","🟢 Oportunidad","🟡 En investigación"))</f>
        <v/>
      </c>
      <c r="N201" s="17" t="str">
        <f>IF(A201="","",'41_Clasificacion_Empresas'!M201)</f>
        <v/>
      </c>
      <c r="O201" s="16" t="str">
        <f t="shared" ca="1" si="33"/>
        <v/>
      </c>
      <c r="P201" s="17" t="str">
        <f t="shared" si="34"/>
        <v/>
      </c>
    </row>
    <row r="202" spans="1:16" ht="1.9" customHeight="1">
      <c r="A202" s="37"/>
      <c r="B202" s="16" t="str">
        <f t="shared" ca="1" si="30"/>
        <v/>
      </c>
      <c r="C202" s="17" t="str">
        <f>IF(A202="","",'41_Clasificacion_Empresas'!C202)</f>
        <v/>
      </c>
      <c r="D202" s="17" t="str">
        <f t="shared" si="31"/>
        <v/>
      </c>
      <c r="E202" s="17" t="str">
        <f>IF(A202="","",'41_Clasificacion_Empresas'!C202)</f>
        <v/>
      </c>
      <c r="F202" s="17" t="str">
        <f>IF(A202="","",'41_Clasificacion_Empresas'!E202)</f>
        <v/>
      </c>
      <c r="G202" s="17" t="str">
        <f>IF(A202="","",'41_Clasificacion_Empresas'!D202)</f>
        <v/>
      </c>
      <c r="H202" s="17" t="str">
        <f>IF(A202="","",'41_Clasificacion_Empresas'!D202)</f>
        <v/>
      </c>
      <c r="I202" s="17" t="str">
        <f t="shared" si="32"/>
        <v/>
      </c>
      <c r="J202" s="17" t="str">
        <f>IF(A202="","",'41_Clasificacion_Empresas'!F202)</f>
        <v/>
      </c>
      <c r="K202" s="17" t="str">
        <f>IF(A202="","",IF('41_Clasificacion_Empresas'!F202="A","Sí","No"))</f>
        <v/>
      </c>
      <c r="L202" s="17" t="str">
        <f>IF(A202="","",'41_Clasificacion_Empresas'!G202)</f>
        <v/>
      </c>
      <c r="M202" s="17" t="str">
        <f>IF(A202="","",IF('41_Clasificacion_Empresas'!F202="A","🟢 Oportunidad","🟡 En investigación"))</f>
        <v/>
      </c>
      <c r="N202" s="17" t="str">
        <f>IF(A202="","",'41_Clasificacion_Empresas'!M202)</f>
        <v/>
      </c>
      <c r="O202" s="16" t="str">
        <f t="shared" ca="1" si="33"/>
        <v/>
      </c>
      <c r="P202" s="17" t="str">
        <f t="shared" si="34"/>
        <v/>
      </c>
    </row>
    <row r="203" spans="1:16" ht="1.9" customHeight="1">
      <c r="A203" s="37"/>
      <c r="B203" s="16" t="str">
        <f t="shared" ca="1" si="30"/>
        <v/>
      </c>
      <c r="C203" s="17" t="str">
        <f>IF(A203="","",'41_Clasificacion_Empresas'!C203)</f>
        <v/>
      </c>
      <c r="D203" s="17" t="str">
        <f t="shared" si="31"/>
        <v/>
      </c>
      <c r="E203" s="17" t="str">
        <f>IF(A203="","",'41_Clasificacion_Empresas'!C203)</f>
        <v/>
      </c>
      <c r="F203" s="17" t="str">
        <f>IF(A203="","",'41_Clasificacion_Empresas'!E203)</f>
        <v/>
      </c>
      <c r="G203" s="17" t="str">
        <f>IF(A203="","",'41_Clasificacion_Empresas'!D203)</f>
        <v/>
      </c>
      <c r="H203" s="17" t="str">
        <f>IF(A203="","",'41_Clasificacion_Empresas'!D203)</f>
        <v/>
      </c>
      <c r="I203" s="17" t="str">
        <f t="shared" si="32"/>
        <v/>
      </c>
      <c r="J203" s="17" t="str">
        <f>IF(A203="","",'41_Clasificacion_Empresas'!F203)</f>
        <v/>
      </c>
      <c r="K203" s="17" t="str">
        <f>IF(A203="","",IF('41_Clasificacion_Empresas'!F203="A","Sí","No"))</f>
        <v/>
      </c>
      <c r="L203" s="17" t="str">
        <f>IF(A203="","",'41_Clasificacion_Empresas'!G203)</f>
        <v/>
      </c>
      <c r="M203" s="17" t="str">
        <f>IF(A203="","",IF('41_Clasificacion_Empresas'!F203="A","🟢 Oportunidad","🟡 En investigación"))</f>
        <v/>
      </c>
      <c r="N203" s="17" t="str">
        <f>IF(A203="","",'41_Clasificacion_Empresas'!M203)</f>
        <v/>
      </c>
      <c r="O203" s="16" t="str">
        <f t="shared" ca="1" si="33"/>
        <v/>
      </c>
      <c r="P203" s="17" t="str">
        <f t="shared" si="34"/>
        <v/>
      </c>
    </row>
    <row r="204" spans="1:16" ht="1.9" customHeight="1">
      <c r="A204" s="37"/>
      <c r="B204" s="16" t="str">
        <f t="shared" ca="1" si="30"/>
        <v/>
      </c>
      <c r="C204" s="17" t="str">
        <f>IF(A204="","",'41_Clasificacion_Empresas'!C204)</f>
        <v/>
      </c>
      <c r="D204" s="17" t="str">
        <f t="shared" si="31"/>
        <v/>
      </c>
      <c r="E204" s="17" t="str">
        <f>IF(A204="","",'41_Clasificacion_Empresas'!C204)</f>
        <v/>
      </c>
      <c r="F204" s="17" t="str">
        <f>IF(A204="","",'41_Clasificacion_Empresas'!E204)</f>
        <v/>
      </c>
      <c r="G204" s="17" t="str">
        <f>IF(A204="","",'41_Clasificacion_Empresas'!D204)</f>
        <v/>
      </c>
      <c r="H204" s="17" t="str">
        <f>IF(A204="","",'41_Clasificacion_Empresas'!D204)</f>
        <v/>
      </c>
      <c r="I204" s="17" t="str">
        <f t="shared" si="32"/>
        <v/>
      </c>
      <c r="J204" s="17" t="str">
        <f>IF(A204="","",'41_Clasificacion_Empresas'!F204)</f>
        <v/>
      </c>
      <c r="K204" s="17" t="str">
        <f>IF(A204="","",IF('41_Clasificacion_Empresas'!F204="A","Sí","No"))</f>
        <v/>
      </c>
      <c r="L204" s="17" t="str">
        <f>IF(A204="","",'41_Clasificacion_Empresas'!G204)</f>
        <v/>
      </c>
      <c r="M204" s="17" t="str">
        <f>IF(A204="","",IF('41_Clasificacion_Empresas'!F204="A","🟢 Oportunidad","🟡 En investigación"))</f>
        <v/>
      </c>
      <c r="N204" s="17" t="str">
        <f>IF(A204="","",'41_Clasificacion_Empresas'!M204)</f>
        <v/>
      </c>
      <c r="O204" s="16" t="str">
        <f t="shared" ca="1" si="33"/>
        <v/>
      </c>
      <c r="P204" s="17" t="str">
        <f t="shared" si="34"/>
        <v/>
      </c>
    </row>
    <row r="205" spans="1:16" ht="1.9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>
      <c r="A207" s="494" t="s">
        <v>2869</v>
      </c>
      <c r="B207" s="495"/>
      <c r="C207" s="495"/>
      <c r="D207" s="495"/>
      <c r="E207" s="495"/>
      <c r="F207" s="495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>
      <c r="A208" s="21" t="s">
        <v>2870</v>
      </c>
      <c r="B208" s="37">
        <f>COUNTA(E5:E204)</f>
        <v>200</v>
      </c>
      <c r="C208" s="6"/>
      <c r="D208" s="6"/>
      <c r="E208" s="6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>
      <c r="A209" s="21" t="s">
        <v>2871</v>
      </c>
      <c r="B209" s="37">
        <f>COUNTIF(J5:J204,"A")</f>
        <v>0</v>
      </c>
      <c r="C209" s="6"/>
      <c r="D209" s="6"/>
      <c r="E209" s="6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>
      <c r="A210" s="21" t="s">
        <v>2872</v>
      </c>
      <c r="B210" s="37">
        <f>COUNTIF(K5:K204,"Sí")</f>
        <v>0</v>
      </c>
      <c r="C210" s="6"/>
      <c r="D210" s="6"/>
      <c r="E210" s="6"/>
      <c r="F210" s="6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>
      <c r="A211" s="21" t="s">
        <v>916</v>
      </c>
      <c r="B211" s="37">
        <f>COUNTIF(M5:M204,"🔵 Oportunidad")</f>
        <v>0</v>
      </c>
      <c r="C211" s="6"/>
      <c r="D211" s="6"/>
      <c r="E211" s="6"/>
      <c r="F211" s="6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>
      <c r="A212" s="21" t="s">
        <v>2873</v>
      </c>
      <c r="B212" s="37">
        <f>COUNTIF(M5:M204,"🟡 En proceso")</f>
        <v>0</v>
      </c>
      <c r="C212" s="6"/>
      <c r="D212" s="6"/>
      <c r="E212" s="6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>
      <c r="A213" s="6"/>
      <c r="B213" s="6"/>
      <c r="C213" s="6"/>
      <c r="D213" s="6"/>
      <c r="E213" s="6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7"/>
    </row>
  </sheetData>
  <mergeCells count="3">
    <mergeCell ref="A207:F207"/>
    <mergeCell ref="A1:P1"/>
    <mergeCell ref="A2:P2"/>
  </mergeCells>
  <conditionalFormatting sqref="J5:M204">
    <cfRule type="expression" dxfId="616" priority="1">
      <formula>ISNUMBER(SEARCH("A - Inmediata",J5))</formula>
    </cfRule>
    <cfRule type="expression" dxfId="615" priority="2">
      <formula>ISNUMBER(SEARCH("B - Interesante",J5))</formula>
    </cfRule>
    <cfRule type="expression" dxfId="614" priority="3">
      <formula>ISNUMBER(SEARCH("C - Observar",J5))</formula>
    </cfRule>
    <cfRule type="expression" dxfId="613" priority="4">
      <formula>ISNUMBER(SEARCH("X - Descartar",J5))</formula>
    </cfRule>
    <cfRule type="expression" dxfId="612" priority="5">
      <formula>ISNUMBER(SEARCH("🔴",J5))</formula>
    </cfRule>
    <cfRule type="expression" dxfId="611" priority="6">
      <formula>ISNUMBER(SEARCH("🟡",J5))</formula>
    </cfRule>
    <cfRule type="expression" dxfId="610" priority="7">
      <formula>ISNUMBER(SEARCH("🟢",J5))</formula>
    </cfRule>
    <cfRule type="expression" dxfId="609" priority="8">
      <formula>ISNUMBER(SEARCH("🔵",J5))</formula>
    </cfRule>
    <cfRule type="expression" dxfId="608" priority="9">
      <formula>ISNUMBER(SEARCH("⭐",J5))</formula>
    </cfRule>
    <cfRule type="expression" dxfId="607" priority="10">
      <formula>ISNUMBER(SEARCH("Riesgo",J5))</formula>
    </cfRule>
    <cfRule type="expression" dxfId="606" priority="11">
      <formula>ISNUMBER(SEARCH("En proceso",J5))</formula>
    </cfRule>
    <cfRule type="expression" dxfId="605" priority="12">
      <formula>ISNUMBER(SEARCH("Cumplido",J5))</formula>
    </cfRule>
    <cfRule type="expression" dxfId="604" priority="13">
      <formula>ISNUMBER(SEARCH("Pendiente",J5))</formula>
    </cfRule>
    <cfRule type="expression" dxfId="603" priority="14">
      <formula>ISNUMBER(SEARCH("Descartar",J5))</formula>
    </cfRule>
    <cfRule type="expression" dxfId="602" priority="15">
      <formula>ISNUMBER(SEARCH("CRM",J5))</formula>
    </cfRule>
    <cfRule type="expression" dxfId="601" priority="16">
      <formula>ISNUMBER(SEARCH("Oportunidad",J5))</formula>
    </cfRule>
    <cfRule type="expression" dxfId="600" priority="17">
      <formula>ISNUMBER(SEARCH("Seguimiento",J5))</formula>
    </cfRule>
    <cfRule type="expression" dxfId="599" priority="18">
      <formula>ISNUMBER(SEARCH("Observar",J5))</formula>
    </cfRule>
  </conditionalFormatting>
  <dataValidations count="3">
    <dataValidation type="list" allowBlank="1" sqref="G5:G204" xr:uid="{00000000-0002-0000-4300-000000000000}">
      <formula1>"MGC,LNR,Laboral,Académica,Empresarial,Institucional,Logística,Financiera"</formula1>
    </dataValidation>
    <dataValidation type="list" allowBlank="1" sqref="K5:K204" xr:uid="{00000000-0002-0000-4300-000001000000}">
      <formula1>"Sí,No"</formula1>
    </dataValidation>
    <dataValidation type="list" allowBlank="1" sqref="I5:I204" xr:uid="{00000000-0002-0000-4300-000002000000}">
      <formula1>"Comprador,Proveedor,Trader,Logística,Institucional,Inversionista,Asesor,Otro"</formula1>
    </dataValidation>
  </dataValidation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C09000"/>
  </sheetPr>
  <dimension ref="A1:I100"/>
  <sheetViews>
    <sheetView showGridLines="0" workbookViewId="0"/>
  </sheetViews>
  <sheetFormatPr baseColWidth="10" defaultColWidth="14.453125" defaultRowHeight="14.5"/>
  <cols>
    <col min="1" max="1" width="20" customWidth="1"/>
    <col min="2" max="2" width="14" customWidth="1"/>
    <col min="3" max="5" width="18" customWidth="1"/>
    <col min="6" max="6" width="16" customWidth="1"/>
    <col min="7" max="7" width="20" customWidth="1"/>
    <col min="8" max="8" width="16" customWidth="1"/>
    <col min="9" max="9" width="34" customWidth="1"/>
    <col min="10" max="11" width="8.7265625" customWidth="1"/>
  </cols>
  <sheetData>
    <row r="1" spans="1:9" ht="23.5" customHeight="1">
      <c r="A1" s="498" t="s">
        <v>2874</v>
      </c>
      <c r="B1" s="426"/>
      <c r="C1" s="426"/>
      <c r="D1" s="426"/>
      <c r="E1" s="426"/>
      <c r="F1" s="426"/>
      <c r="G1" s="426"/>
      <c r="H1" s="426"/>
      <c r="I1" s="426"/>
    </row>
    <row r="2" spans="1:9">
      <c r="A2" s="499" t="s">
        <v>2875</v>
      </c>
      <c r="B2" s="426"/>
      <c r="C2" s="426"/>
      <c r="D2" s="426"/>
      <c r="E2" s="426"/>
      <c r="F2" s="426"/>
      <c r="G2" s="426"/>
      <c r="H2" s="426"/>
      <c r="I2" s="426"/>
    </row>
    <row r="3" spans="1:9" ht="1.9" customHeight="1">
      <c r="A3" s="7"/>
      <c r="B3" s="7"/>
      <c r="C3" s="7"/>
      <c r="D3" s="7"/>
      <c r="E3" s="7"/>
      <c r="F3" s="7"/>
      <c r="G3" s="7"/>
      <c r="H3" s="7"/>
      <c r="I3" s="7"/>
    </row>
    <row r="4" spans="1:9">
      <c r="A4" s="5" t="s">
        <v>2876</v>
      </c>
      <c r="B4" s="5" t="s">
        <v>2877</v>
      </c>
      <c r="C4" s="5" t="s">
        <v>653</v>
      </c>
      <c r="D4" s="5" t="s">
        <v>2878</v>
      </c>
      <c r="E4" s="5" t="s">
        <v>655</v>
      </c>
      <c r="F4" s="5" t="s">
        <v>2871</v>
      </c>
      <c r="G4" s="5" t="s">
        <v>2872</v>
      </c>
      <c r="H4" s="5" t="s">
        <v>916</v>
      </c>
      <c r="I4" s="5" t="s">
        <v>2879</v>
      </c>
    </row>
    <row r="5" spans="1:9">
      <c r="A5" s="6" t="s">
        <v>1500</v>
      </c>
      <c r="B5" s="6">
        <v>20</v>
      </c>
      <c r="C5" s="37">
        <f>COUNTIF('30_MGC_CRM'!G:G,"MGC")</f>
        <v>0</v>
      </c>
      <c r="D5" s="38">
        <f t="shared" ref="D5:D10" si="0">IFERROR(C5/B5,0)</f>
        <v>0</v>
      </c>
      <c r="E5" s="84" t="str">
        <f t="shared" ref="E5:E10" si="1">IF(D5&gt;=1,"🔵 Superado",IF(D5&gt;=0.75,"🟢 Cumplido",IF(D5&gt;=0.5,"🟡 En proceso","🔴 Riesgo")))</f>
        <v>🔴 Riesgo</v>
      </c>
      <c r="F5" s="37">
        <f>COUNTIFS('30_MGC_CRM'!G:G,A5,'30_MGC_CRM'!J:J,"A")</f>
        <v>0</v>
      </c>
      <c r="G5" s="37">
        <f>COUNTIFS('30_MGC_CRM'!G:G,A5,'30_MGC_CRM'!K:K,"Sí")</f>
        <v>0</v>
      </c>
      <c r="H5" s="37">
        <f>COUNTIFS('30_MGC_CRM'!G:G,A5,'30_MGC_CRM'!M:M,"🔵 Oportunidad")</f>
        <v>0</v>
      </c>
      <c r="I5" s="6"/>
    </row>
    <row r="6" spans="1:9">
      <c r="A6" s="6" t="s">
        <v>201</v>
      </c>
      <c r="B6" s="6">
        <v>5</v>
      </c>
      <c r="C6" s="37">
        <f>COUNTIF('30_MGC_CRM'!G:G,"LNR")</f>
        <v>0</v>
      </c>
      <c r="D6" s="38">
        <f t="shared" si="0"/>
        <v>0</v>
      </c>
      <c r="E6" s="84" t="str">
        <f t="shared" si="1"/>
        <v>🔴 Riesgo</v>
      </c>
      <c r="F6" s="37">
        <f>COUNTIFS('30_MGC_CRM'!G:G,A6,'30_MGC_CRM'!J:J,"A")</f>
        <v>0</v>
      </c>
      <c r="G6" s="37">
        <f>COUNTIFS('30_MGC_CRM'!G:G,A6,'30_MGC_CRM'!K:K,"Sí")</f>
        <v>0</v>
      </c>
      <c r="H6" s="37">
        <f>COUNTIFS('30_MGC_CRM'!G:G,A6,'30_MGC_CRM'!M:M,"🔵 Oportunidad")</f>
        <v>0</v>
      </c>
      <c r="I6" s="6"/>
    </row>
    <row r="7" spans="1:9">
      <c r="A7" s="6" t="s">
        <v>2880</v>
      </c>
      <c r="B7" s="6">
        <v>5</v>
      </c>
      <c r="C7" s="37">
        <f>COUNTIF('30_MGC_CRM'!G:G,"Laboral")</f>
        <v>0</v>
      </c>
      <c r="D7" s="38">
        <f t="shared" si="0"/>
        <v>0</v>
      </c>
      <c r="E7" s="84" t="str">
        <f t="shared" si="1"/>
        <v>🔴 Riesgo</v>
      </c>
      <c r="F7" s="37">
        <f>COUNTIFS('30_MGC_CRM'!G:G,A7,'30_MGC_CRM'!J:J,"A")</f>
        <v>0</v>
      </c>
      <c r="G7" s="37">
        <f>COUNTIFS('30_MGC_CRM'!G:G,A7,'30_MGC_CRM'!K:K,"Sí")</f>
        <v>0</v>
      </c>
      <c r="H7" s="37">
        <f>COUNTIFS('30_MGC_CRM'!G:G,A7,'30_MGC_CRM'!M:M,"🔵 Oportunidad")</f>
        <v>0</v>
      </c>
      <c r="I7" s="6"/>
    </row>
    <row r="8" spans="1:9">
      <c r="A8" s="6" t="s">
        <v>2881</v>
      </c>
      <c r="B8" s="6">
        <v>5</v>
      </c>
      <c r="C8" s="37">
        <f>COUNTIF('30_MGC_CRM'!G:G,"Académica")</f>
        <v>0</v>
      </c>
      <c r="D8" s="38">
        <f t="shared" si="0"/>
        <v>0</v>
      </c>
      <c r="E8" s="84" t="str">
        <f t="shared" si="1"/>
        <v>🔴 Riesgo</v>
      </c>
      <c r="F8" s="37">
        <f>COUNTIFS('30_MGC_CRM'!G:G,A8,'30_MGC_CRM'!J:J,"A")</f>
        <v>0</v>
      </c>
      <c r="G8" s="37">
        <f>COUNTIFS('30_MGC_CRM'!G:G,A8,'30_MGC_CRM'!K:K,"Sí")</f>
        <v>0</v>
      </c>
      <c r="H8" s="37">
        <f>COUNTIFS('30_MGC_CRM'!G:G,A8,'30_MGC_CRM'!M:M,"🔵 Oportunidad")</f>
        <v>0</v>
      </c>
      <c r="I8" s="6"/>
    </row>
    <row r="9" spans="1:9">
      <c r="A9" s="6" t="s">
        <v>2882</v>
      </c>
      <c r="B9" s="6">
        <v>10</v>
      </c>
      <c r="C9" s="37">
        <f>COUNTIF('30_MGC_CRM'!G:G,"Empresarial")</f>
        <v>0</v>
      </c>
      <c r="D9" s="38">
        <f t="shared" si="0"/>
        <v>0</v>
      </c>
      <c r="E9" s="84" t="str">
        <f t="shared" si="1"/>
        <v>🔴 Riesgo</v>
      </c>
      <c r="F9" s="37">
        <f>COUNTIFS('30_MGC_CRM'!G:G,A9,'30_MGC_CRM'!J:J,"A")</f>
        <v>0</v>
      </c>
      <c r="G9" s="37">
        <f>COUNTIFS('30_MGC_CRM'!G:G,A9,'30_MGC_CRM'!K:K,"Sí")</f>
        <v>0</v>
      </c>
      <c r="H9" s="37">
        <f>COUNTIFS('30_MGC_CRM'!G:G,A9,'30_MGC_CRM'!M:M,"🔵 Oportunidad")</f>
        <v>0</v>
      </c>
      <c r="I9" s="6"/>
    </row>
    <row r="10" spans="1:9">
      <c r="A10" s="6" t="s">
        <v>2883</v>
      </c>
      <c r="B10" s="6">
        <v>5</v>
      </c>
      <c r="C10" s="37">
        <f>COUNTIF('30_MGC_CRM'!G:G,"Institucional")</f>
        <v>0</v>
      </c>
      <c r="D10" s="38">
        <f t="shared" si="0"/>
        <v>0</v>
      </c>
      <c r="E10" s="84" t="str">
        <f t="shared" si="1"/>
        <v>🔴 Riesgo</v>
      </c>
      <c r="F10" s="37">
        <f>COUNTIFS('30_MGC_CRM'!G:G,A10,'30_MGC_CRM'!J:J,"A")</f>
        <v>0</v>
      </c>
      <c r="G10" s="37">
        <f>COUNTIFS('30_MGC_CRM'!G:G,A10,'30_MGC_CRM'!K:K,"Sí")</f>
        <v>0</v>
      </c>
      <c r="H10" s="37">
        <f>COUNTIFS('30_MGC_CRM'!G:G,A10,'30_MGC_CRM'!M:M,"🔵 Oportunidad")</f>
        <v>0</v>
      </c>
      <c r="I10" s="6"/>
    </row>
    <row r="11" spans="1:9">
      <c r="A11" s="6"/>
      <c r="B11" s="6"/>
      <c r="C11" s="6"/>
      <c r="D11" s="6"/>
      <c r="E11" s="6"/>
      <c r="F11" s="6"/>
      <c r="G11" s="6"/>
      <c r="H11" s="6"/>
      <c r="I11" s="6"/>
    </row>
    <row r="12" spans="1:9" ht="1.9" customHeight="1">
      <c r="A12" s="6"/>
      <c r="B12" s="6"/>
      <c r="C12" s="6"/>
      <c r="D12" s="6"/>
      <c r="E12" s="6"/>
      <c r="F12" s="6"/>
      <c r="G12" s="6"/>
      <c r="H12" s="6"/>
      <c r="I12" s="6"/>
    </row>
    <row r="13" spans="1:9" ht="1.9" customHeight="1">
      <c r="A13" s="7"/>
      <c r="B13" s="7"/>
      <c r="C13" s="7"/>
      <c r="D13" s="7"/>
      <c r="E13" s="7"/>
      <c r="F13" s="7"/>
      <c r="G13" s="7"/>
      <c r="H13" s="7"/>
      <c r="I13" s="7"/>
    </row>
    <row r="14" spans="1:9" ht="1.9" customHeight="1">
      <c r="A14" s="7"/>
      <c r="B14" s="7"/>
      <c r="C14" s="7"/>
      <c r="D14" s="7"/>
      <c r="E14" s="7"/>
      <c r="F14" s="7"/>
      <c r="G14" s="7"/>
      <c r="H14" s="7"/>
      <c r="I14" s="7"/>
    </row>
    <row r="15" spans="1:9" ht="1.9" customHeight="1">
      <c r="A15" s="7"/>
      <c r="B15" s="7"/>
      <c r="C15" s="7"/>
      <c r="D15" s="7"/>
      <c r="E15" s="7"/>
      <c r="F15" s="7"/>
      <c r="G15" s="7"/>
      <c r="H15" s="7"/>
      <c r="I15" s="7"/>
    </row>
    <row r="16" spans="1:9" ht="1.9" customHeight="1">
      <c r="A16" s="7"/>
      <c r="B16" s="7"/>
      <c r="C16" s="7"/>
      <c r="D16" s="7"/>
      <c r="E16" s="7"/>
      <c r="F16" s="7"/>
      <c r="G16" s="7"/>
      <c r="H16" s="7"/>
      <c r="I16" s="7"/>
    </row>
    <row r="17" spans="1:9" ht="1.9" customHeight="1">
      <c r="A17" s="7"/>
      <c r="B17" s="7"/>
      <c r="C17" s="7"/>
      <c r="D17" s="7"/>
      <c r="E17" s="7"/>
      <c r="F17" s="7"/>
      <c r="G17" s="7"/>
      <c r="H17" s="7"/>
      <c r="I17" s="7"/>
    </row>
    <row r="18" spans="1:9" ht="1.9" customHeight="1">
      <c r="A18" s="7"/>
      <c r="B18" s="7"/>
      <c r="C18" s="7"/>
      <c r="D18" s="7"/>
      <c r="E18" s="7"/>
      <c r="F18" s="7"/>
      <c r="G18" s="7"/>
      <c r="H18" s="7"/>
      <c r="I18" s="7"/>
    </row>
    <row r="19" spans="1:9" ht="1.9" customHeight="1">
      <c r="A19" s="7"/>
      <c r="B19" s="7"/>
      <c r="C19" s="7"/>
      <c r="D19" s="7"/>
      <c r="E19" s="7"/>
      <c r="F19" s="7"/>
      <c r="G19" s="7"/>
      <c r="H19" s="7"/>
      <c r="I19" s="7"/>
    </row>
    <row r="20" spans="1:9" ht="1.9" customHeight="1">
      <c r="A20" s="7"/>
      <c r="B20" s="7"/>
      <c r="C20" s="7"/>
      <c r="D20" s="7"/>
      <c r="E20" s="7"/>
      <c r="F20" s="7"/>
      <c r="G20" s="7"/>
      <c r="H20" s="7"/>
      <c r="I20" s="7"/>
    </row>
    <row r="21" spans="1:9" ht="1.9" customHeight="1">
      <c r="A21" s="7"/>
      <c r="B21" s="7"/>
      <c r="C21" s="7"/>
      <c r="D21" s="7"/>
      <c r="E21" s="7"/>
      <c r="F21" s="7"/>
      <c r="G21" s="7"/>
      <c r="H21" s="7"/>
      <c r="I21" s="7"/>
    </row>
    <row r="22" spans="1:9" ht="1.9" customHeight="1">
      <c r="A22" s="7"/>
      <c r="B22" s="7"/>
      <c r="C22" s="7"/>
      <c r="D22" s="7"/>
      <c r="E22" s="7"/>
      <c r="F22" s="7"/>
      <c r="G22" s="7"/>
      <c r="H22" s="7"/>
      <c r="I22" s="7"/>
    </row>
    <row r="23" spans="1:9" ht="1.9" customHeight="1">
      <c r="A23" s="7"/>
      <c r="B23" s="7"/>
      <c r="C23" s="7"/>
      <c r="D23" s="7"/>
      <c r="E23" s="7"/>
      <c r="F23" s="7"/>
      <c r="G23" s="7"/>
      <c r="H23" s="7"/>
      <c r="I23" s="7"/>
    </row>
    <row r="24" spans="1:9" ht="1.9" customHeight="1">
      <c r="A24" s="7"/>
      <c r="B24" s="7"/>
      <c r="C24" s="7"/>
      <c r="D24" s="7"/>
      <c r="E24" s="7"/>
      <c r="F24" s="7"/>
      <c r="G24" s="7"/>
      <c r="H24" s="7"/>
      <c r="I24" s="7"/>
    </row>
    <row r="25" spans="1:9" ht="1.9" customHeight="1">
      <c r="A25" s="7"/>
      <c r="B25" s="7"/>
      <c r="C25" s="7"/>
      <c r="D25" s="7"/>
      <c r="E25" s="7"/>
      <c r="F25" s="7"/>
      <c r="G25" s="7"/>
      <c r="H25" s="7"/>
      <c r="I25" s="7"/>
    </row>
    <row r="26" spans="1:9" ht="1.9" customHeight="1">
      <c r="A26" s="7"/>
      <c r="B26" s="7"/>
      <c r="C26" s="7"/>
      <c r="D26" s="7"/>
      <c r="E26" s="7"/>
      <c r="F26" s="7"/>
      <c r="G26" s="7"/>
      <c r="H26" s="7"/>
      <c r="I26" s="7"/>
    </row>
    <row r="27" spans="1:9" ht="1.9" customHeight="1">
      <c r="A27" s="7"/>
      <c r="B27" s="7"/>
      <c r="C27" s="7"/>
      <c r="D27" s="7"/>
      <c r="E27" s="7"/>
      <c r="F27" s="7"/>
      <c r="G27" s="7"/>
      <c r="H27" s="7"/>
      <c r="I27" s="7"/>
    </row>
    <row r="28" spans="1:9" ht="1.9" customHeight="1">
      <c r="A28" s="7"/>
      <c r="B28" s="7"/>
      <c r="C28" s="7"/>
      <c r="D28" s="7"/>
      <c r="E28" s="7"/>
      <c r="F28" s="7"/>
      <c r="G28" s="7"/>
      <c r="H28" s="7"/>
      <c r="I28" s="7"/>
    </row>
    <row r="29" spans="1:9" ht="1.9" customHeight="1">
      <c r="A29" s="7"/>
      <c r="B29" s="7"/>
      <c r="C29" s="7"/>
      <c r="D29" s="7"/>
      <c r="E29" s="7"/>
      <c r="F29" s="7"/>
      <c r="G29" s="7"/>
      <c r="H29" s="7"/>
      <c r="I29" s="7"/>
    </row>
    <row r="30" spans="1:9" ht="1.9" customHeight="1">
      <c r="A30" s="7"/>
      <c r="B30" s="7"/>
      <c r="C30" s="7"/>
      <c r="D30" s="7"/>
      <c r="E30" s="7"/>
      <c r="F30" s="7"/>
      <c r="G30" s="7"/>
      <c r="H30" s="7"/>
      <c r="I30" s="7"/>
    </row>
    <row r="31" spans="1:9" ht="1.9" customHeight="1">
      <c r="A31" s="7"/>
      <c r="B31" s="7"/>
      <c r="C31" s="7"/>
      <c r="D31" s="7"/>
      <c r="E31" s="7"/>
      <c r="F31" s="7"/>
      <c r="G31" s="7"/>
      <c r="H31" s="7"/>
      <c r="I31" s="7"/>
    </row>
    <row r="32" spans="1:9" ht="1.9" customHeight="1">
      <c r="A32" s="7"/>
      <c r="B32" s="7"/>
      <c r="C32" s="7"/>
      <c r="D32" s="7"/>
      <c r="E32" s="7"/>
      <c r="F32" s="7"/>
      <c r="G32" s="7"/>
      <c r="H32" s="7"/>
      <c r="I32" s="7"/>
    </row>
    <row r="33" spans="1:9" ht="1.9" customHeight="1">
      <c r="A33" s="7"/>
      <c r="B33" s="7"/>
      <c r="C33" s="7"/>
      <c r="D33" s="7"/>
      <c r="E33" s="7"/>
      <c r="F33" s="7"/>
      <c r="G33" s="7"/>
      <c r="H33" s="7"/>
      <c r="I33" s="7"/>
    </row>
    <row r="34" spans="1:9" ht="1.9" customHeight="1">
      <c r="A34" s="7"/>
      <c r="B34" s="7"/>
      <c r="C34" s="7"/>
      <c r="D34" s="7"/>
      <c r="E34" s="7"/>
      <c r="F34" s="7"/>
      <c r="G34" s="7"/>
      <c r="H34" s="7"/>
      <c r="I34" s="7"/>
    </row>
    <row r="35" spans="1:9" ht="1.9" customHeight="1">
      <c r="A35" s="7"/>
      <c r="B35" s="7"/>
      <c r="C35" s="7"/>
      <c r="D35" s="7"/>
      <c r="E35" s="7"/>
      <c r="F35" s="7"/>
      <c r="G35" s="7"/>
      <c r="H35" s="7"/>
      <c r="I35" s="7"/>
    </row>
    <row r="36" spans="1:9" ht="1.9" customHeight="1">
      <c r="A36" s="7"/>
      <c r="B36" s="7"/>
      <c r="C36" s="7"/>
      <c r="D36" s="7"/>
      <c r="E36" s="7"/>
      <c r="F36" s="7"/>
      <c r="G36" s="7"/>
      <c r="H36" s="7"/>
      <c r="I36" s="7"/>
    </row>
    <row r="37" spans="1:9" ht="1.9" customHeight="1">
      <c r="A37" s="7"/>
      <c r="B37" s="7"/>
      <c r="C37" s="7"/>
      <c r="D37" s="7"/>
      <c r="E37" s="7"/>
      <c r="F37" s="7"/>
      <c r="G37" s="7"/>
      <c r="H37" s="7"/>
      <c r="I37" s="7"/>
    </row>
    <row r="38" spans="1:9" ht="1.9" customHeight="1">
      <c r="A38" s="7"/>
      <c r="B38" s="7"/>
      <c r="C38" s="7"/>
      <c r="D38" s="7"/>
      <c r="E38" s="7"/>
      <c r="F38" s="7"/>
      <c r="G38" s="7"/>
      <c r="H38" s="7"/>
      <c r="I38" s="7"/>
    </row>
    <row r="39" spans="1:9" ht="1.9" customHeight="1">
      <c r="A39" s="7"/>
      <c r="B39" s="7"/>
      <c r="C39" s="7"/>
      <c r="D39" s="7"/>
      <c r="E39" s="7"/>
      <c r="F39" s="7"/>
      <c r="G39" s="7"/>
      <c r="H39" s="7"/>
      <c r="I39" s="7"/>
    </row>
    <row r="40" spans="1:9" ht="1.9" customHeight="1">
      <c r="A40" s="7"/>
      <c r="B40" s="7"/>
      <c r="C40" s="7"/>
      <c r="D40" s="7"/>
      <c r="E40" s="7"/>
      <c r="F40" s="7"/>
      <c r="G40" s="7"/>
      <c r="H40" s="7"/>
      <c r="I40" s="7"/>
    </row>
    <row r="41" spans="1:9" ht="1.9" customHeight="1">
      <c r="A41" s="7"/>
      <c r="B41" s="7"/>
      <c r="C41" s="7"/>
      <c r="D41" s="7"/>
      <c r="E41" s="7"/>
      <c r="F41" s="7"/>
      <c r="G41" s="7"/>
      <c r="H41" s="7"/>
      <c r="I41" s="7"/>
    </row>
    <row r="42" spans="1:9" ht="1.9" customHeight="1">
      <c r="A42" s="7"/>
      <c r="B42" s="7"/>
      <c r="C42" s="7"/>
      <c r="D42" s="7"/>
      <c r="E42" s="7"/>
      <c r="F42" s="7"/>
      <c r="G42" s="7"/>
      <c r="H42" s="7"/>
      <c r="I42" s="7"/>
    </row>
    <row r="43" spans="1:9" ht="1.9" customHeight="1">
      <c r="A43" s="7"/>
      <c r="B43" s="7"/>
      <c r="C43" s="7"/>
      <c r="D43" s="7"/>
      <c r="E43" s="7"/>
      <c r="F43" s="7"/>
      <c r="G43" s="7"/>
      <c r="H43" s="7"/>
      <c r="I43" s="7"/>
    </row>
    <row r="44" spans="1:9" ht="1.9" customHeight="1">
      <c r="A44" s="7"/>
      <c r="B44" s="7"/>
      <c r="C44" s="7"/>
      <c r="D44" s="7"/>
      <c r="E44" s="7"/>
      <c r="F44" s="7"/>
      <c r="G44" s="7"/>
      <c r="H44" s="7"/>
      <c r="I44" s="7"/>
    </row>
    <row r="45" spans="1:9" ht="1.9" customHeight="1">
      <c r="A45" s="7"/>
      <c r="B45" s="7"/>
      <c r="C45" s="7"/>
      <c r="D45" s="7"/>
      <c r="E45" s="7"/>
      <c r="F45" s="7"/>
      <c r="G45" s="7"/>
      <c r="H45" s="7"/>
      <c r="I45" s="7"/>
    </row>
    <row r="46" spans="1:9" ht="1.9" customHeight="1">
      <c r="A46" s="7"/>
      <c r="B46" s="7"/>
      <c r="C46" s="7"/>
      <c r="D46" s="7"/>
      <c r="E46" s="7"/>
      <c r="F46" s="7"/>
      <c r="G46" s="7"/>
      <c r="H46" s="7"/>
      <c r="I46" s="7"/>
    </row>
    <row r="47" spans="1:9" ht="1.9" customHeight="1">
      <c r="A47" s="7"/>
      <c r="B47" s="7"/>
      <c r="C47" s="7"/>
      <c r="D47" s="7"/>
      <c r="E47" s="7"/>
      <c r="F47" s="7"/>
      <c r="G47" s="7"/>
      <c r="H47" s="7"/>
      <c r="I47" s="7"/>
    </row>
    <row r="48" spans="1:9" ht="1.9" customHeight="1">
      <c r="A48" s="7"/>
      <c r="B48" s="7"/>
      <c r="C48" s="7"/>
      <c r="D48" s="7"/>
      <c r="E48" s="7"/>
      <c r="F48" s="7"/>
      <c r="G48" s="7"/>
      <c r="H48" s="7"/>
      <c r="I48" s="7"/>
    </row>
    <row r="49" spans="1:9" ht="1.9" customHeight="1">
      <c r="A49" s="7"/>
      <c r="B49" s="7"/>
      <c r="C49" s="7"/>
      <c r="D49" s="7"/>
      <c r="E49" s="7"/>
      <c r="F49" s="7"/>
      <c r="G49" s="7"/>
      <c r="H49" s="7"/>
      <c r="I49" s="7"/>
    </row>
    <row r="50" spans="1:9" ht="1.9" customHeight="1">
      <c r="A50" s="7"/>
      <c r="B50" s="7"/>
      <c r="C50" s="7"/>
      <c r="D50" s="7"/>
      <c r="E50" s="7"/>
      <c r="F50" s="7"/>
      <c r="G50" s="7"/>
      <c r="H50" s="7"/>
      <c r="I50" s="7"/>
    </row>
    <row r="51" spans="1:9" ht="1.9" customHeight="1">
      <c r="A51" s="7"/>
      <c r="B51" s="7"/>
      <c r="C51" s="7"/>
      <c r="D51" s="7"/>
      <c r="E51" s="7"/>
      <c r="F51" s="7"/>
      <c r="G51" s="7"/>
      <c r="H51" s="7"/>
      <c r="I51" s="7"/>
    </row>
    <row r="52" spans="1:9" ht="1.9" customHeight="1">
      <c r="A52" s="7"/>
      <c r="B52" s="7"/>
      <c r="C52" s="7"/>
      <c r="D52" s="7"/>
      <c r="E52" s="7"/>
      <c r="F52" s="7"/>
      <c r="G52" s="7"/>
      <c r="H52" s="7"/>
      <c r="I52" s="7"/>
    </row>
    <row r="53" spans="1:9" ht="1.9" customHeight="1">
      <c r="A53" s="7"/>
      <c r="B53" s="7"/>
      <c r="C53" s="7"/>
      <c r="D53" s="7"/>
      <c r="E53" s="7"/>
      <c r="F53" s="7"/>
      <c r="G53" s="7"/>
      <c r="H53" s="7"/>
      <c r="I53" s="7"/>
    </row>
    <row r="54" spans="1:9" ht="1.9" customHeight="1">
      <c r="A54" s="7"/>
      <c r="B54" s="7"/>
      <c r="C54" s="7"/>
      <c r="D54" s="7"/>
      <c r="E54" s="7"/>
      <c r="F54" s="7"/>
      <c r="G54" s="7"/>
      <c r="H54" s="7"/>
      <c r="I54" s="7"/>
    </row>
    <row r="55" spans="1:9" ht="1.9" customHeight="1">
      <c r="A55" s="7"/>
      <c r="B55" s="7"/>
      <c r="C55" s="7"/>
      <c r="D55" s="7"/>
      <c r="E55" s="7"/>
      <c r="F55" s="7"/>
      <c r="G55" s="7"/>
      <c r="H55" s="7"/>
      <c r="I55" s="7"/>
    </row>
    <row r="56" spans="1:9" ht="1.9" customHeight="1">
      <c r="A56" s="7"/>
      <c r="B56" s="7"/>
      <c r="C56" s="7"/>
      <c r="D56" s="7"/>
      <c r="E56" s="7"/>
      <c r="F56" s="7"/>
      <c r="G56" s="7"/>
      <c r="H56" s="7"/>
      <c r="I56" s="7"/>
    </row>
    <row r="57" spans="1:9" ht="1.9" customHeight="1">
      <c r="A57" s="7"/>
      <c r="B57" s="7"/>
      <c r="C57" s="7"/>
      <c r="D57" s="7"/>
      <c r="E57" s="7"/>
      <c r="F57" s="7"/>
      <c r="G57" s="7"/>
      <c r="H57" s="7"/>
      <c r="I57" s="7"/>
    </row>
    <row r="58" spans="1:9" ht="1.9" customHeight="1">
      <c r="A58" s="7"/>
      <c r="B58" s="7"/>
      <c r="C58" s="7"/>
      <c r="D58" s="7"/>
      <c r="E58" s="7"/>
      <c r="F58" s="7"/>
      <c r="G58" s="7"/>
      <c r="H58" s="7"/>
      <c r="I58" s="7"/>
    </row>
    <row r="59" spans="1:9" ht="1.9" customHeight="1">
      <c r="A59" s="7"/>
      <c r="B59" s="7"/>
      <c r="C59" s="7"/>
      <c r="D59" s="7"/>
      <c r="E59" s="7"/>
      <c r="F59" s="7"/>
      <c r="G59" s="7"/>
      <c r="H59" s="7"/>
      <c r="I59" s="7"/>
    </row>
    <row r="60" spans="1:9" ht="1.9" customHeight="1">
      <c r="A60" s="7"/>
      <c r="B60" s="7"/>
      <c r="C60" s="7"/>
      <c r="D60" s="7"/>
      <c r="E60" s="7"/>
      <c r="F60" s="7"/>
      <c r="G60" s="7"/>
      <c r="H60" s="7"/>
      <c r="I60" s="7"/>
    </row>
    <row r="61" spans="1:9" ht="1.9" customHeight="1">
      <c r="A61" s="7"/>
      <c r="B61" s="7"/>
      <c r="C61" s="7"/>
      <c r="D61" s="7"/>
      <c r="E61" s="7"/>
      <c r="F61" s="7"/>
      <c r="G61" s="7"/>
      <c r="H61" s="7"/>
      <c r="I61" s="7"/>
    </row>
    <row r="62" spans="1:9" ht="1.9" customHeight="1">
      <c r="A62" s="7"/>
      <c r="B62" s="7"/>
      <c r="C62" s="7"/>
      <c r="D62" s="7"/>
      <c r="E62" s="7"/>
      <c r="F62" s="7"/>
      <c r="G62" s="7"/>
      <c r="H62" s="7"/>
      <c r="I62" s="7"/>
    </row>
    <row r="63" spans="1:9" ht="1.9" customHeight="1">
      <c r="A63" s="7"/>
      <c r="B63" s="7"/>
      <c r="C63" s="7"/>
      <c r="D63" s="7"/>
      <c r="E63" s="7"/>
      <c r="F63" s="7"/>
      <c r="G63" s="7"/>
      <c r="H63" s="7"/>
      <c r="I63" s="7"/>
    </row>
    <row r="64" spans="1:9" ht="1.9" customHeight="1">
      <c r="A64" s="7"/>
      <c r="B64" s="7"/>
      <c r="C64" s="7"/>
      <c r="D64" s="7"/>
      <c r="E64" s="7"/>
      <c r="F64" s="7"/>
      <c r="G64" s="7"/>
      <c r="H64" s="7"/>
      <c r="I64" s="7"/>
    </row>
    <row r="65" spans="1:9" ht="1.9" customHeight="1">
      <c r="A65" s="7"/>
      <c r="B65" s="7"/>
      <c r="C65" s="7"/>
      <c r="D65" s="7"/>
      <c r="E65" s="7"/>
      <c r="F65" s="7"/>
      <c r="G65" s="7"/>
      <c r="H65" s="7"/>
      <c r="I65" s="7"/>
    </row>
    <row r="66" spans="1:9" ht="1.9" customHeight="1">
      <c r="A66" s="7"/>
      <c r="B66" s="7"/>
      <c r="C66" s="7"/>
      <c r="D66" s="7"/>
      <c r="E66" s="7"/>
      <c r="F66" s="7"/>
      <c r="G66" s="7"/>
      <c r="H66" s="7"/>
      <c r="I66" s="7"/>
    </row>
    <row r="67" spans="1:9" ht="1.9" customHeight="1">
      <c r="A67" s="7"/>
      <c r="B67" s="7"/>
      <c r="C67" s="7"/>
      <c r="D67" s="7"/>
      <c r="E67" s="7"/>
      <c r="F67" s="7"/>
      <c r="G67" s="7"/>
      <c r="H67" s="7"/>
      <c r="I67" s="7"/>
    </row>
    <row r="68" spans="1:9" ht="1.9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1.9" customHeight="1">
      <c r="A69" s="7"/>
      <c r="B69" s="7"/>
      <c r="C69" s="7"/>
      <c r="D69" s="7"/>
      <c r="E69" s="7"/>
      <c r="F69" s="7"/>
      <c r="G69" s="7"/>
      <c r="H69" s="7"/>
      <c r="I69" s="7"/>
    </row>
    <row r="70" spans="1:9" ht="1.9" customHeight="1">
      <c r="A70" s="7"/>
      <c r="B70" s="7"/>
      <c r="C70" s="7"/>
      <c r="D70" s="7"/>
      <c r="E70" s="7"/>
      <c r="F70" s="7"/>
      <c r="G70" s="7"/>
      <c r="H70" s="7"/>
      <c r="I70" s="7"/>
    </row>
    <row r="71" spans="1:9" ht="1.9" customHeight="1">
      <c r="A71" s="7"/>
      <c r="B71" s="7"/>
      <c r="C71" s="7"/>
      <c r="D71" s="7"/>
      <c r="E71" s="7"/>
      <c r="F71" s="7"/>
      <c r="G71" s="7"/>
      <c r="H71" s="7"/>
      <c r="I71" s="7"/>
    </row>
    <row r="72" spans="1:9" ht="1.9" customHeight="1">
      <c r="A72" s="7"/>
      <c r="B72" s="7"/>
      <c r="C72" s="7"/>
      <c r="D72" s="7"/>
      <c r="E72" s="7"/>
      <c r="F72" s="7"/>
      <c r="G72" s="7"/>
      <c r="H72" s="7"/>
      <c r="I72" s="7"/>
    </row>
    <row r="73" spans="1:9" ht="1.9" customHeight="1">
      <c r="A73" s="7"/>
      <c r="B73" s="7"/>
      <c r="C73" s="7"/>
      <c r="D73" s="7"/>
      <c r="E73" s="7"/>
      <c r="F73" s="7"/>
      <c r="G73" s="7"/>
      <c r="H73" s="7"/>
      <c r="I73" s="7"/>
    </row>
    <row r="74" spans="1:9" ht="1.9" customHeight="1">
      <c r="A74" s="7"/>
      <c r="B74" s="7"/>
      <c r="C74" s="7"/>
      <c r="D74" s="7"/>
      <c r="E74" s="7"/>
      <c r="F74" s="7"/>
      <c r="G74" s="7"/>
      <c r="H74" s="7"/>
      <c r="I74" s="7"/>
    </row>
    <row r="75" spans="1:9" ht="1.9" customHeight="1">
      <c r="A75" s="7"/>
      <c r="B75" s="7"/>
      <c r="C75" s="7"/>
      <c r="D75" s="7"/>
      <c r="E75" s="7"/>
      <c r="F75" s="7"/>
      <c r="G75" s="7"/>
      <c r="H75" s="7"/>
      <c r="I75" s="7"/>
    </row>
    <row r="76" spans="1:9" ht="1.9" customHeight="1">
      <c r="A76" s="7"/>
      <c r="B76" s="7"/>
      <c r="C76" s="7"/>
      <c r="D76" s="7"/>
      <c r="E76" s="7"/>
      <c r="F76" s="7"/>
      <c r="G76" s="7"/>
      <c r="H76" s="7"/>
      <c r="I76" s="7"/>
    </row>
    <row r="77" spans="1:9" ht="1.9" customHeight="1">
      <c r="A77" s="7"/>
      <c r="B77" s="7"/>
      <c r="C77" s="7"/>
      <c r="D77" s="7"/>
      <c r="E77" s="7"/>
      <c r="F77" s="7"/>
      <c r="G77" s="7"/>
      <c r="H77" s="7"/>
      <c r="I77" s="7"/>
    </row>
    <row r="78" spans="1:9" ht="1.9" customHeight="1">
      <c r="A78" s="7"/>
      <c r="B78" s="7"/>
      <c r="C78" s="7"/>
      <c r="D78" s="7"/>
      <c r="E78" s="7"/>
      <c r="F78" s="7"/>
      <c r="G78" s="7"/>
      <c r="H78" s="7"/>
      <c r="I78" s="7"/>
    </row>
    <row r="79" spans="1:9" ht="1.9" customHeight="1">
      <c r="A79" s="7"/>
      <c r="B79" s="7"/>
      <c r="C79" s="7"/>
      <c r="D79" s="7"/>
      <c r="E79" s="7"/>
      <c r="F79" s="7"/>
      <c r="G79" s="7"/>
      <c r="H79" s="7"/>
      <c r="I79" s="7"/>
    </row>
    <row r="80" spans="1:9" ht="1.9" customHeight="1">
      <c r="A80" s="7"/>
      <c r="B80" s="7"/>
      <c r="C80" s="7"/>
      <c r="D80" s="7"/>
      <c r="E80" s="7"/>
      <c r="F80" s="7"/>
      <c r="G80" s="7"/>
      <c r="H80" s="7"/>
      <c r="I80" s="7"/>
    </row>
    <row r="81" spans="1:9" ht="1.9" customHeight="1">
      <c r="A81" s="7"/>
      <c r="B81" s="7"/>
      <c r="C81" s="7"/>
      <c r="D81" s="7"/>
      <c r="E81" s="7"/>
      <c r="F81" s="7"/>
      <c r="G81" s="7"/>
      <c r="H81" s="7"/>
      <c r="I81" s="7"/>
    </row>
    <row r="82" spans="1:9" ht="1.9" customHeight="1">
      <c r="A82" s="7"/>
      <c r="B82" s="7"/>
      <c r="C82" s="7"/>
      <c r="D82" s="7"/>
      <c r="E82" s="7"/>
      <c r="F82" s="7"/>
      <c r="G82" s="7"/>
      <c r="H82" s="7"/>
      <c r="I82" s="7"/>
    </row>
    <row r="83" spans="1:9" ht="1.9" customHeight="1">
      <c r="A83" s="7"/>
      <c r="B83" s="7"/>
      <c r="C83" s="7"/>
      <c r="D83" s="7"/>
      <c r="E83" s="7"/>
      <c r="F83" s="7"/>
      <c r="G83" s="7"/>
      <c r="H83" s="7"/>
      <c r="I83" s="7"/>
    </row>
    <row r="84" spans="1:9" ht="1.9" customHeight="1">
      <c r="A84" s="7"/>
      <c r="B84" s="7"/>
      <c r="C84" s="7"/>
      <c r="D84" s="7"/>
      <c r="E84" s="7"/>
      <c r="F84" s="7"/>
      <c r="G84" s="7"/>
      <c r="H84" s="7"/>
      <c r="I84" s="7"/>
    </row>
    <row r="85" spans="1:9" ht="1.9" customHeight="1">
      <c r="A85" s="7"/>
      <c r="B85" s="7"/>
      <c r="C85" s="7"/>
      <c r="D85" s="7"/>
      <c r="E85" s="7"/>
      <c r="F85" s="7"/>
      <c r="G85" s="7"/>
      <c r="H85" s="7"/>
      <c r="I85" s="7"/>
    </row>
    <row r="86" spans="1:9" ht="1.9" customHeight="1">
      <c r="A86" s="7"/>
      <c r="B86" s="7"/>
      <c r="C86" s="7"/>
      <c r="D86" s="7"/>
      <c r="E86" s="7"/>
      <c r="F86" s="7"/>
      <c r="G86" s="7"/>
      <c r="H86" s="7"/>
      <c r="I86" s="7"/>
    </row>
    <row r="87" spans="1:9" ht="1.9" customHeight="1">
      <c r="A87" s="7"/>
      <c r="B87" s="7"/>
      <c r="C87" s="7"/>
      <c r="D87" s="7"/>
      <c r="E87" s="7"/>
      <c r="F87" s="7"/>
      <c r="G87" s="7"/>
      <c r="H87" s="7"/>
      <c r="I87" s="7"/>
    </row>
    <row r="88" spans="1:9" ht="1.9" customHeight="1">
      <c r="A88" s="7"/>
      <c r="B88" s="7"/>
      <c r="C88" s="7"/>
      <c r="D88" s="7"/>
      <c r="E88" s="7"/>
      <c r="F88" s="7"/>
      <c r="G88" s="7"/>
      <c r="H88" s="7"/>
      <c r="I88" s="7"/>
    </row>
    <row r="89" spans="1:9" ht="1.9" customHeight="1">
      <c r="A89" s="7"/>
      <c r="B89" s="7"/>
      <c r="C89" s="7"/>
      <c r="D89" s="7"/>
      <c r="E89" s="7"/>
      <c r="F89" s="7"/>
      <c r="G89" s="7"/>
      <c r="H89" s="7"/>
      <c r="I89" s="7"/>
    </row>
    <row r="90" spans="1:9" ht="1.9" customHeight="1">
      <c r="A90" s="7"/>
      <c r="B90" s="7"/>
      <c r="C90" s="7"/>
      <c r="D90" s="7"/>
      <c r="E90" s="7"/>
      <c r="F90" s="7"/>
      <c r="G90" s="7"/>
      <c r="H90" s="7"/>
      <c r="I90" s="7"/>
    </row>
    <row r="91" spans="1:9" ht="1.9" customHeight="1">
      <c r="A91" s="7"/>
      <c r="B91" s="7"/>
      <c r="C91" s="7"/>
      <c r="D91" s="7"/>
      <c r="E91" s="7"/>
      <c r="F91" s="7"/>
      <c r="G91" s="7"/>
      <c r="H91" s="7"/>
      <c r="I91" s="7"/>
    </row>
    <row r="92" spans="1:9" ht="1.9" customHeight="1">
      <c r="A92" s="7"/>
      <c r="B92" s="7"/>
      <c r="C92" s="7"/>
      <c r="D92" s="7"/>
      <c r="E92" s="7"/>
      <c r="F92" s="7"/>
      <c r="G92" s="7"/>
      <c r="H92" s="7"/>
      <c r="I92" s="7"/>
    </row>
    <row r="93" spans="1:9" ht="1.9" customHeight="1">
      <c r="A93" s="7"/>
      <c r="B93" s="7"/>
      <c r="C93" s="7"/>
      <c r="D93" s="7"/>
      <c r="E93" s="7"/>
      <c r="F93" s="7"/>
      <c r="G93" s="7"/>
      <c r="H93" s="7"/>
      <c r="I93" s="7"/>
    </row>
    <row r="94" spans="1:9" ht="1.9" customHeight="1">
      <c r="A94" s="7"/>
      <c r="B94" s="7"/>
      <c r="C94" s="7"/>
      <c r="D94" s="7"/>
      <c r="E94" s="7"/>
      <c r="F94" s="7"/>
      <c r="G94" s="7"/>
      <c r="H94" s="7"/>
      <c r="I94" s="7"/>
    </row>
    <row r="95" spans="1:9" ht="1.9" customHeight="1">
      <c r="A95" s="7"/>
      <c r="B95" s="7"/>
      <c r="C95" s="7"/>
      <c r="D95" s="7"/>
      <c r="E95" s="7"/>
      <c r="F95" s="7"/>
      <c r="G95" s="7"/>
      <c r="H95" s="7"/>
      <c r="I95" s="7"/>
    </row>
    <row r="96" spans="1:9" ht="1.9" customHeight="1">
      <c r="A96" s="7"/>
      <c r="B96" s="7"/>
      <c r="C96" s="7"/>
      <c r="D96" s="7"/>
      <c r="E96" s="7"/>
      <c r="F96" s="7"/>
      <c r="G96" s="7"/>
      <c r="H96" s="7"/>
      <c r="I96" s="7"/>
    </row>
    <row r="97" spans="1:9" ht="1.9" customHeight="1">
      <c r="A97" s="7"/>
      <c r="B97" s="7"/>
      <c r="C97" s="7"/>
      <c r="D97" s="7"/>
      <c r="E97" s="7"/>
      <c r="F97" s="7"/>
      <c r="G97" s="7"/>
      <c r="H97" s="7"/>
      <c r="I97" s="7"/>
    </row>
    <row r="98" spans="1:9" ht="1.9" customHeight="1">
      <c r="A98" s="7"/>
      <c r="B98" s="7"/>
      <c r="C98" s="7"/>
      <c r="D98" s="7"/>
      <c r="E98" s="7"/>
      <c r="F98" s="7"/>
      <c r="G98" s="7"/>
      <c r="H98" s="7"/>
      <c r="I98" s="7"/>
    </row>
    <row r="99" spans="1:9" ht="1.9" customHeight="1">
      <c r="A99" s="7"/>
      <c r="B99" s="7"/>
      <c r="C99" s="7"/>
      <c r="D99" s="7"/>
      <c r="E99" s="7"/>
      <c r="F99" s="7"/>
      <c r="G99" s="7"/>
      <c r="H99" s="7"/>
      <c r="I99" s="7"/>
    </row>
    <row r="100" spans="1:9" ht="1.9" customHeight="1">
      <c r="A100" s="7"/>
      <c r="B100" s="7"/>
      <c r="C100" s="7"/>
      <c r="D100" s="7"/>
      <c r="E100" s="7"/>
      <c r="F100" s="7"/>
      <c r="G100" s="7"/>
      <c r="H100" s="7"/>
      <c r="I100" s="7"/>
    </row>
  </sheetData>
  <mergeCells count="2">
    <mergeCell ref="A1:I1"/>
    <mergeCell ref="A2:I2"/>
  </mergeCells>
  <conditionalFormatting sqref="D5:D10">
    <cfRule type="cellIs" dxfId="598" priority="1" operator="lessThan">
      <formula>0.5</formula>
    </cfRule>
    <cfRule type="cellIs" dxfId="597" priority="2" operator="greaterThanOrEqual">
      <formula>0.75</formula>
    </cfRule>
  </conditionalFormatting>
  <conditionalFormatting sqref="E5:E10">
    <cfRule type="expression" dxfId="596" priority="3">
      <formula>ISNUMBER(SEARCH("Riesgo",E5))</formula>
    </cfRule>
    <cfRule type="expression" dxfId="595" priority="4">
      <formula>ISNUMBER(SEARCH("Crítico",E5))</formula>
    </cfRule>
    <cfRule type="expression" dxfId="594" priority="5">
      <formula>ISNUMBER(SEARCH("Pendiente",E5))</formula>
    </cfRule>
    <cfRule type="expression" dxfId="593" priority="6">
      <formula>ISNUMBER(SEARCH("En riesgo",E5))</formula>
    </cfRule>
    <cfRule type="expression" dxfId="592" priority="7">
      <formula>ISNUMBER(SEARCH("Atención",E5))</formula>
    </cfRule>
    <cfRule type="expression" dxfId="591" priority="8">
      <formula>ISNUMBER(SEARCH("En proceso",E5))</formula>
    </cfRule>
    <cfRule type="expression" dxfId="590" priority="9">
      <formula>ISNUMBER(SEARCH("Meta",E5))</formula>
    </cfRule>
    <cfRule type="expression" dxfId="589" priority="10">
      <formula>ISNUMBER(SEARCH("Cumple",E5))</formula>
    </cfRule>
    <cfRule type="expression" dxfId="588" priority="11">
      <formula>ISNUMBER(SEARCH("Cumplido",E5))</formula>
    </cfRule>
    <cfRule type="expression" dxfId="587" priority="12">
      <formula>ISNUMBER(SEARCH("Positivo",E5))</formula>
    </cfRule>
    <cfRule type="expression" dxfId="586" priority="13">
      <formula>ISNUMBER(SEARCH("Dominio",E5))</formula>
    </cfRule>
    <cfRule type="expression" dxfId="585" priority="14">
      <formula>ISNUMBER(SEARCH("Alto",E5))</formula>
    </cfRule>
    <cfRule type="expression" dxfId="584" priority="15">
      <formula>ISNUMBER(SEARCH("Superado",E5))</formula>
    </cfRule>
    <cfRule type="expression" dxfId="583" priority="16">
      <formula>ISNUMBER(SEARCH("Cuadrado",E5))</formula>
    </cfRule>
    <cfRule type="expression" dxfId="582" priority="17">
      <formula>ISNUMBER(SEARCH("Revisar",E5))</formula>
    </cfRule>
    <cfRule type="expression" dxfId="581" priority="18">
      <formula>ISNUMBER(SEARCH("Vacío",E5))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C09000"/>
  </sheetPr>
  <dimension ref="A1:M220"/>
  <sheetViews>
    <sheetView showGridLines="0" workbookViewId="0"/>
  </sheetViews>
  <sheetFormatPr baseColWidth="10" defaultColWidth="14.453125" defaultRowHeight="14.5"/>
  <cols>
    <col min="1" max="1" width="96.6328125" customWidth="1"/>
    <col min="2" max="2" width="3.453125" customWidth="1"/>
    <col min="3" max="3" width="5.36328125" customWidth="1"/>
    <col min="4" max="4" width="12.26953125" customWidth="1"/>
    <col min="5" max="5" width="11" customWidth="1"/>
    <col min="6" max="6" width="15.1796875" customWidth="1"/>
    <col min="7" max="7" width="7.54296875" customWidth="1"/>
    <col min="8" max="8" width="5.54296875" customWidth="1"/>
    <col min="9" max="9" width="9.81640625" customWidth="1"/>
    <col min="10" max="10" width="10.36328125" customWidth="1"/>
    <col min="11" max="11" width="5.26953125" customWidth="1"/>
    <col min="12" max="12" width="10.36328125" customWidth="1"/>
    <col min="13" max="13" width="13.26953125" customWidth="1"/>
  </cols>
  <sheetData>
    <row r="1" spans="1:13" ht="21" customHeight="1">
      <c r="A1" s="500" t="s">
        <v>2884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</row>
    <row r="2" spans="1:13">
      <c r="A2" s="121" t="s">
        <v>2885</v>
      </c>
      <c r="B2" s="121"/>
      <c r="C2" s="121"/>
      <c r="D2" s="121"/>
      <c r="E2" s="121"/>
      <c r="F2" s="121"/>
      <c r="G2" s="121"/>
      <c r="H2" s="124"/>
      <c r="I2" s="121"/>
      <c r="J2" s="121"/>
      <c r="K2" s="121"/>
      <c r="L2" s="121"/>
      <c r="M2" s="121"/>
    </row>
    <row r="3" spans="1:13">
      <c r="A3" s="71"/>
      <c r="B3" s="71"/>
      <c r="C3" s="71"/>
      <c r="D3" s="71"/>
      <c r="E3" s="71"/>
      <c r="F3" s="71"/>
      <c r="G3" s="71"/>
      <c r="H3" s="83"/>
      <c r="I3" s="71"/>
      <c r="J3" s="71"/>
      <c r="K3" s="71"/>
      <c r="L3" s="71"/>
      <c r="M3" s="71"/>
    </row>
    <row r="4" spans="1:13" ht="29" customHeight="1">
      <c r="A4" s="125" t="s">
        <v>2860</v>
      </c>
      <c r="B4" s="125" t="s">
        <v>8</v>
      </c>
      <c r="C4" s="125" t="s">
        <v>655</v>
      </c>
      <c r="D4" s="125" t="s">
        <v>2886</v>
      </c>
      <c r="E4" s="125" t="s">
        <v>1065</v>
      </c>
      <c r="F4" s="125" t="s">
        <v>2868</v>
      </c>
      <c r="G4" s="125" t="s">
        <v>248</v>
      </c>
      <c r="H4" s="125" t="s">
        <v>252</v>
      </c>
      <c r="I4" s="125" t="s">
        <v>2887</v>
      </c>
      <c r="J4" s="125" t="s">
        <v>2888</v>
      </c>
      <c r="K4" s="125" t="s">
        <v>2181</v>
      </c>
      <c r="L4" s="125" t="s">
        <v>2774</v>
      </c>
      <c r="M4" s="125" t="s">
        <v>1207</v>
      </c>
    </row>
    <row r="5" spans="1:13">
      <c r="A5" s="127" t="str">
        <f>IF(OR('41_Clasificacion_Empresas'!F5="A",'41_Clasificacion_Empresas'!F5="B"),'41_Clasificacion_Empresas'!C5,"")</f>
        <v/>
      </c>
      <c r="B5" s="127" t="str">
        <f>IF(A5="","",'41_Clasificacion_Empresas'!D5)</f>
        <v/>
      </c>
      <c r="C5" s="127"/>
      <c r="D5" s="116" t="str">
        <f>IF(A5="","",'41_Clasificacion_Empresas'!L5)</f>
        <v/>
      </c>
      <c r="E5" s="127" t="str">
        <f>IF(A5="","",'41_Clasificacion_Empresas'!M5)</f>
        <v/>
      </c>
      <c r="F5" s="126" t="str">
        <f t="shared" ref="F5:F36" ca="1" si="0">IF(A5="","",TODAY()+7)</f>
        <v/>
      </c>
      <c r="G5" s="127"/>
      <c r="H5" s="128" t="str">
        <f t="shared" ref="H5:H36" si="1">IF(A5="","","40_Estudio_Empresas → 41_Clasificacion")</f>
        <v/>
      </c>
      <c r="I5" s="127" t="str">
        <f>IF(A5="","",INDEX('40_Estudio_Empresas'!$X$3:$X$204,ROW()-4))</f>
        <v/>
      </c>
      <c r="J5" s="127" t="str">
        <f>IF(A5="","",'41_Clasificacion_Empresas'!G5)</f>
        <v/>
      </c>
      <c r="K5" s="127" t="str">
        <f>IF(A5="","",'41_Clasificacion_Empresas'!K5)</f>
        <v/>
      </c>
      <c r="L5" s="127"/>
      <c r="M5" s="129" t="str">
        <f>IF(A5="","",IF('41_Clasificacion_Empresas'!F5="A","Pasar a CRM y seguimiento","Mantener seguimiento y estudiar más"))</f>
        <v/>
      </c>
    </row>
    <row r="6" spans="1:13">
      <c r="A6" s="127" t="str">
        <f>IF(OR('41_Clasificacion_Empresas'!F6="A",'41_Clasificacion_Empresas'!F6="B"),'41_Clasificacion_Empresas'!C6,"")</f>
        <v/>
      </c>
      <c r="B6" s="127" t="str">
        <f>IF(A6="","",'41_Clasificacion_Empresas'!D6)</f>
        <v/>
      </c>
      <c r="C6" s="127"/>
      <c r="D6" s="116" t="str">
        <f>IF(A6="","",'41_Clasificacion_Empresas'!L6)</f>
        <v/>
      </c>
      <c r="E6" s="127" t="str">
        <f>IF(A6="","",'41_Clasificacion_Empresas'!M6)</f>
        <v/>
      </c>
      <c r="F6" s="126" t="str">
        <f t="shared" ca="1" si="0"/>
        <v/>
      </c>
      <c r="G6" s="127"/>
      <c r="H6" s="128" t="str">
        <f t="shared" si="1"/>
        <v/>
      </c>
      <c r="I6" s="127" t="str">
        <f>IF(A6="","",INDEX('40_Estudio_Empresas'!$X$3:$X$204,ROW()-4))</f>
        <v/>
      </c>
      <c r="J6" s="127" t="str">
        <f>IF(A6="","",'41_Clasificacion_Empresas'!G6)</f>
        <v/>
      </c>
      <c r="K6" s="127" t="str">
        <f>IF(A6="","",'41_Clasificacion_Empresas'!K6)</f>
        <v/>
      </c>
      <c r="L6" s="127"/>
      <c r="M6" s="129" t="str">
        <f>IF(A6="","",IF('41_Clasificacion_Empresas'!F6="A","Pasar a CRM y seguimiento","Mantener seguimiento y estudiar más"))</f>
        <v/>
      </c>
    </row>
    <row r="7" spans="1:13">
      <c r="A7" s="127" t="str">
        <f>IF(OR('41_Clasificacion_Empresas'!F7="A",'41_Clasificacion_Empresas'!F7="B"),'41_Clasificacion_Empresas'!C7,"")</f>
        <v/>
      </c>
      <c r="B7" s="127" t="str">
        <f>IF(A7="","",'41_Clasificacion_Empresas'!D7)</f>
        <v/>
      </c>
      <c r="C7" s="127"/>
      <c r="D7" s="116" t="str">
        <f>IF(A7="","",'41_Clasificacion_Empresas'!L7)</f>
        <v/>
      </c>
      <c r="E7" s="127" t="str">
        <f>IF(A7="","",'41_Clasificacion_Empresas'!M7)</f>
        <v/>
      </c>
      <c r="F7" s="126" t="str">
        <f t="shared" ca="1" si="0"/>
        <v/>
      </c>
      <c r="G7" s="127"/>
      <c r="H7" s="128" t="str">
        <f t="shared" si="1"/>
        <v/>
      </c>
      <c r="I7" s="127" t="str">
        <f>IF(A7="","",INDEX('40_Estudio_Empresas'!$X$3:$X$204,ROW()-4))</f>
        <v/>
      </c>
      <c r="J7" s="127" t="str">
        <f>IF(A7="","",'41_Clasificacion_Empresas'!G7)</f>
        <v/>
      </c>
      <c r="K7" s="127" t="str">
        <f>IF(A7="","",'41_Clasificacion_Empresas'!K7)</f>
        <v/>
      </c>
      <c r="L7" s="127"/>
      <c r="M7" s="129" t="str">
        <f>IF(A7="","",IF('41_Clasificacion_Empresas'!F7="A","Pasar a CRM y seguimiento","Mantener seguimiento y estudiar más"))</f>
        <v/>
      </c>
    </row>
    <row r="8" spans="1:13">
      <c r="A8" s="127" t="str">
        <f>IF(OR('41_Clasificacion_Empresas'!F8="A",'41_Clasificacion_Empresas'!F8="B"),'41_Clasificacion_Empresas'!C8,"")</f>
        <v/>
      </c>
      <c r="B8" s="127" t="str">
        <f>IF(A8="","",'41_Clasificacion_Empresas'!D8)</f>
        <v/>
      </c>
      <c r="C8" s="127"/>
      <c r="D8" s="116" t="str">
        <f>IF(A8="","",'41_Clasificacion_Empresas'!L8)</f>
        <v/>
      </c>
      <c r="E8" s="127" t="str">
        <f>IF(A8="","",'41_Clasificacion_Empresas'!M8)</f>
        <v/>
      </c>
      <c r="F8" s="126" t="str">
        <f t="shared" ca="1" si="0"/>
        <v/>
      </c>
      <c r="G8" s="127"/>
      <c r="H8" s="128" t="str">
        <f t="shared" si="1"/>
        <v/>
      </c>
      <c r="I8" s="127" t="str">
        <f>IF(A8="","",INDEX('40_Estudio_Empresas'!$X$3:$X$204,ROW()-4))</f>
        <v/>
      </c>
      <c r="J8" s="127" t="str">
        <f>IF(A8="","",'41_Clasificacion_Empresas'!G8)</f>
        <v/>
      </c>
      <c r="K8" s="127" t="str">
        <f>IF(A8="","",'41_Clasificacion_Empresas'!K8)</f>
        <v/>
      </c>
      <c r="L8" s="127"/>
      <c r="M8" s="129" t="str">
        <f>IF(A8="","",IF('41_Clasificacion_Empresas'!F8="A","Pasar a CRM y seguimiento","Mantener seguimiento y estudiar más"))</f>
        <v/>
      </c>
    </row>
    <row r="9" spans="1:13">
      <c r="A9" s="127" t="str">
        <f>IF(OR('41_Clasificacion_Empresas'!F9="A",'41_Clasificacion_Empresas'!F9="B"),'41_Clasificacion_Empresas'!C9,"")</f>
        <v/>
      </c>
      <c r="B9" s="127" t="str">
        <f>IF(A9="","",'41_Clasificacion_Empresas'!D9)</f>
        <v/>
      </c>
      <c r="C9" s="127"/>
      <c r="D9" s="116" t="str">
        <f>IF(A9="","",'41_Clasificacion_Empresas'!L9)</f>
        <v/>
      </c>
      <c r="E9" s="127" t="str">
        <f>IF(A9="","",'41_Clasificacion_Empresas'!M9)</f>
        <v/>
      </c>
      <c r="F9" s="126" t="str">
        <f t="shared" ca="1" si="0"/>
        <v/>
      </c>
      <c r="G9" s="127"/>
      <c r="H9" s="128" t="str">
        <f t="shared" si="1"/>
        <v/>
      </c>
      <c r="I9" s="127" t="str">
        <f>IF(A9="","",INDEX('40_Estudio_Empresas'!$X$3:$X$204,ROW()-4))</f>
        <v/>
      </c>
      <c r="J9" s="127" t="str">
        <f>IF(A9="","",'41_Clasificacion_Empresas'!G9)</f>
        <v/>
      </c>
      <c r="K9" s="127" t="str">
        <f>IF(A9="","",'41_Clasificacion_Empresas'!K9)</f>
        <v/>
      </c>
      <c r="L9" s="127"/>
      <c r="M9" s="129" t="str">
        <f>IF(A9="","",IF('41_Clasificacion_Empresas'!F9="A","Pasar a CRM y seguimiento","Mantener seguimiento y estudiar más"))</f>
        <v/>
      </c>
    </row>
    <row r="10" spans="1:13">
      <c r="A10" s="127" t="str">
        <f>IF(OR('41_Clasificacion_Empresas'!F10="A",'41_Clasificacion_Empresas'!F10="B"),'41_Clasificacion_Empresas'!C10,"")</f>
        <v/>
      </c>
      <c r="B10" s="127" t="str">
        <f>IF(A10="","",'41_Clasificacion_Empresas'!D10)</f>
        <v/>
      </c>
      <c r="C10" s="127"/>
      <c r="D10" s="116" t="str">
        <f>IF(A10="","",'41_Clasificacion_Empresas'!L10)</f>
        <v/>
      </c>
      <c r="E10" s="127" t="str">
        <f>IF(A10="","",'41_Clasificacion_Empresas'!M10)</f>
        <v/>
      </c>
      <c r="F10" s="126" t="str">
        <f t="shared" ca="1" si="0"/>
        <v/>
      </c>
      <c r="G10" s="127"/>
      <c r="H10" s="128" t="str">
        <f t="shared" si="1"/>
        <v/>
      </c>
      <c r="I10" s="127" t="str">
        <f>IF(A10="","",INDEX('40_Estudio_Empresas'!$X$3:$X$204,ROW()-4))</f>
        <v/>
      </c>
      <c r="J10" s="127" t="str">
        <f>IF(A10="","",'41_Clasificacion_Empresas'!G10)</f>
        <v/>
      </c>
      <c r="K10" s="127" t="str">
        <f>IF(A10="","",'41_Clasificacion_Empresas'!K10)</f>
        <v/>
      </c>
      <c r="L10" s="127"/>
      <c r="M10" s="129" t="str">
        <f>IF(A10="","",IF('41_Clasificacion_Empresas'!F10="A","Pasar a CRM y seguimiento","Mantener seguimiento y estudiar más"))</f>
        <v/>
      </c>
    </row>
    <row r="11" spans="1:13" ht="1.9" customHeight="1">
      <c r="A11" s="127" t="str">
        <f>IF(OR('41_Clasificacion_Empresas'!F11="A",'41_Clasificacion_Empresas'!F11="B"),'41_Clasificacion_Empresas'!C11,"")</f>
        <v/>
      </c>
      <c r="B11" s="127" t="str">
        <f>IF(A11="","",'41_Clasificacion_Empresas'!D11)</f>
        <v/>
      </c>
      <c r="C11" s="127"/>
      <c r="D11" s="116" t="str">
        <f>IF(A11="","",'41_Clasificacion_Empresas'!L11)</f>
        <v/>
      </c>
      <c r="E11" s="127" t="str">
        <f>IF(A11="","",'41_Clasificacion_Empresas'!M11)</f>
        <v/>
      </c>
      <c r="F11" s="126" t="str">
        <f t="shared" ca="1" si="0"/>
        <v/>
      </c>
      <c r="G11" s="127"/>
      <c r="H11" s="128" t="str">
        <f t="shared" si="1"/>
        <v/>
      </c>
      <c r="I11" s="127" t="str">
        <f>IF(A11="","",INDEX('40_Estudio_Empresas'!$X$3:$X$204,ROW()-4))</f>
        <v/>
      </c>
      <c r="J11" s="127" t="str">
        <f>IF(A11="","",'41_Clasificacion_Empresas'!G11)</f>
        <v/>
      </c>
      <c r="K11" s="127" t="str">
        <f>IF(A11="","",'41_Clasificacion_Empresas'!K11)</f>
        <v/>
      </c>
      <c r="L11" s="127"/>
      <c r="M11" s="129" t="str">
        <f>IF(A11="","",IF('41_Clasificacion_Empresas'!F11="A","Pasar a CRM y seguimiento","Mantener seguimiento y estudiar más"))</f>
        <v/>
      </c>
    </row>
    <row r="12" spans="1:13" ht="1.9" customHeight="1">
      <c r="A12" s="127" t="str">
        <f>IF(OR('41_Clasificacion_Empresas'!F12="A",'41_Clasificacion_Empresas'!F12="B"),'41_Clasificacion_Empresas'!C12,"")</f>
        <v/>
      </c>
      <c r="B12" s="127" t="str">
        <f>IF(A12="","",'41_Clasificacion_Empresas'!D12)</f>
        <v/>
      </c>
      <c r="C12" s="127"/>
      <c r="D12" s="116" t="str">
        <f>IF(A12="","",'41_Clasificacion_Empresas'!L12)</f>
        <v/>
      </c>
      <c r="E12" s="127" t="str">
        <f>IF(A12="","",'41_Clasificacion_Empresas'!M12)</f>
        <v/>
      </c>
      <c r="F12" s="126" t="str">
        <f t="shared" ca="1" si="0"/>
        <v/>
      </c>
      <c r="G12" s="127"/>
      <c r="H12" s="128" t="str">
        <f t="shared" si="1"/>
        <v/>
      </c>
      <c r="I12" s="127" t="str">
        <f>IF(A12="","",INDEX('40_Estudio_Empresas'!$X$3:$X$204,ROW()-4))</f>
        <v/>
      </c>
      <c r="J12" s="127" t="str">
        <f>IF(A12="","",'41_Clasificacion_Empresas'!G12)</f>
        <v/>
      </c>
      <c r="K12" s="127" t="str">
        <f>IF(A12="","",'41_Clasificacion_Empresas'!K12)</f>
        <v/>
      </c>
      <c r="L12" s="127"/>
      <c r="M12" s="129" t="str">
        <f>IF(A12="","",IF('41_Clasificacion_Empresas'!F12="A","Pasar a CRM y seguimiento","Mantener seguimiento y estudiar más"))</f>
        <v/>
      </c>
    </row>
    <row r="13" spans="1:13" ht="1.9" customHeight="1">
      <c r="A13" s="127" t="str">
        <f>IF(OR('41_Clasificacion_Empresas'!F13="A",'41_Clasificacion_Empresas'!F13="B"),'41_Clasificacion_Empresas'!C13,"")</f>
        <v/>
      </c>
      <c r="B13" s="127" t="str">
        <f>IF(A13="","",'41_Clasificacion_Empresas'!D13)</f>
        <v/>
      </c>
      <c r="C13" s="127"/>
      <c r="D13" s="116" t="str">
        <f>IF(A13="","",'41_Clasificacion_Empresas'!L13)</f>
        <v/>
      </c>
      <c r="E13" s="127" t="str">
        <f>IF(A13="","",'41_Clasificacion_Empresas'!M13)</f>
        <v/>
      </c>
      <c r="F13" s="126" t="str">
        <f t="shared" ca="1" si="0"/>
        <v/>
      </c>
      <c r="G13" s="127"/>
      <c r="H13" s="128" t="str">
        <f t="shared" si="1"/>
        <v/>
      </c>
      <c r="I13" s="127" t="str">
        <f>IF(A13="","",INDEX('40_Estudio_Empresas'!$X$3:$X$204,ROW()-4))</f>
        <v/>
      </c>
      <c r="J13" s="127" t="str">
        <f>IF(A13="","",'41_Clasificacion_Empresas'!G13)</f>
        <v/>
      </c>
      <c r="K13" s="127" t="str">
        <f>IF(A13="","",'41_Clasificacion_Empresas'!K13)</f>
        <v/>
      </c>
      <c r="L13" s="127"/>
      <c r="M13" s="129" t="str">
        <f>IF(A13="","",IF('41_Clasificacion_Empresas'!F13="A","Pasar a CRM y seguimiento","Mantener seguimiento y estudiar más"))</f>
        <v/>
      </c>
    </row>
    <row r="14" spans="1:13" ht="1.9" customHeight="1">
      <c r="A14" s="127" t="str">
        <f>IF(OR('41_Clasificacion_Empresas'!F14="A",'41_Clasificacion_Empresas'!F14="B"),'41_Clasificacion_Empresas'!C14,"")</f>
        <v/>
      </c>
      <c r="B14" s="127" t="str">
        <f>IF(A14="","",'41_Clasificacion_Empresas'!D14)</f>
        <v/>
      </c>
      <c r="C14" s="127"/>
      <c r="D14" s="116" t="str">
        <f>IF(A14="","",'41_Clasificacion_Empresas'!L14)</f>
        <v/>
      </c>
      <c r="E14" s="127" t="str">
        <f>IF(A14="","",'41_Clasificacion_Empresas'!M14)</f>
        <v/>
      </c>
      <c r="F14" s="126" t="str">
        <f t="shared" ca="1" si="0"/>
        <v/>
      </c>
      <c r="G14" s="127"/>
      <c r="H14" s="128" t="str">
        <f t="shared" si="1"/>
        <v/>
      </c>
      <c r="I14" s="127" t="str">
        <f>IF(A14="","",INDEX('40_Estudio_Empresas'!$X$3:$X$204,ROW()-4))</f>
        <v/>
      </c>
      <c r="J14" s="127" t="str">
        <f>IF(A14="","",'41_Clasificacion_Empresas'!G14)</f>
        <v/>
      </c>
      <c r="K14" s="127" t="str">
        <f>IF(A14="","",'41_Clasificacion_Empresas'!K14)</f>
        <v/>
      </c>
      <c r="L14" s="127"/>
      <c r="M14" s="129" t="str">
        <f>IF(A14="","",IF('41_Clasificacion_Empresas'!F14="A","Pasar a CRM y seguimiento","Mantener seguimiento y estudiar más"))</f>
        <v/>
      </c>
    </row>
    <row r="15" spans="1:13" ht="1.9" customHeight="1">
      <c r="A15" s="127" t="str">
        <f>IF(OR('41_Clasificacion_Empresas'!F15="A",'41_Clasificacion_Empresas'!F15="B"),'41_Clasificacion_Empresas'!C15,"")</f>
        <v/>
      </c>
      <c r="B15" s="127" t="str">
        <f>IF(A15="","",'41_Clasificacion_Empresas'!D15)</f>
        <v/>
      </c>
      <c r="C15" s="127"/>
      <c r="D15" s="116" t="str">
        <f>IF(A15="","",'41_Clasificacion_Empresas'!L15)</f>
        <v/>
      </c>
      <c r="E15" s="127" t="str">
        <f>IF(A15="","",'41_Clasificacion_Empresas'!M15)</f>
        <v/>
      </c>
      <c r="F15" s="126" t="str">
        <f t="shared" ca="1" si="0"/>
        <v/>
      </c>
      <c r="G15" s="127"/>
      <c r="H15" s="128" t="str">
        <f t="shared" si="1"/>
        <v/>
      </c>
      <c r="I15" s="127" t="str">
        <f>IF(A15="","",INDEX('40_Estudio_Empresas'!$X$3:$X$204,ROW()-4))</f>
        <v/>
      </c>
      <c r="J15" s="127" t="str">
        <f>IF(A15="","",'41_Clasificacion_Empresas'!G15)</f>
        <v/>
      </c>
      <c r="K15" s="127" t="str">
        <f>IF(A15="","",'41_Clasificacion_Empresas'!K15)</f>
        <v/>
      </c>
      <c r="L15" s="127"/>
      <c r="M15" s="129" t="str">
        <f>IF(A15="","",IF('41_Clasificacion_Empresas'!F15="A","Pasar a CRM y seguimiento","Mantener seguimiento y estudiar más"))</f>
        <v/>
      </c>
    </row>
    <row r="16" spans="1:13" ht="1.9" customHeight="1">
      <c r="A16" s="127" t="str">
        <f>IF(OR('41_Clasificacion_Empresas'!F16="A",'41_Clasificacion_Empresas'!F16="B"),'41_Clasificacion_Empresas'!C16,"")</f>
        <v/>
      </c>
      <c r="B16" s="127" t="str">
        <f>IF(A16="","",'41_Clasificacion_Empresas'!D16)</f>
        <v/>
      </c>
      <c r="C16" s="127"/>
      <c r="D16" s="116" t="str">
        <f>IF(A16="","",'41_Clasificacion_Empresas'!L16)</f>
        <v/>
      </c>
      <c r="E16" s="127" t="str">
        <f>IF(A16="","",'41_Clasificacion_Empresas'!M16)</f>
        <v/>
      </c>
      <c r="F16" s="126" t="str">
        <f t="shared" ca="1" si="0"/>
        <v/>
      </c>
      <c r="G16" s="127"/>
      <c r="H16" s="128" t="str">
        <f t="shared" si="1"/>
        <v/>
      </c>
      <c r="I16" s="127" t="str">
        <f>IF(A16="","",INDEX('40_Estudio_Empresas'!$X$3:$X$204,ROW()-4))</f>
        <v/>
      </c>
      <c r="J16" s="127" t="str">
        <f>IF(A16="","",'41_Clasificacion_Empresas'!G16)</f>
        <v/>
      </c>
      <c r="K16" s="127" t="str">
        <f>IF(A16="","",'41_Clasificacion_Empresas'!K16)</f>
        <v/>
      </c>
      <c r="L16" s="127"/>
      <c r="M16" s="129" t="str">
        <f>IF(A16="","",IF('41_Clasificacion_Empresas'!F16="A","Pasar a CRM y seguimiento","Mantener seguimiento y estudiar más"))</f>
        <v/>
      </c>
    </row>
    <row r="17" spans="1:13" ht="1.9" customHeight="1">
      <c r="A17" s="127" t="str">
        <f>IF(OR('41_Clasificacion_Empresas'!F17="A",'41_Clasificacion_Empresas'!F17="B"),'41_Clasificacion_Empresas'!C17,"")</f>
        <v/>
      </c>
      <c r="B17" s="127" t="str">
        <f>IF(A17="","",'41_Clasificacion_Empresas'!D17)</f>
        <v/>
      </c>
      <c r="C17" s="127"/>
      <c r="D17" s="116" t="str">
        <f>IF(A17="","",'41_Clasificacion_Empresas'!L17)</f>
        <v/>
      </c>
      <c r="E17" s="127" t="str">
        <f>IF(A17="","",'41_Clasificacion_Empresas'!M17)</f>
        <v/>
      </c>
      <c r="F17" s="126" t="str">
        <f t="shared" ca="1" si="0"/>
        <v/>
      </c>
      <c r="G17" s="127"/>
      <c r="H17" s="128" t="str">
        <f t="shared" si="1"/>
        <v/>
      </c>
      <c r="I17" s="127" t="str">
        <f>IF(A17="","",INDEX('40_Estudio_Empresas'!$X$3:$X$204,ROW()-4))</f>
        <v/>
      </c>
      <c r="J17" s="127" t="str">
        <f>IF(A17="","",'41_Clasificacion_Empresas'!G17)</f>
        <v/>
      </c>
      <c r="K17" s="127" t="str">
        <f>IF(A17="","",'41_Clasificacion_Empresas'!K17)</f>
        <v/>
      </c>
      <c r="L17" s="127"/>
      <c r="M17" s="129" t="str">
        <f>IF(A17="","",IF('41_Clasificacion_Empresas'!F17="A","Pasar a CRM y seguimiento","Mantener seguimiento y estudiar más"))</f>
        <v/>
      </c>
    </row>
    <row r="18" spans="1:13" ht="1.9" customHeight="1">
      <c r="A18" s="127" t="str">
        <f>IF(OR('41_Clasificacion_Empresas'!F18="A",'41_Clasificacion_Empresas'!F18="B"),'41_Clasificacion_Empresas'!C18,"")</f>
        <v/>
      </c>
      <c r="B18" s="127" t="str">
        <f>IF(A18="","",'41_Clasificacion_Empresas'!D18)</f>
        <v/>
      </c>
      <c r="C18" s="127"/>
      <c r="D18" s="116" t="str">
        <f>IF(A18="","",'41_Clasificacion_Empresas'!L18)</f>
        <v/>
      </c>
      <c r="E18" s="127" t="str">
        <f>IF(A18="","",'41_Clasificacion_Empresas'!M18)</f>
        <v/>
      </c>
      <c r="F18" s="126" t="str">
        <f t="shared" ca="1" si="0"/>
        <v/>
      </c>
      <c r="G18" s="127"/>
      <c r="H18" s="128" t="str">
        <f t="shared" si="1"/>
        <v/>
      </c>
      <c r="I18" s="127" t="str">
        <f>IF(A18="","",INDEX('40_Estudio_Empresas'!$X$3:$X$204,ROW()-4))</f>
        <v/>
      </c>
      <c r="J18" s="127" t="str">
        <f>IF(A18="","",'41_Clasificacion_Empresas'!G18)</f>
        <v/>
      </c>
      <c r="K18" s="127" t="str">
        <f>IF(A18="","",'41_Clasificacion_Empresas'!K18)</f>
        <v/>
      </c>
      <c r="L18" s="127"/>
      <c r="M18" s="129" t="str">
        <f>IF(A18="","",IF('41_Clasificacion_Empresas'!F18="A","Pasar a CRM y seguimiento","Mantener seguimiento y estudiar más"))</f>
        <v/>
      </c>
    </row>
    <row r="19" spans="1:13" ht="1.9" customHeight="1">
      <c r="A19" s="127" t="str">
        <f>IF(OR('41_Clasificacion_Empresas'!F19="A",'41_Clasificacion_Empresas'!F19="B"),'41_Clasificacion_Empresas'!C19,"")</f>
        <v/>
      </c>
      <c r="B19" s="127" t="str">
        <f>IF(A19="","",'41_Clasificacion_Empresas'!D19)</f>
        <v/>
      </c>
      <c r="C19" s="127"/>
      <c r="D19" s="116" t="str">
        <f>IF(A19="","",'41_Clasificacion_Empresas'!L19)</f>
        <v/>
      </c>
      <c r="E19" s="127" t="str">
        <f>IF(A19="","",'41_Clasificacion_Empresas'!M19)</f>
        <v/>
      </c>
      <c r="F19" s="126" t="str">
        <f t="shared" ca="1" si="0"/>
        <v/>
      </c>
      <c r="G19" s="127"/>
      <c r="H19" s="128" t="str">
        <f t="shared" si="1"/>
        <v/>
      </c>
      <c r="I19" s="127" t="str">
        <f>IF(A19="","",INDEX('40_Estudio_Empresas'!$X$3:$X$204,ROW()-4))</f>
        <v/>
      </c>
      <c r="J19" s="127" t="str">
        <f>IF(A19="","",'41_Clasificacion_Empresas'!G19)</f>
        <v/>
      </c>
      <c r="K19" s="127" t="str">
        <f>IF(A19="","",'41_Clasificacion_Empresas'!K19)</f>
        <v/>
      </c>
      <c r="L19" s="127"/>
      <c r="M19" s="129" t="str">
        <f>IF(A19="","",IF('41_Clasificacion_Empresas'!F19="A","Pasar a CRM y seguimiento","Mantener seguimiento y estudiar más"))</f>
        <v/>
      </c>
    </row>
    <row r="20" spans="1:13" ht="1.9" customHeight="1">
      <c r="A20" s="127" t="str">
        <f>IF(OR('41_Clasificacion_Empresas'!F20="A",'41_Clasificacion_Empresas'!F20="B"),'41_Clasificacion_Empresas'!C20,"")</f>
        <v/>
      </c>
      <c r="B20" s="127" t="str">
        <f>IF(A20="","",'41_Clasificacion_Empresas'!D20)</f>
        <v/>
      </c>
      <c r="C20" s="127"/>
      <c r="D20" s="116" t="str">
        <f>IF(A20="","",'41_Clasificacion_Empresas'!L20)</f>
        <v/>
      </c>
      <c r="E20" s="127" t="str">
        <f>IF(A20="","",'41_Clasificacion_Empresas'!M20)</f>
        <v/>
      </c>
      <c r="F20" s="126" t="str">
        <f t="shared" ca="1" si="0"/>
        <v/>
      </c>
      <c r="G20" s="127"/>
      <c r="H20" s="128" t="str">
        <f t="shared" si="1"/>
        <v/>
      </c>
      <c r="I20" s="127" t="str">
        <f>IF(A20="","",INDEX('40_Estudio_Empresas'!$X$3:$X$204,ROW()-4))</f>
        <v/>
      </c>
      <c r="J20" s="127" t="str">
        <f>IF(A20="","",'41_Clasificacion_Empresas'!G20)</f>
        <v/>
      </c>
      <c r="K20" s="127" t="str">
        <f>IF(A20="","",'41_Clasificacion_Empresas'!K20)</f>
        <v/>
      </c>
      <c r="L20" s="127"/>
      <c r="M20" s="129" t="str">
        <f>IF(A20="","",IF('41_Clasificacion_Empresas'!F20="A","Pasar a CRM y seguimiento","Mantener seguimiento y estudiar más"))</f>
        <v/>
      </c>
    </row>
    <row r="21" spans="1:13" ht="1.9" customHeight="1">
      <c r="A21" s="127" t="str">
        <f>IF(OR('41_Clasificacion_Empresas'!F21="A",'41_Clasificacion_Empresas'!F21="B"),'41_Clasificacion_Empresas'!C21,"")</f>
        <v/>
      </c>
      <c r="B21" s="127" t="str">
        <f>IF(A21="","",'41_Clasificacion_Empresas'!D21)</f>
        <v/>
      </c>
      <c r="C21" s="127"/>
      <c r="D21" s="116" t="str">
        <f>IF(A21="","",'41_Clasificacion_Empresas'!L21)</f>
        <v/>
      </c>
      <c r="E21" s="127" t="str">
        <f>IF(A21="","",'41_Clasificacion_Empresas'!M21)</f>
        <v/>
      </c>
      <c r="F21" s="126" t="str">
        <f t="shared" ca="1" si="0"/>
        <v/>
      </c>
      <c r="G21" s="127"/>
      <c r="H21" s="128" t="str">
        <f t="shared" si="1"/>
        <v/>
      </c>
      <c r="I21" s="127" t="str">
        <f>IF(A21="","",INDEX('40_Estudio_Empresas'!$X$3:$X$204,ROW()-4))</f>
        <v/>
      </c>
      <c r="J21" s="127" t="str">
        <f>IF(A21="","",'41_Clasificacion_Empresas'!G21)</f>
        <v/>
      </c>
      <c r="K21" s="127" t="str">
        <f>IF(A21="","",'41_Clasificacion_Empresas'!K21)</f>
        <v/>
      </c>
      <c r="L21" s="127"/>
      <c r="M21" s="129" t="str">
        <f>IF(A21="","",IF('41_Clasificacion_Empresas'!F21="A","Pasar a CRM y seguimiento","Mantener seguimiento y estudiar más"))</f>
        <v/>
      </c>
    </row>
    <row r="22" spans="1:13" ht="1.9" customHeight="1">
      <c r="A22" s="127" t="str">
        <f>IF(OR('41_Clasificacion_Empresas'!F22="A",'41_Clasificacion_Empresas'!F22="B"),'41_Clasificacion_Empresas'!C22,"")</f>
        <v/>
      </c>
      <c r="B22" s="127" t="str">
        <f>IF(A22="","",'41_Clasificacion_Empresas'!D22)</f>
        <v/>
      </c>
      <c r="C22" s="127"/>
      <c r="D22" s="116" t="str">
        <f>IF(A22="","",'41_Clasificacion_Empresas'!L22)</f>
        <v/>
      </c>
      <c r="E22" s="127" t="str">
        <f>IF(A22="","",'41_Clasificacion_Empresas'!M22)</f>
        <v/>
      </c>
      <c r="F22" s="126" t="str">
        <f t="shared" ca="1" si="0"/>
        <v/>
      </c>
      <c r="G22" s="127"/>
      <c r="H22" s="128" t="str">
        <f t="shared" si="1"/>
        <v/>
      </c>
      <c r="I22" s="127" t="str">
        <f>IF(A22="","",INDEX('40_Estudio_Empresas'!$X$3:$X$204,ROW()-4))</f>
        <v/>
      </c>
      <c r="J22" s="127" t="str">
        <f>IF(A22="","",'41_Clasificacion_Empresas'!G22)</f>
        <v/>
      </c>
      <c r="K22" s="127" t="str">
        <f>IF(A22="","",'41_Clasificacion_Empresas'!K22)</f>
        <v/>
      </c>
      <c r="L22" s="127"/>
      <c r="M22" s="129" t="str">
        <f>IF(A22="","",IF('41_Clasificacion_Empresas'!F22="A","Pasar a CRM y seguimiento","Mantener seguimiento y estudiar más"))</f>
        <v/>
      </c>
    </row>
    <row r="23" spans="1:13" ht="1.9" customHeight="1">
      <c r="A23" s="127" t="str">
        <f>IF(OR('41_Clasificacion_Empresas'!F23="A",'41_Clasificacion_Empresas'!F23="B"),'41_Clasificacion_Empresas'!C23,"")</f>
        <v/>
      </c>
      <c r="B23" s="127" t="str">
        <f>IF(A23="","",'41_Clasificacion_Empresas'!D23)</f>
        <v/>
      </c>
      <c r="C23" s="127"/>
      <c r="D23" s="116" t="str">
        <f>IF(A23="","",'41_Clasificacion_Empresas'!L23)</f>
        <v/>
      </c>
      <c r="E23" s="127" t="str">
        <f>IF(A23="","",'41_Clasificacion_Empresas'!M23)</f>
        <v/>
      </c>
      <c r="F23" s="126" t="str">
        <f t="shared" ca="1" si="0"/>
        <v/>
      </c>
      <c r="G23" s="127"/>
      <c r="H23" s="128" t="str">
        <f t="shared" si="1"/>
        <v/>
      </c>
      <c r="I23" s="127" t="str">
        <f>IF(A23="","",INDEX('40_Estudio_Empresas'!$X$3:$X$204,ROW()-4))</f>
        <v/>
      </c>
      <c r="J23" s="127" t="str">
        <f>IF(A23="","",'41_Clasificacion_Empresas'!G23)</f>
        <v/>
      </c>
      <c r="K23" s="127" t="str">
        <f>IF(A23="","",'41_Clasificacion_Empresas'!K23)</f>
        <v/>
      </c>
      <c r="L23" s="127"/>
      <c r="M23" s="129" t="str">
        <f>IF(A23="","",IF('41_Clasificacion_Empresas'!F23="A","Pasar a CRM y seguimiento","Mantener seguimiento y estudiar más"))</f>
        <v/>
      </c>
    </row>
    <row r="24" spans="1:13" ht="1.9" customHeight="1">
      <c r="A24" s="127" t="str">
        <f>IF(OR('41_Clasificacion_Empresas'!F24="A",'41_Clasificacion_Empresas'!F24="B"),'41_Clasificacion_Empresas'!C24,"")</f>
        <v/>
      </c>
      <c r="B24" s="127" t="str">
        <f>IF(A24="","",'41_Clasificacion_Empresas'!D24)</f>
        <v/>
      </c>
      <c r="C24" s="127"/>
      <c r="D24" s="116" t="str">
        <f>IF(A24="","",'41_Clasificacion_Empresas'!L24)</f>
        <v/>
      </c>
      <c r="E24" s="127" t="str">
        <f>IF(A24="","",'41_Clasificacion_Empresas'!M24)</f>
        <v/>
      </c>
      <c r="F24" s="126" t="str">
        <f t="shared" ca="1" si="0"/>
        <v/>
      </c>
      <c r="G24" s="127"/>
      <c r="H24" s="128" t="str">
        <f t="shared" si="1"/>
        <v/>
      </c>
      <c r="I24" s="127" t="str">
        <f>IF(A24="","",INDEX('40_Estudio_Empresas'!$X$3:$X$204,ROW()-4))</f>
        <v/>
      </c>
      <c r="J24" s="127" t="str">
        <f>IF(A24="","",'41_Clasificacion_Empresas'!G24)</f>
        <v/>
      </c>
      <c r="K24" s="127" t="str">
        <f>IF(A24="","",'41_Clasificacion_Empresas'!K24)</f>
        <v/>
      </c>
      <c r="L24" s="127"/>
      <c r="M24" s="129" t="str">
        <f>IF(A24="","",IF('41_Clasificacion_Empresas'!F24="A","Pasar a CRM y seguimiento","Mantener seguimiento y estudiar más"))</f>
        <v/>
      </c>
    </row>
    <row r="25" spans="1:13" ht="1.9" customHeight="1">
      <c r="A25" s="127" t="str">
        <f>IF(OR('41_Clasificacion_Empresas'!F25="A",'41_Clasificacion_Empresas'!F25="B"),'41_Clasificacion_Empresas'!C25,"")</f>
        <v/>
      </c>
      <c r="B25" s="127" t="str">
        <f>IF(A25="","",'41_Clasificacion_Empresas'!D25)</f>
        <v/>
      </c>
      <c r="C25" s="127"/>
      <c r="D25" s="116" t="str">
        <f>IF(A25="","",'41_Clasificacion_Empresas'!L25)</f>
        <v/>
      </c>
      <c r="E25" s="127" t="str">
        <f>IF(A25="","",'41_Clasificacion_Empresas'!M25)</f>
        <v/>
      </c>
      <c r="F25" s="126" t="str">
        <f t="shared" ca="1" si="0"/>
        <v/>
      </c>
      <c r="G25" s="127"/>
      <c r="H25" s="128" t="str">
        <f t="shared" si="1"/>
        <v/>
      </c>
      <c r="I25" s="127" t="str">
        <f>IF(A25="","",INDEX('40_Estudio_Empresas'!$X$3:$X$204,ROW()-4))</f>
        <v/>
      </c>
      <c r="J25" s="127" t="str">
        <f>IF(A25="","",'41_Clasificacion_Empresas'!G25)</f>
        <v/>
      </c>
      <c r="K25" s="127" t="str">
        <f>IF(A25="","",'41_Clasificacion_Empresas'!K25)</f>
        <v/>
      </c>
      <c r="L25" s="127"/>
      <c r="M25" s="129" t="str">
        <f>IF(A25="","",IF('41_Clasificacion_Empresas'!F25="A","Pasar a CRM y seguimiento","Mantener seguimiento y estudiar más"))</f>
        <v/>
      </c>
    </row>
    <row r="26" spans="1:13" ht="1.9" customHeight="1">
      <c r="A26" s="127" t="str">
        <f>IF(OR('41_Clasificacion_Empresas'!F26="A",'41_Clasificacion_Empresas'!F26="B"),'41_Clasificacion_Empresas'!C26,"")</f>
        <v/>
      </c>
      <c r="B26" s="127" t="str">
        <f>IF(A26="","",'41_Clasificacion_Empresas'!D26)</f>
        <v/>
      </c>
      <c r="C26" s="127"/>
      <c r="D26" s="116" t="str">
        <f>IF(A26="","",'41_Clasificacion_Empresas'!L26)</f>
        <v/>
      </c>
      <c r="E26" s="127" t="str">
        <f>IF(A26="","",'41_Clasificacion_Empresas'!M26)</f>
        <v/>
      </c>
      <c r="F26" s="126" t="str">
        <f t="shared" ca="1" si="0"/>
        <v/>
      </c>
      <c r="G26" s="127"/>
      <c r="H26" s="128" t="str">
        <f t="shared" si="1"/>
        <v/>
      </c>
      <c r="I26" s="127" t="str">
        <f>IF(A26="","",INDEX('40_Estudio_Empresas'!$X$3:$X$204,ROW()-4))</f>
        <v/>
      </c>
      <c r="J26" s="127" t="str">
        <f>IF(A26="","",'41_Clasificacion_Empresas'!G26)</f>
        <v/>
      </c>
      <c r="K26" s="127" t="str">
        <f>IF(A26="","",'41_Clasificacion_Empresas'!K26)</f>
        <v/>
      </c>
      <c r="L26" s="127"/>
      <c r="M26" s="129" t="str">
        <f>IF(A26="","",IF('41_Clasificacion_Empresas'!F26="A","Pasar a CRM y seguimiento","Mantener seguimiento y estudiar más"))</f>
        <v/>
      </c>
    </row>
    <row r="27" spans="1:13" ht="1.9" customHeight="1">
      <c r="A27" s="127" t="str">
        <f>IF(OR('41_Clasificacion_Empresas'!F27="A",'41_Clasificacion_Empresas'!F27="B"),'41_Clasificacion_Empresas'!C27,"")</f>
        <v/>
      </c>
      <c r="B27" s="127" t="str">
        <f>IF(A27="","",'41_Clasificacion_Empresas'!D27)</f>
        <v/>
      </c>
      <c r="C27" s="127"/>
      <c r="D27" s="116" t="str">
        <f>IF(A27="","",'41_Clasificacion_Empresas'!L27)</f>
        <v/>
      </c>
      <c r="E27" s="127" t="str">
        <f>IF(A27="","",'41_Clasificacion_Empresas'!M27)</f>
        <v/>
      </c>
      <c r="F27" s="126" t="str">
        <f t="shared" ca="1" si="0"/>
        <v/>
      </c>
      <c r="G27" s="127"/>
      <c r="H27" s="128" t="str">
        <f t="shared" si="1"/>
        <v/>
      </c>
      <c r="I27" s="127" t="str">
        <f>IF(A27="","",INDEX('40_Estudio_Empresas'!$X$3:$X$204,ROW()-4))</f>
        <v/>
      </c>
      <c r="J27" s="127" t="str">
        <f>IF(A27="","",'41_Clasificacion_Empresas'!G27)</f>
        <v/>
      </c>
      <c r="K27" s="127" t="str">
        <f>IF(A27="","",'41_Clasificacion_Empresas'!K27)</f>
        <v/>
      </c>
      <c r="L27" s="127"/>
      <c r="M27" s="129" t="str">
        <f>IF(A27="","",IF('41_Clasificacion_Empresas'!F27="A","Pasar a CRM y seguimiento","Mantener seguimiento y estudiar más"))</f>
        <v/>
      </c>
    </row>
    <row r="28" spans="1:13" ht="1.9" customHeight="1">
      <c r="A28" s="127" t="str">
        <f>IF(OR('41_Clasificacion_Empresas'!F28="A",'41_Clasificacion_Empresas'!F28="B"),'41_Clasificacion_Empresas'!C28,"")</f>
        <v/>
      </c>
      <c r="B28" s="127" t="str">
        <f>IF(A28="","",'41_Clasificacion_Empresas'!D28)</f>
        <v/>
      </c>
      <c r="C28" s="127"/>
      <c r="D28" s="116" t="str">
        <f>IF(A28="","",'41_Clasificacion_Empresas'!L28)</f>
        <v/>
      </c>
      <c r="E28" s="127" t="str">
        <f>IF(A28="","",'41_Clasificacion_Empresas'!M28)</f>
        <v/>
      </c>
      <c r="F28" s="126" t="str">
        <f t="shared" ca="1" si="0"/>
        <v/>
      </c>
      <c r="G28" s="127"/>
      <c r="H28" s="128" t="str">
        <f t="shared" si="1"/>
        <v/>
      </c>
      <c r="I28" s="127" t="str">
        <f>IF(A28="","",INDEX('40_Estudio_Empresas'!$X$3:$X$204,ROW()-4))</f>
        <v/>
      </c>
      <c r="J28" s="127" t="str">
        <f>IF(A28="","",'41_Clasificacion_Empresas'!G28)</f>
        <v/>
      </c>
      <c r="K28" s="127" t="str">
        <f>IF(A28="","",'41_Clasificacion_Empresas'!K28)</f>
        <v/>
      </c>
      <c r="L28" s="127"/>
      <c r="M28" s="129" t="str">
        <f>IF(A28="","",IF('41_Clasificacion_Empresas'!F28="A","Pasar a CRM y seguimiento","Mantener seguimiento y estudiar más"))</f>
        <v/>
      </c>
    </row>
    <row r="29" spans="1:13" ht="1.9" customHeight="1">
      <c r="A29" s="127" t="str">
        <f>IF(OR('41_Clasificacion_Empresas'!F29="A",'41_Clasificacion_Empresas'!F29="B"),'41_Clasificacion_Empresas'!C29,"")</f>
        <v/>
      </c>
      <c r="B29" s="127" t="str">
        <f>IF(A29="","",'41_Clasificacion_Empresas'!D29)</f>
        <v/>
      </c>
      <c r="C29" s="127"/>
      <c r="D29" s="116" t="str">
        <f>IF(A29="","",'41_Clasificacion_Empresas'!L29)</f>
        <v/>
      </c>
      <c r="E29" s="127" t="str">
        <f>IF(A29="","",'41_Clasificacion_Empresas'!M29)</f>
        <v/>
      </c>
      <c r="F29" s="126" t="str">
        <f t="shared" ca="1" si="0"/>
        <v/>
      </c>
      <c r="G29" s="127"/>
      <c r="H29" s="128" t="str">
        <f t="shared" si="1"/>
        <v/>
      </c>
      <c r="I29" s="127" t="str">
        <f>IF(A29="","",INDEX('40_Estudio_Empresas'!$X$3:$X$204,ROW()-4))</f>
        <v/>
      </c>
      <c r="J29" s="127" t="str">
        <f>IF(A29="","",'41_Clasificacion_Empresas'!G29)</f>
        <v/>
      </c>
      <c r="K29" s="127" t="str">
        <f>IF(A29="","",'41_Clasificacion_Empresas'!K29)</f>
        <v/>
      </c>
      <c r="L29" s="127"/>
      <c r="M29" s="129" t="str">
        <f>IF(A29="","",IF('41_Clasificacion_Empresas'!F29="A","Pasar a CRM y seguimiento","Mantener seguimiento y estudiar más"))</f>
        <v/>
      </c>
    </row>
    <row r="30" spans="1:13" ht="1.9" customHeight="1">
      <c r="A30" s="127" t="str">
        <f>IF(OR('41_Clasificacion_Empresas'!F30="A",'41_Clasificacion_Empresas'!F30="B"),'41_Clasificacion_Empresas'!C30,"")</f>
        <v/>
      </c>
      <c r="B30" s="127" t="str">
        <f>IF(A30="","",'41_Clasificacion_Empresas'!D30)</f>
        <v/>
      </c>
      <c r="C30" s="127"/>
      <c r="D30" s="116" t="str">
        <f>IF(A30="","",'41_Clasificacion_Empresas'!L30)</f>
        <v/>
      </c>
      <c r="E30" s="127" t="str">
        <f>IF(A30="","",'41_Clasificacion_Empresas'!M30)</f>
        <v/>
      </c>
      <c r="F30" s="126" t="str">
        <f t="shared" ca="1" si="0"/>
        <v/>
      </c>
      <c r="G30" s="127"/>
      <c r="H30" s="128" t="str">
        <f t="shared" si="1"/>
        <v/>
      </c>
      <c r="I30" s="127" t="str">
        <f>IF(A30="","",INDEX('40_Estudio_Empresas'!$X$3:$X$204,ROW()-4))</f>
        <v/>
      </c>
      <c r="J30" s="127" t="str">
        <f>IF(A30="","",'41_Clasificacion_Empresas'!G30)</f>
        <v/>
      </c>
      <c r="K30" s="127" t="str">
        <f>IF(A30="","",'41_Clasificacion_Empresas'!K30)</f>
        <v/>
      </c>
      <c r="L30" s="127"/>
      <c r="M30" s="129" t="str">
        <f>IF(A30="","",IF('41_Clasificacion_Empresas'!F30="A","Pasar a CRM y seguimiento","Mantener seguimiento y estudiar más"))</f>
        <v/>
      </c>
    </row>
    <row r="31" spans="1:13" ht="1.9" customHeight="1">
      <c r="A31" s="127" t="str">
        <f>IF(OR('41_Clasificacion_Empresas'!F31="A",'41_Clasificacion_Empresas'!F31="B"),'41_Clasificacion_Empresas'!C31,"")</f>
        <v/>
      </c>
      <c r="B31" s="127" t="str">
        <f>IF(A31="","",'41_Clasificacion_Empresas'!D31)</f>
        <v/>
      </c>
      <c r="C31" s="127"/>
      <c r="D31" s="116" t="str">
        <f>IF(A31="","",'41_Clasificacion_Empresas'!L31)</f>
        <v/>
      </c>
      <c r="E31" s="127" t="str">
        <f>IF(A31="","",'41_Clasificacion_Empresas'!M31)</f>
        <v/>
      </c>
      <c r="F31" s="126" t="str">
        <f t="shared" ca="1" si="0"/>
        <v/>
      </c>
      <c r="G31" s="127"/>
      <c r="H31" s="128" t="str">
        <f t="shared" si="1"/>
        <v/>
      </c>
      <c r="I31" s="127" t="str">
        <f>IF(A31="","",INDEX('40_Estudio_Empresas'!$X$3:$X$204,ROW()-4))</f>
        <v/>
      </c>
      <c r="J31" s="127" t="str">
        <f>IF(A31="","",'41_Clasificacion_Empresas'!G31)</f>
        <v/>
      </c>
      <c r="K31" s="127" t="str">
        <f>IF(A31="","",'41_Clasificacion_Empresas'!K31)</f>
        <v/>
      </c>
      <c r="L31" s="127"/>
      <c r="M31" s="129" t="str">
        <f>IF(A31="","",IF('41_Clasificacion_Empresas'!F31="A","Pasar a CRM y seguimiento","Mantener seguimiento y estudiar más"))</f>
        <v/>
      </c>
    </row>
    <row r="32" spans="1:13" ht="1.9" customHeight="1">
      <c r="A32" s="127" t="str">
        <f>IF(OR('41_Clasificacion_Empresas'!F32="A",'41_Clasificacion_Empresas'!F32="B"),'41_Clasificacion_Empresas'!C32,"")</f>
        <v/>
      </c>
      <c r="B32" s="127" t="str">
        <f>IF(A32="","",'41_Clasificacion_Empresas'!D32)</f>
        <v/>
      </c>
      <c r="C32" s="127"/>
      <c r="D32" s="116" t="str">
        <f>IF(A32="","",'41_Clasificacion_Empresas'!L32)</f>
        <v/>
      </c>
      <c r="E32" s="127" t="str">
        <f>IF(A32="","",'41_Clasificacion_Empresas'!M32)</f>
        <v/>
      </c>
      <c r="F32" s="126" t="str">
        <f t="shared" ca="1" si="0"/>
        <v/>
      </c>
      <c r="G32" s="127"/>
      <c r="H32" s="128" t="str">
        <f t="shared" si="1"/>
        <v/>
      </c>
      <c r="I32" s="127" t="str">
        <f>IF(A32="","",INDEX('40_Estudio_Empresas'!$X$3:$X$204,ROW()-4))</f>
        <v/>
      </c>
      <c r="J32" s="127" t="str">
        <f>IF(A32="","",'41_Clasificacion_Empresas'!G32)</f>
        <v/>
      </c>
      <c r="K32" s="127" t="str">
        <f>IF(A32="","",'41_Clasificacion_Empresas'!K32)</f>
        <v/>
      </c>
      <c r="L32" s="127"/>
      <c r="M32" s="129" t="str">
        <f>IF(A32="","",IF('41_Clasificacion_Empresas'!F32="A","Pasar a CRM y seguimiento","Mantener seguimiento y estudiar más"))</f>
        <v/>
      </c>
    </row>
    <row r="33" spans="1:13" ht="1.9" customHeight="1">
      <c r="A33" s="127" t="str">
        <f>IF(OR('41_Clasificacion_Empresas'!F33="A",'41_Clasificacion_Empresas'!F33="B"),'41_Clasificacion_Empresas'!C33,"")</f>
        <v/>
      </c>
      <c r="B33" s="127" t="str">
        <f>IF(A33="","",'41_Clasificacion_Empresas'!D33)</f>
        <v/>
      </c>
      <c r="C33" s="127"/>
      <c r="D33" s="116" t="str">
        <f>IF(A33="","",'41_Clasificacion_Empresas'!L33)</f>
        <v/>
      </c>
      <c r="E33" s="127" t="str">
        <f>IF(A33="","",'41_Clasificacion_Empresas'!M33)</f>
        <v/>
      </c>
      <c r="F33" s="126" t="str">
        <f t="shared" ca="1" si="0"/>
        <v/>
      </c>
      <c r="G33" s="127"/>
      <c r="H33" s="128" t="str">
        <f t="shared" si="1"/>
        <v/>
      </c>
      <c r="I33" s="127" t="str">
        <f>IF(A33="","",INDEX('40_Estudio_Empresas'!$X$3:$X$204,ROW()-4))</f>
        <v/>
      </c>
      <c r="J33" s="127" t="str">
        <f>IF(A33="","",'41_Clasificacion_Empresas'!G33)</f>
        <v/>
      </c>
      <c r="K33" s="127" t="str">
        <f>IF(A33="","",'41_Clasificacion_Empresas'!K33)</f>
        <v/>
      </c>
      <c r="L33" s="127"/>
      <c r="M33" s="129" t="str">
        <f>IF(A33="","",IF('41_Clasificacion_Empresas'!F33="A","Pasar a CRM y seguimiento","Mantener seguimiento y estudiar más"))</f>
        <v/>
      </c>
    </row>
    <row r="34" spans="1:13" ht="1.9" customHeight="1">
      <c r="A34" s="127" t="str">
        <f>IF(OR('41_Clasificacion_Empresas'!F34="A",'41_Clasificacion_Empresas'!F34="B"),'41_Clasificacion_Empresas'!C34,"")</f>
        <v/>
      </c>
      <c r="B34" s="127" t="str">
        <f>IF(A34="","",'41_Clasificacion_Empresas'!D34)</f>
        <v/>
      </c>
      <c r="C34" s="127"/>
      <c r="D34" s="116" t="str">
        <f>IF(A34="","",'41_Clasificacion_Empresas'!L34)</f>
        <v/>
      </c>
      <c r="E34" s="127" t="str">
        <f>IF(A34="","",'41_Clasificacion_Empresas'!M34)</f>
        <v/>
      </c>
      <c r="F34" s="126" t="str">
        <f t="shared" ca="1" si="0"/>
        <v/>
      </c>
      <c r="G34" s="127"/>
      <c r="H34" s="128" t="str">
        <f t="shared" si="1"/>
        <v/>
      </c>
      <c r="I34" s="127" t="str">
        <f>IF(A34="","",INDEX('40_Estudio_Empresas'!$X$3:$X$204,ROW()-4))</f>
        <v/>
      </c>
      <c r="J34" s="127" t="str">
        <f>IF(A34="","",'41_Clasificacion_Empresas'!G34)</f>
        <v/>
      </c>
      <c r="K34" s="127" t="str">
        <f>IF(A34="","",'41_Clasificacion_Empresas'!K34)</f>
        <v/>
      </c>
      <c r="L34" s="127"/>
      <c r="M34" s="129" t="str">
        <f>IF(A34="","",IF('41_Clasificacion_Empresas'!F34="A","Pasar a CRM y seguimiento","Mantener seguimiento y estudiar más"))</f>
        <v/>
      </c>
    </row>
    <row r="35" spans="1:13" ht="1.9" customHeight="1">
      <c r="A35" s="127" t="str">
        <f>IF(OR('41_Clasificacion_Empresas'!F35="A",'41_Clasificacion_Empresas'!F35="B"),'41_Clasificacion_Empresas'!C35,"")</f>
        <v/>
      </c>
      <c r="B35" s="127" t="str">
        <f>IF(A35="","",'41_Clasificacion_Empresas'!D35)</f>
        <v/>
      </c>
      <c r="C35" s="127"/>
      <c r="D35" s="116" t="str">
        <f>IF(A35="","",'41_Clasificacion_Empresas'!L35)</f>
        <v/>
      </c>
      <c r="E35" s="127" t="str">
        <f>IF(A35="","",'41_Clasificacion_Empresas'!M35)</f>
        <v/>
      </c>
      <c r="F35" s="126" t="str">
        <f t="shared" ca="1" si="0"/>
        <v/>
      </c>
      <c r="G35" s="127"/>
      <c r="H35" s="128" t="str">
        <f t="shared" si="1"/>
        <v/>
      </c>
      <c r="I35" s="127" t="str">
        <f>IF(A35="","",INDEX('40_Estudio_Empresas'!$X$3:$X$204,ROW()-4))</f>
        <v/>
      </c>
      <c r="J35" s="127" t="str">
        <f>IF(A35="","",'41_Clasificacion_Empresas'!G35)</f>
        <v/>
      </c>
      <c r="K35" s="127" t="str">
        <f>IF(A35="","",'41_Clasificacion_Empresas'!K35)</f>
        <v/>
      </c>
      <c r="L35" s="127"/>
      <c r="M35" s="129" t="str">
        <f>IF(A35="","",IF('41_Clasificacion_Empresas'!F35="A","Pasar a CRM y seguimiento","Mantener seguimiento y estudiar más"))</f>
        <v/>
      </c>
    </row>
    <row r="36" spans="1:13" ht="1.9" customHeight="1">
      <c r="A36" s="127" t="str">
        <f>IF(OR('41_Clasificacion_Empresas'!F36="A",'41_Clasificacion_Empresas'!F36="B"),'41_Clasificacion_Empresas'!C36,"")</f>
        <v/>
      </c>
      <c r="B36" s="127" t="str">
        <f>IF(A36="","",'41_Clasificacion_Empresas'!D36)</f>
        <v/>
      </c>
      <c r="C36" s="127"/>
      <c r="D36" s="116" t="str">
        <f>IF(A36="","",'41_Clasificacion_Empresas'!L36)</f>
        <v/>
      </c>
      <c r="E36" s="127" t="str">
        <f>IF(A36="","",'41_Clasificacion_Empresas'!M36)</f>
        <v/>
      </c>
      <c r="F36" s="126" t="str">
        <f t="shared" ca="1" si="0"/>
        <v/>
      </c>
      <c r="G36" s="127"/>
      <c r="H36" s="128" t="str">
        <f t="shared" si="1"/>
        <v/>
      </c>
      <c r="I36" s="127" t="str">
        <f>IF(A36="","",INDEX('40_Estudio_Empresas'!$X$3:$X$204,ROW()-4))</f>
        <v/>
      </c>
      <c r="J36" s="127" t="str">
        <f>IF(A36="","",'41_Clasificacion_Empresas'!G36)</f>
        <v/>
      </c>
      <c r="K36" s="127" t="str">
        <f>IF(A36="","",'41_Clasificacion_Empresas'!K36)</f>
        <v/>
      </c>
      <c r="L36" s="127"/>
      <c r="M36" s="129" t="str">
        <f>IF(A36="","",IF('41_Clasificacion_Empresas'!F36="A","Pasar a CRM y seguimiento","Mantener seguimiento y estudiar más"))</f>
        <v/>
      </c>
    </row>
    <row r="37" spans="1:13" ht="1.9" customHeight="1">
      <c r="A37" s="127" t="str">
        <f>IF(OR('41_Clasificacion_Empresas'!F37="A",'41_Clasificacion_Empresas'!F37="B"),'41_Clasificacion_Empresas'!C37,"")</f>
        <v/>
      </c>
      <c r="B37" s="127" t="str">
        <f>IF(A37="","",'41_Clasificacion_Empresas'!D37)</f>
        <v/>
      </c>
      <c r="C37" s="127"/>
      <c r="D37" s="116" t="str">
        <f>IF(A37="","",'41_Clasificacion_Empresas'!L37)</f>
        <v/>
      </c>
      <c r="E37" s="127" t="str">
        <f>IF(A37="","",'41_Clasificacion_Empresas'!M37)</f>
        <v/>
      </c>
      <c r="F37" s="126" t="str">
        <f t="shared" ref="F37:F68" ca="1" si="2">IF(A37="","",TODAY()+7)</f>
        <v/>
      </c>
      <c r="G37" s="127"/>
      <c r="H37" s="128" t="str">
        <f t="shared" ref="H37:H68" si="3">IF(A37="","","40_Estudio_Empresas → 41_Clasificacion")</f>
        <v/>
      </c>
      <c r="I37" s="127" t="str">
        <f>IF(A37="","",INDEX('40_Estudio_Empresas'!$X$3:$X$204,ROW()-4))</f>
        <v/>
      </c>
      <c r="J37" s="127" t="str">
        <f>IF(A37="","",'41_Clasificacion_Empresas'!G37)</f>
        <v/>
      </c>
      <c r="K37" s="127" t="str">
        <f>IF(A37="","",'41_Clasificacion_Empresas'!K37)</f>
        <v/>
      </c>
      <c r="L37" s="127"/>
      <c r="M37" s="129" t="str">
        <f>IF(A37="","",IF('41_Clasificacion_Empresas'!F37="A","Pasar a CRM y seguimiento","Mantener seguimiento y estudiar más"))</f>
        <v/>
      </c>
    </row>
    <row r="38" spans="1:13" ht="1.9" customHeight="1">
      <c r="A38" s="127" t="str">
        <f>IF(OR('41_Clasificacion_Empresas'!F38="A",'41_Clasificacion_Empresas'!F38="B"),'41_Clasificacion_Empresas'!C38,"")</f>
        <v/>
      </c>
      <c r="B38" s="127" t="str">
        <f>IF(A38="","",'41_Clasificacion_Empresas'!D38)</f>
        <v/>
      </c>
      <c r="C38" s="127"/>
      <c r="D38" s="116" t="str">
        <f>IF(A38="","",'41_Clasificacion_Empresas'!L38)</f>
        <v/>
      </c>
      <c r="E38" s="127" t="str">
        <f>IF(A38="","",'41_Clasificacion_Empresas'!M38)</f>
        <v/>
      </c>
      <c r="F38" s="126" t="str">
        <f t="shared" ca="1" si="2"/>
        <v/>
      </c>
      <c r="G38" s="127"/>
      <c r="H38" s="128" t="str">
        <f t="shared" si="3"/>
        <v/>
      </c>
      <c r="I38" s="127" t="str">
        <f>IF(A38="","",INDEX('40_Estudio_Empresas'!$X$3:$X$204,ROW()-4))</f>
        <v/>
      </c>
      <c r="J38" s="127" t="str">
        <f>IF(A38="","",'41_Clasificacion_Empresas'!G38)</f>
        <v/>
      </c>
      <c r="K38" s="127" t="str">
        <f>IF(A38="","",'41_Clasificacion_Empresas'!K38)</f>
        <v/>
      </c>
      <c r="L38" s="127"/>
      <c r="M38" s="129" t="str">
        <f>IF(A38="","",IF('41_Clasificacion_Empresas'!F38="A","Pasar a CRM y seguimiento","Mantener seguimiento y estudiar más"))</f>
        <v/>
      </c>
    </row>
    <row r="39" spans="1:13" ht="1.9" customHeight="1">
      <c r="A39" s="127" t="str">
        <f>IF(OR('41_Clasificacion_Empresas'!F39="A",'41_Clasificacion_Empresas'!F39="B"),'41_Clasificacion_Empresas'!C39,"")</f>
        <v/>
      </c>
      <c r="B39" s="127" t="str">
        <f>IF(A39="","",'41_Clasificacion_Empresas'!D39)</f>
        <v/>
      </c>
      <c r="C39" s="127"/>
      <c r="D39" s="116" t="str">
        <f>IF(A39="","",'41_Clasificacion_Empresas'!L39)</f>
        <v/>
      </c>
      <c r="E39" s="127" t="str">
        <f>IF(A39="","",'41_Clasificacion_Empresas'!M39)</f>
        <v/>
      </c>
      <c r="F39" s="126" t="str">
        <f t="shared" ca="1" si="2"/>
        <v/>
      </c>
      <c r="G39" s="127"/>
      <c r="H39" s="128" t="str">
        <f t="shared" si="3"/>
        <v/>
      </c>
      <c r="I39" s="127" t="str">
        <f>IF(A39="","",INDEX('40_Estudio_Empresas'!$X$3:$X$204,ROW()-4))</f>
        <v/>
      </c>
      <c r="J39" s="127" t="str">
        <f>IF(A39="","",'41_Clasificacion_Empresas'!G39)</f>
        <v/>
      </c>
      <c r="K39" s="127" t="str">
        <f>IF(A39="","",'41_Clasificacion_Empresas'!K39)</f>
        <v/>
      </c>
      <c r="L39" s="127"/>
      <c r="M39" s="129" t="str">
        <f>IF(A39="","",IF('41_Clasificacion_Empresas'!F39="A","Pasar a CRM y seguimiento","Mantener seguimiento y estudiar más"))</f>
        <v/>
      </c>
    </row>
    <row r="40" spans="1:13" ht="1.9" customHeight="1">
      <c r="A40" s="127" t="str">
        <f>IF(OR('41_Clasificacion_Empresas'!F40="A",'41_Clasificacion_Empresas'!F40="B"),'41_Clasificacion_Empresas'!C40,"")</f>
        <v/>
      </c>
      <c r="B40" s="127" t="str">
        <f>IF(A40="","",'41_Clasificacion_Empresas'!D40)</f>
        <v/>
      </c>
      <c r="C40" s="127"/>
      <c r="D40" s="116" t="str">
        <f>IF(A40="","",'41_Clasificacion_Empresas'!L40)</f>
        <v/>
      </c>
      <c r="E40" s="127" t="str">
        <f>IF(A40="","",'41_Clasificacion_Empresas'!M40)</f>
        <v/>
      </c>
      <c r="F40" s="126" t="str">
        <f t="shared" ca="1" si="2"/>
        <v/>
      </c>
      <c r="G40" s="127"/>
      <c r="H40" s="128" t="str">
        <f t="shared" si="3"/>
        <v/>
      </c>
      <c r="I40" s="127" t="str">
        <f>IF(A40="","",INDEX('40_Estudio_Empresas'!$X$3:$X$204,ROW()-4))</f>
        <v/>
      </c>
      <c r="J40" s="127" t="str">
        <f>IF(A40="","",'41_Clasificacion_Empresas'!G40)</f>
        <v/>
      </c>
      <c r="K40" s="127" t="str">
        <f>IF(A40="","",'41_Clasificacion_Empresas'!K40)</f>
        <v/>
      </c>
      <c r="L40" s="127"/>
      <c r="M40" s="129" t="str">
        <f>IF(A40="","",IF('41_Clasificacion_Empresas'!F40="A","Pasar a CRM y seguimiento","Mantener seguimiento y estudiar más"))</f>
        <v/>
      </c>
    </row>
    <row r="41" spans="1:13" ht="1.9" customHeight="1">
      <c r="A41" s="127" t="str">
        <f>IF(OR('41_Clasificacion_Empresas'!F41="A",'41_Clasificacion_Empresas'!F41="B"),'41_Clasificacion_Empresas'!C41,"")</f>
        <v/>
      </c>
      <c r="B41" s="127" t="str">
        <f>IF(A41="","",'41_Clasificacion_Empresas'!D41)</f>
        <v/>
      </c>
      <c r="C41" s="127"/>
      <c r="D41" s="116" t="str">
        <f>IF(A41="","",'41_Clasificacion_Empresas'!L41)</f>
        <v/>
      </c>
      <c r="E41" s="127" t="str">
        <f>IF(A41="","",'41_Clasificacion_Empresas'!M41)</f>
        <v/>
      </c>
      <c r="F41" s="126" t="str">
        <f t="shared" ca="1" si="2"/>
        <v/>
      </c>
      <c r="G41" s="127"/>
      <c r="H41" s="128" t="str">
        <f t="shared" si="3"/>
        <v/>
      </c>
      <c r="I41" s="127" t="str">
        <f>IF(A41="","",INDEX('40_Estudio_Empresas'!$X$3:$X$204,ROW()-4))</f>
        <v/>
      </c>
      <c r="J41" s="127" t="str">
        <f>IF(A41="","",'41_Clasificacion_Empresas'!G41)</f>
        <v/>
      </c>
      <c r="K41" s="127" t="str">
        <f>IF(A41="","",'41_Clasificacion_Empresas'!K41)</f>
        <v/>
      </c>
      <c r="L41" s="127"/>
      <c r="M41" s="129" t="str">
        <f>IF(A41="","",IF('41_Clasificacion_Empresas'!F41="A","Pasar a CRM y seguimiento","Mantener seguimiento y estudiar más"))</f>
        <v/>
      </c>
    </row>
    <row r="42" spans="1:13" ht="1.9" customHeight="1">
      <c r="A42" s="127" t="str">
        <f>IF(OR('41_Clasificacion_Empresas'!F42="A",'41_Clasificacion_Empresas'!F42="B"),'41_Clasificacion_Empresas'!C42,"")</f>
        <v/>
      </c>
      <c r="B42" s="127" t="str">
        <f>IF(A42="","",'41_Clasificacion_Empresas'!D42)</f>
        <v/>
      </c>
      <c r="C42" s="127"/>
      <c r="D42" s="116" t="str">
        <f>IF(A42="","",'41_Clasificacion_Empresas'!L42)</f>
        <v/>
      </c>
      <c r="E42" s="127" t="str">
        <f>IF(A42="","",'41_Clasificacion_Empresas'!M42)</f>
        <v/>
      </c>
      <c r="F42" s="126" t="str">
        <f t="shared" ca="1" si="2"/>
        <v/>
      </c>
      <c r="G42" s="127"/>
      <c r="H42" s="128" t="str">
        <f t="shared" si="3"/>
        <v/>
      </c>
      <c r="I42" s="127" t="str">
        <f>IF(A42="","",INDEX('40_Estudio_Empresas'!$X$3:$X$204,ROW()-4))</f>
        <v/>
      </c>
      <c r="J42" s="127" t="str">
        <f>IF(A42="","",'41_Clasificacion_Empresas'!G42)</f>
        <v/>
      </c>
      <c r="K42" s="127" t="str">
        <f>IF(A42="","",'41_Clasificacion_Empresas'!K42)</f>
        <v/>
      </c>
      <c r="L42" s="127"/>
      <c r="M42" s="129" t="str">
        <f>IF(A42="","",IF('41_Clasificacion_Empresas'!F42="A","Pasar a CRM y seguimiento","Mantener seguimiento y estudiar más"))</f>
        <v/>
      </c>
    </row>
    <row r="43" spans="1:13" ht="1.9" customHeight="1">
      <c r="A43" s="127" t="str">
        <f>IF(OR('41_Clasificacion_Empresas'!F43="A",'41_Clasificacion_Empresas'!F43="B"),'41_Clasificacion_Empresas'!C43,"")</f>
        <v/>
      </c>
      <c r="B43" s="127" t="str">
        <f>IF(A43="","",'41_Clasificacion_Empresas'!D43)</f>
        <v/>
      </c>
      <c r="C43" s="127"/>
      <c r="D43" s="116" t="str">
        <f>IF(A43="","",'41_Clasificacion_Empresas'!L43)</f>
        <v/>
      </c>
      <c r="E43" s="127" t="str">
        <f>IF(A43="","",'41_Clasificacion_Empresas'!M43)</f>
        <v/>
      </c>
      <c r="F43" s="126" t="str">
        <f t="shared" ca="1" si="2"/>
        <v/>
      </c>
      <c r="G43" s="127"/>
      <c r="H43" s="128" t="str">
        <f t="shared" si="3"/>
        <v/>
      </c>
      <c r="I43" s="127" t="str">
        <f>IF(A43="","",INDEX('40_Estudio_Empresas'!$X$3:$X$204,ROW()-4))</f>
        <v/>
      </c>
      <c r="J43" s="127" t="str">
        <f>IF(A43="","",'41_Clasificacion_Empresas'!G43)</f>
        <v/>
      </c>
      <c r="K43" s="127" t="str">
        <f>IF(A43="","",'41_Clasificacion_Empresas'!K43)</f>
        <v/>
      </c>
      <c r="L43" s="127"/>
      <c r="M43" s="129" t="str">
        <f>IF(A43="","",IF('41_Clasificacion_Empresas'!F43="A","Pasar a CRM y seguimiento","Mantener seguimiento y estudiar más"))</f>
        <v/>
      </c>
    </row>
    <row r="44" spans="1:13" ht="1.9" customHeight="1">
      <c r="A44" s="127" t="str">
        <f>IF(OR('41_Clasificacion_Empresas'!F44="A",'41_Clasificacion_Empresas'!F44="B"),'41_Clasificacion_Empresas'!C44,"")</f>
        <v/>
      </c>
      <c r="B44" s="127" t="str">
        <f>IF(A44="","",'41_Clasificacion_Empresas'!D44)</f>
        <v/>
      </c>
      <c r="C44" s="127"/>
      <c r="D44" s="116" t="str">
        <f>IF(A44="","",'41_Clasificacion_Empresas'!L44)</f>
        <v/>
      </c>
      <c r="E44" s="127" t="str">
        <f>IF(A44="","",'41_Clasificacion_Empresas'!M44)</f>
        <v/>
      </c>
      <c r="F44" s="126" t="str">
        <f t="shared" ca="1" si="2"/>
        <v/>
      </c>
      <c r="G44" s="127"/>
      <c r="H44" s="128" t="str">
        <f t="shared" si="3"/>
        <v/>
      </c>
      <c r="I44" s="127" t="str">
        <f>IF(A44="","",INDEX('40_Estudio_Empresas'!$X$3:$X$204,ROW()-4))</f>
        <v/>
      </c>
      <c r="J44" s="127" t="str">
        <f>IF(A44="","",'41_Clasificacion_Empresas'!G44)</f>
        <v/>
      </c>
      <c r="K44" s="127" t="str">
        <f>IF(A44="","",'41_Clasificacion_Empresas'!K44)</f>
        <v/>
      </c>
      <c r="L44" s="127"/>
      <c r="M44" s="129" t="str">
        <f>IF(A44="","",IF('41_Clasificacion_Empresas'!F44="A","Pasar a CRM y seguimiento","Mantener seguimiento y estudiar más"))</f>
        <v/>
      </c>
    </row>
    <row r="45" spans="1:13" ht="1.9" customHeight="1">
      <c r="A45" s="127" t="str">
        <f>IF(OR('41_Clasificacion_Empresas'!F45="A",'41_Clasificacion_Empresas'!F45="B"),'41_Clasificacion_Empresas'!C45,"")</f>
        <v/>
      </c>
      <c r="B45" s="127" t="str">
        <f>IF(A45="","",'41_Clasificacion_Empresas'!D45)</f>
        <v/>
      </c>
      <c r="C45" s="127"/>
      <c r="D45" s="116" t="str">
        <f>IF(A45="","",'41_Clasificacion_Empresas'!L45)</f>
        <v/>
      </c>
      <c r="E45" s="127" t="str">
        <f>IF(A45="","",'41_Clasificacion_Empresas'!M45)</f>
        <v/>
      </c>
      <c r="F45" s="126" t="str">
        <f t="shared" ca="1" si="2"/>
        <v/>
      </c>
      <c r="G45" s="127"/>
      <c r="H45" s="128" t="str">
        <f t="shared" si="3"/>
        <v/>
      </c>
      <c r="I45" s="127" t="str">
        <f>IF(A45="","",INDEX('40_Estudio_Empresas'!$X$3:$X$204,ROW()-4))</f>
        <v/>
      </c>
      <c r="J45" s="127" t="str">
        <f>IF(A45="","",'41_Clasificacion_Empresas'!G45)</f>
        <v/>
      </c>
      <c r="K45" s="127" t="str">
        <f>IF(A45="","",'41_Clasificacion_Empresas'!K45)</f>
        <v/>
      </c>
      <c r="L45" s="127"/>
      <c r="M45" s="129" t="str">
        <f>IF(A45="","",IF('41_Clasificacion_Empresas'!F45="A","Pasar a CRM y seguimiento","Mantener seguimiento y estudiar más"))</f>
        <v/>
      </c>
    </row>
    <row r="46" spans="1:13" ht="1.9" customHeight="1">
      <c r="A46" s="127" t="str">
        <f>IF(OR('41_Clasificacion_Empresas'!F46="A",'41_Clasificacion_Empresas'!F46="B"),'41_Clasificacion_Empresas'!C46,"")</f>
        <v/>
      </c>
      <c r="B46" s="127" t="str">
        <f>IF(A46="","",'41_Clasificacion_Empresas'!D46)</f>
        <v/>
      </c>
      <c r="C46" s="127"/>
      <c r="D46" s="116" t="str">
        <f>IF(A46="","",'41_Clasificacion_Empresas'!L46)</f>
        <v/>
      </c>
      <c r="E46" s="127" t="str">
        <f>IF(A46="","",'41_Clasificacion_Empresas'!M46)</f>
        <v/>
      </c>
      <c r="F46" s="126" t="str">
        <f t="shared" ca="1" si="2"/>
        <v/>
      </c>
      <c r="G46" s="127"/>
      <c r="H46" s="128" t="str">
        <f t="shared" si="3"/>
        <v/>
      </c>
      <c r="I46" s="127" t="str">
        <f>IF(A46="","",INDEX('40_Estudio_Empresas'!$X$3:$X$204,ROW()-4))</f>
        <v/>
      </c>
      <c r="J46" s="127" t="str">
        <f>IF(A46="","",'41_Clasificacion_Empresas'!G46)</f>
        <v/>
      </c>
      <c r="K46" s="127" t="str">
        <f>IF(A46="","",'41_Clasificacion_Empresas'!K46)</f>
        <v/>
      </c>
      <c r="L46" s="127"/>
      <c r="M46" s="129" t="str">
        <f>IF(A46="","",IF('41_Clasificacion_Empresas'!F46="A","Pasar a CRM y seguimiento","Mantener seguimiento y estudiar más"))</f>
        <v/>
      </c>
    </row>
    <row r="47" spans="1:13" ht="1.9" customHeight="1">
      <c r="A47" s="127" t="str">
        <f>IF(OR('41_Clasificacion_Empresas'!F47="A",'41_Clasificacion_Empresas'!F47="B"),'41_Clasificacion_Empresas'!C47,"")</f>
        <v/>
      </c>
      <c r="B47" s="127" t="str">
        <f>IF(A47="","",'41_Clasificacion_Empresas'!D47)</f>
        <v/>
      </c>
      <c r="C47" s="127"/>
      <c r="D47" s="116" t="str">
        <f>IF(A47="","",'41_Clasificacion_Empresas'!L47)</f>
        <v/>
      </c>
      <c r="E47" s="127" t="str">
        <f>IF(A47="","",'41_Clasificacion_Empresas'!M47)</f>
        <v/>
      </c>
      <c r="F47" s="126" t="str">
        <f t="shared" ca="1" si="2"/>
        <v/>
      </c>
      <c r="G47" s="127"/>
      <c r="H47" s="128" t="str">
        <f t="shared" si="3"/>
        <v/>
      </c>
      <c r="I47" s="127" t="str">
        <f>IF(A47="","",INDEX('40_Estudio_Empresas'!$X$3:$X$204,ROW()-4))</f>
        <v/>
      </c>
      <c r="J47" s="127" t="str">
        <f>IF(A47="","",'41_Clasificacion_Empresas'!G47)</f>
        <v/>
      </c>
      <c r="K47" s="127" t="str">
        <f>IF(A47="","",'41_Clasificacion_Empresas'!K47)</f>
        <v/>
      </c>
      <c r="L47" s="127"/>
      <c r="M47" s="129" t="str">
        <f>IF(A47="","",IF('41_Clasificacion_Empresas'!F47="A","Pasar a CRM y seguimiento","Mantener seguimiento y estudiar más"))</f>
        <v/>
      </c>
    </row>
    <row r="48" spans="1:13" ht="1.9" customHeight="1">
      <c r="A48" s="127" t="str">
        <f>IF(OR('41_Clasificacion_Empresas'!F48="A",'41_Clasificacion_Empresas'!F48="B"),'41_Clasificacion_Empresas'!C48,"")</f>
        <v/>
      </c>
      <c r="B48" s="127" t="str">
        <f>IF(A48="","",'41_Clasificacion_Empresas'!D48)</f>
        <v/>
      </c>
      <c r="C48" s="127"/>
      <c r="D48" s="116" t="str">
        <f>IF(A48="","",'41_Clasificacion_Empresas'!L48)</f>
        <v/>
      </c>
      <c r="E48" s="127" t="str">
        <f>IF(A48="","",'41_Clasificacion_Empresas'!M48)</f>
        <v/>
      </c>
      <c r="F48" s="126" t="str">
        <f t="shared" ca="1" si="2"/>
        <v/>
      </c>
      <c r="G48" s="127"/>
      <c r="H48" s="128" t="str">
        <f t="shared" si="3"/>
        <v/>
      </c>
      <c r="I48" s="127" t="str">
        <f>IF(A48="","",INDEX('40_Estudio_Empresas'!$X$3:$X$204,ROW()-4))</f>
        <v/>
      </c>
      <c r="J48" s="127" t="str">
        <f>IF(A48="","",'41_Clasificacion_Empresas'!G48)</f>
        <v/>
      </c>
      <c r="K48" s="127" t="str">
        <f>IF(A48="","",'41_Clasificacion_Empresas'!K48)</f>
        <v/>
      </c>
      <c r="L48" s="127"/>
      <c r="M48" s="129" t="str">
        <f>IF(A48="","",IF('41_Clasificacion_Empresas'!F48="A","Pasar a CRM y seguimiento","Mantener seguimiento y estudiar más"))</f>
        <v/>
      </c>
    </row>
    <row r="49" spans="1:13" ht="1.9" customHeight="1">
      <c r="A49" s="127" t="str">
        <f>IF(OR('41_Clasificacion_Empresas'!F49="A",'41_Clasificacion_Empresas'!F49="B"),'41_Clasificacion_Empresas'!C49,"")</f>
        <v/>
      </c>
      <c r="B49" s="127" t="str">
        <f>IF(A49="","",'41_Clasificacion_Empresas'!D49)</f>
        <v/>
      </c>
      <c r="C49" s="127"/>
      <c r="D49" s="116" t="str">
        <f>IF(A49="","",'41_Clasificacion_Empresas'!L49)</f>
        <v/>
      </c>
      <c r="E49" s="127" t="str">
        <f>IF(A49="","",'41_Clasificacion_Empresas'!M49)</f>
        <v/>
      </c>
      <c r="F49" s="126" t="str">
        <f t="shared" ca="1" si="2"/>
        <v/>
      </c>
      <c r="G49" s="127"/>
      <c r="H49" s="128" t="str">
        <f t="shared" si="3"/>
        <v/>
      </c>
      <c r="I49" s="127" t="str">
        <f>IF(A49="","",INDEX('40_Estudio_Empresas'!$X$3:$X$204,ROW()-4))</f>
        <v/>
      </c>
      <c r="J49" s="127" t="str">
        <f>IF(A49="","",'41_Clasificacion_Empresas'!G49)</f>
        <v/>
      </c>
      <c r="K49" s="127" t="str">
        <f>IF(A49="","",'41_Clasificacion_Empresas'!K49)</f>
        <v/>
      </c>
      <c r="L49" s="127"/>
      <c r="M49" s="129" t="str">
        <f>IF(A49="","",IF('41_Clasificacion_Empresas'!F49="A","Pasar a CRM y seguimiento","Mantener seguimiento y estudiar más"))</f>
        <v/>
      </c>
    </row>
    <row r="50" spans="1:13" ht="1.9" customHeight="1">
      <c r="A50" s="127" t="str">
        <f>IF(OR('41_Clasificacion_Empresas'!F50="A",'41_Clasificacion_Empresas'!F50="B"),'41_Clasificacion_Empresas'!C50,"")</f>
        <v/>
      </c>
      <c r="B50" s="127" t="str">
        <f>IF(A50="","",'41_Clasificacion_Empresas'!D50)</f>
        <v/>
      </c>
      <c r="C50" s="127"/>
      <c r="D50" s="116" t="str">
        <f>IF(A50="","",'41_Clasificacion_Empresas'!L50)</f>
        <v/>
      </c>
      <c r="E50" s="127" t="str">
        <f>IF(A50="","",'41_Clasificacion_Empresas'!M50)</f>
        <v/>
      </c>
      <c r="F50" s="126" t="str">
        <f t="shared" ca="1" si="2"/>
        <v/>
      </c>
      <c r="G50" s="127"/>
      <c r="H50" s="128" t="str">
        <f t="shared" si="3"/>
        <v/>
      </c>
      <c r="I50" s="127" t="str">
        <f>IF(A50="","",INDEX('40_Estudio_Empresas'!$X$3:$X$204,ROW()-4))</f>
        <v/>
      </c>
      <c r="J50" s="127" t="str">
        <f>IF(A50="","",'41_Clasificacion_Empresas'!G50)</f>
        <v/>
      </c>
      <c r="K50" s="127" t="str">
        <f>IF(A50="","",'41_Clasificacion_Empresas'!K50)</f>
        <v/>
      </c>
      <c r="L50" s="127"/>
      <c r="M50" s="129" t="str">
        <f>IF(A50="","",IF('41_Clasificacion_Empresas'!F50="A","Pasar a CRM y seguimiento","Mantener seguimiento y estudiar más"))</f>
        <v/>
      </c>
    </row>
    <row r="51" spans="1:13" ht="1.9" customHeight="1">
      <c r="A51" s="127" t="str">
        <f>IF(OR('41_Clasificacion_Empresas'!F51="A",'41_Clasificacion_Empresas'!F51="B"),'41_Clasificacion_Empresas'!C51,"")</f>
        <v/>
      </c>
      <c r="B51" s="127" t="str">
        <f>IF(A51="","",'41_Clasificacion_Empresas'!D51)</f>
        <v/>
      </c>
      <c r="C51" s="127"/>
      <c r="D51" s="116" t="str">
        <f>IF(A51="","",'41_Clasificacion_Empresas'!L51)</f>
        <v/>
      </c>
      <c r="E51" s="127" t="str">
        <f>IF(A51="","",'41_Clasificacion_Empresas'!M51)</f>
        <v/>
      </c>
      <c r="F51" s="126" t="str">
        <f t="shared" ca="1" si="2"/>
        <v/>
      </c>
      <c r="G51" s="127"/>
      <c r="H51" s="127" t="str">
        <f t="shared" si="3"/>
        <v/>
      </c>
      <c r="I51" s="127" t="str">
        <f>IF(A51="","",INDEX('40_Estudio_Empresas'!$X$3:$X$204,ROW()-4))</f>
        <v/>
      </c>
      <c r="J51" s="127" t="str">
        <f>IF(A51="","",'41_Clasificacion_Empresas'!G51)</f>
        <v/>
      </c>
      <c r="K51" s="127" t="str">
        <f>IF(A51="","",'41_Clasificacion_Empresas'!K51)</f>
        <v/>
      </c>
      <c r="L51" s="127"/>
      <c r="M51" s="129" t="str">
        <f>IF(A51="","",IF('41_Clasificacion_Empresas'!F51="A","Pasar a CRM y seguimiento","Mantener seguimiento y estudiar más"))</f>
        <v/>
      </c>
    </row>
    <row r="52" spans="1:13" ht="1.9" customHeight="1">
      <c r="A52" s="127" t="str">
        <f>IF(OR('41_Clasificacion_Empresas'!F52="A",'41_Clasificacion_Empresas'!F52="B"),'41_Clasificacion_Empresas'!C52,"")</f>
        <v/>
      </c>
      <c r="B52" s="127" t="str">
        <f>IF(A52="","",'41_Clasificacion_Empresas'!D52)</f>
        <v/>
      </c>
      <c r="C52" s="127"/>
      <c r="D52" s="116" t="str">
        <f>IF(A52="","",'41_Clasificacion_Empresas'!L52)</f>
        <v/>
      </c>
      <c r="E52" s="127" t="str">
        <f>IF(A52="","",'41_Clasificacion_Empresas'!M52)</f>
        <v/>
      </c>
      <c r="F52" s="126" t="str">
        <f t="shared" ca="1" si="2"/>
        <v/>
      </c>
      <c r="G52" s="127"/>
      <c r="H52" s="127" t="str">
        <f t="shared" si="3"/>
        <v/>
      </c>
      <c r="I52" s="127" t="str">
        <f>IF(A52="","",INDEX('40_Estudio_Empresas'!$X$3:$X$204,ROW()-4))</f>
        <v/>
      </c>
      <c r="J52" s="127" t="str">
        <f>IF(A52="","",'41_Clasificacion_Empresas'!G52)</f>
        <v/>
      </c>
      <c r="K52" s="127" t="str">
        <f>IF(A52="","",'41_Clasificacion_Empresas'!K52)</f>
        <v/>
      </c>
      <c r="L52" s="127"/>
      <c r="M52" s="129" t="str">
        <f>IF(A52="","",IF('41_Clasificacion_Empresas'!F52="A","Pasar a CRM y seguimiento","Mantener seguimiento y estudiar más"))</f>
        <v/>
      </c>
    </row>
    <row r="53" spans="1:13" ht="1.9" customHeight="1">
      <c r="A53" s="127" t="str">
        <f>IF(OR('41_Clasificacion_Empresas'!F53="A",'41_Clasificacion_Empresas'!F53="B"),'41_Clasificacion_Empresas'!C53,"")</f>
        <v/>
      </c>
      <c r="B53" s="127" t="str">
        <f>IF(A53="","",'41_Clasificacion_Empresas'!D53)</f>
        <v/>
      </c>
      <c r="C53" s="127"/>
      <c r="D53" s="116" t="str">
        <f>IF(A53="","",'41_Clasificacion_Empresas'!L53)</f>
        <v/>
      </c>
      <c r="E53" s="127" t="str">
        <f>IF(A53="","",'41_Clasificacion_Empresas'!M53)</f>
        <v/>
      </c>
      <c r="F53" s="126" t="str">
        <f t="shared" ca="1" si="2"/>
        <v/>
      </c>
      <c r="G53" s="127"/>
      <c r="H53" s="127" t="str">
        <f t="shared" si="3"/>
        <v/>
      </c>
      <c r="I53" s="127" t="str">
        <f>IF(A53="","",INDEX('40_Estudio_Empresas'!$X$3:$X$204,ROW()-4))</f>
        <v/>
      </c>
      <c r="J53" s="127" t="str">
        <f>IF(A53="","",'41_Clasificacion_Empresas'!G53)</f>
        <v/>
      </c>
      <c r="K53" s="127" t="str">
        <f>IF(A53="","",'41_Clasificacion_Empresas'!K53)</f>
        <v/>
      </c>
      <c r="L53" s="127"/>
      <c r="M53" s="129" t="str">
        <f>IF(A53="","",IF('41_Clasificacion_Empresas'!F53="A","Pasar a CRM y seguimiento","Mantener seguimiento y estudiar más"))</f>
        <v/>
      </c>
    </row>
    <row r="54" spans="1:13" ht="1.9" customHeight="1">
      <c r="A54" s="127" t="str">
        <f>IF(OR('41_Clasificacion_Empresas'!F54="A",'41_Clasificacion_Empresas'!F54="B"),'41_Clasificacion_Empresas'!C54,"")</f>
        <v/>
      </c>
      <c r="B54" s="127" t="str">
        <f>IF(A54="","",'41_Clasificacion_Empresas'!D54)</f>
        <v/>
      </c>
      <c r="C54" s="127"/>
      <c r="D54" s="116" t="str">
        <f>IF(A54="","",'41_Clasificacion_Empresas'!L54)</f>
        <v/>
      </c>
      <c r="E54" s="127" t="str">
        <f>IF(A54="","",'41_Clasificacion_Empresas'!M54)</f>
        <v/>
      </c>
      <c r="F54" s="126" t="str">
        <f t="shared" ca="1" si="2"/>
        <v/>
      </c>
      <c r="G54" s="127"/>
      <c r="H54" s="127" t="str">
        <f t="shared" si="3"/>
        <v/>
      </c>
      <c r="I54" s="127" t="str">
        <f>IF(A54="","",INDEX('40_Estudio_Empresas'!$X$3:$X$204,ROW()-4))</f>
        <v/>
      </c>
      <c r="J54" s="127" t="str">
        <f>IF(A54="","",'41_Clasificacion_Empresas'!G54)</f>
        <v/>
      </c>
      <c r="K54" s="127" t="str">
        <f>IF(A54="","",'41_Clasificacion_Empresas'!K54)</f>
        <v/>
      </c>
      <c r="L54" s="127"/>
      <c r="M54" s="129" t="str">
        <f>IF(A54="","",IF('41_Clasificacion_Empresas'!F54="A","Pasar a CRM y seguimiento","Mantener seguimiento y estudiar más"))</f>
        <v/>
      </c>
    </row>
    <row r="55" spans="1:13" ht="1.9" customHeight="1">
      <c r="A55" s="127" t="str">
        <f>IF(OR('41_Clasificacion_Empresas'!F55="A",'41_Clasificacion_Empresas'!F55="B"),'41_Clasificacion_Empresas'!C55,"")</f>
        <v/>
      </c>
      <c r="B55" s="127" t="str">
        <f>IF(A55="","",'41_Clasificacion_Empresas'!D55)</f>
        <v/>
      </c>
      <c r="C55" s="127"/>
      <c r="D55" s="116" t="str">
        <f>IF(A55="","",'41_Clasificacion_Empresas'!L55)</f>
        <v/>
      </c>
      <c r="E55" s="127" t="str">
        <f>IF(A55="","",'41_Clasificacion_Empresas'!M55)</f>
        <v/>
      </c>
      <c r="F55" s="126" t="str">
        <f t="shared" ca="1" si="2"/>
        <v/>
      </c>
      <c r="G55" s="127"/>
      <c r="H55" s="127" t="str">
        <f t="shared" si="3"/>
        <v/>
      </c>
      <c r="I55" s="127" t="str">
        <f>IF(A55="","",INDEX('40_Estudio_Empresas'!$X$3:$X$204,ROW()-4))</f>
        <v/>
      </c>
      <c r="J55" s="127" t="str">
        <f>IF(A55="","",'41_Clasificacion_Empresas'!G55)</f>
        <v/>
      </c>
      <c r="K55" s="127" t="str">
        <f>IF(A55="","",'41_Clasificacion_Empresas'!K55)</f>
        <v/>
      </c>
      <c r="L55" s="127"/>
      <c r="M55" s="129" t="str">
        <f>IF(A55="","",IF('41_Clasificacion_Empresas'!F55="A","Pasar a CRM y seguimiento","Mantener seguimiento y estudiar más"))</f>
        <v/>
      </c>
    </row>
    <row r="56" spans="1:13" ht="1.9" customHeight="1">
      <c r="A56" s="127" t="str">
        <f>IF(OR('41_Clasificacion_Empresas'!F56="A",'41_Clasificacion_Empresas'!F56="B"),'41_Clasificacion_Empresas'!C56,"")</f>
        <v/>
      </c>
      <c r="B56" s="127" t="str">
        <f>IF(A56="","",'41_Clasificacion_Empresas'!D56)</f>
        <v/>
      </c>
      <c r="C56" s="127"/>
      <c r="D56" s="116" t="str">
        <f>IF(A56="","",'41_Clasificacion_Empresas'!L56)</f>
        <v/>
      </c>
      <c r="E56" s="127" t="str">
        <f>IF(A56="","",'41_Clasificacion_Empresas'!M56)</f>
        <v/>
      </c>
      <c r="F56" s="126" t="str">
        <f t="shared" ca="1" si="2"/>
        <v/>
      </c>
      <c r="G56" s="127"/>
      <c r="H56" s="127" t="str">
        <f t="shared" si="3"/>
        <v/>
      </c>
      <c r="I56" s="127" t="str">
        <f>IF(A56="","",INDEX('40_Estudio_Empresas'!$X$3:$X$204,ROW()-4))</f>
        <v/>
      </c>
      <c r="J56" s="127" t="str">
        <f>IF(A56="","",'41_Clasificacion_Empresas'!G56)</f>
        <v/>
      </c>
      <c r="K56" s="127" t="str">
        <f>IF(A56="","",'41_Clasificacion_Empresas'!K56)</f>
        <v/>
      </c>
      <c r="L56" s="127"/>
      <c r="M56" s="129" t="str">
        <f>IF(A56="","",IF('41_Clasificacion_Empresas'!F56="A","Pasar a CRM y seguimiento","Mantener seguimiento y estudiar más"))</f>
        <v/>
      </c>
    </row>
    <row r="57" spans="1:13" ht="1.9" customHeight="1">
      <c r="A57" s="127" t="str">
        <f>IF(OR('41_Clasificacion_Empresas'!F57="A",'41_Clasificacion_Empresas'!F57="B"),'41_Clasificacion_Empresas'!C57,"")</f>
        <v/>
      </c>
      <c r="B57" s="127" t="str">
        <f>IF(A57="","",'41_Clasificacion_Empresas'!D57)</f>
        <v/>
      </c>
      <c r="C57" s="127"/>
      <c r="D57" s="116" t="str">
        <f>IF(A57="","",'41_Clasificacion_Empresas'!L57)</f>
        <v/>
      </c>
      <c r="E57" s="127" t="str">
        <f>IF(A57="","",'41_Clasificacion_Empresas'!M57)</f>
        <v/>
      </c>
      <c r="F57" s="126" t="str">
        <f t="shared" ca="1" si="2"/>
        <v/>
      </c>
      <c r="G57" s="127"/>
      <c r="H57" s="127" t="str">
        <f t="shared" si="3"/>
        <v/>
      </c>
      <c r="I57" s="127" t="str">
        <f>IF(A57="","",INDEX('40_Estudio_Empresas'!$X$3:$X$204,ROW()-4))</f>
        <v/>
      </c>
      <c r="J57" s="127" t="str">
        <f>IF(A57="","",'41_Clasificacion_Empresas'!G57)</f>
        <v/>
      </c>
      <c r="K57" s="127" t="str">
        <f>IF(A57="","",'41_Clasificacion_Empresas'!K57)</f>
        <v/>
      </c>
      <c r="L57" s="127"/>
      <c r="M57" s="129" t="str">
        <f>IF(A57="","",IF('41_Clasificacion_Empresas'!F57="A","Pasar a CRM y seguimiento","Mantener seguimiento y estudiar más"))</f>
        <v/>
      </c>
    </row>
    <row r="58" spans="1:13" ht="1.9" customHeight="1">
      <c r="A58" s="127" t="str">
        <f>IF(OR('41_Clasificacion_Empresas'!F58="A",'41_Clasificacion_Empresas'!F58="B"),'41_Clasificacion_Empresas'!C58,"")</f>
        <v/>
      </c>
      <c r="B58" s="127" t="str">
        <f>IF(A58="","",'41_Clasificacion_Empresas'!D58)</f>
        <v/>
      </c>
      <c r="C58" s="127"/>
      <c r="D58" s="116" t="str">
        <f>IF(A58="","",'41_Clasificacion_Empresas'!L58)</f>
        <v/>
      </c>
      <c r="E58" s="127" t="str">
        <f>IF(A58="","",'41_Clasificacion_Empresas'!M58)</f>
        <v/>
      </c>
      <c r="F58" s="126" t="str">
        <f t="shared" ca="1" si="2"/>
        <v/>
      </c>
      <c r="G58" s="127"/>
      <c r="H58" s="127" t="str">
        <f t="shared" si="3"/>
        <v/>
      </c>
      <c r="I58" s="127" t="str">
        <f>IF(A58="","",INDEX('40_Estudio_Empresas'!$X$3:$X$204,ROW()-4))</f>
        <v/>
      </c>
      <c r="J58" s="127" t="str">
        <f>IF(A58="","",'41_Clasificacion_Empresas'!G58)</f>
        <v/>
      </c>
      <c r="K58" s="127" t="str">
        <f>IF(A58="","",'41_Clasificacion_Empresas'!K58)</f>
        <v/>
      </c>
      <c r="L58" s="127"/>
      <c r="M58" s="129" t="str">
        <f>IF(A58="","",IF('41_Clasificacion_Empresas'!F58="A","Pasar a CRM y seguimiento","Mantener seguimiento y estudiar más"))</f>
        <v/>
      </c>
    </row>
    <row r="59" spans="1:13" ht="1.9" customHeight="1">
      <c r="A59" s="127" t="str">
        <f>IF(OR('41_Clasificacion_Empresas'!F59="A",'41_Clasificacion_Empresas'!F59="B"),'41_Clasificacion_Empresas'!C59,"")</f>
        <v/>
      </c>
      <c r="B59" s="127" t="str">
        <f>IF(A59="","",'41_Clasificacion_Empresas'!D59)</f>
        <v/>
      </c>
      <c r="C59" s="127"/>
      <c r="D59" s="116" t="str">
        <f>IF(A59="","",'41_Clasificacion_Empresas'!L59)</f>
        <v/>
      </c>
      <c r="E59" s="127" t="str">
        <f>IF(A59="","",'41_Clasificacion_Empresas'!M59)</f>
        <v/>
      </c>
      <c r="F59" s="126" t="str">
        <f t="shared" ca="1" si="2"/>
        <v/>
      </c>
      <c r="G59" s="127"/>
      <c r="H59" s="127" t="str">
        <f t="shared" si="3"/>
        <v/>
      </c>
      <c r="I59" s="127" t="str">
        <f>IF(A59="","",INDEX('40_Estudio_Empresas'!$X$3:$X$204,ROW()-4))</f>
        <v/>
      </c>
      <c r="J59" s="127" t="str">
        <f>IF(A59="","",'41_Clasificacion_Empresas'!G59)</f>
        <v/>
      </c>
      <c r="K59" s="127" t="str">
        <f>IF(A59="","",'41_Clasificacion_Empresas'!K59)</f>
        <v/>
      </c>
      <c r="L59" s="127"/>
      <c r="M59" s="129" t="str">
        <f>IF(A59="","",IF('41_Clasificacion_Empresas'!F59="A","Pasar a CRM y seguimiento","Mantener seguimiento y estudiar más"))</f>
        <v/>
      </c>
    </row>
    <row r="60" spans="1:13" ht="1.9" customHeight="1">
      <c r="A60" s="127" t="str">
        <f>IF(OR('41_Clasificacion_Empresas'!F60="A",'41_Clasificacion_Empresas'!F60="B"),'41_Clasificacion_Empresas'!C60,"")</f>
        <v/>
      </c>
      <c r="B60" s="127" t="str">
        <f>IF(A60="","",'41_Clasificacion_Empresas'!D60)</f>
        <v/>
      </c>
      <c r="C60" s="127"/>
      <c r="D60" s="116" t="str">
        <f>IF(A60="","",'41_Clasificacion_Empresas'!L60)</f>
        <v/>
      </c>
      <c r="E60" s="127" t="str">
        <f>IF(A60="","",'41_Clasificacion_Empresas'!M60)</f>
        <v/>
      </c>
      <c r="F60" s="126" t="str">
        <f t="shared" ca="1" si="2"/>
        <v/>
      </c>
      <c r="G60" s="127"/>
      <c r="H60" s="127" t="str">
        <f t="shared" si="3"/>
        <v/>
      </c>
      <c r="I60" s="127" t="str">
        <f>IF(A60="","",INDEX('40_Estudio_Empresas'!$X$3:$X$204,ROW()-4))</f>
        <v/>
      </c>
      <c r="J60" s="127" t="str">
        <f>IF(A60="","",'41_Clasificacion_Empresas'!G60)</f>
        <v/>
      </c>
      <c r="K60" s="127" t="str">
        <f>IF(A60="","",'41_Clasificacion_Empresas'!K60)</f>
        <v/>
      </c>
      <c r="L60" s="127"/>
      <c r="M60" s="129" t="str">
        <f>IF(A60="","",IF('41_Clasificacion_Empresas'!F60="A","Pasar a CRM y seguimiento","Mantener seguimiento y estudiar más"))</f>
        <v/>
      </c>
    </row>
    <row r="61" spans="1:13" ht="1.9" customHeight="1">
      <c r="A61" s="127" t="str">
        <f>IF(OR('41_Clasificacion_Empresas'!F61="A",'41_Clasificacion_Empresas'!F61="B"),'41_Clasificacion_Empresas'!C61,"")</f>
        <v/>
      </c>
      <c r="B61" s="127" t="str">
        <f>IF(A61="","",'41_Clasificacion_Empresas'!D61)</f>
        <v/>
      </c>
      <c r="C61" s="127"/>
      <c r="D61" s="116" t="str">
        <f>IF(A61="","",'41_Clasificacion_Empresas'!L61)</f>
        <v/>
      </c>
      <c r="E61" s="127" t="str">
        <f>IF(A61="","",'41_Clasificacion_Empresas'!M61)</f>
        <v/>
      </c>
      <c r="F61" s="126" t="str">
        <f t="shared" ca="1" si="2"/>
        <v/>
      </c>
      <c r="G61" s="127"/>
      <c r="H61" s="127" t="str">
        <f t="shared" si="3"/>
        <v/>
      </c>
      <c r="I61" s="127" t="str">
        <f>IF(A61="","",INDEX('40_Estudio_Empresas'!$X$3:$X$204,ROW()-4))</f>
        <v/>
      </c>
      <c r="J61" s="127" t="str">
        <f>IF(A61="","",'41_Clasificacion_Empresas'!G61)</f>
        <v/>
      </c>
      <c r="K61" s="127" t="str">
        <f>IF(A61="","",'41_Clasificacion_Empresas'!K61)</f>
        <v/>
      </c>
      <c r="L61" s="127"/>
      <c r="M61" s="129" t="str">
        <f>IF(A61="","",IF('41_Clasificacion_Empresas'!F61="A","Pasar a CRM y seguimiento","Mantener seguimiento y estudiar más"))</f>
        <v/>
      </c>
    </row>
    <row r="62" spans="1:13" ht="1.9" customHeight="1">
      <c r="A62" s="127" t="str">
        <f>IF(OR('41_Clasificacion_Empresas'!F62="A",'41_Clasificacion_Empresas'!F62="B"),'41_Clasificacion_Empresas'!C62,"")</f>
        <v/>
      </c>
      <c r="B62" s="127" t="str">
        <f>IF(A62="","",'41_Clasificacion_Empresas'!D62)</f>
        <v/>
      </c>
      <c r="C62" s="127"/>
      <c r="D62" s="116" t="str">
        <f>IF(A62="","",'41_Clasificacion_Empresas'!L62)</f>
        <v/>
      </c>
      <c r="E62" s="127" t="str">
        <f>IF(A62="","",'41_Clasificacion_Empresas'!M62)</f>
        <v/>
      </c>
      <c r="F62" s="126" t="str">
        <f t="shared" ca="1" si="2"/>
        <v/>
      </c>
      <c r="G62" s="127"/>
      <c r="H62" s="127" t="str">
        <f t="shared" si="3"/>
        <v/>
      </c>
      <c r="I62" s="127" t="str">
        <f>IF(A62="","",INDEX('40_Estudio_Empresas'!$X$3:$X$204,ROW()-4))</f>
        <v/>
      </c>
      <c r="J62" s="127" t="str">
        <f>IF(A62="","",'41_Clasificacion_Empresas'!G62)</f>
        <v/>
      </c>
      <c r="K62" s="127" t="str">
        <f>IF(A62="","",'41_Clasificacion_Empresas'!K62)</f>
        <v/>
      </c>
      <c r="L62" s="127"/>
      <c r="M62" s="129" t="str">
        <f>IF(A62="","",IF('41_Clasificacion_Empresas'!F62="A","Pasar a CRM y seguimiento","Mantener seguimiento y estudiar más"))</f>
        <v/>
      </c>
    </row>
    <row r="63" spans="1:13" ht="1.9" customHeight="1">
      <c r="A63" s="127" t="str">
        <f>IF(OR('41_Clasificacion_Empresas'!F63="A",'41_Clasificacion_Empresas'!F63="B"),'41_Clasificacion_Empresas'!C63,"")</f>
        <v/>
      </c>
      <c r="B63" s="127" t="str">
        <f>IF(A63="","",'41_Clasificacion_Empresas'!D63)</f>
        <v/>
      </c>
      <c r="C63" s="127"/>
      <c r="D63" s="116" t="str">
        <f>IF(A63="","",'41_Clasificacion_Empresas'!L63)</f>
        <v/>
      </c>
      <c r="E63" s="127" t="str">
        <f>IF(A63="","",'41_Clasificacion_Empresas'!M63)</f>
        <v/>
      </c>
      <c r="F63" s="126" t="str">
        <f t="shared" ca="1" si="2"/>
        <v/>
      </c>
      <c r="G63" s="127"/>
      <c r="H63" s="127" t="str">
        <f t="shared" si="3"/>
        <v/>
      </c>
      <c r="I63" s="127" t="str">
        <f>IF(A63="","",INDEX('40_Estudio_Empresas'!$X$3:$X$204,ROW()-4))</f>
        <v/>
      </c>
      <c r="J63" s="127" t="str">
        <f>IF(A63="","",'41_Clasificacion_Empresas'!G63)</f>
        <v/>
      </c>
      <c r="K63" s="127" t="str">
        <f>IF(A63="","",'41_Clasificacion_Empresas'!K63)</f>
        <v/>
      </c>
      <c r="L63" s="127"/>
      <c r="M63" s="129" t="str">
        <f>IF(A63="","",IF('41_Clasificacion_Empresas'!F63="A","Pasar a CRM y seguimiento","Mantener seguimiento y estudiar más"))</f>
        <v/>
      </c>
    </row>
    <row r="64" spans="1:13" ht="1.9" customHeight="1">
      <c r="A64" s="127" t="str">
        <f>IF(OR('41_Clasificacion_Empresas'!F64="A",'41_Clasificacion_Empresas'!F64="B"),'41_Clasificacion_Empresas'!C64,"")</f>
        <v/>
      </c>
      <c r="B64" s="127" t="str">
        <f>IF(A64="","",'41_Clasificacion_Empresas'!D64)</f>
        <v/>
      </c>
      <c r="C64" s="127"/>
      <c r="D64" s="116" t="str">
        <f>IF(A64="","",'41_Clasificacion_Empresas'!L64)</f>
        <v/>
      </c>
      <c r="E64" s="127" t="str">
        <f>IF(A64="","",'41_Clasificacion_Empresas'!M64)</f>
        <v/>
      </c>
      <c r="F64" s="126" t="str">
        <f t="shared" ca="1" si="2"/>
        <v/>
      </c>
      <c r="G64" s="127"/>
      <c r="H64" s="127" t="str">
        <f t="shared" si="3"/>
        <v/>
      </c>
      <c r="I64" s="127" t="str">
        <f>IF(A64="","",INDEX('40_Estudio_Empresas'!$X$3:$X$204,ROW()-4))</f>
        <v/>
      </c>
      <c r="J64" s="127" t="str">
        <f>IF(A64="","",'41_Clasificacion_Empresas'!G64)</f>
        <v/>
      </c>
      <c r="K64" s="127" t="str">
        <f>IF(A64="","",'41_Clasificacion_Empresas'!K64)</f>
        <v/>
      </c>
      <c r="L64" s="127"/>
      <c r="M64" s="129" t="str">
        <f>IF(A64="","",IF('41_Clasificacion_Empresas'!F64="A","Pasar a CRM y seguimiento","Mantener seguimiento y estudiar más"))</f>
        <v/>
      </c>
    </row>
    <row r="65" spans="1:13" ht="1.9" customHeight="1">
      <c r="A65" s="127" t="str">
        <f>IF(OR('41_Clasificacion_Empresas'!F65="A",'41_Clasificacion_Empresas'!F65="B"),'41_Clasificacion_Empresas'!C65,"")</f>
        <v/>
      </c>
      <c r="B65" s="127" t="str">
        <f>IF(A65="","",'41_Clasificacion_Empresas'!D65)</f>
        <v/>
      </c>
      <c r="C65" s="127"/>
      <c r="D65" s="116" t="str">
        <f>IF(A65="","",'41_Clasificacion_Empresas'!L65)</f>
        <v/>
      </c>
      <c r="E65" s="127" t="str">
        <f>IF(A65="","",'41_Clasificacion_Empresas'!M65)</f>
        <v/>
      </c>
      <c r="F65" s="126" t="str">
        <f t="shared" ca="1" si="2"/>
        <v/>
      </c>
      <c r="G65" s="127"/>
      <c r="H65" s="127" t="str">
        <f t="shared" si="3"/>
        <v/>
      </c>
      <c r="I65" s="127" t="str">
        <f>IF(A65="","",INDEX('40_Estudio_Empresas'!$X$3:$X$204,ROW()-4))</f>
        <v/>
      </c>
      <c r="J65" s="127" t="str">
        <f>IF(A65="","",'41_Clasificacion_Empresas'!G65)</f>
        <v/>
      </c>
      <c r="K65" s="127" t="str">
        <f>IF(A65="","",'41_Clasificacion_Empresas'!K65)</f>
        <v/>
      </c>
      <c r="L65" s="127"/>
      <c r="M65" s="129" t="str">
        <f>IF(A65="","",IF('41_Clasificacion_Empresas'!F65="A","Pasar a CRM y seguimiento","Mantener seguimiento y estudiar más"))</f>
        <v/>
      </c>
    </row>
    <row r="66" spans="1:13" ht="1.9" customHeight="1">
      <c r="A66" s="127" t="str">
        <f>IF(OR('41_Clasificacion_Empresas'!F66="A",'41_Clasificacion_Empresas'!F66="B"),'41_Clasificacion_Empresas'!C66,"")</f>
        <v/>
      </c>
      <c r="B66" s="127" t="str">
        <f>IF(A66="","",'41_Clasificacion_Empresas'!D66)</f>
        <v/>
      </c>
      <c r="C66" s="127"/>
      <c r="D66" s="116" t="str">
        <f>IF(A66="","",'41_Clasificacion_Empresas'!L66)</f>
        <v/>
      </c>
      <c r="E66" s="127" t="str">
        <f>IF(A66="","",'41_Clasificacion_Empresas'!M66)</f>
        <v/>
      </c>
      <c r="F66" s="126" t="str">
        <f t="shared" ca="1" si="2"/>
        <v/>
      </c>
      <c r="G66" s="127"/>
      <c r="H66" s="127" t="str">
        <f t="shared" si="3"/>
        <v/>
      </c>
      <c r="I66" s="127" t="str">
        <f>IF(A66="","",INDEX('40_Estudio_Empresas'!$X$3:$X$204,ROW()-4))</f>
        <v/>
      </c>
      <c r="J66" s="127" t="str">
        <f>IF(A66="","",'41_Clasificacion_Empresas'!G66)</f>
        <v/>
      </c>
      <c r="K66" s="127" t="str">
        <f>IF(A66="","",'41_Clasificacion_Empresas'!K66)</f>
        <v/>
      </c>
      <c r="L66" s="127"/>
      <c r="M66" s="129" t="str">
        <f>IF(A66="","",IF('41_Clasificacion_Empresas'!F66="A","Pasar a CRM y seguimiento","Mantener seguimiento y estudiar más"))</f>
        <v/>
      </c>
    </row>
    <row r="67" spans="1:13" ht="1.9" customHeight="1">
      <c r="A67" s="127" t="str">
        <f>IF(OR('41_Clasificacion_Empresas'!F67="A",'41_Clasificacion_Empresas'!F67="B"),'41_Clasificacion_Empresas'!C67,"")</f>
        <v/>
      </c>
      <c r="B67" s="127" t="str">
        <f>IF(A67="","",'41_Clasificacion_Empresas'!D67)</f>
        <v/>
      </c>
      <c r="C67" s="127"/>
      <c r="D67" s="116" t="str">
        <f>IF(A67="","",'41_Clasificacion_Empresas'!L67)</f>
        <v/>
      </c>
      <c r="E67" s="127" t="str">
        <f>IF(A67="","",'41_Clasificacion_Empresas'!M67)</f>
        <v/>
      </c>
      <c r="F67" s="126" t="str">
        <f t="shared" ca="1" si="2"/>
        <v/>
      </c>
      <c r="G67" s="127"/>
      <c r="H67" s="127" t="str">
        <f t="shared" si="3"/>
        <v/>
      </c>
      <c r="I67" s="127" t="str">
        <f>IF(A67="","",INDEX('40_Estudio_Empresas'!$X$3:$X$204,ROW()-4))</f>
        <v/>
      </c>
      <c r="J67" s="127" t="str">
        <f>IF(A67="","",'41_Clasificacion_Empresas'!G67)</f>
        <v/>
      </c>
      <c r="K67" s="127" t="str">
        <f>IF(A67="","",'41_Clasificacion_Empresas'!K67)</f>
        <v/>
      </c>
      <c r="L67" s="127"/>
      <c r="M67" s="129" t="str">
        <f>IF(A67="","",IF('41_Clasificacion_Empresas'!F67="A","Pasar a CRM y seguimiento","Mantener seguimiento y estudiar más"))</f>
        <v/>
      </c>
    </row>
    <row r="68" spans="1:13" ht="1.9" customHeight="1">
      <c r="A68" s="127" t="str">
        <f>IF(OR('41_Clasificacion_Empresas'!F68="A",'41_Clasificacion_Empresas'!F68="B"),'41_Clasificacion_Empresas'!C68,"")</f>
        <v/>
      </c>
      <c r="B68" s="127" t="str">
        <f>IF(A68="","",'41_Clasificacion_Empresas'!D68)</f>
        <v/>
      </c>
      <c r="C68" s="127"/>
      <c r="D68" s="116" t="str">
        <f>IF(A68="","",'41_Clasificacion_Empresas'!L68)</f>
        <v/>
      </c>
      <c r="E68" s="127" t="str">
        <f>IF(A68="","",'41_Clasificacion_Empresas'!M68)</f>
        <v/>
      </c>
      <c r="F68" s="126" t="str">
        <f t="shared" ca="1" si="2"/>
        <v/>
      </c>
      <c r="G68" s="127"/>
      <c r="H68" s="127" t="str">
        <f t="shared" si="3"/>
        <v/>
      </c>
      <c r="I68" s="127" t="str">
        <f>IF(A68="","",INDEX('40_Estudio_Empresas'!$X$3:$X$204,ROW()-4))</f>
        <v/>
      </c>
      <c r="J68" s="127" t="str">
        <f>IF(A68="","",'41_Clasificacion_Empresas'!G68)</f>
        <v/>
      </c>
      <c r="K68" s="127" t="str">
        <f>IF(A68="","",'41_Clasificacion_Empresas'!K68)</f>
        <v/>
      </c>
      <c r="L68" s="127"/>
      <c r="M68" s="129" t="str">
        <f>IF(A68="","",IF('41_Clasificacion_Empresas'!F68="A","Pasar a CRM y seguimiento","Mantener seguimiento y estudiar más"))</f>
        <v/>
      </c>
    </row>
    <row r="69" spans="1:13" ht="1.9" customHeight="1">
      <c r="A69" s="127" t="str">
        <f>IF(OR('41_Clasificacion_Empresas'!F69="A",'41_Clasificacion_Empresas'!F69="B"),'41_Clasificacion_Empresas'!C69,"")</f>
        <v/>
      </c>
      <c r="B69" s="127" t="str">
        <f>IF(A69="","",'41_Clasificacion_Empresas'!D69)</f>
        <v/>
      </c>
      <c r="C69" s="127"/>
      <c r="D69" s="116" t="str">
        <f>IF(A69="","",'41_Clasificacion_Empresas'!L69)</f>
        <v/>
      </c>
      <c r="E69" s="127" t="str">
        <f>IF(A69="","",'41_Clasificacion_Empresas'!M69)</f>
        <v/>
      </c>
      <c r="F69" s="126" t="str">
        <f t="shared" ref="F69:F100" ca="1" si="4">IF(A69="","",TODAY()+7)</f>
        <v/>
      </c>
      <c r="G69" s="127"/>
      <c r="H69" s="127" t="str">
        <f t="shared" ref="H69:H100" si="5">IF(A69="","","40_Estudio_Empresas → 41_Clasificacion")</f>
        <v/>
      </c>
      <c r="I69" s="127" t="str">
        <f>IF(A69="","",INDEX('40_Estudio_Empresas'!$X$3:$X$204,ROW()-4))</f>
        <v/>
      </c>
      <c r="J69" s="127" t="str">
        <f>IF(A69="","",'41_Clasificacion_Empresas'!G69)</f>
        <v/>
      </c>
      <c r="K69" s="127" t="str">
        <f>IF(A69="","",'41_Clasificacion_Empresas'!K69)</f>
        <v/>
      </c>
      <c r="L69" s="127"/>
      <c r="M69" s="129" t="str">
        <f>IF(A69="","",IF('41_Clasificacion_Empresas'!F69="A","Pasar a CRM y seguimiento","Mantener seguimiento y estudiar más"))</f>
        <v/>
      </c>
    </row>
    <row r="70" spans="1:13" ht="1.9" customHeight="1">
      <c r="A70" s="127" t="str">
        <f>IF(OR('41_Clasificacion_Empresas'!F70="A",'41_Clasificacion_Empresas'!F70="B"),'41_Clasificacion_Empresas'!C70,"")</f>
        <v/>
      </c>
      <c r="B70" s="127" t="str">
        <f>IF(A70="","",'41_Clasificacion_Empresas'!D70)</f>
        <v/>
      </c>
      <c r="C70" s="127"/>
      <c r="D70" s="116" t="str">
        <f>IF(A70="","",'41_Clasificacion_Empresas'!L70)</f>
        <v/>
      </c>
      <c r="E70" s="127" t="str">
        <f>IF(A70="","",'41_Clasificacion_Empresas'!M70)</f>
        <v/>
      </c>
      <c r="F70" s="126" t="str">
        <f t="shared" ca="1" si="4"/>
        <v/>
      </c>
      <c r="G70" s="127"/>
      <c r="H70" s="127" t="str">
        <f t="shared" si="5"/>
        <v/>
      </c>
      <c r="I70" s="127" t="str">
        <f>IF(A70="","",INDEX('40_Estudio_Empresas'!$X$3:$X$204,ROW()-4))</f>
        <v/>
      </c>
      <c r="J70" s="127" t="str">
        <f>IF(A70="","",'41_Clasificacion_Empresas'!G70)</f>
        <v/>
      </c>
      <c r="K70" s="127" t="str">
        <f>IF(A70="","",'41_Clasificacion_Empresas'!K70)</f>
        <v/>
      </c>
      <c r="L70" s="127"/>
      <c r="M70" s="129" t="str">
        <f>IF(A70="","",IF('41_Clasificacion_Empresas'!F70="A","Pasar a CRM y seguimiento","Mantener seguimiento y estudiar más"))</f>
        <v/>
      </c>
    </row>
    <row r="71" spans="1:13" ht="1.9" customHeight="1">
      <c r="A71" s="127" t="str">
        <f>IF(OR('41_Clasificacion_Empresas'!F71="A",'41_Clasificacion_Empresas'!F71="B"),'41_Clasificacion_Empresas'!C71,"")</f>
        <v/>
      </c>
      <c r="B71" s="127" t="str">
        <f>IF(A71="","",'41_Clasificacion_Empresas'!D71)</f>
        <v/>
      </c>
      <c r="C71" s="127"/>
      <c r="D71" s="116" t="str">
        <f>IF(A71="","",'41_Clasificacion_Empresas'!L71)</f>
        <v/>
      </c>
      <c r="E71" s="127" t="str">
        <f>IF(A71="","",'41_Clasificacion_Empresas'!M71)</f>
        <v/>
      </c>
      <c r="F71" s="126" t="str">
        <f t="shared" ca="1" si="4"/>
        <v/>
      </c>
      <c r="G71" s="127"/>
      <c r="H71" s="127" t="str">
        <f t="shared" si="5"/>
        <v/>
      </c>
      <c r="I71" s="127" t="str">
        <f>IF(A71="","",INDEX('40_Estudio_Empresas'!$X$3:$X$204,ROW()-4))</f>
        <v/>
      </c>
      <c r="J71" s="127" t="str">
        <f>IF(A71="","",'41_Clasificacion_Empresas'!G71)</f>
        <v/>
      </c>
      <c r="K71" s="127" t="str">
        <f>IF(A71="","",'41_Clasificacion_Empresas'!K71)</f>
        <v/>
      </c>
      <c r="L71" s="127"/>
      <c r="M71" s="129" t="str">
        <f>IF(A71="","",IF('41_Clasificacion_Empresas'!F71="A","Pasar a CRM y seguimiento","Mantener seguimiento y estudiar más"))</f>
        <v/>
      </c>
    </row>
    <row r="72" spans="1:13" ht="1.9" customHeight="1">
      <c r="A72" s="127" t="str">
        <f>IF(OR('41_Clasificacion_Empresas'!F72="A",'41_Clasificacion_Empresas'!F72="B"),'41_Clasificacion_Empresas'!C72,"")</f>
        <v/>
      </c>
      <c r="B72" s="127" t="str">
        <f>IF(A72="","",'41_Clasificacion_Empresas'!D72)</f>
        <v/>
      </c>
      <c r="C72" s="127"/>
      <c r="D72" s="116" t="str">
        <f>IF(A72="","",'41_Clasificacion_Empresas'!L72)</f>
        <v/>
      </c>
      <c r="E72" s="127" t="str">
        <f>IF(A72="","",'41_Clasificacion_Empresas'!M72)</f>
        <v/>
      </c>
      <c r="F72" s="126" t="str">
        <f t="shared" ca="1" si="4"/>
        <v/>
      </c>
      <c r="G72" s="127"/>
      <c r="H72" s="127" t="str">
        <f t="shared" si="5"/>
        <v/>
      </c>
      <c r="I72" s="127" t="str">
        <f>IF(A72="","",INDEX('40_Estudio_Empresas'!$X$3:$X$204,ROW()-4))</f>
        <v/>
      </c>
      <c r="J72" s="127" t="str">
        <f>IF(A72="","",'41_Clasificacion_Empresas'!G72)</f>
        <v/>
      </c>
      <c r="K72" s="127" t="str">
        <f>IF(A72="","",'41_Clasificacion_Empresas'!K72)</f>
        <v/>
      </c>
      <c r="L72" s="127"/>
      <c r="M72" s="129" t="str">
        <f>IF(A72="","",IF('41_Clasificacion_Empresas'!F72="A","Pasar a CRM y seguimiento","Mantener seguimiento y estudiar más"))</f>
        <v/>
      </c>
    </row>
    <row r="73" spans="1:13" ht="1.9" customHeight="1">
      <c r="A73" s="127" t="str">
        <f>IF(OR('41_Clasificacion_Empresas'!F73="A",'41_Clasificacion_Empresas'!F73="B"),'41_Clasificacion_Empresas'!C73,"")</f>
        <v/>
      </c>
      <c r="B73" s="127" t="str">
        <f>IF(A73="","",'41_Clasificacion_Empresas'!D73)</f>
        <v/>
      </c>
      <c r="C73" s="127"/>
      <c r="D73" s="116" t="str">
        <f>IF(A73="","",'41_Clasificacion_Empresas'!L73)</f>
        <v/>
      </c>
      <c r="E73" s="127" t="str">
        <f>IF(A73="","",'41_Clasificacion_Empresas'!M73)</f>
        <v/>
      </c>
      <c r="F73" s="126" t="str">
        <f t="shared" ca="1" si="4"/>
        <v/>
      </c>
      <c r="G73" s="127"/>
      <c r="H73" s="127" t="str">
        <f t="shared" si="5"/>
        <v/>
      </c>
      <c r="I73" s="127" t="str">
        <f>IF(A73="","",INDEX('40_Estudio_Empresas'!$X$3:$X$204,ROW()-4))</f>
        <v/>
      </c>
      <c r="J73" s="127" t="str">
        <f>IF(A73="","",'41_Clasificacion_Empresas'!G73)</f>
        <v/>
      </c>
      <c r="K73" s="127" t="str">
        <f>IF(A73="","",'41_Clasificacion_Empresas'!K73)</f>
        <v/>
      </c>
      <c r="L73" s="127"/>
      <c r="M73" s="129" t="str">
        <f>IF(A73="","",IF('41_Clasificacion_Empresas'!F73="A","Pasar a CRM y seguimiento","Mantener seguimiento y estudiar más"))</f>
        <v/>
      </c>
    </row>
    <row r="74" spans="1:13" ht="1.9" customHeight="1">
      <c r="A74" s="127" t="str">
        <f>IF(OR('41_Clasificacion_Empresas'!F74="A",'41_Clasificacion_Empresas'!F74="B"),'41_Clasificacion_Empresas'!C74,"")</f>
        <v/>
      </c>
      <c r="B74" s="127" t="str">
        <f>IF(A74="","",'41_Clasificacion_Empresas'!D74)</f>
        <v/>
      </c>
      <c r="C74" s="127"/>
      <c r="D74" s="116" t="str">
        <f>IF(A74="","",'41_Clasificacion_Empresas'!L74)</f>
        <v/>
      </c>
      <c r="E74" s="127" t="str">
        <f>IF(A74="","",'41_Clasificacion_Empresas'!M74)</f>
        <v/>
      </c>
      <c r="F74" s="126" t="str">
        <f t="shared" ca="1" si="4"/>
        <v/>
      </c>
      <c r="G74" s="127"/>
      <c r="H74" s="127" t="str">
        <f t="shared" si="5"/>
        <v/>
      </c>
      <c r="I74" s="127" t="str">
        <f>IF(A74="","",INDEX('40_Estudio_Empresas'!$X$3:$X$204,ROW()-4))</f>
        <v/>
      </c>
      <c r="J74" s="127" t="str">
        <f>IF(A74="","",'41_Clasificacion_Empresas'!G74)</f>
        <v/>
      </c>
      <c r="K74" s="127" t="str">
        <f>IF(A74="","",'41_Clasificacion_Empresas'!K74)</f>
        <v/>
      </c>
      <c r="L74" s="127"/>
      <c r="M74" s="129" t="str">
        <f>IF(A74="","",IF('41_Clasificacion_Empresas'!F74="A","Pasar a CRM y seguimiento","Mantener seguimiento y estudiar más"))</f>
        <v/>
      </c>
    </row>
    <row r="75" spans="1:13" ht="1.9" customHeight="1">
      <c r="A75" s="127" t="str">
        <f>IF(OR('41_Clasificacion_Empresas'!F75="A",'41_Clasificacion_Empresas'!F75="B"),'41_Clasificacion_Empresas'!C75,"")</f>
        <v/>
      </c>
      <c r="B75" s="127" t="str">
        <f>IF(A75="","",'41_Clasificacion_Empresas'!D75)</f>
        <v/>
      </c>
      <c r="C75" s="127"/>
      <c r="D75" s="116" t="str">
        <f>IF(A75="","",'41_Clasificacion_Empresas'!L75)</f>
        <v/>
      </c>
      <c r="E75" s="127" t="str">
        <f>IF(A75="","",'41_Clasificacion_Empresas'!M75)</f>
        <v/>
      </c>
      <c r="F75" s="126" t="str">
        <f t="shared" ca="1" si="4"/>
        <v/>
      </c>
      <c r="G75" s="127"/>
      <c r="H75" s="127" t="str">
        <f t="shared" si="5"/>
        <v/>
      </c>
      <c r="I75" s="127" t="str">
        <f>IF(A75="","",INDEX('40_Estudio_Empresas'!$X$3:$X$204,ROW()-4))</f>
        <v/>
      </c>
      <c r="J75" s="127" t="str">
        <f>IF(A75="","",'41_Clasificacion_Empresas'!G75)</f>
        <v/>
      </c>
      <c r="K75" s="127" t="str">
        <f>IF(A75="","",'41_Clasificacion_Empresas'!K75)</f>
        <v/>
      </c>
      <c r="L75" s="127"/>
      <c r="M75" s="129" t="str">
        <f>IF(A75="","",IF('41_Clasificacion_Empresas'!F75="A","Pasar a CRM y seguimiento","Mantener seguimiento y estudiar más"))</f>
        <v/>
      </c>
    </row>
    <row r="76" spans="1:13" ht="1.9" customHeight="1">
      <c r="A76" s="127" t="str">
        <f>IF(OR('41_Clasificacion_Empresas'!F76="A",'41_Clasificacion_Empresas'!F76="B"),'41_Clasificacion_Empresas'!C76,"")</f>
        <v/>
      </c>
      <c r="B76" s="127" t="str">
        <f>IF(A76="","",'41_Clasificacion_Empresas'!D76)</f>
        <v/>
      </c>
      <c r="C76" s="127"/>
      <c r="D76" s="116" t="str">
        <f>IF(A76="","",'41_Clasificacion_Empresas'!L76)</f>
        <v/>
      </c>
      <c r="E76" s="127" t="str">
        <f>IF(A76="","",'41_Clasificacion_Empresas'!M76)</f>
        <v/>
      </c>
      <c r="F76" s="126" t="str">
        <f t="shared" ca="1" si="4"/>
        <v/>
      </c>
      <c r="G76" s="127"/>
      <c r="H76" s="127" t="str">
        <f t="shared" si="5"/>
        <v/>
      </c>
      <c r="I76" s="127" t="str">
        <f>IF(A76="","",INDEX('40_Estudio_Empresas'!$X$3:$X$204,ROW()-4))</f>
        <v/>
      </c>
      <c r="J76" s="127" t="str">
        <f>IF(A76="","",'41_Clasificacion_Empresas'!G76)</f>
        <v/>
      </c>
      <c r="K76" s="127" t="str">
        <f>IF(A76="","",'41_Clasificacion_Empresas'!K76)</f>
        <v/>
      </c>
      <c r="L76" s="127"/>
      <c r="M76" s="129" t="str">
        <f>IF(A76="","",IF('41_Clasificacion_Empresas'!F76="A","Pasar a CRM y seguimiento","Mantener seguimiento y estudiar más"))</f>
        <v/>
      </c>
    </row>
    <row r="77" spans="1:13" ht="1.9" customHeight="1">
      <c r="A77" s="127" t="str">
        <f>IF(OR('41_Clasificacion_Empresas'!F77="A",'41_Clasificacion_Empresas'!F77="B"),'41_Clasificacion_Empresas'!C77,"")</f>
        <v/>
      </c>
      <c r="B77" s="127" t="str">
        <f>IF(A77="","",'41_Clasificacion_Empresas'!D77)</f>
        <v/>
      </c>
      <c r="C77" s="127"/>
      <c r="D77" s="116" t="str">
        <f>IF(A77="","",'41_Clasificacion_Empresas'!L77)</f>
        <v/>
      </c>
      <c r="E77" s="127" t="str">
        <f>IF(A77="","",'41_Clasificacion_Empresas'!M77)</f>
        <v/>
      </c>
      <c r="F77" s="126" t="str">
        <f t="shared" ca="1" si="4"/>
        <v/>
      </c>
      <c r="G77" s="127"/>
      <c r="H77" s="127" t="str">
        <f t="shared" si="5"/>
        <v/>
      </c>
      <c r="I77" s="127" t="str">
        <f>IF(A77="","",INDEX('40_Estudio_Empresas'!$X$3:$X$204,ROW()-4))</f>
        <v/>
      </c>
      <c r="J77" s="127" t="str">
        <f>IF(A77="","",'41_Clasificacion_Empresas'!G77)</f>
        <v/>
      </c>
      <c r="K77" s="127" t="str">
        <f>IF(A77="","",'41_Clasificacion_Empresas'!K77)</f>
        <v/>
      </c>
      <c r="L77" s="127"/>
      <c r="M77" s="129" t="str">
        <f>IF(A77="","",IF('41_Clasificacion_Empresas'!F77="A","Pasar a CRM y seguimiento","Mantener seguimiento y estudiar más"))</f>
        <v/>
      </c>
    </row>
    <row r="78" spans="1:13" ht="1.9" customHeight="1">
      <c r="A78" s="127" t="str">
        <f>IF(OR('41_Clasificacion_Empresas'!F78="A",'41_Clasificacion_Empresas'!F78="B"),'41_Clasificacion_Empresas'!C78,"")</f>
        <v/>
      </c>
      <c r="B78" s="127" t="str">
        <f>IF(A78="","",'41_Clasificacion_Empresas'!D78)</f>
        <v/>
      </c>
      <c r="C78" s="127"/>
      <c r="D78" s="116" t="str">
        <f>IF(A78="","",'41_Clasificacion_Empresas'!L78)</f>
        <v/>
      </c>
      <c r="E78" s="127" t="str">
        <f>IF(A78="","",'41_Clasificacion_Empresas'!M78)</f>
        <v/>
      </c>
      <c r="F78" s="126" t="str">
        <f t="shared" ca="1" si="4"/>
        <v/>
      </c>
      <c r="G78" s="127"/>
      <c r="H78" s="127" t="str">
        <f t="shared" si="5"/>
        <v/>
      </c>
      <c r="I78" s="127" t="str">
        <f>IF(A78="","",INDEX('40_Estudio_Empresas'!$X$3:$X$204,ROW()-4))</f>
        <v/>
      </c>
      <c r="J78" s="127" t="str">
        <f>IF(A78="","",'41_Clasificacion_Empresas'!G78)</f>
        <v/>
      </c>
      <c r="K78" s="127" t="str">
        <f>IF(A78="","",'41_Clasificacion_Empresas'!K78)</f>
        <v/>
      </c>
      <c r="L78" s="127"/>
      <c r="M78" s="129" t="str">
        <f>IF(A78="","",IF('41_Clasificacion_Empresas'!F78="A","Pasar a CRM y seguimiento","Mantener seguimiento y estudiar más"))</f>
        <v/>
      </c>
    </row>
    <row r="79" spans="1:13" ht="1.9" customHeight="1">
      <c r="A79" s="127" t="str">
        <f>IF(OR('41_Clasificacion_Empresas'!F79="A",'41_Clasificacion_Empresas'!F79="B"),'41_Clasificacion_Empresas'!C79,"")</f>
        <v/>
      </c>
      <c r="B79" s="127" t="str">
        <f>IF(A79="","",'41_Clasificacion_Empresas'!D79)</f>
        <v/>
      </c>
      <c r="C79" s="127"/>
      <c r="D79" s="116" t="str">
        <f>IF(A79="","",'41_Clasificacion_Empresas'!L79)</f>
        <v/>
      </c>
      <c r="E79" s="127" t="str">
        <f>IF(A79="","",'41_Clasificacion_Empresas'!M79)</f>
        <v/>
      </c>
      <c r="F79" s="126" t="str">
        <f t="shared" ca="1" si="4"/>
        <v/>
      </c>
      <c r="G79" s="127"/>
      <c r="H79" s="127" t="str">
        <f t="shared" si="5"/>
        <v/>
      </c>
      <c r="I79" s="127" t="str">
        <f>IF(A79="","",INDEX('40_Estudio_Empresas'!$X$3:$X$204,ROW()-4))</f>
        <v/>
      </c>
      <c r="J79" s="127" t="str">
        <f>IF(A79="","",'41_Clasificacion_Empresas'!G79)</f>
        <v/>
      </c>
      <c r="K79" s="127" t="str">
        <f>IF(A79="","",'41_Clasificacion_Empresas'!K79)</f>
        <v/>
      </c>
      <c r="L79" s="127"/>
      <c r="M79" s="129" t="str">
        <f>IF(A79="","",IF('41_Clasificacion_Empresas'!F79="A","Pasar a CRM y seguimiento","Mantener seguimiento y estudiar más"))</f>
        <v/>
      </c>
    </row>
    <row r="80" spans="1:13" ht="1.9" customHeight="1">
      <c r="A80" s="127" t="str">
        <f>IF(OR('41_Clasificacion_Empresas'!F80="A",'41_Clasificacion_Empresas'!F80="B"),'41_Clasificacion_Empresas'!C80,"")</f>
        <v/>
      </c>
      <c r="B80" s="127" t="str">
        <f>IF(A80="","",'41_Clasificacion_Empresas'!D80)</f>
        <v/>
      </c>
      <c r="C80" s="127"/>
      <c r="D80" s="116" t="str">
        <f>IF(A80="","",'41_Clasificacion_Empresas'!L80)</f>
        <v/>
      </c>
      <c r="E80" s="127" t="str">
        <f>IF(A80="","",'41_Clasificacion_Empresas'!M80)</f>
        <v/>
      </c>
      <c r="F80" s="126" t="str">
        <f t="shared" ca="1" si="4"/>
        <v/>
      </c>
      <c r="G80" s="127"/>
      <c r="H80" s="127" t="str">
        <f t="shared" si="5"/>
        <v/>
      </c>
      <c r="I80" s="127" t="str">
        <f>IF(A80="","",INDEX('40_Estudio_Empresas'!$X$3:$X$204,ROW()-4))</f>
        <v/>
      </c>
      <c r="J80" s="127" t="str">
        <f>IF(A80="","",'41_Clasificacion_Empresas'!G80)</f>
        <v/>
      </c>
      <c r="K80" s="127" t="str">
        <f>IF(A80="","",'41_Clasificacion_Empresas'!K80)</f>
        <v/>
      </c>
      <c r="L80" s="127"/>
      <c r="M80" s="129" t="str">
        <f>IF(A80="","",IF('41_Clasificacion_Empresas'!F80="A","Pasar a CRM y seguimiento","Mantener seguimiento y estudiar más"))</f>
        <v/>
      </c>
    </row>
    <row r="81" spans="1:13" ht="1.9" customHeight="1">
      <c r="A81" s="127" t="str">
        <f>IF(OR('41_Clasificacion_Empresas'!F81="A",'41_Clasificacion_Empresas'!F81="B"),'41_Clasificacion_Empresas'!C81,"")</f>
        <v/>
      </c>
      <c r="B81" s="127" t="str">
        <f>IF(A81="","",'41_Clasificacion_Empresas'!D81)</f>
        <v/>
      </c>
      <c r="C81" s="127"/>
      <c r="D81" s="116" t="str">
        <f>IF(A81="","",'41_Clasificacion_Empresas'!L81)</f>
        <v/>
      </c>
      <c r="E81" s="127" t="str">
        <f>IF(A81="","",'41_Clasificacion_Empresas'!M81)</f>
        <v/>
      </c>
      <c r="F81" s="126" t="str">
        <f t="shared" ca="1" si="4"/>
        <v/>
      </c>
      <c r="G81" s="127"/>
      <c r="H81" s="127" t="str">
        <f t="shared" si="5"/>
        <v/>
      </c>
      <c r="I81" s="127" t="str">
        <f>IF(A81="","",INDEX('40_Estudio_Empresas'!$X$3:$X$204,ROW()-4))</f>
        <v/>
      </c>
      <c r="J81" s="127" t="str">
        <f>IF(A81="","",'41_Clasificacion_Empresas'!G81)</f>
        <v/>
      </c>
      <c r="K81" s="127" t="str">
        <f>IF(A81="","",'41_Clasificacion_Empresas'!K81)</f>
        <v/>
      </c>
      <c r="L81" s="127"/>
      <c r="M81" s="129" t="str">
        <f>IF(A81="","",IF('41_Clasificacion_Empresas'!F81="A","Pasar a CRM y seguimiento","Mantener seguimiento y estudiar más"))</f>
        <v/>
      </c>
    </row>
    <row r="82" spans="1:13" ht="1.9" customHeight="1">
      <c r="A82" s="127" t="str">
        <f>IF(OR('41_Clasificacion_Empresas'!F82="A",'41_Clasificacion_Empresas'!F82="B"),'41_Clasificacion_Empresas'!C82,"")</f>
        <v/>
      </c>
      <c r="B82" s="127" t="str">
        <f>IF(A82="","",'41_Clasificacion_Empresas'!D82)</f>
        <v/>
      </c>
      <c r="C82" s="127"/>
      <c r="D82" s="116" t="str">
        <f>IF(A82="","",'41_Clasificacion_Empresas'!L82)</f>
        <v/>
      </c>
      <c r="E82" s="127" t="str">
        <f>IF(A82="","",'41_Clasificacion_Empresas'!M82)</f>
        <v/>
      </c>
      <c r="F82" s="126" t="str">
        <f t="shared" ca="1" si="4"/>
        <v/>
      </c>
      <c r="G82" s="127"/>
      <c r="H82" s="127" t="str">
        <f t="shared" si="5"/>
        <v/>
      </c>
      <c r="I82" s="127" t="str">
        <f>IF(A82="","",INDEX('40_Estudio_Empresas'!$X$3:$X$204,ROW()-4))</f>
        <v/>
      </c>
      <c r="J82" s="127" t="str">
        <f>IF(A82="","",'41_Clasificacion_Empresas'!G82)</f>
        <v/>
      </c>
      <c r="K82" s="127" t="str">
        <f>IF(A82="","",'41_Clasificacion_Empresas'!K82)</f>
        <v/>
      </c>
      <c r="L82" s="127"/>
      <c r="M82" s="129" t="str">
        <f>IF(A82="","",IF('41_Clasificacion_Empresas'!F82="A","Pasar a CRM y seguimiento","Mantener seguimiento y estudiar más"))</f>
        <v/>
      </c>
    </row>
    <row r="83" spans="1:13" ht="1.9" customHeight="1">
      <c r="A83" s="127" t="str">
        <f>IF(OR('41_Clasificacion_Empresas'!F83="A",'41_Clasificacion_Empresas'!F83="B"),'41_Clasificacion_Empresas'!C83,"")</f>
        <v/>
      </c>
      <c r="B83" s="127" t="str">
        <f>IF(A83="","",'41_Clasificacion_Empresas'!D83)</f>
        <v/>
      </c>
      <c r="C83" s="127"/>
      <c r="D83" s="116" t="str">
        <f>IF(A83="","",'41_Clasificacion_Empresas'!L83)</f>
        <v/>
      </c>
      <c r="E83" s="127" t="str">
        <f>IF(A83="","",'41_Clasificacion_Empresas'!M83)</f>
        <v/>
      </c>
      <c r="F83" s="126" t="str">
        <f t="shared" ca="1" si="4"/>
        <v/>
      </c>
      <c r="G83" s="127"/>
      <c r="H83" s="127" t="str">
        <f t="shared" si="5"/>
        <v/>
      </c>
      <c r="I83" s="127" t="str">
        <f>IF(A83="","",INDEX('40_Estudio_Empresas'!$X$3:$X$204,ROW()-4))</f>
        <v/>
      </c>
      <c r="J83" s="127" t="str">
        <f>IF(A83="","",'41_Clasificacion_Empresas'!G83)</f>
        <v/>
      </c>
      <c r="K83" s="127" t="str">
        <f>IF(A83="","",'41_Clasificacion_Empresas'!K83)</f>
        <v/>
      </c>
      <c r="L83" s="127"/>
      <c r="M83" s="129" t="str">
        <f>IF(A83="","",IF('41_Clasificacion_Empresas'!F83="A","Pasar a CRM y seguimiento","Mantener seguimiento y estudiar más"))</f>
        <v/>
      </c>
    </row>
    <row r="84" spans="1:13" ht="1.9" customHeight="1">
      <c r="A84" s="127" t="str">
        <f>IF(OR('41_Clasificacion_Empresas'!F84="A",'41_Clasificacion_Empresas'!F84="B"),'41_Clasificacion_Empresas'!C84,"")</f>
        <v/>
      </c>
      <c r="B84" s="127" t="str">
        <f>IF(A84="","",'41_Clasificacion_Empresas'!D84)</f>
        <v/>
      </c>
      <c r="C84" s="127"/>
      <c r="D84" s="116" t="str">
        <f>IF(A84="","",'41_Clasificacion_Empresas'!L84)</f>
        <v/>
      </c>
      <c r="E84" s="127" t="str">
        <f>IF(A84="","",'41_Clasificacion_Empresas'!M84)</f>
        <v/>
      </c>
      <c r="F84" s="126" t="str">
        <f t="shared" ca="1" si="4"/>
        <v/>
      </c>
      <c r="G84" s="127"/>
      <c r="H84" s="127" t="str">
        <f t="shared" si="5"/>
        <v/>
      </c>
      <c r="I84" s="127" t="str">
        <f>IF(A84="","",INDEX('40_Estudio_Empresas'!$X$3:$X$204,ROW()-4))</f>
        <v/>
      </c>
      <c r="J84" s="127" t="str">
        <f>IF(A84="","",'41_Clasificacion_Empresas'!G84)</f>
        <v/>
      </c>
      <c r="K84" s="127" t="str">
        <f>IF(A84="","",'41_Clasificacion_Empresas'!K84)</f>
        <v/>
      </c>
      <c r="L84" s="127"/>
      <c r="M84" s="129" t="str">
        <f>IF(A84="","",IF('41_Clasificacion_Empresas'!F84="A","Pasar a CRM y seguimiento","Mantener seguimiento y estudiar más"))</f>
        <v/>
      </c>
    </row>
    <row r="85" spans="1:13" ht="1.9" customHeight="1">
      <c r="A85" s="127" t="str">
        <f>IF(OR('41_Clasificacion_Empresas'!F85="A",'41_Clasificacion_Empresas'!F85="B"),'41_Clasificacion_Empresas'!C85,"")</f>
        <v/>
      </c>
      <c r="B85" s="127" t="str">
        <f>IF(A85="","",'41_Clasificacion_Empresas'!D85)</f>
        <v/>
      </c>
      <c r="C85" s="127"/>
      <c r="D85" s="116" t="str">
        <f>IF(A85="","",'41_Clasificacion_Empresas'!L85)</f>
        <v/>
      </c>
      <c r="E85" s="127" t="str">
        <f>IF(A85="","",'41_Clasificacion_Empresas'!M85)</f>
        <v/>
      </c>
      <c r="F85" s="126" t="str">
        <f t="shared" ca="1" si="4"/>
        <v/>
      </c>
      <c r="G85" s="127"/>
      <c r="H85" s="127" t="str">
        <f t="shared" si="5"/>
        <v/>
      </c>
      <c r="I85" s="127" t="str">
        <f>IF(A85="","",INDEX('40_Estudio_Empresas'!$X$3:$X$204,ROW()-4))</f>
        <v/>
      </c>
      <c r="J85" s="127" t="str">
        <f>IF(A85="","",'41_Clasificacion_Empresas'!G85)</f>
        <v/>
      </c>
      <c r="K85" s="127" t="str">
        <f>IF(A85="","",'41_Clasificacion_Empresas'!K85)</f>
        <v/>
      </c>
      <c r="L85" s="127"/>
      <c r="M85" s="129" t="str">
        <f>IF(A85="","",IF('41_Clasificacion_Empresas'!F85="A","Pasar a CRM y seguimiento","Mantener seguimiento y estudiar más"))</f>
        <v/>
      </c>
    </row>
    <row r="86" spans="1:13" ht="1.9" customHeight="1">
      <c r="A86" s="127" t="str">
        <f>IF(OR('41_Clasificacion_Empresas'!F86="A",'41_Clasificacion_Empresas'!F86="B"),'41_Clasificacion_Empresas'!C86,"")</f>
        <v/>
      </c>
      <c r="B86" s="127" t="str">
        <f>IF(A86="","",'41_Clasificacion_Empresas'!D86)</f>
        <v/>
      </c>
      <c r="C86" s="127"/>
      <c r="D86" s="116" t="str">
        <f>IF(A86="","",'41_Clasificacion_Empresas'!L86)</f>
        <v/>
      </c>
      <c r="E86" s="127" t="str">
        <f>IF(A86="","",'41_Clasificacion_Empresas'!M86)</f>
        <v/>
      </c>
      <c r="F86" s="126" t="str">
        <f t="shared" ca="1" si="4"/>
        <v/>
      </c>
      <c r="G86" s="127"/>
      <c r="H86" s="127" t="str">
        <f t="shared" si="5"/>
        <v/>
      </c>
      <c r="I86" s="127" t="str">
        <f>IF(A86="","",INDEX('40_Estudio_Empresas'!$X$3:$X$204,ROW()-4))</f>
        <v/>
      </c>
      <c r="J86" s="127" t="str">
        <f>IF(A86="","",'41_Clasificacion_Empresas'!G86)</f>
        <v/>
      </c>
      <c r="K86" s="127" t="str">
        <f>IF(A86="","",'41_Clasificacion_Empresas'!K86)</f>
        <v/>
      </c>
      <c r="L86" s="127"/>
      <c r="M86" s="129" t="str">
        <f>IF(A86="","",IF('41_Clasificacion_Empresas'!F86="A","Pasar a CRM y seguimiento","Mantener seguimiento y estudiar más"))</f>
        <v/>
      </c>
    </row>
    <row r="87" spans="1:13" ht="1.9" customHeight="1">
      <c r="A87" s="127" t="str">
        <f>IF(OR('41_Clasificacion_Empresas'!F87="A",'41_Clasificacion_Empresas'!F87="B"),'41_Clasificacion_Empresas'!C87,"")</f>
        <v/>
      </c>
      <c r="B87" s="127" t="str">
        <f>IF(A87="","",'41_Clasificacion_Empresas'!D87)</f>
        <v/>
      </c>
      <c r="C87" s="127"/>
      <c r="D87" s="116" t="str">
        <f>IF(A87="","",'41_Clasificacion_Empresas'!L87)</f>
        <v/>
      </c>
      <c r="E87" s="127" t="str">
        <f>IF(A87="","",'41_Clasificacion_Empresas'!M87)</f>
        <v/>
      </c>
      <c r="F87" s="126" t="str">
        <f t="shared" ca="1" si="4"/>
        <v/>
      </c>
      <c r="G87" s="127"/>
      <c r="H87" s="127" t="str">
        <f t="shared" si="5"/>
        <v/>
      </c>
      <c r="I87" s="127" t="str">
        <f>IF(A87="","",INDEX('40_Estudio_Empresas'!$X$3:$X$204,ROW()-4))</f>
        <v/>
      </c>
      <c r="J87" s="127" t="str">
        <f>IF(A87="","",'41_Clasificacion_Empresas'!G87)</f>
        <v/>
      </c>
      <c r="K87" s="127" t="str">
        <f>IF(A87="","",'41_Clasificacion_Empresas'!K87)</f>
        <v/>
      </c>
      <c r="L87" s="127"/>
      <c r="M87" s="129" t="str">
        <f>IF(A87="","",IF('41_Clasificacion_Empresas'!F87="A","Pasar a CRM y seguimiento","Mantener seguimiento y estudiar más"))</f>
        <v/>
      </c>
    </row>
    <row r="88" spans="1:13" ht="1.9" customHeight="1">
      <c r="A88" s="127" t="str">
        <f>IF(OR('41_Clasificacion_Empresas'!F88="A",'41_Clasificacion_Empresas'!F88="B"),'41_Clasificacion_Empresas'!C88,"")</f>
        <v/>
      </c>
      <c r="B88" s="127" t="str">
        <f>IF(A88="","",'41_Clasificacion_Empresas'!D88)</f>
        <v/>
      </c>
      <c r="C88" s="127"/>
      <c r="D88" s="116" t="str">
        <f>IF(A88="","",'41_Clasificacion_Empresas'!L88)</f>
        <v/>
      </c>
      <c r="E88" s="127" t="str">
        <f>IF(A88="","",'41_Clasificacion_Empresas'!M88)</f>
        <v/>
      </c>
      <c r="F88" s="126" t="str">
        <f t="shared" ca="1" si="4"/>
        <v/>
      </c>
      <c r="G88" s="127"/>
      <c r="H88" s="127" t="str">
        <f t="shared" si="5"/>
        <v/>
      </c>
      <c r="I88" s="127" t="str">
        <f>IF(A88="","",INDEX('40_Estudio_Empresas'!$X$3:$X$204,ROW()-4))</f>
        <v/>
      </c>
      <c r="J88" s="127" t="str">
        <f>IF(A88="","",'41_Clasificacion_Empresas'!G88)</f>
        <v/>
      </c>
      <c r="K88" s="127" t="str">
        <f>IF(A88="","",'41_Clasificacion_Empresas'!K88)</f>
        <v/>
      </c>
      <c r="L88" s="127"/>
      <c r="M88" s="129" t="str">
        <f>IF(A88="","",IF('41_Clasificacion_Empresas'!F88="A","Pasar a CRM y seguimiento","Mantener seguimiento y estudiar más"))</f>
        <v/>
      </c>
    </row>
    <row r="89" spans="1:13" ht="1.9" customHeight="1">
      <c r="A89" s="127" t="str">
        <f>IF(OR('41_Clasificacion_Empresas'!F89="A",'41_Clasificacion_Empresas'!F89="B"),'41_Clasificacion_Empresas'!C89,"")</f>
        <v/>
      </c>
      <c r="B89" s="127" t="str">
        <f>IF(A89="","",'41_Clasificacion_Empresas'!D89)</f>
        <v/>
      </c>
      <c r="C89" s="127"/>
      <c r="D89" s="116" t="str">
        <f>IF(A89="","",'41_Clasificacion_Empresas'!L89)</f>
        <v/>
      </c>
      <c r="E89" s="127" t="str">
        <f>IF(A89="","",'41_Clasificacion_Empresas'!M89)</f>
        <v/>
      </c>
      <c r="F89" s="126" t="str">
        <f t="shared" ca="1" si="4"/>
        <v/>
      </c>
      <c r="G89" s="127"/>
      <c r="H89" s="127" t="str">
        <f t="shared" si="5"/>
        <v/>
      </c>
      <c r="I89" s="127" t="str">
        <f>IF(A89="","",INDEX('40_Estudio_Empresas'!$X$3:$X$204,ROW()-4))</f>
        <v/>
      </c>
      <c r="J89" s="127" t="str">
        <f>IF(A89="","",'41_Clasificacion_Empresas'!G89)</f>
        <v/>
      </c>
      <c r="K89" s="127" t="str">
        <f>IF(A89="","",'41_Clasificacion_Empresas'!K89)</f>
        <v/>
      </c>
      <c r="L89" s="127"/>
      <c r="M89" s="129" t="str">
        <f>IF(A89="","",IF('41_Clasificacion_Empresas'!F89="A","Pasar a CRM y seguimiento","Mantener seguimiento y estudiar más"))</f>
        <v/>
      </c>
    </row>
    <row r="90" spans="1:13" ht="1.9" customHeight="1">
      <c r="A90" s="127" t="str">
        <f>IF(OR('41_Clasificacion_Empresas'!F90="A",'41_Clasificacion_Empresas'!F90="B"),'41_Clasificacion_Empresas'!C90,"")</f>
        <v/>
      </c>
      <c r="B90" s="127" t="str">
        <f>IF(A90="","",'41_Clasificacion_Empresas'!D90)</f>
        <v/>
      </c>
      <c r="C90" s="127"/>
      <c r="D90" s="116" t="str">
        <f>IF(A90="","",'41_Clasificacion_Empresas'!L90)</f>
        <v/>
      </c>
      <c r="E90" s="127" t="str">
        <f>IF(A90="","",'41_Clasificacion_Empresas'!M90)</f>
        <v/>
      </c>
      <c r="F90" s="126" t="str">
        <f t="shared" ca="1" si="4"/>
        <v/>
      </c>
      <c r="G90" s="127"/>
      <c r="H90" s="127" t="str">
        <f t="shared" si="5"/>
        <v/>
      </c>
      <c r="I90" s="127" t="str">
        <f>IF(A90="","",INDEX('40_Estudio_Empresas'!$X$3:$X$204,ROW()-4))</f>
        <v/>
      </c>
      <c r="J90" s="127" t="str">
        <f>IF(A90="","",'41_Clasificacion_Empresas'!G90)</f>
        <v/>
      </c>
      <c r="K90" s="127" t="str">
        <f>IF(A90="","",'41_Clasificacion_Empresas'!K90)</f>
        <v/>
      </c>
      <c r="L90" s="127"/>
      <c r="M90" s="129" t="str">
        <f>IF(A90="","",IF('41_Clasificacion_Empresas'!F90="A","Pasar a CRM y seguimiento","Mantener seguimiento y estudiar más"))</f>
        <v/>
      </c>
    </row>
    <row r="91" spans="1:13" ht="1.9" customHeight="1">
      <c r="A91" s="127" t="str">
        <f>IF(OR('41_Clasificacion_Empresas'!F91="A",'41_Clasificacion_Empresas'!F91="B"),'41_Clasificacion_Empresas'!C91,"")</f>
        <v/>
      </c>
      <c r="B91" s="127" t="str">
        <f>IF(A91="","",'41_Clasificacion_Empresas'!D91)</f>
        <v/>
      </c>
      <c r="C91" s="127"/>
      <c r="D91" s="116" t="str">
        <f>IF(A91="","",'41_Clasificacion_Empresas'!L91)</f>
        <v/>
      </c>
      <c r="E91" s="127" t="str">
        <f>IF(A91="","",'41_Clasificacion_Empresas'!M91)</f>
        <v/>
      </c>
      <c r="F91" s="126" t="str">
        <f t="shared" ca="1" si="4"/>
        <v/>
      </c>
      <c r="G91" s="127"/>
      <c r="H91" s="127" t="str">
        <f t="shared" si="5"/>
        <v/>
      </c>
      <c r="I91" s="127" t="str">
        <f>IF(A91="","",INDEX('40_Estudio_Empresas'!$X$3:$X$204,ROW()-4))</f>
        <v/>
      </c>
      <c r="J91" s="127" t="str">
        <f>IF(A91="","",'41_Clasificacion_Empresas'!G91)</f>
        <v/>
      </c>
      <c r="K91" s="127" t="str">
        <f>IF(A91="","",'41_Clasificacion_Empresas'!K91)</f>
        <v/>
      </c>
      <c r="L91" s="127"/>
      <c r="M91" s="129" t="str">
        <f>IF(A91="","",IF('41_Clasificacion_Empresas'!F91="A","Pasar a CRM y seguimiento","Mantener seguimiento y estudiar más"))</f>
        <v/>
      </c>
    </row>
    <row r="92" spans="1:13" ht="1.9" customHeight="1">
      <c r="A92" s="127" t="str">
        <f>IF(OR('41_Clasificacion_Empresas'!F92="A",'41_Clasificacion_Empresas'!F92="B"),'41_Clasificacion_Empresas'!C92,"")</f>
        <v/>
      </c>
      <c r="B92" s="127" t="str">
        <f>IF(A92="","",'41_Clasificacion_Empresas'!D92)</f>
        <v/>
      </c>
      <c r="C92" s="127"/>
      <c r="D92" s="116" t="str">
        <f>IF(A92="","",'41_Clasificacion_Empresas'!L92)</f>
        <v/>
      </c>
      <c r="E92" s="127" t="str">
        <f>IF(A92="","",'41_Clasificacion_Empresas'!M92)</f>
        <v/>
      </c>
      <c r="F92" s="126" t="str">
        <f t="shared" ca="1" si="4"/>
        <v/>
      </c>
      <c r="G92" s="127"/>
      <c r="H92" s="127" t="str">
        <f t="shared" si="5"/>
        <v/>
      </c>
      <c r="I92" s="127" t="str">
        <f>IF(A92="","",INDEX('40_Estudio_Empresas'!$X$3:$X$204,ROW()-4))</f>
        <v/>
      </c>
      <c r="J92" s="127" t="str">
        <f>IF(A92="","",'41_Clasificacion_Empresas'!G92)</f>
        <v/>
      </c>
      <c r="K92" s="127" t="str">
        <f>IF(A92="","",'41_Clasificacion_Empresas'!K92)</f>
        <v/>
      </c>
      <c r="L92" s="127"/>
      <c r="M92" s="129" t="str">
        <f>IF(A92="","",IF('41_Clasificacion_Empresas'!F92="A","Pasar a CRM y seguimiento","Mantener seguimiento y estudiar más"))</f>
        <v/>
      </c>
    </row>
    <row r="93" spans="1:13" ht="1.9" customHeight="1">
      <c r="A93" s="127" t="str">
        <f>IF(OR('41_Clasificacion_Empresas'!F93="A",'41_Clasificacion_Empresas'!F93="B"),'41_Clasificacion_Empresas'!C93,"")</f>
        <v/>
      </c>
      <c r="B93" s="127" t="str">
        <f>IF(A93="","",'41_Clasificacion_Empresas'!D93)</f>
        <v/>
      </c>
      <c r="C93" s="127"/>
      <c r="D93" s="116" t="str">
        <f>IF(A93="","",'41_Clasificacion_Empresas'!L93)</f>
        <v/>
      </c>
      <c r="E93" s="127" t="str">
        <f>IF(A93="","",'41_Clasificacion_Empresas'!M93)</f>
        <v/>
      </c>
      <c r="F93" s="126" t="str">
        <f t="shared" ca="1" si="4"/>
        <v/>
      </c>
      <c r="G93" s="127"/>
      <c r="H93" s="127" t="str">
        <f t="shared" si="5"/>
        <v/>
      </c>
      <c r="I93" s="127" t="str">
        <f>IF(A93="","",INDEX('40_Estudio_Empresas'!$X$3:$X$204,ROW()-4))</f>
        <v/>
      </c>
      <c r="J93" s="127" t="str">
        <f>IF(A93="","",'41_Clasificacion_Empresas'!G93)</f>
        <v/>
      </c>
      <c r="K93" s="127" t="str">
        <f>IF(A93="","",'41_Clasificacion_Empresas'!K93)</f>
        <v/>
      </c>
      <c r="L93" s="127"/>
      <c r="M93" s="129" t="str">
        <f>IF(A93="","",IF('41_Clasificacion_Empresas'!F93="A","Pasar a CRM y seguimiento","Mantener seguimiento y estudiar más"))</f>
        <v/>
      </c>
    </row>
    <row r="94" spans="1:13" ht="1.9" customHeight="1">
      <c r="A94" s="127" t="str">
        <f>IF(OR('41_Clasificacion_Empresas'!F94="A",'41_Clasificacion_Empresas'!F94="B"),'41_Clasificacion_Empresas'!C94,"")</f>
        <v/>
      </c>
      <c r="B94" s="127" t="str">
        <f>IF(A94="","",'41_Clasificacion_Empresas'!D94)</f>
        <v/>
      </c>
      <c r="C94" s="127"/>
      <c r="D94" s="116" t="str">
        <f>IF(A94="","",'41_Clasificacion_Empresas'!L94)</f>
        <v/>
      </c>
      <c r="E94" s="127" t="str">
        <f>IF(A94="","",'41_Clasificacion_Empresas'!M94)</f>
        <v/>
      </c>
      <c r="F94" s="126" t="str">
        <f t="shared" ca="1" si="4"/>
        <v/>
      </c>
      <c r="G94" s="127"/>
      <c r="H94" s="127" t="str">
        <f t="shared" si="5"/>
        <v/>
      </c>
      <c r="I94" s="127" t="str">
        <f>IF(A94="","",INDEX('40_Estudio_Empresas'!$X$3:$X$204,ROW()-4))</f>
        <v/>
      </c>
      <c r="J94" s="127" t="str">
        <f>IF(A94="","",'41_Clasificacion_Empresas'!G94)</f>
        <v/>
      </c>
      <c r="K94" s="127" t="str">
        <f>IF(A94="","",'41_Clasificacion_Empresas'!K94)</f>
        <v/>
      </c>
      <c r="L94" s="127"/>
      <c r="M94" s="129" t="str">
        <f>IF(A94="","",IF('41_Clasificacion_Empresas'!F94="A","Pasar a CRM y seguimiento","Mantener seguimiento y estudiar más"))</f>
        <v/>
      </c>
    </row>
    <row r="95" spans="1:13" ht="1.9" customHeight="1">
      <c r="A95" s="127" t="str">
        <f>IF(OR('41_Clasificacion_Empresas'!F95="A",'41_Clasificacion_Empresas'!F95="B"),'41_Clasificacion_Empresas'!C95,"")</f>
        <v/>
      </c>
      <c r="B95" s="127" t="str">
        <f>IF(A95="","",'41_Clasificacion_Empresas'!D95)</f>
        <v/>
      </c>
      <c r="C95" s="127"/>
      <c r="D95" s="116" t="str">
        <f>IF(A95="","",'41_Clasificacion_Empresas'!L95)</f>
        <v/>
      </c>
      <c r="E95" s="127" t="str">
        <f>IF(A95="","",'41_Clasificacion_Empresas'!M95)</f>
        <v/>
      </c>
      <c r="F95" s="126" t="str">
        <f t="shared" ca="1" si="4"/>
        <v/>
      </c>
      <c r="G95" s="127"/>
      <c r="H95" s="127" t="str">
        <f t="shared" si="5"/>
        <v/>
      </c>
      <c r="I95" s="127" t="str">
        <f>IF(A95="","",INDEX('40_Estudio_Empresas'!$X$3:$X$204,ROW()-4))</f>
        <v/>
      </c>
      <c r="J95" s="127" t="str">
        <f>IF(A95="","",'41_Clasificacion_Empresas'!G95)</f>
        <v/>
      </c>
      <c r="K95" s="127" t="str">
        <f>IF(A95="","",'41_Clasificacion_Empresas'!K95)</f>
        <v/>
      </c>
      <c r="L95" s="127"/>
      <c r="M95" s="129" t="str">
        <f>IF(A95="","",IF('41_Clasificacion_Empresas'!F95="A","Pasar a CRM y seguimiento","Mantener seguimiento y estudiar más"))</f>
        <v/>
      </c>
    </row>
    <row r="96" spans="1:13" ht="1.9" customHeight="1">
      <c r="A96" s="127" t="str">
        <f>IF(OR('41_Clasificacion_Empresas'!F96="A",'41_Clasificacion_Empresas'!F96="B"),'41_Clasificacion_Empresas'!C96,"")</f>
        <v/>
      </c>
      <c r="B96" s="127" t="str">
        <f>IF(A96="","",'41_Clasificacion_Empresas'!D96)</f>
        <v/>
      </c>
      <c r="C96" s="127"/>
      <c r="D96" s="116" t="str">
        <f>IF(A96="","",'41_Clasificacion_Empresas'!L96)</f>
        <v/>
      </c>
      <c r="E96" s="127" t="str">
        <f>IF(A96="","",'41_Clasificacion_Empresas'!M96)</f>
        <v/>
      </c>
      <c r="F96" s="126" t="str">
        <f t="shared" ca="1" si="4"/>
        <v/>
      </c>
      <c r="G96" s="127"/>
      <c r="H96" s="127" t="str">
        <f t="shared" si="5"/>
        <v/>
      </c>
      <c r="I96" s="127" t="str">
        <f>IF(A96="","",INDEX('40_Estudio_Empresas'!$X$3:$X$204,ROW()-4))</f>
        <v/>
      </c>
      <c r="J96" s="127" t="str">
        <f>IF(A96="","",'41_Clasificacion_Empresas'!G96)</f>
        <v/>
      </c>
      <c r="K96" s="127" t="str">
        <f>IF(A96="","",'41_Clasificacion_Empresas'!K96)</f>
        <v/>
      </c>
      <c r="L96" s="127"/>
      <c r="M96" s="129" t="str">
        <f>IF(A96="","",IF('41_Clasificacion_Empresas'!F96="A","Pasar a CRM y seguimiento","Mantener seguimiento y estudiar más"))</f>
        <v/>
      </c>
    </row>
    <row r="97" spans="1:13" ht="1.9" customHeight="1">
      <c r="A97" s="127" t="str">
        <f>IF(OR('41_Clasificacion_Empresas'!F97="A",'41_Clasificacion_Empresas'!F97="B"),'41_Clasificacion_Empresas'!C97,"")</f>
        <v/>
      </c>
      <c r="B97" s="127" t="str">
        <f>IF(A97="","",'41_Clasificacion_Empresas'!D97)</f>
        <v/>
      </c>
      <c r="C97" s="127"/>
      <c r="D97" s="116" t="str">
        <f>IF(A97="","",'41_Clasificacion_Empresas'!L97)</f>
        <v/>
      </c>
      <c r="E97" s="127" t="str">
        <f>IF(A97="","",'41_Clasificacion_Empresas'!M97)</f>
        <v/>
      </c>
      <c r="F97" s="126" t="str">
        <f t="shared" ca="1" si="4"/>
        <v/>
      </c>
      <c r="G97" s="127"/>
      <c r="H97" s="127" t="str">
        <f t="shared" si="5"/>
        <v/>
      </c>
      <c r="I97" s="127" t="str">
        <f>IF(A97="","",INDEX('40_Estudio_Empresas'!$X$3:$X$204,ROW()-4))</f>
        <v/>
      </c>
      <c r="J97" s="127" t="str">
        <f>IF(A97="","",'41_Clasificacion_Empresas'!G97)</f>
        <v/>
      </c>
      <c r="K97" s="127" t="str">
        <f>IF(A97="","",'41_Clasificacion_Empresas'!K97)</f>
        <v/>
      </c>
      <c r="L97" s="127"/>
      <c r="M97" s="129" t="str">
        <f>IF(A97="","",IF('41_Clasificacion_Empresas'!F97="A","Pasar a CRM y seguimiento","Mantener seguimiento y estudiar más"))</f>
        <v/>
      </c>
    </row>
    <row r="98" spans="1:13" ht="1.9" customHeight="1">
      <c r="A98" s="127" t="str">
        <f>IF(OR('41_Clasificacion_Empresas'!F98="A",'41_Clasificacion_Empresas'!F98="B"),'41_Clasificacion_Empresas'!C98,"")</f>
        <v/>
      </c>
      <c r="B98" s="127" t="str">
        <f>IF(A98="","",'41_Clasificacion_Empresas'!D98)</f>
        <v/>
      </c>
      <c r="C98" s="127"/>
      <c r="D98" s="116" t="str">
        <f>IF(A98="","",'41_Clasificacion_Empresas'!L98)</f>
        <v/>
      </c>
      <c r="E98" s="127" t="str">
        <f>IF(A98="","",'41_Clasificacion_Empresas'!M98)</f>
        <v/>
      </c>
      <c r="F98" s="126" t="str">
        <f t="shared" ca="1" si="4"/>
        <v/>
      </c>
      <c r="G98" s="127"/>
      <c r="H98" s="127" t="str">
        <f t="shared" si="5"/>
        <v/>
      </c>
      <c r="I98" s="127" t="str">
        <f>IF(A98="","",INDEX('40_Estudio_Empresas'!$X$3:$X$204,ROW()-4))</f>
        <v/>
      </c>
      <c r="J98" s="127" t="str">
        <f>IF(A98="","",'41_Clasificacion_Empresas'!G98)</f>
        <v/>
      </c>
      <c r="K98" s="127" t="str">
        <f>IF(A98="","",'41_Clasificacion_Empresas'!K98)</f>
        <v/>
      </c>
      <c r="L98" s="127"/>
      <c r="M98" s="129" t="str">
        <f>IF(A98="","",IF('41_Clasificacion_Empresas'!F98="A","Pasar a CRM y seguimiento","Mantener seguimiento y estudiar más"))</f>
        <v/>
      </c>
    </row>
    <row r="99" spans="1:13" ht="1.9" customHeight="1">
      <c r="A99" s="127" t="str">
        <f>IF(OR('41_Clasificacion_Empresas'!F99="A",'41_Clasificacion_Empresas'!F99="B"),'41_Clasificacion_Empresas'!C99,"")</f>
        <v/>
      </c>
      <c r="B99" s="127" t="str">
        <f>IF(A99="","",'41_Clasificacion_Empresas'!D99)</f>
        <v/>
      </c>
      <c r="C99" s="127"/>
      <c r="D99" s="116" t="str">
        <f>IF(A99="","",'41_Clasificacion_Empresas'!L99)</f>
        <v/>
      </c>
      <c r="E99" s="127" t="str">
        <f>IF(A99="","",'41_Clasificacion_Empresas'!M99)</f>
        <v/>
      </c>
      <c r="F99" s="126" t="str">
        <f t="shared" ca="1" si="4"/>
        <v/>
      </c>
      <c r="G99" s="127"/>
      <c r="H99" s="127" t="str">
        <f t="shared" si="5"/>
        <v/>
      </c>
      <c r="I99" s="127" t="str">
        <f>IF(A99="","",INDEX('40_Estudio_Empresas'!$X$3:$X$204,ROW()-4))</f>
        <v/>
      </c>
      <c r="J99" s="127" t="str">
        <f>IF(A99="","",'41_Clasificacion_Empresas'!G99)</f>
        <v/>
      </c>
      <c r="K99" s="127" t="str">
        <f>IF(A99="","",'41_Clasificacion_Empresas'!K99)</f>
        <v/>
      </c>
      <c r="L99" s="127"/>
      <c r="M99" s="129" t="str">
        <f>IF(A99="","",IF('41_Clasificacion_Empresas'!F99="A","Pasar a CRM y seguimiento","Mantener seguimiento y estudiar más"))</f>
        <v/>
      </c>
    </row>
    <row r="100" spans="1:13" ht="1.9" customHeight="1">
      <c r="A100" s="127" t="str">
        <f>IF(OR('41_Clasificacion_Empresas'!F100="A",'41_Clasificacion_Empresas'!F100="B"),'41_Clasificacion_Empresas'!C100,"")</f>
        <v/>
      </c>
      <c r="B100" s="127" t="str">
        <f>IF(A100="","",'41_Clasificacion_Empresas'!D100)</f>
        <v/>
      </c>
      <c r="C100" s="127"/>
      <c r="D100" s="116" t="str">
        <f>IF(A100="","",'41_Clasificacion_Empresas'!L100)</f>
        <v/>
      </c>
      <c r="E100" s="127" t="str">
        <f>IF(A100="","",'41_Clasificacion_Empresas'!M100)</f>
        <v/>
      </c>
      <c r="F100" s="126" t="str">
        <f t="shared" ca="1" si="4"/>
        <v/>
      </c>
      <c r="G100" s="127"/>
      <c r="H100" s="127" t="str">
        <f t="shared" si="5"/>
        <v/>
      </c>
      <c r="I100" s="127" t="str">
        <f>IF(A100="","",INDEX('40_Estudio_Empresas'!$X$3:$X$204,ROW()-4))</f>
        <v/>
      </c>
      <c r="J100" s="127" t="str">
        <f>IF(A100="","",'41_Clasificacion_Empresas'!G100)</f>
        <v/>
      </c>
      <c r="K100" s="127" t="str">
        <f>IF(A100="","",'41_Clasificacion_Empresas'!K100)</f>
        <v/>
      </c>
      <c r="L100" s="127"/>
      <c r="M100" s="129" t="str">
        <f>IF(A100="","",IF('41_Clasificacion_Empresas'!F100="A","Pasar a CRM y seguimiento","Mantener seguimiento y estudiar más"))</f>
        <v/>
      </c>
    </row>
    <row r="101" spans="1:13">
      <c r="A101" s="127" t="str">
        <f>IF(OR('41_Clasificacion_Empresas'!F101="A",'41_Clasificacion_Empresas'!F101="B"),'41_Clasificacion_Empresas'!C101,"")</f>
        <v/>
      </c>
      <c r="B101" s="127" t="str">
        <f>IF(A101="","",'41_Clasificacion_Empresas'!D101)</f>
        <v/>
      </c>
      <c r="C101" s="127"/>
      <c r="D101" s="116" t="str">
        <f>IF(A101="","",'41_Clasificacion_Empresas'!L101)</f>
        <v/>
      </c>
      <c r="E101" s="127" t="str">
        <f>IF(A101="","",'41_Clasificacion_Empresas'!M101)</f>
        <v/>
      </c>
      <c r="F101" s="126" t="str">
        <f t="shared" ref="F101:F132" ca="1" si="6">IF(A101="","",TODAY()+7)</f>
        <v/>
      </c>
      <c r="G101" s="127"/>
      <c r="H101" s="127" t="str">
        <f t="shared" ref="H101:H132" si="7">IF(A101="","","40_Estudio_Empresas → 41_Clasificacion")</f>
        <v/>
      </c>
      <c r="I101" s="127" t="str">
        <f>IF(A101="","",INDEX('40_Estudio_Empresas'!$X$3:$X$204,ROW()-4))</f>
        <v/>
      </c>
      <c r="J101" s="127" t="str">
        <f>IF(A101="","",'41_Clasificacion_Empresas'!G101)</f>
        <v/>
      </c>
      <c r="K101" s="127" t="str">
        <f>IF(A101="","",'41_Clasificacion_Empresas'!K101)</f>
        <v/>
      </c>
      <c r="L101" s="127"/>
      <c r="M101" s="129" t="str">
        <f>IF(A101="","",IF('41_Clasificacion_Empresas'!F101="A","Pasar a CRM y seguimiento","Mantener seguimiento y estudiar más"))</f>
        <v/>
      </c>
    </row>
    <row r="102" spans="1:13">
      <c r="A102" s="127" t="str">
        <f>IF(OR('41_Clasificacion_Empresas'!F102="A",'41_Clasificacion_Empresas'!F102="B"),'41_Clasificacion_Empresas'!C102,"")</f>
        <v/>
      </c>
      <c r="B102" s="127" t="str">
        <f>IF(A102="","",'41_Clasificacion_Empresas'!D102)</f>
        <v/>
      </c>
      <c r="C102" s="127"/>
      <c r="D102" s="116" t="str">
        <f>IF(A102="","",'41_Clasificacion_Empresas'!L102)</f>
        <v/>
      </c>
      <c r="E102" s="127" t="str">
        <f>IF(A102="","",'41_Clasificacion_Empresas'!M102)</f>
        <v/>
      </c>
      <c r="F102" s="126" t="str">
        <f t="shared" ca="1" si="6"/>
        <v/>
      </c>
      <c r="G102" s="127"/>
      <c r="H102" s="127" t="str">
        <f t="shared" si="7"/>
        <v/>
      </c>
      <c r="I102" s="127" t="str">
        <f>IF(A102="","",INDEX('40_Estudio_Empresas'!$X$3:$X$204,ROW()-4))</f>
        <v/>
      </c>
      <c r="J102" s="127" t="str">
        <f>IF(A102="","",'41_Clasificacion_Empresas'!G102)</f>
        <v/>
      </c>
      <c r="K102" s="127" t="str">
        <f>IF(A102="","",'41_Clasificacion_Empresas'!K102)</f>
        <v/>
      </c>
      <c r="L102" s="127"/>
      <c r="M102" s="129" t="str">
        <f>IF(A102="","",IF('41_Clasificacion_Empresas'!F102="A","Pasar a CRM y seguimiento","Mantener seguimiento y estudiar más"))</f>
        <v/>
      </c>
    </row>
    <row r="103" spans="1:13">
      <c r="A103" s="127" t="str">
        <f>IF(OR('41_Clasificacion_Empresas'!F103="A",'41_Clasificacion_Empresas'!F103="B"),'41_Clasificacion_Empresas'!C103,"")</f>
        <v/>
      </c>
      <c r="B103" s="127" t="str">
        <f>IF(A103="","",'41_Clasificacion_Empresas'!D103)</f>
        <v/>
      </c>
      <c r="C103" s="127"/>
      <c r="D103" s="116" t="str">
        <f>IF(A103="","",'41_Clasificacion_Empresas'!L103)</f>
        <v/>
      </c>
      <c r="E103" s="127" t="str">
        <f>IF(A103="","",'41_Clasificacion_Empresas'!M103)</f>
        <v/>
      </c>
      <c r="F103" s="126" t="str">
        <f t="shared" ca="1" si="6"/>
        <v/>
      </c>
      <c r="G103" s="127"/>
      <c r="H103" s="127" t="str">
        <f t="shared" si="7"/>
        <v/>
      </c>
      <c r="I103" s="127" t="str">
        <f>IF(A103="","",INDEX('40_Estudio_Empresas'!$X$3:$X$204,ROW()-4))</f>
        <v/>
      </c>
      <c r="J103" s="127" t="str">
        <f>IF(A103="","",'41_Clasificacion_Empresas'!G103)</f>
        <v/>
      </c>
      <c r="K103" s="127" t="str">
        <f>IF(A103="","",'41_Clasificacion_Empresas'!K103)</f>
        <v/>
      </c>
      <c r="L103" s="127"/>
      <c r="M103" s="129" t="str">
        <f>IF(A103="","",IF('41_Clasificacion_Empresas'!F103="A","Pasar a CRM y seguimiento","Mantener seguimiento y estudiar más"))</f>
        <v/>
      </c>
    </row>
    <row r="104" spans="1:13">
      <c r="A104" s="127" t="str">
        <f>IF(OR('41_Clasificacion_Empresas'!F104="A",'41_Clasificacion_Empresas'!F104="B"),'41_Clasificacion_Empresas'!C104,"")</f>
        <v/>
      </c>
      <c r="B104" s="127" t="str">
        <f>IF(A104="","",'41_Clasificacion_Empresas'!D104)</f>
        <v/>
      </c>
      <c r="C104" s="127"/>
      <c r="D104" s="116" t="str">
        <f>IF(A104="","",'41_Clasificacion_Empresas'!L104)</f>
        <v/>
      </c>
      <c r="E104" s="127" t="str">
        <f>IF(A104="","",'41_Clasificacion_Empresas'!M104)</f>
        <v/>
      </c>
      <c r="F104" s="126" t="str">
        <f t="shared" ca="1" si="6"/>
        <v/>
      </c>
      <c r="G104" s="127"/>
      <c r="H104" s="127" t="str">
        <f t="shared" si="7"/>
        <v/>
      </c>
      <c r="I104" s="127" t="str">
        <f>IF(A104="","",INDEX('40_Estudio_Empresas'!$X$3:$X$204,ROW()-4))</f>
        <v/>
      </c>
      <c r="J104" s="127" t="str">
        <f>IF(A104="","",'41_Clasificacion_Empresas'!G104)</f>
        <v/>
      </c>
      <c r="K104" s="127" t="str">
        <f>IF(A104="","",'41_Clasificacion_Empresas'!K104)</f>
        <v/>
      </c>
      <c r="L104" s="127"/>
      <c r="M104" s="129" t="str">
        <f>IF(A104="","",IF('41_Clasificacion_Empresas'!F104="A","Pasar a CRM y seguimiento","Mantener seguimiento y estudiar más"))</f>
        <v/>
      </c>
    </row>
    <row r="105" spans="1:13">
      <c r="A105" s="98" t="str">
        <f>IF(OR('41_Clasificacion_Empresas'!F105="A",'41_Clasificacion_Empresas'!F105="B"),'41_Clasificacion_Empresas'!C105,"")</f>
        <v/>
      </c>
      <c r="B105" s="98" t="str">
        <f>IF(A105="","",'41_Clasificacion_Empresas'!D105)</f>
        <v/>
      </c>
      <c r="C105" s="98" t="str">
        <f>IF(A105="","",IF('41_Clasificacion_Empresas'!F105="A","🟢 Oportunidad inmediata","🟡 Oportunidad interesante"))</f>
        <v/>
      </c>
      <c r="D105" s="123" t="str">
        <f>IF(A105="","",'41_Clasificacion_Empresas'!L105)</f>
        <v/>
      </c>
      <c r="E105" s="98" t="str">
        <f>IF(A105="","",'41_Clasificacion_Empresas'!M105)</f>
        <v/>
      </c>
      <c r="F105" s="122" t="str">
        <f t="shared" ca="1" si="6"/>
        <v/>
      </c>
      <c r="G105" s="98" t="str">
        <f>IF(A105="","",'41_Clasificacion_Empresas'!J105)</f>
        <v/>
      </c>
      <c r="H105" s="98" t="str">
        <f t="shared" si="7"/>
        <v/>
      </c>
      <c r="I105" s="98" t="str">
        <f>IF(A105="","",INDEX('40_Estudio_Empresas'!$X$3:$X$204,ROW()-4))</f>
        <v/>
      </c>
      <c r="J105" s="98" t="str">
        <f>IF(A105="","",'41_Clasificacion_Empresas'!G105)</f>
        <v/>
      </c>
      <c r="K105" s="98" t="str">
        <f>IF(A105="","",'41_Clasificacion_Empresas'!K105)</f>
        <v/>
      </c>
      <c r="L105" s="98" t="str">
        <f>IF(A105="","",IF('41_Clasificacion_Empresas'!F105="A","Alta","Media"))</f>
        <v/>
      </c>
      <c r="M105" s="98" t="str">
        <f>IF(A105="","",IF('41_Clasificacion_Empresas'!F105="A","Pasar a CRM y seguimiento","Mantener seguimiento y estudiar más"))</f>
        <v/>
      </c>
    </row>
    <row r="106" spans="1:13">
      <c r="A106" s="98" t="str">
        <f>IF(OR('41_Clasificacion_Empresas'!F106="A",'41_Clasificacion_Empresas'!F106="B"),'41_Clasificacion_Empresas'!C106,"")</f>
        <v/>
      </c>
      <c r="B106" s="98" t="str">
        <f>IF(A106="","",'41_Clasificacion_Empresas'!D106)</f>
        <v/>
      </c>
      <c r="C106" s="98" t="str">
        <f>IF(A106="","",IF('41_Clasificacion_Empresas'!F106="A","🟢 Oportunidad inmediata","🟡 Oportunidad interesante"))</f>
        <v/>
      </c>
      <c r="D106" s="123" t="str">
        <f>IF(A106="","",'41_Clasificacion_Empresas'!L106)</f>
        <v/>
      </c>
      <c r="E106" s="98" t="str">
        <f>IF(A106="","",'41_Clasificacion_Empresas'!M106)</f>
        <v/>
      </c>
      <c r="F106" s="122" t="str">
        <f t="shared" ca="1" si="6"/>
        <v/>
      </c>
      <c r="G106" s="98" t="str">
        <f>IF(A106="","",'41_Clasificacion_Empresas'!J106)</f>
        <v/>
      </c>
      <c r="H106" s="98" t="str">
        <f t="shared" si="7"/>
        <v/>
      </c>
      <c r="I106" s="98" t="str">
        <f>IF(A106="","",INDEX('40_Estudio_Empresas'!$X$3:$X$204,ROW()-4))</f>
        <v/>
      </c>
      <c r="J106" s="98" t="str">
        <f>IF(A106="","",'41_Clasificacion_Empresas'!G106)</f>
        <v/>
      </c>
      <c r="K106" s="98" t="str">
        <f>IF(A106="","",'41_Clasificacion_Empresas'!K106)</f>
        <v/>
      </c>
      <c r="L106" s="98" t="str">
        <f>IF(A106="","",IF('41_Clasificacion_Empresas'!F106="A","Alta","Media"))</f>
        <v/>
      </c>
      <c r="M106" s="98" t="str">
        <f>IF(A106="","",IF('41_Clasificacion_Empresas'!F106="A","Pasar a CRM y seguimiento","Mantener seguimiento y estudiar más"))</f>
        <v/>
      </c>
    </row>
    <row r="107" spans="1:13">
      <c r="A107" s="98" t="str">
        <f>IF(OR('41_Clasificacion_Empresas'!F107="A",'41_Clasificacion_Empresas'!F107="B"),'41_Clasificacion_Empresas'!C107,"")</f>
        <v/>
      </c>
      <c r="B107" s="98" t="str">
        <f>IF(A107="","",'41_Clasificacion_Empresas'!D107)</f>
        <v/>
      </c>
      <c r="C107" s="98" t="str">
        <f>IF(A107="","",IF('41_Clasificacion_Empresas'!F107="A","🟢 Oportunidad inmediata","🟡 Oportunidad interesante"))</f>
        <v/>
      </c>
      <c r="D107" s="123" t="str">
        <f>IF(A107="","",'41_Clasificacion_Empresas'!L107)</f>
        <v/>
      </c>
      <c r="E107" s="98" t="str">
        <f>IF(A107="","",'41_Clasificacion_Empresas'!M107)</f>
        <v/>
      </c>
      <c r="F107" s="122" t="str">
        <f t="shared" ca="1" si="6"/>
        <v/>
      </c>
      <c r="G107" s="98" t="str">
        <f>IF(A107="","",'41_Clasificacion_Empresas'!J107)</f>
        <v/>
      </c>
      <c r="H107" s="98" t="str">
        <f t="shared" si="7"/>
        <v/>
      </c>
      <c r="I107" s="98" t="str">
        <f>IF(A107="","",INDEX('40_Estudio_Empresas'!$X$3:$X$204,ROW()-4))</f>
        <v/>
      </c>
      <c r="J107" s="98" t="str">
        <f>IF(A107="","",'41_Clasificacion_Empresas'!G107)</f>
        <v/>
      </c>
      <c r="K107" s="98" t="str">
        <f>IF(A107="","",'41_Clasificacion_Empresas'!K107)</f>
        <v/>
      </c>
      <c r="L107" s="98" t="str">
        <f>IF(A107="","",IF('41_Clasificacion_Empresas'!F107="A","Alta","Media"))</f>
        <v/>
      </c>
      <c r="M107" s="98" t="str">
        <f>IF(A107="","",IF('41_Clasificacion_Empresas'!F107="A","Pasar a CRM y seguimiento","Mantener seguimiento y estudiar más"))</f>
        <v/>
      </c>
    </row>
    <row r="108" spans="1:13">
      <c r="A108" s="98" t="str">
        <f>IF(OR('41_Clasificacion_Empresas'!F108="A",'41_Clasificacion_Empresas'!F108="B"),'41_Clasificacion_Empresas'!C108,"")</f>
        <v/>
      </c>
      <c r="B108" s="98" t="str">
        <f>IF(A108="","",'41_Clasificacion_Empresas'!D108)</f>
        <v/>
      </c>
      <c r="C108" s="98" t="str">
        <f>IF(A108="","",IF('41_Clasificacion_Empresas'!F108="A","🟢 Oportunidad inmediata","🟡 Oportunidad interesante"))</f>
        <v/>
      </c>
      <c r="D108" s="123" t="str">
        <f>IF(A108="","",'41_Clasificacion_Empresas'!L108)</f>
        <v/>
      </c>
      <c r="E108" s="98" t="str">
        <f>IF(A108="","",'41_Clasificacion_Empresas'!M108)</f>
        <v/>
      </c>
      <c r="F108" s="122" t="str">
        <f t="shared" ca="1" si="6"/>
        <v/>
      </c>
      <c r="G108" s="98" t="str">
        <f>IF(A108="","",'41_Clasificacion_Empresas'!J108)</f>
        <v/>
      </c>
      <c r="H108" s="98" t="str">
        <f t="shared" si="7"/>
        <v/>
      </c>
      <c r="I108" s="98" t="str">
        <f>IF(A108="","",INDEX('40_Estudio_Empresas'!$X$3:$X$204,ROW()-4))</f>
        <v/>
      </c>
      <c r="J108" s="98" t="str">
        <f>IF(A108="","",'41_Clasificacion_Empresas'!G108)</f>
        <v/>
      </c>
      <c r="K108" s="98" t="str">
        <f>IF(A108="","",'41_Clasificacion_Empresas'!K108)</f>
        <v/>
      </c>
      <c r="L108" s="98" t="str">
        <f>IF(A108="","",IF('41_Clasificacion_Empresas'!F108="A","Alta","Media"))</f>
        <v/>
      </c>
      <c r="M108" s="98" t="str">
        <f>IF(A108="","",IF('41_Clasificacion_Empresas'!F108="A","Pasar a CRM y seguimiento","Mantener seguimiento y estudiar más"))</f>
        <v/>
      </c>
    </row>
    <row r="109" spans="1:13">
      <c r="A109" s="98" t="str">
        <f>IF(OR('41_Clasificacion_Empresas'!F109="A",'41_Clasificacion_Empresas'!F109="B"),'41_Clasificacion_Empresas'!C109,"")</f>
        <v/>
      </c>
      <c r="B109" s="98" t="str">
        <f>IF(A109="","",'41_Clasificacion_Empresas'!D109)</f>
        <v/>
      </c>
      <c r="C109" s="98" t="str">
        <f>IF(A109="","",IF('41_Clasificacion_Empresas'!F109="A","🟢 Oportunidad inmediata","🟡 Oportunidad interesante"))</f>
        <v/>
      </c>
      <c r="D109" s="123" t="str">
        <f>IF(A109="","",'41_Clasificacion_Empresas'!L109)</f>
        <v/>
      </c>
      <c r="E109" s="98" t="str">
        <f>IF(A109="","",'41_Clasificacion_Empresas'!M109)</f>
        <v/>
      </c>
      <c r="F109" s="122" t="str">
        <f t="shared" ca="1" si="6"/>
        <v/>
      </c>
      <c r="G109" s="98" t="str">
        <f>IF(A109="","",'41_Clasificacion_Empresas'!J109)</f>
        <v/>
      </c>
      <c r="H109" s="98" t="str">
        <f t="shared" si="7"/>
        <v/>
      </c>
      <c r="I109" s="98" t="str">
        <f>IF(A109="","",INDEX('40_Estudio_Empresas'!$X$3:$X$204,ROW()-4))</f>
        <v/>
      </c>
      <c r="J109" s="98" t="str">
        <f>IF(A109="","",'41_Clasificacion_Empresas'!G109)</f>
        <v/>
      </c>
      <c r="K109" s="98" t="str">
        <f>IF(A109="","",'41_Clasificacion_Empresas'!K109)</f>
        <v/>
      </c>
      <c r="L109" s="98" t="str">
        <f>IF(A109="","",IF('41_Clasificacion_Empresas'!F109="A","Alta","Media"))</f>
        <v/>
      </c>
      <c r="M109" s="98" t="str">
        <f>IF(A109="","",IF('41_Clasificacion_Empresas'!F109="A","Pasar a CRM y seguimiento","Mantener seguimiento y estudiar más"))</f>
        <v/>
      </c>
    </row>
    <row r="110" spans="1:13">
      <c r="A110" s="98" t="str">
        <f>IF(OR('41_Clasificacion_Empresas'!F110="A",'41_Clasificacion_Empresas'!F110="B"),'41_Clasificacion_Empresas'!C110,"")</f>
        <v/>
      </c>
      <c r="B110" s="98" t="str">
        <f>IF(A110="","",'41_Clasificacion_Empresas'!D110)</f>
        <v/>
      </c>
      <c r="C110" s="98" t="str">
        <f>IF(A110="","",IF('41_Clasificacion_Empresas'!F110="A","🟢 Oportunidad inmediata","🟡 Oportunidad interesante"))</f>
        <v/>
      </c>
      <c r="D110" s="123" t="str">
        <f>IF(A110="","",'41_Clasificacion_Empresas'!L110)</f>
        <v/>
      </c>
      <c r="E110" s="98" t="str">
        <f>IF(A110="","",'41_Clasificacion_Empresas'!M110)</f>
        <v/>
      </c>
      <c r="F110" s="122" t="str">
        <f t="shared" ca="1" si="6"/>
        <v/>
      </c>
      <c r="G110" s="98" t="str">
        <f>IF(A110="","",'41_Clasificacion_Empresas'!J110)</f>
        <v/>
      </c>
      <c r="H110" s="98" t="str">
        <f t="shared" si="7"/>
        <v/>
      </c>
      <c r="I110" s="98" t="str">
        <f>IF(A110="","",INDEX('40_Estudio_Empresas'!$X$3:$X$204,ROW()-4))</f>
        <v/>
      </c>
      <c r="J110" s="98" t="str">
        <f>IF(A110="","",'41_Clasificacion_Empresas'!G110)</f>
        <v/>
      </c>
      <c r="K110" s="98" t="str">
        <f>IF(A110="","",'41_Clasificacion_Empresas'!K110)</f>
        <v/>
      </c>
      <c r="L110" s="98" t="str">
        <f>IF(A110="","",IF('41_Clasificacion_Empresas'!F110="A","Alta","Media"))</f>
        <v/>
      </c>
      <c r="M110" s="98" t="str">
        <f>IF(A110="","",IF('41_Clasificacion_Empresas'!F110="A","Pasar a CRM y seguimiento","Mantener seguimiento y estudiar más"))</f>
        <v/>
      </c>
    </row>
    <row r="111" spans="1:13">
      <c r="A111" s="98" t="str">
        <f>IF(OR('41_Clasificacion_Empresas'!F111="A",'41_Clasificacion_Empresas'!F111="B"),'41_Clasificacion_Empresas'!C111,"")</f>
        <v/>
      </c>
      <c r="B111" s="98" t="str">
        <f>IF(A111="","",'41_Clasificacion_Empresas'!D111)</f>
        <v/>
      </c>
      <c r="C111" s="98" t="str">
        <f>IF(A111="","",IF('41_Clasificacion_Empresas'!F111="A","🟢 Oportunidad inmediata","🟡 Oportunidad interesante"))</f>
        <v/>
      </c>
      <c r="D111" s="123" t="str">
        <f>IF(A111="","",'41_Clasificacion_Empresas'!L111)</f>
        <v/>
      </c>
      <c r="E111" s="98" t="str">
        <f>IF(A111="","",'41_Clasificacion_Empresas'!M111)</f>
        <v/>
      </c>
      <c r="F111" s="122" t="str">
        <f t="shared" ca="1" si="6"/>
        <v/>
      </c>
      <c r="G111" s="98" t="str">
        <f>IF(A111="","",'41_Clasificacion_Empresas'!J111)</f>
        <v/>
      </c>
      <c r="H111" s="98" t="str">
        <f t="shared" si="7"/>
        <v/>
      </c>
      <c r="I111" s="98" t="str">
        <f>IF(A111="","",INDEX('40_Estudio_Empresas'!$X$3:$X$204,ROW()-4))</f>
        <v/>
      </c>
      <c r="J111" s="98" t="str">
        <f>IF(A111="","",'41_Clasificacion_Empresas'!G111)</f>
        <v/>
      </c>
      <c r="K111" s="98" t="str">
        <f>IF(A111="","",'41_Clasificacion_Empresas'!K111)</f>
        <v/>
      </c>
      <c r="L111" s="98" t="str">
        <f>IF(A111="","",IF('41_Clasificacion_Empresas'!F111="A","Alta","Media"))</f>
        <v/>
      </c>
      <c r="M111" s="98" t="str">
        <f>IF(A111="","",IF('41_Clasificacion_Empresas'!F111="A","Pasar a CRM y seguimiento","Mantener seguimiento y estudiar más"))</f>
        <v/>
      </c>
    </row>
    <row r="112" spans="1:13">
      <c r="A112" s="98" t="str">
        <f>IF(OR('41_Clasificacion_Empresas'!F112="A",'41_Clasificacion_Empresas'!F112="B"),'41_Clasificacion_Empresas'!C112,"")</f>
        <v/>
      </c>
      <c r="B112" s="98" t="str">
        <f>IF(A112="","",'41_Clasificacion_Empresas'!D112)</f>
        <v/>
      </c>
      <c r="C112" s="98" t="str">
        <f>IF(A112="","",IF('41_Clasificacion_Empresas'!F112="A","🟢 Oportunidad inmediata","🟡 Oportunidad interesante"))</f>
        <v/>
      </c>
      <c r="D112" s="123" t="str">
        <f>IF(A112="","",'41_Clasificacion_Empresas'!L112)</f>
        <v/>
      </c>
      <c r="E112" s="98" t="str">
        <f>IF(A112="","",'41_Clasificacion_Empresas'!M112)</f>
        <v/>
      </c>
      <c r="F112" s="122" t="str">
        <f t="shared" ca="1" si="6"/>
        <v/>
      </c>
      <c r="G112" s="98" t="str">
        <f>IF(A112="","",'41_Clasificacion_Empresas'!J112)</f>
        <v/>
      </c>
      <c r="H112" s="98" t="str">
        <f t="shared" si="7"/>
        <v/>
      </c>
      <c r="I112" s="98" t="str">
        <f>IF(A112="","",INDEX('40_Estudio_Empresas'!$X$3:$X$204,ROW()-4))</f>
        <v/>
      </c>
      <c r="J112" s="98" t="str">
        <f>IF(A112="","",'41_Clasificacion_Empresas'!G112)</f>
        <v/>
      </c>
      <c r="K112" s="98" t="str">
        <f>IF(A112="","",'41_Clasificacion_Empresas'!K112)</f>
        <v/>
      </c>
      <c r="L112" s="98" t="str">
        <f>IF(A112="","",IF('41_Clasificacion_Empresas'!F112="A","Alta","Media"))</f>
        <v/>
      </c>
      <c r="M112" s="98" t="str">
        <f>IF(A112="","",IF('41_Clasificacion_Empresas'!F112="A","Pasar a CRM y seguimiento","Mantener seguimiento y estudiar más"))</f>
        <v/>
      </c>
    </row>
    <row r="113" spans="1:13">
      <c r="A113" s="98" t="str">
        <f>IF(OR('41_Clasificacion_Empresas'!F113="A",'41_Clasificacion_Empresas'!F113="B"),'41_Clasificacion_Empresas'!C113,"")</f>
        <v/>
      </c>
      <c r="B113" s="98" t="str">
        <f>IF(A113="","",'41_Clasificacion_Empresas'!D113)</f>
        <v/>
      </c>
      <c r="C113" s="98" t="str">
        <f>IF(A113="","",IF('41_Clasificacion_Empresas'!F113="A","🟢 Oportunidad inmediata","🟡 Oportunidad interesante"))</f>
        <v/>
      </c>
      <c r="D113" s="123" t="str">
        <f>IF(A113="","",'41_Clasificacion_Empresas'!L113)</f>
        <v/>
      </c>
      <c r="E113" s="98" t="str">
        <f>IF(A113="","",'41_Clasificacion_Empresas'!M113)</f>
        <v/>
      </c>
      <c r="F113" s="122" t="str">
        <f t="shared" ca="1" si="6"/>
        <v/>
      </c>
      <c r="G113" s="98" t="str">
        <f>IF(A113="","",'41_Clasificacion_Empresas'!J113)</f>
        <v/>
      </c>
      <c r="H113" s="98" t="str">
        <f t="shared" si="7"/>
        <v/>
      </c>
      <c r="I113" s="98" t="str">
        <f>IF(A113="","",INDEX('40_Estudio_Empresas'!$X$3:$X$204,ROW()-4))</f>
        <v/>
      </c>
      <c r="J113" s="98" t="str">
        <f>IF(A113="","",'41_Clasificacion_Empresas'!G113)</f>
        <v/>
      </c>
      <c r="K113" s="98" t="str">
        <f>IF(A113="","",'41_Clasificacion_Empresas'!K113)</f>
        <v/>
      </c>
      <c r="L113" s="98" t="str">
        <f>IF(A113="","",IF('41_Clasificacion_Empresas'!F113="A","Alta","Media"))</f>
        <v/>
      </c>
      <c r="M113" s="98" t="str">
        <f>IF(A113="","",IF('41_Clasificacion_Empresas'!F113="A","Pasar a CRM y seguimiento","Mantener seguimiento y estudiar más"))</f>
        <v/>
      </c>
    </row>
    <row r="114" spans="1:13">
      <c r="A114" s="98" t="str">
        <f>IF(OR('41_Clasificacion_Empresas'!F114="A",'41_Clasificacion_Empresas'!F114="B"),'41_Clasificacion_Empresas'!C114,"")</f>
        <v/>
      </c>
      <c r="B114" s="98" t="str">
        <f>IF(A114="","",'41_Clasificacion_Empresas'!D114)</f>
        <v/>
      </c>
      <c r="C114" s="98" t="str">
        <f>IF(A114="","",IF('41_Clasificacion_Empresas'!F114="A","🟢 Oportunidad inmediata","🟡 Oportunidad interesante"))</f>
        <v/>
      </c>
      <c r="D114" s="123" t="str">
        <f>IF(A114="","",'41_Clasificacion_Empresas'!L114)</f>
        <v/>
      </c>
      <c r="E114" s="98" t="str">
        <f>IF(A114="","",'41_Clasificacion_Empresas'!M114)</f>
        <v/>
      </c>
      <c r="F114" s="122" t="str">
        <f t="shared" ca="1" si="6"/>
        <v/>
      </c>
      <c r="G114" s="98" t="str">
        <f>IF(A114="","",'41_Clasificacion_Empresas'!J114)</f>
        <v/>
      </c>
      <c r="H114" s="98" t="str">
        <f t="shared" si="7"/>
        <v/>
      </c>
      <c r="I114" s="98" t="str">
        <f>IF(A114="","",INDEX('40_Estudio_Empresas'!$X$3:$X$204,ROW()-4))</f>
        <v/>
      </c>
      <c r="J114" s="98" t="str">
        <f>IF(A114="","",'41_Clasificacion_Empresas'!G114)</f>
        <v/>
      </c>
      <c r="K114" s="98" t="str">
        <f>IF(A114="","",'41_Clasificacion_Empresas'!K114)</f>
        <v/>
      </c>
      <c r="L114" s="98" t="str">
        <f>IF(A114="","",IF('41_Clasificacion_Empresas'!F114="A","Alta","Media"))</f>
        <v/>
      </c>
      <c r="M114" s="98" t="str">
        <f>IF(A114="","",IF('41_Clasificacion_Empresas'!F114="A","Pasar a CRM y seguimiento","Mantener seguimiento y estudiar más"))</f>
        <v/>
      </c>
    </row>
    <row r="115" spans="1:13">
      <c r="A115" s="98" t="str">
        <f>IF(OR('41_Clasificacion_Empresas'!F115="A",'41_Clasificacion_Empresas'!F115="B"),'41_Clasificacion_Empresas'!C115,"")</f>
        <v/>
      </c>
      <c r="B115" s="98" t="str">
        <f>IF(A115="","",'41_Clasificacion_Empresas'!D115)</f>
        <v/>
      </c>
      <c r="C115" s="98" t="str">
        <f>IF(A115="","",IF('41_Clasificacion_Empresas'!F115="A","🟢 Oportunidad inmediata","🟡 Oportunidad interesante"))</f>
        <v/>
      </c>
      <c r="D115" s="123" t="str">
        <f>IF(A115="","",'41_Clasificacion_Empresas'!L115)</f>
        <v/>
      </c>
      <c r="E115" s="98" t="str">
        <f>IF(A115="","",'41_Clasificacion_Empresas'!M115)</f>
        <v/>
      </c>
      <c r="F115" s="122" t="str">
        <f t="shared" ca="1" si="6"/>
        <v/>
      </c>
      <c r="G115" s="98" t="str">
        <f>IF(A115="","",'41_Clasificacion_Empresas'!J115)</f>
        <v/>
      </c>
      <c r="H115" s="98" t="str">
        <f t="shared" si="7"/>
        <v/>
      </c>
      <c r="I115" s="98" t="str">
        <f>IF(A115="","",INDEX('40_Estudio_Empresas'!$X$3:$X$204,ROW()-4))</f>
        <v/>
      </c>
      <c r="J115" s="98" t="str">
        <f>IF(A115="","",'41_Clasificacion_Empresas'!G115)</f>
        <v/>
      </c>
      <c r="K115" s="98" t="str">
        <f>IF(A115="","",'41_Clasificacion_Empresas'!K115)</f>
        <v/>
      </c>
      <c r="L115" s="98" t="str">
        <f>IF(A115="","",IF('41_Clasificacion_Empresas'!F115="A","Alta","Media"))</f>
        <v/>
      </c>
      <c r="M115" s="98" t="str">
        <f>IF(A115="","",IF('41_Clasificacion_Empresas'!F115="A","Pasar a CRM y seguimiento","Mantener seguimiento y estudiar más"))</f>
        <v/>
      </c>
    </row>
    <row r="116" spans="1:13">
      <c r="A116" s="98" t="str">
        <f>IF(OR('41_Clasificacion_Empresas'!F116="A",'41_Clasificacion_Empresas'!F116="B"),'41_Clasificacion_Empresas'!C116,"")</f>
        <v/>
      </c>
      <c r="B116" s="98" t="str">
        <f>IF(A116="","",'41_Clasificacion_Empresas'!D116)</f>
        <v/>
      </c>
      <c r="C116" s="98" t="str">
        <f>IF(A116="","",IF('41_Clasificacion_Empresas'!F116="A","🟢 Oportunidad inmediata","🟡 Oportunidad interesante"))</f>
        <v/>
      </c>
      <c r="D116" s="123" t="str">
        <f>IF(A116="","",'41_Clasificacion_Empresas'!L116)</f>
        <v/>
      </c>
      <c r="E116" s="98" t="str">
        <f>IF(A116="","",'41_Clasificacion_Empresas'!M116)</f>
        <v/>
      </c>
      <c r="F116" s="122" t="str">
        <f t="shared" ca="1" si="6"/>
        <v/>
      </c>
      <c r="G116" s="98" t="str">
        <f>IF(A116="","",'41_Clasificacion_Empresas'!J116)</f>
        <v/>
      </c>
      <c r="H116" s="98" t="str">
        <f t="shared" si="7"/>
        <v/>
      </c>
      <c r="I116" s="98" t="str">
        <f>IF(A116="","",INDEX('40_Estudio_Empresas'!$X$3:$X$204,ROW()-4))</f>
        <v/>
      </c>
      <c r="J116" s="98" t="str">
        <f>IF(A116="","",'41_Clasificacion_Empresas'!G116)</f>
        <v/>
      </c>
      <c r="K116" s="98" t="str">
        <f>IF(A116="","",'41_Clasificacion_Empresas'!K116)</f>
        <v/>
      </c>
      <c r="L116" s="98" t="str">
        <f>IF(A116="","",IF('41_Clasificacion_Empresas'!F116="A","Alta","Media"))</f>
        <v/>
      </c>
      <c r="M116" s="98" t="str">
        <f>IF(A116="","",IF('41_Clasificacion_Empresas'!F116="A","Pasar a CRM y seguimiento","Mantener seguimiento y estudiar más"))</f>
        <v/>
      </c>
    </row>
    <row r="117" spans="1:13">
      <c r="A117" s="98" t="str">
        <f>IF(OR('41_Clasificacion_Empresas'!F117="A",'41_Clasificacion_Empresas'!F117="B"),'41_Clasificacion_Empresas'!C117,"")</f>
        <v/>
      </c>
      <c r="B117" s="98" t="str">
        <f>IF(A117="","",'41_Clasificacion_Empresas'!D117)</f>
        <v/>
      </c>
      <c r="C117" s="98" t="str">
        <f>IF(A117="","",IF('41_Clasificacion_Empresas'!F117="A","🟢 Oportunidad inmediata","🟡 Oportunidad interesante"))</f>
        <v/>
      </c>
      <c r="D117" s="123" t="str">
        <f>IF(A117="","",'41_Clasificacion_Empresas'!L117)</f>
        <v/>
      </c>
      <c r="E117" s="98" t="str">
        <f>IF(A117="","",'41_Clasificacion_Empresas'!M117)</f>
        <v/>
      </c>
      <c r="F117" s="122" t="str">
        <f t="shared" ca="1" si="6"/>
        <v/>
      </c>
      <c r="G117" s="98" t="str">
        <f>IF(A117="","",'41_Clasificacion_Empresas'!J117)</f>
        <v/>
      </c>
      <c r="H117" s="98" t="str">
        <f t="shared" si="7"/>
        <v/>
      </c>
      <c r="I117" s="98" t="str">
        <f>IF(A117="","",INDEX('40_Estudio_Empresas'!$X$3:$X$204,ROW()-4))</f>
        <v/>
      </c>
      <c r="J117" s="98" t="str">
        <f>IF(A117="","",'41_Clasificacion_Empresas'!G117)</f>
        <v/>
      </c>
      <c r="K117" s="98" t="str">
        <f>IF(A117="","",'41_Clasificacion_Empresas'!K117)</f>
        <v/>
      </c>
      <c r="L117" s="98" t="str">
        <f>IF(A117="","",IF('41_Clasificacion_Empresas'!F117="A","Alta","Media"))</f>
        <v/>
      </c>
      <c r="M117" s="98" t="str">
        <f>IF(A117="","",IF('41_Clasificacion_Empresas'!F117="A","Pasar a CRM y seguimiento","Mantener seguimiento y estudiar más"))</f>
        <v/>
      </c>
    </row>
    <row r="118" spans="1:13">
      <c r="A118" s="98" t="str">
        <f>IF(OR('41_Clasificacion_Empresas'!F118="A",'41_Clasificacion_Empresas'!F118="B"),'41_Clasificacion_Empresas'!C118,"")</f>
        <v/>
      </c>
      <c r="B118" s="98" t="str">
        <f>IF(A118="","",'41_Clasificacion_Empresas'!D118)</f>
        <v/>
      </c>
      <c r="C118" s="98" t="str">
        <f>IF(A118="","",IF('41_Clasificacion_Empresas'!F118="A","🟢 Oportunidad inmediata","🟡 Oportunidad interesante"))</f>
        <v/>
      </c>
      <c r="D118" s="123" t="str">
        <f>IF(A118="","",'41_Clasificacion_Empresas'!L118)</f>
        <v/>
      </c>
      <c r="E118" s="98" t="str">
        <f>IF(A118="","",'41_Clasificacion_Empresas'!M118)</f>
        <v/>
      </c>
      <c r="F118" s="122" t="str">
        <f t="shared" ca="1" si="6"/>
        <v/>
      </c>
      <c r="G118" s="98" t="str">
        <f>IF(A118="","",'41_Clasificacion_Empresas'!J118)</f>
        <v/>
      </c>
      <c r="H118" s="98" t="str">
        <f t="shared" si="7"/>
        <v/>
      </c>
      <c r="I118" s="98" t="str">
        <f>IF(A118="","",INDEX('40_Estudio_Empresas'!$X$3:$X$204,ROW()-4))</f>
        <v/>
      </c>
      <c r="J118" s="98" t="str">
        <f>IF(A118="","",'41_Clasificacion_Empresas'!G118)</f>
        <v/>
      </c>
      <c r="K118" s="98" t="str">
        <f>IF(A118="","",'41_Clasificacion_Empresas'!K118)</f>
        <v/>
      </c>
      <c r="L118" s="98" t="str">
        <f>IF(A118="","",IF('41_Clasificacion_Empresas'!F118="A","Alta","Media"))</f>
        <v/>
      </c>
      <c r="M118" s="98" t="str">
        <f>IF(A118="","",IF('41_Clasificacion_Empresas'!F118="A","Pasar a CRM y seguimiento","Mantener seguimiento y estudiar más"))</f>
        <v/>
      </c>
    </row>
    <row r="119" spans="1:13">
      <c r="A119" s="98" t="str">
        <f>IF(OR('41_Clasificacion_Empresas'!F119="A",'41_Clasificacion_Empresas'!F119="B"),'41_Clasificacion_Empresas'!C119,"")</f>
        <v/>
      </c>
      <c r="B119" s="98" t="str">
        <f>IF(A119="","",'41_Clasificacion_Empresas'!D119)</f>
        <v/>
      </c>
      <c r="C119" s="98" t="str">
        <f>IF(A119="","",IF('41_Clasificacion_Empresas'!F119="A","🟢 Oportunidad inmediata","🟡 Oportunidad interesante"))</f>
        <v/>
      </c>
      <c r="D119" s="123" t="str">
        <f>IF(A119="","",'41_Clasificacion_Empresas'!L119)</f>
        <v/>
      </c>
      <c r="E119" s="98" t="str">
        <f>IF(A119="","",'41_Clasificacion_Empresas'!M119)</f>
        <v/>
      </c>
      <c r="F119" s="122" t="str">
        <f t="shared" ca="1" si="6"/>
        <v/>
      </c>
      <c r="G119" s="98" t="str">
        <f>IF(A119="","",'41_Clasificacion_Empresas'!J119)</f>
        <v/>
      </c>
      <c r="H119" s="98" t="str">
        <f t="shared" si="7"/>
        <v/>
      </c>
      <c r="I119" s="98" t="str">
        <f>IF(A119="","",INDEX('40_Estudio_Empresas'!$X$3:$X$204,ROW()-4))</f>
        <v/>
      </c>
      <c r="J119" s="98" t="str">
        <f>IF(A119="","",'41_Clasificacion_Empresas'!G119)</f>
        <v/>
      </c>
      <c r="K119" s="98" t="str">
        <f>IF(A119="","",'41_Clasificacion_Empresas'!K119)</f>
        <v/>
      </c>
      <c r="L119" s="98" t="str">
        <f>IF(A119="","",IF('41_Clasificacion_Empresas'!F119="A","Alta","Media"))</f>
        <v/>
      </c>
      <c r="M119" s="98" t="str">
        <f>IF(A119="","",IF('41_Clasificacion_Empresas'!F119="A","Pasar a CRM y seguimiento","Mantener seguimiento y estudiar más"))</f>
        <v/>
      </c>
    </row>
    <row r="120" spans="1:13">
      <c r="A120" s="98" t="str">
        <f>IF(OR('41_Clasificacion_Empresas'!F120="A",'41_Clasificacion_Empresas'!F120="B"),'41_Clasificacion_Empresas'!C120,"")</f>
        <v/>
      </c>
      <c r="B120" s="98" t="str">
        <f>IF(A120="","",'41_Clasificacion_Empresas'!D120)</f>
        <v/>
      </c>
      <c r="C120" s="98" t="str">
        <f>IF(A120="","",IF('41_Clasificacion_Empresas'!F120="A","🟢 Oportunidad inmediata","🟡 Oportunidad interesante"))</f>
        <v/>
      </c>
      <c r="D120" s="123" t="str">
        <f>IF(A120="","",'41_Clasificacion_Empresas'!L120)</f>
        <v/>
      </c>
      <c r="E120" s="98" t="str">
        <f>IF(A120="","",'41_Clasificacion_Empresas'!M120)</f>
        <v/>
      </c>
      <c r="F120" s="122" t="str">
        <f t="shared" ca="1" si="6"/>
        <v/>
      </c>
      <c r="G120" s="98" t="str">
        <f>IF(A120="","",'41_Clasificacion_Empresas'!J120)</f>
        <v/>
      </c>
      <c r="H120" s="98" t="str">
        <f t="shared" si="7"/>
        <v/>
      </c>
      <c r="I120" s="98" t="str">
        <f>IF(A120="","",INDEX('40_Estudio_Empresas'!$X$3:$X$204,ROW()-4))</f>
        <v/>
      </c>
      <c r="J120" s="98" t="str">
        <f>IF(A120="","",'41_Clasificacion_Empresas'!G120)</f>
        <v/>
      </c>
      <c r="K120" s="98" t="str">
        <f>IF(A120="","",'41_Clasificacion_Empresas'!K120)</f>
        <v/>
      </c>
      <c r="L120" s="98" t="str">
        <f>IF(A120="","",IF('41_Clasificacion_Empresas'!F120="A","Alta","Media"))</f>
        <v/>
      </c>
      <c r="M120" s="98" t="str">
        <f>IF(A120="","",IF('41_Clasificacion_Empresas'!F120="A","Pasar a CRM y seguimiento","Mantener seguimiento y estudiar más"))</f>
        <v/>
      </c>
    </row>
    <row r="121" spans="1:13">
      <c r="A121" s="98" t="str">
        <f>IF(OR('41_Clasificacion_Empresas'!F121="A",'41_Clasificacion_Empresas'!F121="B"),'41_Clasificacion_Empresas'!C121,"")</f>
        <v/>
      </c>
      <c r="B121" s="98" t="str">
        <f>IF(A121="","",'41_Clasificacion_Empresas'!D121)</f>
        <v/>
      </c>
      <c r="C121" s="98" t="str">
        <f>IF(A121="","",IF('41_Clasificacion_Empresas'!F121="A","🟢 Oportunidad inmediata","🟡 Oportunidad interesante"))</f>
        <v/>
      </c>
      <c r="D121" s="123" t="str">
        <f>IF(A121="","",'41_Clasificacion_Empresas'!L121)</f>
        <v/>
      </c>
      <c r="E121" s="98" t="str">
        <f>IF(A121="","",'41_Clasificacion_Empresas'!M121)</f>
        <v/>
      </c>
      <c r="F121" s="122" t="str">
        <f t="shared" ca="1" si="6"/>
        <v/>
      </c>
      <c r="G121" s="98" t="str">
        <f>IF(A121="","",'41_Clasificacion_Empresas'!J121)</f>
        <v/>
      </c>
      <c r="H121" s="98" t="str">
        <f t="shared" si="7"/>
        <v/>
      </c>
      <c r="I121" s="98" t="str">
        <f>IF(A121="","",INDEX('40_Estudio_Empresas'!$X$3:$X$204,ROW()-4))</f>
        <v/>
      </c>
      <c r="J121" s="98" t="str">
        <f>IF(A121="","",'41_Clasificacion_Empresas'!G121)</f>
        <v/>
      </c>
      <c r="K121" s="98" t="str">
        <f>IF(A121="","",'41_Clasificacion_Empresas'!K121)</f>
        <v/>
      </c>
      <c r="L121" s="98" t="str">
        <f>IF(A121="","",IF('41_Clasificacion_Empresas'!F121="A","Alta","Media"))</f>
        <v/>
      </c>
      <c r="M121" s="98" t="str">
        <f>IF(A121="","",IF('41_Clasificacion_Empresas'!F121="A","Pasar a CRM y seguimiento","Mantener seguimiento y estudiar más"))</f>
        <v/>
      </c>
    </row>
    <row r="122" spans="1:13">
      <c r="A122" s="98" t="str">
        <f>IF(OR('41_Clasificacion_Empresas'!F122="A",'41_Clasificacion_Empresas'!F122="B"),'41_Clasificacion_Empresas'!C122,"")</f>
        <v/>
      </c>
      <c r="B122" s="98" t="str">
        <f>IF(A122="","",'41_Clasificacion_Empresas'!D122)</f>
        <v/>
      </c>
      <c r="C122" s="98" t="str">
        <f>IF(A122="","",IF('41_Clasificacion_Empresas'!F122="A","🟢 Oportunidad inmediata","🟡 Oportunidad interesante"))</f>
        <v/>
      </c>
      <c r="D122" s="123" t="str">
        <f>IF(A122="","",'41_Clasificacion_Empresas'!L122)</f>
        <v/>
      </c>
      <c r="E122" s="98" t="str">
        <f>IF(A122="","",'41_Clasificacion_Empresas'!M122)</f>
        <v/>
      </c>
      <c r="F122" s="122" t="str">
        <f t="shared" ca="1" si="6"/>
        <v/>
      </c>
      <c r="G122" s="98" t="str">
        <f>IF(A122="","",'41_Clasificacion_Empresas'!J122)</f>
        <v/>
      </c>
      <c r="H122" s="98" t="str">
        <f t="shared" si="7"/>
        <v/>
      </c>
      <c r="I122" s="98" t="str">
        <f>IF(A122="","",INDEX('40_Estudio_Empresas'!$X$3:$X$204,ROW()-4))</f>
        <v/>
      </c>
      <c r="J122" s="98" t="str">
        <f>IF(A122="","",'41_Clasificacion_Empresas'!G122)</f>
        <v/>
      </c>
      <c r="K122" s="98" t="str">
        <f>IF(A122="","",'41_Clasificacion_Empresas'!K122)</f>
        <v/>
      </c>
      <c r="L122" s="98" t="str">
        <f>IF(A122="","",IF('41_Clasificacion_Empresas'!F122="A","Alta","Media"))</f>
        <v/>
      </c>
      <c r="M122" s="98" t="str">
        <f>IF(A122="","",IF('41_Clasificacion_Empresas'!F122="A","Pasar a CRM y seguimiento","Mantener seguimiento y estudiar más"))</f>
        <v/>
      </c>
    </row>
    <row r="123" spans="1:13">
      <c r="A123" s="98" t="str">
        <f>IF(OR('41_Clasificacion_Empresas'!F123="A",'41_Clasificacion_Empresas'!F123="B"),'41_Clasificacion_Empresas'!C123,"")</f>
        <v/>
      </c>
      <c r="B123" s="98" t="str">
        <f>IF(A123="","",'41_Clasificacion_Empresas'!D123)</f>
        <v/>
      </c>
      <c r="C123" s="98" t="str">
        <f>IF(A123="","",IF('41_Clasificacion_Empresas'!F123="A","🟢 Oportunidad inmediata","🟡 Oportunidad interesante"))</f>
        <v/>
      </c>
      <c r="D123" s="123" t="str">
        <f>IF(A123="","",'41_Clasificacion_Empresas'!L123)</f>
        <v/>
      </c>
      <c r="E123" s="98" t="str">
        <f>IF(A123="","",'41_Clasificacion_Empresas'!M123)</f>
        <v/>
      </c>
      <c r="F123" s="122" t="str">
        <f t="shared" ca="1" si="6"/>
        <v/>
      </c>
      <c r="G123" s="98" t="str">
        <f>IF(A123="","",'41_Clasificacion_Empresas'!J123)</f>
        <v/>
      </c>
      <c r="H123" s="98" t="str">
        <f t="shared" si="7"/>
        <v/>
      </c>
      <c r="I123" s="98" t="str">
        <f>IF(A123="","",INDEX('40_Estudio_Empresas'!$X$3:$X$204,ROW()-4))</f>
        <v/>
      </c>
      <c r="J123" s="98" t="str">
        <f>IF(A123="","",'41_Clasificacion_Empresas'!G123)</f>
        <v/>
      </c>
      <c r="K123" s="98" t="str">
        <f>IF(A123="","",'41_Clasificacion_Empresas'!K123)</f>
        <v/>
      </c>
      <c r="L123" s="98" t="str">
        <f>IF(A123="","",IF('41_Clasificacion_Empresas'!F123="A","Alta","Media"))</f>
        <v/>
      </c>
      <c r="M123" s="98" t="str">
        <f>IF(A123="","",IF('41_Clasificacion_Empresas'!F123="A","Pasar a CRM y seguimiento","Mantener seguimiento y estudiar más"))</f>
        <v/>
      </c>
    </row>
    <row r="124" spans="1:13">
      <c r="A124" s="98" t="str">
        <f>IF(OR('41_Clasificacion_Empresas'!F124="A",'41_Clasificacion_Empresas'!F124="B"),'41_Clasificacion_Empresas'!C124,"")</f>
        <v/>
      </c>
      <c r="B124" s="98" t="str">
        <f>IF(A124="","",'41_Clasificacion_Empresas'!D124)</f>
        <v/>
      </c>
      <c r="C124" s="98" t="str">
        <f>IF(A124="","",IF('41_Clasificacion_Empresas'!F124="A","🟢 Oportunidad inmediata","🟡 Oportunidad interesante"))</f>
        <v/>
      </c>
      <c r="D124" s="123" t="str">
        <f>IF(A124="","",'41_Clasificacion_Empresas'!L124)</f>
        <v/>
      </c>
      <c r="E124" s="98" t="str">
        <f>IF(A124="","",'41_Clasificacion_Empresas'!M124)</f>
        <v/>
      </c>
      <c r="F124" s="122" t="str">
        <f t="shared" ca="1" si="6"/>
        <v/>
      </c>
      <c r="G124" s="98" t="str">
        <f>IF(A124="","",'41_Clasificacion_Empresas'!J124)</f>
        <v/>
      </c>
      <c r="H124" s="98" t="str">
        <f t="shared" si="7"/>
        <v/>
      </c>
      <c r="I124" s="98" t="str">
        <f>IF(A124="","",INDEX('40_Estudio_Empresas'!$X$3:$X$204,ROW()-4))</f>
        <v/>
      </c>
      <c r="J124" s="98" t="str">
        <f>IF(A124="","",'41_Clasificacion_Empresas'!G124)</f>
        <v/>
      </c>
      <c r="K124" s="98" t="str">
        <f>IF(A124="","",'41_Clasificacion_Empresas'!K124)</f>
        <v/>
      </c>
      <c r="L124" s="98" t="str">
        <f>IF(A124="","",IF('41_Clasificacion_Empresas'!F124="A","Alta","Media"))</f>
        <v/>
      </c>
      <c r="M124" s="98" t="str">
        <f>IF(A124="","",IF('41_Clasificacion_Empresas'!F124="A","Pasar a CRM y seguimiento","Mantener seguimiento y estudiar más"))</f>
        <v/>
      </c>
    </row>
    <row r="125" spans="1:13">
      <c r="A125" s="98" t="str">
        <f>IF(OR('41_Clasificacion_Empresas'!F125="A",'41_Clasificacion_Empresas'!F125="B"),'41_Clasificacion_Empresas'!C125,"")</f>
        <v/>
      </c>
      <c r="B125" s="98" t="str">
        <f>IF(A125="","",'41_Clasificacion_Empresas'!D125)</f>
        <v/>
      </c>
      <c r="C125" s="98" t="str">
        <f>IF(A125="","",IF('41_Clasificacion_Empresas'!F125="A","🟢 Oportunidad inmediata","🟡 Oportunidad interesante"))</f>
        <v/>
      </c>
      <c r="D125" s="123" t="str">
        <f>IF(A125="","",'41_Clasificacion_Empresas'!L125)</f>
        <v/>
      </c>
      <c r="E125" s="98" t="str">
        <f>IF(A125="","",'41_Clasificacion_Empresas'!M125)</f>
        <v/>
      </c>
      <c r="F125" s="122" t="str">
        <f t="shared" ca="1" si="6"/>
        <v/>
      </c>
      <c r="G125" s="98" t="str">
        <f>IF(A125="","",'41_Clasificacion_Empresas'!J125)</f>
        <v/>
      </c>
      <c r="H125" s="98" t="str">
        <f t="shared" si="7"/>
        <v/>
      </c>
      <c r="I125" s="98" t="str">
        <f>IF(A125="","",INDEX('40_Estudio_Empresas'!$X$3:$X$204,ROW()-4))</f>
        <v/>
      </c>
      <c r="J125" s="98" t="str">
        <f>IF(A125="","",'41_Clasificacion_Empresas'!G125)</f>
        <v/>
      </c>
      <c r="K125" s="98" t="str">
        <f>IF(A125="","",'41_Clasificacion_Empresas'!K125)</f>
        <v/>
      </c>
      <c r="L125" s="98" t="str">
        <f>IF(A125="","",IF('41_Clasificacion_Empresas'!F125="A","Alta","Media"))</f>
        <v/>
      </c>
      <c r="M125" s="98" t="str">
        <f>IF(A125="","",IF('41_Clasificacion_Empresas'!F125="A","Pasar a CRM y seguimiento","Mantener seguimiento y estudiar más"))</f>
        <v/>
      </c>
    </row>
    <row r="126" spans="1:13">
      <c r="A126" s="98" t="str">
        <f>IF(OR('41_Clasificacion_Empresas'!F126="A",'41_Clasificacion_Empresas'!F126="B"),'41_Clasificacion_Empresas'!C126,"")</f>
        <v/>
      </c>
      <c r="B126" s="98" t="str">
        <f>IF(A126="","",'41_Clasificacion_Empresas'!D126)</f>
        <v/>
      </c>
      <c r="C126" s="98" t="str">
        <f>IF(A126="","",IF('41_Clasificacion_Empresas'!F126="A","🟢 Oportunidad inmediata","🟡 Oportunidad interesante"))</f>
        <v/>
      </c>
      <c r="D126" s="123" t="str">
        <f>IF(A126="","",'41_Clasificacion_Empresas'!L126)</f>
        <v/>
      </c>
      <c r="E126" s="98" t="str">
        <f>IF(A126="","",'41_Clasificacion_Empresas'!M126)</f>
        <v/>
      </c>
      <c r="F126" s="122" t="str">
        <f t="shared" ca="1" si="6"/>
        <v/>
      </c>
      <c r="G126" s="98" t="str">
        <f>IF(A126="","",'41_Clasificacion_Empresas'!J126)</f>
        <v/>
      </c>
      <c r="H126" s="98" t="str">
        <f t="shared" si="7"/>
        <v/>
      </c>
      <c r="I126" s="98" t="str">
        <f>IF(A126="","",INDEX('40_Estudio_Empresas'!$X$3:$X$204,ROW()-4))</f>
        <v/>
      </c>
      <c r="J126" s="98" t="str">
        <f>IF(A126="","",'41_Clasificacion_Empresas'!G126)</f>
        <v/>
      </c>
      <c r="K126" s="98" t="str">
        <f>IF(A126="","",'41_Clasificacion_Empresas'!K126)</f>
        <v/>
      </c>
      <c r="L126" s="98" t="str">
        <f>IF(A126="","",IF('41_Clasificacion_Empresas'!F126="A","Alta","Media"))</f>
        <v/>
      </c>
      <c r="M126" s="98" t="str">
        <f>IF(A126="","",IF('41_Clasificacion_Empresas'!F126="A","Pasar a CRM y seguimiento","Mantener seguimiento y estudiar más"))</f>
        <v/>
      </c>
    </row>
    <row r="127" spans="1:13">
      <c r="A127" s="98" t="str">
        <f>IF(OR('41_Clasificacion_Empresas'!F127="A",'41_Clasificacion_Empresas'!F127="B"),'41_Clasificacion_Empresas'!C127,"")</f>
        <v/>
      </c>
      <c r="B127" s="98" t="str">
        <f>IF(A127="","",'41_Clasificacion_Empresas'!D127)</f>
        <v/>
      </c>
      <c r="C127" s="98" t="str">
        <f>IF(A127="","",IF('41_Clasificacion_Empresas'!F127="A","🟢 Oportunidad inmediata","🟡 Oportunidad interesante"))</f>
        <v/>
      </c>
      <c r="D127" s="123" t="str">
        <f>IF(A127="","",'41_Clasificacion_Empresas'!L127)</f>
        <v/>
      </c>
      <c r="E127" s="98" t="str">
        <f>IF(A127="","",'41_Clasificacion_Empresas'!M127)</f>
        <v/>
      </c>
      <c r="F127" s="122" t="str">
        <f t="shared" ca="1" si="6"/>
        <v/>
      </c>
      <c r="G127" s="98" t="str">
        <f>IF(A127="","",'41_Clasificacion_Empresas'!J127)</f>
        <v/>
      </c>
      <c r="H127" s="98" t="str">
        <f t="shared" si="7"/>
        <v/>
      </c>
      <c r="I127" s="98" t="str">
        <f>IF(A127="","",INDEX('40_Estudio_Empresas'!$X$3:$X$204,ROW()-4))</f>
        <v/>
      </c>
      <c r="J127" s="98" t="str">
        <f>IF(A127="","",'41_Clasificacion_Empresas'!G127)</f>
        <v/>
      </c>
      <c r="K127" s="98" t="str">
        <f>IF(A127="","",'41_Clasificacion_Empresas'!K127)</f>
        <v/>
      </c>
      <c r="L127" s="98" t="str">
        <f>IF(A127="","",IF('41_Clasificacion_Empresas'!F127="A","Alta","Media"))</f>
        <v/>
      </c>
      <c r="M127" s="98" t="str">
        <f>IF(A127="","",IF('41_Clasificacion_Empresas'!F127="A","Pasar a CRM y seguimiento","Mantener seguimiento y estudiar más"))</f>
        <v/>
      </c>
    </row>
    <row r="128" spans="1:13">
      <c r="A128" s="98" t="str">
        <f>IF(OR('41_Clasificacion_Empresas'!F128="A",'41_Clasificacion_Empresas'!F128="B"),'41_Clasificacion_Empresas'!C128,"")</f>
        <v/>
      </c>
      <c r="B128" s="98" t="str">
        <f>IF(A128="","",'41_Clasificacion_Empresas'!D128)</f>
        <v/>
      </c>
      <c r="C128" s="98" t="str">
        <f>IF(A128="","",IF('41_Clasificacion_Empresas'!F128="A","🟢 Oportunidad inmediata","🟡 Oportunidad interesante"))</f>
        <v/>
      </c>
      <c r="D128" s="123" t="str">
        <f>IF(A128="","",'41_Clasificacion_Empresas'!L128)</f>
        <v/>
      </c>
      <c r="E128" s="98" t="str">
        <f>IF(A128="","",'41_Clasificacion_Empresas'!M128)</f>
        <v/>
      </c>
      <c r="F128" s="122" t="str">
        <f t="shared" ca="1" si="6"/>
        <v/>
      </c>
      <c r="G128" s="98" t="str">
        <f>IF(A128="","",'41_Clasificacion_Empresas'!J128)</f>
        <v/>
      </c>
      <c r="H128" s="98" t="str">
        <f t="shared" si="7"/>
        <v/>
      </c>
      <c r="I128" s="98" t="str">
        <f>IF(A128="","",INDEX('40_Estudio_Empresas'!$X$3:$X$204,ROW()-4))</f>
        <v/>
      </c>
      <c r="J128" s="98" t="str">
        <f>IF(A128="","",'41_Clasificacion_Empresas'!G128)</f>
        <v/>
      </c>
      <c r="K128" s="98" t="str">
        <f>IF(A128="","",'41_Clasificacion_Empresas'!K128)</f>
        <v/>
      </c>
      <c r="L128" s="98" t="str">
        <f>IF(A128="","",IF('41_Clasificacion_Empresas'!F128="A","Alta","Media"))</f>
        <v/>
      </c>
      <c r="M128" s="98" t="str">
        <f>IF(A128="","",IF('41_Clasificacion_Empresas'!F128="A","Pasar a CRM y seguimiento","Mantener seguimiento y estudiar más"))</f>
        <v/>
      </c>
    </row>
    <row r="129" spans="1:13">
      <c r="A129" s="98" t="str">
        <f>IF(OR('41_Clasificacion_Empresas'!F129="A",'41_Clasificacion_Empresas'!F129="B"),'41_Clasificacion_Empresas'!C129,"")</f>
        <v/>
      </c>
      <c r="B129" s="98" t="str">
        <f>IF(A129="","",'41_Clasificacion_Empresas'!D129)</f>
        <v/>
      </c>
      <c r="C129" s="98" t="str">
        <f>IF(A129="","",IF('41_Clasificacion_Empresas'!F129="A","🟢 Oportunidad inmediata","🟡 Oportunidad interesante"))</f>
        <v/>
      </c>
      <c r="D129" s="123" t="str">
        <f>IF(A129="","",'41_Clasificacion_Empresas'!L129)</f>
        <v/>
      </c>
      <c r="E129" s="98" t="str">
        <f>IF(A129="","",'41_Clasificacion_Empresas'!M129)</f>
        <v/>
      </c>
      <c r="F129" s="122" t="str">
        <f t="shared" ca="1" si="6"/>
        <v/>
      </c>
      <c r="G129" s="98" t="str">
        <f>IF(A129="","",'41_Clasificacion_Empresas'!J129)</f>
        <v/>
      </c>
      <c r="H129" s="98" t="str">
        <f t="shared" si="7"/>
        <v/>
      </c>
      <c r="I129" s="98" t="str">
        <f>IF(A129="","",INDEX('40_Estudio_Empresas'!$X$3:$X$204,ROW()-4))</f>
        <v/>
      </c>
      <c r="J129" s="98" t="str">
        <f>IF(A129="","",'41_Clasificacion_Empresas'!G129)</f>
        <v/>
      </c>
      <c r="K129" s="98" t="str">
        <f>IF(A129="","",'41_Clasificacion_Empresas'!K129)</f>
        <v/>
      </c>
      <c r="L129" s="98" t="str">
        <f>IF(A129="","",IF('41_Clasificacion_Empresas'!F129="A","Alta","Media"))</f>
        <v/>
      </c>
      <c r="M129" s="98" t="str">
        <f>IF(A129="","",IF('41_Clasificacion_Empresas'!F129="A","Pasar a CRM y seguimiento","Mantener seguimiento y estudiar más"))</f>
        <v/>
      </c>
    </row>
    <row r="130" spans="1:13">
      <c r="A130" s="98" t="str">
        <f>IF(OR('41_Clasificacion_Empresas'!F130="A",'41_Clasificacion_Empresas'!F130="B"),'41_Clasificacion_Empresas'!C130,"")</f>
        <v/>
      </c>
      <c r="B130" s="98" t="str">
        <f>IF(A130="","",'41_Clasificacion_Empresas'!D130)</f>
        <v/>
      </c>
      <c r="C130" s="98" t="str">
        <f>IF(A130="","",IF('41_Clasificacion_Empresas'!F130="A","🟢 Oportunidad inmediata","🟡 Oportunidad interesante"))</f>
        <v/>
      </c>
      <c r="D130" s="123" t="str">
        <f>IF(A130="","",'41_Clasificacion_Empresas'!L130)</f>
        <v/>
      </c>
      <c r="E130" s="98" t="str">
        <f>IF(A130="","",'41_Clasificacion_Empresas'!M130)</f>
        <v/>
      </c>
      <c r="F130" s="122" t="str">
        <f t="shared" ca="1" si="6"/>
        <v/>
      </c>
      <c r="G130" s="98" t="str">
        <f>IF(A130="","",'41_Clasificacion_Empresas'!J130)</f>
        <v/>
      </c>
      <c r="H130" s="98" t="str">
        <f t="shared" si="7"/>
        <v/>
      </c>
      <c r="I130" s="98" t="str">
        <f>IF(A130="","",INDEX('40_Estudio_Empresas'!$X$3:$X$204,ROW()-4))</f>
        <v/>
      </c>
      <c r="J130" s="98" t="str">
        <f>IF(A130="","",'41_Clasificacion_Empresas'!G130)</f>
        <v/>
      </c>
      <c r="K130" s="98" t="str">
        <f>IF(A130="","",'41_Clasificacion_Empresas'!K130)</f>
        <v/>
      </c>
      <c r="L130" s="98" t="str">
        <f>IF(A130="","",IF('41_Clasificacion_Empresas'!F130="A","Alta","Media"))</f>
        <v/>
      </c>
      <c r="M130" s="98" t="str">
        <f>IF(A130="","",IF('41_Clasificacion_Empresas'!F130="A","Pasar a CRM y seguimiento","Mantener seguimiento y estudiar más"))</f>
        <v/>
      </c>
    </row>
    <row r="131" spans="1:13">
      <c r="A131" s="98" t="str">
        <f>IF(OR('41_Clasificacion_Empresas'!F131="A",'41_Clasificacion_Empresas'!F131="B"),'41_Clasificacion_Empresas'!C131,"")</f>
        <v/>
      </c>
      <c r="B131" s="98" t="str">
        <f>IF(A131="","",'41_Clasificacion_Empresas'!D131)</f>
        <v/>
      </c>
      <c r="C131" s="98" t="str">
        <f>IF(A131="","",IF('41_Clasificacion_Empresas'!F131="A","🟢 Oportunidad inmediata","🟡 Oportunidad interesante"))</f>
        <v/>
      </c>
      <c r="D131" s="123" t="str">
        <f>IF(A131="","",'41_Clasificacion_Empresas'!L131)</f>
        <v/>
      </c>
      <c r="E131" s="98" t="str">
        <f>IF(A131="","",'41_Clasificacion_Empresas'!M131)</f>
        <v/>
      </c>
      <c r="F131" s="122" t="str">
        <f t="shared" ca="1" si="6"/>
        <v/>
      </c>
      <c r="G131" s="98" t="str">
        <f>IF(A131="","",'41_Clasificacion_Empresas'!J131)</f>
        <v/>
      </c>
      <c r="H131" s="98" t="str">
        <f t="shared" si="7"/>
        <v/>
      </c>
      <c r="I131" s="98" t="str">
        <f>IF(A131="","",INDEX('40_Estudio_Empresas'!$X$3:$X$204,ROW()-4))</f>
        <v/>
      </c>
      <c r="J131" s="98" t="str">
        <f>IF(A131="","",'41_Clasificacion_Empresas'!G131)</f>
        <v/>
      </c>
      <c r="K131" s="98" t="str">
        <f>IF(A131="","",'41_Clasificacion_Empresas'!K131)</f>
        <v/>
      </c>
      <c r="L131" s="98" t="str">
        <f>IF(A131="","",IF('41_Clasificacion_Empresas'!F131="A","Alta","Media"))</f>
        <v/>
      </c>
      <c r="M131" s="98" t="str">
        <f>IF(A131="","",IF('41_Clasificacion_Empresas'!F131="A","Pasar a CRM y seguimiento","Mantener seguimiento y estudiar más"))</f>
        <v/>
      </c>
    </row>
    <row r="132" spans="1:13">
      <c r="A132" s="98" t="str">
        <f>IF(OR('41_Clasificacion_Empresas'!F132="A",'41_Clasificacion_Empresas'!F132="B"),'41_Clasificacion_Empresas'!C132,"")</f>
        <v/>
      </c>
      <c r="B132" s="98" t="str">
        <f>IF(A132="","",'41_Clasificacion_Empresas'!D132)</f>
        <v/>
      </c>
      <c r="C132" s="98" t="str">
        <f>IF(A132="","",IF('41_Clasificacion_Empresas'!F132="A","🟢 Oportunidad inmediata","🟡 Oportunidad interesante"))</f>
        <v/>
      </c>
      <c r="D132" s="123" t="str">
        <f>IF(A132="","",'41_Clasificacion_Empresas'!L132)</f>
        <v/>
      </c>
      <c r="E132" s="98" t="str">
        <f>IF(A132="","",'41_Clasificacion_Empresas'!M132)</f>
        <v/>
      </c>
      <c r="F132" s="122" t="str">
        <f t="shared" ca="1" si="6"/>
        <v/>
      </c>
      <c r="G132" s="98" t="str">
        <f>IF(A132="","",'41_Clasificacion_Empresas'!J132)</f>
        <v/>
      </c>
      <c r="H132" s="98" t="str">
        <f t="shared" si="7"/>
        <v/>
      </c>
      <c r="I132" s="98" t="str">
        <f>IF(A132="","",INDEX('40_Estudio_Empresas'!$X$3:$X$204,ROW()-4))</f>
        <v/>
      </c>
      <c r="J132" s="98" t="str">
        <f>IF(A132="","",'41_Clasificacion_Empresas'!G132)</f>
        <v/>
      </c>
      <c r="K132" s="98" t="str">
        <f>IF(A132="","",'41_Clasificacion_Empresas'!K132)</f>
        <v/>
      </c>
      <c r="L132" s="98" t="str">
        <f>IF(A132="","",IF('41_Clasificacion_Empresas'!F132="A","Alta","Media"))</f>
        <v/>
      </c>
      <c r="M132" s="98" t="str">
        <f>IF(A132="","",IF('41_Clasificacion_Empresas'!F132="A","Pasar a CRM y seguimiento","Mantener seguimiento y estudiar más"))</f>
        <v/>
      </c>
    </row>
    <row r="133" spans="1:13">
      <c r="A133" s="98" t="str">
        <f>IF(OR('41_Clasificacion_Empresas'!F133="A",'41_Clasificacion_Empresas'!F133="B"),'41_Clasificacion_Empresas'!C133,"")</f>
        <v/>
      </c>
      <c r="B133" s="98" t="str">
        <f>IF(A133="","",'41_Clasificacion_Empresas'!D133)</f>
        <v/>
      </c>
      <c r="C133" s="98" t="str">
        <f>IF(A133="","",IF('41_Clasificacion_Empresas'!F133="A","🟢 Oportunidad inmediata","🟡 Oportunidad interesante"))</f>
        <v/>
      </c>
      <c r="D133" s="123" t="str">
        <f>IF(A133="","",'41_Clasificacion_Empresas'!L133)</f>
        <v/>
      </c>
      <c r="E133" s="98" t="str">
        <f>IF(A133="","",'41_Clasificacion_Empresas'!M133)</f>
        <v/>
      </c>
      <c r="F133" s="122" t="str">
        <f t="shared" ref="F133:F164" ca="1" si="8">IF(A133="","",TODAY()+7)</f>
        <v/>
      </c>
      <c r="G133" s="98" t="str">
        <f>IF(A133="","",'41_Clasificacion_Empresas'!J133)</f>
        <v/>
      </c>
      <c r="H133" s="98" t="str">
        <f t="shared" ref="H133:H164" si="9">IF(A133="","","40_Estudio_Empresas → 41_Clasificacion")</f>
        <v/>
      </c>
      <c r="I133" s="98" t="str">
        <f>IF(A133="","",INDEX('40_Estudio_Empresas'!$X$3:$X$204,ROW()-4))</f>
        <v/>
      </c>
      <c r="J133" s="98" t="str">
        <f>IF(A133="","",'41_Clasificacion_Empresas'!G133)</f>
        <v/>
      </c>
      <c r="K133" s="98" t="str">
        <f>IF(A133="","",'41_Clasificacion_Empresas'!K133)</f>
        <v/>
      </c>
      <c r="L133" s="98" t="str">
        <f>IF(A133="","",IF('41_Clasificacion_Empresas'!F133="A","Alta","Media"))</f>
        <v/>
      </c>
      <c r="M133" s="98" t="str">
        <f>IF(A133="","",IF('41_Clasificacion_Empresas'!F133="A","Pasar a CRM y seguimiento","Mantener seguimiento y estudiar más"))</f>
        <v/>
      </c>
    </row>
    <row r="134" spans="1:13">
      <c r="A134" s="98" t="str">
        <f>IF(OR('41_Clasificacion_Empresas'!F134="A",'41_Clasificacion_Empresas'!F134="B"),'41_Clasificacion_Empresas'!C134,"")</f>
        <v/>
      </c>
      <c r="B134" s="98" t="str">
        <f>IF(A134="","",'41_Clasificacion_Empresas'!D134)</f>
        <v/>
      </c>
      <c r="C134" s="98" t="str">
        <f>IF(A134="","",IF('41_Clasificacion_Empresas'!F134="A","🟢 Oportunidad inmediata","🟡 Oportunidad interesante"))</f>
        <v/>
      </c>
      <c r="D134" s="123" t="str">
        <f>IF(A134="","",'41_Clasificacion_Empresas'!L134)</f>
        <v/>
      </c>
      <c r="E134" s="98" t="str">
        <f>IF(A134="","",'41_Clasificacion_Empresas'!M134)</f>
        <v/>
      </c>
      <c r="F134" s="122" t="str">
        <f t="shared" ca="1" si="8"/>
        <v/>
      </c>
      <c r="G134" s="98" t="str">
        <f>IF(A134="","",'41_Clasificacion_Empresas'!J134)</f>
        <v/>
      </c>
      <c r="H134" s="98" t="str">
        <f t="shared" si="9"/>
        <v/>
      </c>
      <c r="I134" s="98" t="str">
        <f>IF(A134="","",INDEX('40_Estudio_Empresas'!$X$3:$X$204,ROW()-4))</f>
        <v/>
      </c>
      <c r="J134" s="98" t="str">
        <f>IF(A134="","",'41_Clasificacion_Empresas'!G134)</f>
        <v/>
      </c>
      <c r="K134" s="98" t="str">
        <f>IF(A134="","",'41_Clasificacion_Empresas'!K134)</f>
        <v/>
      </c>
      <c r="L134" s="98" t="str">
        <f>IF(A134="","",IF('41_Clasificacion_Empresas'!F134="A","Alta","Media"))</f>
        <v/>
      </c>
      <c r="M134" s="98" t="str">
        <f>IF(A134="","",IF('41_Clasificacion_Empresas'!F134="A","Pasar a CRM y seguimiento","Mantener seguimiento y estudiar más"))</f>
        <v/>
      </c>
    </row>
    <row r="135" spans="1:13">
      <c r="A135" s="98" t="str">
        <f>IF(OR('41_Clasificacion_Empresas'!F135="A",'41_Clasificacion_Empresas'!F135="B"),'41_Clasificacion_Empresas'!C135,"")</f>
        <v/>
      </c>
      <c r="B135" s="98" t="str">
        <f>IF(A135="","",'41_Clasificacion_Empresas'!D135)</f>
        <v/>
      </c>
      <c r="C135" s="98" t="str">
        <f>IF(A135="","",IF('41_Clasificacion_Empresas'!F135="A","🟢 Oportunidad inmediata","🟡 Oportunidad interesante"))</f>
        <v/>
      </c>
      <c r="D135" s="123" t="str">
        <f>IF(A135="","",'41_Clasificacion_Empresas'!L135)</f>
        <v/>
      </c>
      <c r="E135" s="98" t="str">
        <f>IF(A135="","",'41_Clasificacion_Empresas'!M135)</f>
        <v/>
      </c>
      <c r="F135" s="122" t="str">
        <f t="shared" ca="1" si="8"/>
        <v/>
      </c>
      <c r="G135" s="98" t="str">
        <f>IF(A135="","",'41_Clasificacion_Empresas'!J135)</f>
        <v/>
      </c>
      <c r="H135" s="98" t="str">
        <f t="shared" si="9"/>
        <v/>
      </c>
      <c r="I135" s="98" t="str">
        <f>IF(A135="","",INDEX('40_Estudio_Empresas'!$X$3:$X$204,ROW()-4))</f>
        <v/>
      </c>
      <c r="J135" s="98" t="str">
        <f>IF(A135="","",'41_Clasificacion_Empresas'!G135)</f>
        <v/>
      </c>
      <c r="K135" s="98" t="str">
        <f>IF(A135="","",'41_Clasificacion_Empresas'!K135)</f>
        <v/>
      </c>
      <c r="L135" s="98" t="str">
        <f>IF(A135="","",IF('41_Clasificacion_Empresas'!F135="A","Alta","Media"))</f>
        <v/>
      </c>
      <c r="M135" s="98" t="str">
        <f>IF(A135="","",IF('41_Clasificacion_Empresas'!F135="A","Pasar a CRM y seguimiento","Mantener seguimiento y estudiar más"))</f>
        <v/>
      </c>
    </row>
    <row r="136" spans="1:13">
      <c r="A136" s="98" t="str">
        <f>IF(OR('41_Clasificacion_Empresas'!F136="A",'41_Clasificacion_Empresas'!F136="B"),'41_Clasificacion_Empresas'!C136,"")</f>
        <v/>
      </c>
      <c r="B136" s="98" t="str">
        <f>IF(A136="","",'41_Clasificacion_Empresas'!D136)</f>
        <v/>
      </c>
      <c r="C136" s="98" t="str">
        <f>IF(A136="","",IF('41_Clasificacion_Empresas'!F136="A","🟢 Oportunidad inmediata","🟡 Oportunidad interesante"))</f>
        <v/>
      </c>
      <c r="D136" s="123" t="str">
        <f>IF(A136="","",'41_Clasificacion_Empresas'!L136)</f>
        <v/>
      </c>
      <c r="E136" s="98" t="str">
        <f>IF(A136="","",'41_Clasificacion_Empresas'!M136)</f>
        <v/>
      </c>
      <c r="F136" s="122" t="str">
        <f t="shared" ca="1" si="8"/>
        <v/>
      </c>
      <c r="G136" s="98" t="str">
        <f>IF(A136="","",'41_Clasificacion_Empresas'!J136)</f>
        <v/>
      </c>
      <c r="H136" s="98" t="str">
        <f t="shared" si="9"/>
        <v/>
      </c>
      <c r="I136" s="98" t="str">
        <f>IF(A136="","",INDEX('40_Estudio_Empresas'!$X$3:$X$204,ROW()-4))</f>
        <v/>
      </c>
      <c r="J136" s="98" t="str">
        <f>IF(A136="","",'41_Clasificacion_Empresas'!G136)</f>
        <v/>
      </c>
      <c r="K136" s="98" t="str">
        <f>IF(A136="","",'41_Clasificacion_Empresas'!K136)</f>
        <v/>
      </c>
      <c r="L136" s="98" t="str">
        <f>IF(A136="","",IF('41_Clasificacion_Empresas'!F136="A","Alta","Media"))</f>
        <v/>
      </c>
      <c r="M136" s="98" t="str">
        <f>IF(A136="","",IF('41_Clasificacion_Empresas'!F136="A","Pasar a CRM y seguimiento","Mantener seguimiento y estudiar más"))</f>
        <v/>
      </c>
    </row>
    <row r="137" spans="1:13">
      <c r="A137" s="98" t="str">
        <f>IF(OR('41_Clasificacion_Empresas'!F137="A",'41_Clasificacion_Empresas'!F137="B"),'41_Clasificacion_Empresas'!C137,"")</f>
        <v/>
      </c>
      <c r="B137" s="98" t="str">
        <f>IF(A137="","",'41_Clasificacion_Empresas'!D137)</f>
        <v/>
      </c>
      <c r="C137" s="98" t="str">
        <f>IF(A137="","",IF('41_Clasificacion_Empresas'!F137="A","🟢 Oportunidad inmediata","🟡 Oportunidad interesante"))</f>
        <v/>
      </c>
      <c r="D137" s="123" t="str">
        <f>IF(A137="","",'41_Clasificacion_Empresas'!L137)</f>
        <v/>
      </c>
      <c r="E137" s="98" t="str">
        <f>IF(A137="","",'41_Clasificacion_Empresas'!M137)</f>
        <v/>
      </c>
      <c r="F137" s="122" t="str">
        <f t="shared" ca="1" si="8"/>
        <v/>
      </c>
      <c r="G137" s="98" t="str">
        <f>IF(A137="","",'41_Clasificacion_Empresas'!J137)</f>
        <v/>
      </c>
      <c r="H137" s="98" t="str">
        <f t="shared" si="9"/>
        <v/>
      </c>
      <c r="I137" s="98" t="str">
        <f>IF(A137="","",INDEX('40_Estudio_Empresas'!$X$3:$X$204,ROW()-4))</f>
        <v/>
      </c>
      <c r="J137" s="98" t="str">
        <f>IF(A137="","",'41_Clasificacion_Empresas'!G137)</f>
        <v/>
      </c>
      <c r="K137" s="98" t="str">
        <f>IF(A137="","",'41_Clasificacion_Empresas'!K137)</f>
        <v/>
      </c>
      <c r="L137" s="98" t="str">
        <f>IF(A137="","",IF('41_Clasificacion_Empresas'!F137="A","Alta","Media"))</f>
        <v/>
      </c>
      <c r="M137" s="98" t="str">
        <f>IF(A137="","",IF('41_Clasificacion_Empresas'!F137="A","Pasar a CRM y seguimiento","Mantener seguimiento y estudiar más"))</f>
        <v/>
      </c>
    </row>
    <row r="138" spans="1:13">
      <c r="A138" s="98" t="str">
        <f>IF(OR('41_Clasificacion_Empresas'!F138="A",'41_Clasificacion_Empresas'!F138="B"),'41_Clasificacion_Empresas'!C138,"")</f>
        <v/>
      </c>
      <c r="B138" s="98" t="str">
        <f>IF(A138="","",'41_Clasificacion_Empresas'!D138)</f>
        <v/>
      </c>
      <c r="C138" s="98" t="str">
        <f>IF(A138="","",IF('41_Clasificacion_Empresas'!F138="A","🟢 Oportunidad inmediata","🟡 Oportunidad interesante"))</f>
        <v/>
      </c>
      <c r="D138" s="123" t="str">
        <f>IF(A138="","",'41_Clasificacion_Empresas'!L138)</f>
        <v/>
      </c>
      <c r="E138" s="98" t="str">
        <f>IF(A138="","",'41_Clasificacion_Empresas'!M138)</f>
        <v/>
      </c>
      <c r="F138" s="122" t="str">
        <f t="shared" ca="1" si="8"/>
        <v/>
      </c>
      <c r="G138" s="98" t="str">
        <f>IF(A138="","",'41_Clasificacion_Empresas'!J138)</f>
        <v/>
      </c>
      <c r="H138" s="98" t="str">
        <f t="shared" si="9"/>
        <v/>
      </c>
      <c r="I138" s="98" t="str">
        <f>IF(A138="","",INDEX('40_Estudio_Empresas'!$X$3:$X$204,ROW()-4))</f>
        <v/>
      </c>
      <c r="J138" s="98" t="str">
        <f>IF(A138="","",'41_Clasificacion_Empresas'!G138)</f>
        <v/>
      </c>
      <c r="K138" s="98" t="str">
        <f>IF(A138="","",'41_Clasificacion_Empresas'!K138)</f>
        <v/>
      </c>
      <c r="L138" s="98" t="str">
        <f>IF(A138="","",IF('41_Clasificacion_Empresas'!F138="A","Alta","Media"))</f>
        <v/>
      </c>
      <c r="M138" s="98" t="str">
        <f>IF(A138="","",IF('41_Clasificacion_Empresas'!F138="A","Pasar a CRM y seguimiento","Mantener seguimiento y estudiar más"))</f>
        <v/>
      </c>
    </row>
    <row r="139" spans="1:13">
      <c r="A139" s="98" t="str">
        <f>IF(OR('41_Clasificacion_Empresas'!F139="A",'41_Clasificacion_Empresas'!F139="B"),'41_Clasificacion_Empresas'!C139,"")</f>
        <v/>
      </c>
      <c r="B139" s="98" t="str">
        <f>IF(A139="","",'41_Clasificacion_Empresas'!D139)</f>
        <v/>
      </c>
      <c r="C139" s="98" t="str">
        <f>IF(A139="","",IF('41_Clasificacion_Empresas'!F139="A","🟢 Oportunidad inmediata","🟡 Oportunidad interesante"))</f>
        <v/>
      </c>
      <c r="D139" s="123" t="str">
        <f>IF(A139="","",'41_Clasificacion_Empresas'!L139)</f>
        <v/>
      </c>
      <c r="E139" s="98" t="str">
        <f>IF(A139="","",'41_Clasificacion_Empresas'!M139)</f>
        <v/>
      </c>
      <c r="F139" s="122" t="str">
        <f t="shared" ca="1" si="8"/>
        <v/>
      </c>
      <c r="G139" s="98" t="str">
        <f>IF(A139="","",'41_Clasificacion_Empresas'!J139)</f>
        <v/>
      </c>
      <c r="H139" s="98" t="str">
        <f t="shared" si="9"/>
        <v/>
      </c>
      <c r="I139" s="98" t="str">
        <f>IF(A139="","",INDEX('40_Estudio_Empresas'!$X$3:$X$204,ROW()-4))</f>
        <v/>
      </c>
      <c r="J139" s="98" t="str">
        <f>IF(A139="","",'41_Clasificacion_Empresas'!G139)</f>
        <v/>
      </c>
      <c r="K139" s="98" t="str">
        <f>IF(A139="","",'41_Clasificacion_Empresas'!K139)</f>
        <v/>
      </c>
      <c r="L139" s="98" t="str">
        <f>IF(A139="","",IF('41_Clasificacion_Empresas'!F139="A","Alta","Media"))</f>
        <v/>
      </c>
      <c r="M139" s="98" t="str">
        <f>IF(A139="","",IF('41_Clasificacion_Empresas'!F139="A","Pasar a CRM y seguimiento","Mantener seguimiento y estudiar más"))</f>
        <v/>
      </c>
    </row>
    <row r="140" spans="1:13">
      <c r="A140" s="98" t="str">
        <f>IF(OR('41_Clasificacion_Empresas'!F140="A",'41_Clasificacion_Empresas'!F140="B"),'41_Clasificacion_Empresas'!C140,"")</f>
        <v/>
      </c>
      <c r="B140" s="98" t="str">
        <f>IF(A140="","",'41_Clasificacion_Empresas'!D140)</f>
        <v/>
      </c>
      <c r="C140" s="98" t="str">
        <f>IF(A140="","",IF('41_Clasificacion_Empresas'!F140="A","🟢 Oportunidad inmediata","🟡 Oportunidad interesante"))</f>
        <v/>
      </c>
      <c r="D140" s="123" t="str">
        <f>IF(A140="","",'41_Clasificacion_Empresas'!L140)</f>
        <v/>
      </c>
      <c r="E140" s="98" t="str">
        <f>IF(A140="","",'41_Clasificacion_Empresas'!M140)</f>
        <v/>
      </c>
      <c r="F140" s="122" t="str">
        <f t="shared" ca="1" si="8"/>
        <v/>
      </c>
      <c r="G140" s="98" t="str">
        <f>IF(A140="","",'41_Clasificacion_Empresas'!J140)</f>
        <v/>
      </c>
      <c r="H140" s="98" t="str">
        <f t="shared" si="9"/>
        <v/>
      </c>
      <c r="I140" s="98" t="str">
        <f>IF(A140="","",INDEX('40_Estudio_Empresas'!$X$3:$X$204,ROW()-4))</f>
        <v/>
      </c>
      <c r="J140" s="98" t="str">
        <f>IF(A140="","",'41_Clasificacion_Empresas'!G140)</f>
        <v/>
      </c>
      <c r="K140" s="98" t="str">
        <f>IF(A140="","",'41_Clasificacion_Empresas'!K140)</f>
        <v/>
      </c>
      <c r="L140" s="98" t="str">
        <f>IF(A140="","",IF('41_Clasificacion_Empresas'!F140="A","Alta","Media"))</f>
        <v/>
      </c>
      <c r="M140" s="98" t="str">
        <f>IF(A140="","",IF('41_Clasificacion_Empresas'!F140="A","Pasar a CRM y seguimiento","Mantener seguimiento y estudiar más"))</f>
        <v/>
      </c>
    </row>
    <row r="141" spans="1:13">
      <c r="A141" s="98" t="str">
        <f>IF(OR('41_Clasificacion_Empresas'!F141="A",'41_Clasificacion_Empresas'!F141="B"),'41_Clasificacion_Empresas'!C141,"")</f>
        <v/>
      </c>
      <c r="B141" s="98" t="str">
        <f>IF(A141="","",'41_Clasificacion_Empresas'!D141)</f>
        <v/>
      </c>
      <c r="C141" s="98" t="str">
        <f>IF(A141="","",IF('41_Clasificacion_Empresas'!F141="A","🟢 Oportunidad inmediata","🟡 Oportunidad interesante"))</f>
        <v/>
      </c>
      <c r="D141" s="123" t="str">
        <f>IF(A141="","",'41_Clasificacion_Empresas'!L141)</f>
        <v/>
      </c>
      <c r="E141" s="98" t="str">
        <f>IF(A141="","",'41_Clasificacion_Empresas'!M141)</f>
        <v/>
      </c>
      <c r="F141" s="122" t="str">
        <f t="shared" ca="1" si="8"/>
        <v/>
      </c>
      <c r="G141" s="98" t="str">
        <f>IF(A141="","",'41_Clasificacion_Empresas'!J141)</f>
        <v/>
      </c>
      <c r="H141" s="98" t="str">
        <f t="shared" si="9"/>
        <v/>
      </c>
      <c r="I141" s="98" t="str">
        <f>IF(A141="","",INDEX('40_Estudio_Empresas'!$X$3:$X$204,ROW()-4))</f>
        <v/>
      </c>
      <c r="J141" s="98" t="str">
        <f>IF(A141="","",'41_Clasificacion_Empresas'!G141)</f>
        <v/>
      </c>
      <c r="K141" s="98" t="str">
        <f>IF(A141="","",'41_Clasificacion_Empresas'!K141)</f>
        <v/>
      </c>
      <c r="L141" s="98" t="str">
        <f>IF(A141="","",IF('41_Clasificacion_Empresas'!F141="A","Alta","Media"))</f>
        <v/>
      </c>
      <c r="M141" s="98" t="str">
        <f>IF(A141="","",IF('41_Clasificacion_Empresas'!F141="A","Pasar a CRM y seguimiento","Mantener seguimiento y estudiar más"))</f>
        <v/>
      </c>
    </row>
    <row r="142" spans="1:13">
      <c r="A142" s="98" t="str">
        <f>IF(OR('41_Clasificacion_Empresas'!F142="A",'41_Clasificacion_Empresas'!F142="B"),'41_Clasificacion_Empresas'!C142,"")</f>
        <v/>
      </c>
      <c r="B142" s="98" t="str">
        <f>IF(A142="","",'41_Clasificacion_Empresas'!D142)</f>
        <v/>
      </c>
      <c r="C142" s="98" t="str">
        <f>IF(A142="","",IF('41_Clasificacion_Empresas'!F142="A","🟢 Oportunidad inmediata","🟡 Oportunidad interesante"))</f>
        <v/>
      </c>
      <c r="D142" s="123" t="str">
        <f>IF(A142="","",'41_Clasificacion_Empresas'!L142)</f>
        <v/>
      </c>
      <c r="E142" s="98" t="str">
        <f>IF(A142="","",'41_Clasificacion_Empresas'!M142)</f>
        <v/>
      </c>
      <c r="F142" s="122" t="str">
        <f t="shared" ca="1" si="8"/>
        <v/>
      </c>
      <c r="G142" s="98" t="str">
        <f>IF(A142="","",'41_Clasificacion_Empresas'!J142)</f>
        <v/>
      </c>
      <c r="H142" s="98" t="str">
        <f t="shared" si="9"/>
        <v/>
      </c>
      <c r="I142" s="98" t="str">
        <f>IF(A142="","",INDEX('40_Estudio_Empresas'!$X$3:$X$204,ROW()-4))</f>
        <v/>
      </c>
      <c r="J142" s="98" t="str">
        <f>IF(A142="","",'41_Clasificacion_Empresas'!G142)</f>
        <v/>
      </c>
      <c r="K142" s="98" t="str">
        <f>IF(A142="","",'41_Clasificacion_Empresas'!K142)</f>
        <v/>
      </c>
      <c r="L142" s="98" t="str">
        <f>IF(A142="","",IF('41_Clasificacion_Empresas'!F142="A","Alta","Media"))</f>
        <v/>
      </c>
      <c r="M142" s="98" t="str">
        <f>IF(A142="","",IF('41_Clasificacion_Empresas'!F142="A","Pasar a CRM y seguimiento","Mantener seguimiento y estudiar más"))</f>
        <v/>
      </c>
    </row>
    <row r="143" spans="1:13">
      <c r="A143" s="98" t="str">
        <f>IF(OR('41_Clasificacion_Empresas'!F143="A",'41_Clasificacion_Empresas'!F143="B"),'41_Clasificacion_Empresas'!C143,"")</f>
        <v/>
      </c>
      <c r="B143" s="98" t="str">
        <f>IF(A143="","",'41_Clasificacion_Empresas'!D143)</f>
        <v/>
      </c>
      <c r="C143" s="98" t="str">
        <f>IF(A143="","",IF('41_Clasificacion_Empresas'!F143="A","🟢 Oportunidad inmediata","🟡 Oportunidad interesante"))</f>
        <v/>
      </c>
      <c r="D143" s="123" t="str">
        <f>IF(A143="","",'41_Clasificacion_Empresas'!L143)</f>
        <v/>
      </c>
      <c r="E143" s="98" t="str">
        <f>IF(A143="","",'41_Clasificacion_Empresas'!M143)</f>
        <v/>
      </c>
      <c r="F143" s="122" t="str">
        <f t="shared" ca="1" si="8"/>
        <v/>
      </c>
      <c r="G143" s="98" t="str">
        <f>IF(A143="","",'41_Clasificacion_Empresas'!J143)</f>
        <v/>
      </c>
      <c r="H143" s="98" t="str">
        <f t="shared" si="9"/>
        <v/>
      </c>
      <c r="I143" s="98" t="str">
        <f>IF(A143="","",INDEX('40_Estudio_Empresas'!$X$3:$X$204,ROW()-4))</f>
        <v/>
      </c>
      <c r="J143" s="98" t="str">
        <f>IF(A143="","",'41_Clasificacion_Empresas'!G143)</f>
        <v/>
      </c>
      <c r="K143" s="98" t="str">
        <f>IF(A143="","",'41_Clasificacion_Empresas'!K143)</f>
        <v/>
      </c>
      <c r="L143" s="98" t="str">
        <f>IF(A143="","",IF('41_Clasificacion_Empresas'!F143="A","Alta","Media"))</f>
        <v/>
      </c>
      <c r="M143" s="98" t="str">
        <f>IF(A143="","",IF('41_Clasificacion_Empresas'!F143="A","Pasar a CRM y seguimiento","Mantener seguimiento y estudiar más"))</f>
        <v/>
      </c>
    </row>
    <row r="144" spans="1:13">
      <c r="A144" s="98" t="str">
        <f>IF(OR('41_Clasificacion_Empresas'!F144="A",'41_Clasificacion_Empresas'!F144="B"),'41_Clasificacion_Empresas'!C144,"")</f>
        <v/>
      </c>
      <c r="B144" s="98" t="str">
        <f>IF(A144="","",'41_Clasificacion_Empresas'!D144)</f>
        <v/>
      </c>
      <c r="C144" s="98" t="str">
        <f>IF(A144="","",IF('41_Clasificacion_Empresas'!F144="A","🟢 Oportunidad inmediata","🟡 Oportunidad interesante"))</f>
        <v/>
      </c>
      <c r="D144" s="123" t="str">
        <f>IF(A144="","",'41_Clasificacion_Empresas'!L144)</f>
        <v/>
      </c>
      <c r="E144" s="98" t="str">
        <f>IF(A144="","",'41_Clasificacion_Empresas'!M144)</f>
        <v/>
      </c>
      <c r="F144" s="122" t="str">
        <f t="shared" ca="1" si="8"/>
        <v/>
      </c>
      <c r="G144" s="98" t="str">
        <f>IF(A144="","",'41_Clasificacion_Empresas'!J144)</f>
        <v/>
      </c>
      <c r="H144" s="98" t="str">
        <f t="shared" si="9"/>
        <v/>
      </c>
      <c r="I144" s="98" t="str">
        <f>IF(A144="","",INDEX('40_Estudio_Empresas'!$X$3:$X$204,ROW()-4))</f>
        <v/>
      </c>
      <c r="J144" s="98" t="str">
        <f>IF(A144="","",'41_Clasificacion_Empresas'!G144)</f>
        <v/>
      </c>
      <c r="K144" s="98" t="str">
        <f>IF(A144="","",'41_Clasificacion_Empresas'!K144)</f>
        <v/>
      </c>
      <c r="L144" s="98" t="str">
        <f>IF(A144="","",IF('41_Clasificacion_Empresas'!F144="A","Alta","Media"))</f>
        <v/>
      </c>
      <c r="M144" s="98" t="str">
        <f>IF(A144="","",IF('41_Clasificacion_Empresas'!F144="A","Pasar a CRM y seguimiento","Mantener seguimiento y estudiar más"))</f>
        <v/>
      </c>
    </row>
    <row r="145" spans="1:13">
      <c r="A145" s="98" t="str">
        <f>IF(OR('41_Clasificacion_Empresas'!F145="A",'41_Clasificacion_Empresas'!F145="B"),'41_Clasificacion_Empresas'!C145,"")</f>
        <v/>
      </c>
      <c r="B145" s="98" t="str">
        <f>IF(A145="","",'41_Clasificacion_Empresas'!D145)</f>
        <v/>
      </c>
      <c r="C145" s="98" t="str">
        <f>IF(A145="","",IF('41_Clasificacion_Empresas'!F145="A","🟢 Oportunidad inmediata","🟡 Oportunidad interesante"))</f>
        <v/>
      </c>
      <c r="D145" s="123" t="str">
        <f>IF(A145="","",'41_Clasificacion_Empresas'!L145)</f>
        <v/>
      </c>
      <c r="E145" s="98" t="str">
        <f>IF(A145="","",'41_Clasificacion_Empresas'!M145)</f>
        <v/>
      </c>
      <c r="F145" s="122" t="str">
        <f t="shared" ca="1" si="8"/>
        <v/>
      </c>
      <c r="G145" s="98" t="str">
        <f>IF(A145="","",'41_Clasificacion_Empresas'!J145)</f>
        <v/>
      </c>
      <c r="H145" s="98" t="str">
        <f t="shared" si="9"/>
        <v/>
      </c>
      <c r="I145" s="98" t="str">
        <f>IF(A145="","",INDEX('40_Estudio_Empresas'!$X$3:$X$204,ROW()-4))</f>
        <v/>
      </c>
      <c r="J145" s="98" t="str">
        <f>IF(A145="","",'41_Clasificacion_Empresas'!G145)</f>
        <v/>
      </c>
      <c r="K145" s="98" t="str">
        <f>IF(A145="","",'41_Clasificacion_Empresas'!K145)</f>
        <v/>
      </c>
      <c r="L145" s="98" t="str">
        <f>IF(A145="","",IF('41_Clasificacion_Empresas'!F145="A","Alta","Media"))</f>
        <v/>
      </c>
      <c r="M145" s="98" t="str">
        <f>IF(A145="","",IF('41_Clasificacion_Empresas'!F145="A","Pasar a CRM y seguimiento","Mantener seguimiento y estudiar más"))</f>
        <v/>
      </c>
    </row>
    <row r="146" spans="1:13">
      <c r="A146" s="98" t="str">
        <f>IF(OR('41_Clasificacion_Empresas'!F146="A",'41_Clasificacion_Empresas'!F146="B"),'41_Clasificacion_Empresas'!C146,"")</f>
        <v/>
      </c>
      <c r="B146" s="98" t="str">
        <f>IF(A146="","",'41_Clasificacion_Empresas'!D146)</f>
        <v/>
      </c>
      <c r="C146" s="98" t="str">
        <f>IF(A146="","",IF('41_Clasificacion_Empresas'!F146="A","🟢 Oportunidad inmediata","🟡 Oportunidad interesante"))</f>
        <v/>
      </c>
      <c r="D146" s="123" t="str">
        <f>IF(A146="","",'41_Clasificacion_Empresas'!L146)</f>
        <v/>
      </c>
      <c r="E146" s="98" t="str">
        <f>IF(A146="","",'41_Clasificacion_Empresas'!M146)</f>
        <v/>
      </c>
      <c r="F146" s="122" t="str">
        <f t="shared" ca="1" si="8"/>
        <v/>
      </c>
      <c r="G146" s="98" t="str">
        <f>IF(A146="","",'41_Clasificacion_Empresas'!J146)</f>
        <v/>
      </c>
      <c r="H146" s="98" t="str">
        <f t="shared" si="9"/>
        <v/>
      </c>
      <c r="I146" s="98" t="str">
        <f>IF(A146="","",INDEX('40_Estudio_Empresas'!$X$3:$X$204,ROW()-4))</f>
        <v/>
      </c>
      <c r="J146" s="98" t="str">
        <f>IF(A146="","",'41_Clasificacion_Empresas'!G146)</f>
        <v/>
      </c>
      <c r="K146" s="98" t="str">
        <f>IF(A146="","",'41_Clasificacion_Empresas'!K146)</f>
        <v/>
      </c>
      <c r="L146" s="98" t="str">
        <f>IF(A146="","",IF('41_Clasificacion_Empresas'!F146="A","Alta","Media"))</f>
        <v/>
      </c>
      <c r="M146" s="98" t="str">
        <f>IF(A146="","",IF('41_Clasificacion_Empresas'!F146="A","Pasar a CRM y seguimiento","Mantener seguimiento y estudiar más"))</f>
        <v/>
      </c>
    </row>
    <row r="147" spans="1:13">
      <c r="A147" s="98" t="str">
        <f>IF(OR('41_Clasificacion_Empresas'!F147="A",'41_Clasificacion_Empresas'!F147="B"),'41_Clasificacion_Empresas'!C147,"")</f>
        <v/>
      </c>
      <c r="B147" s="98" t="str">
        <f>IF(A147="","",'41_Clasificacion_Empresas'!D147)</f>
        <v/>
      </c>
      <c r="C147" s="98" t="str">
        <f>IF(A147="","",IF('41_Clasificacion_Empresas'!F147="A","🟢 Oportunidad inmediata","🟡 Oportunidad interesante"))</f>
        <v/>
      </c>
      <c r="D147" s="123" t="str">
        <f>IF(A147="","",'41_Clasificacion_Empresas'!L147)</f>
        <v/>
      </c>
      <c r="E147" s="98" t="str">
        <f>IF(A147="","",'41_Clasificacion_Empresas'!M147)</f>
        <v/>
      </c>
      <c r="F147" s="122" t="str">
        <f t="shared" ca="1" si="8"/>
        <v/>
      </c>
      <c r="G147" s="98" t="str">
        <f>IF(A147="","",'41_Clasificacion_Empresas'!J147)</f>
        <v/>
      </c>
      <c r="H147" s="98" t="str">
        <f t="shared" si="9"/>
        <v/>
      </c>
      <c r="I147" s="98" t="str">
        <f>IF(A147="","",INDEX('40_Estudio_Empresas'!$X$3:$X$204,ROW()-4))</f>
        <v/>
      </c>
      <c r="J147" s="98" t="str">
        <f>IF(A147="","",'41_Clasificacion_Empresas'!G147)</f>
        <v/>
      </c>
      <c r="K147" s="98" t="str">
        <f>IF(A147="","",'41_Clasificacion_Empresas'!K147)</f>
        <v/>
      </c>
      <c r="L147" s="98" t="str">
        <f>IF(A147="","",IF('41_Clasificacion_Empresas'!F147="A","Alta","Media"))</f>
        <v/>
      </c>
      <c r="M147" s="98" t="str">
        <f>IF(A147="","",IF('41_Clasificacion_Empresas'!F147="A","Pasar a CRM y seguimiento","Mantener seguimiento y estudiar más"))</f>
        <v/>
      </c>
    </row>
    <row r="148" spans="1:13">
      <c r="A148" s="98" t="str">
        <f>IF(OR('41_Clasificacion_Empresas'!F148="A",'41_Clasificacion_Empresas'!F148="B"),'41_Clasificacion_Empresas'!C148,"")</f>
        <v/>
      </c>
      <c r="B148" s="98" t="str">
        <f>IF(A148="","",'41_Clasificacion_Empresas'!D148)</f>
        <v/>
      </c>
      <c r="C148" s="98" t="str">
        <f>IF(A148="","",IF('41_Clasificacion_Empresas'!F148="A","🟢 Oportunidad inmediata","🟡 Oportunidad interesante"))</f>
        <v/>
      </c>
      <c r="D148" s="123" t="str">
        <f>IF(A148="","",'41_Clasificacion_Empresas'!L148)</f>
        <v/>
      </c>
      <c r="E148" s="98" t="str">
        <f>IF(A148="","",'41_Clasificacion_Empresas'!M148)</f>
        <v/>
      </c>
      <c r="F148" s="122" t="str">
        <f t="shared" ca="1" si="8"/>
        <v/>
      </c>
      <c r="G148" s="98" t="str">
        <f>IF(A148="","",'41_Clasificacion_Empresas'!J148)</f>
        <v/>
      </c>
      <c r="H148" s="98" t="str">
        <f t="shared" si="9"/>
        <v/>
      </c>
      <c r="I148" s="98" t="str">
        <f>IF(A148="","",INDEX('40_Estudio_Empresas'!$X$3:$X$204,ROW()-4))</f>
        <v/>
      </c>
      <c r="J148" s="98" t="str">
        <f>IF(A148="","",'41_Clasificacion_Empresas'!G148)</f>
        <v/>
      </c>
      <c r="K148" s="98" t="str">
        <f>IF(A148="","",'41_Clasificacion_Empresas'!K148)</f>
        <v/>
      </c>
      <c r="L148" s="98" t="str">
        <f>IF(A148="","",IF('41_Clasificacion_Empresas'!F148="A","Alta","Media"))</f>
        <v/>
      </c>
      <c r="M148" s="98" t="str">
        <f>IF(A148="","",IF('41_Clasificacion_Empresas'!F148="A","Pasar a CRM y seguimiento","Mantener seguimiento y estudiar más"))</f>
        <v/>
      </c>
    </row>
    <row r="149" spans="1:13">
      <c r="A149" s="98" t="str">
        <f>IF(OR('41_Clasificacion_Empresas'!F149="A",'41_Clasificacion_Empresas'!F149="B"),'41_Clasificacion_Empresas'!C149,"")</f>
        <v/>
      </c>
      <c r="B149" s="98" t="str">
        <f>IF(A149="","",'41_Clasificacion_Empresas'!D149)</f>
        <v/>
      </c>
      <c r="C149" s="98" t="str">
        <f>IF(A149="","",IF('41_Clasificacion_Empresas'!F149="A","🟢 Oportunidad inmediata","🟡 Oportunidad interesante"))</f>
        <v/>
      </c>
      <c r="D149" s="123" t="str">
        <f>IF(A149="","",'41_Clasificacion_Empresas'!L149)</f>
        <v/>
      </c>
      <c r="E149" s="98" t="str">
        <f>IF(A149="","",'41_Clasificacion_Empresas'!M149)</f>
        <v/>
      </c>
      <c r="F149" s="122" t="str">
        <f t="shared" ca="1" si="8"/>
        <v/>
      </c>
      <c r="G149" s="98" t="str">
        <f>IF(A149="","",'41_Clasificacion_Empresas'!J149)</f>
        <v/>
      </c>
      <c r="H149" s="98" t="str">
        <f t="shared" si="9"/>
        <v/>
      </c>
      <c r="I149" s="98" t="str">
        <f>IF(A149="","",INDEX('40_Estudio_Empresas'!$X$3:$X$204,ROW()-4))</f>
        <v/>
      </c>
      <c r="J149" s="98" t="str">
        <f>IF(A149="","",'41_Clasificacion_Empresas'!G149)</f>
        <v/>
      </c>
      <c r="K149" s="98" t="str">
        <f>IF(A149="","",'41_Clasificacion_Empresas'!K149)</f>
        <v/>
      </c>
      <c r="L149" s="98" t="str">
        <f>IF(A149="","",IF('41_Clasificacion_Empresas'!F149="A","Alta","Media"))</f>
        <v/>
      </c>
      <c r="M149" s="98" t="str">
        <f>IF(A149="","",IF('41_Clasificacion_Empresas'!F149="A","Pasar a CRM y seguimiento","Mantener seguimiento y estudiar más"))</f>
        <v/>
      </c>
    </row>
    <row r="150" spans="1:13">
      <c r="A150" s="98" t="str">
        <f>IF(OR('41_Clasificacion_Empresas'!F150="A",'41_Clasificacion_Empresas'!F150="B"),'41_Clasificacion_Empresas'!C150,"")</f>
        <v/>
      </c>
      <c r="B150" s="98" t="str">
        <f>IF(A150="","",'41_Clasificacion_Empresas'!D150)</f>
        <v/>
      </c>
      <c r="C150" s="98" t="str">
        <f>IF(A150="","",IF('41_Clasificacion_Empresas'!F150="A","🟢 Oportunidad inmediata","🟡 Oportunidad interesante"))</f>
        <v/>
      </c>
      <c r="D150" s="123" t="str">
        <f>IF(A150="","",'41_Clasificacion_Empresas'!L150)</f>
        <v/>
      </c>
      <c r="E150" s="98" t="str">
        <f>IF(A150="","",'41_Clasificacion_Empresas'!M150)</f>
        <v/>
      </c>
      <c r="F150" s="122" t="str">
        <f t="shared" ca="1" si="8"/>
        <v/>
      </c>
      <c r="G150" s="98" t="str">
        <f>IF(A150="","",'41_Clasificacion_Empresas'!J150)</f>
        <v/>
      </c>
      <c r="H150" s="98" t="str">
        <f t="shared" si="9"/>
        <v/>
      </c>
      <c r="I150" s="98" t="str">
        <f>IF(A150="","",INDEX('40_Estudio_Empresas'!$X$3:$X$204,ROW()-4))</f>
        <v/>
      </c>
      <c r="J150" s="98" t="str">
        <f>IF(A150="","",'41_Clasificacion_Empresas'!G150)</f>
        <v/>
      </c>
      <c r="K150" s="98" t="str">
        <f>IF(A150="","",'41_Clasificacion_Empresas'!K150)</f>
        <v/>
      </c>
      <c r="L150" s="98" t="str">
        <f>IF(A150="","",IF('41_Clasificacion_Empresas'!F150="A","Alta","Media"))</f>
        <v/>
      </c>
      <c r="M150" s="98" t="str">
        <f>IF(A150="","",IF('41_Clasificacion_Empresas'!F150="A","Pasar a CRM y seguimiento","Mantener seguimiento y estudiar más"))</f>
        <v/>
      </c>
    </row>
    <row r="151" spans="1:13">
      <c r="A151" s="98" t="str">
        <f>IF(OR('41_Clasificacion_Empresas'!F151="A",'41_Clasificacion_Empresas'!F151="B"),'41_Clasificacion_Empresas'!C151,"")</f>
        <v/>
      </c>
      <c r="B151" s="98" t="str">
        <f>IF(A151="","",'41_Clasificacion_Empresas'!D151)</f>
        <v/>
      </c>
      <c r="C151" s="98" t="str">
        <f>IF(A151="","",IF('41_Clasificacion_Empresas'!F151="A","🟢 Oportunidad inmediata","🟡 Oportunidad interesante"))</f>
        <v/>
      </c>
      <c r="D151" s="123" t="str">
        <f>IF(A151="","",'41_Clasificacion_Empresas'!L151)</f>
        <v/>
      </c>
      <c r="E151" s="98" t="str">
        <f>IF(A151="","",'41_Clasificacion_Empresas'!M151)</f>
        <v/>
      </c>
      <c r="F151" s="122" t="str">
        <f t="shared" ca="1" si="8"/>
        <v/>
      </c>
      <c r="G151" s="98" t="str">
        <f>IF(A151="","",'41_Clasificacion_Empresas'!J151)</f>
        <v/>
      </c>
      <c r="H151" s="98" t="str">
        <f t="shared" si="9"/>
        <v/>
      </c>
      <c r="I151" s="98" t="str">
        <f>IF(A151="","",INDEX('40_Estudio_Empresas'!$X$3:$X$204,ROW()-4))</f>
        <v/>
      </c>
      <c r="J151" s="98" t="str">
        <f>IF(A151="","",'41_Clasificacion_Empresas'!G151)</f>
        <v/>
      </c>
      <c r="K151" s="98" t="str">
        <f>IF(A151="","",'41_Clasificacion_Empresas'!K151)</f>
        <v/>
      </c>
      <c r="L151" s="98" t="str">
        <f>IF(A151="","",IF('41_Clasificacion_Empresas'!F151="A","Alta","Media"))</f>
        <v/>
      </c>
      <c r="M151" s="98" t="str">
        <f>IF(A151="","",IF('41_Clasificacion_Empresas'!F151="A","Pasar a CRM y seguimiento","Mantener seguimiento y estudiar más"))</f>
        <v/>
      </c>
    </row>
    <row r="152" spans="1:13">
      <c r="A152" s="98" t="str">
        <f>IF(OR('41_Clasificacion_Empresas'!F152="A",'41_Clasificacion_Empresas'!F152="B"),'41_Clasificacion_Empresas'!C152,"")</f>
        <v/>
      </c>
      <c r="B152" s="98" t="str">
        <f>IF(A152="","",'41_Clasificacion_Empresas'!D152)</f>
        <v/>
      </c>
      <c r="C152" s="98" t="str">
        <f>IF(A152="","",IF('41_Clasificacion_Empresas'!F152="A","🟢 Oportunidad inmediata","🟡 Oportunidad interesante"))</f>
        <v/>
      </c>
      <c r="D152" s="123" t="str">
        <f>IF(A152="","",'41_Clasificacion_Empresas'!L152)</f>
        <v/>
      </c>
      <c r="E152" s="98" t="str">
        <f>IF(A152="","",'41_Clasificacion_Empresas'!M152)</f>
        <v/>
      </c>
      <c r="F152" s="122" t="str">
        <f t="shared" ca="1" si="8"/>
        <v/>
      </c>
      <c r="G152" s="98" t="str">
        <f>IF(A152="","",'41_Clasificacion_Empresas'!J152)</f>
        <v/>
      </c>
      <c r="H152" s="98" t="str">
        <f t="shared" si="9"/>
        <v/>
      </c>
      <c r="I152" s="98" t="str">
        <f>IF(A152="","",INDEX('40_Estudio_Empresas'!$X$3:$X$204,ROW()-4))</f>
        <v/>
      </c>
      <c r="J152" s="98" t="str">
        <f>IF(A152="","",'41_Clasificacion_Empresas'!G152)</f>
        <v/>
      </c>
      <c r="K152" s="98" t="str">
        <f>IF(A152="","",'41_Clasificacion_Empresas'!K152)</f>
        <v/>
      </c>
      <c r="L152" s="98" t="str">
        <f>IF(A152="","",IF('41_Clasificacion_Empresas'!F152="A","Alta","Media"))</f>
        <v/>
      </c>
      <c r="M152" s="98" t="str">
        <f>IF(A152="","",IF('41_Clasificacion_Empresas'!F152="A","Pasar a CRM y seguimiento","Mantener seguimiento y estudiar más"))</f>
        <v/>
      </c>
    </row>
    <row r="153" spans="1:13">
      <c r="A153" s="98" t="str">
        <f>IF(OR('41_Clasificacion_Empresas'!F153="A",'41_Clasificacion_Empresas'!F153="B"),'41_Clasificacion_Empresas'!C153,"")</f>
        <v/>
      </c>
      <c r="B153" s="98" t="str">
        <f>IF(A153="","",'41_Clasificacion_Empresas'!D153)</f>
        <v/>
      </c>
      <c r="C153" s="98" t="str">
        <f>IF(A153="","",IF('41_Clasificacion_Empresas'!F153="A","🟢 Oportunidad inmediata","🟡 Oportunidad interesante"))</f>
        <v/>
      </c>
      <c r="D153" s="123" t="str">
        <f>IF(A153="","",'41_Clasificacion_Empresas'!L153)</f>
        <v/>
      </c>
      <c r="E153" s="98" t="str">
        <f>IF(A153="","",'41_Clasificacion_Empresas'!M153)</f>
        <v/>
      </c>
      <c r="F153" s="122" t="str">
        <f t="shared" ca="1" si="8"/>
        <v/>
      </c>
      <c r="G153" s="98" t="str">
        <f>IF(A153="","",'41_Clasificacion_Empresas'!J153)</f>
        <v/>
      </c>
      <c r="H153" s="98" t="str">
        <f t="shared" si="9"/>
        <v/>
      </c>
      <c r="I153" s="98" t="str">
        <f>IF(A153="","",INDEX('40_Estudio_Empresas'!$X$3:$X$204,ROW()-4))</f>
        <v/>
      </c>
      <c r="J153" s="98" t="str">
        <f>IF(A153="","",'41_Clasificacion_Empresas'!G153)</f>
        <v/>
      </c>
      <c r="K153" s="98" t="str">
        <f>IF(A153="","",'41_Clasificacion_Empresas'!K153)</f>
        <v/>
      </c>
      <c r="L153" s="98" t="str">
        <f>IF(A153="","",IF('41_Clasificacion_Empresas'!F153="A","Alta","Media"))</f>
        <v/>
      </c>
      <c r="M153" s="98" t="str">
        <f>IF(A153="","",IF('41_Clasificacion_Empresas'!F153="A","Pasar a CRM y seguimiento","Mantener seguimiento y estudiar más"))</f>
        <v/>
      </c>
    </row>
    <row r="154" spans="1:13">
      <c r="A154" s="98" t="str">
        <f>IF(OR('41_Clasificacion_Empresas'!F154="A",'41_Clasificacion_Empresas'!F154="B"),'41_Clasificacion_Empresas'!C154,"")</f>
        <v/>
      </c>
      <c r="B154" s="98" t="str">
        <f>IF(A154="","",'41_Clasificacion_Empresas'!D154)</f>
        <v/>
      </c>
      <c r="C154" s="98" t="str">
        <f>IF(A154="","",IF('41_Clasificacion_Empresas'!F154="A","🟢 Oportunidad inmediata","🟡 Oportunidad interesante"))</f>
        <v/>
      </c>
      <c r="D154" s="123" t="str">
        <f>IF(A154="","",'41_Clasificacion_Empresas'!L154)</f>
        <v/>
      </c>
      <c r="E154" s="98" t="str">
        <f>IF(A154="","",'41_Clasificacion_Empresas'!M154)</f>
        <v/>
      </c>
      <c r="F154" s="122" t="str">
        <f t="shared" ca="1" si="8"/>
        <v/>
      </c>
      <c r="G154" s="98" t="str">
        <f>IF(A154="","",'41_Clasificacion_Empresas'!J154)</f>
        <v/>
      </c>
      <c r="H154" s="98" t="str">
        <f t="shared" si="9"/>
        <v/>
      </c>
      <c r="I154" s="98" t="str">
        <f>IF(A154="","",INDEX('40_Estudio_Empresas'!$X$3:$X$204,ROW()-4))</f>
        <v/>
      </c>
      <c r="J154" s="98" t="str">
        <f>IF(A154="","",'41_Clasificacion_Empresas'!G154)</f>
        <v/>
      </c>
      <c r="K154" s="98" t="str">
        <f>IF(A154="","",'41_Clasificacion_Empresas'!K154)</f>
        <v/>
      </c>
      <c r="L154" s="98" t="str">
        <f>IF(A154="","",IF('41_Clasificacion_Empresas'!F154="A","Alta","Media"))</f>
        <v/>
      </c>
      <c r="M154" s="98" t="str">
        <f>IF(A154="","",IF('41_Clasificacion_Empresas'!F154="A","Pasar a CRM y seguimiento","Mantener seguimiento y estudiar más"))</f>
        <v/>
      </c>
    </row>
    <row r="155" spans="1:13">
      <c r="A155" s="98" t="str">
        <f>IF(OR('41_Clasificacion_Empresas'!F155="A",'41_Clasificacion_Empresas'!F155="B"),'41_Clasificacion_Empresas'!C155,"")</f>
        <v/>
      </c>
      <c r="B155" s="98" t="str">
        <f>IF(A155="","",'41_Clasificacion_Empresas'!D155)</f>
        <v/>
      </c>
      <c r="C155" s="98" t="str">
        <f>IF(A155="","",IF('41_Clasificacion_Empresas'!F155="A","🟢 Oportunidad inmediata","🟡 Oportunidad interesante"))</f>
        <v/>
      </c>
      <c r="D155" s="123" t="str">
        <f>IF(A155="","",'41_Clasificacion_Empresas'!L155)</f>
        <v/>
      </c>
      <c r="E155" s="98" t="str">
        <f>IF(A155="","",'41_Clasificacion_Empresas'!M155)</f>
        <v/>
      </c>
      <c r="F155" s="122" t="str">
        <f t="shared" ca="1" si="8"/>
        <v/>
      </c>
      <c r="G155" s="98" t="str">
        <f>IF(A155="","",'41_Clasificacion_Empresas'!J155)</f>
        <v/>
      </c>
      <c r="H155" s="98" t="str">
        <f t="shared" si="9"/>
        <v/>
      </c>
      <c r="I155" s="98" t="str">
        <f>IF(A155="","",INDEX('40_Estudio_Empresas'!$X$3:$X$204,ROW()-4))</f>
        <v/>
      </c>
      <c r="J155" s="98" t="str">
        <f>IF(A155="","",'41_Clasificacion_Empresas'!G155)</f>
        <v/>
      </c>
      <c r="K155" s="98" t="str">
        <f>IF(A155="","",'41_Clasificacion_Empresas'!K155)</f>
        <v/>
      </c>
      <c r="L155" s="98" t="str">
        <f>IF(A155="","",IF('41_Clasificacion_Empresas'!F155="A","Alta","Media"))</f>
        <v/>
      </c>
      <c r="M155" s="98" t="str">
        <f>IF(A155="","",IF('41_Clasificacion_Empresas'!F155="A","Pasar a CRM y seguimiento","Mantener seguimiento y estudiar más"))</f>
        <v/>
      </c>
    </row>
    <row r="156" spans="1:13">
      <c r="A156" s="98" t="str">
        <f>IF(OR('41_Clasificacion_Empresas'!F156="A",'41_Clasificacion_Empresas'!F156="B"),'41_Clasificacion_Empresas'!C156,"")</f>
        <v/>
      </c>
      <c r="B156" s="98" t="str">
        <f>IF(A156="","",'41_Clasificacion_Empresas'!D156)</f>
        <v/>
      </c>
      <c r="C156" s="98" t="str">
        <f>IF(A156="","",IF('41_Clasificacion_Empresas'!F156="A","🟢 Oportunidad inmediata","🟡 Oportunidad interesante"))</f>
        <v/>
      </c>
      <c r="D156" s="123" t="str">
        <f>IF(A156="","",'41_Clasificacion_Empresas'!L156)</f>
        <v/>
      </c>
      <c r="E156" s="98" t="str">
        <f>IF(A156="","",'41_Clasificacion_Empresas'!M156)</f>
        <v/>
      </c>
      <c r="F156" s="122" t="str">
        <f t="shared" ca="1" si="8"/>
        <v/>
      </c>
      <c r="G156" s="98" t="str">
        <f>IF(A156="","",'41_Clasificacion_Empresas'!J156)</f>
        <v/>
      </c>
      <c r="H156" s="98" t="str">
        <f t="shared" si="9"/>
        <v/>
      </c>
      <c r="I156" s="98" t="str">
        <f>IF(A156="","",INDEX('40_Estudio_Empresas'!$X$3:$X$204,ROW()-4))</f>
        <v/>
      </c>
      <c r="J156" s="98" t="str">
        <f>IF(A156="","",'41_Clasificacion_Empresas'!G156)</f>
        <v/>
      </c>
      <c r="K156" s="98" t="str">
        <f>IF(A156="","",'41_Clasificacion_Empresas'!K156)</f>
        <v/>
      </c>
      <c r="L156" s="98" t="str">
        <f>IF(A156="","",IF('41_Clasificacion_Empresas'!F156="A","Alta","Media"))</f>
        <v/>
      </c>
      <c r="M156" s="98" t="str">
        <f>IF(A156="","",IF('41_Clasificacion_Empresas'!F156="A","Pasar a CRM y seguimiento","Mantener seguimiento y estudiar más"))</f>
        <v/>
      </c>
    </row>
    <row r="157" spans="1:13">
      <c r="A157" s="98" t="str">
        <f>IF(OR('41_Clasificacion_Empresas'!F157="A",'41_Clasificacion_Empresas'!F157="B"),'41_Clasificacion_Empresas'!C157,"")</f>
        <v/>
      </c>
      <c r="B157" s="98" t="str">
        <f>IF(A157="","",'41_Clasificacion_Empresas'!D157)</f>
        <v/>
      </c>
      <c r="C157" s="98" t="str">
        <f>IF(A157="","",IF('41_Clasificacion_Empresas'!F157="A","🟢 Oportunidad inmediata","🟡 Oportunidad interesante"))</f>
        <v/>
      </c>
      <c r="D157" s="123" t="str">
        <f>IF(A157="","",'41_Clasificacion_Empresas'!L157)</f>
        <v/>
      </c>
      <c r="E157" s="98" t="str">
        <f>IF(A157="","",'41_Clasificacion_Empresas'!M157)</f>
        <v/>
      </c>
      <c r="F157" s="122" t="str">
        <f t="shared" ca="1" si="8"/>
        <v/>
      </c>
      <c r="G157" s="98" t="str">
        <f>IF(A157="","",'41_Clasificacion_Empresas'!J157)</f>
        <v/>
      </c>
      <c r="H157" s="98" t="str">
        <f t="shared" si="9"/>
        <v/>
      </c>
      <c r="I157" s="98" t="str">
        <f>IF(A157="","",INDEX('40_Estudio_Empresas'!$X$3:$X$204,ROW()-4))</f>
        <v/>
      </c>
      <c r="J157" s="98" t="str">
        <f>IF(A157="","",'41_Clasificacion_Empresas'!G157)</f>
        <v/>
      </c>
      <c r="K157" s="98" t="str">
        <f>IF(A157="","",'41_Clasificacion_Empresas'!K157)</f>
        <v/>
      </c>
      <c r="L157" s="98" t="str">
        <f>IF(A157="","",IF('41_Clasificacion_Empresas'!F157="A","Alta","Media"))</f>
        <v/>
      </c>
      <c r="M157" s="98" t="str">
        <f>IF(A157="","",IF('41_Clasificacion_Empresas'!F157="A","Pasar a CRM y seguimiento","Mantener seguimiento y estudiar más"))</f>
        <v/>
      </c>
    </row>
    <row r="158" spans="1:13">
      <c r="A158" s="98" t="str">
        <f>IF(OR('41_Clasificacion_Empresas'!F158="A",'41_Clasificacion_Empresas'!F158="B"),'41_Clasificacion_Empresas'!C158,"")</f>
        <v/>
      </c>
      <c r="B158" s="98" t="str">
        <f>IF(A158="","",'41_Clasificacion_Empresas'!D158)</f>
        <v/>
      </c>
      <c r="C158" s="98" t="str">
        <f>IF(A158="","",IF('41_Clasificacion_Empresas'!F158="A","🟢 Oportunidad inmediata","🟡 Oportunidad interesante"))</f>
        <v/>
      </c>
      <c r="D158" s="123" t="str">
        <f>IF(A158="","",'41_Clasificacion_Empresas'!L158)</f>
        <v/>
      </c>
      <c r="E158" s="98" t="str">
        <f>IF(A158="","",'41_Clasificacion_Empresas'!M158)</f>
        <v/>
      </c>
      <c r="F158" s="122" t="str">
        <f t="shared" ca="1" si="8"/>
        <v/>
      </c>
      <c r="G158" s="98" t="str">
        <f>IF(A158="","",'41_Clasificacion_Empresas'!J158)</f>
        <v/>
      </c>
      <c r="H158" s="98" t="str">
        <f t="shared" si="9"/>
        <v/>
      </c>
      <c r="I158" s="98" t="str">
        <f>IF(A158="","",INDEX('40_Estudio_Empresas'!$X$3:$X$204,ROW()-4))</f>
        <v/>
      </c>
      <c r="J158" s="98" t="str">
        <f>IF(A158="","",'41_Clasificacion_Empresas'!G158)</f>
        <v/>
      </c>
      <c r="K158" s="98" t="str">
        <f>IF(A158="","",'41_Clasificacion_Empresas'!K158)</f>
        <v/>
      </c>
      <c r="L158" s="98" t="str">
        <f>IF(A158="","",IF('41_Clasificacion_Empresas'!F158="A","Alta","Media"))</f>
        <v/>
      </c>
      <c r="M158" s="98" t="str">
        <f>IF(A158="","",IF('41_Clasificacion_Empresas'!F158="A","Pasar a CRM y seguimiento","Mantener seguimiento y estudiar más"))</f>
        <v/>
      </c>
    </row>
    <row r="159" spans="1:13">
      <c r="A159" s="98" t="str">
        <f>IF(OR('41_Clasificacion_Empresas'!F159="A",'41_Clasificacion_Empresas'!F159="B"),'41_Clasificacion_Empresas'!C159,"")</f>
        <v/>
      </c>
      <c r="B159" s="98" t="str">
        <f>IF(A159="","",'41_Clasificacion_Empresas'!D159)</f>
        <v/>
      </c>
      <c r="C159" s="98" t="str">
        <f>IF(A159="","",IF('41_Clasificacion_Empresas'!F159="A","🟢 Oportunidad inmediata","🟡 Oportunidad interesante"))</f>
        <v/>
      </c>
      <c r="D159" s="123" t="str">
        <f>IF(A159="","",'41_Clasificacion_Empresas'!L159)</f>
        <v/>
      </c>
      <c r="E159" s="98" t="str">
        <f>IF(A159="","",'41_Clasificacion_Empresas'!M159)</f>
        <v/>
      </c>
      <c r="F159" s="122" t="str">
        <f t="shared" ca="1" si="8"/>
        <v/>
      </c>
      <c r="G159" s="98" t="str">
        <f>IF(A159="","",'41_Clasificacion_Empresas'!J159)</f>
        <v/>
      </c>
      <c r="H159" s="98" t="str">
        <f t="shared" si="9"/>
        <v/>
      </c>
      <c r="I159" s="98" t="str">
        <f>IF(A159="","",INDEX('40_Estudio_Empresas'!$X$3:$X$204,ROW()-4))</f>
        <v/>
      </c>
      <c r="J159" s="98" t="str">
        <f>IF(A159="","",'41_Clasificacion_Empresas'!G159)</f>
        <v/>
      </c>
      <c r="K159" s="98" t="str">
        <f>IF(A159="","",'41_Clasificacion_Empresas'!K159)</f>
        <v/>
      </c>
      <c r="L159" s="98" t="str">
        <f>IF(A159="","",IF('41_Clasificacion_Empresas'!F159="A","Alta","Media"))</f>
        <v/>
      </c>
      <c r="M159" s="98" t="str">
        <f>IF(A159="","",IF('41_Clasificacion_Empresas'!F159="A","Pasar a CRM y seguimiento","Mantener seguimiento y estudiar más"))</f>
        <v/>
      </c>
    </row>
    <row r="160" spans="1:13">
      <c r="A160" s="98" t="str">
        <f>IF(OR('41_Clasificacion_Empresas'!F160="A",'41_Clasificacion_Empresas'!F160="B"),'41_Clasificacion_Empresas'!C160,"")</f>
        <v/>
      </c>
      <c r="B160" s="98" t="str">
        <f>IF(A160="","",'41_Clasificacion_Empresas'!D160)</f>
        <v/>
      </c>
      <c r="C160" s="98" t="str">
        <f>IF(A160="","",IF('41_Clasificacion_Empresas'!F160="A","🟢 Oportunidad inmediata","🟡 Oportunidad interesante"))</f>
        <v/>
      </c>
      <c r="D160" s="123" t="str">
        <f>IF(A160="","",'41_Clasificacion_Empresas'!L160)</f>
        <v/>
      </c>
      <c r="E160" s="98" t="str">
        <f>IF(A160="","",'41_Clasificacion_Empresas'!M160)</f>
        <v/>
      </c>
      <c r="F160" s="122" t="str">
        <f t="shared" ca="1" si="8"/>
        <v/>
      </c>
      <c r="G160" s="98" t="str">
        <f>IF(A160="","",'41_Clasificacion_Empresas'!J160)</f>
        <v/>
      </c>
      <c r="H160" s="98" t="str">
        <f t="shared" si="9"/>
        <v/>
      </c>
      <c r="I160" s="98" t="str">
        <f>IF(A160="","",INDEX('40_Estudio_Empresas'!$X$3:$X$204,ROW()-4))</f>
        <v/>
      </c>
      <c r="J160" s="98" t="str">
        <f>IF(A160="","",'41_Clasificacion_Empresas'!G160)</f>
        <v/>
      </c>
      <c r="K160" s="98" t="str">
        <f>IF(A160="","",'41_Clasificacion_Empresas'!K160)</f>
        <v/>
      </c>
      <c r="L160" s="98" t="str">
        <f>IF(A160="","",IF('41_Clasificacion_Empresas'!F160="A","Alta","Media"))</f>
        <v/>
      </c>
      <c r="M160" s="98" t="str">
        <f>IF(A160="","",IF('41_Clasificacion_Empresas'!F160="A","Pasar a CRM y seguimiento","Mantener seguimiento y estudiar más"))</f>
        <v/>
      </c>
    </row>
    <row r="161" spans="1:13">
      <c r="A161" s="98" t="str">
        <f>IF(OR('41_Clasificacion_Empresas'!F161="A",'41_Clasificacion_Empresas'!F161="B"),'41_Clasificacion_Empresas'!C161,"")</f>
        <v/>
      </c>
      <c r="B161" s="98" t="str">
        <f>IF(A161="","",'41_Clasificacion_Empresas'!D161)</f>
        <v/>
      </c>
      <c r="C161" s="98" t="str">
        <f>IF(A161="","",IF('41_Clasificacion_Empresas'!F161="A","🟢 Oportunidad inmediata","🟡 Oportunidad interesante"))</f>
        <v/>
      </c>
      <c r="D161" s="123" t="str">
        <f>IF(A161="","",'41_Clasificacion_Empresas'!L161)</f>
        <v/>
      </c>
      <c r="E161" s="98" t="str">
        <f>IF(A161="","",'41_Clasificacion_Empresas'!M161)</f>
        <v/>
      </c>
      <c r="F161" s="122" t="str">
        <f t="shared" ca="1" si="8"/>
        <v/>
      </c>
      <c r="G161" s="98" t="str">
        <f>IF(A161="","",'41_Clasificacion_Empresas'!J161)</f>
        <v/>
      </c>
      <c r="H161" s="98" t="str">
        <f t="shared" si="9"/>
        <v/>
      </c>
      <c r="I161" s="98" t="str">
        <f>IF(A161="","",INDEX('40_Estudio_Empresas'!$X$3:$X$204,ROW()-4))</f>
        <v/>
      </c>
      <c r="J161" s="98" t="str">
        <f>IF(A161="","",'41_Clasificacion_Empresas'!G161)</f>
        <v/>
      </c>
      <c r="K161" s="98" t="str">
        <f>IF(A161="","",'41_Clasificacion_Empresas'!K161)</f>
        <v/>
      </c>
      <c r="L161" s="98" t="str">
        <f>IF(A161="","",IF('41_Clasificacion_Empresas'!F161="A","Alta","Media"))</f>
        <v/>
      </c>
      <c r="M161" s="98" t="str">
        <f>IF(A161="","",IF('41_Clasificacion_Empresas'!F161="A","Pasar a CRM y seguimiento","Mantener seguimiento y estudiar más"))</f>
        <v/>
      </c>
    </row>
    <row r="162" spans="1:13">
      <c r="A162" s="98" t="str">
        <f>IF(OR('41_Clasificacion_Empresas'!F162="A",'41_Clasificacion_Empresas'!F162="B"),'41_Clasificacion_Empresas'!C162,"")</f>
        <v/>
      </c>
      <c r="B162" s="98" t="str">
        <f>IF(A162="","",'41_Clasificacion_Empresas'!D162)</f>
        <v/>
      </c>
      <c r="C162" s="98" t="str">
        <f>IF(A162="","",IF('41_Clasificacion_Empresas'!F162="A","🟢 Oportunidad inmediata","🟡 Oportunidad interesante"))</f>
        <v/>
      </c>
      <c r="D162" s="123" t="str">
        <f>IF(A162="","",'41_Clasificacion_Empresas'!L162)</f>
        <v/>
      </c>
      <c r="E162" s="98" t="str">
        <f>IF(A162="","",'41_Clasificacion_Empresas'!M162)</f>
        <v/>
      </c>
      <c r="F162" s="122" t="str">
        <f t="shared" ca="1" si="8"/>
        <v/>
      </c>
      <c r="G162" s="98" t="str">
        <f>IF(A162="","",'41_Clasificacion_Empresas'!J162)</f>
        <v/>
      </c>
      <c r="H162" s="98" t="str">
        <f t="shared" si="9"/>
        <v/>
      </c>
      <c r="I162" s="98" t="str">
        <f>IF(A162="","",INDEX('40_Estudio_Empresas'!$X$3:$X$204,ROW()-4))</f>
        <v/>
      </c>
      <c r="J162" s="98" t="str">
        <f>IF(A162="","",'41_Clasificacion_Empresas'!G162)</f>
        <v/>
      </c>
      <c r="K162" s="98" t="str">
        <f>IF(A162="","",'41_Clasificacion_Empresas'!K162)</f>
        <v/>
      </c>
      <c r="L162" s="98" t="str">
        <f>IF(A162="","",IF('41_Clasificacion_Empresas'!F162="A","Alta","Media"))</f>
        <v/>
      </c>
      <c r="M162" s="98" t="str">
        <f>IF(A162="","",IF('41_Clasificacion_Empresas'!F162="A","Pasar a CRM y seguimiento","Mantener seguimiento y estudiar más"))</f>
        <v/>
      </c>
    </row>
    <row r="163" spans="1:13">
      <c r="A163" s="98" t="str">
        <f>IF(OR('41_Clasificacion_Empresas'!F163="A",'41_Clasificacion_Empresas'!F163="B"),'41_Clasificacion_Empresas'!C163,"")</f>
        <v/>
      </c>
      <c r="B163" s="98" t="str">
        <f>IF(A163="","",'41_Clasificacion_Empresas'!D163)</f>
        <v/>
      </c>
      <c r="C163" s="98" t="str">
        <f>IF(A163="","",IF('41_Clasificacion_Empresas'!F163="A","🟢 Oportunidad inmediata","🟡 Oportunidad interesante"))</f>
        <v/>
      </c>
      <c r="D163" s="123" t="str">
        <f>IF(A163="","",'41_Clasificacion_Empresas'!L163)</f>
        <v/>
      </c>
      <c r="E163" s="98" t="str">
        <f>IF(A163="","",'41_Clasificacion_Empresas'!M163)</f>
        <v/>
      </c>
      <c r="F163" s="122" t="str">
        <f t="shared" ca="1" si="8"/>
        <v/>
      </c>
      <c r="G163" s="98" t="str">
        <f>IF(A163="","",'41_Clasificacion_Empresas'!J163)</f>
        <v/>
      </c>
      <c r="H163" s="98" t="str">
        <f t="shared" si="9"/>
        <v/>
      </c>
      <c r="I163" s="98" t="str">
        <f>IF(A163="","",INDEX('40_Estudio_Empresas'!$X$3:$X$204,ROW()-4))</f>
        <v/>
      </c>
      <c r="J163" s="98" t="str">
        <f>IF(A163="","",'41_Clasificacion_Empresas'!G163)</f>
        <v/>
      </c>
      <c r="K163" s="98" t="str">
        <f>IF(A163="","",'41_Clasificacion_Empresas'!K163)</f>
        <v/>
      </c>
      <c r="L163" s="98" t="str">
        <f>IF(A163="","",IF('41_Clasificacion_Empresas'!F163="A","Alta","Media"))</f>
        <v/>
      </c>
      <c r="M163" s="98" t="str">
        <f>IF(A163="","",IF('41_Clasificacion_Empresas'!F163="A","Pasar a CRM y seguimiento","Mantener seguimiento y estudiar más"))</f>
        <v/>
      </c>
    </row>
    <row r="164" spans="1:13">
      <c r="A164" s="98" t="str">
        <f>IF(OR('41_Clasificacion_Empresas'!F164="A",'41_Clasificacion_Empresas'!F164="B"),'41_Clasificacion_Empresas'!C164,"")</f>
        <v/>
      </c>
      <c r="B164" s="98" t="str">
        <f>IF(A164="","",'41_Clasificacion_Empresas'!D164)</f>
        <v/>
      </c>
      <c r="C164" s="98" t="str">
        <f>IF(A164="","",IF('41_Clasificacion_Empresas'!F164="A","🟢 Oportunidad inmediata","🟡 Oportunidad interesante"))</f>
        <v/>
      </c>
      <c r="D164" s="123" t="str">
        <f>IF(A164="","",'41_Clasificacion_Empresas'!L164)</f>
        <v/>
      </c>
      <c r="E164" s="98" t="str">
        <f>IF(A164="","",'41_Clasificacion_Empresas'!M164)</f>
        <v/>
      </c>
      <c r="F164" s="122" t="str">
        <f t="shared" ca="1" si="8"/>
        <v/>
      </c>
      <c r="G164" s="98" t="str">
        <f>IF(A164="","",'41_Clasificacion_Empresas'!J164)</f>
        <v/>
      </c>
      <c r="H164" s="98" t="str">
        <f t="shared" si="9"/>
        <v/>
      </c>
      <c r="I164" s="98" t="str">
        <f>IF(A164="","",INDEX('40_Estudio_Empresas'!$X$3:$X$204,ROW()-4))</f>
        <v/>
      </c>
      <c r="J164" s="98" t="str">
        <f>IF(A164="","",'41_Clasificacion_Empresas'!G164)</f>
        <v/>
      </c>
      <c r="K164" s="98" t="str">
        <f>IF(A164="","",'41_Clasificacion_Empresas'!K164)</f>
        <v/>
      </c>
      <c r="L164" s="98" t="str">
        <f>IF(A164="","",IF('41_Clasificacion_Empresas'!F164="A","Alta","Media"))</f>
        <v/>
      </c>
      <c r="M164" s="98" t="str">
        <f>IF(A164="","",IF('41_Clasificacion_Empresas'!F164="A","Pasar a CRM y seguimiento","Mantener seguimiento y estudiar más"))</f>
        <v/>
      </c>
    </row>
    <row r="165" spans="1:13">
      <c r="A165" s="98" t="str">
        <f>IF(OR('41_Clasificacion_Empresas'!F165="A",'41_Clasificacion_Empresas'!F165="B"),'41_Clasificacion_Empresas'!C165,"")</f>
        <v/>
      </c>
      <c r="B165" s="98" t="str">
        <f>IF(A165="","",'41_Clasificacion_Empresas'!D165)</f>
        <v/>
      </c>
      <c r="C165" s="98" t="str">
        <f>IF(A165="","",IF('41_Clasificacion_Empresas'!F165="A","🟢 Oportunidad inmediata","🟡 Oportunidad interesante"))</f>
        <v/>
      </c>
      <c r="D165" s="123" t="str">
        <f>IF(A165="","",'41_Clasificacion_Empresas'!L165)</f>
        <v/>
      </c>
      <c r="E165" s="98" t="str">
        <f>IF(A165="","",'41_Clasificacion_Empresas'!M165)</f>
        <v/>
      </c>
      <c r="F165" s="122" t="str">
        <f t="shared" ref="F165:F196" ca="1" si="10">IF(A165="","",TODAY()+7)</f>
        <v/>
      </c>
      <c r="G165" s="98" t="str">
        <f>IF(A165="","",'41_Clasificacion_Empresas'!J165)</f>
        <v/>
      </c>
      <c r="H165" s="98" t="str">
        <f t="shared" ref="H165:H196" si="11">IF(A165="","","40_Estudio_Empresas → 41_Clasificacion")</f>
        <v/>
      </c>
      <c r="I165" s="98" t="str">
        <f>IF(A165="","",INDEX('40_Estudio_Empresas'!$X$3:$X$204,ROW()-4))</f>
        <v/>
      </c>
      <c r="J165" s="98" t="str">
        <f>IF(A165="","",'41_Clasificacion_Empresas'!G165)</f>
        <v/>
      </c>
      <c r="K165" s="98" t="str">
        <f>IF(A165="","",'41_Clasificacion_Empresas'!K165)</f>
        <v/>
      </c>
      <c r="L165" s="98" t="str">
        <f>IF(A165="","",IF('41_Clasificacion_Empresas'!F165="A","Alta","Media"))</f>
        <v/>
      </c>
      <c r="M165" s="98" t="str">
        <f>IF(A165="","",IF('41_Clasificacion_Empresas'!F165="A","Pasar a CRM y seguimiento","Mantener seguimiento y estudiar más"))</f>
        <v/>
      </c>
    </row>
    <row r="166" spans="1:13">
      <c r="A166" s="98" t="str">
        <f>IF(OR('41_Clasificacion_Empresas'!F166="A",'41_Clasificacion_Empresas'!F166="B"),'41_Clasificacion_Empresas'!C166,"")</f>
        <v/>
      </c>
      <c r="B166" s="98" t="str">
        <f>IF(A166="","",'41_Clasificacion_Empresas'!D166)</f>
        <v/>
      </c>
      <c r="C166" s="98" t="str">
        <f>IF(A166="","",IF('41_Clasificacion_Empresas'!F166="A","🟢 Oportunidad inmediata","🟡 Oportunidad interesante"))</f>
        <v/>
      </c>
      <c r="D166" s="123" t="str">
        <f>IF(A166="","",'41_Clasificacion_Empresas'!L166)</f>
        <v/>
      </c>
      <c r="E166" s="98" t="str">
        <f>IF(A166="","",'41_Clasificacion_Empresas'!M166)</f>
        <v/>
      </c>
      <c r="F166" s="122" t="str">
        <f t="shared" ca="1" si="10"/>
        <v/>
      </c>
      <c r="G166" s="98" t="str">
        <f>IF(A166="","",'41_Clasificacion_Empresas'!J166)</f>
        <v/>
      </c>
      <c r="H166" s="98" t="str">
        <f t="shared" si="11"/>
        <v/>
      </c>
      <c r="I166" s="98" t="str">
        <f>IF(A166="","",INDEX('40_Estudio_Empresas'!$X$3:$X$204,ROW()-4))</f>
        <v/>
      </c>
      <c r="J166" s="98" t="str">
        <f>IF(A166="","",'41_Clasificacion_Empresas'!G166)</f>
        <v/>
      </c>
      <c r="K166" s="98" t="str">
        <f>IF(A166="","",'41_Clasificacion_Empresas'!K166)</f>
        <v/>
      </c>
      <c r="L166" s="98" t="str">
        <f>IF(A166="","",IF('41_Clasificacion_Empresas'!F166="A","Alta","Media"))</f>
        <v/>
      </c>
      <c r="M166" s="98" t="str">
        <f>IF(A166="","",IF('41_Clasificacion_Empresas'!F166="A","Pasar a CRM y seguimiento","Mantener seguimiento y estudiar más"))</f>
        <v/>
      </c>
    </row>
    <row r="167" spans="1:13">
      <c r="A167" s="98" t="str">
        <f>IF(OR('41_Clasificacion_Empresas'!F167="A",'41_Clasificacion_Empresas'!F167="B"),'41_Clasificacion_Empresas'!C167,"")</f>
        <v/>
      </c>
      <c r="B167" s="98" t="str">
        <f>IF(A167="","",'41_Clasificacion_Empresas'!D167)</f>
        <v/>
      </c>
      <c r="C167" s="98" t="str">
        <f>IF(A167="","",IF('41_Clasificacion_Empresas'!F167="A","🟢 Oportunidad inmediata","🟡 Oportunidad interesante"))</f>
        <v/>
      </c>
      <c r="D167" s="123" t="str">
        <f>IF(A167="","",'41_Clasificacion_Empresas'!L167)</f>
        <v/>
      </c>
      <c r="E167" s="98" t="str">
        <f>IF(A167="","",'41_Clasificacion_Empresas'!M167)</f>
        <v/>
      </c>
      <c r="F167" s="122" t="str">
        <f t="shared" ca="1" si="10"/>
        <v/>
      </c>
      <c r="G167" s="98" t="str">
        <f>IF(A167="","",'41_Clasificacion_Empresas'!J167)</f>
        <v/>
      </c>
      <c r="H167" s="98" t="str">
        <f t="shared" si="11"/>
        <v/>
      </c>
      <c r="I167" s="98" t="str">
        <f>IF(A167="","",INDEX('40_Estudio_Empresas'!$X$3:$X$204,ROW()-4))</f>
        <v/>
      </c>
      <c r="J167" s="98" t="str">
        <f>IF(A167="","",'41_Clasificacion_Empresas'!G167)</f>
        <v/>
      </c>
      <c r="K167" s="98" t="str">
        <f>IF(A167="","",'41_Clasificacion_Empresas'!K167)</f>
        <v/>
      </c>
      <c r="L167" s="98" t="str">
        <f>IF(A167="","",IF('41_Clasificacion_Empresas'!F167="A","Alta","Media"))</f>
        <v/>
      </c>
      <c r="M167" s="98" t="str">
        <f>IF(A167="","",IF('41_Clasificacion_Empresas'!F167="A","Pasar a CRM y seguimiento","Mantener seguimiento y estudiar más"))</f>
        <v/>
      </c>
    </row>
    <row r="168" spans="1:13">
      <c r="A168" s="98" t="str">
        <f>IF(OR('41_Clasificacion_Empresas'!F168="A",'41_Clasificacion_Empresas'!F168="B"),'41_Clasificacion_Empresas'!C168,"")</f>
        <v/>
      </c>
      <c r="B168" s="98" t="str">
        <f>IF(A168="","",'41_Clasificacion_Empresas'!D168)</f>
        <v/>
      </c>
      <c r="C168" s="98" t="str">
        <f>IF(A168="","",IF('41_Clasificacion_Empresas'!F168="A","🟢 Oportunidad inmediata","🟡 Oportunidad interesante"))</f>
        <v/>
      </c>
      <c r="D168" s="123" t="str">
        <f>IF(A168="","",'41_Clasificacion_Empresas'!L168)</f>
        <v/>
      </c>
      <c r="E168" s="98" t="str">
        <f>IF(A168="","",'41_Clasificacion_Empresas'!M168)</f>
        <v/>
      </c>
      <c r="F168" s="122" t="str">
        <f t="shared" ca="1" si="10"/>
        <v/>
      </c>
      <c r="G168" s="98" t="str">
        <f>IF(A168="","",'41_Clasificacion_Empresas'!J168)</f>
        <v/>
      </c>
      <c r="H168" s="98" t="str">
        <f t="shared" si="11"/>
        <v/>
      </c>
      <c r="I168" s="98" t="str">
        <f>IF(A168="","",INDEX('40_Estudio_Empresas'!$X$3:$X$204,ROW()-4))</f>
        <v/>
      </c>
      <c r="J168" s="98" t="str">
        <f>IF(A168="","",'41_Clasificacion_Empresas'!G168)</f>
        <v/>
      </c>
      <c r="K168" s="98" t="str">
        <f>IF(A168="","",'41_Clasificacion_Empresas'!K168)</f>
        <v/>
      </c>
      <c r="L168" s="98" t="str">
        <f>IF(A168="","",IF('41_Clasificacion_Empresas'!F168="A","Alta","Media"))</f>
        <v/>
      </c>
      <c r="M168" s="98" t="str">
        <f>IF(A168="","",IF('41_Clasificacion_Empresas'!F168="A","Pasar a CRM y seguimiento","Mantener seguimiento y estudiar más"))</f>
        <v/>
      </c>
    </row>
    <row r="169" spans="1:13">
      <c r="A169" s="98" t="str">
        <f>IF(OR('41_Clasificacion_Empresas'!F169="A",'41_Clasificacion_Empresas'!F169="B"),'41_Clasificacion_Empresas'!C169,"")</f>
        <v/>
      </c>
      <c r="B169" s="98" t="str">
        <f>IF(A169="","",'41_Clasificacion_Empresas'!D169)</f>
        <v/>
      </c>
      <c r="C169" s="98" t="str">
        <f>IF(A169="","",IF('41_Clasificacion_Empresas'!F169="A","🟢 Oportunidad inmediata","🟡 Oportunidad interesante"))</f>
        <v/>
      </c>
      <c r="D169" s="123" t="str">
        <f>IF(A169="","",'41_Clasificacion_Empresas'!L169)</f>
        <v/>
      </c>
      <c r="E169" s="98" t="str">
        <f>IF(A169="","",'41_Clasificacion_Empresas'!M169)</f>
        <v/>
      </c>
      <c r="F169" s="122" t="str">
        <f t="shared" ca="1" si="10"/>
        <v/>
      </c>
      <c r="G169" s="98" t="str">
        <f>IF(A169="","",'41_Clasificacion_Empresas'!J169)</f>
        <v/>
      </c>
      <c r="H169" s="98" t="str">
        <f t="shared" si="11"/>
        <v/>
      </c>
      <c r="I169" s="98" t="str">
        <f>IF(A169="","",INDEX('40_Estudio_Empresas'!$X$3:$X$204,ROW()-4))</f>
        <v/>
      </c>
      <c r="J169" s="98" t="str">
        <f>IF(A169="","",'41_Clasificacion_Empresas'!G169)</f>
        <v/>
      </c>
      <c r="K169" s="98" t="str">
        <f>IF(A169="","",'41_Clasificacion_Empresas'!K169)</f>
        <v/>
      </c>
      <c r="L169" s="98" t="str">
        <f>IF(A169="","",IF('41_Clasificacion_Empresas'!F169="A","Alta","Media"))</f>
        <v/>
      </c>
      <c r="M169" s="98" t="str">
        <f>IF(A169="","",IF('41_Clasificacion_Empresas'!F169="A","Pasar a CRM y seguimiento","Mantener seguimiento y estudiar más"))</f>
        <v/>
      </c>
    </row>
    <row r="170" spans="1:13">
      <c r="A170" s="98" t="str">
        <f>IF(OR('41_Clasificacion_Empresas'!F170="A",'41_Clasificacion_Empresas'!F170="B"),'41_Clasificacion_Empresas'!C170,"")</f>
        <v/>
      </c>
      <c r="B170" s="98" t="str">
        <f>IF(A170="","",'41_Clasificacion_Empresas'!D170)</f>
        <v/>
      </c>
      <c r="C170" s="98" t="str">
        <f>IF(A170="","",IF('41_Clasificacion_Empresas'!F170="A","🟢 Oportunidad inmediata","🟡 Oportunidad interesante"))</f>
        <v/>
      </c>
      <c r="D170" s="123" t="str">
        <f>IF(A170="","",'41_Clasificacion_Empresas'!L170)</f>
        <v/>
      </c>
      <c r="E170" s="98" t="str">
        <f>IF(A170="","",'41_Clasificacion_Empresas'!M170)</f>
        <v/>
      </c>
      <c r="F170" s="122" t="str">
        <f t="shared" ca="1" si="10"/>
        <v/>
      </c>
      <c r="G170" s="98" t="str">
        <f>IF(A170="","",'41_Clasificacion_Empresas'!J170)</f>
        <v/>
      </c>
      <c r="H170" s="98" t="str">
        <f t="shared" si="11"/>
        <v/>
      </c>
      <c r="I170" s="98" t="str">
        <f>IF(A170="","",INDEX('40_Estudio_Empresas'!$X$3:$X$204,ROW()-4))</f>
        <v/>
      </c>
      <c r="J170" s="98" t="str">
        <f>IF(A170="","",'41_Clasificacion_Empresas'!G170)</f>
        <v/>
      </c>
      <c r="K170" s="98" t="str">
        <f>IF(A170="","",'41_Clasificacion_Empresas'!K170)</f>
        <v/>
      </c>
      <c r="L170" s="98" t="str">
        <f>IF(A170="","",IF('41_Clasificacion_Empresas'!F170="A","Alta","Media"))</f>
        <v/>
      </c>
      <c r="M170" s="98" t="str">
        <f>IF(A170="","",IF('41_Clasificacion_Empresas'!F170="A","Pasar a CRM y seguimiento","Mantener seguimiento y estudiar más"))</f>
        <v/>
      </c>
    </row>
    <row r="171" spans="1:13">
      <c r="A171" s="98" t="str">
        <f>IF(OR('41_Clasificacion_Empresas'!F171="A",'41_Clasificacion_Empresas'!F171="B"),'41_Clasificacion_Empresas'!C171,"")</f>
        <v/>
      </c>
      <c r="B171" s="98" t="str">
        <f>IF(A171="","",'41_Clasificacion_Empresas'!D171)</f>
        <v/>
      </c>
      <c r="C171" s="98" t="str">
        <f>IF(A171="","",IF('41_Clasificacion_Empresas'!F171="A","🟢 Oportunidad inmediata","🟡 Oportunidad interesante"))</f>
        <v/>
      </c>
      <c r="D171" s="123" t="str">
        <f>IF(A171="","",'41_Clasificacion_Empresas'!L171)</f>
        <v/>
      </c>
      <c r="E171" s="98" t="str">
        <f>IF(A171="","",'41_Clasificacion_Empresas'!M171)</f>
        <v/>
      </c>
      <c r="F171" s="122" t="str">
        <f t="shared" ca="1" si="10"/>
        <v/>
      </c>
      <c r="G171" s="98" t="str">
        <f>IF(A171="","",'41_Clasificacion_Empresas'!J171)</f>
        <v/>
      </c>
      <c r="H171" s="98" t="str">
        <f t="shared" si="11"/>
        <v/>
      </c>
      <c r="I171" s="98" t="str">
        <f>IF(A171="","",INDEX('40_Estudio_Empresas'!$X$3:$X$204,ROW()-4))</f>
        <v/>
      </c>
      <c r="J171" s="98" t="str">
        <f>IF(A171="","",'41_Clasificacion_Empresas'!G171)</f>
        <v/>
      </c>
      <c r="K171" s="98" t="str">
        <f>IF(A171="","",'41_Clasificacion_Empresas'!K171)</f>
        <v/>
      </c>
      <c r="L171" s="98" t="str">
        <f>IF(A171="","",IF('41_Clasificacion_Empresas'!F171="A","Alta","Media"))</f>
        <v/>
      </c>
      <c r="M171" s="98" t="str">
        <f>IF(A171="","",IF('41_Clasificacion_Empresas'!F171="A","Pasar a CRM y seguimiento","Mantener seguimiento y estudiar más"))</f>
        <v/>
      </c>
    </row>
    <row r="172" spans="1:13">
      <c r="A172" s="98" t="str">
        <f>IF(OR('41_Clasificacion_Empresas'!F172="A",'41_Clasificacion_Empresas'!F172="B"),'41_Clasificacion_Empresas'!C172,"")</f>
        <v/>
      </c>
      <c r="B172" s="98" t="str">
        <f>IF(A172="","",'41_Clasificacion_Empresas'!D172)</f>
        <v/>
      </c>
      <c r="C172" s="98" t="str">
        <f>IF(A172="","",IF('41_Clasificacion_Empresas'!F172="A","🟢 Oportunidad inmediata","🟡 Oportunidad interesante"))</f>
        <v/>
      </c>
      <c r="D172" s="123" t="str">
        <f>IF(A172="","",'41_Clasificacion_Empresas'!L172)</f>
        <v/>
      </c>
      <c r="E172" s="98" t="str">
        <f>IF(A172="","",'41_Clasificacion_Empresas'!M172)</f>
        <v/>
      </c>
      <c r="F172" s="122" t="str">
        <f t="shared" ca="1" si="10"/>
        <v/>
      </c>
      <c r="G172" s="98" t="str">
        <f>IF(A172="","",'41_Clasificacion_Empresas'!J172)</f>
        <v/>
      </c>
      <c r="H172" s="98" t="str">
        <f t="shared" si="11"/>
        <v/>
      </c>
      <c r="I172" s="98" t="str">
        <f>IF(A172="","",INDEX('40_Estudio_Empresas'!$X$3:$X$204,ROW()-4))</f>
        <v/>
      </c>
      <c r="J172" s="98" t="str">
        <f>IF(A172="","",'41_Clasificacion_Empresas'!G172)</f>
        <v/>
      </c>
      <c r="K172" s="98" t="str">
        <f>IF(A172="","",'41_Clasificacion_Empresas'!K172)</f>
        <v/>
      </c>
      <c r="L172" s="98" t="str">
        <f>IF(A172="","",IF('41_Clasificacion_Empresas'!F172="A","Alta","Media"))</f>
        <v/>
      </c>
      <c r="M172" s="98" t="str">
        <f>IF(A172="","",IF('41_Clasificacion_Empresas'!F172="A","Pasar a CRM y seguimiento","Mantener seguimiento y estudiar más"))</f>
        <v/>
      </c>
    </row>
    <row r="173" spans="1:13">
      <c r="A173" s="98" t="str">
        <f>IF(OR('41_Clasificacion_Empresas'!F173="A",'41_Clasificacion_Empresas'!F173="B"),'41_Clasificacion_Empresas'!C173,"")</f>
        <v/>
      </c>
      <c r="B173" s="98" t="str">
        <f>IF(A173="","",'41_Clasificacion_Empresas'!D173)</f>
        <v/>
      </c>
      <c r="C173" s="98" t="str">
        <f>IF(A173="","",IF('41_Clasificacion_Empresas'!F173="A","🟢 Oportunidad inmediata","🟡 Oportunidad interesante"))</f>
        <v/>
      </c>
      <c r="D173" s="123" t="str">
        <f>IF(A173="","",'41_Clasificacion_Empresas'!L173)</f>
        <v/>
      </c>
      <c r="E173" s="98" t="str">
        <f>IF(A173="","",'41_Clasificacion_Empresas'!M173)</f>
        <v/>
      </c>
      <c r="F173" s="122" t="str">
        <f t="shared" ca="1" si="10"/>
        <v/>
      </c>
      <c r="G173" s="98" t="str">
        <f>IF(A173="","",'41_Clasificacion_Empresas'!J173)</f>
        <v/>
      </c>
      <c r="H173" s="98" t="str">
        <f t="shared" si="11"/>
        <v/>
      </c>
      <c r="I173" s="98" t="str">
        <f>IF(A173="","",INDEX('40_Estudio_Empresas'!$X$3:$X$204,ROW()-4))</f>
        <v/>
      </c>
      <c r="J173" s="98" t="str">
        <f>IF(A173="","",'41_Clasificacion_Empresas'!G173)</f>
        <v/>
      </c>
      <c r="K173" s="98" t="str">
        <f>IF(A173="","",'41_Clasificacion_Empresas'!K173)</f>
        <v/>
      </c>
      <c r="L173" s="98" t="str">
        <f>IF(A173="","",IF('41_Clasificacion_Empresas'!F173="A","Alta","Media"))</f>
        <v/>
      </c>
      <c r="M173" s="98" t="str">
        <f>IF(A173="","",IF('41_Clasificacion_Empresas'!F173="A","Pasar a CRM y seguimiento","Mantener seguimiento y estudiar más"))</f>
        <v/>
      </c>
    </row>
    <row r="174" spans="1:13">
      <c r="A174" s="98" t="str">
        <f>IF(OR('41_Clasificacion_Empresas'!F174="A",'41_Clasificacion_Empresas'!F174="B"),'41_Clasificacion_Empresas'!C174,"")</f>
        <v/>
      </c>
      <c r="B174" s="98" t="str">
        <f>IF(A174="","",'41_Clasificacion_Empresas'!D174)</f>
        <v/>
      </c>
      <c r="C174" s="98" t="str">
        <f>IF(A174="","",IF('41_Clasificacion_Empresas'!F174="A","🟢 Oportunidad inmediata","🟡 Oportunidad interesante"))</f>
        <v/>
      </c>
      <c r="D174" s="123" t="str">
        <f>IF(A174="","",'41_Clasificacion_Empresas'!L174)</f>
        <v/>
      </c>
      <c r="E174" s="98" t="str">
        <f>IF(A174="","",'41_Clasificacion_Empresas'!M174)</f>
        <v/>
      </c>
      <c r="F174" s="122" t="str">
        <f t="shared" ca="1" si="10"/>
        <v/>
      </c>
      <c r="G174" s="98" t="str">
        <f>IF(A174="","",'41_Clasificacion_Empresas'!J174)</f>
        <v/>
      </c>
      <c r="H174" s="98" t="str">
        <f t="shared" si="11"/>
        <v/>
      </c>
      <c r="I174" s="98" t="str">
        <f>IF(A174="","",INDEX('40_Estudio_Empresas'!$X$3:$X$204,ROW()-4))</f>
        <v/>
      </c>
      <c r="J174" s="98" t="str">
        <f>IF(A174="","",'41_Clasificacion_Empresas'!G174)</f>
        <v/>
      </c>
      <c r="K174" s="98" t="str">
        <f>IF(A174="","",'41_Clasificacion_Empresas'!K174)</f>
        <v/>
      </c>
      <c r="L174" s="98" t="str">
        <f>IF(A174="","",IF('41_Clasificacion_Empresas'!F174="A","Alta","Media"))</f>
        <v/>
      </c>
      <c r="M174" s="98" t="str">
        <f>IF(A174="","",IF('41_Clasificacion_Empresas'!F174="A","Pasar a CRM y seguimiento","Mantener seguimiento y estudiar más"))</f>
        <v/>
      </c>
    </row>
    <row r="175" spans="1:13">
      <c r="A175" s="98" t="str">
        <f>IF(OR('41_Clasificacion_Empresas'!F175="A",'41_Clasificacion_Empresas'!F175="B"),'41_Clasificacion_Empresas'!C175,"")</f>
        <v/>
      </c>
      <c r="B175" s="98" t="str">
        <f>IF(A175="","",'41_Clasificacion_Empresas'!D175)</f>
        <v/>
      </c>
      <c r="C175" s="98" t="str">
        <f>IF(A175="","",IF('41_Clasificacion_Empresas'!F175="A","🟢 Oportunidad inmediata","🟡 Oportunidad interesante"))</f>
        <v/>
      </c>
      <c r="D175" s="123" t="str">
        <f>IF(A175="","",'41_Clasificacion_Empresas'!L175)</f>
        <v/>
      </c>
      <c r="E175" s="98" t="str">
        <f>IF(A175="","",'41_Clasificacion_Empresas'!M175)</f>
        <v/>
      </c>
      <c r="F175" s="122" t="str">
        <f t="shared" ca="1" si="10"/>
        <v/>
      </c>
      <c r="G175" s="98" t="str">
        <f>IF(A175="","",'41_Clasificacion_Empresas'!J175)</f>
        <v/>
      </c>
      <c r="H175" s="98" t="str">
        <f t="shared" si="11"/>
        <v/>
      </c>
      <c r="I175" s="98" t="str">
        <f>IF(A175="","",INDEX('40_Estudio_Empresas'!$X$3:$X$204,ROW()-4))</f>
        <v/>
      </c>
      <c r="J175" s="98" t="str">
        <f>IF(A175="","",'41_Clasificacion_Empresas'!G175)</f>
        <v/>
      </c>
      <c r="K175" s="98" t="str">
        <f>IF(A175="","",'41_Clasificacion_Empresas'!K175)</f>
        <v/>
      </c>
      <c r="L175" s="98" t="str">
        <f>IF(A175="","",IF('41_Clasificacion_Empresas'!F175="A","Alta","Media"))</f>
        <v/>
      </c>
      <c r="M175" s="98" t="str">
        <f>IF(A175="","",IF('41_Clasificacion_Empresas'!F175="A","Pasar a CRM y seguimiento","Mantener seguimiento y estudiar más"))</f>
        <v/>
      </c>
    </row>
    <row r="176" spans="1:13">
      <c r="A176" s="98" t="str">
        <f>IF(OR('41_Clasificacion_Empresas'!F176="A",'41_Clasificacion_Empresas'!F176="B"),'41_Clasificacion_Empresas'!C176,"")</f>
        <v/>
      </c>
      <c r="B176" s="98" t="str">
        <f>IF(A176="","",'41_Clasificacion_Empresas'!D176)</f>
        <v/>
      </c>
      <c r="C176" s="98" t="str">
        <f>IF(A176="","",IF('41_Clasificacion_Empresas'!F176="A","🟢 Oportunidad inmediata","🟡 Oportunidad interesante"))</f>
        <v/>
      </c>
      <c r="D176" s="123" t="str">
        <f>IF(A176="","",'41_Clasificacion_Empresas'!L176)</f>
        <v/>
      </c>
      <c r="E176" s="98" t="str">
        <f>IF(A176="","",'41_Clasificacion_Empresas'!M176)</f>
        <v/>
      </c>
      <c r="F176" s="122" t="str">
        <f t="shared" ca="1" si="10"/>
        <v/>
      </c>
      <c r="G176" s="98" t="str">
        <f>IF(A176="","",'41_Clasificacion_Empresas'!J176)</f>
        <v/>
      </c>
      <c r="H176" s="98" t="str">
        <f t="shared" si="11"/>
        <v/>
      </c>
      <c r="I176" s="98" t="str">
        <f>IF(A176="","",INDEX('40_Estudio_Empresas'!$X$3:$X$204,ROW()-4))</f>
        <v/>
      </c>
      <c r="J176" s="98" t="str">
        <f>IF(A176="","",'41_Clasificacion_Empresas'!G176)</f>
        <v/>
      </c>
      <c r="K176" s="98" t="str">
        <f>IF(A176="","",'41_Clasificacion_Empresas'!K176)</f>
        <v/>
      </c>
      <c r="L176" s="98" t="str">
        <f>IF(A176="","",IF('41_Clasificacion_Empresas'!F176="A","Alta","Media"))</f>
        <v/>
      </c>
      <c r="M176" s="98" t="str">
        <f>IF(A176="","",IF('41_Clasificacion_Empresas'!F176="A","Pasar a CRM y seguimiento","Mantener seguimiento y estudiar más"))</f>
        <v/>
      </c>
    </row>
    <row r="177" spans="1:13">
      <c r="A177" s="98" t="str">
        <f>IF(OR('41_Clasificacion_Empresas'!F177="A",'41_Clasificacion_Empresas'!F177="B"),'41_Clasificacion_Empresas'!C177,"")</f>
        <v/>
      </c>
      <c r="B177" s="98" t="str">
        <f>IF(A177="","",'41_Clasificacion_Empresas'!D177)</f>
        <v/>
      </c>
      <c r="C177" s="98" t="str">
        <f>IF(A177="","",IF('41_Clasificacion_Empresas'!F177="A","🟢 Oportunidad inmediata","🟡 Oportunidad interesante"))</f>
        <v/>
      </c>
      <c r="D177" s="123" t="str">
        <f>IF(A177="","",'41_Clasificacion_Empresas'!L177)</f>
        <v/>
      </c>
      <c r="E177" s="98" t="str">
        <f>IF(A177="","",'41_Clasificacion_Empresas'!M177)</f>
        <v/>
      </c>
      <c r="F177" s="122" t="str">
        <f t="shared" ca="1" si="10"/>
        <v/>
      </c>
      <c r="G177" s="98" t="str">
        <f>IF(A177="","",'41_Clasificacion_Empresas'!J177)</f>
        <v/>
      </c>
      <c r="H177" s="98" t="str">
        <f t="shared" si="11"/>
        <v/>
      </c>
      <c r="I177" s="98" t="str">
        <f>IF(A177="","",INDEX('40_Estudio_Empresas'!$X$3:$X$204,ROW()-4))</f>
        <v/>
      </c>
      <c r="J177" s="98" t="str">
        <f>IF(A177="","",'41_Clasificacion_Empresas'!G177)</f>
        <v/>
      </c>
      <c r="K177" s="98" t="str">
        <f>IF(A177="","",'41_Clasificacion_Empresas'!K177)</f>
        <v/>
      </c>
      <c r="L177" s="98" t="str">
        <f>IF(A177="","",IF('41_Clasificacion_Empresas'!F177="A","Alta","Media"))</f>
        <v/>
      </c>
      <c r="M177" s="98" t="str">
        <f>IF(A177="","",IF('41_Clasificacion_Empresas'!F177="A","Pasar a CRM y seguimiento","Mantener seguimiento y estudiar más"))</f>
        <v/>
      </c>
    </row>
    <row r="178" spans="1:13">
      <c r="A178" s="98" t="str">
        <f>IF(OR('41_Clasificacion_Empresas'!F178="A",'41_Clasificacion_Empresas'!F178="B"),'41_Clasificacion_Empresas'!C178,"")</f>
        <v/>
      </c>
      <c r="B178" s="98" t="str">
        <f>IF(A178="","",'41_Clasificacion_Empresas'!D178)</f>
        <v/>
      </c>
      <c r="C178" s="98" t="str">
        <f>IF(A178="","",IF('41_Clasificacion_Empresas'!F178="A","🟢 Oportunidad inmediata","🟡 Oportunidad interesante"))</f>
        <v/>
      </c>
      <c r="D178" s="123" t="str">
        <f>IF(A178="","",'41_Clasificacion_Empresas'!L178)</f>
        <v/>
      </c>
      <c r="E178" s="98" t="str">
        <f>IF(A178="","",'41_Clasificacion_Empresas'!M178)</f>
        <v/>
      </c>
      <c r="F178" s="122" t="str">
        <f t="shared" ca="1" si="10"/>
        <v/>
      </c>
      <c r="G178" s="98" t="str">
        <f>IF(A178="","",'41_Clasificacion_Empresas'!J178)</f>
        <v/>
      </c>
      <c r="H178" s="98" t="str">
        <f t="shared" si="11"/>
        <v/>
      </c>
      <c r="I178" s="98" t="str">
        <f>IF(A178="","",INDEX('40_Estudio_Empresas'!$X$3:$X$204,ROW()-4))</f>
        <v/>
      </c>
      <c r="J178" s="98" t="str">
        <f>IF(A178="","",'41_Clasificacion_Empresas'!G178)</f>
        <v/>
      </c>
      <c r="K178" s="98" t="str">
        <f>IF(A178="","",'41_Clasificacion_Empresas'!K178)</f>
        <v/>
      </c>
      <c r="L178" s="98" t="str">
        <f>IF(A178="","",IF('41_Clasificacion_Empresas'!F178="A","Alta","Media"))</f>
        <v/>
      </c>
      <c r="M178" s="98" t="str">
        <f>IF(A178="","",IF('41_Clasificacion_Empresas'!F178="A","Pasar a CRM y seguimiento","Mantener seguimiento y estudiar más"))</f>
        <v/>
      </c>
    </row>
    <row r="179" spans="1:13">
      <c r="A179" s="98" t="str">
        <f>IF(OR('41_Clasificacion_Empresas'!F179="A",'41_Clasificacion_Empresas'!F179="B"),'41_Clasificacion_Empresas'!C179,"")</f>
        <v/>
      </c>
      <c r="B179" s="98" t="str">
        <f>IF(A179="","",'41_Clasificacion_Empresas'!D179)</f>
        <v/>
      </c>
      <c r="C179" s="98" t="str">
        <f>IF(A179="","",IF('41_Clasificacion_Empresas'!F179="A","🟢 Oportunidad inmediata","🟡 Oportunidad interesante"))</f>
        <v/>
      </c>
      <c r="D179" s="123" t="str">
        <f>IF(A179="","",'41_Clasificacion_Empresas'!L179)</f>
        <v/>
      </c>
      <c r="E179" s="98" t="str">
        <f>IF(A179="","",'41_Clasificacion_Empresas'!M179)</f>
        <v/>
      </c>
      <c r="F179" s="122" t="str">
        <f t="shared" ca="1" si="10"/>
        <v/>
      </c>
      <c r="G179" s="98" t="str">
        <f>IF(A179="","",'41_Clasificacion_Empresas'!J179)</f>
        <v/>
      </c>
      <c r="H179" s="98" t="str">
        <f t="shared" si="11"/>
        <v/>
      </c>
      <c r="I179" s="98" t="str">
        <f>IF(A179="","",INDEX('40_Estudio_Empresas'!$X$3:$X$204,ROW()-4))</f>
        <v/>
      </c>
      <c r="J179" s="98" t="str">
        <f>IF(A179="","",'41_Clasificacion_Empresas'!G179)</f>
        <v/>
      </c>
      <c r="K179" s="98" t="str">
        <f>IF(A179="","",'41_Clasificacion_Empresas'!K179)</f>
        <v/>
      </c>
      <c r="L179" s="98" t="str">
        <f>IF(A179="","",IF('41_Clasificacion_Empresas'!F179="A","Alta","Media"))</f>
        <v/>
      </c>
      <c r="M179" s="98" t="str">
        <f>IF(A179="","",IF('41_Clasificacion_Empresas'!F179="A","Pasar a CRM y seguimiento","Mantener seguimiento y estudiar más"))</f>
        <v/>
      </c>
    </row>
    <row r="180" spans="1:13">
      <c r="A180" s="98" t="str">
        <f>IF(OR('41_Clasificacion_Empresas'!F180="A",'41_Clasificacion_Empresas'!F180="B"),'41_Clasificacion_Empresas'!C180,"")</f>
        <v/>
      </c>
      <c r="B180" s="98" t="str">
        <f>IF(A180="","",'41_Clasificacion_Empresas'!D180)</f>
        <v/>
      </c>
      <c r="C180" s="98" t="str">
        <f>IF(A180="","",IF('41_Clasificacion_Empresas'!F180="A","🟢 Oportunidad inmediata","🟡 Oportunidad interesante"))</f>
        <v/>
      </c>
      <c r="D180" s="123" t="str">
        <f>IF(A180="","",'41_Clasificacion_Empresas'!L180)</f>
        <v/>
      </c>
      <c r="E180" s="98" t="str">
        <f>IF(A180="","",'41_Clasificacion_Empresas'!M180)</f>
        <v/>
      </c>
      <c r="F180" s="122" t="str">
        <f t="shared" ca="1" si="10"/>
        <v/>
      </c>
      <c r="G180" s="98" t="str">
        <f>IF(A180="","",'41_Clasificacion_Empresas'!J180)</f>
        <v/>
      </c>
      <c r="H180" s="98" t="str">
        <f t="shared" si="11"/>
        <v/>
      </c>
      <c r="I180" s="98" t="str">
        <f>IF(A180="","",INDEX('40_Estudio_Empresas'!$X$3:$X$204,ROW()-4))</f>
        <v/>
      </c>
      <c r="J180" s="98" t="str">
        <f>IF(A180="","",'41_Clasificacion_Empresas'!G180)</f>
        <v/>
      </c>
      <c r="K180" s="98" t="str">
        <f>IF(A180="","",'41_Clasificacion_Empresas'!K180)</f>
        <v/>
      </c>
      <c r="L180" s="98" t="str">
        <f>IF(A180="","",IF('41_Clasificacion_Empresas'!F180="A","Alta","Media"))</f>
        <v/>
      </c>
      <c r="M180" s="98" t="str">
        <f>IF(A180="","",IF('41_Clasificacion_Empresas'!F180="A","Pasar a CRM y seguimiento","Mantener seguimiento y estudiar más"))</f>
        <v/>
      </c>
    </row>
    <row r="181" spans="1:13">
      <c r="A181" s="98" t="str">
        <f>IF(OR('41_Clasificacion_Empresas'!F181="A",'41_Clasificacion_Empresas'!F181="B"),'41_Clasificacion_Empresas'!C181,"")</f>
        <v/>
      </c>
      <c r="B181" s="98" t="str">
        <f>IF(A181="","",'41_Clasificacion_Empresas'!D181)</f>
        <v/>
      </c>
      <c r="C181" s="98" t="str">
        <f>IF(A181="","",IF('41_Clasificacion_Empresas'!F181="A","🟢 Oportunidad inmediata","🟡 Oportunidad interesante"))</f>
        <v/>
      </c>
      <c r="D181" s="123" t="str">
        <f>IF(A181="","",'41_Clasificacion_Empresas'!L181)</f>
        <v/>
      </c>
      <c r="E181" s="98" t="str">
        <f>IF(A181="","",'41_Clasificacion_Empresas'!M181)</f>
        <v/>
      </c>
      <c r="F181" s="122" t="str">
        <f t="shared" ca="1" si="10"/>
        <v/>
      </c>
      <c r="G181" s="98" t="str">
        <f>IF(A181="","",'41_Clasificacion_Empresas'!J181)</f>
        <v/>
      </c>
      <c r="H181" s="98" t="str">
        <f t="shared" si="11"/>
        <v/>
      </c>
      <c r="I181" s="98" t="str">
        <f>IF(A181="","",INDEX('40_Estudio_Empresas'!$X$3:$X$204,ROW()-4))</f>
        <v/>
      </c>
      <c r="J181" s="98" t="str">
        <f>IF(A181="","",'41_Clasificacion_Empresas'!G181)</f>
        <v/>
      </c>
      <c r="K181" s="98" t="str">
        <f>IF(A181="","",'41_Clasificacion_Empresas'!K181)</f>
        <v/>
      </c>
      <c r="L181" s="98" t="str">
        <f>IF(A181="","",IF('41_Clasificacion_Empresas'!F181="A","Alta","Media"))</f>
        <v/>
      </c>
      <c r="M181" s="98" t="str">
        <f>IF(A181="","",IF('41_Clasificacion_Empresas'!F181="A","Pasar a CRM y seguimiento","Mantener seguimiento y estudiar más"))</f>
        <v/>
      </c>
    </row>
    <row r="182" spans="1:13">
      <c r="A182" s="98" t="str">
        <f>IF(OR('41_Clasificacion_Empresas'!F182="A",'41_Clasificacion_Empresas'!F182="B"),'41_Clasificacion_Empresas'!C182,"")</f>
        <v/>
      </c>
      <c r="B182" s="98" t="str">
        <f>IF(A182="","",'41_Clasificacion_Empresas'!D182)</f>
        <v/>
      </c>
      <c r="C182" s="98" t="str">
        <f>IF(A182="","",IF('41_Clasificacion_Empresas'!F182="A","🟢 Oportunidad inmediata","🟡 Oportunidad interesante"))</f>
        <v/>
      </c>
      <c r="D182" s="123" t="str">
        <f>IF(A182="","",'41_Clasificacion_Empresas'!L182)</f>
        <v/>
      </c>
      <c r="E182" s="98" t="str">
        <f>IF(A182="","",'41_Clasificacion_Empresas'!M182)</f>
        <v/>
      </c>
      <c r="F182" s="122" t="str">
        <f t="shared" ca="1" si="10"/>
        <v/>
      </c>
      <c r="G182" s="98" t="str">
        <f>IF(A182="","",'41_Clasificacion_Empresas'!J182)</f>
        <v/>
      </c>
      <c r="H182" s="98" t="str">
        <f t="shared" si="11"/>
        <v/>
      </c>
      <c r="I182" s="98" t="str">
        <f>IF(A182="","",INDEX('40_Estudio_Empresas'!$X$3:$X$204,ROW()-4))</f>
        <v/>
      </c>
      <c r="J182" s="98" t="str">
        <f>IF(A182="","",'41_Clasificacion_Empresas'!G182)</f>
        <v/>
      </c>
      <c r="K182" s="98" t="str">
        <f>IF(A182="","",'41_Clasificacion_Empresas'!K182)</f>
        <v/>
      </c>
      <c r="L182" s="98" t="str">
        <f>IF(A182="","",IF('41_Clasificacion_Empresas'!F182="A","Alta","Media"))</f>
        <v/>
      </c>
      <c r="M182" s="98" t="str">
        <f>IF(A182="","",IF('41_Clasificacion_Empresas'!F182="A","Pasar a CRM y seguimiento","Mantener seguimiento y estudiar más"))</f>
        <v/>
      </c>
    </row>
    <row r="183" spans="1:13">
      <c r="A183" s="98" t="str">
        <f>IF(OR('41_Clasificacion_Empresas'!F183="A",'41_Clasificacion_Empresas'!F183="B"),'41_Clasificacion_Empresas'!C183,"")</f>
        <v/>
      </c>
      <c r="B183" s="98" t="str">
        <f>IF(A183="","",'41_Clasificacion_Empresas'!D183)</f>
        <v/>
      </c>
      <c r="C183" s="98" t="str">
        <f>IF(A183="","",IF('41_Clasificacion_Empresas'!F183="A","🟢 Oportunidad inmediata","🟡 Oportunidad interesante"))</f>
        <v/>
      </c>
      <c r="D183" s="123" t="str">
        <f>IF(A183="","",'41_Clasificacion_Empresas'!L183)</f>
        <v/>
      </c>
      <c r="E183" s="98" t="str">
        <f>IF(A183="","",'41_Clasificacion_Empresas'!M183)</f>
        <v/>
      </c>
      <c r="F183" s="122" t="str">
        <f t="shared" ca="1" si="10"/>
        <v/>
      </c>
      <c r="G183" s="98" t="str">
        <f>IF(A183="","",'41_Clasificacion_Empresas'!J183)</f>
        <v/>
      </c>
      <c r="H183" s="98" t="str">
        <f t="shared" si="11"/>
        <v/>
      </c>
      <c r="I183" s="98" t="str">
        <f>IF(A183="","",INDEX('40_Estudio_Empresas'!$X$3:$X$204,ROW()-4))</f>
        <v/>
      </c>
      <c r="J183" s="98" t="str">
        <f>IF(A183="","",'41_Clasificacion_Empresas'!G183)</f>
        <v/>
      </c>
      <c r="K183" s="98" t="str">
        <f>IF(A183="","",'41_Clasificacion_Empresas'!K183)</f>
        <v/>
      </c>
      <c r="L183" s="98" t="str">
        <f>IF(A183="","",IF('41_Clasificacion_Empresas'!F183="A","Alta","Media"))</f>
        <v/>
      </c>
      <c r="M183" s="98" t="str">
        <f>IF(A183="","",IF('41_Clasificacion_Empresas'!F183="A","Pasar a CRM y seguimiento","Mantener seguimiento y estudiar más"))</f>
        <v/>
      </c>
    </row>
    <row r="184" spans="1:13">
      <c r="A184" s="98" t="str">
        <f>IF(OR('41_Clasificacion_Empresas'!F184="A",'41_Clasificacion_Empresas'!F184="B"),'41_Clasificacion_Empresas'!C184,"")</f>
        <v/>
      </c>
      <c r="B184" s="98" t="str">
        <f>IF(A184="","",'41_Clasificacion_Empresas'!D184)</f>
        <v/>
      </c>
      <c r="C184" s="98" t="str">
        <f>IF(A184="","",IF('41_Clasificacion_Empresas'!F184="A","🟢 Oportunidad inmediata","🟡 Oportunidad interesante"))</f>
        <v/>
      </c>
      <c r="D184" s="123" t="str">
        <f>IF(A184="","",'41_Clasificacion_Empresas'!L184)</f>
        <v/>
      </c>
      <c r="E184" s="98" t="str">
        <f>IF(A184="","",'41_Clasificacion_Empresas'!M184)</f>
        <v/>
      </c>
      <c r="F184" s="122" t="str">
        <f t="shared" ca="1" si="10"/>
        <v/>
      </c>
      <c r="G184" s="98" t="str">
        <f>IF(A184="","",'41_Clasificacion_Empresas'!J184)</f>
        <v/>
      </c>
      <c r="H184" s="98" t="str">
        <f t="shared" si="11"/>
        <v/>
      </c>
      <c r="I184" s="98" t="str">
        <f>IF(A184="","",INDEX('40_Estudio_Empresas'!$X$3:$X$204,ROW()-4))</f>
        <v/>
      </c>
      <c r="J184" s="98" t="str">
        <f>IF(A184="","",'41_Clasificacion_Empresas'!G184)</f>
        <v/>
      </c>
      <c r="K184" s="98" t="str">
        <f>IF(A184="","",'41_Clasificacion_Empresas'!K184)</f>
        <v/>
      </c>
      <c r="L184" s="98" t="str">
        <f>IF(A184="","",IF('41_Clasificacion_Empresas'!F184="A","Alta","Media"))</f>
        <v/>
      </c>
      <c r="M184" s="98" t="str">
        <f>IF(A184="","",IF('41_Clasificacion_Empresas'!F184="A","Pasar a CRM y seguimiento","Mantener seguimiento y estudiar más"))</f>
        <v/>
      </c>
    </row>
    <row r="185" spans="1:13">
      <c r="A185" s="98" t="str">
        <f>IF(OR('41_Clasificacion_Empresas'!F185="A",'41_Clasificacion_Empresas'!F185="B"),'41_Clasificacion_Empresas'!C185,"")</f>
        <v/>
      </c>
      <c r="B185" s="98" t="str">
        <f>IF(A185="","",'41_Clasificacion_Empresas'!D185)</f>
        <v/>
      </c>
      <c r="C185" s="98" t="str">
        <f>IF(A185="","",IF('41_Clasificacion_Empresas'!F185="A","🟢 Oportunidad inmediata","🟡 Oportunidad interesante"))</f>
        <v/>
      </c>
      <c r="D185" s="123" t="str">
        <f>IF(A185="","",'41_Clasificacion_Empresas'!L185)</f>
        <v/>
      </c>
      <c r="E185" s="98" t="str">
        <f>IF(A185="","",'41_Clasificacion_Empresas'!M185)</f>
        <v/>
      </c>
      <c r="F185" s="122" t="str">
        <f t="shared" ca="1" si="10"/>
        <v/>
      </c>
      <c r="G185" s="98" t="str">
        <f>IF(A185="","",'41_Clasificacion_Empresas'!J185)</f>
        <v/>
      </c>
      <c r="H185" s="98" t="str">
        <f t="shared" si="11"/>
        <v/>
      </c>
      <c r="I185" s="98" t="str">
        <f>IF(A185="","",INDEX('40_Estudio_Empresas'!$X$3:$X$204,ROW()-4))</f>
        <v/>
      </c>
      <c r="J185" s="98" t="str">
        <f>IF(A185="","",'41_Clasificacion_Empresas'!G185)</f>
        <v/>
      </c>
      <c r="K185" s="98" t="str">
        <f>IF(A185="","",'41_Clasificacion_Empresas'!K185)</f>
        <v/>
      </c>
      <c r="L185" s="98" t="str">
        <f>IF(A185="","",IF('41_Clasificacion_Empresas'!F185="A","Alta","Media"))</f>
        <v/>
      </c>
      <c r="M185" s="98" t="str">
        <f>IF(A185="","",IF('41_Clasificacion_Empresas'!F185="A","Pasar a CRM y seguimiento","Mantener seguimiento y estudiar más"))</f>
        <v/>
      </c>
    </row>
    <row r="186" spans="1:13">
      <c r="A186" s="98" t="str">
        <f>IF(OR('41_Clasificacion_Empresas'!F186="A",'41_Clasificacion_Empresas'!F186="B"),'41_Clasificacion_Empresas'!C186,"")</f>
        <v/>
      </c>
      <c r="B186" s="98" t="str">
        <f>IF(A186="","",'41_Clasificacion_Empresas'!D186)</f>
        <v/>
      </c>
      <c r="C186" s="98" t="str">
        <f>IF(A186="","",IF('41_Clasificacion_Empresas'!F186="A","🟢 Oportunidad inmediata","🟡 Oportunidad interesante"))</f>
        <v/>
      </c>
      <c r="D186" s="123" t="str">
        <f>IF(A186="","",'41_Clasificacion_Empresas'!L186)</f>
        <v/>
      </c>
      <c r="E186" s="98" t="str">
        <f>IF(A186="","",'41_Clasificacion_Empresas'!M186)</f>
        <v/>
      </c>
      <c r="F186" s="122" t="str">
        <f t="shared" ca="1" si="10"/>
        <v/>
      </c>
      <c r="G186" s="98" t="str">
        <f>IF(A186="","",'41_Clasificacion_Empresas'!J186)</f>
        <v/>
      </c>
      <c r="H186" s="98" t="str">
        <f t="shared" si="11"/>
        <v/>
      </c>
      <c r="I186" s="98" t="str">
        <f>IF(A186="","",INDEX('40_Estudio_Empresas'!$X$3:$X$204,ROW()-4))</f>
        <v/>
      </c>
      <c r="J186" s="98" t="str">
        <f>IF(A186="","",'41_Clasificacion_Empresas'!G186)</f>
        <v/>
      </c>
      <c r="K186" s="98" t="str">
        <f>IF(A186="","",'41_Clasificacion_Empresas'!K186)</f>
        <v/>
      </c>
      <c r="L186" s="98" t="str">
        <f>IF(A186="","",IF('41_Clasificacion_Empresas'!F186="A","Alta","Media"))</f>
        <v/>
      </c>
      <c r="M186" s="98" t="str">
        <f>IF(A186="","",IF('41_Clasificacion_Empresas'!F186="A","Pasar a CRM y seguimiento","Mantener seguimiento y estudiar más"))</f>
        <v/>
      </c>
    </row>
    <row r="187" spans="1:13">
      <c r="A187" s="98" t="str">
        <f>IF(OR('41_Clasificacion_Empresas'!F187="A",'41_Clasificacion_Empresas'!F187="B"),'41_Clasificacion_Empresas'!C187,"")</f>
        <v/>
      </c>
      <c r="B187" s="98" t="str">
        <f>IF(A187="","",'41_Clasificacion_Empresas'!D187)</f>
        <v/>
      </c>
      <c r="C187" s="98" t="str">
        <f>IF(A187="","",IF('41_Clasificacion_Empresas'!F187="A","🟢 Oportunidad inmediata","🟡 Oportunidad interesante"))</f>
        <v/>
      </c>
      <c r="D187" s="123" t="str">
        <f>IF(A187="","",'41_Clasificacion_Empresas'!L187)</f>
        <v/>
      </c>
      <c r="E187" s="98" t="str">
        <f>IF(A187="","",'41_Clasificacion_Empresas'!M187)</f>
        <v/>
      </c>
      <c r="F187" s="122" t="str">
        <f t="shared" ca="1" si="10"/>
        <v/>
      </c>
      <c r="G187" s="98" t="str">
        <f>IF(A187="","",'41_Clasificacion_Empresas'!J187)</f>
        <v/>
      </c>
      <c r="H187" s="98" t="str">
        <f t="shared" si="11"/>
        <v/>
      </c>
      <c r="I187" s="98" t="str">
        <f>IF(A187="","",INDEX('40_Estudio_Empresas'!$X$3:$X$204,ROW()-4))</f>
        <v/>
      </c>
      <c r="J187" s="98" t="str">
        <f>IF(A187="","",'41_Clasificacion_Empresas'!G187)</f>
        <v/>
      </c>
      <c r="K187" s="98" t="str">
        <f>IF(A187="","",'41_Clasificacion_Empresas'!K187)</f>
        <v/>
      </c>
      <c r="L187" s="98" t="str">
        <f>IF(A187="","",IF('41_Clasificacion_Empresas'!F187="A","Alta","Media"))</f>
        <v/>
      </c>
      <c r="M187" s="98" t="str">
        <f>IF(A187="","",IF('41_Clasificacion_Empresas'!F187="A","Pasar a CRM y seguimiento","Mantener seguimiento y estudiar más"))</f>
        <v/>
      </c>
    </row>
    <row r="188" spans="1:13">
      <c r="A188" s="98" t="str">
        <f>IF(OR('41_Clasificacion_Empresas'!F188="A",'41_Clasificacion_Empresas'!F188="B"),'41_Clasificacion_Empresas'!C188,"")</f>
        <v/>
      </c>
      <c r="B188" s="98" t="str">
        <f>IF(A188="","",'41_Clasificacion_Empresas'!D188)</f>
        <v/>
      </c>
      <c r="C188" s="98" t="str">
        <f>IF(A188="","",IF('41_Clasificacion_Empresas'!F188="A","🟢 Oportunidad inmediata","🟡 Oportunidad interesante"))</f>
        <v/>
      </c>
      <c r="D188" s="123" t="str">
        <f>IF(A188="","",'41_Clasificacion_Empresas'!L188)</f>
        <v/>
      </c>
      <c r="E188" s="98" t="str">
        <f>IF(A188="","",'41_Clasificacion_Empresas'!M188)</f>
        <v/>
      </c>
      <c r="F188" s="122" t="str">
        <f t="shared" ca="1" si="10"/>
        <v/>
      </c>
      <c r="G188" s="98" t="str">
        <f>IF(A188="","",'41_Clasificacion_Empresas'!J188)</f>
        <v/>
      </c>
      <c r="H188" s="98" t="str">
        <f t="shared" si="11"/>
        <v/>
      </c>
      <c r="I188" s="98" t="str">
        <f>IF(A188="","",INDEX('40_Estudio_Empresas'!$X$3:$X$204,ROW()-4))</f>
        <v/>
      </c>
      <c r="J188" s="98" t="str">
        <f>IF(A188="","",'41_Clasificacion_Empresas'!G188)</f>
        <v/>
      </c>
      <c r="K188" s="98" t="str">
        <f>IF(A188="","",'41_Clasificacion_Empresas'!K188)</f>
        <v/>
      </c>
      <c r="L188" s="98" t="str">
        <f>IF(A188="","",IF('41_Clasificacion_Empresas'!F188="A","Alta","Media"))</f>
        <v/>
      </c>
      <c r="M188" s="98" t="str">
        <f>IF(A188="","",IF('41_Clasificacion_Empresas'!F188="A","Pasar a CRM y seguimiento","Mantener seguimiento y estudiar más"))</f>
        <v/>
      </c>
    </row>
    <row r="189" spans="1:13">
      <c r="A189" s="98" t="str">
        <f>IF(OR('41_Clasificacion_Empresas'!F189="A",'41_Clasificacion_Empresas'!F189="B"),'41_Clasificacion_Empresas'!C189,"")</f>
        <v/>
      </c>
      <c r="B189" s="98" t="str">
        <f>IF(A189="","",'41_Clasificacion_Empresas'!D189)</f>
        <v/>
      </c>
      <c r="C189" s="98" t="str">
        <f>IF(A189="","",IF('41_Clasificacion_Empresas'!F189="A","🟢 Oportunidad inmediata","🟡 Oportunidad interesante"))</f>
        <v/>
      </c>
      <c r="D189" s="123" t="str">
        <f>IF(A189="","",'41_Clasificacion_Empresas'!L189)</f>
        <v/>
      </c>
      <c r="E189" s="98" t="str">
        <f>IF(A189="","",'41_Clasificacion_Empresas'!M189)</f>
        <v/>
      </c>
      <c r="F189" s="122" t="str">
        <f t="shared" ca="1" si="10"/>
        <v/>
      </c>
      <c r="G189" s="98" t="str">
        <f>IF(A189="","",'41_Clasificacion_Empresas'!J189)</f>
        <v/>
      </c>
      <c r="H189" s="98" t="str">
        <f t="shared" si="11"/>
        <v/>
      </c>
      <c r="I189" s="98" t="str">
        <f>IF(A189="","",INDEX('40_Estudio_Empresas'!$X$3:$X$204,ROW()-4))</f>
        <v/>
      </c>
      <c r="J189" s="98" t="str">
        <f>IF(A189="","",'41_Clasificacion_Empresas'!G189)</f>
        <v/>
      </c>
      <c r="K189" s="98" t="str">
        <f>IF(A189="","",'41_Clasificacion_Empresas'!K189)</f>
        <v/>
      </c>
      <c r="L189" s="98" t="str">
        <f>IF(A189="","",IF('41_Clasificacion_Empresas'!F189="A","Alta","Media"))</f>
        <v/>
      </c>
      <c r="M189" s="98" t="str">
        <f>IF(A189="","",IF('41_Clasificacion_Empresas'!F189="A","Pasar a CRM y seguimiento","Mantener seguimiento y estudiar más"))</f>
        <v/>
      </c>
    </row>
    <row r="190" spans="1:13">
      <c r="A190" s="98" t="str">
        <f>IF(OR('41_Clasificacion_Empresas'!F190="A",'41_Clasificacion_Empresas'!F190="B"),'41_Clasificacion_Empresas'!C190,"")</f>
        <v/>
      </c>
      <c r="B190" s="98" t="str">
        <f>IF(A190="","",'41_Clasificacion_Empresas'!D190)</f>
        <v/>
      </c>
      <c r="C190" s="98" t="str">
        <f>IF(A190="","",IF('41_Clasificacion_Empresas'!F190="A","🟢 Oportunidad inmediata","🟡 Oportunidad interesante"))</f>
        <v/>
      </c>
      <c r="D190" s="123" t="str">
        <f>IF(A190="","",'41_Clasificacion_Empresas'!L190)</f>
        <v/>
      </c>
      <c r="E190" s="98" t="str">
        <f>IF(A190="","",'41_Clasificacion_Empresas'!M190)</f>
        <v/>
      </c>
      <c r="F190" s="122" t="str">
        <f t="shared" ca="1" si="10"/>
        <v/>
      </c>
      <c r="G190" s="98" t="str">
        <f>IF(A190="","",'41_Clasificacion_Empresas'!J190)</f>
        <v/>
      </c>
      <c r="H190" s="98" t="str">
        <f t="shared" si="11"/>
        <v/>
      </c>
      <c r="I190" s="98" t="str">
        <f>IF(A190="","",INDEX('40_Estudio_Empresas'!$X$3:$X$204,ROW()-4))</f>
        <v/>
      </c>
      <c r="J190" s="98" t="str">
        <f>IF(A190="","",'41_Clasificacion_Empresas'!G190)</f>
        <v/>
      </c>
      <c r="K190" s="98" t="str">
        <f>IF(A190="","",'41_Clasificacion_Empresas'!K190)</f>
        <v/>
      </c>
      <c r="L190" s="98" t="str">
        <f>IF(A190="","",IF('41_Clasificacion_Empresas'!F190="A","Alta","Media"))</f>
        <v/>
      </c>
      <c r="M190" s="98" t="str">
        <f>IF(A190="","",IF('41_Clasificacion_Empresas'!F190="A","Pasar a CRM y seguimiento","Mantener seguimiento y estudiar más"))</f>
        <v/>
      </c>
    </row>
    <row r="191" spans="1:13">
      <c r="A191" s="98" t="str">
        <f>IF(OR('41_Clasificacion_Empresas'!F191="A",'41_Clasificacion_Empresas'!F191="B"),'41_Clasificacion_Empresas'!C191,"")</f>
        <v/>
      </c>
      <c r="B191" s="98" t="str">
        <f>IF(A191="","",'41_Clasificacion_Empresas'!D191)</f>
        <v/>
      </c>
      <c r="C191" s="98" t="str">
        <f>IF(A191="","",IF('41_Clasificacion_Empresas'!F191="A","🟢 Oportunidad inmediata","🟡 Oportunidad interesante"))</f>
        <v/>
      </c>
      <c r="D191" s="123" t="str">
        <f>IF(A191="","",'41_Clasificacion_Empresas'!L191)</f>
        <v/>
      </c>
      <c r="E191" s="98" t="str">
        <f>IF(A191="","",'41_Clasificacion_Empresas'!M191)</f>
        <v/>
      </c>
      <c r="F191" s="122" t="str">
        <f t="shared" ca="1" si="10"/>
        <v/>
      </c>
      <c r="G191" s="98" t="str">
        <f>IF(A191="","",'41_Clasificacion_Empresas'!J191)</f>
        <v/>
      </c>
      <c r="H191" s="98" t="str">
        <f t="shared" si="11"/>
        <v/>
      </c>
      <c r="I191" s="98" t="str">
        <f>IF(A191="","",INDEX('40_Estudio_Empresas'!$X$3:$X$204,ROW()-4))</f>
        <v/>
      </c>
      <c r="J191" s="98" t="str">
        <f>IF(A191="","",'41_Clasificacion_Empresas'!G191)</f>
        <v/>
      </c>
      <c r="K191" s="98" t="str">
        <f>IF(A191="","",'41_Clasificacion_Empresas'!K191)</f>
        <v/>
      </c>
      <c r="L191" s="98" t="str">
        <f>IF(A191="","",IF('41_Clasificacion_Empresas'!F191="A","Alta","Media"))</f>
        <v/>
      </c>
      <c r="M191" s="98" t="str">
        <f>IF(A191="","",IF('41_Clasificacion_Empresas'!F191="A","Pasar a CRM y seguimiento","Mantener seguimiento y estudiar más"))</f>
        <v/>
      </c>
    </row>
    <row r="192" spans="1:13">
      <c r="A192" s="98" t="str">
        <f>IF(OR('41_Clasificacion_Empresas'!F192="A",'41_Clasificacion_Empresas'!F192="B"),'41_Clasificacion_Empresas'!C192,"")</f>
        <v/>
      </c>
      <c r="B192" s="98" t="str">
        <f>IF(A192="","",'41_Clasificacion_Empresas'!D192)</f>
        <v/>
      </c>
      <c r="C192" s="98" t="str">
        <f>IF(A192="","",IF('41_Clasificacion_Empresas'!F192="A","🟢 Oportunidad inmediata","🟡 Oportunidad interesante"))</f>
        <v/>
      </c>
      <c r="D192" s="123" t="str">
        <f>IF(A192="","",'41_Clasificacion_Empresas'!L192)</f>
        <v/>
      </c>
      <c r="E192" s="98" t="str">
        <f>IF(A192="","",'41_Clasificacion_Empresas'!M192)</f>
        <v/>
      </c>
      <c r="F192" s="122" t="str">
        <f t="shared" ca="1" si="10"/>
        <v/>
      </c>
      <c r="G192" s="98" t="str">
        <f>IF(A192="","",'41_Clasificacion_Empresas'!J192)</f>
        <v/>
      </c>
      <c r="H192" s="98" t="str">
        <f t="shared" si="11"/>
        <v/>
      </c>
      <c r="I192" s="98" t="str">
        <f>IF(A192="","",INDEX('40_Estudio_Empresas'!$X$3:$X$204,ROW()-4))</f>
        <v/>
      </c>
      <c r="J192" s="98" t="str">
        <f>IF(A192="","",'41_Clasificacion_Empresas'!G192)</f>
        <v/>
      </c>
      <c r="K192" s="98" t="str">
        <f>IF(A192="","",'41_Clasificacion_Empresas'!K192)</f>
        <v/>
      </c>
      <c r="L192" s="98" t="str">
        <f>IF(A192="","",IF('41_Clasificacion_Empresas'!F192="A","Alta","Media"))</f>
        <v/>
      </c>
      <c r="M192" s="98" t="str">
        <f>IF(A192="","",IF('41_Clasificacion_Empresas'!F192="A","Pasar a CRM y seguimiento","Mantener seguimiento y estudiar más"))</f>
        <v/>
      </c>
    </row>
    <row r="193" spans="1:13">
      <c r="A193" s="98" t="str">
        <f>IF(OR('41_Clasificacion_Empresas'!F193="A",'41_Clasificacion_Empresas'!F193="B"),'41_Clasificacion_Empresas'!C193,"")</f>
        <v/>
      </c>
      <c r="B193" s="98" t="str">
        <f>IF(A193="","",'41_Clasificacion_Empresas'!D193)</f>
        <v/>
      </c>
      <c r="C193" s="98" t="str">
        <f>IF(A193="","",IF('41_Clasificacion_Empresas'!F193="A","🟢 Oportunidad inmediata","🟡 Oportunidad interesante"))</f>
        <v/>
      </c>
      <c r="D193" s="123" t="str">
        <f>IF(A193="","",'41_Clasificacion_Empresas'!L193)</f>
        <v/>
      </c>
      <c r="E193" s="98" t="str">
        <f>IF(A193="","",'41_Clasificacion_Empresas'!M193)</f>
        <v/>
      </c>
      <c r="F193" s="122" t="str">
        <f t="shared" ca="1" si="10"/>
        <v/>
      </c>
      <c r="G193" s="98" t="str">
        <f>IF(A193="","",'41_Clasificacion_Empresas'!J193)</f>
        <v/>
      </c>
      <c r="H193" s="98" t="str">
        <f t="shared" si="11"/>
        <v/>
      </c>
      <c r="I193" s="98" t="str">
        <f>IF(A193="","",INDEX('40_Estudio_Empresas'!$X$3:$X$204,ROW()-4))</f>
        <v/>
      </c>
      <c r="J193" s="98" t="str">
        <f>IF(A193="","",'41_Clasificacion_Empresas'!G193)</f>
        <v/>
      </c>
      <c r="K193" s="98" t="str">
        <f>IF(A193="","",'41_Clasificacion_Empresas'!K193)</f>
        <v/>
      </c>
      <c r="L193" s="98" t="str">
        <f>IF(A193="","",IF('41_Clasificacion_Empresas'!F193="A","Alta","Media"))</f>
        <v/>
      </c>
      <c r="M193" s="98" t="str">
        <f>IF(A193="","",IF('41_Clasificacion_Empresas'!F193="A","Pasar a CRM y seguimiento","Mantener seguimiento y estudiar más"))</f>
        <v/>
      </c>
    </row>
    <row r="194" spans="1:13">
      <c r="A194" s="98" t="str">
        <f>IF(OR('41_Clasificacion_Empresas'!F194="A",'41_Clasificacion_Empresas'!F194="B"),'41_Clasificacion_Empresas'!C194,"")</f>
        <v/>
      </c>
      <c r="B194" s="98" t="str">
        <f>IF(A194="","",'41_Clasificacion_Empresas'!D194)</f>
        <v/>
      </c>
      <c r="C194" s="98" t="str">
        <f>IF(A194="","",IF('41_Clasificacion_Empresas'!F194="A","🟢 Oportunidad inmediata","🟡 Oportunidad interesante"))</f>
        <v/>
      </c>
      <c r="D194" s="123" t="str">
        <f>IF(A194="","",'41_Clasificacion_Empresas'!L194)</f>
        <v/>
      </c>
      <c r="E194" s="98" t="str">
        <f>IF(A194="","",'41_Clasificacion_Empresas'!M194)</f>
        <v/>
      </c>
      <c r="F194" s="122" t="str">
        <f t="shared" ca="1" si="10"/>
        <v/>
      </c>
      <c r="G194" s="98" t="str">
        <f>IF(A194="","",'41_Clasificacion_Empresas'!J194)</f>
        <v/>
      </c>
      <c r="H194" s="98" t="str">
        <f t="shared" si="11"/>
        <v/>
      </c>
      <c r="I194" s="98" t="str">
        <f>IF(A194="","",INDEX('40_Estudio_Empresas'!$X$3:$X$204,ROW()-4))</f>
        <v/>
      </c>
      <c r="J194" s="98" t="str">
        <f>IF(A194="","",'41_Clasificacion_Empresas'!G194)</f>
        <v/>
      </c>
      <c r="K194" s="98" t="str">
        <f>IF(A194="","",'41_Clasificacion_Empresas'!K194)</f>
        <v/>
      </c>
      <c r="L194" s="98" t="str">
        <f>IF(A194="","",IF('41_Clasificacion_Empresas'!F194="A","Alta","Media"))</f>
        <v/>
      </c>
      <c r="M194" s="98" t="str">
        <f>IF(A194="","",IF('41_Clasificacion_Empresas'!F194="A","Pasar a CRM y seguimiento","Mantener seguimiento y estudiar más"))</f>
        <v/>
      </c>
    </row>
    <row r="195" spans="1:13">
      <c r="A195" s="98" t="str">
        <f>IF(OR('41_Clasificacion_Empresas'!F195="A",'41_Clasificacion_Empresas'!F195="B"),'41_Clasificacion_Empresas'!C195,"")</f>
        <v/>
      </c>
      <c r="B195" s="98" t="str">
        <f>IF(A195="","",'41_Clasificacion_Empresas'!D195)</f>
        <v/>
      </c>
      <c r="C195" s="98" t="str">
        <f>IF(A195="","",IF('41_Clasificacion_Empresas'!F195="A","🟢 Oportunidad inmediata","🟡 Oportunidad interesante"))</f>
        <v/>
      </c>
      <c r="D195" s="123" t="str">
        <f>IF(A195="","",'41_Clasificacion_Empresas'!L195)</f>
        <v/>
      </c>
      <c r="E195" s="98" t="str">
        <f>IF(A195="","",'41_Clasificacion_Empresas'!M195)</f>
        <v/>
      </c>
      <c r="F195" s="122" t="str">
        <f t="shared" ca="1" si="10"/>
        <v/>
      </c>
      <c r="G195" s="98" t="str">
        <f>IF(A195="","",'41_Clasificacion_Empresas'!J195)</f>
        <v/>
      </c>
      <c r="H195" s="98" t="str">
        <f t="shared" si="11"/>
        <v/>
      </c>
      <c r="I195" s="98" t="str">
        <f>IF(A195="","",INDEX('40_Estudio_Empresas'!$X$3:$X$204,ROW()-4))</f>
        <v/>
      </c>
      <c r="J195" s="98" t="str">
        <f>IF(A195="","",'41_Clasificacion_Empresas'!G195)</f>
        <v/>
      </c>
      <c r="K195" s="98" t="str">
        <f>IF(A195="","",'41_Clasificacion_Empresas'!K195)</f>
        <v/>
      </c>
      <c r="L195" s="98" t="str">
        <f>IF(A195="","",IF('41_Clasificacion_Empresas'!F195="A","Alta","Media"))</f>
        <v/>
      </c>
      <c r="M195" s="98" t="str">
        <f>IF(A195="","",IF('41_Clasificacion_Empresas'!F195="A","Pasar a CRM y seguimiento","Mantener seguimiento y estudiar más"))</f>
        <v/>
      </c>
    </row>
    <row r="196" spans="1:13">
      <c r="A196" s="98" t="str">
        <f>IF(OR('41_Clasificacion_Empresas'!F196="A",'41_Clasificacion_Empresas'!F196="B"),'41_Clasificacion_Empresas'!C196,"")</f>
        <v/>
      </c>
      <c r="B196" s="98" t="str">
        <f>IF(A196="","",'41_Clasificacion_Empresas'!D196)</f>
        <v/>
      </c>
      <c r="C196" s="98" t="str">
        <f>IF(A196="","",IF('41_Clasificacion_Empresas'!F196="A","🟢 Oportunidad inmediata","🟡 Oportunidad interesante"))</f>
        <v/>
      </c>
      <c r="D196" s="123" t="str">
        <f>IF(A196="","",'41_Clasificacion_Empresas'!L196)</f>
        <v/>
      </c>
      <c r="E196" s="98" t="str">
        <f>IF(A196="","",'41_Clasificacion_Empresas'!M196)</f>
        <v/>
      </c>
      <c r="F196" s="122" t="str">
        <f t="shared" ca="1" si="10"/>
        <v/>
      </c>
      <c r="G196" s="98" t="str">
        <f>IF(A196="","",'41_Clasificacion_Empresas'!J196)</f>
        <v/>
      </c>
      <c r="H196" s="98" t="str">
        <f t="shared" si="11"/>
        <v/>
      </c>
      <c r="I196" s="98" t="str">
        <f>IF(A196="","",INDEX('40_Estudio_Empresas'!$X$3:$X$204,ROW()-4))</f>
        <v/>
      </c>
      <c r="J196" s="98" t="str">
        <f>IF(A196="","",'41_Clasificacion_Empresas'!G196)</f>
        <v/>
      </c>
      <c r="K196" s="98" t="str">
        <f>IF(A196="","",'41_Clasificacion_Empresas'!K196)</f>
        <v/>
      </c>
      <c r="L196" s="98" t="str">
        <f>IF(A196="","",IF('41_Clasificacion_Empresas'!F196="A","Alta","Media"))</f>
        <v/>
      </c>
      <c r="M196" s="98" t="str">
        <f>IF(A196="","",IF('41_Clasificacion_Empresas'!F196="A","Pasar a CRM y seguimiento","Mantener seguimiento y estudiar más"))</f>
        <v/>
      </c>
    </row>
    <row r="197" spans="1:13">
      <c r="A197" s="98" t="str">
        <f>IF(OR('41_Clasificacion_Empresas'!F197="A",'41_Clasificacion_Empresas'!F197="B"),'41_Clasificacion_Empresas'!C197,"")</f>
        <v/>
      </c>
      <c r="B197" s="98" t="str">
        <f>IF(A197="","",'41_Clasificacion_Empresas'!D197)</f>
        <v/>
      </c>
      <c r="C197" s="98" t="str">
        <f>IF(A197="","",IF('41_Clasificacion_Empresas'!F197="A","🟢 Oportunidad inmediata","🟡 Oportunidad interesante"))</f>
        <v/>
      </c>
      <c r="D197" s="123" t="str">
        <f>IF(A197="","",'41_Clasificacion_Empresas'!L197)</f>
        <v/>
      </c>
      <c r="E197" s="98" t="str">
        <f>IF(A197="","",'41_Clasificacion_Empresas'!M197)</f>
        <v/>
      </c>
      <c r="F197" s="122" t="str">
        <f t="shared" ref="F197:F204" ca="1" si="12">IF(A197="","",TODAY()+7)</f>
        <v/>
      </c>
      <c r="G197" s="98" t="str">
        <f>IF(A197="","",'41_Clasificacion_Empresas'!J197)</f>
        <v/>
      </c>
      <c r="H197" s="98" t="str">
        <f t="shared" ref="H197:H204" si="13">IF(A197="","","40_Estudio_Empresas → 41_Clasificacion")</f>
        <v/>
      </c>
      <c r="I197" s="98" t="str">
        <f>IF(A197="","",INDEX('40_Estudio_Empresas'!$X$3:$X$204,ROW()-4))</f>
        <v/>
      </c>
      <c r="J197" s="98" t="str">
        <f>IF(A197="","",'41_Clasificacion_Empresas'!G197)</f>
        <v/>
      </c>
      <c r="K197" s="98" t="str">
        <f>IF(A197="","",'41_Clasificacion_Empresas'!K197)</f>
        <v/>
      </c>
      <c r="L197" s="98" t="str">
        <f>IF(A197="","",IF('41_Clasificacion_Empresas'!F197="A","Alta","Media"))</f>
        <v/>
      </c>
      <c r="M197" s="98" t="str">
        <f>IF(A197="","",IF('41_Clasificacion_Empresas'!F197="A","Pasar a CRM y seguimiento","Mantener seguimiento y estudiar más"))</f>
        <v/>
      </c>
    </row>
    <row r="198" spans="1:13">
      <c r="A198" s="98" t="str">
        <f>IF(OR('41_Clasificacion_Empresas'!F198="A",'41_Clasificacion_Empresas'!F198="B"),'41_Clasificacion_Empresas'!C198,"")</f>
        <v/>
      </c>
      <c r="B198" s="98" t="str">
        <f>IF(A198="","",'41_Clasificacion_Empresas'!D198)</f>
        <v/>
      </c>
      <c r="C198" s="98" t="str">
        <f>IF(A198="","",IF('41_Clasificacion_Empresas'!F198="A","🟢 Oportunidad inmediata","🟡 Oportunidad interesante"))</f>
        <v/>
      </c>
      <c r="D198" s="123" t="str">
        <f>IF(A198="","",'41_Clasificacion_Empresas'!L198)</f>
        <v/>
      </c>
      <c r="E198" s="98" t="str">
        <f>IF(A198="","",'41_Clasificacion_Empresas'!M198)</f>
        <v/>
      </c>
      <c r="F198" s="122" t="str">
        <f t="shared" ca="1" si="12"/>
        <v/>
      </c>
      <c r="G198" s="98" t="str">
        <f>IF(A198="","",'41_Clasificacion_Empresas'!J198)</f>
        <v/>
      </c>
      <c r="H198" s="98" t="str">
        <f t="shared" si="13"/>
        <v/>
      </c>
      <c r="I198" s="98" t="str">
        <f>IF(A198="","",INDEX('40_Estudio_Empresas'!$X$3:$X$204,ROW()-4))</f>
        <v/>
      </c>
      <c r="J198" s="98" t="str">
        <f>IF(A198="","",'41_Clasificacion_Empresas'!G198)</f>
        <v/>
      </c>
      <c r="K198" s="98" t="str">
        <f>IF(A198="","",'41_Clasificacion_Empresas'!K198)</f>
        <v/>
      </c>
      <c r="L198" s="98" t="str">
        <f>IF(A198="","",IF('41_Clasificacion_Empresas'!F198="A","Alta","Media"))</f>
        <v/>
      </c>
      <c r="M198" s="98" t="str">
        <f>IF(A198="","",IF('41_Clasificacion_Empresas'!F198="A","Pasar a CRM y seguimiento","Mantener seguimiento y estudiar más"))</f>
        <v/>
      </c>
    </row>
    <row r="199" spans="1:13">
      <c r="A199" s="98" t="str">
        <f>IF(OR('41_Clasificacion_Empresas'!F199="A",'41_Clasificacion_Empresas'!F199="B"),'41_Clasificacion_Empresas'!C199,"")</f>
        <v/>
      </c>
      <c r="B199" s="98" t="str">
        <f>IF(A199="","",'41_Clasificacion_Empresas'!D199)</f>
        <v/>
      </c>
      <c r="C199" s="98" t="str">
        <f>IF(A199="","",IF('41_Clasificacion_Empresas'!F199="A","🟢 Oportunidad inmediata","🟡 Oportunidad interesante"))</f>
        <v/>
      </c>
      <c r="D199" s="123" t="str">
        <f>IF(A199="","",'41_Clasificacion_Empresas'!L199)</f>
        <v/>
      </c>
      <c r="E199" s="98" t="str">
        <f>IF(A199="","",'41_Clasificacion_Empresas'!M199)</f>
        <v/>
      </c>
      <c r="F199" s="122" t="str">
        <f t="shared" ca="1" si="12"/>
        <v/>
      </c>
      <c r="G199" s="98" t="str">
        <f>IF(A199="","",'41_Clasificacion_Empresas'!J199)</f>
        <v/>
      </c>
      <c r="H199" s="98" t="str">
        <f t="shared" si="13"/>
        <v/>
      </c>
      <c r="I199" s="98" t="str">
        <f>IF(A199="","",INDEX('40_Estudio_Empresas'!$X$3:$X$204,ROW()-4))</f>
        <v/>
      </c>
      <c r="J199" s="98" t="str">
        <f>IF(A199="","",'41_Clasificacion_Empresas'!G199)</f>
        <v/>
      </c>
      <c r="K199" s="98" t="str">
        <f>IF(A199="","",'41_Clasificacion_Empresas'!K199)</f>
        <v/>
      </c>
      <c r="L199" s="98" t="str">
        <f>IF(A199="","",IF('41_Clasificacion_Empresas'!F199="A","Alta","Media"))</f>
        <v/>
      </c>
      <c r="M199" s="98" t="str">
        <f>IF(A199="","",IF('41_Clasificacion_Empresas'!F199="A","Pasar a CRM y seguimiento","Mantener seguimiento y estudiar más"))</f>
        <v/>
      </c>
    </row>
    <row r="200" spans="1:13">
      <c r="A200" s="98" t="str">
        <f>IF(OR('41_Clasificacion_Empresas'!F200="A",'41_Clasificacion_Empresas'!F200="B"),'41_Clasificacion_Empresas'!C200,"")</f>
        <v/>
      </c>
      <c r="B200" s="98" t="str">
        <f>IF(A200="","",'41_Clasificacion_Empresas'!D200)</f>
        <v/>
      </c>
      <c r="C200" s="98" t="str">
        <f>IF(A200="","",IF('41_Clasificacion_Empresas'!F200="A","🟢 Oportunidad inmediata","🟡 Oportunidad interesante"))</f>
        <v/>
      </c>
      <c r="D200" s="123" t="str">
        <f>IF(A200="","",'41_Clasificacion_Empresas'!L200)</f>
        <v/>
      </c>
      <c r="E200" s="98" t="str">
        <f>IF(A200="","",'41_Clasificacion_Empresas'!M200)</f>
        <v/>
      </c>
      <c r="F200" s="122" t="str">
        <f t="shared" ca="1" si="12"/>
        <v/>
      </c>
      <c r="G200" s="98" t="str">
        <f>IF(A200="","",'41_Clasificacion_Empresas'!J200)</f>
        <v/>
      </c>
      <c r="H200" s="98" t="str">
        <f t="shared" si="13"/>
        <v/>
      </c>
      <c r="I200" s="98" t="str">
        <f>IF(A200="","",INDEX('40_Estudio_Empresas'!$X$3:$X$204,ROW()-4))</f>
        <v/>
      </c>
      <c r="J200" s="98" t="str">
        <f>IF(A200="","",'41_Clasificacion_Empresas'!G200)</f>
        <v/>
      </c>
      <c r="K200" s="98" t="str">
        <f>IF(A200="","",'41_Clasificacion_Empresas'!K200)</f>
        <v/>
      </c>
      <c r="L200" s="98" t="str">
        <f>IF(A200="","",IF('41_Clasificacion_Empresas'!F200="A","Alta","Media"))</f>
        <v/>
      </c>
      <c r="M200" s="98" t="str">
        <f>IF(A200="","",IF('41_Clasificacion_Empresas'!F200="A","Pasar a CRM y seguimiento","Mantener seguimiento y estudiar más"))</f>
        <v/>
      </c>
    </row>
    <row r="201" spans="1:13">
      <c r="A201" s="98" t="str">
        <f>IF(OR('41_Clasificacion_Empresas'!F201="A",'41_Clasificacion_Empresas'!F201="B"),'41_Clasificacion_Empresas'!C201,"")</f>
        <v/>
      </c>
      <c r="B201" s="98" t="str">
        <f>IF(A201="","",'41_Clasificacion_Empresas'!D201)</f>
        <v/>
      </c>
      <c r="C201" s="98" t="str">
        <f>IF(A201="","",IF('41_Clasificacion_Empresas'!F201="A","🟢 Oportunidad inmediata","🟡 Oportunidad interesante"))</f>
        <v/>
      </c>
      <c r="D201" s="123" t="str">
        <f>IF(A201="","",'41_Clasificacion_Empresas'!L201)</f>
        <v/>
      </c>
      <c r="E201" s="98" t="str">
        <f>IF(A201="","",'41_Clasificacion_Empresas'!M201)</f>
        <v/>
      </c>
      <c r="F201" s="122" t="str">
        <f t="shared" ca="1" si="12"/>
        <v/>
      </c>
      <c r="G201" s="98" t="str">
        <f>IF(A201="","",'41_Clasificacion_Empresas'!J201)</f>
        <v/>
      </c>
      <c r="H201" s="98" t="str">
        <f t="shared" si="13"/>
        <v/>
      </c>
      <c r="I201" s="98" t="str">
        <f>IF(A201="","",INDEX('40_Estudio_Empresas'!$X$3:$X$204,ROW()-4))</f>
        <v/>
      </c>
      <c r="J201" s="98" t="str">
        <f>IF(A201="","",'41_Clasificacion_Empresas'!G201)</f>
        <v/>
      </c>
      <c r="K201" s="98" t="str">
        <f>IF(A201="","",'41_Clasificacion_Empresas'!K201)</f>
        <v/>
      </c>
      <c r="L201" s="98" t="str">
        <f>IF(A201="","",IF('41_Clasificacion_Empresas'!F201="A","Alta","Media"))</f>
        <v/>
      </c>
      <c r="M201" s="98" t="str">
        <f>IF(A201="","",IF('41_Clasificacion_Empresas'!F201="A","Pasar a CRM y seguimiento","Mantener seguimiento y estudiar más"))</f>
        <v/>
      </c>
    </row>
    <row r="202" spans="1:13">
      <c r="A202" s="98" t="str">
        <f>IF(OR('41_Clasificacion_Empresas'!F202="A",'41_Clasificacion_Empresas'!F202="B"),'41_Clasificacion_Empresas'!C202,"")</f>
        <v/>
      </c>
      <c r="B202" s="98" t="str">
        <f>IF(A202="","",'41_Clasificacion_Empresas'!D202)</f>
        <v/>
      </c>
      <c r="C202" s="98" t="str">
        <f>IF(A202="","",IF('41_Clasificacion_Empresas'!F202="A","🟢 Oportunidad inmediata","🟡 Oportunidad interesante"))</f>
        <v/>
      </c>
      <c r="D202" s="123" t="str">
        <f>IF(A202="","",'41_Clasificacion_Empresas'!L202)</f>
        <v/>
      </c>
      <c r="E202" s="98" t="str">
        <f>IF(A202="","",'41_Clasificacion_Empresas'!M202)</f>
        <v/>
      </c>
      <c r="F202" s="122" t="str">
        <f t="shared" ca="1" si="12"/>
        <v/>
      </c>
      <c r="G202" s="98" t="str">
        <f>IF(A202="","",'41_Clasificacion_Empresas'!J202)</f>
        <v/>
      </c>
      <c r="H202" s="98" t="str">
        <f t="shared" si="13"/>
        <v/>
      </c>
      <c r="I202" s="98" t="str">
        <f>IF(A202="","",INDEX('40_Estudio_Empresas'!$X$3:$X$204,ROW()-4))</f>
        <v/>
      </c>
      <c r="J202" s="98" t="str">
        <f>IF(A202="","",'41_Clasificacion_Empresas'!G202)</f>
        <v/>
      </c>
      <c r="K202" s="98" t="str">
        <f>IF(A202="","",'41_Clasificacion_Empresas'!K202)</f>
        <v/>
      </c>
      <c r="L202" s="98" t="str">
        <f>IF(A202="","",IF('41_Clasificacion_Empresas'!F202="A","Alta","Media"))</f>
        <v/>
      </c>
      <c r="M202" s="98" t="str">
        <f>IF(A202="","",IF('41_Clasificacion_Empresas'!F202="A","Pasar a CRM y seguimiento","Mantener seguimiento y estudiar más"))</f>
        <v/>
      </c>
    </row>
    <row r="203" spans="1:13">
      <c r="A203" s="98" t="str">
        <f>IF(OR('41_Clasificacion_Empresas'!F203="A",'41_Clasificacion_Empresas'!F203="B"),'41_Clasificacion_Empresas'!C203,"")</f>
        <v/>
      </c>
      <c r="B203" s="98" t="str">
        <f>IF(A203="","",'41_Clasificacion_Empresas'!D203)</f>
        <v/>
      </c>
      <c r="C203" s="98" t="str">
        <f>IF(A203="","",IF('41_Clasificacion_Empresas'!F203="A","🟢 Oportunidad inmediata","🟡 Oportunidad interesante"))</f>
        <v/>
      </c>
      <c r="D203" s="123" t="str">
        <f>IF(A203="","",'41_Clasificacion_Empresas'!L203)</f>
        <v/>
      </c>
      <c r="E203" s="98" t="str">
        <f>IF(A203="","",'41_Clasificacion_Empresas'!M203)</f>
        <v/>
      </c>
      <c r="F203" s="122" t="str">
        <f t="shared" ca="1" si="12"/>
        <v/>
      </c>
      <c r="G203" s="98" t="str">
        <f>IF(A203="","",'41_Clasificacion_Empresas'!J203)</f>
        <v/>
      </c>
      <c r="H203" s="98" t="str">
        <f t="shared" si="13"/>
        <v/>
      </c>
      <c r="I203" s="98" t="str">
        <f>IF(A203="","",INDEX('40_Estudio_Empresas'!$X$3:$X$204,ROW()-4))</f>
        <v/>
      </c>
      <c r="J203" s="98" t="str">
        <f>IF(A203="","",'41_Clasificacion_Empresas'!G203)</f>
        <v/>
      </c>
      <c r="K203" s="98" t="str">
        <f>IF(A203="","",'41_Clasificacion_Empresas'!K203)</f>
        <v/>
      </c>
      <c r="L203" s="98" t="str">
        <f>IF(A203="","",IF('41_Clasificacion_Empresas'!F203="A","Alta","Media"))</f>
        <v/>
      </c>
      <c r="M203" s="98" t="str">
        <f>IF(A203="","",IF('41_Clasificacion_Empresas'!F203="A","Pasar a CRM y seguimiento","Mantener seguimiento y estudiar más"))</f>
        <v/>
      </c>
    </row>
    <row r="204" spans="1:13">
      <c r="A204" s="98" t="str">
        <f>IF(OR('41_Clasificacion_Empresas'!F204="A",'41_Clasificacion_Empresas'!F204="B"),'41_Clasificacion_Empresas'!C204,"")</f>
        <v/>
      </c>
      <c r="B204" s="98" t="str">
        <f>IF(A204="","",'41_Clasificacion_Empresas'!D204)</f>
        <v/>
      </c>
      <c r="C204" s="98" t="str">
        <f>IF(A204="","",IF('41_Clasificacion_Empresas'!F204="A","🟢 Oportunidad inmediata","🟡 Oportunidad interesante"))</f>
        <v/>
      </c>
      <c r="D204" s="123" t="str">
        <f>IF(A204="","",'41_Clasificacion_Empresas'!L204)</f>
        <v/>
      </c>
      <c r="E204" s="98" t="str">
        <f>IF(A204="","",'41_Clasificacion_Empresas'!M204)</f>
        <v/>
      </c>
      <c r="F204" s="122" t="str">
        <f t="shared" ca="1" si="12"/>
        <v/>
      </c>
      <c r="G204" s="98" t="str">
        <f>IF(A204="","",'41_Clasificacion_Empresas'!J204)</f>
        <v/>
      </c>
      <c r="H204" s="98" t="str">
        <f t="shared" si="13"/>
        <v/>
      </c>
      <c r="I204" s="98" t="str">
        <f>IF(A204="","",INDEX('40_Estudio_Empresas'!$X$3:$X$204,ROW()-4))</f>
        <v/>
      </c>
      <c r="J204" s="98" t="str">
        <f>IF(A204="","",'41_Clasificacion_Empresas'!G204)</f>
        <v/>
      </c>
      <c r="K204" s="98" t="str">
        <f>IF(A204="","",'41_Clasificacion_Empresas'!K204)</f>
        <v/>
      </c>
      <c r="L204" s="98" t="str">
        <f>IF(A204="","",IF('41_Clasificacion_Empresas'!F204="A","Alta","Media"))</f>
        <v/>
      </c>
      <c r="M204" s="98" t="str">
        <f>IF(A204="","",IF('41_Clasificacion_Empresas'!F204="A","Pasar a CRM y seguimiento","Mantener seguimiento y estudiar más"))</f>
        <v/>
      </c>
    </row>
    <row r="205" spans="1:13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</row>
    <row r="206" spans="1:13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</row>
    <row r="207" spans="1:13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</row>
    <row r="208" spans="1:13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</row>
    <row r="209" spans="1:13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</row>
    <row r="210" spans="1:13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</row>
    <row r="211" spans="1:13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</row>
    <row r="212" spans="1:13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</row>
    <row r="213" spans="1: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</row>
    <row r="214" spans="1:13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</row>
    <row r="215" spans="1:13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</row>
    <row r="216" spans="1:13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</row>
    <row r="217" spans="1:13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</row>
    <row r="218" spans="1:13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</row>
    <row r="219" spans="1:13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</row>
    <row r="220" spans="1:13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</row>
  </sheetData>
  <mergeCells count="1">
    <mergeCell ref="A1:M1"/>
  </mergeCells>
  <conditionalFormatting sqref="C5:C104">
    <cfRule type="expression" dxfId="580" priority="1">
      <formula>OR(ISNUMBER(SEARCH("Crítico",C5)),ISNUMBER(SEARCH("Controlar",C5)),ISNUMBER(SEARCH("Pendiente",C5)))</formula>
    </cfRule>
    <cfRule type="expression" dxfId="579" priority="2">
      <formula>OR(ISNUMBER(SEARCH("Atención",C5)),ISNUMBER(SEARCH("En construcción",C5)),ISNUMBER(SEARCH("Revisar",C5)),ISNUMBER(SEARCH("Manual",C5)),ISNUMBER(SEARCH("Vacío",C5)))</formula>
    </cfRule>
    <cfRule type="expression" dxfId="578" priority="3">
      <formula>OR(ISNUMBER(SEARCH("Cumple",C5)),ISNUMBER(SEARCH("Meta",C5)),ISNUMBER(SEARCH("Positivo",C5)),ISNUMBER(SEARCH("Activo",C5)),ISNUMBER(SEARCH("Fuerte",C5)),ISNUMBER(SEARCH("Cuadrado",C5)),ISNUMBER(SEARCH("OK",C5)))</formula>
    </cfRule>
    <cfRule type="expression" dxfId="577" priority="4">
      <formula>ISNUMBER(SEARCH("Dominio",C5))</formula>
    </cfRule>
  </conditionalFormatting>
  <conditionalFormatting sqref="C5:C204">
    <cfRule type="expression" dxfId="576" priority="23">
      <formula>ISNUMBER(SEARCH("C - Observar",C5))</formula>
    </cfRule>
    <cfRule type="expression" dxfId="575" priority="24">
      <formula>ISNUMBER(SEARCH("X - Descartar",C5))</formula>
    </cfRule>
    <cfRule type="expression" dxfId="574" priority="25">
      <formula>ISNUMBER(SEARCH("🔴",C5))</formula>
    </cfRule>
    <cfRule type="expression" dxfId="573" priority="29">
      <formula>ISNUMBER(SEARCH("⭐",C5))</formula>
    </cfRule>
    <cfRule type="expression" dxfId="572" priority="26">
      <formula>ISNUMBER(SEARCH("🟡",C5))</formula>
    </cfRule>
    <cfRule type="expression" dxfId="571" priority="27">
      <formula>ISNUMBER(SEARCH("🟢",C5))</formula>
    </cfRule>
    <cfRule type="expression" dxfId="570" priority="28">
      <formula>ISNUMBER(SEARCH("🔵",C5))</formula>
    </cfRule>
    <cfRule type="expression" dxfId="569" priority="38">
      <formula>ISNUMBER(SEARCH("Observar",C5))</formula>
    </cfRule>
    <cfRule type="expression" dxfId="568" priority="37">
      <formula>ISNUMBER(SEARCH("Seguimiento",C5))</formula>
    </cfRule>
    <cfRule type="expression" dxfId="567" priority="36">
      <formula>ISNUMBER(SEARCH("Oportunidad",C5))</formula>
    </cfRule>
    <cfRule type="expression" dxfId="566" priority="35">
      <formula>ISNUMBER(SEARCH("CRM",C5))</formula>
    </cfRule>
    <cfRule type="expression" dxfId="565" priority="34">
      <formula>ISNUMBER(SEARCH("Descartar",C5))</formula>
    </cfRule>
    <cfRule type="expression" dxfId="564" priority="33">
      <formula>ISNUMBER(SEARCH("Pendiente",C5))</formula>
    </cfRule>
    <cfRule type="expression" dxfId="563" priority="32">
      <formula>ISNUMBER(SEARCH("Cumplido",C5))</formula>
    </cfRule>
    <cfRule type="expression" dxfId="562" priority="31">
      <formula>ISNUMBER(SEARCH("En proceso",C5))</formula>
    </cfRule>
    <cfRule type="expression" dxfId="561" priority="30">
      <formula>ISNUMBER(SEARCH("Riesgo",C5))</formula>
    </cfRule>
    <cfRule type="expression" dxfId="560" priority="21">
      <formula>ISNUMBER(SEARCH("A - Inmediata",C5))</formula>
    </cfRule>
    <cfRule type="expression" dxfId="559" priority="22">
      <formula>ISNUMBER(SEARCH("B - Interesante",C5))</formula>
    </cfRule>
  </conditionalFormatting>
  <conditionalFormatting sqref="G5:G204">
    <cfRule type="expression" dxfId="558" priority="51">
      <formula>ISNUMBER(SEARCH("Pendiente",G5))</formula>
    </cfRule>
    <cfRule type="expression" dxfId="557" priority="52">
      <formula>ISNUMBER(SEARCH("Descartar",G5))</formula>
    </cfRule>
    <cfRule type="expression" dxfId="556" priority="53">
      <formula>ISNUMBER(SEARCH("CRM",G5))</formula>
    </cfRule>
    <cfRule type="expression" dxfId="555" priority="54">
      <formula>ISNUMBER(SEARCH("Oportunidad",G5))</formula>
    </cfRule>
    <cfRule type="expression" dxfId="554" priority="55">
      <formula>ISNUMBER(SEARCH("Seguimiento",G5))</formula>
    </cfRule>
    <cfRule type="expression" dxfId="553" priority="56">
      <formula>ISNUMBER(SEARCH("Observar",G5))</formula>
    </cfRule>
    <cfRule type="expression" dxfId="552" priority="49">
      <formula>ISNUMBER(SEARCH("En proceso",G5))</formula>
    </cfRule>
    <cfRule type="expression" dxfId="551" priority="39">
      <formula>ISNUMBER(SEARCH("A - Inmediata",G5))</formula>
    </cfRule>
    <cfRule type="expression" dxfId="550" priority="40">
      <formula>ISNUMBER(SEARCH("B - Interesante",G5))</formula>
    </cfRule>
    <cfRule type="expression" dxfId="549" priority="41">
      <formula>ISNUMBER(SEARCH("C - Observar",G5))</formula>
    </cfRule>
    <cfRule type="expression" dxfId="548" priority="42">
      <formula>ISNUMBER(SEARCH("X - Descartar",G5))</formula>
    </cfRule>
    <cfRule type="expression" dxfId="547" priority="43">
      <formula>ISNUMBER(SEARCH("🔴",G5))</formula>
    </cfRule>
    <cfRule type="expression" dxfId="546" priority="44">
      <formula>ISNUMBER(SEARCH("🟡",G5))</formula>
    </cfRule>
    <cfRule type="expression" dxfId="545" priority="45">
      <formula>ISNUMBER(SEARCH("🟢",G5))</formula>
    </cfRule>
    <cfRule type="expression" dxfId="544" priority="46">
      <formula>ISNUMBER(SEARCH("🔵",G5))</formula>
    </cfRule>
    <cfRule type="expression" dxfId="543" priority="47">
      <formula>ISNUMBER(SEARCH("⭐",G5))</formula>
    </cfRule>
    <cfRule type="expression" dxfId="542" priority="48">
      <formula>ISNUMBER(SEARCH("Riesgo",G5))</formula>
    </cfRule>
    <cfRule type="expression" dxfId="541" priority="50">
      <formula>ISNUMBER(SEARCH("Cumplido",G5))</formula>
    </cfRule>
  </conditionalFormatting>
  <conditionalFormatting sqref="H2:H50">
    <cfRule type="expression" dxfId="540" priority="5">
      <formula>ISNUMBER(SEARCH("Riesgo",H2))</formula>
    </cfRule>
    <cfRule type="expression" dxfId="539" priority="6">
      <formula>ISNUMBER(SEARCH("Crítico",H2))</formula>
    </cfRule>
    <cfRule type="expression" dxfId="538" priority="7">
      <formula>ISNUMBER(SEARCH("Pendiente",H2))</formula>
    </cfRule>
    <cfRule type="expression" dxfId="537" priority="9">
      <formula>ISNUMBER(SEARCH("Atención",H2))</formula>
    </cfRule>
    <cfRule type="expression" dxfId="536" priority="10">
      <formula>ISNUMBER(SEARCH("En proceso",H2))</formula>
    </cfRule>
    <cfRule type="expression" dxfId="535" priority="11">
      <formula>ISNUMBER(SEARCH("Meta",H2))</formula>
    </cfRule>
    <cfRule type="expression" dxfId="534" priority="12">
      <formula>ISNUMBER(SEARCH("Cumple",H2))</formula>
    </cfRule>
    <cfRule type="expression" dxfId="533" priority="20">
      <formula>ISNUMBER(SEARCH("Vacío",H2))</formula>
    </cfRule>
    <cfRule type="expression" dxfId="532" priority="8">
      <formula>ISNUMBER(SEARCH("En riesgo",H2))</formula>
    </cfRule>
    <cfRule type="expression" dxfId="531" priority="19">
      <formula>ISNUMBER(SEARCH("Revisar",H2))</formula>
    </cfRule>
    <cfRule type="expression" dxfId="530" priority="18">
      <formula>ISNUMBER(SEARCH("Cuadrado",H2))</formula>
    </cfRule>
    <cfRule type="expression" dxfId="529" priority="17">
      <formula>ISNUMBER(SEARCH("Superado",H2))</formula>
    </cfRule>
    <cfRule type="expression" dxfId="528" priority="16">
      <formula>ISNUMBER(SEARCH("Alto",H2))</formula>
    </cfRule>
    <cfRule type="expression" dxfId="527" priority="15">
      <formula>ISNUMBER(SEARCH("Dominio",H2))</formula>
    </cfRule>
    <cfRule type="expression" dxfId="526" priority="14">
      <formula>ISNUMBER(SEARCH("Positivo",H2))</formula>
    </cfRule>
    <cfRule type="expression" dxfId="525" priority="13">
      <formula>ISNUMBER(SEARCH("Cumplido",H2))</formula>
    </cfRule>
  </conditionalFormatting>
  <dataValidations count="6">
    <dataValidation type="list" allowBlank="1" sqref="B5:B100" xr:uid="{00000000-0002-0000-4500-000000000000}">
      <formula1>"Cliente potencial,Comprador,Vendedor/Proveedor,Alianza,Referidor,Aprendizaje mercado,Networking,Servicio/Proveedor,Inversión/Capital"</formula1>
    </dataValidation>
    <dataValidation type="list" allowBlank="1" sqref="C5:C100" xr:uid="{00000000-0002-0000-4500-000001000000}">
      <formula1>"Nueva,En estudio,Calificada,Contactar,Contactada,En seguimiento,Pausada,Descartada,Convertida"</formula1>
    </dataValidation>
    <dataValidation type="list" allowBlank="1" sqref="D5:D100" xr:uid="{00000000-0002-0000-4500-000002000000}">
      <formula1>"Bajo,Medio,Alto,Estratégico"</formula1>
    </dataValidation>
    <dataValidation type="list" allowBlank="1" sqref="G5:G100" xr:uid="{00000000-0002-0000-4500-000003000000}">
      <formula1>"Baja,Media,Alta,Crítica"</formula1>
    </dataValidation>
    <dataValidation type="list" allowBlank="1" sqref="K5:K100" xr:uid="{00000000-0002-0000-4500-000004000000}">
      <formula1>"Bajo,Medio,Alto"</formula1>
    </dataValidation>
    <dataValidation type="list" allowBlank="1" sqref="L5:L100" xr:uid="{00000000-0002-0000-4500-000005000000}">
      <formula1>"10%,25%,50%,75%,90%"</formula1>
    </dataValidation>
  </dataValidation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C09000"/>
  </sheetPr>
  <dimension ref="A1:K204"/>
  <sheetViews>
    <sheetView showGridLines="0" workbookViewId="0"/>
  </sheetViews>
  <sheetFormatPr baseColWidth="10" defaultColWidth="14.453125" defaultRowHeight="14.5"/>
  <cols>
    <col min="1" max="1" width="93.36328125" customWidth="1"/>
    <col min="2" max="2" width="14.7265625" customWidth="1"/>
    <col min="3" max="3" width="10" customWidth="1"/>
    <col min="4" max="4" width="14.54296875" customWidth="1"/>
    <col min="5" max="5" width="11" customWidth="1"/>
    <col min="6" max="6" width="10.453125" customWidth="1"/>
    <col min="7" max="7" width="16" customWidth="1"/>
    <col min="8" max="8" width="11.81640625" customWidth="1"/>
    <col min="9" max="9" width="8" customWidth="1"/>
    <col min="10" max="10" width="16.1796875" customWidth="1"/>
    <col min="11" max="11" width="13.26953125" customWidth="1"/>
  </cols>
  <sheetData>
    <row r="1" spans="1:11" ht="21" customHeight="1">
      <c r="A1" s="502" t="s">
        <v>2889</v>
      </c>
      <c r="B1" s="426"/>
      <c r="C1" s="426"/>
      <c r="D1" s="426"/>
      <c r="E1" s="426"/>
      <c r="F1" s="426"/>
      <c r="G1" s="426"/>
      <c r="H1" s="426"/>
      <c r="I1" s="120"/>
      <c r="J1" s="120"/>
      <c r="K1" s="120"/>
    </row>
    <row r="2" spans="1:11">
      <c r="A2" s="501" t="s">
        <v>2890</v>
      </c>
      <c r="B2" s="426"/>
      <c r="C2" s="426"/>
      <c r="D2" s="426"/>
      <c r="E2" s="426"/>
      <c r="F2" s="426"/>
      <c r="G2" s="426"/>
      <c r="H2" s="426"/>
      <c r="I2" s="121"/>
      <c r="J2" s="121"/>
      <c r="K2" s="121"/>
    </row>
    <row r="3" spans="1:11">
      <c r="A3" s="4"/>
      <c r="B3" s="4"/>
      <c r="C3" s="4"/>
      <c r="D3" s="4"/>
      <c r="E3" s="4"/>
      <c r="F3" s="4"/>
      <c r="G3" s="83"/>
      <c r="H3" s="4"/>
    </row>
    <row r="4" spans="1:11" ht="29" customHeight="1">
      <c r="A4" s="130" t="s">
        <v>13</v>
      </c>
      <c r="B4" s="130" t="s">
        <v>2891</v>
      </c>
      <c r="C4" s="130" t="s">
        <v>696</v>
      </c>
      <c r="D4" s="130" t="s">
        <v>1236</v>
      </c>
      <c r="E4" s="130" t="s">
        <v>1065</v>
      </c>
      <c r="F4" s="130" t="s">
        <v>248</v>
      </c>
      <c r="G4" s="130" t="s">
        <v>2892</v>
      </c>
      <c r="H4" s="130" t="s">
        <v>2893</v>
      </c>
      <c r="I4" s="130" t="s">
        <v>2894</v>
      </c>
      <c r="J4" s="130" t="s">
        <v>253</v>
      </c>
      <c r="K4" s="130" t="s">
        <v>1207</v>
      </c>
    </row>
    <row r="5" spans="1:11">
      <c r="A5" s="91" t="str">
        <f ca="1">IF('32_Oportunidades'!A5="","",TODAY())</f>
        <v/>
      </c>
      <c r="B5" s="66" t="str">
        <f>IF('32_Oportunidades'!A5="","",'32_Oportunidades'!A5)</f>
        <v/>
      </c>
      <c r="C5" s="66" t="str">
        <f t="shared" ref="C5:C36" si="0">IF(B5="","","Seguimiento estratégico")</f>
        <v/>
      </c>
      <c r="D5" s="66" t="str">
        <f t="shared" ref="D5:D36" si="1">IF(B5="","","Pendiente")</f>
        <v/>
      </c>
      <c r="E5" s="66" t="str">
        <f>IF(B5="","",'32_Oportunidades'!E5)</f>
        <v/>
      </c>
      <c r="F5" s="132" t="str">
        <f>IF(B5="","",'32_Oportunidades'!G5)</f>
        <v/>
      </c>
      <c r="G5" s="133" t="str">
        <f t="shared" ref="G5:G36" si="2">IF(B5="","","🟡 En proceso")</f>
        <v/>
      </c>
      <c r="H5" s="131" t="str">
        <f>IF(B5="","",'32_Oportunidades'!F5)</f>
        <v/>
      </c>
      <c r="I5" s="98" t="str">
        <f t="shared" ref="I5:I36" si="3">IF(B5="","","LinkedIn / Web / WhatsApp / Email")</f>
        <v/>
      </c>
      <c r="J5" s="98" t="str">
        <f t="shared" ref="J5:J36" si="4">IF(B5="","","Validar empresa y definir si pasa a CRM activo")</f>
        <v/>
      </c>
      <c r="K5" s="98" t="str">
        <f>IF(B5="","",'32_Oportunidades'!M5)</f>
        <v/>
      </c>
    </row>
    <row r="6" spans="1:11">
      <c r="A6" s="91" t="str">
        <f ca="1">IF('32_Oportunidades'!A6="","",TODAY())</f>
        <v/>
      </c>
      <c r="B6" s="66" t="str">
        <f>IF('32_Oportunidades'!A6="","",'32_Oportunidades'!A6)</f>
        <v/>
      </c>
      <c r="C6" s="66" t="str">
        <f t="shared" si="0"/>
        <v/>
      </c>
      <c r="D6" s="66" t="str">
        <f t="shared" si="1"/>
        <v/>
      </c>
      <c r="E6" s="66" t="str">
        <f>IF(B6="","",'32_Oportunidades'!E6)</f>
        <v/>
      </c>
      <c r="F6" s="132" t="str">
        <f>IF(B6="","",'32_Oportunidades'!G6)</f>
        <v/>
      </c>
      <c r="G6" s="133" t="str">
        <f t="shared" si="2"/>
        <v/>
      </c>
      <c r="H6" s="131" t="str">
        <f>IF(B6="","",'32_Oportunidades'!F6)</f>
        <v/>
      </c>
      <c r="I6" s="98" t="str">
        <f t="shared" si="3"/>
        <v/>
      </c>
      <c r="J6" s="98" t="str">
        <f t="shared" si="4"/>
        <v/>
      </c>
      <c r="K6" s="98" t="str">
        <f>IF(B6="","",'32_Oportunidades'!M6)</f>
        <v/>
      </c>
    </row>
    <row r="7" spans="1:11">
      <c r="A7" s="91" t="str">
        <f ca="1">IF('32_Oportunidades'!A7="","",TODAY())</f>
        <v/>
      </c>
      <c r="B7" s="66" t="str">
        <f>IF('32_Oportunidades'!A7="","",'32_Oportunidades'!A7)</f>
        <v/>
      </c>
      <c r="C7" s="66" t="str">
        <f t="shared" si="0"/>
        <v/>
      </c>
      <c r="D7" s="66" t="str">
        <f t="shared" si="1"/>
        <v/>
      </c>
      <c r="E7" s="66" t="str">
        <f>IF(B7="","",'32_Oportunidades'!E7)</f>
        <v/>
      </c>
      <c r="F7" s="132" t="str">
        <f>IF(B7="","",'32_Oportunidades'!G7)</f>
        <v/>
      </c>
      <c r="G7" s="133" t="str">
        <f t="shared" si="2"/>
        <v/>
      </c>
      <c r="H7" s="131" t="str">
        <f>IF(B7="","",'32_Oportunidades'!F7)</f>
        <v/>
      </c>
      <c r="I7" s="98" t="str">
        <f t="shared" si="3"/>
        <v/>
      </c>
      <c r="J7" s="98" t="str">
        <f t="shared" si="4"/>
        <v/>
      </c>
      <c r="K7" s="98" t="str">
        <f>IF(B7="","",'32_Oportunidades'!M7)</f>
        <v/>
      </c>
    </row>
    <row r="8" spans="1:11">
      <c r="A8" s="91" t="str">
        <f ca="1">IF('32_Oportunidades'!A8="","",TODAY())</f>
        <v/>
      </c>
      <c r="B8" s="66" t="str">
        <f>IF('32_Oportunidades'!A8="","",'32_Oportunidades'!A8)</f>
        <v/>
      </c>
      <c r="C8" s="66" t="str">
        <f t="shared" si="0"/>
        <v/>
      </c>
      <c r="D8" s="66" t="str">
        <f t="shared" si="1"/>
        <v/>
      </c>
      <c r="E8" s="66" t="str">
        <f>IF(B8="","",'32_Oportunidades'!E8)</f>
        <v/>
      </c>
      <c r="F8" s="132" t="str">
        <f>IF(B8="","",'32_Oportunidades'!G8)</f>
        <v/>
      </c>
      <c r="G8" s="133" t="str">
        <f t="shared" si="2"/>
        <v/>
      </c>
      <c r="H8" s="131" t="str">
        <f>IF(B8="","",'32_Oportunidades'!F8)</f>
        <v/>
      </c>
      <c r="I8" s="98" t="str">
        <f t="shared" si="3"/>
        <v/>
      </c>
      <c r="J8" s="98" t="str">
        <f t="shared" si="4"/>
        <v/>
      </c>
      <c r="K8" s="98" t="str">
        <f>IF(B8="","",'32_Oportunidades'!M8)</f>
        <v/>
      </c>
    </row>
    <row r="9" spans="1:11">
      <c r="A9" s="91" t="str">
        <f ca="1">IF('32_Oportunidades'!A9="","",TODAY())</f>
        <v/>
      </c>
      <c r="B9" s="66" t="str">
        <f>IF('32_Oportunidades'!A9="","",'32_Oportunidades'!A9)</f>
        <v/>
      </c>
      <c r="C9" s="66" t="str">
        <f t="shared" si="0"/>
        <v/>
      </c>
      <c r="D9" s="66" t="str">
        <f t="shared" si="1"/>
        <v/>
      </c>
      <c r="E9" s="66" t="str">
        <f>IF(B9="","",'32_Oportunidades'!E9)</f>
        <v/>
      </c>
      <c r="F9" s="132" t="str">
        <f>IF(B9="","",'32_Oportunidades'!G9)</f>
        <v/>
      </c>
      <c r="G9" s="133" t="str">
        <f t="shared" si="2"/>
        <v/>
      </c>
      <c r="H9" s="131" t="str">
        <f>IF(B9="","",'32_Oportunidades'!F9)</f>
        <v/>
      </c>
      <c r="I9" s="98" t="str">
        <f t="shared" si="3"/>
        <v/>
      </c>
      <c r="J9" s="98" t="str">
        <f t="shared" si="4"/>
        <v/>
      </c>
      <c r="K9" s="98" t="str">
        <f>IF(B9="","",'32_Oportunidades'!M9)</f>
        <v/>
      </c>
    </row>
    <row r="10" spans="1:11">
      <c r="A10" s="91" t="str">
        <f ca="1">IF('32_Oportunidades'!A10="","",TODAY())</f>
        <v/>
      </c>
      <c r="B10" s="66" t="str">
        <f>IF('32_Oportunidades'!A10="","",'32_Oportunidades'!A10)</f>
        <v/>
      </c>
      <c r="C10" s="66" t="str">
        <f t="shared" si="0"/>
        <v/>
      </c>
      <c r="D10" s="66" t="str">
        <f t="shared" si="1"/>
        <v/>
      </c>
      <c r="E10" s="66" t="str">
        <f>IF(B10="","",'32_Oportunidades'!E10)</f>
        <v/>
      </c>
      <c r="F10" s="132" t="str">
        <f>IF(B10="","",'32_Oportunidades'!G10)</f>
        <v/>
      </c>
      <c r="G10" s="133" t="str">
        <f t="shared" si="2"/>
        <v/>
      </c>
      <c r="H10" s="131" t="str">
        <f>IF(B10="","",'32_Oportunidades'!F10)</f>
        <v/>
      </c>
      <c r="I10" s="98" t="str">
        <f t="shared" si="3"/>
        <v/>
      </c>
      <c r="J10" s="98" t="str">
        <f t="shared" si="4"/>
        <v/>
      </c>
      <c r="K10" s="98" t="str">
        <f>IF(B10="","",'32_Oportunidades'!M10)</f>
        <v/>
      </c>
    </row>
    <row r="11" spans="1:11" ht="1.9" customHeight="1">
      <c r="A11" s="91" t="str">
        <f ca="1">IF('32_Oportunidades'!A11="","",TODAY())</f>
        <v/>
      </c>
      <c r="B11" s="66" t="str">
        <f>IF('32_Oportunidades'!A11="","",'32_Oportunidades'!A11)</f>
        <v/>
      </c>
      <c r="C11" s="66" t="str">
        <f t="shared" si="0"/>
        <v/>
      </c>
      <c r="D11" s="66" t="str">
        <f t="shared" si="1"/>
        <v/>
      </c>
      <c r="E11" s="66" t="str">
        <f>IF(B11="","",'32_Oportunidades'!E11)</f>
        <v/>
      </c>
      <c r="F11" s="132" t="str">
        <f>IF(B11="","",'32_Oportunidades'!G11)</f>
        <v/>
      </c>
      <c r="G11" s="133" t="str">
        <f t="shared" si="2"/>
        <v/>
      </c>
      <c r="H11" s="131" t="str">
        <f>IF(B11="","",'32_Oportunidades'!F11)</f>
        <v/>
      </c>
      <c r="I11" s="98" t="str">
        <f t="shared" si="3"/>
        <v/>
      </c>
      <c r="J11" s="98" t="str">
        <f t="shared" si="4"/>
        <v/>
      </c>
      <c r="K11" s="98" t="str">
        <f>IF(B11="","",'32_Oportunidades'!M11)</f>
        <v/>
      </c>
    </row>
    <row r="12" spans="1:11" ht="1.9" customHeight="1">
      <c r="A12" s="91" t="str">
        <f ca="1">IF('32_Oportunidades'!A12="","",TODAY())</f>
        <v/>
      </c>
      <c r="B12" s="66" t="str">
        <f>IF('32_Oportunidades'!A12="","",'32_Oportunidades'!A12)</f>
        <v/>
      </c>
      <c r="C12" s="66" t="str">
        <f t="shared" si="0"/>
        <v/>
      </c>
      <c r="D12" s="66" t="str">
        <f t="shared" si="1"/>
        <v/>
      </c>
      <c r="E12" s="66" t="str">
        <f>IF(B12="","",'32_Oportunidades'!E12)</f>
        <v/>
      </c>
      <c r="F12" s="132" t="str">
        <f>IF(B12="","",'32_Oportunidades'!G12)</f>
        <v/>
      </c>
      <c r="G12" s="133" t="str">
        <f t="shared" si="2"/>
        <v/>
      </c>
      <c r="H12" s="131" t="str">
        <f>IF(B12="","",'32_Oportunidades'!F12)</f>
        <v/>
      </c>
      <c r="I12" s="98" t="str">
        <f t="shared" si="3"/>
        <v/>
      </c>
      <c r="J12" s="98" t="str">
        <f t="shared" si="4"/>
        <v/>
      </c>
      <c r="K12" s="98" t="str">
        <f>IF(B12="","",'32_Oportunidades'!M12)</f>
        <v/>
      </c>
    </row>
    <row r="13" spans="1:11" ht="1.9" customHeight="1">
      <c r="A13" s="91" t="str">
        <f ca="1">IF('32_Oportunidades'!A13="","",TODAY())</f>
        <v/>
      </c>
      <c r="B13" s="66" t="str">
        <f>IF('32_Oportunidades'!A13="","",'32_Oportunidades'!A13)</f>
        <v/>
      </c>
      <c r="C13" s="66" t="str">
        <f t="shared" si="0"/>
        <v/>
      </c>
      <c r="D13" s="66" t="str">
        <f t="shared" si="1"/>
        <v/>
      </c>
      <c r="E13" s="66" t="str">
        <f>IF(B13="","",'32_Oportunidades'!E13)</f>
        <v/>
      </c>
      <c r="F13" s="132" t="str">
        <f>IF(B13="","",'32_Oportunidades'!G13)</f>
        <v/>
      </c>
      <c r="G13" s="133" t="str">
        <f t="shared" si="2"/>
        <v/>
      </c>
      <c r="H13" s="131" t="str">
        <f>IF(B13="","",'32_Oportunidades'!F13)</f>
        <v/>
      </c>
      <c r="I13" s="98" t="str">
        <f t="shared" si="3"/>
        <v/>
      </c>
      <c r="J13" s="98" t="str">
        <f t="shared" si="4"/>
        <v/>
      </c>
      <c r="K13" s="98" t="str">
        <f>IF(B13="","",'32_Oportunidades'!M13)</f>
        <v/>
      </c>
    </row>
    <row r="14" spans="1:11" ht="1.9" customHeight="1">
      <c r="A14" s="91" t="str">
        <f ca="1">IF('32_Oportunidades'!A14="","",TODAY())</f>
        <v/>
      </c>
      <c r="B14" s="66" t="str">
        <f>IF('32_Oportunidades'!A14="","",'32_Oportunidades'!A14)</f>
        <v/>
      </c>
      <c r="C14" s="66" t="str">
        <f t="shared" si="0"/>
        <v/>
      </c>
      <c r="D14" s="66" t="str">
        <f t="shared" si="1"/>
        <v/>
      </c>
      <c r="E14" s="66" t="str">
        <f>IF(B14="","",'32_Oportunidades'!E14)</f>
        <v/>
      </c>
      <c r="F14" s="132" t="str">
        <f>IF(B14="","",'32_Oportunidades'!G14)</f>
        <v/>
      </c>
      <c r="G14" s="133" t="str">
        <f t="shared" si="2"/>
        <v/>
      </c>
      <c r="H14" s="131" t="str">
        <f>IF(B14="","",'32_Oportunidades'!F14)</f>
        <v/>
      </c>
      <c r="I14" s="98" t="str">
        <f t="shared" si="3"/>
        <v/>
      </c>
      <c r="J14" s="98" t="str">
        <f t="shared" si="4"/>
        <v/>
      </c>
      <c r="K14" s="98" t="str">
        <f>IF(B14="","",'32_Oportunidades'!M14)</f>
        <v/>
      </c>
    </row>
    <row r="15" spans="1:11" ht="1.9" customHeight="1">
      <c r="A15" s="91" t="str">
        <f ca="1">IF('32_Oportunidades'!A15="","",TODAY())</f>
        <v/>
      </c>
      <c r="B15" s="66" t="str">
        <f>IF('32_Oportunidades'!A15="","",'32_Oportunidades'!A15)</f>
        <v/>
      </c>
      <c r="C15" s="66" t="str">
        <f t="shared" si="0"/>
        <v/>
      </c>
      <c r="D15" s="66" t="str">
        <f t="shared" si="1"/>
        <v/>
      </c>
      <c r="E15" s="66" t="str">
        <f>IF(B15="","",'32_Oportunidades'!E15)</f>
        <v/>
      </c>
      <c r="F15" s="132" t="str">
        <f>IF(B15="","",'32_Oportunidades'!G15)</f>
        <v/>
      </c>
      <c r="G15" s="133" t="str">
        <f t="shared" si="2"/>
        <v/>
      </c>
      <c r="H15" s="131" t="str">
        <f>IF(B15="","",'32_Oportunidades'!F15)</f>
        <v/>
      </c>
      <c r="I15" s="98" t="str">
        <f t="shared" si="3"/>
        <v/>
      </c>
      <c r="J15" s="98" t="str">
        <f t="shared" si="4"/>
        <v/>
      </c>
      <c r="K15" s="98" t="str">
        <f>IF(B15="","",'32_Oportunidades'!M15)</f>
        <v/>
      </c>
    </row>
    <row r="16" spans="1:11" ht="1.9" customHeight="1">
      <c r="A16" s="91" t="str">
        <f ca="1">IF('32_Oportunidades'!A16="","",TODAY())</f>
        <v/>
      </c>
      <c r="B16" s="66" t="str">
        <f>IF('32_Oportunidades'!A16="","",'32_Oportunidades'!A16)</f>
        <v/>
      </c>
      <c r="C16" s="66" t="str">
        <f t="shared" si="0"/>
        <v/>
      </c>
      <c r="D16" s="66" t="str">
        <f t="shared" si="1"/>
        <v/>
      </c>
      <c r="E16" s="66" t="str">
        <f>IF(B16="","",'32_Oportunidades'!E16)</f>
        <v/>
      </c>
      <c r="F16" s="132" t="str">
        <f>IF(B16="","",'32_Oportunidades'!G16)</f>
        <v/>
      </c>
      <c r="G16" s="133" t="str">
        <f t="shared" si="2"/>
        <v/>
      </c>
      <c r="H16" s="131" t="str">
        <f>IF(B16="","",'32_Oportunidades'!F16)</f>
        <v/>
      </c>
      <c r="I16" s="98" t="str">
        <f t="shared" si="3"/>
        <v/>
      </c>
      <c r="J16" s="98" t="str">
        <f t="shared" si="4"/>
        <v/>
      </c>
      <c r="K16" s="98" t="str">
        <f>IF(B16="","",'32_Oportunidades'!M16)</f>
        <v/>
      </c>
    </row>
    <row r="17" spans="1:11" ht="1.9" customHeight="1">
      <c r="A17" s="91" t="str">
        <f ca="1">IF('32_Oportunidades'!A17="","",TODAY())</f>
        <v/>
      </c>
      <c r="B17" s="66" t="str">
        <f>IF('32_Oportunidades'!A17="","",'32_Oportunidades'!A17)</f>
        <v/>
      </c>
      <c r="C17" s="66" t="str">
        <f t="shared" si="0"/>
        <v/>
      </c>
      <c r="D17" s="66" t="str">
        <f t="shared" si="1"/>
        <v/>
      </c>
      <c r="E17" s="66" t="str">
        <f>IF(B17="","",'32_Oportunidades'!E17)</f>
        <v/>
      </c>
      <c r="F17" s="132" t="str">
        <f>IF(B17="","",'32_Oportunidades'!G17)</f>
        <v/>
      </c>
      <c r="G17" s="133" t="str">
        <f t="shared" si="2"/>
        <v/>
      </c>
      <c r="H17" s="131" t="str">
        <f>IF(B17="","",'32_Oportunidades'!F17)</f>
        <v/>
      </c>
      <c r="I17" s="98" t="str">
        <f t="shared" si="3"/>
        <v/>
      </c>
      <c r="J17" s="98" t="str">
        <f t="shared" si="4"/>
        <v/>
      </c>
      <c r="K17" s="98" t="str">
        <f>IF(B17="","",'32_Oportunidades'!M17)</f>
        <v/>
      </c>
    </row>
    <row r="18" spans="1:11" ht="1.9" customHeight="1">
      <c r="A18" s="91" t="str">
        <f ca="1">IF('32_Oportunidades'!A18="","",TODAY())</f>
        <v/>
      </c>
      <c r="B18" s="66" t="str">
        <f>IF('32_Oportunidades'!A18="","",'32_Oportunidades'!A18)</f>
        <v/>
      </c>
      <c r="C18" s="66" t="str">
        <f t="shared" si="0"/>
        <v/>
      </c>
      <c r="D18" s="66" t="str">
        <f t="shared" si="1"/>
        <v/>
      </c>
      <c r="E18" s="66" t="str">
        <f>IF(B18="","",'32_Oportunidades'!E18)</f>
        <v/>
      </c>
      <c r="F18" s="132" t="str">
        <f>IF(B18="","",'32_Oportunidades'!G18)</f>
        <v/>
      </c>
      <c r="G18" s="133" t="str">
        <f t="shared" si="2"/>
        <v/>
      </c>
      <c r="H18" s="131" t="str">
        <f>IF(B18="","",'32_Oportunidades'!F18)</f>
        <v/>
      </c>
      <c r="I18" s="98" t="str">
        <f t="shared" si="3"/>
        <v/>
      </c>
      <c r="J18" s="98" t="str">
        <f t="shared" si="4"/>
        <v/>
      </c>
      <c r="K18" s="98" t="str">
        <f>IF(B18="","",'32_Oportunidades'!M18)</f>
        <v/>
      </c>
    </row>
    <row r="19" spans="1:11" ht="1.9" customHeight="1">
      <c r="A19" s="91" t="str">
        <f ca="1">IF('32_Oportunidades'!A19="","",TODAY())</f>
        <v/>
      </c>
      <c r="B19" s="66" t="str">
        <f>IF('32_Oportunidades'!A19="","",'32_Oportunidades'!A19)</f>
        <v/>
      </c>
      <c r="C19" s="66" t="str">
        <f t="shared" si="0"/>
        <v/>
      </c>
      <c r="D19" s="66" t="str">
        <f t="shared" si="1"/>
        <v/>
      </c>
      <c r="E19" s="66" t="str">
        <f>IF(B19="","",'32_Oportunidades'!E19)</f>
        <v/>
      </c>
      <c r="F19" s="132" t="str">
        <f>IF(B19="","",'32_Oportunidades'!G19)</f>
        <v/>
      </c>
      <c r="G19" s="133" t="str">
        <f t="shared" si="2"/>
        <v/>
      </c>
      <c r="H19" s="131" t="str">
        <f>IF(B19="","",'32_Oportunidades'!F19)</f>
        <v/>
      </c>
      <c r="I19" s="98" t="str">
        <f t="shared" si="3"/>
        <v/>
      </c>
      <c r="J19" s="98" t="str">
        <f t="shared" si="4"/>
        <v/>
      </c>
      <c r="K19" s="98" t="str">
        <f>IF(B19="","",'32_Oportunidades'!M19)</f>
        <v/>
      </c>
    </row>
    <row r="20" spans="1:11" ht="1.9" customHeight="1">
      <c r="A20" s="91" t="str">
        <f ca="1">IF('32_Oportunidades'!A20="","",TODAY())</f>
        <v/>
      </c>
      <c r="B20" s="66" t="str">
        <f>IF('32_Oportunidades'!A20="","",'32_Oportunidades'!A20)</f>
        <v/>
      </c>
      <c r="C20" s="66" t="str">
        <f t="shared" si="0"/>
        <v/>
      </c>
      <c r="D20" s="66" t="str">
        <f t="shared" si="1"/>
        <v/>
      </c>
      <c r="E20" s="66" t="str">
        <f>IF(B20="","",'32_Oportunidades'!E20)</f>
        <v/>
      </c>
      <c r="F20" s="132" t="str">
        <f>IF(B20="","",'32_Oportunidades'!G20)</f>
        <v/>
      </c>
      <c r="G20" s="133" t="str">
        <f t="shared" si="2"/>
        <v/>
      </c>
      <c r="H20" s="131" t="str">
        <f>IF(B20="","",'32_Oportunidades'!F20)</f>
        <v/>
      </c>
      <c r="I20" s="98" t="str">
        <f t="shared" si="3"/>
        <v/>
      </c>
      <c r="J20" s="98" t="str">
        <f t="shared" si="4"/>
        <v/>
      </c>
      <c r="K20" s="98" t="str">
        <f>IF(B20="","",'32_Oportunidades'!M20)</f>
        <v/>
      </c>
    </row>
    <row r="21" spans="1:11" ht="1.9" customHeight="1">
      <c r="A21" s="91" t="str">
        <f ca="1">IF('32_Oportunidades'!A21="","",TODAY())</f>
        <v/>
      </c>
      <c r="B21" s="66" t="str">
        <f>IF('32_Oportunidades'!A21="","",'32_Oportunidades'!A21)</f>
        <v/>
      </c>
      <c r="C21" s="66" t="str">
        <f t="shared" si="0"/>
        <v/>
      </c>
      <c r="D21" s="66" t="str">
        <f t="shared" si="1"/>
        <v/>
      </c>
      <c r="E21" s="66" t="str">
        <f>IF(B21="","",'32_Oportunidades'!E21)</f>
        <v/>
      </c>
      <c r="F21" s="132" t="str">
        <f>IF(B21="","",'32_Oportunidades'!G21)</f>
        <v/>
      </c>
      <c r="G21" s="133" t="str">
        <f t="shared" si="2"/>
        <v/>
      </c>
      <c r="H21" s="131" t="str">
        <f>IF(B21="","",'32_Oportunidades'!F21)</f>
        <v/>
      </c>
      <c r="I21" s="98" t="str">
        <f t="shared" si="3"/>
        <v/>
      </c>
      <c r="J21" s="98" t="str">
        <f t="shared" si="4"/>
        <v/>
      </c>
      <c r="K21" s="98" t="str">
        <f>IF(B21="","",'32_Oportunidades'!M21)</f>
        <v/>
      </c>
    </row>
    <row r="22" spans="1:11" ht="1.9" customHeight="1">
      <c r="A22" s="91" t="str">
        <f ca="1">IF('32_Oportunidades'!A22="","",TODAY())</f>
        <v/>
      </c>
      <c r="B22" s="66" t="str">
        <f>IF('32_Oportunidades'!A22="","",'32_Oportunidades'!A22)</f>
        <v/>
      </c>
      <c r="C22" s="66" t="str">
        <f t="shared" si="0"/>
        <v/>
      </c>
      <c r="D22" s="66" t="str">
        <f t="shared" si="1"/>
        <v/>
      </c>
      <c r="E22" s="66" t="str">
        <f>IF(B22="","",'32_Oportunidades'!E22)</f>
        <v/>
      </c>
      <c r="F22" s="132" t="str">
        <f>IF(B22="","",'32_Oportunidades'!G22)</f>
        <v/>
      </c>
      <c r="G22" s="133" t="str">
        <f t="shared" si="2"/>
        <v/>
      </c>
      <c r="H22" s="131" t="str">
        <f>IF(B22="","",'32_Oportunidades'!F22)</f>
        <v/>
      </c>
      <c r="I22" s="98" t="str">
        <f t="shared" si="3"/>
        <v/>
      </c>
      <c r="J22" s="98" t="str">
        <f t="shared" si="4"/>
        <v/>
      </c>
      <c r="K22" s="98" t="str">
        <f>IF(B22="","",'32_Oportunidades'!M22)</f>
        <v/>
      </c>
    </row>
    <row r="23" spans="1:11" ht="1.9" customHeight="1">
      <c r="A23" s="91" t="str">
        <f ca="1">IF('32_Oportunidades'!A23="","",TODAY())</f>
        <v/>
      </c>
      <c r="B23" s="66" t="str">
        <f>IF('32_Oportunidades'!A23="","",'32_Oportunidades'!A23)</f>
        <v/>
      </c>
      <c r="C23" s="66" t="str">
        <f t="shared" si="0"/>
        <v/>
      </c>
      <c r="D23" s="66" t="str">
        <f t="shared" si="1"/>
        <v/>
      </c>
      <c r="E23" s="66" t="str">
        <f>IF(B23="","",'32_Oportunidades'!E23)</f>
        <v/>
      </c>
      <c r="F23" s="132" t="str">
        <f>IF(B23="","",'32_Oportunidades'!G23)</f>
        <v/>
      </c>
      <c r="G23" s="133" t="str">
        <f t="shared" si="2"/>
        <v/>
      </c>
      <c r="H23" s="131" t="str">
        <f>IF(B23="","",'32_Oportunidades'!F23)</f>
        <v/>
      </c>
      <c r="I23" s="98" t="str">
        <f t="shared" si="3"/>
        <v/>
      </c>
      <c r="J23" s="98" t="str">
        <f t="shared" si="4"/>
        <v/>
      </c>
      <c r="K23" s="98" t="str">
        <f>IF(B23="","",'32_Oportunidades'!M23)</f>
        <v/>
      </c>
    </row>
    <row r="24" spans="1:11" ht="1.9" customHeight="1">
      <c r="A24" s="91" t="str">
        <f ca="1">IF('32_Oportunidades'!A24="","",TODAY())</f>
        <v/>
      </c>
      <c r="B24" s="66" t="str">
        <f>IF('32_Oportunidades'!A24="","",'32_Oportunidades'!A24)</f>
        <v/>
      </c>
      <c r="C24" s="66" t="str">
        <f t="shared" si="0"/>
        <v/>
      </c>
      <c r="D24" s="66" t="str">
        <f t="shared" si="1"/>
        <v/>
      </c>
      <c r="E24" s="66" t="str">
        <f>IF(B24="","",'32_Oportunidades'!E24)</f>
        <v/>
      </c>
      <c r="F24" s="132" t="str">
        <f>IF(B24="","",'32_Oportunidades'!G24)</f>
        <v/>
      </c>
      <c r="G24" s="133" t="str">
        <f t="shared" si="2"/>
        <v/>
      </c>
      <c r="H24" s="131" t="str">
        <f>IF(B24="","",'32_Oportunidades'!F24)</f>
        <v/>
      </c>
      <c r="I24" s="98" t="str">
        <f t="shared" si="3"/>
        <v/>
      </c>
      <c r="J24" s="98" t="str">
        <f t="shared" si="4"/>
        <v/>
      </c>
      <c r="K24" s="98" t="str">
        <f>IF(B24="","",'32_Oportunidades'!M24)</f>
        <v/>
      </c>
    </row>
    <row r="25" spans="1:11" ht="1.9" customHeight="1">
      <c r="A25" s="91" t="str">
        <f ca="1">IF('32_Oportunidades'!A25="","",TODAY())</f>
        <v/>
      </c>
      <c r="B25" s="66" t="str">
        <f>IF('32_Oportunidades'!A25="","",'32_Oportunidades'!A25)</f>
        <v/>
      </c>
      <c r="C25" s="66" t="str">
        <f t="shared" si="0"/>
        <v/>
      </c>
      <c r="D25" s="66" t="str">
        <f t="shared" si="1"/>
        <v/>
      </c>
      <c r="E25" s="66" t="str">
        <f>IF(B25="","",'32_Oportunidades'!E25)</f>
        <v/>
      </c>
      <c r="F25" s="132" t="str">
        <f>IF(B25="","",'32_Oportunidades'!G25)</f>
        <v/>
      </c>
      <c r="G25" s="133" t="str">
        <f t="shared" si="2"/>
        <v/>
      </c>
      <c r="H25" s="131" t="str">
        <f>IF(B25="","",'32_Oportunidades'!F25)</f>
        <v/>
      </c>
      <c r="I25" s="98" t="str">
        <f t="shared" si="3"/>
        <v/>
      </c>
      <c r="J25" s="98" t="str">
        <f t="shared" si="4"/>
        <v/>
      </c>
      <c r="K25" s="98" t="str">
        <f>IF(B25="","",'32_Oportunidades'!M25)</f>
        <v/>
      </c>
    </row>
    <row r="26" spans="1:11" ht="1.9" customHeight="1">
      <c r="A26" s="91" t="str">
        <f ca="1">IF('32_Oportunidades'!A26="","",TODAY())</f>
        <v/>
      </c>
      <c r="B26" s="66" t="str">
        <f>IF('32_Oportunidades'!A26="","",'32_Oportunidades'!A26)</f>
        <v/>
      </c>
      <c r="C26" s="66" t="str">
        <f t="shared" si="0"/>
        <v/>
      </c>
      <c r="D26" s="66" t="str">
        <f t="shared" si="1"/>
        <v/>
      </c>
      <c r="E26" s="66" t="str">
        <f>IF(B26="","",'32_Oportunidades'!E26)</f>
        <v/>
      </c>
      <c r="F26" s="132" t="str">
        <f>IF(B26="","",'32_Oportunidades'!G26)</f>
        <v/>
      </c>
      <c r="G26" s="133" t="str">
        <f t="shared" si="2"/>
        <v/>
      </c>
      <c r="H26" s="131" t="str">
        <f>IF(B26="","",'32_Oportunidades'!F26)</f>
        <v/>
      </c>
      <c r="I26" s="98" t="str">
        <f t="shared" si="3"/>
        <v/>
      </c>
      <c r="J26" s="98" t="str">
        <f t="shared" si="4"/>
        <v/>
      </c>
      <c r="K26" s="98" t="str">
        <f>IF(B26="","",'32_Oportunidades'!M26)</f>
        <v/>
      </c>
    </row>
    <row r="27" spans="1:11" ht="1.9" customHeight="1">
      <c r="A27" s="91" t="str">
        <f ca="1">IF('32_Oportunidades'!A27="","",TODAY())</f>
        <v/>
      </c>
      <c r="B27" s="66" t="str">
        <f>IF('32_Oportunidades'!A27="","",'32_Oportunidades'!A27)</f>
        <v/>
      </c>
      <c r="C27" s="66" t="str">
        <f t="shared" si="0"/>
        <v/>
      </c>
      <c r="D27" s="66" t="str">
        <f t="shared" si="1"/>
        <v/>
      </c>
      <c r="E27" s="66" t="str">
        <f>IF(B27="","",'32_Oportunidades'!E27)</f>
        <v/>
      </c>
      <c r="F27" s="132" t="str">
        <f>IF(B27="","",'32_Oportunidades'!G27)</f>
        <v/>
      </c>
      <c r="G27" s="133" t="str">
        <f t="shared" si="2"/>
        <v/>
      </c>
      <c r="H27" s="131" t="str">
        <f>IF(B27="","",'32_Oportunidades'!F27)</f>
        <v/>
      </c>
      <c r="I27" s="98" t="str">
        <f t="shared" si="3"/>
        <v/>
      </c>
      <c r="J27" s="98" t="str">
        <f t="shared" si="4"/>
        <v/>
      </c>
      <c r="K27" s="98" t="str">
        <f>IF(B27="","",'32_Oportunidades'!M27)</f>
        <v/>
      </c>
    </row>
    <row r="28" spans="1:11" ht="1.9" customHeight="1">
      <c r="A28" s="91" t="str">
        <f ca="1">IF('32_Oportunidades'!A28="","",TODAY())</f>
        <v/>
      </c>
      <c r="B28" s="66" t="str">
        <f>IF('32_Oportunidades'!A28="","",'32_Oportunidades'!A28)</f>
        <v/>
      </c>
      <c r="C28" s="66" t="str">
        <f t="shared" si="0"/>
        <v/>
      </c>
      <c r="D28" s="66" t="str">
        <f t="shared" si="1"/>
        <v/>
      </c>
      <c r="E28" s="66" t="str">
        <f>IF(B28="","",'32_Oportunidades'!E28)</f>
        <v/>
      </c>
      <c r="F28" s="132" t="str">
        <f>IF(B28="","",'32_Oportunidades'!G28)</f>
        <v/>
      </c>
      <c r="G28" s="133" t="str">
        <f t="shared" si="2"/>
        <v/>
      </c>
      <c r="H28" s="131" t="str">
        <f>IF(B28="","",'32_Oportunidades'!F28)</f>
        <v/>
      </c>
      <c r="I28" s="98" t="str">
        <f t="shared" si="3"/>
        <v/>
      </c>
      <c r="J28" s="98" t="str">
        <f t="shared" si="4"/>
        <v/>
      </c>
      <c r="K28" s="98" t="str">
        <f>IF(B28="","",'32_Oportunidades'!M28)</f>
        <v/>
      </c>
    </row>
    <row r="29" spans="1:11" ht="1.9" customHeight="1">
      <c r="A29" s="91" t="str">
        <f ca="1">IF('32_Oportunidades'!A29="","",TODAY())</f>
        <v/>
      </c>
      <c r="B29" s="66" t="str">
        <f>IF('32_Oportunidades'!A29="","",'32_Oportunidades'!A29)</f>
        <v/>
      </c>
      <c r="C29" s="66" t="str">
        <f t="shared" si="0"/>
        <v/>
      </c>
      <c r="D29" s="66" t="str">
        <f t="shared" si="1"/>
        <v/>
      </c>
      <c r="E29" s="66" t="str">
        <f>IF(B29="","",'32_Oportunidades'!E29)</f>
        <v/>
      </c>
      <c r="F29" s="132" t="str">
        <f>IF(B29="","",'32_Oportunidades'!G29)</f>
        <v/>
      </c>
      <c r="G29" s="133" t="str">
        <f t="shared" si="2"/>
        <v/>
      </c>
      <c r="H29" s="131" t="str">
        <f>IF(B29="","",'32_Oportunidades'!F29)</f>
        <v/>
      </c>
      <c r="I29" s="98" t="str">
        <f t="shared" si="3"/>
        <v/>
      </c>
      <c r="J29" s="98" t="str">
        <f t="shared" si="4"/>
        <v/>
      </c>
      <c r="K29" s="98" t="str">
        <f>IF(B29="","",'32_Oportunidades'!M29)</f>
        <v/>
      </c>
    </row>
    <row r="30" spans="1:11" ht="1.9" customHeight="1">
      <c r="A30" s="91" t="str">
        <f ca="1">IF('32_Oportunidades'!A30="","",TODAY())</f>
        <v/>
      </c>
      <c r="B30" s="66" t="str">
        <f>IF('32_Oportunidades'!A30="","",'32_Oportunidades'!A30)</f>
        <v/>
      </c>
      <c r="C30" s="66" t="str">
        <f t="shared" si="0"/>
        <v/>
      </c>
      <c r="D30" s="66" t="str">
        <f t="shared" si="1"/>
        <v/>
      </c>
      <c r="E30" s="66" t="str">
        <f>IF(B30="","",'32_Oportunidades'!E30)</f>
        <v/>
      </c>
      <c r="F30" s="132" t="str">
        <f>IF(B30="","",'32_Oportunidades'!G30)</f>
        <v/>
      </c>
      <c r="G30" s="133" t="str">
        <f t="shared" si="2"/>
        <v/>
      </c>
      <c r="H30" s="131" t="str">
        <f>IF(B30="","",'32_Oportunidades'!F30)</f>
        <v/>
      </c>
      <c r="I30" s="98" t="str">
        <f t="shared" si="3"/>
        <v/>
      </c>
      <c r="J30" s="98" t="str">
        <f t="shared" si="4"/>
        <v/>
      </c>
      <c r="K30" s="98" t="str">
        <f>IF(B30="","",'32_Oportunidades'!M30)</f>
        <v/>
      </c>
    </row>
    <row r="31" spans="1:11" ht="1.9" customHeight="1">
      <c r="A31" s="91" t="str">
        <f ca="1">IF('32_Oportunidades'!A31="","",TODAY())</f>
        <v/>
      </c>
      <c r="B31" s="66" t="str">
        <f>IF('32_Oportunidades'!A31="","",'32_Oportunidades'!A31)</f>
        <v/>
      </c>
      <c r="C31" s="66" t="str">
        <f t="shared" si="0"/>
        <v/>
      </c>
      <c r="D31" s="66" t="str">
        <f t="shared" si="1"/>
        <v/>
      </c>
      <c r="E31" s="66" t="str">
        <f>IF(B31="","",'32_Oportunidades'!E31)</f>
        <v/>
      </c>
      <c r="F31" s="132" t="str">
        <f>IF(B31="","",'32_Oportunidades'!G31)</f>
        <v/>
      </c>
      <c r="G31" s="133" t="str">
        <f t="shared" si="2"/>
        <v/>
      </c>
      <c r="H31" s="131" t="str">
        <f>IF(B31="","",'32_Oportunidades'!F31)</f>
        <v/>
      </c>
      <c r="I31" s="98" t="str">
        <f t="shared" si="3"/>
        <v/>
      </c>
      <c r="J31" s="98" t="str">
        <f t="shared" si="4"/>
        <v/>
      </c>
      <c r="K31" s="98" t="str">
        <f>IF(B31="","",'32_Oportunidades'!M31)</f>
        <v/>
      </c>
    </row>
    <row r="32" spans="1:11" ht="1.9" customHeight="1">
      <c r="A32" s="91" t="str">
        <f ca="1">IF('32_Oportunidades'!A32="","",TODAY())</f>
        <v/>
      </c>
      <c r="B32" s="66" t="str">
        <f>IF('32_Oportunidades'!A32="","",'32_Oportunidades'!A32)</f>
        <v/>
      </c>
      <c r="C32" s="66" t="str">
        <f t="shared" si="0"/>
        <v/>
      </c>
      <c r="D32" s="66" t="str">
        <f t="shared" si="1"/>
        <v/>
      </c>
      <c r="E32" s="66" t="str">
        <f>IF(B32="","",'32_Oportunidades'!E32)</f>
        <v/>
      </c>
      <c r="F32" s="132" t="str">
        <f>IF(B32="","",'32_Oportunidades'!G32)</f>
        <v/>
      </c>
      <c r="G32" s="133" t="str">
        <f t="shared" si="2"/>
        <v/>
      </c>
      <c r="H32" s="131" t="str">
        <f>IF(B32="","",'32_Oportunidades'!F32)</f>
        <v/>
      </c>
      <c r="I32" s="98" t="str">
        <f t="shared" si="3"/>
        <v/>
      </c>
      <c r="J32" s="98" t="str">
        <f t="shared" si="4"/>
        <v/>
      </c>
      <c r="K32" s="98" t="str">
        <f>IF(B32="","",'32_Oportunidades'!M32)</f>
        <v/>
      </c>
    </row>
    <row r="33" spans="1:11" ht="1.9" customHeight="1">
      <c r="A33" s="91" t="str">
        <f ca="1">IF('32_Oportunidades'!A33="","",TODAY())</f>
        <v/>
      </c>
      <c r="B33" s="66" t="str">
        <f>IF('32_Oportunidades'!A33="","",'32_Oportunidades'!A33)</f>
        <v/>
      </c>
      <c r="C33" s="66" t="str">
        <f t="shared" si="0"/>
        <v/>
      </c>
      <c r="D33" s="66" t="str">
        <f t="shared" si="1"/>
        <v/>
      </c>
      <c r="E33" s="66" t="str">
        <f>IF(B33="","",'32_Oportunidades'!E33)</f>
        <v/>
      </c>
      <c r="F33" s="132" t="str">
        <f>IF(B33="","",'32_Oportunidades'!G33)</f>
        <v/>
      </c>
      <c r="G33" s="133" t="str">
        <f t="shared" si="2"/>
        <v/>
      </c>
      <c r="H33" s="131" t="str">
        <f>IF(B33="","",'32_Oportunidades'!F33)</f>
        <v/>
      </c>
      <c r="I33" s="98" t="str">
        <f t="shared" si="3"/>
        <v/>
      </c>
      <c r="J33" s="98" t="str">
        <f t="shared" si="4"/>
        <v/>
      </c>
      <c r="K33" s="98" t="str">
        <f>IF(B33="","",'32_Oportunidades'!M33)</f>
        <v/>
      </c>
    </row>
    <row r="34" spans="1:11" ht="1.9" customHeight="1">
      <c r="A34" s="91" t="str">
        <f ca="1">IF('32_Oportunidades'!A34="","",TODAY())</f>
        <v/>
      </c>
      <c r="B34" s="66" t="str">
        <f>IF('32_Oportunidades'!A34="","",'32_Oportunidades'!A34)</f>
        <v/>
      </c>
      <c r="C34" s="66" t="str">
        <f t="shared" si="0"/>
        <v/>
      </c>
      <c r="D34" s="66" t="str">
        <f t="shared" si="1"/>
        <v/>
      </c>
      <c r="E34" s="66" t="str">
        <f>IF(B34="","",'32_Oportunidades'!E34)</f>
        <v/>
      </c>
      <c r="F34" s="132" t="str">
        <f>IF(B34="","",'32_Oportunidades'!G34)</f>
        <v/>
      </c>
      <c r="G34" s="133" t="str">
        <f t="shared" si="2"/>
        <v/>
      </c>
      <c r="H34" s="131" t="str">
        <f>IF(B34="","",'32_Oportunidades'!F34)</f>
        <v/>
      </c>
      <c r="I34" s="98" t="str">
        <f t="shared" si="3"/>
        <v/>
      </c>
      <c r="J34" s="98" t="str">
        <f t="shared" si="4"/>
        <v/>
      </c>
      <c r="K34" s="98" t="str">
        <f>IF(B34="","",'32_Oportunidades'!M34)</f>
        <v/>
      </c>
    </row>
    <row r="35" spans="1:11" ht="1.9" customHeight="1">
      <c r="A35" s="91" t="str">
        <f ca="1">IF('32_Oportunidades'!A35="","",TODAY())</f>
        <v/>
      </c>
      <c r="B35" s="66" t="str">
        <f>IF('32_Oportunidades'!A35="","",'32_Oportunidades'!A35)</f>
        <v/>
      </c>
      <c r="C35" s="66" t="str">
        <f t="shared" si="0"/>
        <v/>
      </c>
      <c r="D35" s="66" t="str">
        <f t="shared" si="1"/>
        <v/>
      </c>
      <c r="E35" s="66" t="str">
        <f>IF(B35="","",'32_Oportunidades'!E35)</f>
        <v/>
      </c>
      <c r="F35" s="132" t="str">
        <f>IF(B35="","",'32_Oportunidades'!G35)</f>
        <v/>
      </c>
      <c r="G35" s="133" t="str">
        <f t="shared" si="2"/>
        <v/>
      </c>
      <c r="H35" s="131" t="str">
        <f>IF(B35="","",'32_Oportunidades'!F35)</f>
        <v/>
      </c>
      <c r="I35" s="98" t="str">
        <f t="shared" si="3"/>
        <v/>
      </c>
      <c r="J35" s="98" t="str">
        <f t="shared" si="4"/>
        <v/>
      </c>
      <c r="K35" s="98" t="str">
        <f>IF(B35="","",'32_Oportunidades'!M35)</f>
        <v/>
      </c>
    </row>
    <row r="36" spans="1:11" ht="1.9" customHeight="1">
      <c r="A36" s="91" t="str">
        <f ca="1">IF('32_Oportunidades'!A36="","",TODAY())</f>
        <v/>
      </c>
      <c r="B36" s="66" t="str">
        <f>IF('32_Oportunidades'!A36="","",'32_Oportunidades'!A36)</f>
        <v/>
      </c>
      <c r="C36" s="66" t="str">
        <f t="shared" si="0"/>
        <v/>
      </c>
      <c r="D36" s="66" t="str">
        <f t="shared" si="1"/>
        <v/>
      </c>
      <c r="E36" s="66" t="str">
        <f>IF(B36="","",'32_Oportunidades'!E36)</f>
        <v/>
      </c>
      <c r="F36" s="132" t="str">
        <f>IF(B36="","",'32_Oportunidades'!G36)</f>
        <v/>
      </c>
      <c r="G36" s="133" t="str">
        <f t="shared" si="2"/>
        <v/>
      </c>
      <c r="H36" s="131" t="str">
        <f>IF(B36="","",'32_Oportunidades'!F36)</f>
        <v/>
      </c>
      <c r="I36" s="98" t="str">
        <f t="shared" si="3"/>
        <v/>
      </c>
      <c r="J36" s="98" t="str">
        <f t="shared" si="4"/>
        <v/>
      </c>
      <c r="K36" s="98" t="str">
        <f>IF(B36="","",'32_Oportunidades'!M36)</f>
        <v/>
      </c>
    </row>
    <row r="37" spans="1:11" ht="1.9" customHeight="1">
      <c r="A37" s="91" t="str">
        <f ca="1">IF('32_Oportunidades'!A37="","",TODAY())</f>
        <v/>
      </c>
      <c r="B37" s="66" t="str">
        <f>IF('32_Oportunidades'!A37="","",'32_Oportunidades'!A37)</f>
        <v/>
      </c>
      <c r="C37" s="66" t="str">
        <f t="shared" ref="C37:C68" si="5">IF(B37="","","Seguimiento estratégico")</f>
        <v/>
      </c>
      <c r="D37" s="66" t="str">
        <f t="shared" ref="D37:D68" si="6">IF(B37="","","Pendiente")</f>
        <v/>
      </c>
      <c r="E37" s="66" t="str">
        <f>IF(B37="","",'32_Oportunidades'!E37)</f>
        <v/>
      </c>
      <c r="F37" s="132" t="str">
        <f>IF(B37="","",'32_Oportunidades'!G37)</f>
        <v/>
      </c>
      <c r="G37" s="133" t="str">
        <f t="shared" ref="G37:G68" si="7">IF(B37="","","🟡 En proceso")</f>
        <v/>
      </c>
      <c r="H37" s="131" t="str">
        <f>IF(B37="","",'32_Oportunidades'!F37)</f>
        <v/>
      </c>
      <c r="I37" s="98" t="str">
        <f t="shared" ref="I37:I68" si="8">IF(B37="","","LinkedIn / Web / WhatsApp / Email")</f>
        <v/>
      </c>
      <c r="J37" s="98" t="str">
        <f t="shared" ref="J37:J68" si="9">IF(B37="","","Validar empresa y definir si pasa a CRM activo")</f>
        <v/>
      </c>
      <c r="K37" s="98" t="str">
        <f>IF(B37="","",'32_Oportunidades'!M37)</f>
        <v/>
      </c>
    </row>
    <row r="38" spans="1:11" ht="1.9" customHeight="1">
      <c r="A38" s="91" t="str">
        <f ca="1">IF('32_Oportunidades'!A38="","",TODAY())</f>
        <v/>
      </c>
      <c r="B38" s="66" t="str">
        <f>IF('32_Oportunidades'!A38="","",'32_Oportunidades'!A38)</f>
        <v/>
      </c>
      <c r="C38" s="66" t="str">
        <f t="shared" si="5"/>
        <v/>
      </c>
      <c r="D38" s="66" t="str">
        <f t="shared" si="6"/>
        <v/>
      </c>
      <c r="E38" s="66" t="str">
        <f>IF(B38="","",'32_Oportunidades'!E38)</f>
        <v/>
      </c>
      <c r="F38" s="132" t="str">
        <f>IF(B38="","",'32_Oportunidades'!G38)</f>
        <v/>
      </c>
      <c r="G38" s="133" t="str">
        <f t="shared" si="7"/>
        <v/>
      </c>
      <c r="H38" s="131" t="str">
        <f>IF(B38="","",'32_Oportunidades'!F38)</f>
        <v/>
      </c>
      <c r="I38" s="98" t="str">
        <f t="shared" si="8"/>
        <v/>
      </c>
      <c r="J38" s="98" t="str">
        <f t="shared" si="9"/>
        <v/>
      </c>
      <c r="K38" s="98" t="str">
        <f>IF(B38="","",'32_Oportunidades'!M38)</f>
        <v/>
      </c>
    </row>
    <row r="39" spans="1:11" ht="1.9" customHeight="1">
      <c r="A39" s="91" t="str">
        <f ca="1">IF('32_Oportunidades'!A39="","",TODAY())</f>
        <v/>
      </c>
      <c r="B39" s="66" t="str">
        <f>IF('32_Oportunidades'!A39="","",'32_Oportunidades'!A39)</f>
        <v/>
      </c>
      <c r="C39" s="66" t="str">
        <f t="shared" si="5"/>
        <v/>
      </c>
      <c r="D39" s="66" t="str">
        <f t="shared" si="6"/>
        <v/>
      </c>
      <c r="E39" s="66" t="str">
        <f>IF(B39="","",'32_Oportunidades'!E39)</f>
        <v/>
      </c>
      <c r="F39" s="132" t="str">
        <f>IF(B39="","",'32_Oportunidades'!G39)</f>
        <v/>
      </c>
      <c r="G39" s="133" t="str">
        <f t="shared" si="7"/>
        <v/>
      </c>
      <c r="H39" s="131" t="str">
        <f>IF(B39="","",'32_Oportunidades'!F39)</f>
        <v/>
      </c>
      <c r="I39" s="98" t="str">
        <f t="shared" si="8"/>
        <v/>
      </c>
      <c r="J39" s="98" t="str">
        <f t="shared" si="9"/>
        <v/>
      </c>
      <c r="K39" s="98" t="str">
        <f>IF(B39="","",'32_Oportunidades'!M39)</f>
        <v/>
      </c>
    </row>
    <row r="40" spans="1:11" ht="1.9" customHeight="1">
      <c r="A40" s="91" t="str">
        <f ca="1">IF('32_Oportunidades'!A40="","",TODAY())</f>
        <v/>
      </c>
      <c r="B40" s="66" t="str">
        <f>IF('32_Oportunidades'!A40="","",'32_Oportunidades'!A40)</f>
        <v/>
      </c>
      <c r="C40" s="66" t="str">
        <f t="shared" si="5"/>
        <v/>
      </c>
      <c r="D40" s="66" t="str">
        <f t="shared" si="6"/>
        <v/>
      </c>
      <c r="E40" s="66" t="str">
        <f>IF(B40="","",'32_Oportunidades'!E40)</f>
        <v/>
      </c>
      <c r="F40" s="132" t="str">
        <f>IF(B40="","",'32_Oportunidades'!G40)</f>
        <v/>
      </c>
      <c r="G40" s="133" t="str">
        <f t="shared" si="7"/>
        <v/>
      </c>
      <c r="H40" s="131" t="str">
        <f>IF(B40="","",'32_Oportunidades'!F40)</f>
        <v/>
      </c>
      <c r="I40" s="98" t="str">
        <f t="shared" si="8"/>
        <v/>
      </c>
      <c r="J40" s="98" t="str">
        <f t="shared" si="9"/>
        <v/>
      </c>
      <c r="K40" s="98" t="str">
        <f>IF(B40="","",'32_Oportunidades'!M40)</f>
        <v/>
      </c>
    </row>
    <row r="41" spans="1:11" ht="1.9" customHeight="1">
      <c r="A41" s="91" t="str">
        <f ca="1">IF('32_Oportunidades'!A41="","",TODAY())</f>
        <v/>
      </c>
      <c r="B41" s="66" t="str">
        <f>IF('32_Oportunidades'!A41="","",'32_Oportunidades'!A41)</f>
        <v/>
      </c>
      <c r="C41" s="66" t="str">
        <f t="shared" si="5"/>
        <v/>
      </c>
      <c r="D41" s="66" t="str">
        <f t="shared" si="6"/>
        <v/>
      </c>
      <c r="E41" s="66" t="str">
        <f>IF(B41="","",'32_Oportunidades'!E41)</f>
        <v/>
      </c>
      <c r="F41" s="132" t="str">
        <f>IF(B41="","",'32_Oportunidades'!G41)</f>
        <v/>
      </c>
      <c r="G41" s="133" t="str">
        <f t="shared" si="7"/>
        <v/>
      </c>
      <c r="H41" s="131" t="str">
        <f>IF(B41="","",'32_Oportunidades'!F41)</f>
        <v/>
      </c>
      <c r="I41" s="98" t="str">
        <f t="shared" si="8"/>
        <v/>
      </c>
      <c r="J41" s="98" t="str">
        <f t="shared" si="9"/>
        <v/>
      </c>
      <c r="K41" s="98" t="str">
        <f>IF(B41="","",'32_Oportunidades'!M41)</f>
        <v/>
      </c>
    </row>
    <row r="42" spans="1:11" ht="1.9" customHeight="1">
      <c r="A42" s="91" t="str">
        <f ca="1">IF('32_Oportunidades'!A42="","",TODAY())</f>
        <v/>
      </c>
      <c r="B42" s="66" t="str">
        <f>IF('32_Oportunidades'!A42="","",'32_Oportunidades'!A42)</f>
        <v/>
      </c>
      <c r="C42" s="66" t="str">
        <f t="shared" si="5"/>
        <v/>
      </c>
      <c r="D42" s="66" t="str">
        <f t="shared" si="6"/>
        <v/>
      </c>
      <c r="E42" s="66" t="str">
        <f>IF(B42="","",'32_Oportunidades'!E42)</f>
        <v/>
      </c>
      <c r="F42" s="132" t="str">
        <f>IF(B42="","",'32_Oportunidades'!G42)</f>
        <v/>
      </c>
      <c r="G42" s="133" t="str">
        <f t="shared" si="7"/>
        <v/>
      </c>
      <c r="H42" s="131" t="str">
        <f>IF(B42="","",'32_Oportunidades'!F42)</f>
        <v/>
      </c>
      <c r="I42" s="98" t="str">
        <f t="shared" si="8"/>
        <v/>
      </c>
      <c r="J42" s="98" t="str">
        <f t="shared" si="9"/>
        <v/>
      </c>
      <c r="K42" s="98" t="str">
        <f>IF(B42="","",'32_Oportunidades'!M42)</f>
        <v/>
      </c>
    </row>
    <row r="43" spans="1:11" ht="1.9" customHeight="1">
      <c r="A43" s="91" t="str">
        <f ca="1">IF('32_Oportunidades'!A43="","",TODAY())</f>
        <v/>
      </c>
      <c r="B43" s="66" t="str">
        <f>IF('32_Oportunidades'!A43="","",'32_Oportunidades'!A43)</f>
        <v/>
      </c>
      <c r="C43" s="66" t="str">
        <f t="shared" si="5"/>
        <v/>
      </c>
      <c r="D43" s="66" t="str">
        <f t="shared" si="6"/>
        <v/>
      </c>
      <c r="E43" s="66" t="str">
        <f>IF(B43="","",'32_Oportunidades'!E43)</f>
        <v/>
      </c>
      <c r="F43" s="132" t="str">
        <f>IF(B43="","",'32_Oportunidades'!G43)</f>
        <v/>
      </c>
      <c r="G43" s="133" t="str">
        <f t="shared" si="7"/>
        <v/>
      </c>
      <c r="H43" s="131" t="str">
        <f>IF(B43="","",'32_Oportunidades'!F43)</f>
        <v/>
      </c>
      <c r="I43" s="98" t="str">
        <f t="shared" si="8"/>
        <v/>
      </c>
      <c r="J43" s="98" t="str">
        <f t="shared" si="9"/>
        <v/>
      </c>
      <c r="K43" s="98" t="str">
        <f>IF(B43="","",'32_Oportunidades'!M43)</f>
        <v/>
      </c>
    </row>
    <row r="44" spans="1:11" ht="1.9" customHeight="1">
      <c r="A44" s="91" t="str">
        <f ca="1">IF('32_Oportunidades'!A44="","",TODAY())</f>
        <v/>
      </c>
      <c r="B44" s="66" t="str">
        <f>IF('32_Oportunidades'!A44="","",'32_Oportunidades'!A44)</f>
        <v/>
      </c>
      <c r="C44" s="66" t="str">
        <f t="shared" si="5"/>
        <v/>
      </c>
      <c r="D44" s="66" t="str">
        <f t="shared" si="6"/>
        <v/>
      </c>
      <c r="E44" s="66" t="str">
        <f>IF(B44="","",'32_Oportunidades'!E44)</f>
        <v/>
      </c>
      <c r="F44" s="132" t="str">
        <f>IF(B44="","",'32_Oportunidades'!G44)</f>
        <v/>
      </c>
      <c r="G44" s="133" t="str">
        <f t="shared" si="7"/>
        <v/>
      </c>
      <c r="H44" s="131" t="str">
        <f>IF(B44="","",'32_Oportunidades'!F44)</f>
        <v/>
      </c>
      <c r="I44" s="98" t="str">
        <f t="shared" si="8"/>
        <v/>
      </c>
      <c r="J44" s="98" t="str">
        <f t="shared" si="9"/>
        <v/>
      </c>
      <c r="K44" s="98" t="str">
        <f>IF(B44="","",'32_Oportunidades'!M44)</f>
        <v/>
      </c>
    </row>
    <row r="45" spans="1:11" ht="1.9" customHeight="1">
      <c r="A45" s="91" t="str">
        <f ca="1">IF('32_Oportunidades'!A45="","",TODAY())</f>
        <v/>
      </c>
      <c r="B45" s="66" t="str">
        <f>IF('32_Oportunidades'!A45="","",'32_Oportunidades'!A45)</f>
        <v/>
      </c>
      <c r="C45" s="66" t="str">
        <f t="shared" si="5"/>
        <v/>
      </c>
      <c r="D45" s="66" t="str">
        <f t="shared" si="6"/>
        <v/>
      </c>
      <c r="E45" s="66" t="str">
        <f>IF(B45="","",'32_Oportunidades'!E45)</f>
        <v/>
      </c>
      <c r="F45" s="132" t="str">
        <f>IF(B45="","",'32_Oportunidades'!G45)</f>
        <v/>
      </c>
      <c r="G45" s="133" t="str">
        <f t="shared" si="7"/>
        <v/>
      </c>
      <c r="H45" s="131" t="str">
        <f>IF(B45="","",'32_Oportunidades'!F45)</f>
        <v/>
      </c>
      <c r="I45" s="98" t="str">
        <f t="shared" si="8"/>
        <v/>
      </c>
      <c r="J45" s="98" t="str">
        <f t="shared" si="9"/>
        <v/>
      </c>
      <c r="K45" s="98" t="str">
        <f>IF(B45="","",'32_Oportunidades'!M45)</f>
        <v/>
      </c>
    </row>
    <row r="46" spans="1:11" ht="1.9" customHeight="1">
      <c r="A46" s="91" t="str">
        <f ca="1">IF('32_Oportunidades'!A46="","",TODAY())</f>
        <v/>
      </c>
      <c r="B46" s="66" t="str">
        <f>IF('32_Oportunidades'!A46="","",'32_Oportunidades'!A46)</f>
        <v/>
      </c>
      <c r="C46" s="66" t="str">
        <f t="shared" si="5"/>
        <v/>
      </c>
      <c r="D46" s="66" t="str">
        <f t="shared" si="6"/>
        <v/>
      </c>
      <c r="E46" s="66" t="str">
        <f>IF(B46="","",'32_Oportunidades'!E46)</f>
        <v/>
      </c>
      <c r="F46" s="132" t="str">
        <f>IF(B46="","",'32_Oportunidades'!G46)</f>
        <v/>
      </c>
      <c r="G46" s="133" t="str">
        <f t="shared" si="7"/>
        <v/>
      </c>
      <c r="H46" s="131" t="str">
        <f>IF(B46="","",'32_Oportunidades'!F46)</f>
        <v/>
      </c>
      <c r="I46" s="98" t="str">
        <f t="shared" si="8"/>
        <v/>
      </c>
      <c r="J46" s="98" t="str">
        <f t="shared" si="9"/>
        <v/>
      </c>
      <c r="K46" s="98" t="str">
        <f>IF(B46="","",'32_Oportunidades'!M46)</f>
        <v/>
      </c>
    </row>
    <row r="47" spans="1:11" ht="1.9" customHeight="1">
      <c r="A47" s="91" t="str">
        <f ca="1">IF('32_Oportunidades'!A47="","",TODAY())</f>
        <v/>
      </c>
      <c r="B47" s="66" t="str">
        <f>IF('32_Oportunidades'!A47="","",'32_Oportunidades'!A47)</f>
        <v/>
      </c>
      <c r="C47" s="66" t="str">
        <f t="shared" si="5"/>
        <v/>
      </c>
      <c r="D47" s="66" t="str">
        <f t="shared" si="6"/>
        <v/>
      </c>
      <c r="E47" s="66" t="str">
        <f>IF(B47="","",'32_Oportunidades'!E47)</f>
        <v/>
      </c>
      <c r="F47" s="132" t="str">
        <f>IF(B47="","",'32_Oportunidades'!G47)</f>
        <v/>
      </c>
      <c r="G47" s="133" t="str">
        <f t="shared" si="7"/>
        <v/>
      </c>
      <c r="H47" s="131" t="str">
        <f>IF(B47="","",'32_Oportunidades'!F47)</f>
        <v/>
      </c>
      <c r="I47" s="98" t="str">
        <f t="shared" si="8"/>
        <v/>
      </c>
      <c r="J47" s="98" t="str">
        <f t="shared" si="9"/>
        <v/>
      </c>
      <c r="K47" s="98" t="str">
        <f>IF(B47="","",'32_Oportunidades'!M47)</f>
        <v/>
      </c>
    </row>
    <row r="48" spans="1:11" ht="1.9" customHeight="1">
      <c r="A48" s="91" t="str">
        <f ca="1">IF('32_Oportunidades'!A48="","",TODAY())</f>
        <v/>
      </c>
      <c r="B48" s="66" t="str">
        <f>IF('32_Oportunidades'!A48="","",'32_Oportunidades'!A48)</f>
        <v/>
      </c>
      <c r="C48" s="66" t="str">
        <f t="shared" si="5"/>
        <v/>
      </c>
      <c r="D48" s="66" t="str">
        <f t="shared" si="6"/>
        <v/>
      </c>
      <c r="E48" s="66" t="str">
        <f>IF(B48="","",'32_Oportunidades'!E48)</f>
        <v/>
      </c>
      <c r="F48" s="132" t="str">
        <f>IF(B48="","",'32_Oportunidades'!G48)</f>
        <v/>
      </c>
      <c r="G48" s="133" t="str">
        <f t="shared" si="7"/>
        <v/>
      </c>
      <c r="H48" s="131" t="str">
        <f>IF(B48="","",'32_Oportunidades'!F48)</f>
        <v/>
      </c>
      <c r="I48" s="98" t="str">
        <f t="shared" si="8"/>
        <v/>
      </c>
      <c r="J48" s="98" t="str">
        <f t="shared" si="9"/>
        <v/>
      </c>
      <c r="K48" s="98" t="str">
        <f>IF(B48="","",'32_Oportunidades'!M48)</f>
        <v/>
      </c>
    </row>
    <row r="49" spans="1:11" ht="1.9" customHeight="1">
      <c r="A49" s="91" t="str">
        <f ca="1">IF('32_Oportunidades'!A49="","",TODAY())</f>
        <v/>
      </c>
      <c r="B49" s="66" t="str">
        <f>IF('32_Oportunidades'!A49="","",'32_Oportunidades'!A49)</f>
        <v/>
      </c>
      <c r="C49" s="66" t="str">
        <f t="shared" si="5"/>
        <v/>
      </c>
      <c r="D49" s="66" t="str">
        <f t="shared" si="6"/>
        <v/>
      </c>
      <c r="E49" s="66" t="str">
        <f>IF(B49="","",'32_Oportunidades'!E49)</f>
        <v/>
      </c>
      <c r="F49" s="132" t="str">
        <f>IF(B49="","",'32_Oportunidades'!G49)</f>
        <v/>
      </c>
      <c r="G49" s="133" t="str">
        <f t="shared" si="7"/>
        <v/>
      </c>
      <c r="H49" s="131" t="str">
        <f>IF(B49="","",'32_Oportunidades'!F49)</f>
        <v/>
      </c>
      <c r="I49" s="98" t="str">
        <f t="shared" si="8"/>
        <v/>
      </c>
      <c r="J49" s="98" t="str">
        <f t="shared" si="9"/>
        <v/>
      </c>
      <c r="K49" s="98" t="str">
        <f>IF(B49="","",'32_Oportunidades'!M49)</f>
        <v/>
      </c>
    </row>
    <row r="50" spans="1:11" ht="1.9" customHeight="1">
      <c r="A50" s="91" t="str">
        <f ca="1">IF('32_Oportunidades'!A50="","",TODAY())</f>
        <v/>
      </c>
      <c r="B50" s="66" t="str">
        <f>IF('32_Oportunidades'!A50="","",'32_Oportunidades'!A50)</f>
        <v/>
      </c>
      <c r="C50" s="66" t="str">
        <f t="shared" si="5"/>
        <v/>
      </c>
      <c r="D50" s="66" t="str">
        <f t="shared" si="6"/>
        <v/>
      </c>
      <c r="E50" s="66" t="str">
        <f>IF(B50="","",'32_Oportunidades'!E50)</f>
        <v/>
      </c>
      <c r="F50" s="132" t="str">
        <f>IF(B50="","",'32_Oportunidades'!G50)</f>
        <v/>
      </c>
      <c r="G50" s="133" t="str">
        <f t="shared" si="7"/>
        <v/>
      </c>
      <c r="H50" s="131" t="str">
        <f>IF(B50="","",'32_Oportunidades'!F50)</f>
        <v/>
      </c>
      <c r="I50" s="98" t="str">
        <f t="shared" si="8"/>
        <v/>
      </c>
      <c r="J50" s="98" t="str">
        <f t="shared" si="9"/>
        <v/>
      </c>
      <c r="K50" s="98" t="str">
        <f>IF(B50="","",'32_Oportunidades'!M50)</f>
        <v/>
      </c>
    </row>
    <row r="51" spans="1:11" ht="1.9" customHeight="1">
      <c r="A51" s="91" t="str">
        <f ca="1">IF('32_Oportunidades'!A51="","",TODAY())</f>
        <v/>
      </c>
      <c r="B51" s="66" t="str">
        <f>IF('32_Oportunidades'!A51="","",'32_Oportunidades'!A51)</f>
        <v/>
      </c>
      <c r="C51" s="66" t="str">
        <f t="shared" si="5"/>
        <v/>
      </c>
      <c r="D51" s="66" t="str">
        <f t="shared" si="6"/>
        <v/>
      </c>
      <c r="E51" s="66" t="str">
        <f>IF(B51="","",'32_Oportunidades'!E51)</f>
        <v/>
      </c>
      <c r="F51" s="132" t="str">
        <f>IF(B51="","",'32_Oportunidades'!G51)</f>
        <v/>
      </c>
      <c r="G51" s="132" t="str">
        <f t="shared" si="7"/>
        <v/>
      </c>
      <c r="H51" s="131" t="str">
        <f>IF(B51="","",'32_Oportunidades'!F51)</f>
        <v/>
      </c>
      <c r="I51" s="98" t="str">
        <f t="shared" si="8"/>
        <v/>
      </c>
      <c r="J51" s="98" t="str">
        <f t="shared" si="9"/>
        <v/>
      </c>
      <c r="K51" s="98" t="str">
        <f>IF(B51="","",'32_Oportunidades'!M51)</f>
        <v/>
      </c>
    </row>
    <row r="52" spans="1:11" ht="1.9" customHeight="1">
      <c r="A52" s="91" t="str">
        <f ca="1">IF('32_Oportunidades'!A52="","",TODAY())</f>
        <v/>
      </c>
      <c r="B52" s="66" t="str">
        <f>IF('32_Oportunidades'!A52="","",'32_Oportunidades'!A52)</f>
        <v/>
      </c>
      <c r="C52" s="66" t="str">
        <f t="shared" si="5"/>
        <v/>
      </c>
      <c r="D52" s="66" t="str">
        <f t="shared" si="6"/>
        <v/>
      </c>
      <c r="E52" s="66" t="str">
        <f>IF(B52="","",'32_Oportunidades'!E52)</f>
        <v/>
      </c>
      <c r="F52" s="132" t="str">
        <f>IF(B52="","",'32_Oportunidades'!G52)</f>
        <v/>
      </c>
      <c r="G52" s="132" t="str">
        <f t="shared" si="7"/>
        <v/>
      </c>
      <c r="H52" s="131" t="str">
        <f>IF(B52="","",'32_Oportunidades'!F52)</f>
        <v/>
      </c>
      <c r="I52" s="98" t="str">
        <f t="shared" si="8"/>
        <v/>
      </c>
      <c r="J52" s="98" t="str">
        <f t="shared" si="9"/>
        <v/>
      </c>
      <c r="K52" s="98" t="str">
        <f>IF(B52="","",'32_Oportunidades'!M52)</f>
        <v/>
      </c>
    </row>
    <row r="53" spans="1:11" ht="1.9" customHeight="1">
      <c r="A53" s="91" t="str">
        <f ca="1">IF('32_Oportunidades'!A53="","",TODAY())</f>
        <v/>
      </c>
      <c r="B53" s="66" t="str">
        <f>IF('32_Oportunidades'!A53="","",'32_Oportunidades'!A53)</f>
        <v/>
      </c>
      <c r="C53" s="66" t="str">
        <f t="shared" si="5"/>
        <v/>
      </c>
      <c r="D53" s="66" t="str">
        <f t="shared" si="6"/>
        <v/>
      </c>
      <c r="E53" s="66" t="str">
        <f>IF(B53="","",'32_Oportunidades'!E53)</f>
        <v/>
      </c>
      <c r="F53" s="132" t="str">
        <f>IF(B53="","",'32_Oportunidades'!G53)</f>
        <v/>
      </c>
      <c r="G53" s="132" t="str">
        <f t="shared" si="7"/>
        <v/>
      </c>
      <c r="H53" s="131" t="str">
        <f>IF(B53="","",'32_Oportunidades'!F53)</f>
        <v/>
      </c>
      <c r="I53" s="98" t="str">
        <f t="shared" si="8"/>
        <v/>
      </c>
      <c r="J53" s="98" t="str">
        <f t="shared" si="9"/>
        <v/>
      </c>
      <c r="K53" s="98" t="str">
        <f>IF(B53="","",'32_Oportunidades'!M53)</f>
        <v/>
      </c>
    </row>
    <row r="54" spans="1:11" ht="1.9" customHeight="1">
      <c r="A54" s="91" t="str">
        <f ca="1">IF('32_Oportunidades'!A54="","",TODAY())</f>
        <v/>
      </c>
      <c r="B54" s="66" t="str">
        <f>IF('32_Oportunidades'!A54="","",'32_Oportunidades'!A54)</f>
        <v/>
      </c>
      <c r="C54" s="66" t="str">
        <f t="shared" si="5"/>
        <v/>
      </c>
      <c r="D54" s="66" t="str">
        <f t="shared" si="6"/>
        <v/>
      </c>
      <c r="E54" s="66" t="str">
        <f>IF(B54="","",'32_Oportunidades'!E54)</f>
        <v/>
      </c>
      <c r="F54" s="132" t="str">
        <f>IF(B54="","",'32_Oportunidades'!G54)</f>
        <v/>
      </c>
      <c r="G54" s="132" t="str">
        <f t="shared" si="7"/>
        <v/>
      </c>
      <c r="H54" s="131" t="str">
        <f>IF(B54="","",'32_Oportunidades'!F54)</f>
        <v/>
      </c>
      <c r="I54" s="98" t="str">
        <f t="shared" si="8"/>
        <v/>
      </c>
      <c r="J54" s="98" t="str">
        <f t="shared" si="9"/>
        <v/>
      </c>
      <c r="K54" s="98" t="str">
        <f>IF(B54="","",'32_Oportunidades'!M54)</f>
        <v/>
      </c>
    </row>
    <row r="55" spans="1:11" ht="1.9" customHeight="1">
      <c r="A55" s="91" t="str">
        <f ca="1">IF('32_Oportunidades'!A55="","",TODAY())</f>
        <v/>
      </c>
      <c r="B55" s="66" t="str">
        <f>IF('32_Oportunidades'!A55="","",'32_Oportunidades'!A55)</f>
        <v/>
      </c>
      <c r="C55" s="66" t="str">
        <f t="shared" si="5"/>
        <v/>
      </c>
      <c r="D55" s="66" t="str">
        <f t="shared" si="6"/>
        <v/>
      </c>
      <c r="E55" s="66" t="str">
        <f>IF(B55="","",'32_Oportunidades'!E55)</f>
        <v/>
      </c>
      <c r="F55" s="132" t="str">
        <f>IF(B55="","",'32_Oportunidades'!G55)</f>
        <v/>
      </c>
      <c r="G55" s="132" t="str">
        <f t="shared" si="7"/>
        <v/>
      </c>
      <c r="H55" s="131" t="str">
        <f>IF(B55="","",'32_Oportunidades'!F55)</f>
        <v/>
      </c>
      <c r="I55" s="98" t="str">
        <f t="shared" si="8"/>
        <v/>
      </c>
      <c r="J55" s="98" t="str">
        <f t="shared" si="9"/>
        <v/>
      </c>
      <c r="K55" s="98" t="str">
        <f>IF(B55="","",'32_Oportunidades'!M55)</f>
        <v/>
      </c>
    </row>
    <row r="56" spans="1:11" ht="1.9" customHeight="1">
      <c r="A56" s="91" t="str">
        <f ca="1">IF('32_Oportunidades'!A56="","",TODAY())</f>
        <v/>
      </c>
      <c r="B56" s="66" t="str">
        <f>IF('32_Oportunidades'!A56="","",'32_Oportunidades'!A56)</f>
        <v/>
      </c>
      <c r="C56" s="66" t="str">
        <f t="shared" si="5"/>
        <v/>
      </c>
      <c r="D56" s="66" t="str">
        <f t="shared" si="6"/>
        <v/>
      </c>
      <c r="E56" s="66" t="str">
        <f>IF(B56="","",'32_Oportunidades'!E56)</f>
        <v/>
      </c>
      <c r="F56" s="132" t="str">
        <f>IF(B56="","",'32_Oportunidades'!G56)</f>
        <v/>
      </c>
      <c r="G56" s="132" t="str">
        <f t="shared" si="7"/>
        <v/>
      </c>
      <c r="H56" s="131" t="str">
        <f>IF(B56="","",'32_Oportunidades'!F56)</f>
        <v/>
      </c>
      <c r="I56" s="98" t="str">
        <f t="shared" si="8"/>
        <v/>
      </c>
      <c r="J56" s="98" t="str">
        <f t="shared" si="9"/>
        <v/>
      </c>
      <c r="K56" s="98" t="str">
        <f>IF(B56="","",'32_Oportunidades'!M56)</f>
        <v/>
      </c>
    </row>
    <row r="57" spans="1:11" ht="1.9" customHeight="1">
      <c r="A57" s="91" t="str">
        <f ca="1">IF('32_Oportunidades'!A57="","",TODAY())</f>
        <v/>
      </c>
      <c r="B57" s="66" t="str">
        <f>IF('32_Oportunidades'!A57="","",'32_Oportunidades'!A57)</f>
        <v/>
      </c>
      <c r="C57" s="66" t="str">
        <f t="shared" si="5"/>
        <v/>
      </c>
      <c r="D57" s="66" t="str">
        <f t="shared" si="6"/>
        <v/>
      </c>
      <c r="E57" s="66" t="str">
        <f>IF(B57="","",'32_Oportunidades'!E57)</f>
        <v/>
      </c>
      <c r="F57" s="132" t="str">
        <f>IF(B57="","",'32_Oportunidades'!G57)</f>
        <v/>
      </c>
      <c r="G57" s="132" t="str">
        <f t="shared" si="7"/>
        <v/>
      </c>
      <c r="H57" s="131" t="str">
        <f>IF(B57="","",'32_Oportunidades'!F57)</f>
        <v/>
      </c>
      <c r="I57" s="98" t="str">
        <f t="shared" si="8"/>
        <v/>
      </c>
      <c r="J57" s="98" t="str">
        <f t="shared" si="9"/>
        <v/>
      </c>
      <c r="K57" s="98" t="str">
        <f>IF(B57="","",'32_Oportunidades'!M57)</f>
        <v/>
      </c>
    </row>
    <row r="58" spans="1:11" ht="1.9" customHeight="1">
      <c r="A58" s="91" t="str">
        <f ca="1">IF('32_Oportunidades'!A58="","",TODAY())</f>
        <v/>
      </c>
      <c r="B58" s="66" t="str">
        <f>IF('32_Oportunidades'!A58="","",'32_Oportunidades'!A58)</f>
        <v/>
      </c>
      <c r="C58" s="66" t="str">
        <f t="shared" si="5"/>
        <v/>
      </c>
      <c r="D58" s="66" t="str">
        <f t="shared" si="6"/>
        <v/>
      </c>
      <c r="E58" s="66" t="str">
        <f>IF(B58="","",'32_Oportunidades'!E58)</f>
        <v/>
      </c>
      <c r="F58" s="132" t="str">
        <f>IF(B58="","",'32_Oportunidades'!G58)</f>
        <v/>
      </c>
      <c r="G58" s="132" t="str">
        <f t="shared" si="7"/>
        <v/>
      </c>
      <c r="H58" s="131" t="str">
        <f>IF(B58="","",'32_Oportunidades'!F58)</f>
        <v/>
      </c>
      <c r="I58" s="98" t="str">
        <f t="shared" si="8"/>
        <v/>
      </c>
      <c r="J58" s="98" t="str">
        <f t="shared" si="9"/>
        <v/>
      </c>
      <c r="K58" s="98" t="str">
        <f>IF(B58="","",'32_Oportunidades'!M58)</f>
        <v/>
      </c>
    </row>
    <row r="59" spans="1:11" ht="1.9" customHeight="1">
      <c r="A59" s="91" t="str">
        <f ca="1">IF('32_Oportunidades'!A59="","",TODAY())</f>
        <v/>
      </c>
      <c r="B59" s="66" t="str">
        <f>IF('32_Oportunidades'!A59="","",'32_Oportunidades'!A59)</f>
        <v/>
      </c>
      <c r="C59" s="66" t="str">
        <f t="shared" si="5"/>
        <v/>
      </c>
      <c r="D59" s="66" t="str">
        <f t="shared" si="6"/>
        <v/>
      </c>
      <c r="E59" s="66" t="str">
        <f>IF(B59="","",'32_Oportunidades'!E59)</f>
        <v/>
      </c>
      <c r="F59" s="132" t="str">
        <f>IF(B59="","",'32_Oportunidades'!G59)</f>
        <v/>
      </c>
      <c r="G59" s="132" t="str">
        <f t="shared" si="7"/>
        <v/>
      </c>
      <c r="H59" s="131" t="str">
        <f>IF(B59="","",'32_Oportunidades'!F59)</f>
        <v/>
      </c>
      <c r="I59" s="98" t="str">
        <f t="shared" si="8"/>
        <v/>
      </c>
      <c r="J59" s="98" t="str">
        <f t="shared" si="9"/>
        <v/>
      </c>
      <c r="K59" s="98" t="str">
        <f>IF(B59="","",'32_Oportunidades'!M59)</f>
        <v/>
      </c>
    </row>
    <row r="60" spans="1:11" ht="1.9" customHeight="1">
      <c r="A60" s="91" t="str">
        <f ca="1">IF('32_Oportunidades'!A60="","",TODAY())</f>
        <v/>
      </c>
      <c r="B60" s="66" t="str">
        <f>IF('32_Oportunidades'!A60="","",'32_Oportunidades'!A60)</f>
        <v/>
      </c>
      <c r="C60" s="66" t="str">
        <f t="shared" si="5"/>
        <v/>
      </c>
      <c r="D60" s="66" t="str">
        <f t="shared" si="6"/>
        <v/>
      </c>
      <c r="E60" s="66" t="str">
        <f>IF(B60="","",'32_Oportunidades'!E60)</f>
        <v/>
      </c>
      <c r="F60" s="132" t="str">
        <f>IF(B60="","",'32_Oportunidades'!G60)</f>
        <v/>
      </c>
      <c r="G60" s="132" t="str">
        <f t="shared" si="7"/>
        <v/>
      </c>
      <c r="H60" s="131" t="str">
        <f>IF(B60="","",'32_Oportunidades'!F60)</f>
        <v/>
      </c>
      <c r="I60" s="98" t="str">
        <f t="shared" si="8"/>
        <v/>
      </c>
      <c r="J60" s="98" t="str">
        <f t="shared" si="9"/>
        <v/>
      </c>
      <c r="K60" s="98" t="str">
        <f>IF(B60="","",'32_Oportunidades'!M60)</f>
        <v/>
      </c>
    </row>
    <row r="61" spans="1:11" ht="1.9" customHeight="1">
      <c r="A61" s="91" t="str">
        <f ca="1">IF('32_Oportunidades'!A61="","",TODAY())</f>
        <v/>
      </c>
      <c r="B61" s="66" t="str">
        <f>IF('32_Oportunidades'!A61="","",'32_Oportunidades'!A61)</f>
        <v/>
      </c>
      <c r="C61" s="66" t="str">
        <f t="shared" si="5"/>
        <v/>
      </c>
      <c r="D61" s="66" t="str">
        <f t="shared" si="6"/>
        <v/>
      </c>
      <c r="E61" s="66" t="str">
        <f>IF(B61="","",'32_Oportunidades'!E61)</f>
        <v/>
      </c>
      <c r="F61" s="132" t="str">
        <f>IF(B61="","",'32_Oportunidades'!G61)</f>
        <v/>
      </c>
      <c r="G61" s="132" t="str">
        <f t="shared" si="7"/>
        <v/>
      </c>
      <c r="H61" s="131" t="str">
        <f>IF(B61="","",'32_Oportunidades'!F61)</f>
        <v/>
      </c>
      <c r="I61" s="98" t="str">
        <f t="shared" si="8"/>
        <v/>
      </c>
      <c r="J61" s="98" t="str">
        <f t="shared" si="9"/>
        <v/>
      </c>
      <c r="K61" s="98" t="str">
        <f>IF(B61="","",'32_Oportunidades'!M61)</f>
        <v/>
      </c>
    </row>
    <row r="62" spans="1:11" ht="1.9" customHeight="1">
      <c r="A62" s="91" t="str">
        <f ca="1">IF('32_Oportunidades'!A62="","",TODAY())</f>
        <v/>
      </c>
      <c r="B62" s="66" t="str">
        <f>IF('32_Oportunidades'!A62="","",'32_Oportunidades'!A62)</f>
        <v/>
      </c>
      <c r="C62" s="66" t="str">
        <f t="shared" si="5"/>
        <v/>
      </c>
      <c r="D62" s="66" t="str">
        <f t="shared" si="6"/>
        <v/>
      </c>
      <c r="E62" s="66" t="str">
        <f>IF(B62="","",'32_Oportunidades'!E62)</f>
        <v/>
      </c>
      <c r="F62" s="132" t="str">
        <f>IF(B62="","",'32_Oportunidades'!G62)</f>
        <v/>
      </c>
      <c r="G62" s="132" t="str">
        <f t="shared" si="7"/>
        <v/>
      </c>
      <c r="H62" s="131" t="str">
        <f>IF(B62="","",'32_Oportunidades'!F62)</f>
        <v/>
      </c>
      <c r="I62" s="98" t="str">
        <f t="shared" si="8"/>
        <v/>
      </c>
      <c r="J62" s="98" t="str">
        <f t="shared" si="9"/>
        <v/>
      </c>
      <c r="K62" s="98" t="str">
        <f>IF(B62="","",'32_Oportunidades'!M62)</f>
        <v/>
      </c>
    </row>
    <row r="63" spans="1:11" ht="1.9" customHeight="1">
      <c r="A63" s="91" t="str">
        <f ca="1">IF('32_Oportunidades'!A63="","",TODAY())</f>
        <v/>
      </c>
      <c r="B63" s="66" t="str">
        <f>IF('32_Oportunidades'!A63="","",'32_Oportunidades'!A63)</f>
        <v/>
      </c>
      <c r="C63" s="66" t="str">
        <f t="shared" si="5"/>
        <v/>
      </c>
      <c r="D63" s="66" t="str">
        <f t="shared" si="6"/>
        <v/>
      </c>
      <c r="E63" s="66" t="str">
        <f>IF(B63="","",'32_Oportunidades'!E63)</f>
        <v/>
      </c>
      <c r="F63" s="132" t="str">
        <f>IF(B63="","",'32_Oportunidades'!G63)</f>
        <v/>
      </c>
      <c r="G63" s="132" t="str">
        <f t="shared" si="7"/>
        <v/>
      </c>
      <c r="H63" s="131" t="str">
        <f>IF(B63="","",'32_Oportunidades'!F63)</f>
        <v/>
      </c>
      <c r="I63" s="98" t="str">
        <f t="shared" si="8"/>
        <v/>
      </c>
      <c r="J63" s="98" t="str">
        <f t="shared" si="9"/>
        <v/>
      </c>
      <c r="K63" s="98" t="str">
        <f>IF(B63="","",'32_Oportunidades'!M63)</f>
        <v/>
      </c>
    </row>
    <row r="64" spans="1:11" ht="1.9" customHeight="1">
      <c r="A64" s="91" t="str">
        <f ca="1">IF('32_Oportunidades'!A64="","",TODAY())</f>
        <v/>
      </c>
      <c r="B64" s="66" t="str">
        <f>IF('32_Oportunidades'!A64="","",'32_Oportunidades'!A64)</f>
        <v/>
      </c>
      <c r="C64" s="66" t="str">
        <f t="shared" si="5"/>
        <v/>
      </c>
      <c r="D64" s="66" t="str">
        <f t="shared" si="6"/>
        <v/>
      </c>
      <c r="E64" s="66" t="str">
        <f>IF(B64="","",'32_Oportunidades'!E64)</f>
        <v/>
      </c>
      <c r="F64" s="132" t="str">
        <f>IF(B64="","",'32_Oportunidades'!G64)</f>
        <v/>
      </c>
      <c r="G64" s="132" t="str">
        <f t="shared" si="7"/>
        <v/>
      </c>
      <c r="H64" s="131" t="str">
        <f>IF(B64="","",'32_Oportunidades'!F64)</f>
        <v/>
      </c>
      <c r="I64" s="98" t="str">
        <f t="shared" si="8"/>
        <v/>
      </c>
      <c r="J64" s="98" t="str">
        <f t="shared" si="9"/>
        <v/>
      </c>
      <c r="K64" s="98" t="str">
        <f>IF(B64="","",'32_Oportunidades'!M64)</f>
        <v/>
      </c>
    </row>
    <row r="65" spans="1:11" ht="1.9" customHeight="1">
      <c r="A65" s="91" t="str">
        <f ca="1">IF('32_Oportunidades'!A65="","",TODAY())</f>
        <v/>
      </c>
      <c r="B65" s="66" t="str">
        <f>IF('32_Oportunidades'!A65="","",'32_Oportunidades'!A65)</f>
        <v/>
      </c>
      <c r="C65" s="66" t="str">
        <f t="shared" si="5"/>
        <v/>
      </c>
      <c r="D65" s="66" t="str">
        <f t="shared" si="6"/>
        <v/>
      </c>
      <c r="E65" s="66" t="str">
        <f>IF(B65="","",'32_Oportunidades'!E65)</f>
        <v/>
      </c>
      <c r="F65" s="132" t="str">
        <f>IF(B65="","",'32_Oportunidades'!G65)</f>
        <v/>
      </c>
      <c r="G65" s="132" t="str">
        <f t="shared" si="7"/>
        <v/>
      </c>
      <c r="H65" s="131" t="str">
        <f>IF(B65="","",'32_Oportunidades'!F65)</f>
        <v/>
      </c>
      <c r="I65" s="98" t="str">
        <f t="shared" si="8"/>
        <v/>
      </c>
      <c r="J65" s="98" t="str">
        <f t="shared" si="9"/>
        <v/>
      </c>
      <c r="K65" s="98" t="str">
        <f>IF(B65="","",'32_Oportunidades'!M65)</f>
        <v/>
      </c>
    </row>
    <row r="66" spans="1:11" ht="1.9" customHeight="1">
      <c r="A66" s="91" t="str">
        <f ca="1">IF('32_Oportunidades'!A66="","",TODAY())</f>
        <v/>
      </c>
      <c r="B66" s="66" t="str">
        <f>IF('32_Oportunidades'!A66="","",'32_Oportunidades'!A66)</f>
        <v/>
      </c>
      <c r="C66" s="66" t="str">
        <f t="shared" si="5"/>
        <v/>
      </c>
      <c r="D66" s="66" t="str">
        <f t="shared" si="6"/>
        <v/>
      </c>
      <c r="E66" s="66" t="str">
        <f>IF(B66="","",'32_Oportunidades'!E66)</f>
        <v/>
      </c>
      <c r="F66" s="132" t="str">
        <f>IF(B66="","",'32_Oportunidades'!G66)</f>
        <v/>
      </c>
      <c r="G66" s="132" t="str">
        <f t="shared" si="7"/>
        <v/>
      </c>
      <c r="H66" s="131" t="str">
        <f>IF(B66="","",'32_Oportunidades'!F66)</f>
        <v/>
      </c>
      <c r="I66" s="98" t="str">
        <f t="shared" si="8"/>
        <v/>
      </c>
      <c r="J66" s="98" t="str">
        <f t="shared" si="9"/>
        <v/>
      </c>
      <c r="K66" s="98" t="str">
        <f>IF(B66="","",'32_Oportunidades'!M66)</f>
        <v/>
      </c>
    </row>
    <row r="67" spans="1:11" ht="1.9" customHeight="1">
      <c r="A67" s="91" t="str">
        <f ca="1">IF('32_Oportunidades'!A67="","",TODAY())</f>
        <v/>
      </c>
      <c r="B67" s="66" t="str">
        <f>IF('32_Oportunidades'!A67="","",'32_Oportunidades'!A67)</f>
        <v/>
      </c>
      <c r="C67" s="66" t="str">
        <f t="shared" si="5"/>
        <v/>
      </c>
      <c r="D67" s="66" t="str">
        <f t="shared" si="6"/>
        <v/>
      </c>
      <c r="E67" s="66" t="str">
        <f>IF(B67="","",'32_Oportunidades'!E67)</f>
        <v/>
      </c>
      <c r="F67" s="132" t="str">
        <f>IF(B67="","",'32_Oportunidades'!G67)</f>
        <v/>
      </c>
      <c r="G67" s="132" t="str">
        <f t="shared" si="7"/>
        <v/>
      </c>
      <c r="H67" s="131" t="str">
        <f>IF(B67="","",'32_Oportunidades'!F67)</f>
        <v/>
      </c>
      <c r="I67" s="98" t="str">
        <f t="shared" si="8"/>
        <v/>
      </c>
      <c r="J67" s="98" t="str">
        <f t="shared" si="9"/>
        <v/>
      </c>
      <c r="K67" s="98" t="str">
        <f>IF(B67="","",'32_Oportunidades'!M67)</f>
        <v/>
      </c>
    </row>
    <row r="68" spans="1:11" ht="1.9" customHeight="1">
      <c r="A68" s="91" t="str">
        <f ca="1">IF('32_Oportunidades'!A68="","",TODAY())</f>
        <v/>
      </c>
      <c r="B68" s="66" t="str">
        <f>IF('32_Oportunidades'!A68="","",'32_Oportunidades'!A68)</f>
        <v/>
      </c>
      <c r="C68" s="66" t="str">
        <f t="shared" si="5"/>
        <v/>
      </c>
      <c r="D68" s="66" t="str">
        <f t="shared" si="6"/>
        <v/>
      </c>
      <c r="E68" s="66" t="str">
        <f>IF(B68="","",'32_Oportunidades'!E68)</f>
        <v/>
      </c>
      <c r="F68" s="132" t="str">
        <f>IF(B68="","",'32_Oportunidades'!G68)</f>
        <v/>
      </c>
      <c r="G68" s="132" t="str">
        <f t="shared" si="7"/>
        <v/>
      </c>
      <c r="H68" s="131" t="str">
        <f>IF(B68="","",'32_Oportunidades'!F68)</f>
        <v/>
      </c>
      <c r="I68" s="98" t="str">
        <f t="shared" si="8"/>
        <v/>
      </c>
      <c r="J68" s="98" t="str">
        <f t="shared" si="9"/>
        <v/>
      </c>
      <c r="K68" s="98" t="str">
        <f>IF(B68="","",'32_Oportunidades'!M68)</f>
        <v/>
      </c>
    </row>
    <row r="69" spans="1:11" ht="1.9" customHeight="1">
      <c r="A69" s="91" t="str">
        <f ca="1">IF('32_Oportunidades'!A69="","",TODAY())</f>
        <v/>
      </c>
      <c r="B69" s="66" t="str">
        <f>IF('32_Oportunidades'!A69="","",'32_Oportunidades'!A69)</f>
        <v/>
      </c>
      <c r="C69" s="66" t="str">
        <f t="shared" ref="C69:C100" si="10">IF(B69="","","Seguimiento estratégico")</f>
        <v/>
      </c>
      <c r="D69" s="66" t="str">
        <f t="shared" ref="D69:D100" si="11">IF(B69="","","Pendiente")</f>
        <v/>
      </c>
      <c r="E69" s="66" t="str">
        <f>IF(B69="","",'32_Oportunidades'!E69)</f>
        <v/>
      </c>
      <c r="F69" s="132" t="str">
        <f>IF(B69="","",'32_Oportunidades'!G69)</f>
        <v/>
      </c>
      <c r="G69" s="132" t="str">
        <f t="shared" ref="G69:G100" si="12">IF(B69="","","🟡 En proceso")</f>
        <v/>
      </c>
      <c r="H69" s="131" t="str">
        <f>IF(B69="","",'32_Oportunidades'!F69)</f>
        <v/>
      </c>
      <c r="I69" s="98" t="str">
        <f t="shared" ref="I69:I100" si="13">IF(B69="","","LinkedIn / Web / WhatsApp / Email")</f>
        <v/>
      </c>
      <c r="J69" s="98" t="str">
        <f t="shared" ref="J69:J100" si="14">IF(B69="","","Validar empresa y definir si pasa a CRM activo")</f>
        <v/>
      </c>
      <c r="K69" s="98" t="str">
        <f>IF(B69="","",'32_Oportunidades'!M69)</f>
        <v/>
      </c>
    </row>
    <row r="70" spans="1:11" ht="1.9" customHeight="1">
      <c r="A70" s="91" t="str">
        <f ca="1">IF('32_Oportunidades'!A70="","",TODAY())</f>
        <v/>
      </c>
      <c r="B70" s="66" t="str">
        <f>IF('32_Oportunidades'!A70="","",'32_Oportunidades'!A70)</f>
        <v/>
      </c>
      <c r="C70" s="66" t="str">
        <f t="shared" si="10"/>
        <v/>
      </c>
      <c r="D70" s="66" t="str">
        <f t="shared" si="11"/>
        <v/>
      </c>
      <c r="E70" s="66" t="str">
        <f>IF(B70="","",'32_Oportunidades'!E70)</f>
        <v/>
      </c>
      <c r="F70" s="132" t="str">
        <f>IF(B70="","",'32_Oportunidades'!G70)</f>
        <v/>
      </c>
      <c r="G70" s="132" t="str">
        <f t="shared" si="12"/>
        <v/>
      </c>
      <c r="H70" s="131" t="str">
        <f>IF(B70="","",'32_Oportunidades'!F70)</f>
        <v/>
      </c>
      <c r="I70" s="98" t="str">
        <f t="shared" si="13"/>
        <v/>
      </c>
      <c r="J70" s="98" t="str">
        <f t="shared" si="14"/>
        <v/>
      </c>
      <c r="K70" s="98" t="str">
        <f>IF(B70="","",'32_Oportunidades'!M70)</f>
        <v/>
      </c>
    </row>
    <row r="71" spans="1:11" ht="1.9" customHeight="1">
      <c r="A71" s="91" t="str">
        <f ca="1">IF('32_Oportunidades'!A71="","",TODAY())</f>
        <v/>
      </c>
      <c r="B71" s="66" t="str">
        <f>IF('32_Oportunidades'!A71="","",'32_Oportunidades'!A71)</f>
        <v/>
      </c>
      <c r="C71" s="66" t="str">
        <f t="shared" si="10"/>
        <v/>
      </c>
      <c r="D71" s="66" t="str">
        <f t="shared" si="11"/>
        <v/>
      </c>
      <c r="E71" s="66" t="str">
        <f>IF(B71="","",'32_Oportunidades'!E71)</f>
        <v/>
      </c>
      <c r="F71" s="132" t="str">
        <f>IF(B71="","",'32_Oportunidades'!G71)</f>
        <v/>
      </c>
      <c r="G71" s="132" t="str">
        <f t="shared" si="12"/>
        <v/>
      </c>
      <c r="H71" s="131" t="str">
        <f>IF(B71="","",'32_Oportunidades'!F71)</f>
        <v/>
      </c>
      <c r="I71" s="98" t="str">
        <f t="shared" si="13"/>
        <v/>
      </c>
      <c r="J71" s="98" t="str">
        <f t="shared" si="14"/>
        <v/>
      </c>
      <c r="K71" s="98" t="str">
        <f>IF(B71="","",'32_Oportunidades'!M71)</f>
        <v/>
      </c>
    </row>
    <row r="72" spans="1:11" ht="1.9" customHeight="1">
      <c r="A72" s="91" t="str">
        <f ca="1">IF('32_Oportunidades'!A72="","",TODAY())</f>
        <v/>
      </c>
      <c r="B72" s="66" t="str">
        <f>IF('32_Oportunidades'!A72="","",'32_Oportunidades'!A72)</f>
        <v/>
      </c>
      <c r="C72" s="66" t="str">
        <f t="shared" si="10"/>
        <v/>
      </c>
      <c r="D72" s="66" t="str">
        <f t="shared" si="11"/>
        <v/>
      </c>
      <c r="E72" s="66" t="str">
        <f>IF(B72="","",'32_Oportunidades'!E72)</f>
        <v/>
      </c>
      <c r="F72" s="132" t="str">
        <f>IF(B72="","",'32_Oportunidades'!G72)</f>
        <v/>
      </c>
      <c r="G72" s="132" t="str">
        <f t="shared" si="12"/>
        <v/>
      </c>
      <c r="H72" s="131" t="str">
        <f>IF(B72="","",'32_Oportunidades'!F72)</f>
        <v/>
      </c>
      <c r="I72" s="98" t="str">
        <f t="shared" si="13"/>
        <v/>
      </c>
      <c r="J72" s="98" t="str">
        <f t="shared" si="14"/>
        <v/>
      </c>
      <c r="K72" s="98" t="str">
        <f>IF(B72="","",'32_Oportunidades'!M72)</f>
        <v/>
      </c>
    </row>
    <row r="73" spans="1:11" ht="1.9" customHeight="1">
      <c r="A73" s="91" t="str">
        <f ca="1">IF('32_Oportunidades'!A73="","",TODAY())</f>
        <v/>
      </c>
      <c r="B73" s="66" t="str">
        <f>IF('32_Oportunidades'!A73="","",'32_Oportunidades'!A73)</f>
        <v/>
      </c>
      <c r="C73" s="66" t="str">
        <f t="shared" si="10"/>
        <v/>
      </c>
      <c r="D73" s="66" t="str">
        <f t="shared" si="11"/>
        <v/>
      </c>
      <c r="E73" s="66" t="str">
        <f>IF(B73="","",'32_Oportunidades'!E73)</f>
        <v/>
      </c>
      <c r="F73" s="132" t="str">
        <f>IF(B73="","",'32_Oportunidades'!G73)</f>
        <v/>
      </c>
      <c r="G73" s="132" t="str">
        <f t="shared" si="12"/>
        <v/>
      </c>
      <c r="H73" s="131" t="str">
        <f>IF(B73="","",'32_Oportunidades'!F73)</f>
        <v/>
      </c>
      <c r="I73" s="98" t="str">
        <f t="shared" si="13"/>
        <v/>
      </c>
      <c r="J73" s="98" t="str">
        <f t="shared" si="14"/>
        <v/>
      </c>
      <c r="K73" s="98" t="str">
        <f>IF(B73="","",'32_Oportunidades'!M73)</f>
        <v/>
      </c>
    </row>
    <row r="74" spans="1:11" ht="1.9" customHeight="1">
      <c r="A74" s="91" t="str">
        <f ca="1">IF('32_Oportunidades'!A74="","",TODAY())</f>
        <v/>
      </c>
      <c r="B74" s="66" t="str">
        <f>IF('32_Oportunidades'!A74="","",'32_Oportunidades'!A74)</f>
        <v/>
      </c>
      <c r="C74" s="66" t="str">
        <f t="shared" si="10"/>
        <v/>
      </c>
      <c r="D74" s="66" t="str">
        <f t="shared" si="11"/>
        <v/>
      </c>
      <c r="E74" s="66" t="str">
        <f>IF(B74="","",'32_Oportunidades'!E74)</f>
        <v/>
      </c>
      <c r="F74" s="132" t="str">
        <f>IF(B74="","",'32_Oportunidades'!G74)</f>
        <v/>
      </c>
      <c r="G74" s="132" t="str">
        <f t="shared" si="12"/>
        <v/>
      </c>
      <c r="H74" s="131" t="str">
        <f>IF(B74="","",'32_Oportunidades'!F74)</f>
        <v/>
      </c>
      <c r="I74" s="98" t="str">
        <f t="shared" si="13"/>
        <v/>
      </c>
      <c r="J74" s="98" t="str">
        <f t="shared" si="14"/>
        <v/>
      </c>
      <c r="K74" s="98" t="str">
        <f>IF(B74="","",'32_Oportunidades'!M74)</f>
        <v/>
      </c>
    </row>
    <row r="75" spans="1:11" ht="1.9" customHeight="1">
      <c r="A75" s="91" t="str">
        <f ca="1">IF('32_Oportunidades'!A75="","",TODAY())</f>
        <v/>
      </c>
      <c r="B75" s="66" t="str">
        <f>IF('32_Oportunidades'!A75="","",'32_Oportunidades'!A75)</f>
        <v/>
      </c>
      <c r="C75" s="66" t="str">
        <f t="shared" si="10"/>
        <v/>
      </c>
      <c r="D75" s="66" t="str">
        <f t="shared" si="11"/>
        <v/>
      </c>
      <c r="E75" s="66" t="str">
        <f>IF(B75="","",'32_Oportunidades'!E75)</f>
        <v/>
      </c>
      <c r="F75" s="132" t="str">
        <f>IF(B75="","",'32_Oportunidades'!G75)</f>
        <v/>
      </c>
      <c r="G75" s="132" t="str">
        <f t="shared" si="12"/>
        <v/>
      </c>
      <c r="H75" s="131" t="str">
        <f>IF(B75="","",'32_Oportunidades'!F75)</f>
        <v/>
      </c>
      <c r="I75" s="98" t="str">
        <f t="shared" si="13"/>
        <v/>
      </c>
      <c r="J75" s="98" t="str">
        <f t="shared" si="14"/>
        <v/>
      </c>
      <c r="K75" s="98" t="str">
        <f>IF(B75="","",'32_Oportunidades'!M75)</f>
        <v/>
      </c>
    </row>
    <row r="76" spans="1:11" ht="1.9" customHeight="1">
      <c r="A76" s="91" t="str">
        <f ca="1">IF('32_Oportunidades'!A76="","",TODAY())</f>
        <v/>
      </c>
      <c r="B76" s="66" t="str">
        <f>IF('32_Oportunidades'!A76="","",'32_Oportunidades'!A76)</f>
        <v/>
      </c>
      <c r="C76" s="66" t="str">
        <f t="shared" si="10"/>
        <v/>
      </c>
      <c r="D76" s="66" t="str">
        <f t="shared" si="11"/>
        <v/>
      </c>
      <c r="E76" s="66" t="str">
        <f>IF(B76="","",'32_Oportunidades'!E76)</f>
        <v/>
      </c>
      <c r="F76" s="132" t="str">
        <f>IF(B76="","",'32_Oportunidades'!G76)</f>
        <v/>
      </c>
      <c r="G76" s="132" t="str">
        <f t="shared" si="12"/>
        <v/>
      </c>
      <c r="H76" s="131" t="str">
        <f>IF(B76="","",'32_Oportunidades'!F76)</f>
        <v/>
      </c>
      <c r="I76" s="98" t="str">
        <f t="shared" si="13"/>
        <v/>
      </c>
      <c r="J76" s="98" t="str">
        <f t="shared" si="14"/>
        <v/>
      </c>
      <c r="K76" s="98" t="str">
        <f>IF(B76="","",'32_Oportunidades'!M76)</f>
        <v/>
      </c>
    </row>
    <row r="77" spans="1:11" ht="1.9" customHeight="1">
      <c r="A77" s="91" t="str">
        <f ca="1">IF('32_Oportunidades'!A77="","",TODAY())</f>
        <v/>
      </c>
      <c r="B77" s="66" t="str">
        <f>IF('32_Oportunidades'!A77="","",'32_Oportunidades'!A77)</f>
        <v/>
      </c>
      <c r="C77" s="66" t="str">
        <f t="shared" si="10"/>
        <v/>
      </c>
      <c r="D77" s="66" t="str">
        <f t="shared" si="11"/>
        <v/>
      </c>
      <c r="E77" s="66" t="str">
        <f>IF(B77="","",'32_Oportunidades'!E77)</f>
        <v/>
      </c>
      <c r="F77" s="132" t="str">
        <f>IF(B77="","",'32_Oportunidades'!G77)</f>
        <v/>
      </c>
      <c r="G77" s="132" t="str">
        <f t="shared" si="12"/>
        <v/>
      </c>
      <c r="H77" s="131" t="str">
        <f>IF(B77="","",'32_Oportunidades'!F77)</f>
        <v/>
      </c>
      <c r="I77" s="98" t="str">
        <f t="shared" si="13"/>
        <v/>
      </c>
      <c r="J77" s="98" t="str">
        <f t="shared" si="14"/>
        <v/>
      </c>
      <c r="K77" s="98" t="str">
        <f>IF(B77="","",'32_Oportunidades'!M77)</f>
        <v/>
      </c>
    </row>
    <row r="78" spans="1:11" ht="1.9" customHeight="1">
      <c r="A78" s="91" t="str">
        <f ca="1">IF('32_Oportunidades'!A78="","",TODAY())</f>
        <v/>
      </c>
      <c r="B78" s="66" t="str">
        <f>IF('32_Oportunidades'!A78="","",'32_Oportunidades'!A78)</f>
        <v/>
      </c>
      <c r="C78" s="66" t="str">
        <f t="shared" si="10"/>
        <v/>
      </c>
      <c r="D78" s="66" t="str">
        <f t="shared" si="11"/>
        <v/>
      </c>
      <c r="E78" s="66" t="str">
        <f>IF(B78="","",'32_Oportunidades'!E78)</f>
        <v/>
      </c>
      <c r="F78" s="132" t="str">
        <f>IF(B78="","",'32_Oportunidades'!G78)</f>
        <v/>
      </c>
      <c r="G78" s="132" t="str">
        <f t="shared" si="12"/>
        <v/>
      </c>
      <c r="H78" s="131" t="str">
        <f>IF(B78="","",'32_Oportunidades'!F78)</f>
        <v/>
      </c>
      <c r="I78" s="98" t="str">
        <f t="shared" si="13"/>
        <v/>
      </c>
      <c r="J78" s="98" t="str">
        <f t="shared" si="14"/>
        <v/>
      </c>
      <c r="K78" s="98" t="str">
        <f>IF(B78="","",'32_Oportunidades'!M78)</f>
        <v/>
      </c>
    </row>
    <row r="79" spans="1:11" ht="1.9" customHeight="1">
      <c r="A79" s="91" t="str">
        <f ca="1">IF('32_Oportunidades'!A79="","",TODAY())</f>
        <v/>
      </c>
      <c r="B79" s="66" t="str">
        <f>IF('32_Oportunidades'!A79="","",'32_Oportunidades'!A79)</f>
        <v/>
      </c>
      <c r="C79" s="66" t="str">
        <f t="shared" si="10"/>
        <v/>
      </c>
      <c r="D79" s="66" t="str">
        <f t="shared" si="11"/>
        <v/>
      </c>
      <c r="E79" s="66" t="str">
        <f>IF(B79="","",'32_Oportunidades'!E79)</f>
        <v/>
      </c>
      <c r="F79" s="132" t="str">
        <f>IF(B79="","",'32_Oportunidades'!G79)</f>
        <v/>
      </c>
      <c r="G79" s="132" t="str">
        <f t="shared" si="12"/>
        <v/>
      </c>
      <c r="H79" s="131" t="str">
        <f>IF(B79="","",'32_Oportunidades'!F79)</f>
        <v/>
      </c>
      <c r="I79" s="98" t="str">
        <f t="shared" si="13"/>
        <v/>
      </c>
      <c r="J79" s="98" t="str">
        <f t="shared" si="14"/>
        <v/>
      </c>
      <c r="K79" s="98" t="str">
        <f>IF(B79="","",'32_Oportunidades'!M79)</f>
        <v/>
      </c>
    </row>
    <row r="80" spans="1:11" ht="1.9" customHeight="1">
      <c r="A80" s="91" t="str">
        <f ca="1">IF('32_Oportunidades'!A80="","",TODAY())</f>
        <v/>
      </c>
      <c r="B80" s="66" t="str">
        <f>IF('32_Oportunidades'!A80="","",'32_Oportunidades'!A80)</f>
        <v/>
      </c>
      <c r="C80" s="66" t="str">
        <f t="shared" si="10"/>
        <v/>
      </c>
      <c r="D80" s="66" t="str">
        <f t="shared" si="11"/>
        <v/>
      </c>
      <c r="E80" s="66" t="str">
        <f>IF(B80="","",'32_Oportunidades'!E80)</f>
        <v/>
      </c>
      <c r="F80" s="132" t="str">
        <f>IF(B80="","",'32_Oportunidades'!G80)</f>
        <v/>
      </c>
      <c r="G80" s="132" t="str">
        <f t="shared" si="12"/>
        <v/>
      </c>
      <c r="H80" s="131" t="str">
        <f>IF(B80="","",'32_Oportunidades'!F80)</f>
        <v/>
      </c>
      <c r="I80" s="98" t="str">
        <f t="shared" si="13"/>
        <v/>
      </c>
      <c r="J80" s="98" t="str">
        <f t="shared" si="14"/>
        <v/>
      </c>
      <c r="K80" s="98" t="str">
        <f>IF(B80="","",'32_Oportunidades'!M80)</f>
        <v/>
      </c>
    </row>
    <row r="81" spans="1:11" ht="1.9" customHeight="1">
      <c r="A81" s="122" t="str">
        <f ca="1">IF('32_Oportunidades'!A81="","",TODAY())</f>
        <v/>
      </c>
      <c r="B81" s="98" t="str">
        <f>IF('32_Oportunidades'!A81="","",'32_Oportunidades'!A81)</f>
        <v/>
      </c>
      <c r="C81" s="98" t="str">
        <f t="shared" si="10"/>
        <v/>
      </c>
      <c r="D81" s="98" t="str">
        <f t="shared" si="11"/>
        <v/>
      </c>
      <c r="E81" s="98" t="str">
        <f>IF(B81="","",'32_Oportunidades'!E81)</f>
        <v/>
      </c>
      <c r="F81" s="98" t="str">
        <f>IF(B81="","",'32_Oportunidades'!G81)</f>
        <v/>
      </c>
      <c r="G81" s="98" t="str">
        <f t="shared" si="12"/>
        <v/>
      </c>
      <c r="H81" s="122" t="str">
        <f>IF(B81="","",'32_Oportunidades'!F81)</f>
        <v/>
      </c>
      <c r="I81" s="98" t="str">
        <f t="shared" si="13"/>
        <v/>
      </c>
      <c r="J81" s="98" t="str">
        <f t="shared" si="14"/>
        <v/>
      </c>
      <c r="K81" s="98" t="str">
        <f>IF(B81="","",'32_Oportunidades'!M81)</f>
        <v/>
      </c>
    </row>
    <row r="82" spans="1:11" ht="1.9" customHeight="1">
      <c r="A82" s="122" t="str">
        <f ca="1">IF('32_Oportunidades'!A82="","",TODAY())</f>
        <v/>
      </c>
      <c r="B82" s="98" t="str">
        <f>IF('32_Oportunidades'!A82="","",'32_Oportunidades'!A82)</f>
        <v/>
      </c>
      <c r="C82" s="98" t="str">
        <f t="shared" si="10"/>
        <v/>
      </c>
      <c r="D82" s="98" t="str">
        <f t="shared" si="11"/>
        <v/>
      </c>
      <c r="E82" s="98" t="str">
        <f>IF(B82="","",'32_Oportunidades'!E82)</f>
        <v/>
      </c>
      <c r="F82" s="98" t="str">
        <f>IF(B82="","",'32_Oportunidades'!G82)</f>
        <v/>
      </c>
      <c r="G82" s="98" t="str">
        <f t="shared" si="12"/>
        <v/>
      </c>
      <c r="H82" s="122" t="str">
        <f>IF(B82="","",'32_Oportunidades'!F82)</f>
        <v/>
      </c>
      <c r="I82" s="98" t="str">
        <f t="shared" si="13"/>
        <v/>
      </c>
      <c r="J82" s="98" t="str">
        <f t="shared" si="14"/>
        <v/>
      </c>
      <c r="K82" s="98" t="str">
        <f>IF(B82="","",'32_Oportunidades'!M82)</f>
        <v/>
      </c>
    </row>
    <row r="83" spans="1:11" ht="1.9" customHeight="1">
      <c r="A83" s="122" t="str">
        <f ca="1">IF('32_Oportunidades'!A83="","",TODAY())</f>
        <v/>
      </c>
      <c r="B83" s="98" t="str">
        <f>IF('32_Oportunidades'!A83="","",'32_Oportunidades'!A83)</f>
        <v/>
      </c>
      <c r="C83" s="98" t="str">
        <f t="shared" si="10"/>
        <v/>
      </c>
      <c r="D83" s="98" t="str">
        <f t="shared" si="11"/>
        <v/>
      </c>
      <c r="E83" s="98" t="str">
        <f>IF(B83="","",'32_Oportunidades'!E83)</f>
        <v/>
      </c>
      <c r="F83" s="98" t="str">
        <f>IF(B83="","",'32_Oportunidades'!G83)</f>
        <v/>
      </c>
      <c r="G83" s="98" t="str">
        <f t="shared" si="12"/>
        <v/>
      </c>
      <c r="H83" s="122" t="str">
        <f>IF(B83="","",'32_Oportunidades'!F83)</f>
        <v/>
      </c>
      <c r="I83" s="98" t="str">
        <f t="shared" si="13"/>
        <v/>
      </c>
      <c r="J83" s="98" t="str">
        <f t="shared" si="14"/>
        <v/>
      </c>
      <c r="K83" s="98" t="str">
        <f>IF(B83="","",'32_Oportunidades'!M83)</f>
        <v/>
      </c>
    </row>
    <row r="84" spans="1:11" ht="1.9" customHeight="1">
      <c r="A84" s="122" t="str">
        <f ca="1">IF('32_Oportunidades'!A84="","",TODAY())</f>
        <v/>
      </c>
      <c r="B84" s="98" t="str">
        <f>IF('32_Oportunidades'!A84="","",'32_Oportunidades'!A84)</f>
        <v/>
      </c>
      <c r="C84" s="98" t="str">
        <f t="shared" si="10"/>
        <v/>
      </c>
      <c r="D84" s="98" t="str">
        <f t="shared" si="11"/>
        <v/>
      </c>
      <c r="E84" s="98" t="str">
        <f>IF(B84="","",'32_Oportunidades'!E84)</f>
        <v/>
      </c>
      <c r="F84" s="98" t="str">
        <f>IF(B84="","",'32_Oportunidades'!G84)</f>
        <v/>
      </c>
      <c r="G84" s="98" t="str">
        <f t="shared" si="12"/>
        <v/>
      </c>
      <c r="H84" s="122" t="str">
        <f>IF(B84="","",'32_Oportunidades'!F84)</f>
        <v/>
      </c>
      <c r="I84" s="98" t="str">
        <f t="shared" si="13"/>
        <v/>
      </c>
      <c r="J84" s="98" t="str">
        <f t="shared" si="14"/>
        <v/>
      </c>
      <c r="K84" s="98" t="str">
        <f>IF(B84="","",'32_Oportunidades'!M84)</f>
        <v/>
      </c>
    </row>
    <row r="85" spans="1:11" ht="1.9" customHeight="1">
      <c r="A85" s="122" t="str">
        <f ca="1">IF('32_Oportunidades'!A85="","",TODAY())</f>
        <v/>
      </c>
      <c r="B85" s="98" t="str">
        <f>IF('32_Oportunidades'!A85="","",'32_Oportunidades'!A85)</f>
        <v/>
      </c>
      <c r="C85" s="98" t="str">
        <f t="shared" si="10"/>
        <v/>
      </c>
      <c r="D85" s="98" t="str">
        <f t="shared" si="11"/>
        <v/>
      </c>
      <c r="E85" s="98" t="str">
        <f>IF(B85="","",'32_Oportunidades'!E85)</f>
        <v/>
      </c>
      <c r="F85" s="98" t="str">
        <f>IF(B85="","",'32_Oportunidades'!G85)</f>
        <v/>
      </c>
      <c r="G85" s="98" t="str">
        <f t="shared" si="12"/>
        <v/>
      </c>
      <c r="H85" s="122" t="str">
        <f>IF(B85="","",'32_Oportunidades'!F85)</f>
        <v/>
      </c>
      <c r="I85" s="98" t="str">
        <f t="shared" si="13"/>
        <v/>
      </c>
      <c r="J85" s="98" t="str">
        <f t="shared" si="14"/>
        <v/>
      </c>
      <c r="K85" s="98" t="str">
        <f>IF(B85="","",'32_Oportunidades'!M85)</f>
        <v/>
      </c>
    </row>
    <row r="86" spans="1:11" ht="1.9" customHeight="1">
      <c r="A86" s="122" t="str">
        <f ca="1">IF('32_Oportunidades'!A86="","",TODAY())</f>
        <v/>
      </c>
      <c r="B86" s="98" t="str">
        <f>IF('32_Oportunidades'!A86="","",'32_Oportunidades'!A86)</f>
        <v/>
      </c>
      <c r="C86" s="98" t="str">
        <f t="shared" si="10"/>
        <v/>
      </c>
      <c r="D86" s="98" t="str">
        <f t="shared" si="11"/>
        <v/>
      </c>
      <c r="E86" s="98" t="str">
        <f>IF(B86="","",'32_Oportunidades'!E86)</f>
        <v/>
      </c>
      <c r="F86" s="98" t="str">
        <f>IF(B86="","",'32_Oportunidades'!G86)</f>
        <v/>
      </c>
      <c r="G86" s="98" t="str">
        <f t="shared" si="12"/>
        <v/>
      </c>
      <c r="H86" s="122" t="str">
        <f>IF(B86="","",'32_Oportunidades'!F86)</f>
        <v/>
      </c>
      <c r="I86" s="98" t="str">
        <f t="shared" si="13"/>
        <v/>
      </c>
      <c r="J86" s="98" t="str">
        <f t="shared" si="14"/>
        <v/>
      </c>
      <c r="K86" s="98" t="str">
        <f>IF(B86="","",'32_Oportunidades'!M86)</f>
        <v/>
      </c>
    </row>
    <row r="87" spans="1:11" ht="1.9" customHeight="1">
      <c r="A87" s="122" t="str">
        <f ca="1">IF('32_Oportunidades'!A87="","",TODAY())</f>
        <v/>
      </c>
      <c r="B87" s="98" t="str">
        <f>IF('32_Oportunidades'!A87="","",'32_Oportunidades'!A87)</f>
        <v/>
      </c>
      <c r="C87" s="98" t="str">
        <f t="shared" si="10"/>
        <v/>
      </c>
      <c r="D87" s="98" t="str">
        <f t="shared" si="11"/>
        <v/>
      </c>
      <c r="E87" s="98" t="str">
        <f>IF(B87="","",'32_Oportunidades'!E87)</f>
        <v/>
      </c>
      <c r="F87" s="98" t="str">
        <f>IF(B87="","",'32_Oportunidades'!G87)</f>
        <v/>
      </c>
      <c r="G87" s="98" t="str">
        <f t="shared" si="12"/>
        <v/>
      </c>
      <c r="H87" s="122" t="str">
        <f>IF(B87="","",'32_Oportunidades'!F87)</f>
        <v/>
      </c>
      <c r="I87" s="98" t="str">
        <f t="shared" si="13"/>
        <v/>
      </c>
      <c r="J87" s="98" t="str">
        <f t="shared" si="14"/>
        <v/>
      </c>
      <c r="K87" s="98" t="str">
        <f>IF(B87="","",'32_Oportunidades'!M87)</f>
        <v/>
      </c>
    </row>
    <row r="88" spans="1:11" ht="1.9" customHeight="1">
      <c r="A88" s="122" t="str">
        <f ca="1">IF('32_Oportunidades'!A88="","",TODAY())</f>
        <v/>
      </c>
      <c r="B88" s="98" t="str">
        <f>IF('32_Oportunidades'!A88="","",'32_Oportunidades'!A88)</f>
        <v/>
      </c>
      <c r="C88" s="98" t="str">
        <f t="shared" si="10"/>
        <v/>
      </c>
      <c r="D88" s="98" t="str">
        <f t="shared" si="11"/>
        <v/>
      </c>
      <c r="E88" s="98" t="str">
        <f>IF(B88="","",'32_Oportunidades'!E88)</f>
        <v/>
      </c>
      <c r="F88" s="98" t="str">
        <f>IF(B88="","",'32_Oportunidades'!G88)</f>
        <v/>
      </c>
      <c r="G88" s="98" t="str">
        <f t="shared" si="12"/>
        <v/>
      </c>
      <c r="H88" s="122" t="str">
        <f>IF(B88="","",'32_Oportunidades'!F88)</f>
        <v/>
      </c>
      <c r="I88" s="98" t="str">
        <f t="shared" si="13"/>
        <v/>
      </c>
      <c r="J88" s="98" t="str">
        <f t="shared" si="14"/>
        <v/>
      </c>
      <c r="K88" s="98" t="str">
        <f>IF(B88="","",'32_Oportunidades'!M88)</f>
        <v/>
      </c>
    </row>
    <row r="89" spans="1:11" ht="1.9" customHeight="1">
      <c r="A89" s="122" t="str">
        <f ca="1">IF('32_Oportunidades'!A89="","",TODAY())</f>
        <v/>
      </c>
      <c r="B89" s="98" t="str">
        <f>IF('32_Oportunidades'!A89="","",'32_Oportunidades'!A89)</f>
        <v/>
      </c>
      <c r="C89" s="98" t="str">
        <f t="shared" si="10"/>
        <v/>
      </c>
      <c r="D89" s="98" t="str">
        <f t="shared" si="11"/>
        <v/>
      </c>
      <c r="E89" s="98" t="str">
        <f>IF(B89="","",'32_Oportunidades'!E89)</f>
        <v/>
      </c>
      <c r="F89" s="98" t="str">
        <f>IF(B89="","",'32_Oportunidades'!G89)</f>
        <v/>
      </c>
      <c r="G89" s="98" t="str">
        <f t="shared" si="12"/>
        <v/>
      </c>
      <c r="H89" s="122" t="str">
        <f>IF(B89="","",'32_Oportunidades'!F89)</f>
        <v/>
      </c>
      <c r="I89" s="98" t="str">
        <f t="shared" si="13"/>
        <v/>
      </c>
      <c r="J89" s="98" t="str">
        <f t="shared" si="14"/>
        <v/>
      </c>
      <c r="K89" s="98" t="str">
        <f>IF(B89="","",'32_Oportunidades'!M89)</f>
        <v/>
      </c>
    </row>
    <row r="90" spans="1:11" ht="1.9" customHeight="1">
      <c r="A90" s="122" t="str">
        <f ca="1">IF('32_Oportunidades'!A90="","",TODAY())</f>
        <v/>
      </c>
      <c r="B90" s="98" t="str">
        <f>IF('32_Oportunidades'!A90="","",'32_Oportunidades'!A90)</f>
        <v/>
      </c>
      <c r="C90" s="98" t="str">
        <f t="shared" si="10"/>
        <v/>
      </c>
      <c r="D90" s="98" t="str">
        <f t="shared" si="11"/>
        <v/>
      </c>
      <c r="E90" s="98" t="str">
        <f>IF(B90="","",'32_Oportunidades'!E90)</f>
        <v/>
      </c>
      <c r="F90" s="98" t="str">
        <f>IF(B90="","",'32_Oportunidades'!G90)</f>
        <v/>
      </c>
      <c r="G90" s="98" t="str">
        <f t="shared" si="12"/>
        <v/>
      </c>
      <c r="H90" s="122" t="str">
        <f>IF(B90="","",'32_Oportunidades'!F90)</f>
        <v/>
      </c>
      <c r="I90" s="98" t="str">
        <f t="shared" si="13"/>
        <v/>
      </c>
      <c r="J90" s="98" t="str">
        <f t="shared" si="14"/>
        <v/>
      </c>
      <c r="K90" s="98" t="str">
        <f>IF(B90="","",'32_Oportunidades'!M90)</f>
        <v/>
      </c>
    </row>
    <row r="91" spans="1:11" ht="1.9" customHeight="1">
      <c r="A91" s="122" t="str">
        <f ca="1">IF('32_Oportunidades'!A91="","",TODAY())</f>
        <v/>
      </c>
      <c r="B91" s="98" t="str">
        <f>IF('32_Oportunidades'!A91="","",'32_Oportunidades'!A91)</f>
        <v/>
      </c>
      <c r="C91" s="98" t="str">
        <f t="shared" si="10"/>
        <v/>
      </c>
      <c r="D91" s="98" t="str">
        <f t="shared" si="11"/>
        <v/>
      </c>
      <c r="E91" s="98" t="str">
        <f>IF(B91="","",'32_Oportunidades'!E91)</f>
        <v/>
      </c>
      <c r="F91" s="98" t="str">
        <f>IF(B91="","",'32_Oportunidades'!G91)</f>
        <v/>
      </c>
      <c r="G91" s="98" t="str">
        <f t="shared" si="12"/>
        <v/>
      </c>
      <c r="H91" s="122" t="str">
        <f>IF(B91="","",'32_Oportunidades'!F91)</f>
        <v/>
      </c>
      <c r="I91" s="98" t="str">
        <f t="shared" si="13"/>
        <v/>
      </c>
      <c r="J91" s="98" t="str">
        <f t="shared" si="14"/>
        <v/>
      </c>
      <c r="K91" s="98" t="str">
        <f>IF(B91="","",'32_Oportunidades'!M91)</f>
        <v/>
      </c>
    </row>
    <row r="92" spans="1:11" ht="1.9" customHeight="1">
      <c r="A92" s="122" t="str">
        <f ca="1">IF('32_Oportunidades'!A92="","",TODAY())</f>
        <v/>
      </c>
      <c r="B92" s="98" t="str">
        <f>IF('32_Oportunidades'!A92="","",'32_Oportunidades'!A92)</f>
        <v/>
      </c>
      <c r="C92" s="98" t="str">
        <f t="shared" si="10"/>
        <v/>
      </c>
      <c r="D92" s="98" t="str">
        <f t="shared" si="11"/>
        <v/>
      </c>
      <c r="E92" s="98" t="str">
        <f>IF(B92="","",'32_Oportunidades'!E92)</f>
        <v/>
      </c>
      <c r="F92" s="98" t="str">
        <f>IF(B92="","",'32_Oportunidades'!G92)</f>
        <v/>
      </c>
      <c r="G92" s="98" t="str">
        <f t="shared" si="12"/>
        <v/>
      </c>
      <c r="H92" s="122" t="str">
        <f>IF(B92="","",'32_Oportunidades'!F92)</f>
        <v/>
      </c>
      <c r="I92" s="98" t="str">
        <f t="shared" si="13"/>
        <v/>
      </c>
      <c r="J92" s="98" t="str">
        <f t="shared" si="14"/>
        <v/>
      </c>
      <c r="K92" s="98" t="str">
        <f>IF(B92="","",'32_Oportunidades'!M92)</f>
        <v/>
      </c>
    </row>
    <row r="93" spans="1:11" ht="1.9" customHeight="1">
      <c r="A93" s="122" t="str">
        <f ca="1">IF('32_Oportunidades'!A93="","",TODAY())</f>
        <v/>
      </c>
      <c r="B93" s="98" t="str">
        <f>IF('32_Oportunidades'!A93="","",'32_Oportunidades'!A93)</f>
        <v/>
      </c>
      <c r="C93" s="98" t="str">
        <f t="shared" si="10"/>
        <v/>
      </c>
      <c r="D93" s="98" t="str">
        <f t="shared" si="11"/>
        <v/>
      </c>
      <c r="E93" s="98" t="str">
        <f>IF(B93="","",'32_Oportunidades'!E93)</f>
        <v/>
      </c>
      <c r="F93" s="98" t="str">
        <f>IF(B93="","",'32_Oportunidades'!G93)</f>
        <v/>
      </c>
      <c r="G93" s="98" t="str">
        <f t="shared" si="12"/>
        <v/>
      </c>
      <c r="H93" s="122" t="str">
        <f>IF(B93="","",'32_Oportunidades'!F93)</f>
        <v/>
      </c>
      <c r="I93" s="98" t="str">
        <f t="shared" si="13"/>
        <v/>
      </c>
      <c r="J93" s="98" t="str">
        <f t="shared" si="14"/>
        <v/>
      </c>
      <c r="K93" s="98" t="str">
        <f>IF(B93="","",'32_Oportunidades'!M93)</f>
        <v/>
      </c>
    </row>
    <row r="94" spans="1:11" ht="1.9" customHeight="1">
      <c r="A94" s="122" t="str">
        <f ca="1">IF('32_Oportunidades'!A94="","",TODAY())</f>
        <v/>
      </c>
      <c r="B94" s="98" t="str">
        <f>IF('32_Oportunidades'!A94="","",'32_Oportunidades'!A94)</f>
        <v/>
      </c>
      <c r="C94" s="98" t="str">
        <f t="shared" si="10"/>
        <v/>
      </c>
      <c r="D94" s="98" t="str">
        <f t="shared" si="11"/>
        <v/>
      </c>
      <c r="E94" s="98" t="str">
        <f>IF(B94="","",'32_Oportunidades'!E94)</f>
        <v/>
      </c>
      <c r="F94" s="98" t="str">
        <f>IF(B94="","",'32_Oportunidades'!G94)</f>
        <v/>
      </c>
      <c r="G94" s="98" t="str">
        <f t="shared" si="12"/>
        <v/>
      </c>
      <c r="H94" s="122" t="str">
        <f>IF(B94="","",'32_Oportunidades'!F94)</f>
        <v/>
      </c>
      <c r="I94" s="98" t="str">
        <f t="shared" si="13"/>
        <v/>
      </c>
      <c r="J94" s="98" t="str">
        <f t="shared" si="14"/>
        <v/>
      </c>
      <c r="K94" s="98" t="str">
        <f>IF(B94="","",'32_Oportunidades'!M94)</f>
        <v/>
      </c>
    </row>
    <row r="95" spans="1:11" ht="1.9" customHeight="1">
      <c r="A95" s="122" t="str">
        <f ca="1">IF('32_Oportunidades'!A95="","",TODAY())</f>
        <v/>
      </c>
      <c r="B95" s="98" t="str">
        <f>IF('32_Oportunidades'!A95="","",'32_Oportunidades'!A95)</f>
        <v/>
      </c>
      <c r="C95" s="98" t="str">
        <f t="shared" si="10"/>
        <v/>
      </c>
      <c r="D95" s="98" t="str">
        <f t="shared" si="11"/>
        <v/>
      </c>
      <c r="E95" s="98" t="str">
        <f>IF(B95="","",'32_Oportunidades'!E95)</f>
        <v/>
      </c>
      <c r="F95" s="98" t="str">
        <f>IF(B95="","",'32_Oportunidades'!G95)</f>
        <v/>
      </c>
      <c r="G95" s="98" t="str">
        <f t="shared" si="12"/>
        <v/>
      </c>
      <c r="H95" s="122" t="str">
        <f>IF(B95="","",'32_Oportunidades'!F95)</f>
        <v/>
      </c>
      <c r="I95" s="98" t="str">
        <f t="shared" si="13"/>
        <v/>
      </c>
      <c r="J95" s="98" t="str">
        <f t="shared" si="14"/>
        <v/>
      </c>
      <c r="K95" s="98" t="str">
        <f>IF(B95="","",'32_Oportunidades'!M95)</f>
        <v/>
      </c>
    </row>
    <row r="96" spans="1:11" ht="1.9" customHeight="1">
      <c r="A96" s="122" t="str">
        <f ca="1">IF('32_Oportunidades'!A96="","",TODAY())</f>
        <v/>
      </c>
      <c r="B96" s="98" t="str">
        <f>IF('32_Oportunidades'!A96="","",'32_Oportunidades'!A96)</f>
        <v/>
      </c>
      <c r="C96" s="98" t="str">
        <f t="shared" si="10"/>
        <v/>
      </c>
      <c r="D96" s="98" t="str">
        <f t="shared" si="11"/>
        <v/>
      </c>
      <c r="E96" s="98" t="str">
        <f>IF(B96="","",'32_Oportunidades'!E96)</f>
        <v/>
      </c>
      <c r="F96" s="98" t="str">
        <f>IF(B96="","",'32_Oportunidades'!G96)</f>
        <v/>
      </c>
      <c r="G96" s="98" t="str">
        <f t="shared" si="12"/>
        <v/>
      </c>
      <c r="H96" s="122" t="str">
        <f>IF(B96="","",'32_Oportunidades'!F96)</f>
        <v/>
      </c>
      <c r="I96" s="98" t="str">
        <f t="shared" si="13"/>
        <v/>
      </c>
      <c r="J96" s="98" t="str">
        <f t="shared" si="14"/>
        <v/>
      </c>
      <c r="K96" s="98" t="str">
        <f>IF(B96="","",'32_Oportunidades'!M96)</f>
        <v/>
      </c>
    </row>
    <row r="97" spans="1:11" ht="1.9" customHeight="1">
      <c r="A97" s="122" t="str">
        <f ca="1">IF('32_Oportunidades'!A97="","",TODAY())</f>
        <v/>
      </c>
      <c r="B97" s="98" t="str">
        <f>IF('32_Oportunidades'!A97="","",'32_Oportunidades'!A97)</f>
        <v/>
      </c>
      <c r="C97" s="98" t="str">
        <f t="shared" si="10"/>
        <v/>
      </c>
      <c r="D97" s="98" t="str">
        <f t="shared" si="11"/>
        <v/>
      </c>
      <c r="E97" s="98" t="str">
        <f>IF(B97="","",'32_Oportunidades'!E97)</f>
        <v/>
      </c>
      <c r="F97" s="98" t="str">
        <f>IF(B97="","",'32_Oportunidades'!G97)</f>
        <v/>
      </c>
      <c r="G97" s="98" t="str">
        <f t="shared" si="12"/>
        <v/>
      </c>
      <c r="H97" s="122" t="str">
        <f>IF(B97="","",'32_Oportunidades'!F97)</f>
        <v/>
      </c>
      <c r="I97" s="98" t="str">
        <f t="shared" si="13"/>
        <v/>
      </c>
      <c r="J97" s="98" t="str">
        <f t="shared" si="14"/>
        <v/>
      </c>
      <c r="K97" s="98" t="str">
        <f>IF(B97="","",'32_Oportunidades'!M97)</f>
        <v/>
      </c>
    </row>
    <row r="98" spans="1:11" ht="1.9" customHeight="1">
      <c r="A98" s="122" t="str">
        <f ca="1">IF('32_Oportunidades'!A98="","",TODAY())</f>
        <v/>
      </c>
      <c r="B98" s="98" t="str">
        <f>IF('32_Oportunidades'!A98="","",'32_Oportunidades'!A98)</f>
        <v/>
      </c>
      <c r="C98" s="98" t="str">
        <f t="shared" si="10"/>
        <v/>
      </c>
      <c r="D98" s="98" t="str">
        <f t="shared" si="11"/>
        <v/>
      </c>
      <c r="E98" s="98" t="str">
        <f>IF(B98="","",'32_Oportunidades'!E98)</f>
        <v/>
      </c>
      <c r="F98" s="98" t="str">
        <f>IF(B98="","",'32_Oportunidades'!G98)</f>
        <v/>
      </c>
      <c r="G98" s="98" t="str">
        <f t="shared" si="12"/>
        <v/>
      </c>
      <c r="H98" s="122" t="str">
        <f>IF(B98="","",'32_Oportunidades'!F98)</f>
        <v/>
      </c>
      <c r="I98" s="98" t="str">
        <f t="shared" si="13"/>
        <v/>
      </c>
      <c r="J98" s="98" t="str">
        <f t="shared" si="14"/>
        <v/>
      </c>
      <c r="K98" s="98" t="str">
        <f>IF(B98="","",'32_Oportunidades'!M98)</f>
        <v/>
      </c>
    </row>
    <row r="99" spans="1:11" ht="1.9" customHeight="1">
      <c r="A99" s="122" t="str">
        <f ca="1">IF('32_Oportunidades'!A99="","",TODAY())</f>
        <v/>
      </c>
      <c r="B99" s="98" t="str">
        <f>IF('32_Oportunidades'!A99="","",'32_Oportunidades'!A99)</f>
        <v/>
      </c>
      <c r="C99" s="98" t="str">
        <f t="shared" si="10"/>
        <v/>
      </c>
      <c r="D99" s="98" t="str">
        <f t="shared" si="11"/>
        <v/>
      </c>
      <c r="E99" s="98" t="str">
        <f>IF(B99="","",'32_Oportunidades'!E99)</f>
        <v/>
      </c>
      <c r="F99" s="98" t="str">
        <f>IF(B99="","",'32_Oportunidades'!G99)</f>
        <v/>
      </c>
      <c r="G99" s="98" t="str">
        <f t="shared" si="12"/>
        <v/>
      </c>
      <c r="H99" s="122" t="str">
        <f>IF(B99="","",'32_Oportunidades'!F99)</f>
        <v/>
      </c>
      <c r="I99" s="98" t="str">
        <f t="shared" si="13"/>
        <v/>
      </c>
      <c r="J99" s="98" t="str">
        <f t="shared" si="14"/>
        <v/>
      </c>
      <c r="K99" s="98" t="str">
        <f>IF(B99="","",'32_Oportunidades'!M99)</f>
        <v/>
      </c>
    </row>
    <row r="100" spans="1:11" ht="1.9" customHeight="1">
      <c r="A100" s="122" t="str">
        <f ca="1">IF('32_Oportunidades'!A100="","",TODAY())</f>
        <v/>
      </c>
      <c r="B100" s="98" t="str">
        <f>IF('32_Oportunidades'!A100="","",'32_Oportunidades'!A100)</f>
        <v/>
      </c>
      <c r="C100" s="98" t="str">
        <f t="shared" si="10"/>
        <v/>
      </c>
      <c r="D100" s="98" t="str">
        <f t="shared" si="11"/>
        <v/>
      </c>
      <c r="E100" s="98" t="str">
        <f>IF(B100="","",'32_Oportunidades'!E100)</f>
        <v/>
      </c>
      <c r="F100" s="98" t="str">
        <f>IF(B100="","",'32_Oportunidades'!G100)</f>
        <v/>
      </c>
      <c r="G100" s="98" t="str">
        <f t="shared" si="12"/>
        <v/>
      </c>
      <c r="H100" s="122" t="str">
        <f>IF(B100="","",'32_Oportunidades'!F100)</f>
        <v/>
      </c>
      <c r="I100" s="98" t="str">
        <f t="shared" si="13"/>
        <v/>
      </c>
      <c r="J100" s="98" t="str">
        <f t="shared" si="14"/>
        <v/>
      </c>
      <c r="K100" s="98" t="str">
        <f>IF(B100="","",'32_Oportunidades'!M100)</f>
        <v/>
      </c>
    </row>
    <row r="101" spans="1:11">
      <c r="A101" s="122" t="str">
        <f ca="1">IF('32_Oportunidades'!A101="","",TODAY())</f>
        <v/>
      </c>
      <c r="B101" s="98" t="str">
        <f>IF('32_Oportunidades'!A101="","",'32_Oportunidades'!A101)</f>
        <v/>
      </c>
      <c r="C101" s="98" t="str">
        <f t="shared" ref="C101:C132" si="15">IF(B101="","","Seguimiento estratégico")</f>
        <v/>
      </c>
      <c r="D101" s="98" t="str">
        <f t="shared" ref="D101:D132" si="16">IF(B101="","","Pendiente")</f>
        <v/>
      </c>
      <c r="E101" s="98" t="str">
        <f>IF(B101="","",'32_Oportunidades'!E101)</f>
        <v/>
      </c>
      <c r="F101" s="98" t="str">
        <f>IF(B101="","",'32_Oportunidades'!G101)</f>
        <v/>
      </c>
      <c r="G101" s="98" t="str">
        <f t="shared" ref="G101:G132" si="17">IF(B101="","","🟡 En proceso")</f>
        <v/>
      </c>
      <c r="H101" s="122" t="str">
        <f>IF(B101="","",'32_Oportunidades'!F101)</f>
        <v/>
      </c>
      <c r="I101" s="98" t="str">
        <f t="shared" ref="I101:I132" si="18">IF(B101="","","LinkedIn / Web / WhatsApp / Email")</f>
        <v/>
      </c>
      <c r="J101" s="98" t="str">
        <f t="shared" ref="J101:J132" si="19">IF(B101="","","Validar empresa y definir si pasa a CRM activo")</f>
        <v/>
      </c>
      <c r="K101" s="98" t="str">
        <f>IF(B101="","",'32_Oportunidades'!M101)</f>
        <v/>
      </c>
    </row>
    <row r="102" spans="1:11">
      <c r="A102" s="122" t="str">
        <f ca="1">IF('32_Oportunidades'!A102="","",TODAY())</f>
        <v/>
      </c>
      <c r="B102" s="98" t="str">
        <f>IF('32_Oportunidades'!A102="","",'32_Oportunidades'!A102)</f>
        <v/>
      </c>
      <c r="C102" s="98" t="str">
        <f t="shared" si="15"/>
        <v/>
      </c>
      <c r="D102" s="98" t="str">
        <f t="shared" si="16"/>
        <v/>
      </c>
      <c r="E102" s="98" t="str">
        <f>IF(B102="","",'32_Oportunidades'!E102)</f>
        <v/>
      </c>
      <c r="F102" s="98" t="str">
        <f>IF(B102="","",'32_Oportunidades'!G102)</f>
        <v/>
      </c>
      <c r="G102" s="98" t="str">
        <f t="shared" si="17"/>
        <v/>
      </c>
      <c r="H102" s="122" t="str">
        <f>IF(B102="","",'32_Oportunidades'!F102)</f>
        <v/>
      </c>
      <c r="I102" s="98" t="str">
        <f t="shared" si="18"/>
        <v/>
      </c>
      <c r="J102" s="98" t="str">
        <f t="shared" si="19"/>
        <v/>
      </c>
      <c r="K102" s="98" t="str">
        <f>IF(B102="","",'32_Oportunidades'!M102)</f>
        <v/>
      </c>
    </row>
    <row r="103" spans="1:11">
      <c r="A103" s="122" t="str">
        <f ca="1">IF('32_Oportunidades'!A103="","",TODAY())</f>
        <v/>
      </c>
      <c r="B103" s="98" t="str">
        <f>IF('32_Oportunidades'!A103="","",'32_Oportunidades'!A103)</f>
        <v/>
      </c>
      <c r="C103" s="98" t="str">
        <f t="shared" si="15"/>
        <v/>
      </c>
      <c r="D103" s="98" t="str">
        <f t="shared" si="16"/>
        <v/>
      </c>
      <c r="E103" s="98" t="str">
        <f>IF(B103="","",'32_Oportunidades'!E103)</f>
        <v/>
      </c>
      <c r="F103" s="98" t="str">
        <f>IF(B103="","",'32_Oportunidades'!G103)</f>
        <v/>
      </c>
      <c r="G103" s="98" t="str">
        <f t="shared" si="17"/>
        <v/>
      </c>
      <c r="H103" s="122" t="str">
        <f>IF(B103="","",'32_Oportunidades'!F103)</f>
        <v/>
      </c>
      <c r="I103" s="98" t="str">
        <f t="shared" si="18"/>
        <v/>
      </c>
      <c r="J103" s="98" t="str">
        <f t="shared" si="19"/>
        <v/>
      </c>
      <c r="K103" s="98" t="str">
        <f>IF(B103="","",'32_Oportunidades'!M103)</f>
        <v/>
      </c>
    </row>
    <row r="104" spans="1:11">
      <c r="A104" s="122" t="str">
        <f ca="1">IF('32_Oportunidades'!A104="","",TODAY())</f>
        <v/>
      </c>
      <c r="B104" s="98" t="str">
        <f>IF('32_Oportunidades'!A104="","",'32_Oportunidades'!A104)</f>
        <v/>
      </c>
      <c r="C104" s="98" t="str">
        <f t="shared" si="15"/>
        <v/>
      </c>
      <c r="D104" s="98" t="str">
        <f t="shared" si="16"/>
        <v/>
      </c>
      <c r="E104" s="98" t="str">
        <f>IF(B104="","",'32_Oportunidades'!E104)</f>
        <v/>
      </c>
      <c r="F104" s="98" t="str">
        <f>IF(B104="","",'32_Oportunidades'!G104)</f>
        <v/>
      </c>
      <c r="G104" s="98" t="str">
        <f t="shared" si="17"/>
        <v/>
      </c>
      <c r="H104" s="122" t="str">
        <f>IF(B104="","",'32_Oportunidades'!F104)</f>
        <v/>
      </c>
      <c r="I104" s="98" t="str">
        <f t="shared" si="18"/>
        <v/>
      </c>
      <c r="J104" s="98" t="str">
        <f t="shared" si="19"/>
        <v/>
      </c>
      <c r="K104" s="98" t="str">
        <f>IF(B104="","",'32_Oportunidades'!M104)</f>
        <v/>
      </c>
    </row>
    <row r="105" spans="1:11">
      <c r="A105" s="122" t="str">
        <f ca="1">IF('32_Oportunidades'!A105="","",TODAY())</f>
        <v/>
      </c>
      <c r="B105" s="98" t="str">
        <f>IF('32_Oportunidades'!A105="","",'32_Oportunidades'!A105)</f>
        <v/>
      </c>
      <c r="C105" s="98" t="str">
        <f t="shared" si="15"/>
        <v/>
      </c>
      <c r="D105" s="98" t="str">
        <f t="shared" si="16"/>
        <v/>
      </c>
      <c r="E105" s="98" t="str">
        <f>IF(B105="","",'32_Oportunidades'!E105)</f>
        <v/>
      </c>
      <c r="F105" s="98" t="str">
        <f>IF(B105="","",'32_Oportunidades'!G105)</f>
        <v/>
      </c>
      <c r="G105" s="98" t="str">
        <f t="shared" si="17"/>
        <v/>
      </c>
      <c r="H105" s="122" t="str">
        <f>IF(B105="","",'32_Oportunidades'!F105)</f>
        <v/>
      </c>
      <c r="I105" s="98" t="str">
        <f t="shared" si="18"/>
        <v/>
      </c>
      <c r="J105" s="98" t="str">
        <f t="shared" si="19"/>
        <v/>
      </c>
      <c r="K105" s="98" t="str">
        <f>IF(B105="","",'32_Oportunidades'!M105)</f>
        <v/>
      </c>
    </row>
    <row r="106" spans="1:11">
      <c r="A106" s="122" t="str">
        <f ca="1">IF('32_Oportunidades'!A106="","",TODAY())</f>
        <v/>
      </c>
      <c r="B106" s="98" t="str">
        <f>IF('32_Oportunidades'!A106="","",'32_Oportunidades'!A106)</f>
        <v/>
      </c>
      <c r="C106" s="98" t="str">
        <f t="shared" si="15"/>
        <v/>
      </c>
      <c r="D106" s="98" t="str">
        <f t="shared" si="16"/>
        <v/>
      </c>
      <c r="E106" s="98" t="str">
        <f>IF(B106="","",'32_Oportunidades'!E106)</f>
        <v/>
      </c>
      <c r="F106" s="98" t="str">
        <f>IF(B106="","",'32_Oportunidades'!G106)</f>
        <v/>
      </c>
      <c r="G106" s="98" t="str">
        <f t="shared" si="17"/>
        <v/>
      </c>
      <c r="H106" s="122" t="str">
        <f>IF(B106="","",'32_Oportunidades'!F106)</f>
        <v/>
      </c>
      <c r="I106" s="98" t="str">
        <f t="shared" si="18"/>
        <v/>
      </c>
      <c r="J106" s="98" t="str">
        <f t="shared" si="19"/>
        <v/>
      </c>
      <c r="K106" s="98" t="str">
        <f>IF(B106="","",'32_Oportunidades'!M106)</f>
        <v/>
      </c>
    </row>
    <row r="107" spans="1:11">
      <c r="A107" s="122" t="str">
        <f ca="1">IF('32_Oportunidades'!A107="","",TODAY())</f>
        <v/>
      </c>
      <c r="B107" s="98" t="str">
        <f>IF('32_Oportunidades'!A107="","",'32_Oportunidades'!A107)</f>
        <v/>
      </c>
      <c r="C107" s="98" t="str">
        <f t="shared" si="15"/>
        <v/>
      </c>
      <c r="D107" s="98" t="str">
        <f t="shared" si="16"/>
        <v/>
      </c>
      <c r="E107" s="98" t="str">
        <f>IF(B107="","",'32_Oportunidades'!E107)</f>
        <v/>
      </c>
      <c r="F107" s="98" t="str">
        <f>IF(B107="","",'32_Oportunidades'!G107)</f>
        <v/>
      </c>
      <c r="G107" s="98" t="str">
        <f t="shared" si="17"/>
        <v/>
      </c>
      <c r="H107" s="122" t="str">
        <f>IF(B107="","",'32_Oportunidades'!F107)</f>
        <v/>
      </c>
      <c r="I107" s="98" t="str">
        <f t="shared" si="18"/>
        <v/>
      </c>
      <c r="J107" s="98" t="str">
        <f t="shared" si="19"/>
        <v/>
      </c>
      <c r="K107" s="98" t="str">
        <f>IF(B107="","",'32_Oportunidades'!M107)</f>
        <v/>
      </c>
    </row>
    <row r="108" spans="1:11">
      <c r="A108" s="122" t="str">
        <f ca="1">IF('32_Oportunidades'!A108="","",TODAY())</f>
        <v/>
      </c>
      <c r="B108" s="98" t="str">
        <f>IF('32_Oportunidades'!A108="","",'32_Oportunidades'!A108)</f>
        <v/>
      </c>
      <c r="C108" s="98" t="str">
        <f t="shared" si="15"/>
        <v/>
      </c>
      <c r="D108" s="98" t="str">
        <f t="shared" si="16"/>
        <v/>
      </c>
      <c r="E108" s="98" t="str">
        <f>IF(B108="","",'32_Oportunidades'!E108)</f>
        <v/>
      </c>
      <c r="F108" s="98" t="str">
        <f>IF(B108="","",'32_Oportunidades'!G108)</f>
        <v/>
      </c>
      <c r="G108" s="98" t="str">
        <f t="shared" si="17"/>
        <v/>
      </c>
      <c r="H108" s="122" t="str">
        <f>IF(B108="","",'32_Oportunidades'!F108)</f>
        <v/>
      </c>
      <c r="I108" s="98" t="str">
        <f t="shared" si="18"/>
        <v/>
      </c>
      <c r="J108" s="98" t="str">
        <f t="shared" si="19"/>
        <v/>
      </c>
      <c r="K108" s="98" t="str">
        <f>IF(B108="","",'32_Oportunidades'!M108)</f>
        <v/>
      </c>
    </row>
    <row r="109" spans="1:11">
      <c r="A109" s="122" t="str">
        <f ca="1">IF('32_Oportunidades'!A109="","",TODAY())</f>
        <v/>
      </c>
      <c r="B109" s="98" t="str">
        <f>IF('32_Oportunidades'!A109="","",'32_Oportunidades'!A109)</f>
        <v/>
      </c>
      <c r="C109" s="98" t="str">
        <f t="shared" si="15"/>
        <v/>
      </c>
      <c r="D109" s="98" t="str">
        <f t="shared" si="16"/>
        <v/>
      </c>
      <c r="E109" s="98" t="str">
        <f>IF(B109="","",'32_Oportunidades'!E109)</f>
        <v/>
      </c>
      <c r="F109" s="98" t="str">
        <f>IF(B109="","",'32_Oportunidades'!G109)</f>
        <v/>
      </c>
      <c r="G109" s="98" t="str">
        <f t="shared" si="17"/>
        <v/>
      </c>
      <c r="H109" s="122" t="str">
        <f>IF(B109="","",'32_Oportunidades'!F109)</f>
        <v/>
      </c>
      <c r="I109" s="98" t="str">
        <f t="shared" si="18"/>
        <v/>
      </c>
      <c r="J109" s="98" t="str">
        <f t="shared" si="19"/>
        <v/>
      </c>
      <c r="K109" s="98" t="str">
        <f>IF(B109="","",'32_Oportunidades'!M109)</f>
        <v/>
      </c>
    </row>
    <row r="110" spans="1:11">
      <c r="A110" s="122" t="str">
        <f ca="1">IF('32_Oportunidades'!A110="","",TODAY())</f>
        <v/>
      </c>
      <c r="B110" s="98" t="str">
        <f>IF('32_Oportunidades'!A110="","",'32_Oportunidades'!A110)</f>
        <v/>
      </c>
      <c r="C110" s="98" t="str">
        <f t="shared" si="15"/>
        <v/>
      </c>
      <c r="D110" s="98" t="str">
        <f t="shared" si="16"/>
        <v/>
      </c>
      <c r="E110" s="98" t="str">
        <f>IF(B110="","",'32_Oportunidades'!E110)</f>
        <v/>
      </c>
      <c r="F110" s="98" t="str">
        <f>IF(B110="","",'32_Oportunidades'!G110)</f>
        <v/>
      </c>
      <c r="G110" s="98" t="str">
        <f t="shared" si="17"/>
        <v/>
      </c>
      <c r="H110" s="122" t="str">
        <f>IF(B110="","",'32_Oportunidades'!F110)</f>
        <v/>
      </c>
      <c r="I110" s="98" t="str">
        <f t="shared" si="18"/>
        <v/>
      </c>
      <c r="J110" s="98" t="str">
        <f t="shared" si="19"/>
        <v/>
      </c>
      <c r="K110" s="98" t="str">
        <f>IF(B110="","",'32_Oportunidades'!M110)</f>
        <v/>
      </c>
    </row>
    <row r="111" spans="1:11">
      <c r="A111" s="122" t="str">
        <f ca="1">IF('32_Oportunidades'!A111="","",TODAY())</f>
        <v/>
      </c>
      <c r="B111" s="98" t="str">
        <f>IF('32_Oportunidades'!A111="","",'32_Oportunidades'!A111)</f>
        <v/>
      </c>
      <c r="C111" s="98" t="str">
        <f t="shared" si="15"/>
        <v/>
      </c>
      <c r="D111" s="98" t="str">
        <f t="shared" si="16"/>
        <v/>
      </c>
      <c r="E111" s="98" t="str">
        <f>IF(B111="","",'32_Oportunidades'!E111)</f>
        <v/>
      </c>
      <c r="F111" s="98" t="str">
        <f>IF(B111="","",'32_Oportunidades'!G111)</f>
        <v/>
      </c>
      <c r="G111" s="98" t="str">
        <f t="shared" si="17"/>
        <v/>
      </c>
      <c r="H111" s="122" t="str">
        <f>IF(B111="","",'32_Oportunidades'!F111)</f>
        <v/>
      </c>
      <c r="I111" s="98" t="str">
        <f t="shared" si="18"/>
        <v/>
      </c>
      <c r="J111" s="98" t="str">
        <f t="shared" si="19"/>
        <v/>
      </c>
      <c r="K111" s="98" t="str">
        <f>IF(B111="","",'32_Oportunidades'!M111)</f>
        <v/>
      </c>
    </row>
    <row r="112" spans="1:11">
      <c r="A112" s="122" t="str">
        <f ca="1">IF('32_Oportunidades'!A112="","",TODAY())</f>
        <v/>
      </c>
      <c r="B112" s="98" t="str">
        <f>IF('32_Oportunidades'!A112="","",'32_Oportunidades'!A112)</f>
        <v/>
      </c>
      <c r="C112" s="98" t="str">
        <f t="shared" si="15"/>
        <v/>
      </c>
      <c r="D112" s="98" t="str">
        <f t="shared" si="16"/>
        <v/>
      </c>
      <c r="E112" s="98" t="str">
        <f>IF(B112="","",'32_Oportunidades'!E112)</f>
        <v/>
      </c>
      <c r="F112" s="98" t="str">
        <f>IF(B112="","",'32_Oportunidades'!G112)</f>
        <v/>
      </c>
      <c r="G112" s="98" t="str">
        <f t="shared" si="17"/>
        <v/>
      </c>
      <c r="H112" s="122" t="str">
        <f>IF(B112="","",'32_Oportunidades'!F112)</f>
        <v/>
      </c>
      <c r="I112" s="98" t="str">
        <f t="shared" si="18"/>
        <v/>
      </c>
      <c r="J112" s="98" t="str">
        <f t="shared" si="19"/>
        <v/>
      </c>
      <c r="K112" s="98" t="str">
        <f>IF(B112="","",'32_Oportunidades'!M112)</f>
        <v/>
      </c>
    </row>
    <row r="113" spans="1:11">
      <c r="A113" s="122" t="str">
        <f ca="1">IF('32_Oportunidades'!A113="","",TODAY())</f>
        <v/>
      </c>
      <c r="B113" s="98" t="str">
        <f>IF('32_Oportunidades'!A113="","",'32_Oportunidades'!A113)</f>
        <v/>
      </c>
      <c r="C113" s="98" t="str">
        <f t="shared" si="15"/>
        <v/>
      </c>
      <c r="D113" s="98" t="str">
        <f t="shared" si="16"/>
        <v/>
      </c>
      <c r="E113" s="98" t="str">
        <f>IF(B113="","",'32_Oportunidades'!E113)</f>
        <v/>
      </c>
      <c r="F113" s="98" t="str">
        <f>IF(B113="","",'32_Oportunidades'!G113)</f>
        <v/>
      </c>
      <c r="G113" s="98" t="str">
        <f t="shared" si="17"/>
        <v/>
      </c>
      <c r="H113" s="122" t="str">
        <f>IF(B113="","",'32_Oportunidades'!F113)</f>
        <v/>
      </c>
      <c r="I113" s="98" t="str">
        <f t="shared" si="18"/>
        <v/>
      </c>
      <c r="J113" s="98" t="str">
        <f t="shared" si="19"/>
        <v/>
      </c>
      <c r="K113" s="98" t="str">
        <f>IF(B113="","",'32_Oportunidades'!M113)</f>
        <v/>
      </c>
    </row>
    <row r="114" spans="1:11">
      <c r="A114" s="122" t="str">
        <f ca="1">IF('32_Oportunidades'!A114="","",TODAY())</f>
        <v/>
      </c>
      <c r="B114" s="98" t="str">
        <f>IF('32_Oportunidades'!A114="","",'32_Oportunidades'!A114)</f>
        <v/>
      </c>
      <c r="C114" s="98" t="str">
        <f t="shared" si="15"/>
        <v/>
      </c>
      <c r="D114" s="98" t="str">
        <f t="shared" si="16"/>
        <v/>
      </c>
      <c r="E114" s="98" t="str">
        <f>IF(B114="","",'32_Oportunidades'!E114)</f>
        <v/>
      </c>
      <c r="F114" s="98" t="str">
        <f>IF(B114="","",'32_Oportunidades'!G114)</f>
        <v/>
      </c>
      <c r="G114" s="98" t="str">
        <f t="shared" si="17"/>
        <v/>
      </c>
      <c r="H114" s="122" t="str">
        <f>IF(B114="","",'32_Oportunidades'!F114)</f>
        <v/>
      </c>
      <c r="I114" s="98" t="str">
        <f t="shared" si="18"/>
        <v/>
      </c>
      <c r="J114" s="98" t="str">
        <f t="shared" si="19"/>
        <v/>
      </c>
      <c r="K114" s="98" t="str">
        <f>IF(B114="","",'32_Oportunidades'!M114)</f>
        <v/>
      </c>
    </row>
    <row r="115" spans="1:11">
      <c r="A115" s="122" t="str">
        <f ca="1">IF('32_Oportunidades'!A115="","",TODAY())</f>
        <v/>
      </c>
      <c r="B115" s="98" t="str">
        <f>IF('32_Oportunidades'!A115="","",'32_Oportunidades'!A115)</f>
        <v/>
      </c>
      <c r="C115" s="98" t="str">
        <f t="shared" si="15"/>
        <v/>
      </c>
      <c r="D115" s="98" t="str">
        <f t="shared" si="16"/>
        <v/>
      </c>
      <c r="E115" s="98" t="str">
        <f>IF(B115="","",'32_Oportunidades'!E115)</f>
        <v/>
      </c>
      <c r="F115" s="98" t="str">
        <f>IF(B115="","",'32_Oportunidades'!G115)</f>
        <v/>
      </c>
      <c r="G115" s="98" t="str">
        <f t="shared" si="17"/>
        <v/>
      </c>
      <c r="H115" s="122" t="str">
        <f>IF(B115="","",'32_Oportunidades'!F115)</f>
        <v/>
      </c>
      <c r="I115" s="98" t="str">
        <f t="shared" si="18"/>
        <v/>
      </c>
      <c r="J115" s="98" t="str">
        <f t="shared" si="19"/>
        <v/>
      </c>
      <c r="K115" s="98" t="str">
        <f>IF(B115="","",'32_Oportunidades'!M115)</f>
        <v/>
      </c>
    </row>
    <row r="116" spans="1:11">
      <c r="A116" s="122" t="str">
        <f ca="1">IF('32_Oportunidades'!A116="","",TODAY())</f>
        <v/>
      </c>
      <c r="B116" s="98" t="str">
        <f>IF('32_Oportunidades'!A116="","",'32_Oportunidades'!A116)</f>
        <v/>
      </c>
      <c r="C116" s="98" t="str">
        <f t="shared" si="15"/>
        <v/>
      </c>
      <c r="D116" s="98" t="str">
        <f t="shared" si="16"/>
        <v/>
      </c>
      <c r="E116" s="98" t="str">
        <f>IF(B116="","",'32_Oportunidades'!E116)</f>
        <v/>
      </c>
      <c r="F116" s="98" t="str">
        <f>IF(B116="","",'32_Oportunidades'!G116)</f>
        <v/>
      </c>
      <c r="G116" s="98" t="str">
        <f t="shared" si="17"/>
        <v/>
      </c>
      <c r="H116" s="122" t="str">
        <f>IF(B116="","",'32_Oportunidades'!F116)</f>
        <v/>
      </c>
      <c r="I116" s="98" t="str">
        <f t="shared" si="18"/>
        <v/>
      </c>
      <c r="J116" s="98" t="str">
        <f t="shared" si="19"/>
        <v/>
      </c>
      <c r="K116" s="98" t="str">
        <f>IF(B116="","",'32_Oportunidades'!M116)</f>
        <v/>
      </c>
    </row>
    <row r="117" spans="1:11">
      <c r="A117" s="122" t="str">
        <f ca="1">IF('32_Oportunidades'!A117="","",TODAY())</f>
        <v/>
      </c>
      <c r="B117" s="98" t="str">
        <f>IF('32_Oportunidades'!A117="","",'32_Oportunidades'!A117)</f>
        <v/>
      </c>
      <c r="C117" s="98" t="str">
        <f t="shared" si="15"/>
        <v/>
      </c>
      <c r="D117" s="98" t="str">
        <f t="shared" si="16"/>
        <v/>
      </c>
      <c r="E117" s="98" t="str">
        <f>IF(B117="","",'32_Oportunidades'!E117)</f>
        <v/>
      </c>
      <c r="F117" s="98" t="str">
        <f>IF(B117="","",'32_Oportunidades'!G117)</f>
        <v/>
      </c>
      <c r="G117" s="98" t="str">
        <f t="shared" si="17"/>
        <v/>
      </c>
      <c r="H117" s="122" t="str">
        <f>IF(B117="","",'32_Oportunidades'!F117)</f>
        <v/>
      </c>
      <c r="I117" s="98" t="str">
        <f t="shared" si="18"/>
        <v/>
      </c>
      <c r="J117" s="98" t="str">
        <f t="shared" si="19"/>
        <v/>
      </c>
      <c r="K117" s="98" t="str">
        <f>IF(B117="","",'32_Oportunidades'!M117)</f>
        <v/>
      </c>
    </row>
    <row r="118" spans="1:11">
      <c r="A118" s="122" t="str">
        <f ca="1">IF('32_Oportunidades'!A118="","",TODAY())</f>
        <v/>
      </c>
      <c r="B118" s="98" t="str">
        <f>IF('32_Oportunidades'!A118="","",'32_Oportunidades'!A118)</f>
        <v/>
      </c>
      <c r="C118" s="98" t="str">
        <f t="shared" si="15"/>
        <v/>
      </c>
      <c r="D118" s="98" t="str">
        <f t="shared" si="16"/>
        <v/>
      </c>
      <c r="E118" s="98" t="str">
        <f>IF(B118="","",'32_Oportunidades'!E118)</f>
        <v/>
      </c>
      <c r="F118" s="98" t="str">
        <f>IF(B118="","",'32_Oportunidades'!G118)</f>
        <v/>
      </c>
      <c r="G118" s="98" t="str">
        <f t="shared" si="17"/>
        <v/>
      </c>
      <c r="H118" s="122" t="str">
        <f>IF(B118="","",'32_Oportunidades'!F118)</f>
        <v/>
      </c>
      <c r="I118" s="98" t="str">
        <f t="shared" si="18"/>
        <v/>
      </c>
      <c r="J118" s="98" t="str">
        <f t="shared" si="19"/>
        <v/>
      </c>
      <c r="K118" s="98" t="str">
        <f>IF(B118="","",'32_Oportunidades'!M118)</f>
        <v/>
      </c>
    </row>
    <row r="119" spans="1:11">
      <c r="A119" s="122" t="str">
        <f ca="1">IF('32_Oportunidades'!A119="","",TODAY())</f>
        <v/>
      </c>
      <c r="B119" s="98" t="str">
        <f>IF('32_Oportunidades'!A119="","",'32_Oportunidades'!A119)</f>
        <v/>
      </c>
      <c r="C119" s="98" t="str">
        <f t="shared" si="15"/>
        <v/>
      </c>
      <c r="D119" s="98" t="str">
        <f t="shared" si="16"/>
        <v/>
      </c>
      <c r="E119" s="98" t="str">
        <f>IF(B119="","",'32_Oportunidades'!E119)</f>
        <v/>
      </c>
      <c r="F119" s="98" t="str">
        <f>IF(B119="","",'32_Oportunidades'!G119)</f>
        <v/>
      </c>
      <c r="G119" s="98" t="str">
        <f t="shared" si="17"/>
        <v/>
      </c>
      <c r="H119" s="122" t="str">
        <f>IF(B119="","",'32_Oportunidades'!F119)</f>
        <v/>
      </c>
      <c r="I119" s="98" t="str">
        <f t="shared" si="18"/>
        <v/>
      </c>
      <c r="J119" s="98" t="str">
        <f t="shared" si="19"/>
        <v/>
      </c>
      <c r="K119" s="98" t="str">
        <f>IF(B119="","",'32_Oportunidades'!M119)</f>
        <v/>
      </c>
    </row>
    <row r="120" spans="1:11">
      <c r="A120" s="122" t="str">
        <f ca="1">IF('32_Oportunidades'!A120="","",TODAY())</f>
        <v/>
      </c>
      <c r="B120" s="98" t="str">
        <f>IF('32_Oportunidades'!A120="","",'32_Oportunidades'!A120)</f>
        <v/>
      </c>
      <c r="C120" s="98" t="str">
        <f t="shared" si="15"/>
        <v/>
      </c>
      <c r="D120" s="98" t="str">
        <f t="shared" si="16"/>
        <v/>
      </c>
      <c r="E120" s="98" t="str">
        <f>IF(B120="","",'32_Oportunidades'!E120)</f>
        <v/>
      </c>
      <c r="F120" s="98" t="str">
        <f>IF(B120="","",'32_Oportunidades'!G120)</f>
        <v/>
      </c>
      <c r="G120" s="98" t="str">
        <f t="shared" si="17"/>
        <v/>
      </c>
      <c r="H120" s="122" t="str">
        <f>IF(B120="","",'32_Oportunidades'!F120)</f>
        <v/>
      </c>
      <c r="I120" s="98" t="str">
        <f t="shared" si="18"/>
        <v/>
      </c>
      <c r="J120" s="98" t="str">
        <f t="shared" si="19"/>
        <v/>
      </c>
      <c r="K120" s="98" t="str">
        <f>IF(B120="","",'32_Oportunidades'!M120)</f>
        <v/>
      </c>
    </row>
    <row r="121" spans="1:11">
      <c r="A121" s="122" t="str">
        <f ca="1">IF('32_Oportunidades'!A121="","",TODAY())</f>
        <v/>
      </c>
      <c r="B121" s="98" t="str">
        <f>IF('32_Oportunidades'!A121="","",'32_Oportunidades'!A121)</f>
        <v/>
      </c>
      <c r="C121" s="98" t="str">
        <f t="shared" si="15"/>
        <v/>
      </c>
      <c r="D121" s="98" t="str">
        <f t="shared" si="16"/>
        <v/>
      </c>
      <c r="E121" s="98" t="str">
        <f>IF(B121="","",'32_Oportunidades'!E121)</f>
        <v/>
      </c>
      <c r="F121" s="98" t="str">
        <f>IF(B121="","",'32_Oportunidades'!G121)</f>
        <v/>
      </c>
      <c r="G121" s="98" t="str">
        <f t="shared" si="17"/>
        <v/>
      </c>
      <c r="H121" s="122" t="str">
        <f>IF(B121="","",'32_Oportunidades'!F121)</f>
        <v/>
      </c>
      <c r="I121" s="98" t="str">
        <f t="shared" si="18"/>
        <v/>
      </c>
      <c r="J121" s="98" t="str">
        <f t="shared" si="19"/>
        <v/>
      </c>
      <c r="K121" s="98" t="str">
        <f>IF(B121="","",'32_Oportunidades'!M121)</f>
        <v/>
      </c>
    </row>
    <row r="122" spans="1:11">
      <c r="A122" s="122" t="str">
        <f ca="1">IF('32_Oportunidades'!A122="","",TODAY())</f>
        <v/>
      </c>
      <c r="B122" s="98" t="str">
        <f>IF('32_Oportunidades'!A122="","",'32_Oportunidades'!A122)</f>
        <v/>
      </c>
      <c r="C122" s="98" t="str">
        <f t="shared" si="15"/>
        <v/>
      </c>
      <c r="D122" s="98" t="str">
        <f t="shared" si="16"/>
        <v/>
      </c>
      <c r="E122" s="98" t="str">
        <f>IF(B122="","",'32_Oportunidades'!E122)</f>
        <v/>
      </c>
      <c r="F122" s="98" t="str">
        <f>IF(B122="","",'32_Oportunidades'!G122)</f>
        <v/>
      </c>
      <c r="G122" s="98" t="str">
        <f t="shared" si="17"/>
        <v/>
      </c>
      <c r="H122" s="122" t="str">
        <f>IF(B122="","",'32_Oportunidades'!F122)</f>
        <v/>
      </c>
      <c r="I122" s="98" t="str">
        <f t="shared" si="18"/>
        <v/>
      </c>
      <c r="J122" s="98" t="str">
        <f t="shared" si="19"/>
        <v/>
      </c>
      <c r="K122" s="98" t="str">
        <f>IF(B122="","",'32_Oportunidades'!M122)</f>
        <v/>
      </c>
    </row>
    <row r="123" spans="1:11">
      <c r="A123" s="122" t="str">
        <f ca="1">IF('32_Oportunidades'!A123="","",TODAY())</f>
        <v/>
      </c>
      <c r="B123" s="98" t="str">
        <f>IF('32_Oportunidades'!A123="","",'32_Oportunidades'!A123)</f>
        <v/>
      </c>
      <c r="C123" s="98" t="str">
        <f t="shared" si="15"/>
        <v/>
      </c>
      <c r="D123" s="98" t="str">
        <f t="shared" si="16"/>
        <v/>
      </c>
      <c r="E123" s="98" t="str">
        <f>IF(B123="","",'32_Oportunidades'!E123)</f>
        <v/>
      </c>
      <c r="F123" s="98" t="str">
        <f>IF(B123="","",'32_Oportunidades'!G123)</f>
        <v/>
      </c>
      <c r="G123" s="98" t="str">
        <f t="shared" si="17"/>
        <v/>
      </c>
      <c r="H123" s="122" t="str">
        <f>IF(B123="","",'32_Oportunidades'!F123)</f>
        <v/>
      </c>
      <c r="I123" s="98" t="str">
        <f t="shared" si="18"/>
        <v/>
      </c>
      <c r="J123" s="98" t="str">
        <f t="shared" si="19"/>
        <v/>
      </c>
      <c r="K123" s="98" t="str">
        <f>IF(B123="","",'32_Oportunidades'!M123)</f>
        <v/>
      </c>
    </row>
    <row r="124" spans="1:11">
      <c r="A124" s="122" t="str">
        <f ca="1">IF('32_Oportunidades'!A124="","",TODAY())</f>
        <v/>
      </c>
      <c r="B124" s="98" t="str">
        <f>IF('32_Oportunidades'!A124="","",'32_Oportunidades'!A124)</f>
        <v/>
      </c>
      <c r="C124" s="98" t="str">
        <f t="shared" si="15"/>
        <v/>
      </c>
      <c r="D124" s="98" t="str">
        <f t="shared" si="16"/>
        <v/>
      </c>
      <c r="E124" s="98" t="str">
        <f>IF(B124="","",'32_Oportunidades'!E124)</f>
        <v/>
      </c>
      <c r="F124" s="98" t="str">
        <f>IF(B124="","",'32_Oportunidades'!G124)</f>
        <v/>
      </c>
      <c r="G124" s="98" t="str">
        <f t="shared" si="17"/>
        <v/>
      </c>
      <c r="H124" s="122" t="str">
        <f>IF(B124="","",'32_Oportunidades'!F124)</f>
        <v/>
      </c>
      <c r="I124" s="98" t="str">
        <f t="shared" si="18"/>
        <v/>
      </c>
      <c r="J124" s="98" t="str">
        <f t="shared" si="19"/>
        <v/>
      </c>
      <c r="K124" s="98" t="str">
        <f>IF(B124="","",'32_Oportunidades'!M124)</f>
        <v/>
      </c>
    </row>
    <row r="125" spans="1:11">
      <c r="A125" s="122" t="str">
        <f ca="1">IF('32_Oportunidades'!A125="","",TODAY())</f>
        <v/>
      </c>
      <c r="B125" s="98" t="str">
        <f>IF('32_Oportunidades'!A125="","",'32_Oportunidades'!A125)</f>
        <v/>
      </c>
      <c r="C125" s="98" t="str">
        <f t="shared" si="15"/>
        <v/>
      </c>
      <c r="D125" s="98" t="str">
        <f t="shared" si="16"/>
        <v/>
      </c>
      <c r="E125" s="98" t="str">
        <f>IF(B125="","",'32_Oportunidades'!E125)</f>
        <v/>
      </c>
      <c r="F125" s="98" t="str">
        <f>IF(B125="","",'32_Oportunidades'!G125)</f>
        <v/>
      </c>
      <c r="G125" s="98" t="str">
        <f t="shared" si="17"/>
        <v/>
      </c>
      <c r="H125" s="122" t="str">
        <f>IF(B125="","",'32_Oportunidades'!F125)</f>
        <v/>
      </c>
      <c r="I125" s="98" t="str">
        <f t="shared" si="18"/>
        <v/>
      </c>
      <c r="J125" s="98" t="str">
        <f t="shared" si="19"/>
        <v/>
      </c>
      <c r="K125" s="98" t="str">
        <f>IF(B125="","",'32_Oportunidades'!M125)</f>
        <v/>
      </c>
    </row>
    <row r="126" spans="1:11">
      <c r="A126" s="122" t="str">
        <f ca="1">IF('32_Oportunidades'!A126="","",TODAY())</f>
        <v/>
      </c>
      <c r="B126" s="98" t="str">
        <f>IF('32_Oportunidades'!A126="","",'32_Oportunidades'!A126)</f>
        <v/>
      </c>
      <c r="C126" s="98" t="str">
        <f t="shared" si="15"/>
        <v/>
      </c>
      <c r="D126" s="98" t="str">
        <f t="shared" si="16"/>
        <v/>
      </c>
      <c r="E126" s="98" t="str">
        <f>IF(B126="","",'32_Oportunidades'!E126)</f>
        <v/>
      </c>
      <c r="F126" s="98" t="str">
        <f>IF(B126="","",'32_Oportunidades'!G126)</f>
        <v/>
      </c>
      <c r="G126" s="98" t="str">
        <f t="shared" si="17"/>
        <v/>
      </c>
      <c r="H126" s="122" t="str">
        <f>IF(B126="","",'32_Oportunidades'!F126)</f>
        <v/>
      </c>
      <c r="I126" s="98" t="str">
        <f t="shared" si="18"/>
        <v/>
      </c>
      <c r="J126" s="98" t="str">
        <f t="shared" si="19"/>
        <v/>
      </c>
      <c r="K126" s="98" t="str">
        <f>IF(B126="","",'32_Oportunidades'!M126)</f>
        <v/>
      </c>
    </row>
    <row r="127" spans="1:11">
      <c r="A127" s="122" t="str">
        <f ca="1">IF('32_Oportunidades'!A127="","",TODAY())</f>
        <v/>
      </c>
      <c r="B127" s="98" t="str">
        <f>IF('32_Oportunidades'!A127="","",'32_Oportunidades'!A127)</f>
        <v/>
      </c>
      <c r="C127" s="98" t="str">
        <f t="shared" si="15"/>
        <v/>
      </c>
      <c r="D127" s="98" t="str">
        <f t="shared" si="16"/>
        <v/>
      </c>
      <c r="E127" s="98" t="str">
        <f>IF(B127="","",'32_Oportunidades'!E127)</f>
        <v/>
      </c>
      <c r="F127" s="98" t="str">
        <f>IF(B127="","",'32_Oportunidades'!G127)</f>
        <v/>
      </c>
      <c r="G127" s="98" t="str">
        <f t="shared" si="17"/>
        <v/>
      </c>
      <c r="H127" s="122" t="str">
        <f>IF(B127="","",'32_Oportunidades'!F127)</f>
        <v/>
      </c>
      <c r="I127" s="98" t="str">
        <f t="shared" si="18"/>
        <v/>
      </c>
      <c r="J127" s="98" t="str">
        <f t="shared" si="19"/>
        <v/>
      </c>
      <c r="K127" s="98" t="str">
        <f>IF(B127="","",'32_Oportunidades'!M127)</f>
        <v/>
      </c>
    </row>
    <row r="128" spans="1:11">
      <c r="A128" s="122" t="str">
        <f ca="1">IF('32_Oportunidades'!A128="","",TODAY())</f>
        <v/>
      </c>
      <c r="B128" s="98" t="str">
        <f>IF('32_Oportunidades'!A128="","",'32_Oportunidades'!A128)</f>
        <v/>
      </c>
      <c r="C128" s="98" t="str">
        <f t="shared" si="15"/>
        <v/>
      </c>
      <c r="D128" s="98" t="str">
        <f t="shared" si="16"/>
        <v/>
      </c>
      <c r="E128" s="98" t="str">
        <f>IF(B128="","",'32_Oportunidades'!E128)</f>
        <v/>
      </c>
      <c r="F128" s="98" t="str">
        <f>IF(B128="","",'32_Oportunidades'!G128)</f>
        <v/>
      </c>
      <c r="G128" s="98" t="str">
        <f t="shared" si="17"/>
        <v/>
      </c>
      <c r="H128" s="122" t="str">
        <f>IF(B128="","",'32_Oportunidades'!F128)</f>
        <v/>
      </c>
      <c r="I128" s="98" t="str">
        <f t="shared" si="18"/>
        <v/>
      </c>
      <c r="J128" s="98" t="str">
        <f t="shared" si="19"/>
        <v/>
      </c>
      <c r="K128" s="98" t="str">
        <f>IF(B128="","",'32_Oportunidades'!M128)</f>
        <v/>
      </c>
    </row>
    <row r="129" spans="1:11">
      <c r="A129" s="122" t="str">
        <f ca="1">IF('32_Oportunidades'!A129="","",TODAY())</f>
        <v/>
      </c>
      <c r="B129" s="98" t="str">
        <f>IF('32_Oportunidades'!A129="","",'32_Oportunidades'!A129)</f>
        <v/>
      </c>
      <c r="C129" s="98" t="str">
        <f t="shared" si="15"/>
        <v/>
      </c>
      <c r="D129" s="98" t="str">
        <f t="shared" si="16"/>
        <v/>
      </c>
      <c r="E129" s="98" t="str">
        <f>IF(B129="","",'32_Oportunidades'!E129)</f>
        <v/>
      </c>
      <c r="F129" s="98" t="str">
        <f>IF(B129="","",'32_Oportunidades'!G129)</f>
        <v/>
      </c>
      <c r="G129" s="98" t="str">
        <f t="shared" si="17"/>
        <v/>
      </c>
      <c r="H129" s="122" t="str">
        <f>IF(B129="","",'32_Oportunidades'!F129)</f>
        <v/>
      </c>
      <c r="I129" s="98" t="str">
        <f t="shared" si="18"/>
        <v/>
      </c>
      <c r="J129" s="98" t="str">
        <f t="shared" si="19"/>
        <v/>
      </c>
      <c r="K129" s="98" t="str">
        <f>IF(B129="","",'32_Oportunidades'!M129)</f>
        <v/>
      </c>
    </row>
    <row r="130" spans="1:11">
      <c r="A130" s="122" t="str">
        <f ca="1">IF('32_Oportunidades'!A130="","",TODAY())</f>
        <v/>
      </c>
      <c r="B130" s="98" t="str">
        <f>IF('32_Oportunidades'!A130="","",'32_Oportunidades'!A130)</f>
        <v/>
      </c>
      <c r="C130" s="98" t="str">
        <f t="shared" si="15"/>
        <v/>
      </c>
      <c r="D130" s="98" t="str">
        <f t="shared" si="16"/>
        <v/>
      </c>
      <c r="E130" s="98" t="str">
        <f>IF(B130="","",'32_Oportunidades'!E130)</f>
        <v/>
      </c>
      <c r="F130" s="98" t="str">
        <f>IF(B130="","",'32_Oportunidades'!G130)</f>
        <v/>
      </c>
      <c r="G130" s="98" t="str">
        <f t="shared" si="17"/>
        <v/>
      </c>
      <c r="H130" s="122" t="str">
        <f>IF(B130="","",'32_Oportunidades'!F130)</f>
        <v/>
      </c>
      <c r="I130" s="98" t="str">
        <f t="shared" si="18"/>
        <v/>
      </c>
      <c r="J130" s="98" t="str">
        <f t="shared" si="19"/>
        <v/>
      </c>
      <c r="K130" s="98" t="str">
        <f>IF(B130="","",'32_Oportunidades'!M130)</f>
        <v/>
      </c>
    </row>
    <row r="131" spans="1:11">
      <c r="A131" s="122" t="str">
        <f ca="1">IF('32_Oportunidades'!A131="","",TODAY())</f>
        <v/>
      </c>
      <c r="B131" s="98" t="str">
        <f>IF('32_Oportunidades'!A131="","",'32_Oportunidades'!A131)</f>
        <v/>
      </c>
      <c r="C131" s="98" t="str">
        <f t="shared" si="15"/>
        <v/>
      </c>
      <c r="D131" s="98" t="str">
        <f t="shared" si="16"/>
        <v/>
      </c>
      <c r="E131" s="98" t="str">
        <f>IF(B131="","",'32_Oportunidades'!E131)</f>
        <v/>
      </c>
      <c r="F131" s="98" t="str">
        <f>IF(B131="","",'32_Oportunidades'!G131)</f>
        <v/>
      </c>
      <c r="G131" s="98" t="str">
        <f t="shared" si="17"/>
        <v/>
      </c>
      <c r="H131" s="122" t="str">
        <f>IF(B131="","",'32_Oportunidades'!F131)</f>
        <v/>
      </c>
      <c r="I131" s="98" t="str">
        <f t="shared" si="18"/>
        <v/>
      </c>
      <c r="J131" s="98" t="str">
        <f t="shared" si="19"/>
        <v/>
      </c>
      <c r="K131" s="98" t="str">
        <f>IF(B131="","",'32_Oportunidades'!M131)</f>
        <v/>
      </c>
    </row>
    <row r="132" spans="1:11">
      <c r="A132" s="122" t="str">
        <f ca="1">IF('32_Oportunidades'!A132="","",TODAY())</f>
        <v/>
      </c>
      <c r="B132" s="98" t="str">
        <f>IF('32_Oportunidades'!A132="","",'32_Oportunidades'!A132)</f>
        <v/>
      </c>
      <c r="C132" s="98" t="str">
        <f t="shared" si="15"/>
        <v/>
      </c>
      <c r="D132" s="98" t="str">
        <f t="shared" si="16"/>
        <v/>
      </c>
      <c r="E132" s="98" t="str">
        <f>IF(B132="","",'32_Oportunidades'!E132)</f>
        <v/>
      </c>
      <c r="F132" s="98" t="str">
        <f>IF(B132="","",'32_Oportunidades'!G132)</f>
        <v/>
      </c>
      <c r="G132" s="98" t="str">
        <f t="shared" si="17"/>
        <v/>
      </c>
      <c r="H132" s="122" t="str">
        <f>IF(B132="","",'32_Oportunidades'!F132)</f>
        <v/>
      </c>
      <c r="I132" s="98" t="str">
        <f t="shared" si="18"/>
        <v/>
      </c>
      <c r="J132" s="98" t="str">
        <f t="shared" si="19"/>
        <v/>
      </c>
      <c r="K132" s="98" t="str">
        <f>IF(B132="","",'32_Oportunidades'!M132)</f>
        <v/>
      </c>
    </row>
    <row r="133" spans="1:11">
      <c r="A133" s="122" t="str">
        <f ca="1">IF('32_Oportunidades'!A133="","",TODAY())</f>
        <v/>
      </c>
      <c r="B133" s="98" t="str">
        <f>IF('32_Oportunidades'!A133="","",'32_Oportunidades'!A133)</f>
        <v/>
      </c>
      <c r="C133" s="98" t="str">
        <f t="shared" ref="C133:C164" si="20">IF(B133="","","Seguimiento estratégico")</f>
        <v/>
      </c>
      <c r="D133" s="98" t="str">
        <f t="shared" ref="D133:D164" si="21">IF(B133="","","Pendiente")</f>
        <v/>
      </c>
      <c r="E133" s="98" t="str">
        <f>IF(B133="","",'32_Oportunidades'!E133)</f>
        <v/>
      </c>
      <c r="F133" s="98" t="str">
        <f>IF(B133="","",'32_Oportunidades'!G133)</f>
        <v/>
      </c>
      <c r="G133" s="98" t="str">
        <f t="shared" ref="G133:G164" si="22">IF(B133="","","🟡 En proceso")</f>
        <v/>
      </c>
      <c r="H133" s="122" t="str">
        <f>IF(B133="","",'32_Oportunidades'!F133)</f>
        <v/>
      </c>
      <c r="I133" s="98" t="str">
        <f t="shared" ref="I133:I164" si="23">IF(B133="","","LinkedIn / Web / WhatsApp / Email")</f>
        <v/>
      </c>
      <c r="J133" s="98" t="str">
        <f t="shared" ref="J133:J164" si="24">IF(B133="","","Validar empresa y definir si pasa a CRM activo")</f>
        <v/>
      </c>
      <c r="K133" s="98" t="str">
        <f>IF(B133="","",'32_Oportunidades'!M133)</f>
        <v/>
      </c>
    </row>
    <row r="134" spans="1:11">
      <c r="A134" s="122" t="str">
        <f ca="1">IF('32_Oportunidades'!A134="","",TODAY())</f>
        <v/>
      </c>
      <c r="B134" s="98" t="str">
        <f>IF('32_Oportunidades'!A134="","",'32_Oportunidades'!A134)</f>
        <v/>
      </c>
      <c r="C134" s="98" t="str">
        <f t="shared" si="20"/>
        <v/>
      </c>
      <c r="D134" s="98" t="str">
        <f t="shared" si="21"/>
        <v/>
      </c>
      <c r="E134" s="98" t="str">
        <f>IF(B134="","",'32_Oportunidades'!E134)</f>
        <v/>
      </c>
      <c r="F134" s="98" t="str">
        <f>IF(B134="","",'32_Oportunidades'!G134)</f>
        <v/>
      </c>
      <c r="G134" s="98" t="str">
        <f t="shared" si="22"/>
        <v/>
      </c>
      <c r="H134" s="122" t="str">
        <f>IF(B134="","",'32_Oportunidades'!F134)</f>
        <v/>
      </c>
      <c r="I134" s="98" t="str">
        <f t="shared" si="23"/>
        <v/>
      </c>
      <c r="J134" s="98" t="str">
        <f t="shared" si="24"/>
        <v/>
      </c>
      <c r="K134" s="98" t="str">
        <f>IF(B134="","",'32_Oportunidades'!M134)</f>
        <v/>
      </c>
    </row>
    <row r="135" spans="1:11">
      <c r="A135" s="122" t="str">
        <f ca="1">IF('32_Oportunidades'!A135="","",TODAY())</f>
        <v/>
      </c>
      <c r="B135" s="98" t="str">
        <f>IF('32_Oportunidades'!A135="","",'32_Oportunidades'!A135)</f>
        <v/>
      </c>
      <c r="C135" s="98" t="str">
        <f t="shared" si="20"/>
        <v/>
      </c>
      <c r="D135" s="98" t="str">
        <f t="shared" si="21"/>
        <v/>
      </c>
      <c r="E135" s="98" t="str">
        <f>IF(B135="","",'32_Oportunidades'!E135)</f>
        <v/>
      </c>
      <c r="F135" s="98" t="str">
        <f>IF(B135="","",'32_Oportunidades'!G135)</f>
        <v/>
      </c>
      <c r="G135" s="98" t="str">
        <f t="shared" si="22"/>
        <v/>
      </c>
      <c r="H135" s="122" t="str">
        <f>IF(B135="","",'32_Oportunidades'!F135)</f>
        <v/>
      </c>
      <c r="I135" s="98" t="str">
        <f t="shared" si="23"/>
        <v/>
      </c>
      <c r="J135" s="98" t="str">
        <f t="shared" si="24"/>
        <v/>
      </c>
      <c r="K135" s="98" t="str">
        <f>IF(B135="","",'32_Oportunidades'!M135)</f>
        <v/>
      </c>
    </row>
    <row r="136" spans="1:11">
      <c r="A136" s="122" t="str">
        <f ca="1">IF('32_Oportunidades'!A136="","",TODAY())</f>
        <v/>
      </c>
      <c r="B136" s="98" t="str">
        <f>IF('32_Oportunidades'!A136="","",'32_Oportunidades'!A136)</f>
        <v/>
      </c>
      <c r="C136" s="98" t="str">
        <f t="shared" si="20"/>
        <v/>
      </c>
      <c r="D136" s="98" t="str">
        <f t="shared" si="21"/>
        <v/>
      </c>
      <c r="E136" s="98" t="str">
        <f>IF(B136="","",'32_Oportunidades'!E136)</f>
        <v/>
      </c>
      <c r="F136" s="98" t="str">
        <f>IF(B136="","",'32_Oportunidades'!G136)</f>
        <v/>
      </c>
      <c r="G136" s="98" t="str">
        <f t="shared" si="22"/>
        <v/>
      </c>
      <c r="H136" s="122" t="str">
        <f>IF(B136="","",'32_Oportunidades'!F136)</f>
        <v/>
      </c>
      <c r="I136" s="98" t="str">
        <f t="shared" si="23"/>
        <v/>
      </c>
      <c r="J136" s="98" t="str">
        <f t="shared" si="24"/>
        <v/>
      </c>
      <c r="K136" s="98" t="str">
        <f>IF(B136="","",'32_Oportunidades'!M136)</f>
        <v/>
      </c>
    </row>
    <row r="137" spans="1:11">
      <c r="A137" s="122" t="str">
        <f ca="1">IF('32_Oportunidades'!A137="","",TODAY())</f>
        <v/>
      </c>
      <c r="B137" s="98" t="str">
        <f>IF('32_Oportunidades'!A137="","",'32_Oportunidades'!A137)</f>
        <v/>
      </c>
      <c r="C137" s="98" t="str">
        <f t="shared" si="20"/>
        <v/>
      </c>
      <c r="D137" s="98" t="str">
        <f t="shared" si="21"/>
        <v/>
      </c>
      <c r="E137" s="98" t="str">
        <f>IF(B137="","",'32_Oportunidades'!E137)</f>
        <v/>
      </c>
      <c r="F137" s="98" t="str">
        <f>IF(B137="","",'32_Oportunidades'!G137)</f>
        <v/>
      </c>
      <c r="G137" s="98" t="str">
        <f t="shared" si="22"/>
        <v/>
      </c>
      <c r="H137" s="122" t="str">
        <f>IF(B137="","",'32_Oportunidades'!F137)</f>
        <v/>
      </c>
      <c r="I137" s="98" t="str">
        <f t="shared" si="23"/>
        <v/>
      </c>
      <c r="J137" s="98" t="str">
        <f t="shared" si="24"/>
        <v/>
      </c>
      <c r="K137" s="98" t="str">
        <f>IF(B137="","",'32_Oportunidades'!M137)</f>
        <v/>
      </c>
    </row>
    <row r="138" spans="1:11">
      <c r="A138" s="122" t="str">
        <f ca="1">IF('32_Oportunidades'!A138="","",TODAY())</f>
        <v/>
      </c>
      <c r="B138" s="98" t="str">
        <f>IF('32_Oportunidades'!A138="","",'32_Oportunidades'!A138)</f>
        <v/>
      </c>
      <c r="C138" s="98" t="str">
        <f t="shared" si="20"/>
        <v/>
      </c>
      <c r="D138" s="98" t="str">
        <f t="shared" si="21"/>
        <v/>
      </c>
      <c r="E138" s="98" t="str">
        <f>IF(B138="","",'32_Oportunidades'!E138)</f>
        <v/>
      </c>
      <c r="F138" s="98" t="str">
        <f>IF(B138="","",'32_Oportunidades'!G138)</f>
        <v/>
      </c>
      <c r="G138" s="98" t="str">
        <f t="shared" si="22"/>
        <v/>
      </c>
      <c r="H138" s="122" t="str">
        <f>IF(B138="","",'32_Oportunidades'!F138)</f>
        <v/>
      </c>
      <c r="I138" s="98" t="str">
        <f t="shared" si="23"/>
        <v/>
      </c>
      <c r="J138" s="98" t="str">
        <f t="shared" si="24"/>
        <v/>
      </c>
      <c r="K138" s="98" t="str">
        <f>IF(B138="","",'32_Oportunidades'!M138)</f>
        <v/>
      </c>
    </row>
    <row r="139" spans="1:11">
      <c r="A139" s="122" t="str">
        <f ca="1">IF('32_Oportunidades'!A139="","",TODAY())</f>
        <v/>
      </c>
      <c r="B139" s="98" t="str">
        <f>IF('32_Oportunidades'!A139="","",'32_Oportunidades'!A139)</f>
        <v/>
      </c>
      <c r="C139" s="98" t="str">
        <f t="shared" si="20"/>
        <v/>
      </c>
      <c r="D139" s="98" t="str">
        <f t="shared" si="21"/>
        <v/>
      </c>
      <c r="E139" s="98" t="str">
        <f>IF(B139="","",'32_Oportunidades'!E139)</f>
        <v/>
      </c>
      <c r="F139" s="98" t="str">
        <f>IF(B139="","",'32_Oportunidades'!G139)</f>
        <v/>
      </c>
      <c r="G139" s="98" t="str">
        <f t="shared" si="22"/>
        <v/>
      </c>
      <c r="H139" s="122" t="str">
        <f>IF(B139="","",'32_Oportunidades'!F139)</f>
        <v/>
      </c>
      <c r="I139" s="98" t="str">
        <f t="shared" si="23"/>
        <v/>
      </c>
      <c r="J139" s="98" t="str">
        <f t="shared" si="24"/>
        <v/>
      </c>
      <c r="K139" s="98" t="str">
        <f>IF(B139="","",'32_Oportunidades'!M139)</f>
        <v/>
      </c>
    </row>
    <row r="140" spans="1:11">
      <c r="A140" s="122" t="str">
        <f ca="1">IF('32_Oportunidades'!A140="","",TODAY())</f>
        <v/>
      </c>
      <c r="B140" s="98" t="str">
        <f>IF('32_Oportunidades'!A140="","",'32_Oportunidades'!A140)</f>
        <v/>
      </c>
      <c r="C140" s="98" t="str">
        <f t="shared" si="20"/>
        <v/>
      </c>
      <c r="D140" s="98" t="str">
        <f t="shared" si="21"/>
        <v/>
      </c>
      <c r="E140" s="98" t="str">
        <f>IF(B140="","",'32_Oportunidades'!E140)</f>
        <v/>
      </c>
      <c r="F140" s="98" t="str">
        <f>IF(B140="","",'32_Oportunidades'!G140)</f>
        <v/>
      </c>
      <c r="G140" s="98" t="str">
        <f t="shared" si="22"/>
        <v/>
      </c>
      <c r="H140" s="122" t="str">
        <f>IF(B140="","",'32_Oportunidades'!F140)</f>
        <v/>
      </c>
      <c r="I140" s="98" t="str">
        <f t="shared" si="23"/>
        <v/>
      </c>
      <c r="J140" s="98" t="str">
        <f t="shared" si="24"/>
        <v/>
      </c>
      <c r="K140" s="98" t="str">
        <f>IF(B140="","",'32_Oportunidades'!M140)</f>
        <v/>
      </c>
    </row>
    <row r="141" spans="1:11">
      <c r="A141" s="122" t="str">
        <f ca="1">IF('32_Oportunidades'!A141="","",TODAY())</f>
        <v/>
      </c>
      <c r="B141" s="98" t="str">
        <f>IF('32_Oportunidades'!A141="","",'32_Oportunidades'!A141)</f>
        <v/>
      </c>
      <c r="C141" s="98" t="str">
        <f t="shared" si="20"/>
        <v/>
      </c>
      <c r="D141" s="98" t="str">
        <f t="shared" si="21"/>
        <v/>
      </c>
      <c r="E141" s="98" t="str">
        <f>IF(B141="","",'32_Oportunidades'!E141)</f>
        <v/>
      </c>
      <c r="F141" s="98" t="str">
        <f>IF(B141="","",'32_Oportunidades'!G141)</f>
        <v/>
      </c>
      <c r="G141" s="98" t="str">
        <f t="shared" si="22"/>
        <v/>
      </c>
      <c r="H141" s="122" t="str">
        <f>IF(B141="","",'32_Oportunidades'!F141)</f>
        <v/>
      </c>
      <c r="I141" s="98" t="str">
        <f t="shared" si="23"/>
        <v/>
      </c>
      <c r="J141" s="98" t="str">
        <f t="shared" si="24"/>
        <v/>
      </c>
      <c r="K141" s="98" t="str">
        <f>IF(B141="","",'32_Oportunidades'!M141)</f>
        <v/>
      </c>
    </row>
    <row r="142" spans="1:11">
      <c r="A142" s="122" t="str">
        <f ca="1">IF('32_Oportunidades'!A142="","",TODAY())</f>
        <v/>
      </c>
      <c r="B142" s="98" t="str">
        <f>IF('32_Oportunidades'!A142="","",'32_Oportunidades'!A142)</f>
        <v/>
      </c>
      <c r="C142" s="98" t="str">
        <f t="shared" si="20"/>
        <v/>
      </c>
      <c r="D142" s="98" t="str">
        <f t="shared" si="21"/>
        <v/>
      </c>
      <c r="E142" s="98" t="str">
        <f>IF(B142="","",'32_Oportunidades'!E142)</f>
        <v/>
      </c>
      <c r="F142" s="98" t="str">
        <f>IF(B142="","",'32_Oportunidades'!G142)</f>
        <v/>
      </c>
      <c r="G142" s="98" t="str">
        <f t="shared" si="22"/>
        <v/>
      </c>
      <c r="H142" s="122" t="str">
        <f>IF(B142="","",'32_Oportunidades'!F142)</f>
        <v/>
      </c>
      <c r="I142" s="98" t="str">
        <f t="shared" si="23"/>
        <v/>
      </c>
      <c r="J142" s="98" t="str">
        <f t="shared" si="24"/>
        <v/>
      </c>
      <c r="K142" s="98" t="str">
        <f>IF(B142="","",'32_Oportunidades'!M142)</f>
        <v/>
      </c>
    </row>
    <row r="143" spans="1:11">
      <c r="A143" s="122" t="str">
        <f ca="1">IF('32_Oportunidades'!A143="","",TODAY())</f>
        <v/>
      </c>
      <c r="B143" s="98" t="str">
        <f>IF('32_Oportunidades'!A143="","",'32_Oportunidades'!A143)</f>
        <v/>
      </c>
      <c r="C143" s="98" t="str">
        <f t="shared" si="20"/>
        <v/>
      </c>
      <c r="D143" s="98" t="str">
        <f t="shared" si="21"/>
        <v/>
      </c>
      <c r="E143" s="98" t="str">
        <f>IF(B143="","",'32_Oportunidades'!E143)</f>
        <v/>
      </c>
      <c r="F143" s="98" t="str">
        <f>IF(B143="","",'32_Oportunidades'!G143)</f>
        <v/>
      </c>
      <c r="G143" s="98" t="str">
        <f t="shared" si="22"/>
        <v/>
      </c>
      <c r="H143" s="122" t="str">
        <f>IF(B143="","",'32_Oportunidades'!F143)</f>
        <v/>
      </c>
      <c r="I143" s="98" t="str">
        <f t="shared" si="23"/>
        <v/>
      </c>
      <c r="J143" s="98" t="str">
        <f t="shared" si="24"/>
        <v/>
      </c>
      <c r="K143" s="98" t="str">
        <f>IF(B143="","",'32_Oportunidades'!M143)</f>
        <v/>
      </c>
    </row>
    <row r="144" spans="1:11">
      <c r="A144" s="122" t="str">
        <f ca="1">IF('32_Oportunidades'!A144="","",TODAY())</f>
        <v/>
      </c>
      <c r="B144" s="98" t="str">
        <f>IF('32_Oportunidades'!A144="","",'32_Oportunidades'!A144)</f>
        <v/>
      </c>
      <c r="C144" s="98" t="str">
        <f t="shared" si="20"/>
        <v/>
      </c>
      <c r="D144" s="98" t="str">
        <f t="shared" si="21"/>
        <v/>
      </c>
      <c r="E144" s="98" t="str">
        <f>IF(B144="","",'32_Oportunidades'!E144)</f>
        <v/>
      </c>
      <c r="F144" s="98" t="str">
        <f>IF(B144="","",'32_Oportunidades'!G144)</f>
        <v/>
      </c>
      <c r="G144" s="98" t="str">
        <f t="shared" si="22"/>
        <v/>
      </c>
      <c r="H144" s="122" t="str">
        <f>IF(B144="","",'32_Oportunidades'!F144)</f>
        <v/>
      </c>
      <c r="I144" s="98" t="str">
        <f t="shared" si="23"/>
        <v/>
      </c>
      <c r="J144" s="98" t="str">
        <f t="shared" si="24"/>
        <v/>
      </c>
      <c r="K144" s="98" t="str">
        <f>IF(B144="","",'32_Oportunidades'!M144)</f>
        <v/>
      </c>
    </row>
    <row r="145" spans="1:11">
      <c r="A145" s="122" t="str">
        <f ca="1">IF('32_Oportunidades'!A145="","",TODAY())</f>
        <v/>
      </c>
      <c r="B145" s="98" t="str">
        <f>IF('32_Oportunidades'!A145="","",'32_Oportunidades'!A145)</f>
        <v/>
      </c>
      <c r="C145" s="98" t="str">
        <f t="shared" si="20"/>
        <v/>
      </c>
      <c r="D145" s="98" t="str">
        <f t="shared" si="21"/>
        <v/>
      </c>
      <c r="E145" s="98" t="str">
        <f>IF(B145="","",'32_Oportunidades'!E145)</f>
        <v/>
      </c>
      <c r="F145" s="98" t="str">
        <f>IF(B145="","",'32_Oportunidades'!G145)</f>
        <v/>
      </c>
      <c r="G145" s="98" t="str">
        <f t="shared" si="22"/>
        <v/>
      </c>
      <c r="H145" s="122" t="str">
        <f>IF(B145="","",'32_Oportunidades'!F145)</f>
        <v/>
      </c>
      <c r="I145" s="98" t="str">
        <f t="shared" si="23"/>
        <v/>
      </c>
      <c r="J145" s="98" t="str">
        <f t="shared" si="24"/>
        <v/>
      </c>
      <c r="K145" s="98" t="str">
        <f>IF(B145="","",'32_Oportunidades'!M145)</f>
        <v/>
      </c>
    </row>
    <row r="146" spans="1:11">
      <c r="A146" s="122" t="str">
        <f ca="1">IF('32_Oportunidades'!A146="","",TODAY())</f>
        <v/>
      </c>
      <c r="B146" s="98" t="str">
        <f>IF('32_Oportunidades'!A146="","",'32_Oportunidades'!A146)</f>
        <v/>
      </c>
      <c r="C146" s="98" t="str">
        <f t="shared" si="20"/>
        <v/>
      </c>
      <c r="D146" s="98" t="str">
        <f t="shared" si="21"/>
        <v/>
      </c>
      <c r="E146" s="98" t="str">
        <f>IF(B146="","",'32_Oportunidades'!E146)</f>
        <v/>
      </c>
      <c r="F146" s="98" t="str">
        <f>IF(B146="","",'32_Oportunidades'!G146)</f>
        <v/>
      </c>
      <c r="G146" s="98" t="str">
        <f t="shared" si="22"/>
        <v/>
      </c>
      <c r="H146" s="122" t="str">
        <f>IF(B146="","",'32_Oportunidades'!F146)</f>
        <v/>
      </c>
      <c r="I146" s="98" t="str">
        <f t="shared" si="23"/>
        <v/>
      </c>
      <c r="J146" s="98" t="str">
        <f t="shared" si="24"/>
        <v/>
      </c>
      <c r="K146" s="98" t="str">
        <f>IF(B146="","",'32_Oportunidades'!M146)</f>
        <v/>
      </c>
    </row>
    <row r="147" spans="1:11">
      <c r="A147" s="122" t="str">
        <f ca="1">IF('32_Oportunidades'!A147="","",TODAY())</f>
        <v/>
      </c>
      <c r="B147" s="98" t="str">
        <f>IF('32_Oportunidades'!A147="","",'32_Oportunidades'!A147)</f>
        <v/>
      </c>
      <c r="C147" s="98" t="str">
        <f t="shared" si="20"/>
        <v/>
      </c>
      <c r="D147" s="98" t="str">
        <f t="shared" si="21"/>
        <v/>
      </c>
      <c r="E147" s="98" t="str">
        <f>IF(B147="","",'32_Oportunidades'!E147)</f>
        <v/>
      </c>
      <c r="F147" s="98" t="str">
        <f>IF(B147="","",'32_Oportunidades'!G147)</f>
        <v/>
      </c>
      <c r="G147" s="98" t="str">
        <f t="shared" si="22"/>
        <v/>
      </c>
      <c r="H147" s="122" t="str">
        <f>IF(B147="","",'32_Oportunidades'!F147)</f>
        <v/>
      </c>
      <c r="I147" s="98" t="str">
        <f t="shared" si="23"/>
        <v/>
      </c>
      <c r="J147" s="98" t="str">
        <f t="shared" si="24"/>
        <v/>
      </c>
      <c r="K147" s="98" t="str">
        <f>IF(B147="","",'32_Oportunidades'!M147)</f>
        <v/>
      </c>
    </row>
    <row r="148" spans="1:11">
      <c r="A148" s="122" t="str">
        <f ca="1">IF('32_Oportunidades'!A148="","",TODAY())</f>
        <v/>
      </c>
      <c r="B148" s="98" t="str">
        <f>IF('32_Oportunidades'!A148="","",'32_Oportunidades'!A148)</f>
        <v/>
      </c>
      <c r="C148" s="98" t="str">
        <f t="shared" si="20"/>
        <v/>
      </c>
      <c r="D148" s="98" t="str">
        <f t="shared" si="21"/>
        <v/>
      </c>
      <c r="E148" s="98" t="str">
        <f>IF(B148="","",'32_Oportunidades'!E148)</f>
        <v/>
      </c>
      <c r="F148" s="98" t="str">
        <f>IF(B148="","",'32_Oportunidades'!G148)</f>
        <v/>
      </c>
      <c r="G148" s="98" t="str">
        <f t="shared" si="22"/>
        <v/>
      </c>
      <c r="H148" s="122" t="str">
        <f>IF(B148="","",'32_Oportunidades'!F148)</f>
        <v/>
      </c>
      <c r="I148" s="98" t="str">
        <f t="shared" si="23"/>
        <v/>
      </c>
      <c r="J148" s="98" t="str">
        <f t="shared" si="24"/>
        <v/>
      </c>
      <c r="K148" s="98" t="str">
        <f>IF(B148="","",'32_Oportunidades'!M148)</f>
        <v/>
      </c>
    </row>
    <row r="149" spans="1:11">
      <c r="A149" s="122" t="str">
        <f ca="1">IF('32_Oportunidades'!A149="","",TODAY())</f>
        <v/>
      </c>
      <c r="B149" s="98" t="str">
        <f>IF('32_Oportunidades'!A149="","",'32_Oportunidades'!A149)</f>
        <v/>
      </c>
      <c r="C149" s="98" t="str">
        <f t="shared" si="20"/>
        <v/>
      </c>
      <c r="D149" s="98" t="str">
        <f t="shared" si="21"/>
        <v/>
      </c>
      <c r="E149" s="98" t="str">
        <f>IF(B149="","",'32_Oportunidades'!E149)</f>
        <v/>
      </c>
      <c r="F149" s="98" t="str">
        <f>IF(B149="","",'32_Oportunidades'!G149)</f>
        <v/>
      </c>
      <c r="G149" s="98" t="str">
        <f t="shared" si="22"/>
        <v/>
      </c>
      <c r="H149" s="122" t="str">
        <f>IF(B149="","",'32_Oportunidades'!F149)</f>
        <v/>
      </c>
      <c r="I149" s="98" t="str">
        <f t="shared" si="23"/>
        <v/>
      </c>
      <c r="J149" s="98" t="str">
        <f t="shared" si="24"/>
        <v/>
      </c>
      <c r="K149" s="98" t="str">
        <f>IF(B149="","",'32_Oportunidades'!M149)</f>
        <v/>
      </c>
    </row>
    <row r="150" spans="1:11">
      <c r="A150" s="122" t="str">
        <f ca="1">IF('32_Oportunidades'!A150="","",TODAY())</f>
        <v/>
      </c>
      <c r="B150" s="98" t="str">
        <f>IF('32_Oportunidades'!A150="","",'32_Oportunidades'!A150)</f>
        <v/>
      </c>
      <c r="C150" s="98" t="str">
        <f t="shared" si="20"/>
        <v/>
      </c>
      <c r="D150" s="98" t="str">
        <f t="shared" si="21"/>
        <v/>
      </c>
      <c r="E150" s="98" t="str">
        <f>IF(B150="","",'32_Oportunidades'!E150)</f>
        <v/>
      </c>
      <c r="F150" s="98" t="str">
        <f>IF(B150="","",'32_Oportunidades'!G150)</f>
        <v/>
      </c>
      <c r="G150" s="98" t="str">
        <f t="shared" si="22"/>
        <v/>
      </c>
      <c r="H150" s="122" t="str">
        <f>IF(B150="","",'32_Oportunidades'!F150)</f>
        <v/>
      </c>
      <c r="I150" s="98" t="str">
        <f t="shared" si="23"/>
        <v/>
      </c>
      <c r="J150" s="98" t="str">
        <f t="shared" si="24"/>
        <v/>
      </c>
      <c r="K150" s="98" t="str">
        <f>IF(B150="","",'32_Oportunidades'!M150)</f>
        <v/>
      </c>
    </row>
    <row r="151" spans="1:11">
      <c r="A151" s="122" t="str">
        <f ca="1">IF('32_Oportunidades'!A151="","",TODAY())</f>
        <v/>
      </c>
      <c r="B151" s="98" t="str">
        <f>IF('32_Oportunidades'!A151="","",'32_Oportunidades'!A151)</f>
        <v/>
      </c>
      <c r="C151" s="98" t="str">
        <f t="shared" si="20"/>
        <v/>
      </c>
      <c r="D151" s="98" t="str">
        <f t="shared" si="21"/>
        <v/>
      </c>
      <c r="E151" s="98" t="str">
        <f>IF(B151="","",'32_Oportunidades'!E151)</f>
        <v/>
      </c>
      <c r="F151" s="98" t="str">
        <f>IF(B151="","",'32_Oportunidades'!G151)</f>
        <v/>
      </c>
      <c r="G151" s="98" t="str">
        <f t="shared" si="22"/>
        <v/>
      </c>
      <c r="H151" s="122" t="str">
        <f>IF(B151="","",'32_Oportunidades'!F151)</f>
        <v/>
      </c>
      <c r="I151" s="98" t="str">
        <f t="shared" si="23"/>
        <v/>
      </c>
      <c r="J151" s="98" t="str">
        <f t="shared" si="24"/>
        <v/>
      </c>
      <c r="K151" s="98" t="str">
        <f>IF(B151="","",'32_Oportunidades'!M151)</f>
        <v/>
      </c>
    </row>
    <row r="152" spans="1:11">
      <c r="A152" s="122" t="str">
        <f ca="1">IF('32_Oportunidades'!A152="","",TODAY())</f>
        <v/>
      </c>
      <c r="B152" s="98" t="str">
        <f>IF('32_Oportunidades'!A152="","",'32_Oportunidades'!A152)</f>
        <v/>
      </c>
      <c r="C152" s="98" t="str">
        <f t="shared" si="20"/>
        <v/>
      </c>
      <c r="D152" s="98" t="str">
        <f t="shared" si="21"/>
        <v/>
      </c>
      <c r="E152" s="98" t="str">
        <f>IF(B152="","",'32_Oportunidades'!E152)</f>
        <v/>
      </c>
      <c r="F152" s="98" t="str">
        <f>IF(B152="","",'32_Oportunidades'!G152)</f>
        <v/>
      </c>
      <c r="G152" s="98" t="str">
        <f t="shared" si="22"/>
        <v/>
      </c>
      <c r="H152" s="122" t="str">
        <f>IF(B152="","",'32_Oportunidades'!F152)</f>
        <v/>
      </c>
      <c r="I152" s="98" t="str">
        <f t="shared" si="23"/>
        <v/>
      </c>
      <c r="J152" s="98" t="str">
        <f t="shared" si="24"/>
        <v/>
      </c>
      <c r="K152" s="98" t="str">
        <f>IF(B152="","",'32_Oportunidades'!M152)</f>
        <v/>
      </c>
    </row>
    <row r="153" spans="1:11">
      <c r="A153" s="122" t="str">
        <f ca="1">IF('32_Oportunidades'!A153="","",TODAY())</f>
        <v/>
      </c>
      <c r="B153" s="98" t="str">
        <f>IF('32_Oportunidades'!A153="","",'32_Oportunidades'!A153)</f>
        <v/>
      </c>
      <c r="C153" s="98" t="str">
        <f t="shared" si="20"/>
        <v/>
      </c>
      <c r="D153" s="98" t="str">
        <f t="shared" si="21"/>
        <v/>
      </c>
      <c r="E153" s="98" t="str">
        <f>IF(B153="","",'32_Oportunidades'!E153)</f>
        <v/>
      </c>
      <c r="F153" s="98" t="str">
        <f>IF(B153="","",'32_Oportunidades'!G153)</f>
        <v/>
      </c>
      <c r="G153" s="98" t="str">
        <f t="shared" si="22"/>
        <v/>
      </c>
      <c r="H153" s="122" t="str">
        <f>IF(B153="","",'32_Oportunidades'!F153)</f>
        <v/>
      </c>
      <c r="I153" s="98" t="str">
        <f t="shared" si="23"/>
        <v/>
      </c>
      <c r="J153" s="98" t="str">
        <f t="shared" si="24"/>
        <v/>
      </c>
      <c r="K153" s="98" t="str">
        <f>IF(B153="","",'32_Oportunidades'!M153)</f>
        <v/>
      </c>
    </row>
    <row r="154" spans="1:11">
      <c r="A154" s="122" t="str">
        <f ca="1">IF('32_Oportunidades'!A154="","",TODAY())</f>
        <v/>
      </c>
      <c r="B154" s="98" t="str">
        <f>IF('32_Oportunidades'!A154="","",'32_Oportunidades'!A154)</f>
        <v/>
      </c>
      <c r="C154" s="98" t="str">
        <f t="shared" si="20"/>
        <v/>
      </c>
      <c r="D154" s="98" t="str">
        <f t="shared" si="21"/>
        <v/>
      </c>
      <c r="E154" s="98" t="str">
        <f>IF(B154="","",'32_Oportunidades'!E154)</f>
        <v/>
      </c>
      <c r="F154" s="98" t="str">
        <f>IF(B154="","",'32_Oportunidades'!G154)</f>
        <v/>
      </c>
      <c r="G154" s="98" t="str">
        <f t="shared" si="22"/>
        <v/>
      </c>
      <c r="H154" s="122" t="str">
        <f>IF(B154="","",'32_Oportunidades'!F154)</f>
        <v/>
      </c>
      <c r="I154" s="98" t="str">
        <f t="shared" si="23"/>
        <v/>
      </c>
      <c r="J154" s="98" t="str">
        <f t="shared" si="24"/>
        <v/>
      </c>
      <c r="K154" s="98" t="str">
        <f>IF(B154="","",'32_Oportunidades'!M154)</f>
        <v/>
      </c>
    </row>
    <row r="155" spans="1:11">
      <c r="A155" s="122" t="str">
        <f ca="1">IF('32_Oportunidades'!A155="","",TODAY())</f>
        <v/>
      </c>
      <c r="B155" s="98" t="str">
        <f>IF('32_Oportunidades'!A155="","",'32_Oportunidades'!A155)</f>
        <v/>
      </c>
      <c r="C155" s="98" t="str">
        <f t="shared" si="20"/>
        <v/>
      </c>
      <c r="D155" s="98" t="str">
        <f t="shared" si="21"/>
        <v/>
      </c>
      <c r="E155" s="98" t="str">
        <f>IF(B155="","",'32_Oportunidades'!E155)</f>
        <v/>
      </c>
      <c r="F155" s="98" t="str">
        <f>IF(B155="","",'32_Oportunidades'!G155)</f>
        <v/>
      </c>
      <c r="G155" s="98" t="str">
        <f t="shared" si="22"/>
        <v/>
      </c>
      <c r="H155" s="122" t="str">
        <f>IF(B155="","",'32_Oportunidades'!F155)</f>
        <v/>
      </c>
      <c r="I155" s="98" t="str">
        <f t="shared" si="23"/>
        <v/>
      </c>
      <c r="J155" s="98" t="str">
        <f t="shared" si="24"/>
        <v/>
      </c>
      <c r="K155" s="98" t="str">
        <f>IF(B155="","",'32_Oportunidades'!M155)</f>
        <v/>
      </c>
    </row>
    <row r="156" spans="1:11">
      <c r="A156" s="122" t="str">
        <f ca="1">IF('32_Oportunidades'!A156="","",TODAY())</f>
        <v/>
      </c>
      <c r="B156" s="98" t="str">
        <f>IF('32_Oportunidades'!A156="","",'32_Oportunidades'!A156)</f>
        <v/>
      </c>
      <c r="C156" s="98" t="str">
        <f t="shared" si="20"/>
        <v/>
      </c>
      <c r="D156" s="98" t="str">
        <f t="shared" si="21"/>
        <v/>
      </c>
      <c r="E156" s="98" t="str">
        <f>IF(B156="","",'32_Oportunidades'!E156)</f>
        <v/>
      </c>
      <c r="F156" s="98" t="str">
        <f>IF(B156="","",'32_Oportunidades'!G156)</f>
        <v/>
      </c>
      <c r="G156" s="98" t="str">
        <f t="shared" si="22"/>
        <v/>
      </c>
      <c r="H156" s="122" t="str">
        <f>IF(B156="","",'32_Oportunidades'!F156)</f>
        <v/>
      </c>
      <c r="I156" s="98" t="str">
        <f t="shared" si="23"/>
        <v/>
      </c>
      <c r="J156" s="98" t="str">
        <f t="shared" si="24"/>
        <v/>
      </c>
      <c r="K156" s="98" t="str">
        <f>IF(B156="","",'32_Oportunidades'!M156)</f>
        <v/>
      </c>
    </row>
    <row r="157" spans="1:11">
      <c r="A157" s="122" t="str">
        <f ca="1">IF('32_Oportunidades'!A157="","",TODAY())</f>
        <v/>
      </c>
      <c r="B157" s="98" t="str">
        <f>IF('32_Oportunidades'!A157="","",'32_Oportunidades'!A157)</f>
        <v/>
      </c>
      <c r="C157" s="98" t="str">
        <f t="shared" si="20"/>
        <v/>
      </c>
      <c r="D157" s="98" t="str">
        <f t="shared" si="21"/>
        <v/>
      </c>
      <c r="E157" s="98" t="str">
        <f>IF(B157="","",'32_Oportunidades'!E157)</f>
        <v/>
      </c>
      <c r="F157" s="98" t="str">
        <f>IF(B157="","",'32_Oportunidades'!G157)</f>
        <v/>
      </c>
      <c r="G157" s="98" t="str">
        <f t="shared" si="22"/>
        <v/>
      </c>
      <c r="H157" s="122" t="str">
        <f>IF(B157="","",'32_Oportunidades'!F157)</f>
        <v/>
      </c>
      <c r="I157" s="98" t="str">
        <f t="shared" si="23"/>
        <v/>
      </c>
      <c r="J157" s="98" t="str">
        <f t="shared" si="24"/>
        <v/>
      </c>
      <c r="K157" s="98" t="str">
        <f>IF(B157="","",'32_Oportunidades'!M157)</f>
        <v/>
      </c>
    </row>
    <row r="158" spans="1:11">
      <c r="A158" s="122" t="str">
        <f ca="1">IF('32_Oportunidades'!A158="","",TODAY())</f>
        <v/>
      </c>
      <c r="B158" s="98" t="str">
        <f>IF('32_Oportunidades'!A158="","",'32_Oportunidades'!A158)</f>
        <v/>
      </c>
      <c r="C158" s="98" t="str">
        <f t="shared" si="20"/>
        <v/>
      </c>
      <c r="D158" s="98" t="str">
        <f t="shared" si="21"/>
        <v/>
      </c>
      <c r="E158" s="98" t="str">
        <f>IF(B158="","",'32_Oportunidades'!E158)</f>
        <v/>
      </c>
      <c r="F158" s="98" t="str">
        <f>IF(B158="","",'32_Oportunidades'!G158)</f>
        <v/>
      </c>
      <c r="G158" s="98" t="str">
        <f t="shared" si="22"/>
        <v/>
      </c>
      <c r="H158" s="122" t="str">
        <f>IF(B158="","",'32_Oportunidades'!F158)</f>
        <v/>
      </c>
      <c r="I158" s="98" t="str">
        <f t="shared" si="23"/>
        <v/>
      </c>
      <c r="J158" s="98" t="str">
        <f t="shared" si="24"/>
        <v/>
      </c>
      <c r="K158" s="98" t="str">
        <f>IF(B158="","",'32_Oportunidades'!M158)</f>
        <v/>
      </c>
    </row>
    <row r="159" spans="1:11">
      <c r="A159" s="122" t="str">
        <f ca="1">IF('32_Oportunidades'!A159="","",TODAY())</f>
        <v/>
      </c>
      <c r="B159" s="98" t="str">
        <f>IF('32_Oportunidades'!A159="","",'32_Oportunidades'!A159)</f>
        <v/>
      </c>
      <c r="C159" s="98" t="str">
        <f t="shared" si="20"/>
        <v/>
      </c>
      <c r="D159" s="98" t="str">
        <f t="shared" si="21"/>
        <v/>
      </c>
      <c r="E159" s="98" t="str">
        <f>IF(B159="","",'32_Oportunidades'!E159)</f>
        <v/>
      </c>
      <c r="F159" s="98" t="str">
        <f>IF(B159="","",'32_Oportunidades'!G159)</f>
        <v/>
      </c>
      <c r="G159" s="98" t="str">
        <f t="shared" si="22"/>
        <v/>
      </c>
      <c r="H159" s="122" t="str">
        <f>IF(B159="","",'32_Oportunidades'!F159)</f>
        <v/>
      </c>
      <c r="I159" s="98" t="str">
        <f t="shared" si="23"/>
        <v/>
      </c>
      <c r="J159" s="98" t="str">
        <f t="shared" si="24"/>
        <v/>
      </c>
      <c r="K159" s="98" t="str">
        <f>IF(B159="","",'32_Oportunidades'!M159)</f>
        <v/>
      </c>
    </row>
    <row r="160" spans="1:11">
      <c r="A160" s="122" t="str">
        <f ca="1">IF('32_Oportunidades'!A160="","",TODAY())</f>
        <v/>
      </c>
      <c r="B160" s="98" t="str">
        <f>IF('32_Oportunidades'!A160="","",'32_Oportunidades'!A160)</f>
        <v/>
      </c>
      <c r="C160" s="98" t="str">
        <f t="shared" si="20"/>
        <v/>
      </c>
      <c r="D160" s="98" t="str">
        <f t="shared" si="21"/>
        <v/>
      </c>
      <c r="E160" s="98" t="str">
        <f>IF(B160="","",'32_Oportunidades'!E160)</f>
        <v/>
      </c>
      <c r="F160" s="98" t="str">
        <f>IF(B160="","",'32_Oportunidades'!G160)</f>
        <v/>
      </c>
      <c r="G160" s="98" t="str">
        <f t="shared" si="22"/>
        <v/>
      </c>
      <c r="H160" s="122" t="str">
        <f>IF(B160="","",'32_Oportunidades'!F160)</f>
        <v/>
      </c>
      <c r="I160" s="98" t="str">
        <f t="shared" si="23"/>
        <v/>
      </c>
      <c r="J160" s="98" t="str">
        <f t="shared" si="24"/>
        <v/>
      </c>
      <c r="K160" s="98" t="str">
        <f>IF(B160="","",'32_Oportunidades'!M160)</f>
        <v/>
      </c>
    </row>
    <row r="161" spans="1:11">
      <c r="A161" s="122" t="str">
        <f ca="1">IF('32_Oportunidades'!A161="","",TODAY())</f>
        <v/>
      </c>
      <c r="B161" s="98" t="str">
        <f>IF('32_Oportunidades'!A161="","",'32_Oportunidades'!A161)</f>
        <v/>
      </c>
      <c r="C161" s="98" t="str">
        <f t="shared" si="20"/>
        <v/>
      </c>
      <c r="D161" s="98" t="str">
        <f t="shared" si="21"/>
        <v/>
      </c>
      <c r="E161" s="98" t="str">
        <f>IF(B161="","",'32_Oportunidades'!E161)</f>
        <v/>
      </c>
      <c r="F161" s="98" t="str">
        <f>IF(B161="","",'32_Oportunidades'!G161)</f>
        <v/>
      </c>
      <c r="G161" s="98" t="str">
        <f t="shared" si="22"/>
        <v/>
      </c>
      <c r="H161" s="122" t="str">
        <f>IF(B161="","",'32_Oportunidades'!F161)</f>
        <v/>
      </c>
      <c r="I161" s="98" t="str">
        <f t="shared" si="23"/>
        <v/>
      </c>
      <c r="J161" s="98" t="str">
        <f t="shared" si="24"/>
        <v/>
      </c>
      <c r="K161" s="98" t="str">
        <f>IF(B161="","",'32_Oportunidades'!M161)</f>
        <v/>
      </c>
    </row>
    <row r="162" spans="1:11">
      <c r="A162" s="122" t="str">
        <f ca="1">IF('32_Oportunidades'!A162="","",TODAY())</f>
        <v/>
      </c>
      <c r="B162" s="98" t="str">
        <f>IF('32_Oportunidades'!A162="","",'32_Oportunidades'!A162)</f>
        <v/>
      </c>
      <c r="C162" s="98" t="str">
        <f t="shared" si="20"/>
        <v/>
      </c>
      <c r="D162" s="98" t="str">
        <f t="shared" si="21"/>
        <v/>
      </c>
      <c r="E162" s="98" t="str">
        <f>IF(B162="","",'32_Oportunidades'!E162)</f>
        <v/>
      </c>
      <c r="F162" s="98" t="str">
        <f>IF(B162="","",'32_Oportunidades'!G162)</f>
        <v/>
      </c>
      <c r="G162" s="98" t="str">
        <f t="shared" si="22"/>
        <v/>
      </c>
      <c r="H162" s="122" t="str">
        <f>IF(B162="","",'32_Oportunidades'!F162)</f>
        <v/>
      </c>
      <c r="I162" s="98" t="str">
        <f t="shared" si="23"/>
        <v/>
      </c>
      <c r="J162" s="98" t="str">
        <f t="shared" si="24"/>
        <v/>
      </c>
      <c r="K162" s="98" t="str">
        <f>IF(B162="","",'32_Oportunidades'!M162)</f>
        <v/>
      </c>
    </row>
    <row r="163" spans="1:11">
      <c r="A163" s="122" t="str">
        <f ca="1">IF('32_Oportunidades'!A163="","",TODAY())</f>
        <v/>
      </c>
      <c r="B163" s="98" t="str">
        <f>IF('32_Oportunidades'!A163="","",'32_Oportunidades'!A163)</f>
        <v/>
      </c>
      <c r="C163" s="98" t="str">
        <f t="shared" si="20"/>
        <v/>
      </c>
      <c r="D163" s="98" t="str">
        <f t="shared" si="21"/>
        <v/>
      </c>
      <c r="E163" s="98" t="str">
        <f>IF(B163="","",'32_Oportunidades'!E163)</f>
        <v/>
      </c>
      <c r="F163" s="98" t="str">
        <f>IF(B163="","",'32_Oportunidades'!G163)</f>
        <v/>
      </c>
      <c r="G163" s="98" t="str">
        <f t="shared" si="22"/>
        <v/>
      </c>
      <c r="H163" s="122" t="str">
        <f>IF(B163="","",'32_Oportunidades'!F163)</f>
        <v/>
      </c>
      <c r="I163" s="98" t="str">
        <f t="shared" si="23"/>
        <v/>
      </c>
      <c r="J163" s="98" t="str">
        <f t="shared" si="24"/>
        <v/>
      </c>
      <c r="K163" s="98" t="str">
        <f>IF(B163="","",'32_Oportunidades'!M163)</f>
        <v/>
      </c>
    </row>
    <row r="164" spans="1:11">
      <c r="A164" s="122" t="str">
        <f ca="1">IF('32_Oportunidades'!A164="","",TODAY())</f>
        <v/>
      </c>
      <c r="B164" s="98" t="str">
        <f>IF('32_Oportunidades'!A164="","",'32_Oportunidades'!A164)</f>
        <v/>
      </c>
      <c r="C164" s="98" t="str">
        <f t="shared" si="20"/>
        <v/>
      </c>
      <c r="D164" s="98" t="str">
        <f t="shared" si="21"/>
        <v/>
      </c>
      <c r="E164" s="98" t="str">
        <f>IF(B164="","",'32_Oportunidades'!E164)</f>
        <v/>
      </c>
      <c r="F164" s="98" t="str">
        <f>IF(B164="","",'32_Oportunidades'!G164)</f>
        <v/>
      </c>
      <c r="G164" s="98" t="str">
        <f t="shared" si="22"/>
        <v/>
      </c>
      <c r="H164" s="122" t="str">
        <f>IF(B164="","",'32_Oportunidades'!F164)</f>
        <v/>
      </c>
      <c r="I164" s="98" t="str">
        <f t="shared" si="23"/>
        <v/>
      </c>
      <c r="J164" s="98" t="str">
        <f t="shared" si="24"/>
        <v/>
      </c>
      <c r="K164" s="98" t="str">
        <f>IF(B164="","",'32_Oportunidades'!M164)</f>
        <v/>
      </c>
    </row>
    <row r="165" spans="1:11">
      <c r="A165" s="122" t="str">
        <f ca="1">IF('32_Oportunidades'!A165="","",TODAY())</f>
        <v/>
      </c>
      <c r="B165" s="98" t="str">
        <f>IF('32_Oportunidades'!A165="","",'32_Oportunidades'!A165)</f>
        <v/>
      </c>
      <c r="C165" s="98" t="str">
        <f t="shared" ref="C165:C196" si="25">IF(B165="","","Seguimiento estratégico")</f>
        <v/>
      </c>
      <c r="D165" s="98" t="str">
        <f t="shared" ref="D165:D196" si="26">IF(B165="","","Pendiente")</f>
        <v/>
      </c>
      <c r="E165" s="98" t="str">
        <f>IF(B165="","",'32_Oportunidades'!E165)</f>
        <v/>
      </c>
      <c r="F165" s="98" t="str">
        <f>IF(B165="","",'32_Oportunidades'!G165)</f>
        <v/>
      </c>
      <c r="G165" s="98" t="str">
        <f t="shared" ref="G165:G196" si="27">IF(B165="","","🟡 En proceso")</f>
        <v/>
      </c>
      <c r="H165" s="122" t="str">
        <f>IF(B165="","",'32_Oportunidades'!F165)</f>
        <v/>
      </c>
      <c r="I165" s="98" t="str">
        <f t="shared" ref="I165:I196" si="28">IF(B165="","","LinkedIn / Web / WhatsApp / Email")</f>
        <v/>
      </c>
      <c r="J165" s="98" t="str">
        <f t="shared" ref="J165:J196" si="29">IF(B165="","","Validar empresa y definir si pasa a CRM activo")</f>
        <v/>
      </c>
      <c r="K165" s="98" t="str">
        <f>IF(B165="","",'32_Oportunidades'!M165)</f>
        <v/>
      </c>
    </row>
    <row r="166" spans="1:11">
      <c r="A166" s="122" t="str">
        <f ca="1">IF('32_Oportunidades'!A166="","",TODAY())</f>
        <v/>
      </c>
      <c r="B166" s="98" t="str">
        <f>IF('32_Oportunidades'!A166="","",'32_Oportunidades'!A166)</f>
        <v/>
      </c>
      <c r="C166" s="98" t="str">
        <f t="shared" si="25"/>
        <v/>
      </c>
      <c r="D166" s="98" t="str">
        <f t="shared" si="26"/>
        <v/>
      </c>
      <c r="E166" s="98" t="str">
        <f>IF(B166="","",'32_Oportunidades'!E166)</f>
        <v/>
      </c>
      <c r="F166" s="98" t="str">
        <f>IF(B166="","",'32_Oportunidades'!G166)</f>
        <v/>
      </c>
      <c r="G166" s="98" t="str">
        <f t="shared" si="27"/>
        <v/>
      </c>
      <c r="H166" s="122" t="str">
        <f>IF(B166="","",'32_Oportunidades'!F166)</f>
        <v/>
      </c>
      <c r="I166" s="98" t="str">
        <f t="shared" si="28"/>
        <v/>
      </c>
      <c r="J166" s="98" t="str">
        <f t="shared" si="29"/>
        <v/>
      </c>
      <c r="K166" s="98" t="str">
        <f>IF(B166="","",'32_Oportunidades'!M166)</f>
        <v/>
      </c>
    </row>
    <row r="167" spans="1:11">
      <c r="A167" s="122" t="str">
        <f ca="1">IF('32_Oportunidades'!A167="","",TODAY())</f>
        <v/>
      </c>
      <c r="B167" s="98" t="str">
        <f>IF('32_Oportunidades'!A167="","",'32_Oportunidades'!A167)</f>
        <v/>
      </c>
      <c r="C167" s="98" t="str">
        <f t="shared" si="25"/>
        <v/>
      </c>
      <c r="D167" s="98" t="str">
        <f t="shared" si="26"/>
        <v/>
      </c>
      <c r="E167" s="98" t="str">
        <f>IF(B167="","",'32_Oportunidades'!E167)</f>
        <v/>
      </c>
      <c r="F167" s="98" t="str">
        <f>IF(B167="","",'32_Oportunidades'!G167)</f>
        <v/>
      </c>
      <c r="G167" s="98" t="str">
        <f t="shared" si="27"/>
        <v/>
      </c>
      <c r="H167" s="122" t="str">
        <f>IF(B167="","",'32_Oportunidades'!F167)</f>
        <v/>
      </c>
      <c r="I167" s="98" t="str">
        <f t="shared" si="28"/>
        <v/>
      </c>
      <c r="J167" s="98" t="str">
        <f t="shared" si="29"/>
        <v/>
      </c>
      <c r="K167" s="98" t="str">
        <f>IF(B167="","",'32_Oportunidades'!M167)</f>
        <v/>
      </c>
    </row>
    <row r="168" spans="1:11">
      <c r="A168" s="122" t="str">
        <f ca="1">IF('32_Oportunidades'!A168="","",TODAY())</f>
        <v/>
      </c>
      <c r="B168" s="98" t="str">
        <f>IF('32_Oportunidades'!A168="","",'32_Oportunidades'!A168)</f>
        <v/>
      </c>
      <c r="C168" s="98" t="str">
        <f t="shared" si="25"/>
        <v/>
      </c>
      <c r="D168" s="98" t="str">
        <f t="shared" si="26"/>
        <v/>
      </c>
      <c r="E168" s="98" t="str">
        <f>IF(B168="","",'32_Oportunidades'!E168)</f>
        <v/>
      </c>
      <c r="F168" s="98" t="str">
        <f>IF(B168="","",'32_Oportunidades'!G168)</f>
        <v/>
      </c>
      <c r="G168" s="98" t="str">
        <f t="shared" si="27"/>
        <v/>
      </c>
      <c r="H168" s="122" t="str">
        <f>IF(B168="","",'32_Oportunidades'!F168)</f>
        <v/>
      </c>
      <c r="I168" s="98" t="str">
        <f t="shared" si="28"/>
        <v/>
      </c>
      <c r="J168" s="98" t="str">
        <f t="shared" si="29"/>
        <v/>
      </c>
      <c r="K168" s="98" t="str">
        <f>IF(B168="","",'32_Oportunidades'!M168)</f>
        <v/>
      </c>
    </row>
    <row r="169" spans="1:11">
      <c r="A169" s="122" t="str">
        <f ca="1">IF('32_Oportunidades'!A169="","",TODAY())</f>
        <v/>
      </c>
      <c r="B169" s="98" t="str">
        <f>IF('32_Oportunidades'!A169="","",'32_Oportunidades'!A169)</f>
        <v/>
      </c>
      <c r="C169" s="98" t="str">
        <f t="shared" si="25"/>
        <v/>
      </c>
      <c r="D169" s="98" t="str">
        <f t="shared" si="26"/>
        <v/>
      </c>
      <c r="E169" s="98" t="str">
        <f>IF(B169="","",'32_Oportunidades'!E169)</f>
        <v/>
      </c>
      <c r="F169" s="98" t="str">
        <f>IF(B169="","",'32_Oportunidades'!G169)</f>
        <v/>
      </c>
      <c r="G169" s="98" t="str">
        <f t="shared" si="27"/>
        <v/>
      </c>
      <c r="H169" s="122" t="str">
        <f>IF(B169="","",'32_Oportunidades'!F169)</f>
        <v/>
      </c>
      <c r="I169" s="98" t="str">
        <f t="shared" si="28"/>
        <v/>
      </c>
      <c r="J169" s="98" t="str">
        <f t="shared" si="29"/>
        <v/>
      </c>
      <c r="K169" s="98" t="str">
        <f>IF(B169="","",'32_Oportunidades'!M169)</f>
        <v/>
      </c>
    </row>
    <row r="170" spans="1:11">
      <c r="A170" s="122" t="str">
        <f ca="1">IF('32_Oportunidades'!A170="","",TODAY())</f>
        <v/>
      </c>
      <c r="B170" s="98" t="str">
        <f>IF('32_Oportunidades'!A170="","",'32_Oportunidades'!A170)</f>
        <v/>
      </c>
      <c r="C170" s="98" t="str">
        <f t="shared" si="25"/>
        <v/>
      </c>
      <c r="D170" s="98" t="str">
        <f t="shared" si="26"/>
        <v/>
      </c>
      <c r="E170" s="98" t="str">
        <f>IF(B170="","",'32_Oportunidades'!E170)</f>
        <v/>
      </c>
      <c r="F170" s="98" t="str">
        <f>IF(B170="","",'32_Oportunidades'!G170)</f>
        <v/>
      </c>
      <c r="G170" s="98" t="str">
        <f t="shared" si="27"/>
        <v/>
      </c>
      <c r="H170" s="122" t="str">
        <f>IF(B170="","",'32_Oportunidades'!F170)</f>
        <v/>
      </c>
      <c r="I170" s="98" t="str">
        <f t="shared" si="28"/>
        <v/>
      </c>
      <c r="J170" s="98" t="str">
        <f t="shared" si="29"/>
        <v/>
      </c>
      <c r="K170" s="98" t="str">
        <f>IF(B170="","",'32_Oportunidades'!M170)</f>
        <v/>
      </c>
    </row>
    <row r="171" spans="1:11">
      <c r="A171" s="122" t="str">
        <f ca="1">IF('32_Oportunidades'!A171="","",TODAY())</f>
        <v/>
      </c>
      <c r="B171" s="98" t="str">
        <f>IF('32_Oportunidades'!A171="","",'32_Oportunidades'!A171)</f>
        <v/>
      </c>
      <c r="C171" s="98" t="str">
        <f t="shared" si="25"/>
        <v/>
      </c>
      <c r="D171" s="98" t="str">
        <f t="shared" si="26"/>
        <v/>
      </c>
      <c r="E171" s="98" t="str">
        <f>IF(B171="","",'32_Oportunidades'!E171)</f>
        <v/>
      </c>
      <c r="F171" s="98" t="str">
        <f>IF(B171="","",'32_Oportunidades'!G171)</f>
        <v/>
      </c>
      <c r="G171" s="98" t="str">
        <f t="shared" si="27"/>
        <v/>
      </c>
      <c r="H171" s="122" t="str">
        <f>IF(B171="","",'32_Oportunidades'!F171)</f>
        <v/>
      </c>
      <c r="I171" s="98" t="str">
        <f t="shared" si="28"/>
        <v/>
      </c>
      <c r="J171" s="98" t="str">
        <f t="shared" si="29"/>
        <v/>
      </c>
      <c r="K171" s="98" t="str">
        <f>IF(B171="","",'32_Oportunidades'!M171)</f>
        <v/>
      </c>
    </row>
    <row r="172" spans="1:11">
      <c r="A172" s="122" t="str">
        <f ca="1">IF('32_Oportunidades'!A172="","",TODAY())</f>
        <v/>
      </c>
      <c r="B172" s="98" t="str">
        <f>IF('32_Oportunidades'!A172="","",'32_Oportunidades'!A172)</f>
        <v/>
      </c>
      <c r="C172" s="98" t="str">
        <f t="shared" si="25"/>
        <v/>
      </c>
      <c r="D172" s="98" t="str">
        <f t="shared" si="26"/>
        <v/>
      </c>
      <c r="E172" s="98" t="str">
        <f>IF(B172="","",'32_Oportunidades'!E172)</f>
        <v/>
      </c>
      <c r="F172" s="98" t="str">
        <f>IF(B172="","",'32_Oportunidades'!G172)</f>
        <v/>
      </c>
      <c r="G172" s="98" t="str">
        <f t="shared" si="27"/>
        <v/>
      </c>
      <c r="H172" s="122" t="str">
        <f>IF(B172="","",'32_Oportunidades'!F172)</f>
        <v/>
      </c>
      <c r="I172" s="98" t="str">
        <f t="shared" si="28"/>
        <v/>
      </c>
      <c r="J172" s="98" t="str">
        <f t="shared" si="29"/>
        <v/>
      </c>
      <c r="K172" s="98" t="str">
        <f>IF(B172="","",'32_Oportunidades'!M172)</f>
        <v/>
      </c>
    </row>
    <row r="173" spans="1:11">
      <c r="A173" s="122" t="str">
        <f ca="1">IF('32_Oportunidades'!A173="","",TODAY())</f>
        <v/>
      </c>
      <c r="B173" s="98" t="str">
        <f>IF('32_Oportunidades'!A173="","",'32_Oportunidades'!A173)</f>
        <v/>
      </c>
      <c r="C173" s="98" t="str">
        <f t="shared" si="25"/>
        <v/>
      </c>
      <c r="D173" s="98" t="str">
        <f t="shared" si="26"/>
        <v/>
      </c>
      <c r="E173" s="98" t="str">
        <f>IF(B173="","",'32_Oportunidades'!E173)</f>
        <v/>
      </c>
      <c r="F173" s="98" t="str">
        <f>IF(B173="","",'32_Oportunidades'!G173)</f>
        <v/>
      </c>
      <c r="G173" s="98" t="str">
        <f t="shared" si="27"/>
        <v/>
      </c>
      <c r="H173" s="122" t="str">
        <f>IF(B173="","",'32_Oportunidades'!F173)</f>
        <v/>
      </c>
      <c r="I173" s="98" t="str">
        <f t="shared" si="28"/>
        <v/>
      </c>
      <c r="J173" s="98" t="str">
        <f t="shared" si="29"/>
        <v/>
      </c>
      <c r="K173" s="98" t="str">
        <f>IF(B173="","",'32_Oportunidades'!M173)</f>
        <v/>
      </c>
    </row>
    <row r="174" spans="1:11">
      <c r="A174" s="122" t="str">
        <f ca="1">IF('32_Oportunidades'!A174="","",TODAY())</f>
        <v/>
      </c>
      <c r="B174" s="98" t="str">
        <f>IF('32_Oportunidades'!A174="","",'32_Oportunidades'!A174)</f>
        <v/>
      </c>
      <c r="C174" s="98" t="str">
        <f t="shared" si="25"/>
        <v/>
      </c>
      <c r="D174" s="98" t="str">
        <f t="shared" si="26"/>
        <v/>
      </c>
      <c r="E174" s="98" t="str">
        <f>IF(B174="","",'32_Oportunidades'!E174)</f>
        <v/>
      </c>
      <c r="F174" s="98" t="str">
        <f>IF(B174="","",'32_Oportunidades'!G174)</f>
        <v/>
      </c>
      <c r="G174" s="98" t="str">
        <f t="shared" si="27"/>
        <v/>
      </c>
      <c r="H174" s="122" t="str">
        <f>IF(B174="","",'32_Oportunidades'!F174)</f>
        <v/>
      </c>
      <c r="I174" s="98" t="str">
        <f t="shared" si="28"/>
        <v/>
      </c>
      <c r="J174" s="98" t="str">
        <f t="shared" si="29"/>
        <v/>
      </c>
      <c r="K174" s="98" t="str">
        <f>IF(B174="","",'32_Oportunidades'!M174)</f>
        <v/>
      </c>
    </row>
    <row r="175" spans="1:11">
      <c r="A175" s="122" t="str">
        <f ca="1">IF('32_Oportunidades'!A175="","",TODAY())</f>
        <v/>
      </c>
      <c r="B175" s="98" t="str">
        <f>IF('32_Oportunidades'!A175="","",'32_Oportunidades'!A175)</f>
        <v/>
      </c>
      <c r="C175" s="98" t="str">
        <f t="shared" si="25"/>
        <v/>
      </c>
      <c r="D175" s="98" t="str">
        <f t="shared" si="26"/>
        <v/>
      </c>
      <c r="E175" s="98" t="str">
        <f>IF(B175="","",'32_Oportunidades'!E175)</f>
        <v/>
      </c>
      <c r="F175" s="98" t="str">
        <f>IF(B175="","",'32_Oportunidades'!G175)</f>
        <v/>
      </c>
      <c r="G175" s="98" t="str">
        <f t="shared" si="27"/>
        <v/>
      </c>
      <c r="H175" s="122" t="str">
        <f>IF(B175="","",'32_Oportunidades'!F175)</f>
        <v/>
      </c>
      <c r="I175" s="98" t="str">
        <f t="shared" si="28"/>
        <v/>
      </c>
      <c r="J175" s="98" t="str">
        <f t="shared" si="29"/>
        <v/>
      </c>
      <c r="K175" s="98" t="str">
        <f>IF(B175="","",'32_Oportunidades'!M175)</f>
        <v/>
      </c>
    </row>
    <row r="176" spans="1:11">
      <c r="A176" s="122" t="str">
        <f ca="1">IF('32_Oportunidades'!A176="","",TODAY())</f>
        <v/>
      </c>
      <c r="B176" s="98" t="str">
        <f>IF('32_Oportunidades'!A176="","",'32_Oportunidades'!A176)</f>
        <v/>
      </c>
      <c r="C176" s="98" t="str">
        <f t="shared" si="25"/>
        <v/>
      </c>
      <c r="D176" s="98" t="str">
        <f t="shared" si="26"/>
        <v/>
      </c>
      <c r="E176" s="98" t="str">
        <f>IF(B176="","",'32_Oportunidades'!E176)</f>
        <v/>
      </c>
      <c r="F176" s="98" t="str">
        <f>IF(B176="","",'32_Oportunidades'!G176)</f>
        <v/>
      </c>
      <c r="G176" s="98" t="str">
        <f t="shared" si="27"/>
        <v/>
      </c>
      <c r="H176" s="122" t="str">
        <f>IF(B176="","",'32_Oportunidades'!F176)</f>
        <v/>
      </c>
      <c r="I176" s="98" t="str">
        <f t="shared" si="28"/>
        <v/>
      </c>
      <c r="J176" s="98" t="str">
        <f t="shared" si="29"/>
        <v/>
      </c>
      <c r="K176" s="98" t="str">
        <f>IF(B176="","",'32_Oportunidades'!M176)</f>
        <v/>
      </c>
    </row>
    <row r="177" spans="1:11">
      <c r="A177" s="122" t="str">
        <f ca="1">IF('32_Oportunidades'!A177="","",TODAY())</f>
        <v/>
      </c>
      <c r="B177" s="98" t="str">
        <f>IF('32_Oportunidades'!A177="","",'32_Oportunidades'!A177)</f>
        <v/>
      </c>
      <c r="C177" s="98" t="str">
        <f t="shared" si="25"/>
        <v/>
      </c>
      <c r="D177" s="98" t="str">
        <f t="shared" si="26"/>
        <v/>
      </c>
      <c r="E177" s="98" t="str">
        <f>IF(B177="","",'32_Oportunidades'!E177)</f>
        <v/>
      </c>
      <c r="F177" s="98" t="str">
        <f>IF(B177="","",'32_Oportunidades'!G177)</f>
        <v/>
      </c>
      <c r="G177" s="98" t="str">
        <f t="shared" si="27"/>
        <v/>
      </c>
      <c r="H177" s="122" t="str">
        <f>IF(B177="","",'32_Oportunidades'!F177)</f>
        <v/>
      </c>
      <c r="I177" s="98" t="str">
        <f t="shared" si="28"/>
        <v/>
      </c>
      <c r="J177" s="98" t="str">
        <f t="shared" si="29"/>
        <v/>
      </c>
      <c r="K177" s="98" t="str">
        <f>IF(B177="","",'32_Oportunidades'!M177)</f>
        <v/>
      </c>
    </row>
    <row r="178" spans="1:11">
      <c r="A178" s="122" t="str">
        <f ca="1">IF('32_Oportunidades'!A178="","",TODAY())</f>
        <v/>
      </c>
      <c r="B178" s="98" t="str">
        <f>IF('32_Oportunidades'!A178="","",'32_Oportunidades'!A178)</f>
        <v/>
      </c>
      <c r="C178" s="98" t="str">
        <f t="shared" si="25"/>
        <v/>
      </c>
      <c r="D178" s="98" t="str">
        <f t="shared" si="26"/>
        <v/>
      </c>
      <c r="E178" s="98" t="str">
        <f>IF(B178="","",'32_Oportunidades'!E178)</f>
        <v/>
      </c>
      <c r="F178" s="98" t="str">
        <f>IF(B178="","",'32_Oportunidades'!G178)</f>
        <v/>
      </c>
      <c r="G178" s="98" t="str">
        <f t="shared" si="27"/>
        <v/>
      </c>
      <c r="H178" s="122" t="str">
        <f>IF(B178="","",'32_Oportunidades'!F178)</f>
        <v/>
      </c>
      <c r="I178" s="98" t="str">
        <f t="shared" si="28"/>
        <v/>
      </c>
      <c r="J178" s="98" t="str">
        <f t="shared" si="29"/>
        <v/>
      </c>
      <c r="K178" s="98" t="str">
        <f>IF(B178="","",'32_Oportunidades'!M178)</f>
        <v/>
      </c>
    </row>
    <row r="179" spans="1:11">
      <c r="A179" s="122" t="str">
        <f ca="1">IF('32_Oportunidades'!A179="","",TODAY())</f>
        <v/>
      </c>
      <c r="B179" s="98" t="str">
        <f>IF('32_Oportunidades'!A179="","",'32_Oportunidades'!A179)</f>
        <v/>
      </c>
      <c r="C179" s="98" t="str">
        <f t="shared" si="25"/>
        <v/>
      </c>
      <c r="D179" s="98" t="str">
        <f t="shared" si="26"/>
        <v/>
      </c>
      <c r="E179" s="98" t="str">
        <f>IF(B179="","",'32_Oportunidades'!E179)</f>
        <v/>
      </c>
      <c r="F179" s="98" t="str">
        <f>IF(B179="","",'32_Oportunidades'!G179)</f>
        <v/>
      </c>
      <c r="G179" s="98" t="str">
        <f t="shared" si="27"/>
        <v/>
      </c>
      <c r="H179" s="122" t="str">
        <f>IF(B179="","",'32_Oportunidades'!F179)</f>
        <v/>
      </c>
      <c r="I179" s="98" t="str">
        <f t="shared" si="28"/>
        <v/>
      </c>
      <c r="J179" s="98" t="str">
        <f t="shared" si="29"/>
        <v/>
      </c>
      <c r="K179" s="98" t="str">
        <f>IF(B179="","",'32_Oportunidades'!M179)</f>
        <v/>
      </c>
    </row>
    <row r="180" spans="1:11">
      <c r="A180" s="122" t="str">
        <f ca="1">IF('32_Oportunidades'!A180="","",TODAY())</f>
        <v/>
      </c>
      <c r="B180" s="98" t="str">
        <f>IF('32_Oportunidades'!A180="","",'32_Oportunidades'!A180)</f>
        <v/>
      </c>
      <c r="C180" s="98" t="str">
        <f t="shared" si="25"/>
        <v/>
      </c>
      <c r="D180" s="98" t="str">
        <f t="shared" si="26"/>
        <v/>
      </c>
      <c r="E180" s="98" t="str">
        <f>IF(B180="","",'32_Oportunidades'!E180)</f>
        <v/>
      </c>
      <c r="F180" s="98" t="str">
        <f>IF(B180="","",'32_Oportunidades'!G180)</f>
        <v/>
      </c>
      <c r="G180" s="98" t="str">
        <f t="shared" si="27"/>
        <v/>
      </c>
      <c r="H180" s="122" t="str">
        <f>IF(B180="","",'32_Oportunidades'!F180)</f>
        <v/>
      </c>
      <c r="I180" s="98" t="str">
        <f t="shared" si="28"/>
        <v/>
      </c>
      <c r="J180" s="98" t="str">
        <f t="shared" si="29"/>
        <v/>
      </c>
      <c r="K180" s="98" t="str">
        <f>IF(B180="","",'32_Oportunidades'!M180)</f>
        <v/>
      </c>
    </row>
    <row r="181" spans="1:11">
      <c r="A181" s="122" t="str">
        <f ca="1">IF('32_Oportunidades'!A181="","",TODAY())</f>
        <v/>
      </c>
      <c r="B181" s="98" t="str">
        <f>IF('32_Oportunidades'!A181="","",'32_Oportunidades'!A181)</f>
        <v/>
      </c>
      <c r="C181" s="98" t="str">
        <f t="shared" si="25"/>
        <v/>
      </c>
      <c r="D181" s="98" t="str">
        <f t="shared" si="26"/>
        <v/>
      </c>
      <c r="E181" s="98" t="str">
        <f>IF(B181="","",'32_Oportunidades'!E181)</f>
        <v/>
      </c>
      <c r="F181" s="98" t="str">
        <f>IF(B181="","",'32_Oportunidades'!G181)</f>
        <v/>
      </c>
      <c r="G181" s="98" t="str">
        <f t="shared" si="27"/>
        <v/>
      </c>
      <c r="H181" s="122" t="str">
        <f>IF(B181="","",'32_Oportunidades'!F181)</f>
        <v/>
      </c>
      <c r="I181" s="98" t="str">
        <f t="shared" si="28"/>
        <v/>
      </c>
      <c r="J181" s="98" t="str">
        <f t="shared" si="29"/>
        <v/>
      </c>
      <c r="K181" s="98" t="str">
        <f>IF(B181="","",'32_Oportunidades'!M181)</f>
        <v/>
      </c>
    </row>
    <row r="182" spans="1:11">
      <c r="A182" s="122" t="str">
        <f ca="1">IF('32_Oportunidades'!A182="","",TODAY())</f>
        <v/>
      </c>
      <c r="B182" s="98" t="str">
        <f>IF('32_Oportunidades'!A182="","",'32_Oportunidades'!A182)</f>
        <v/>
      </c>
      <c r="C182" s="98" t="str">
        <f t="shared" si="25"/>
        <v/>
      </c>
      <c r="D182" s="98" t="str">
        <f t="shared" si="26"/>
        <v/>
      </c>
      <c r="E182" s="98" t="str">
        <f>IF(B182="","",'32_Oportunidades'!E182)</f>
        <v/>
      </c>
      <c r="F182" s="98" t="str">
        <f>IF(B182="","",'32_Oportunidades'!G182)</f>
        <v/>
      </c>
      <c r="G182" s="98" t="str">
        <f t="shared" si="27"/>
        <v/>
      </c>
      <c r="H182" s="122" t="str">
        <f>IF(B182="","",'32_Oportunidades'!F182)</f>
        <v/>
      </c>
      <c r="I182" s="98" t="str">
        <f t="shared" si="28"/>
        <v/>
      </c>
      <c r="J182" s="98" t="str">
        <f t="shared" si="29"/>
        <v/>
      </c>
      <c r="K182" s="98" t="str">
        <f>IF(B182="","",'32_Oportunidades'!M182)</f>
        <v/>
      </c>
    </row>
    <row r="183" spans="1:11">
      <c r="A183" s="122" t="str">
        <f ca="1">IF('32_Oportunidades'!A183="","",TODAY())</f>
        <v/>
      </c>
      <c r="B183" s="98" t="str">
        <f>IF('32_Oportunidades'!A183="","",'32_Oportunidades'!A183)</f>
        <v/>
      </c>
      <c r="C183" s="98" t="str">
        <f t="shared" si="25"/>
        <v/>
      </c>
      <c r="D183" s="98" t="str">
        <f t="shared" si="26"/>
        <v/>
      </c>
      <c r="E183" s="98" t="str">
        <f>IF(B183="","",'32_Oportunidades'!E183)</f>
        <v/>
      </c>
      <c r="F183" s="98" t="str">
        <f>IF(B183="","",'32_Oportunidades'!G183)</f>
        <v/>
      </c>
      <c r="G183" s="98" t="str">
        <f t="shared" si="27"/>
        <v/>
      </c>
      <c r="H183" s="122" t="str">
        <f>IF(B183="","",'32_Oportunidades'!F183)</f>
        <v/>
      </c>
      <c r="I183" s="98" t="str">
        <f t="shared" si="28"/>
        <v/>
      </c>
      <c r="J183" s="98" t="str">
        <f t="shared" si="29"/>
        <v/>
      </c>
      <c r="K183" s="98" t="str">
        <f>IF(B183="","",'32_Oportunidades'!M183)</f>
        <v/>
      </c>
    </row>
    <row r="184" spans="1:11">
      <c r="A184" s="122" t="str">
        <f ca="1">IF('32_Oportunidades'!A184="","",TODAY())</f>
        <v/>
      </c>
      <c r="B184" s="98" t="str">
        <f>IF('32_Oportunidades'!A184="","",'32_Oportunidades'!A184)</f>
        <v/>
      </c>
      <c r="C184" s="98" t="str">
        <f t="shared" si="25"/>
        <v/>
      </c>
      <c r="D184" s="98" t="str">
        <f t="shared" si="26"/>
        <v/>
      </c>
      <c r="E184" s="98" t="str">
        <f>IF(B184="","",'32_Oportunidades'!E184)</f>
        <v/>
      </c>
      <c r="F184" s="98" t="str">
        <f>IF(B184="","",'32_Oportunidades'!G184)</f>
        <v/>
      </c>
      <c r="G184" s="98" t="str">
        <f t="shared" si="27"/>
        <v/>
      </c>
      <c r="H184" s="122" t="str">
        <f>IF(B184="","",'32_Oportunidades'!F184)</f>
        <v/>
      </c>
      <c r="I184" s="98" t="str">
        <f t="shared" si="28"/>
        <v/>
      </c>
      <c r="J184" s="98" t="str">
        <f t="shared" si="29"/>
        <v/>
      </c>
      <c r="K184" s="98" t="str">
        <f>IF(B184="","",'32_Oportunidades'!M184)</f>
        <v/>
      </c>
    </row>
    <row r="185" spans="1:11">
      <c r="A185" s="122" t="str">
        <f ca="1">IF('32_Oportunidades'!A185="","",TODAY())</f>
        <v/>
      </c>
      <c r="B185" s="98" t="str">
        <f>IF('32_Oportunidades'!A185="","",'32_Oportunidades'!A185)</f>
        <v/>
      </c>
      <c r="C185" s="98" t="str">
        <f t="shared" si="25"/>
        <v/>
      </c>
      <c r="D185" s="98" t="str">
        <f t="shared" si="26"/>
        <v/>
      </c>
      <c r="E185" s="98" t="str">
        <f>IF(B185="","",'32_Oportunidades'!E185)</f>
        <v/>
      </c>
      <c r="F185" s="98" t="str">
        <f>IF(B185="","",'32_Oportunidades'!G185)</f>
        <v/>
      </c>
      <c r="G185" s="98" t="str">
        <f t="shared" si="27"/>
        <v/>
      </c>
      <c r="H185" s="122" t="str">
        <f>IF(B185="","",'32_Oportunidades'!F185)</f>
        <v/>
      </c>
      <c r="I185" s="98" t="str">
        <f t="shared" si="28"/>
        <v/>
      </c>
      <c r="J185" s="98" t="str">
        <f t="shared" si="29"/>
        <v/>
      </c>
      <c r="K185" s="98" t="str">
        <f>IF(B185="","",'32_Oportunidades'!M185)</f>
        <v/>
      </c>
    </row>
    <row r="186" spans="1:11">
      <c r="A186" s="122" t="str">
        <f ca="1">IF('32_Oportunidades'!A186="","",TODAY())</f>
        <v/>
      </c>
      <c r="B186" s="98" t="str">
        <f>IF('32_Oportunidades'!A186="","",'32_Oportunidades'!A186)</f>
        <v/>
      </c>
      <c r="C186" s="98" t="str">
        <f t="shared" si="25"/>
        <v/>
      </c>
      <c r="D186" s="98" t="str">
        <f t="shared" si="26"/>
        <v/>
      </c>
      <c r="E186" s="98" t="str">
        <f>IF(B186="","",'32_Oportunidades'!E186)</f>
        <v/>
      </c>
      <c r="F186" s="98" t="str">
        <f>IF(B186="","",'32_Oportunidades'!G186)</f>
        <v/>
      </c>
      <c r="G186" s="98" t="str">
        <f t="shared" si="27"/>
        <v/>
      </c>
      <c r="H186" s="122" t="str">
        <f>IF(B186="","",'32_Oportunidades'!F186)</f>
        <v/>
      </c>
      <c r="I186" s="98" t="str">
        <f t="shared" si="28"/>
        <v/>
      </c>
      <c r="J186" s="98" t="str">
        <f t="shared" si="29"/>
        <v/>
      </c>
      <c r="K186" s="98" t="str">
        <f>IF(B186="","",'32_Oportunidades'!M186)</f>
        <v/>
      </c>
    </row>
    <row r="187" spans="1:11">
      <c r="A187" s="122" t="str">
        <f ca="1">IF('32_Oportunidades'!A187="","",TODAY())</f>
        <v/>
      </c>
      <c r="B187" s="98" t="str">
        <f>IF('32_Oportunidades'!A187="","",'32_Oportunidades'!A187)</f>
        <v/>
      </c>
      <c r="C187" s="98" t="str">
        <f t="shared" si="25"/>
        <v/>
      </c>
      <c r="D187" s="98" t="str">
        <f t="shared" si="26"/>
        <v/>
      </c>
      <c r="E187" s="98" t="str">
        <f>IF(B187="","",'32_Oportunidades'!E187)</f>
        <v/>
      </c>
      <c r="F187" s="98" t="str">
        <f>IF(B187="","",'32_Oportunidades'!G187)</f>
        <v/>
      </c>
      <c r="G187" s="98" t="str">
        <f t="shared" si="27"/>
        <v/>
      </c>
      <c r="H187" s="122" t="str">
        <f>IF(B187="","",'32_Oportunidades'!F187)</f>
        <v/>
      </c>
      <c r="I187" s="98" t="str">
        <f t="shared" si="28"/>
        <v/>
      </c>
      <c r="J187" s="98" t="str">
        <f t="shared" si="29"/>
        <v/>
      </c>
      <c r="K187" s="98" t="str">
        <f>IF(B187="","",'32_Oportunidades'!M187)</f>
        <v/>
      </c>
    </row>
    <row r="188" spans="1:11">
      <c r="A188" s="122" t="str">
        <f ca="1">IF('32_Oportunidades'!A188="","",TODAY())</f>
        <v/>
      </c>
      <c r="B188" s="98" t="str">
        <f>IF('32_Oportunidades'!A188="","",'32_Oportunidades'!A188)</f>
        <v/>
      </c>
      <c r="C188" s="98" t="str">
        <f t="shared" si="25"/>
        <v/>
      </c>
      <c r="D188" s="98" t="str">
        <f t="shared" si="26"/>
        <v/>
      </c>
      <c r="E188" s="98" t="str">
        <f>IF(B188="","",'32_Oportunidades'!E188)</f>
        <v/>
      </c>
      <c r="F188" s="98" t="str">
        <f>IF(B188="","",'32_Oportunidades'!G188)</f>
        <v/>
      </c>
      <c r="G188" s="98" t="str">
        <f t="shared" si="27"/>
        <v/>
      </c>
      <c r="H188" s="122" t="str">
        <f>IF(B188="","",'32_Oportunidades'!F188)</f>
        <v/>
      </c>
      <c r="I188" s="98" t="str">
        <f t="shared" si="28"/>
        <v/>
      </c>
      <c r="J188" s="98" t="str">
        <f t="shared" si="29"/>
        <v/>
      </c>
      <c r="K188" s="98" t="str">
        <f>IF(B188="","",'32_Oportunidades'!M188)</f>
        <v/>
      </c>
    </row>
    <row r="189" spans="1:11">
      <c r="A189" s="122" t="str">
        <f ca="1">IF('32_Oportunidades'!A189="","",TODAY())</f>
        <v/>
      </c>
      <c r="B189" s="98" t="str">
        <f>IF('32_Oportunidades'!A189="","",'32_Oportunidades'!A189)</f>
        <v/>
      </c>
      <c r="C189" s="98" t="str">
        <f t="shared" si="25"/>
        <v/>
      </c>
      <c r="D189" s="98" t="str">
        <f t="shared" si="26"/>
        <v/>
      </c>
      <c r="E189" s="98" t="str">
        <f>IF(B189="","",'32_Oportunidades'!E189)</f>
        <v/>
      </c>
      <c r="F189" s="98" t="str">
        <f>IF(B189="","",'32_Oportunidades'!G189)</f>
        <v/>
      </c>
      <c r="G189" s="98" t="str">
        <f t="shared" si="27"/>
        <v/>
      </c>
      <c r="H189" s="122" t="str">
        <f>IF(B189="","",'32_Oportunidades'!F189)</f>
        <v/>
      </c>
      <c r="I189" s="98" t="str">
        <f t="shared" si="28"/>
        <v/>
      </c>
      <c r="J189" s="98" t="str">
        <f t="shared" si="29"/>
        <v/>
      </c>
      <c r="K189" s="98" t="str">
        <f>IF(B189="","",'32_Oportunidades'!M189)</f>
        <v/>
      </c>
    </row>
    <row r="190" spans="1:11">
      <c r="A190" s="122" t="str">
        <f ca="1">IF('32_Oportunidades'!A190="","",TODAY())</f>
        <v/>
      </c>
      <c r="B190" s="98" t="str">
        <f>IF('32_Oportunidades'!A190="","",'32_Oportunidades'!A190)</f>
        <v/>
      </c>
      <c r="C190" s="98" t="str">
        <f t="shared" si="25"/>
        <v/>
      </c>
      <c r="D190" s="98" t="str">
        <f t="shared" si="26"/>
        <v/>
      </c>
      <c r="E190" s="98" t="str">
        <f>IF(B190="","",'32_Oportunidades'!E190)</f>
        <v/>
      </c>
      <c r="F190" s="98" t="str">
        <f>IF(B190="","",'32_Oportunidades'!G190)</f>
        <v/>
      </c>
      <c r="G190" s="98" t="str">
        <f t="shared" si="27"/>
        <v/>
      </c>
      <c r="H190" s="122" t="str">
        <f>IF(B190="","",'32_Oportunidades'!F190)</f>
        <v/>
      </c>
      <c r="I190" s="98" t="str">
        <f t="shared" si="28"/>
        <v/>
      </c>
      <c r="J190" s="98" t="str">
        <f t="shared" si="29"/>
        <v/>
      </c>
      <c r="K190" s="98" t="str">
        <f>IF(B190="","",'32_Oportunidades'!M190)</f>
        <v/>
      </c>
    </row>
    <row r="191" spans="1:11">
      <c r="A191" s="122" t="str">
        <f ca="1">IF('32_Oportunidades'!A191="","",TODAY())</f>
        <v/>
      </c>
      <c r="B191" s="98" t="str">
        <f>IF('32_Oportunidades'!A191="","",'32_Oportunidades'!A191)</f>
        <v/>
      </c>
      <c r="C191" s="98" t="str">
        <f t="shared" si="25"/>
        <v/>
      </c>
      <c r="D191" s="98" t="str">
        <f t="shared" si="26"/>
        <v/>
      </c>
      <c r="E191" s="98" t="str">
        <f>IF(B191="","",'32_Oportunidades'!E191)</f>
        <v/>
      </c>
      <c r="F191" s="98" t="str">
        <f>IF(B191="","",'32_Oportunidades'!G191)</f>
        <v/>
      </c>
      <c r="G191" s="98" t="str">
        <f t="shared" si="27"/>
        <v/>
      </c>
      <c r="H191" s="122" t="str">
        <f>IF(B191="","",'32_Oportunidades'!F191)</f>
        <v/>
      </c>
      <c r="I191" s="98" t="str">
        <f t="shared" si="28"/>
        <v/>
      </c>
      <c r="J191" s="98" t="str">
        <f t="shared" si="29"/>
        <v/>
      </c>
      <c r="K191" s="98" t="str">
        <f>IF(B191="","",'32_Oportunidades'!M191)</f>
        <v/>
      </c>
    </row>
    <row r="192" spans="1:11">
      <c r="A192" s="122" t="str">
        <f ca="1">IF('32_Oportunidades'!A192="","",TODAY())</f>
        <v/>
      </c>
      <c r="B192" s="98" t="str">
        <f>IF('32_Oportunidades'!A192="","",'32_Oportunidades'!A192)</f>
        <v/>
      </c>
      <c r="C192" s="98" t="str">
        <f t="shared" si="25"/>
        <v/>
      </c>
      <c r="D192" s="98" t="str">
        <f t="shared" si="26"/>
        <v/>
      </c>
      <c r="E192" s="98" t="str">
        <f>IF(B192="","",'32_Oportunidades'!E192)</f>
        <v/>
      </c>
      <c r="F192" s="98" t="str">
        <f>IF(B192="","",'32_Oportunidades'!G192)</f>
        <v/>
      </c>
      <c r="G192" s="98" t="str">
        <f t="shared" si="27"/>
        <v/>
      </c>
      <c r="H192" s="122" t="str">
        <f>IF(B192="","",'32_Oportunidades'!F192)</f>
        <v/>
      </c>
      <c r="I192" s="98" t="str">
        <f t="shared" si="28"/>
        <v/>
      </c>
      <c r="J192" s="98" t="str">
        <f t="shared" si="29"/>
        <v/>
      </c>
      <c r="K192" s="98" t="str">
        <f>IF(B192="","",'32_Oportunidades'!M192)</f>
        <v/>
      </c>
    </row>
    <row r="193" spans="1:11">
      <c r="A193" s="122" t="str">
        <f ca="1">IF('32_Oportunidades'!A193="","",TODAY())</f>
        <v/>
      </c>
      <c r="B193" s="98" t="str">
        <f>IF('32_Oportunidades'!A193="","",'32_Oportunidades'!A193)</f>
        <v/>
      </c>
      <c r="C193" s="98" t="str">
        <f t="shared" si="25"/>
        <v/>
      </c>
      <c r="D193" s="98" t="str">
        <f t="shared" si="26"/>
        <v/>
      </c>
      <c r="E193" s="98" t="str">
        <f>IF(B193="","",'32_Oportunidades'!E193)</f>
        <v/>
      </c>
      <c r="F193" s="98" t="str">
        <f>IF(B193="","",'32_Oportunidades'!G193)</f>
        <v/>
      </c>
      <c r="G193" s="98" t="str">
        <f t="shared" si="27"/>
        <v/>
      </c>
      <c r="H193" s="122" t="str">
        <f>IF(B193="","",'32_Oportunidades'!F193)</f>
        <v/>
      </c>
      <c r="I193" s="98" t="str">
        <f t="shared" si="28"/>
        <v/>
      </c>
      <c r="J193" s="98" t="str">
        <f t="shared" si="29"/>
        <v/>
      </c>
      <c r="K193" s="98" t="str">
        <f>IF(B193="","",'32_Oportunidades'!M193)</f>
        <v/>
      </c>
    </row>
    <row r="194" spans="1:11">
      <c r="A194" s="122" t="str">
        <f ca="1">IF('32_Oportunidades'!A194="","",TODAY())</f>
        <v/>
      </c>
      <c r="B194" s="98" t="str">
        <f>IF('32_Oportunidades'!A194="","",'32_Oportunidades'!A194)</f>
        <v/>
      </c>
      <c r="C194" s="98" t="str">
        <f t="shared" si="25"/>
        <v/>
      </c>
      <c r="D194" s="98" t="str">
        <f t="shared" si="26"/>
        <v/>
      </c>
      <c r="E194" s="98" t="str">
        <f>IF(B194="","",'32_Oportunidades'!E194)</f>
        <v/>
      </c>
      <c r="F194" s="98" t="str">
        <f>IF(B194="","",'32_Oportunidades'!G194)</f>
        <v/>
      </c>
      <c r="G194" s="98" t="str">
        <f t="shared" si="27"/>
        <v/>
      </c>
      <c r="H194" s="122" t="str">
        <f>IF(B194="","",'32_Oportunidades'!F194)</f>
        <v/>
      </c>
      <c r="I194" s="98" t="str">
        <f t="shared" si="28"/>
        <v/>
      </c>
      <c r="J194" s="98" t="str">
        <f t="shared" si="29"/>
        <v/>
      </c>
      <c r="K194" s="98" t="str">
        <f>IF(B194="","",'32_Oportunidades'!M194)</f>
        <v/>
      </c>
    </row>
    <row r="195" spans="1:11">
      <c r="A195" s="122" t="str">
        <f ca="1">IF('32_Oportunidades'!A195="","",TODAY())</f>
        <v/>
      </c>
      <c r="B195" s="98" t="str">
        <f>IF('32_Oportunidades'!A195="","",'32_Oportunidades'!A195)</f>
        <v/>
      </c>
      <c r="C195" s="98" t="str">
        <f t="shared" si="25"/>
        <v/>
      </c>
      <c r="D195" s="98" t="str">
        <f t="shared" si="26"/>
        <v/>
      </c>
      <c r="E195" s="98" t="str">
        <f>IF(B195="","",'32_Oportunidades'!E195)</f>
        <v/>
      </c>
      <c r="F195" s="98" t="str">
        <f>IF(B195="","",'32_Oportunidades'!G195)</f>
        <v/>
      </c>
      <c r="G195" s="98" t="str">
        <f t="shared" si="27"/>
        <v/>
      </c>
      <c r="H195" s="122" t="str">
        <f>IF(B195="","",'32_Oportunidades'!F195)</f>
        <v/>
      </c>
      <c r="I195" s="98" t="str">
        <f t="shared" si="28"/>
        <v/>
      </c>
      <c r="J195" s="98" t="str">
        <f t="shared" si="29"/>
        <v/>
      </c>
      <c r="K195" s="98" t="str">
        <f>IF(B195="","",'32_Oportunidades'!M195)</f>
        <v/>
      </c>
    </row>
    <row r="196" spans="1:11">
      <c r="A196" s="122" t="str">
        <f ca="1">IF('32_Oportunidades'!A196="","",TODAY())</f>
        <v/>
      </c>
      <c r="B196" s="98" t="str">
        <f>IF('32_Oportunidades'!A196="","",'32_Oportunidades'!A196)</f>
        <v/>
      </c>
      <c r="C196" s="98" t="str">
        <f t="shared" si="25"/>
        <v/>
      </c>
      <c r="D196" s="98" t="str">
        <f t="shared" si="26"/>
        <v/>
      </c>
      <c r="E196" s="98" t="str">
        <f>IF(B196="","",'32_Oportunidades'!E196)</f>
        <v/>
      </c>
      <c r="F196" s="98" t="str">
        <f>IF(B196="","",'32_Oportunidades'!G196)</f>
        <v/>
      </c>
      <c r="G196" s="98" t="str">
        <f t="shared" si="27"/>
        <v/>
      </c>
      <c r="H196" s="122" t="str">
        <f>IF(B196="","",'32_Oportunidades'!F196)</f>
        <v/>
      </c>
      <c r="I196" s="98" t="str">
        <f t="shared" si="28"/>
        <v/>
      </c>
      <c r="J196" s="98" t="str">
        <f t="shared" si="29"/>
        <v/>
      </c>
      <c r="K196" s="98" t="str">
        <f>IF(B196="","",'32_Oportunidades'!M196)</f>
        <v/>
      </c>
    </row>
    <row r="197" spans="1:11">
      <c r="A197" s="122" t="str">
        <f ca="1">IF('32_Oportunidades'!A197="","",TODAY())</f>
        <v/>
      </c>
      <c r="B197" s="98" t="str">
        <f>IF('32_Oportunidades'!A197="","",'32_Oportunidades'!A197)</f>
        <v/>
      </c>
      <c r="C197" s="98" t="str">
        <f t="shared" ref="C197:C204" si="30">IF(B197="","","Seguimiento estratégico")</f>
        <v/>
      </c>
      <c r="D197" s="98" t="str">
        <f t="shared" ref="D197:D204" si="31">IF(B197="","","Pendiente")</f>
        <v/>
      </c>
      <c r="E197" s="98" t="str">
        <f>IF(B197="","",'32_Oportunidades'!E197)</f>
        <v/>
      </c>
      <c r="F197" s="98" t="str">
        <f>IF(B197="","",'32_Oportunidades'!G197)</f>
        <v/>
      </c>
      <c r="G197" s="98" t="str">
        <f t="shared" ref="G197:G204" si="32">IF(B197="","","🟡 En proceso")</f>
        <v/>
      </c>
      <c r="H197" s="122" t="str">
        <f>IF(B197="","",'32_Oportunidades'!F197)</f>
        <v/>
      </c>
      <c r="I197" s="98" t="str">
        <f t="shared" ref="I197:I204" si="33">IF(B197="","","LinkedIn / Web / WhatsApp / Email")</f>
        <v/>
      </c>
      <c r="J197" s="98" t="str">
        <f t="shared" ref="J197:J204" si="34">IF(B197="","","Validar empresa y definir si pasa a CRM activo")</f>
        <v/>
      </c>
      <c r="K197" s="98" t="str">
        <f>IF(B197="","",'32_Oportunidades'!M197)</f>
        <v/>
      </c>
    </row>
    <row r="198" spans="1:11">
      <c r="A198" s="122" t="str">
        <f ca="1">IF('32_Oportunidades'!A198="","",TODAY())</f>
        <v/>
      </c>
      <c r="B198" s="98" t="str">
        <f>IF('32_Oportunidades'!A198="","",'32_Oportunidades'!A198)</f>
        <v/>
      </c>
      <c r="C198" s="98" t="str">
        <f t="shared" si="30"/>
        <v/>
      </c>
      <c r="D198" s="98" t="str">
        <f t="shared" si="31"/>
        <v/>
      </c>
      <c r="E198" s="98" t="str">
        <f>IF(B198="","",'32_Oportunidades'!E198)</f>
        <v/>
      </c>
      <c r="F198" s="98" t="str">
        <f>IF(B198="","",'32_Oportunidades'!G198)</f>
        <v/>
      </c>
      <c r="G198" s="98" t="str">
        <f t="shared" si="32"/>
        <v/>
      </c>
      <c r="H198" s="122" t="str">
        <f>IF(B198="","",'32_Oportunidades'!F198)</f>
        <v/>
      </c>
      <c r="I198" s="98" t="str">
        <f t="shared" si="33"/>
        <v/>
      </c>
      <c r="J198" s="98" t="str">
        <f t="shared" si="34"/>
        <v/>
      </c>
      <c r="K198" s="98" t="str">
        <f>IF(B198="","",'32_Oportunidades'!M198)</f>
        <v/>
      </c>
    </row>
    <row r="199" spans="1:11">
      <c r="A199" s="122" t="str">
        <f ca="1">IF('32_Oportunidades'!A199="","",TODAY())</f>
        <v/>
      </c>
      <c r="B199" s="98" t="str">
        <f>IF('32_Oportunidades'!A199="","",'32_Oportunidades'!A199)</f>
        <v/>
      </c>
      <c r="C199" s="98" t="str">
        <f t="shared" si="30"/>
        <v/>
      </c>
      <c r="D199" s="98" t="str">
        <f t="shared" si="31"/>
        <v/>
      </c>
      <c r="E199" s="98" t="str">
        <f>IF(B199="","",'32_Oportunidades'!E199)</f>
        <v/>
      </c>
      <c r="F199" s="98" t="str">
        <f>IF(B199="","",'32_Oportunidades'!G199)</f>
        <v/>
      </c>
      <c r="G199" s="98" t="str">
        <f t="shared" si="32"/>
        <v/>
      </c>
      <c r="H199" s="122" t="str">
        <f>IF(B199="","",'32_Oportunidades'!F199)</f>
        <v/>
      </c>
      <c r="I199" s="98" t="str">
        <f t="shared" si="33"/>
        <v/>
      </c>
      <c r="J199" s="98" t="str">
        <f t="shared" si="34"/>
        <v/>
      </c>
      <c r="K199" s="98" t="str">
        <f>IF(B199="","",'32_Oportunidades'!M199)</f>
        <v/>
      </c>
    </row>
    <row r="200" spans="1:11">
      <c r="A200" s="122" t="str">
        <f ca="1">IF('32_Oportunidades'!A200="","",TODAY())</f>
        <v/>
      </c>
      <c r="B200" s="98" t="str">
        <f>IF('32_Oportunidades'!A200="","",'32_Oportunidades'!A200)</f>
        <v/>
      </c>
      <c r="C200" s="98" t="str">
        <f t="shared" si="30"/>
        <v/>
      </c>
      <c r="D200" s="98" t="str">
        <f t="shared" si="31"/>
        <v/>
      </c>
      <c r="E200" s="98" t="str">
        <f>IF(B200="","",'32_Oportunidades'!E200)</f>
        <v/>
      </c>
      <c r="F200" s="98" t="str">
        <f>IF(B200="","",'32_Oportunidades'!G200)</f>
        <v/>
      </c>
      <c r="G200" s="98" t="str">
        <f t="shared" si="32"/>
        <v/>
      </c>
      <c r="H200" s="122" t="str">
        <f>IF(B200="","",'32_Oportunidades'!F200)</f>
        <v/>
      </c>
      <c r="I200" s="98" t="str">
        <f t="shared" si="33"/>
        <v/>
      </c>
      <c r="J200" s="98" t="str">
        <f t="shared" si="34"/>
        <v/>
      </c>
      <c r="K200" s="98" t="str">
        <f>IF(B200="","",'32_Oportunidades'!M200)</f>
        <v/>
      </c>
    </row>
    <row r="201" spans="1:11">
      <c r="A201" s="122" t="str">
        <f ca="1">IF('32_Oportunidades'!A201="","",TODAY())</f>
        <v/>
      </c>
      <c r="B201" s="98" t="str">
        <f>IF('32_Oportunidades'!A201="","",'32_Oportunidades'!A201)</f>
        <v/>
      </c>
      <c r="C201" s="98" t="str">
        <f t="shared" si="30"/>
        <v/>
      </c>
      <c r="D201" s="98" t="str">
        <f t="shared" si="31"/>
        <v/>
      </c>
      <c r="E201" s="98" t="str">
        <f>IF(B201="","",'32_Oportunidades'!E201)</f>
        <v/>
      </c>
      <c r="F201" s="98" t="str">
        <f>IF(B201="","",'32_Oportunidades'!G201)</f>
        <v/>
      </c>
      <c r="G201" s="98" t="str">
        <f t="shared" si="32"/>
        <v/>
      </c>
      <c r="H201" s="122" t="str">
        <f>IF(B201="","",'32_Oportunidades'!F201)</f>
        <v/>
      </c>
      <c r="I201" s="98" t="str">
        <f t="shared" si="33"/>
        <v/>
      </c>
      <c r="J201" s="98" t="str">
        <f t="shared" si="34"/>
        <v/>
      </c>
      <c r="K201" s="98" t="str">
        <f>IF(B201="","",'32_Oportunidades'!M201)</f>
        <v/>
      </c>
    </row>
    <row r="202" spans="1:11">
      <c r="A202" s="122" t="str">
        <f ca="1">IF('32_Oportunidades'!A202="","",TODAY())</f>
        <v/>
      </c>
      <c r="B202" s="98" t="str">
        <f>IF('32_Oportunidades'!A202="","",'32_Oportunidades'!A202)</f>
        <v/>
      </c>
      <c r="C202" s="98" t="str">
        <f t="shared" si="30"/>
        <v/>
      </c>
      <c r="D202" s="98" t="str">
        <f t="shared" si="31"/>
        <v/>
      </c>
      <c r="E202" s="98" t="str">
        <f>IF(B202="","",'32_Oportunidades'!E202)</f>
        <v/>
      </c>
      <c r="F202" s="98" t="str">
        <f>IF(B202="","",'32_Oportunidades'!G202)</f>
        <v/>
      </c>
      <c r="G202" s="98" t="str">
        <f t="shared" si="32"/>
        <v/>
      </c>
      <c r="H202" s="122" t="str">
        <f>IF(B202="","",'32_Oportunidades'!F202)</f>
        <v/>
      </c>
      <c r="I202" s="98" t="str">
        <f t="shared" si="33"/>
        <v/>
      </c>
      <c r="J202" s="98" t="str">
        <f t="shared" si="34"/>
        <v/>
      </c>
      <c r="K202" s="98" t="str">
        <f>IF(B202="","",'32_Oportunidades'!M202)</f>
        <v/>
      </c>
    </row>
    <row r="203" spans="1:11">
      <c r="A203" s="122" t="str">
        <f ca="1">IF('32_Oportunidades'!A203="","",TODAY())</f>
        <v/>
      </c>
      <c r="B203" s="98" t="str">
        <f>IF('32_Oportunidades'!A203="","",'32_Oportunidades'!A203)</f>
        <v/>
      </c>
      <c r="C203" s="98" t="str">
        <f t="shared" si="30"/>
        <v/>
      </c>
      <c r="D203" s="98" t="str">
        <f t="shared" si="31"/>
        <v/>
      </c>
      <c r="E203" s="98" t="str">
        <f>IF(B203="","",'32_Oportunidades'!E203)</f>
        <v/>
      </c>
      <c r="F203" s="98" t="str">
        <f>IF(B203="","",'32_Oportunidades'!G203)</f>
        <v/>
      </c>
      <c r="G203" s="98" t="str">
        <f t="shared" si="32"/>
        <v/>
      </c>
      <c r="H203" s="122" t="str">
        <f>IF(B203="","",'32_Oportunidades'!F203)</f>
        <v/>
      </c>
      <c r="I203" s="98" t="str">
        <f t="shared" si="33"/>
        <v/>
      </c>
      <c r="J203" s="98" t="str">
        <f t="shared" si="34"/>
        <v/>
      </c>
      <c r="K203" s="98" t="str">
        <f>IF(B203="","",'32_Oportunidades'!M203)</f>
        <v/>
      </c>
    </row>
    <row r="204" spans="1:11">
      <c r="A204" s="122" t="str">
        <f ca="1">IF('32_Oportunidades'!A204="","",TODAY())</f>
        <v/>
      </c>
      <c r="B204" s="98" t="str">
        <f>IF('32_Oportunidades'!A204="","",'32_Oportunidades'!A204)</f>
        <v/>
      </c>
      <c r="C204" s="98" t="str">
        <f t="shared" si="30"/>
        <v/>
      </c>
      <c r="D204" s="98" t="str">
        <f t="shared" si="31"/>
        <v/>
      </c>
      <c r="E204" s="98" t="str">
        <f>IF(B204="","",'32_Oportunidades'!E204)</f>
        <v/>
      </c>
      <c r="F204" s="98" t="str">
        <f>IF(B204="","",'32_Oportunidades'!G204)</f>
        <v/>
      </c>
      <c r="G204" s="98" t="str">
        <f t="shared" si="32"/>
        <v/>
      </c>
      <c r="H204" s="122" t="str">
        <f>IF(B204="","",'32_Oportunidades'!F204)</f>
        <v/>
      </c>
      <c r="I204" s="98" t="str">
        <f t="shared" si="33"/>
        <v/>
      </c>
      <c r="J204" s="98" t="str">
        <f t="shared" si="34"/>
        <v/>
      </c>
      <c r="K204" s="98" t="str">
        <f>IF(B204="","",'32_Oportunidades'!M204)</f>
        <v/>
      </c>
    </row>
  </sheetData>
  <mergeCells count="2">
    <mergeCell ref="A2:H2"/>
    <mergeCell ref="A1:H1"/>
  </mergeCells>
  <conditionalFormatting sqref="G2:G50">
    <cfRule type="expression" dxfId="524" priority="1">
      <formula>ISNUMBER(SEARCH("Riesgo",G2))</formula>
    </cfRule>
    <cfRule type="expression" dxfId="523" priority="2">
      <formula>ISNUMBER(SEARCH("Crítico",G2))</formula>
    </cfRule>
    <cfRule type="expression" dxfId="522" priority="3">
      <formula>ISNUMBER(SEARCH("Pendiente",G2))</formula>
    </cfRule>
    <cfRule type="expression" dxfId="521" priority="4">
      <formula>ISNUMBER(SEARCH("En riesgo",G2))</formula>
    </cfRule>
    <cfRule type="expression" dxfId="520" priority="5">
      <formula>ISNUMBER(SEARCH("Atención",G2))</formula>
    </cfRule>
    <cfRule type="expression" dxfId="519" priority="6">
      <formula>ISNUMBER(SEARCH("En proceso",G2))</formula>
    </cfRule>
    <cfRule type="expression" dxfId="518" priority="7">
      <formula>ISNUMBER(SEARCH("Meta",G2))</formula>
    </cfRule>
    <cfRule type="expression" dxfId="517" priority="8">
      <formula>ISNUMBER(SEARCH("Cumple",G2))</formula>
    </cfRule>
    <cfRule type="expression" dxfId="516" priority="9">
      <formula>ISNUMBER(SEARCH("Cumplido",G2))</formula>
    </cfRule>
    <cfRule type="expression" dxfId="515" priority="10">
      <formula>ISNUMBER(SEARCH("Positivo",G2))</formula>
    </cfRule>
    <cfRule type="expression" dxfId="514" priority="11">
      <formula>ISNUMBER(SEARCH("Dominio",G2))</formula>
    </cfRule>
    <cfRule type="expression" dxfId="513" priority="12">
      <formula>ISNUMBER(SEARCH("Alto",G2))</formula>
    </cfRule>
    <cfRule type="expression" dxfId="512" priority="13">
      <formula>ISNUMBER(SEARCH("Superado",G2))</formula>
    </cfRule>
    <cfRule type="expression" dxfId="511" priority="14">
      <formula>ISNUMBER(SEARCH("Cuadrado",G2))</formula>
    </cfRule>
    <cfRule type="expression" dxfId="510" priority="15">
      <formula>ISNUMBER(SEARCH("Revisar",G2))</formula>
    </cfRule>
    <cfRule type="expression" dxfId="509" priority="16">
      <formula>ISNUMBER(SEARCH("Vacío",G2))</formula>
    </cfRule>
  </conditionalFormatting>
  <conditionalFormatting sqref="G5:G204">
    <cfRule type="expression" dxfId="508" priority="17">
      <formula>ISNUMBER(SEARCH("A - Inmediata",G5))</formula>
    </cfRule>
    <cfRule type="expression" dxfId="507" priority="18">
      <formula>ISNUMBER(SEARCH("B - Interesante",G5))</formula>
    </cfRule>
    <cfRule type="expression" dxfId="506" priority="19">
      <formula>ISNUMBER(SEARCH("C - Observar",G5))</formula>
    </cfRule>
    <cfRule type="expression" dxfId="505" priority="20">
      <formula>ISNUMBER(SEARCH("X - Descartar",G5))</formula>
    </cfRule>
    <cfRule type="expression" dxfId="504" priority="21">
      <formula>ISNUMBER(SEARCH("🔴",G5))</formula>
    </cfRule>
    <cfRule type="expression" dxfId="503" priority="22">
      <formula>ISNUMBER(SEARCH("🟡",G5))</formula>
    </cfRule>
    <cfRule type="expression" dxfId="502" priority="23">
      <formula>ISNUMBER(SEARCH("🟢",G5))</formula>
    </cfRule>
    <cfRule type="expression" dxfId="501" priority="24">
      <formula>ISNUMBER(SEARCH("🔵",G5))</formula>
    </cfRule>
    <cfRule type="expression" dxfId="500" priority="25">
      <formula>ISNUMBER(SEARCH("⭐",G5))</formula>
    </cfRule>
    <cfRule type="expression" dxfId="499" priority="26">
      <formula>ISNUMBER(SEARCH("Riesgo",G5))</formula>
    </cfRule>
    <cfRule type="expression" dxfId="498" priority="27">
      <formula>ISNUMBER(SEARCH("En proceso",G5))</formula>
    </cfRule>
    <cfRule type="expression" dxfId="497" priority="28">
      <formula>ISNUMBER(SEARCH("Cumplido",G5))</formula>
    </cfRule>
    <cfRule type="expression" dxfId="496" priority="29">
      <formula>ISNUMBER(SEARCH("Pendiente",G5))</formula>
    </cfRule>
    <cfRule type="expression" dxfId="495" priority="30">
      <formula>ISNUMBER(SEARCH("Descartar",G5))</formula>
    </cfRule>
    <cfRule type="expression" dxfId="494" priority="31">
      <formula>ISNUMBER(SEARCH("CRM",G5))</formula>
    </cfRule>
    <cfRule type="expression" dxfId="493" priority="32">
      <formula>ISNUMBER(SEARCH("Oportunidad",G5))</formula>
    </cfRule>
    <cfRule type="expression" dxfId="492" priority="33">
      <formula>ISNUMBER(SEARCH("Seguimiento",G5))</formula>
    </cfRule>
    <cfRule type="expression" dxfId="491" priority="34">
      <formula>ISNUMBER(SEARCH("Observar",G5))</formula>
    </cfRule>
  </conditionalFormatting>
  <dataValidations count="3">
    <dataValidation type="list" allowBlank="1" sqref="F5:F100" xr:uid="{00000000-0002-0000-4600-000000000000}">
      <formula1>"Baja,Media,Alta,Crítica"</formula1>
    </dataValidation>
    <dataValidation type="list" allowBlank="1" sqref="G5:G100" xr:uid="{00000000-0002-0000-4600-000001000000}">
      <formula1>"Pendiente,Realizado,Esperando respuesta,Reprogramar,Cerrar"</formula1>
    </dataValidation>
    <dataValidation type="list" allowBlank="1" sqref="I5:I100" xr:uid="{00000000-0002-0000-4600-000002000000}">
      <formula1>"LinkedIn,WhatsApp,Email,Llamada,Reunión,Otro"</formula1>
    </dataValidation>
  </dataValidation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C09000"/>
  </sheetPr>
  <dimension ref="A1:X202"/>
  <sheetViews>
    <sheetView showGridLines="0" workbookViewId="0"/>
  </sheetViews>
  <sheetFormatPr baseColWidth="10" defaultColWidth="8.7265625" defaultRowHeight="14.5"/>
  <cols>
    <col min="1" max="1" width="3.7265625" customWidth="1"/>
    <col min="2" max="2" width="10" customWidth="1"/>
    <col min="3" max="3" width="22.453125" customWidth="1"/>
    <col min="4" max="4" width="45" customWidth="1"/>
    <col min="5" max="5" width="10" customWidth="1"/>
    <col min="6" max="6" width="13" customWidth="1"/>
    <col min="7" max="7" width="17.26953125" customWidth="1"/>
    <col min="8" max="8" width="26.26953125" customWidth="1"/>
    <col min="9" max="9" width="56.26953125" customWidth="1"/>
    <col min="10" max="10" width="19" customWidth="1"/>
    <col min="11" max="11" width="17" customWidth="1"/>
    <col min="12" max="12" width="31.36328125" customWidth="1"/>
    <col min="13" max="13" width="25" customWidth="1"/>
    <col min="14" max="14" width="17" customWidth="1"/>
    <col min="15" max="15" width="26" customWidth="1"/>
    <col min="16" max="16" width="36.6328125" customWidth="1"/>
    <col min="17" max="17" width="19" customWidth="1"/>
    <col min="18" max="18" width="90" customWidth="1"/>
    <col min="19" max="19" width="29" customWidth="1"/>
    <col min="20" max="20" width="54.6328125" customWidth="1"/>
    <col min="21" max="21" width="23" customWidth="1"/>
    <col min="22" max="22" width="11.54296875" customWidth="1"/>
    <col min="23" max="23" width="80" customWidth="1"/>
    <col min="24" max="24" width="14" customWidth="1"/>
  </cols>
  <sheetData>
    <row r="1" spans="1:24">
      <c r="A1" s="427" t="s">
        <v>2895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</row>
    <row r="2" spans="1:24">
      <c r="A2" s="54" t="s">
        <v>73</v>
      </c>
      <c r="B2" s="54" t="s">
        <v>13</v>
      </c>
      <c r="C2" s="54" t="s">
        <v>2860</v>
      </c>
      <c r="D2" s="54" t="s">
        <v>1115</v>
      </c>
      <c r="E2" s="54" t="s">
        <v>2896</v>
      </c>
      <c r="F2" s="54" t="s">
        <v>2897</v>
      </c>
      <c r="G2" s="54" t="s">
        <v>2898</v>
      </c>
      <c r="H2" s="54" t="s">
        <v>2899</v>
      </c>
      <c r="I2" s="54" t="s">
        <v>2900</v>
      </c>
      <c r="J2" s="54" t="s">
        <v>2901</v>
      </c>
      <c r="K2" s="54" t="s">
        <v>2902</v>
      </c>
      <c r="L2" s="54" t="s">
        <v>2903</v>
      </c>
      <c r="M2" s="54" t="s">
        <v>2904</v>
      </c>
      <c r="N2" s="54" t="s">
        <v>2905</v>
      </c>
      <c r="O2" s="54" t="s">
        <v>2906</v>
      </c>
      <c r="P2" s="54" t="s">
        <v>2907</v>
      </c>
      <c r="Q2" s="54" t="s">
        <v>2908</v>
      </c>
      <c r="R2" s="54" t="s">
        <v>2909</v>
      </c>
      <c r="S2" s="54" t="s">
        <v>2910</v>
      </c>
      <c r="T2" s="54" t="s">
        <v>2911</v>
      </c>
      <c r="U2" s="54" t="s">
        <v>939</v>
      </c>
      <c r="V2" s="54" t="s">
        <v>1369</v>
      </c>
      <c r="W2" s="54" t="s">
        <v>1065</v>
      </c>
      <c r="X2" s="54" t="s">
        <v>2912</v>
      </c>
    </row>
    <row r="3" spans="1:24">
      <c r="A3">
        <v>1</v>
      </c>
      <c r="B3" s="67">
        <v>46154</v>
      </c>
      <c r="C3" s="17" t="s">
        <v>2913</v>
      </c>
      <c r="D3" t="str">
        <f t="shared" ref="D3:D34" si="0">IF(B3="","", "Semana "&amp;ROUNDUP(DAY(B3)/7,0))</f>
        <v>Semana 2</v>
      </c>
      <c r="E3" t="s">
        <v>1500</v>
      </c>
      <c r="F3" s="68" t="s">
        <v>2914</v>
      </c>
      <c r="G3" s="69" t="s">
        <v>2915</v>
      </c>
      <c r="H3" s="70" t="s">
        <v>2916</v>
      </c>
      <c r="I3" s="70" t="s">
        <v>2917</v>
      </c>
      <c r="J3" s="70" t="s">
        <v>2918</v>
      </c>
      <c r="K3" s="70" t="s">
        <v>2919</v>
      </c>
      <c r="L3" s="70" t="s">
        <v>2920</v>
      </c>
      <c r="M3" s="65">
        <v>180000000</v>
      </c>
      <c r="N3" t="s">
        <v>2921</v>
      </c>
      <c r="O3" t="s">
        <v>2922</v>
      </c>
      <c r="P3" t="s">
        <v>2923</v>
      </c>
      <c r="Q3" t="s">
        <v>2924</v>
      </c>
      <c r="R3" t="s">
        <v>2925</v>
      </c>
      <c r="S3" t="s">
        <v>2926</v>
      </c>
      <c r="T3" t="s">
        <v>2927</v>
      </c>
      <c r="U3" t="s">
        <v>2928</v>
      </c>
      <c r="V3" t="s">
        <v>2929</v>
      </c>
      <c r="W3" t="s">
        <v>2930</v>
      </c>
    </row>
    <row r="4" spans="1:24">
      <c r="A4" t="str">
        <f t="shared" ref="A4:A35" si="1">IF(C4="","",TEXT(ROW()-4,"000"))</f>
        <v/>
      </c>
      <c r="D4" t="str">
        <f t="shared" si="0"/>
        <v/>
      </c>
    </row>
    <row r="5" spans="1:24">
      <c r="A5" t="str">
        <f t="shared" si="1"/>
        <v/>
      </c>
      <c r="D5" t="str">
        <f t="shared" si="0"/>
        <v/>
      </c>
    </row>
    <row r="6" spans="1:24">
      <c r="A6" t="str">
        <f t="shared" si="1"/>
        <v/>
      </c>
      <c r="D6" t="str">
        <f t="shared" si="0"/>
        <v/>
      </c>
    </row>
    <row r="7" spans="1:24">
      <c r="A7" t="str">
        <f t="shared" si="1"/>
        <v/>
      </c>
      <c r="D7" t="str">
        <f t="shared" si="0"/>
        <v/>
      </c>
    </row>
    <row r="8" spans="1:24">
      <c r="A8" t="str">
        <f t="shared" si="1"/>
        <v/>
      </c>
      <c r="D8" t="str">
        <f t="shared" si="0"/>
        <v/>
      </c>
    </row>
    <row r="9" spans="1:24">
      <c r="A9" t="str">
        <f t="shared" si="1"/>
        <v/>
      </c>
      <c r="D9" t="str">
        <f t="shared" si="0"/>
        <v/>
      </c>
    </row>
    <row r="10" spans="1:24">
      <c r="A10" t="str">
        <f t="shared" si="1"/>
        <v/>
      </c>
      <c r="D10" t="str">
        <f t="shared" si="0"/>
        <v/>
      </c>
    </row>
    <row r="11" spans="1:24">
      <c r="A11" t="str">
        <f t="shared" si="1"/>
        <v/>
      </c>
      <c r="D11" t="str">
        <f t="shared" si="0"/>
        <v/>
      </c>
    </row>
    <row r="12" spans="1:24">
      <c r="A12" t="str">
        <f t="shared" si="1"/>
        <v/>
      </c>
      <c r="D12" t="str">
        <f t="shared" si="0"/>
        <v/>
      </c>
    </row>
    <row r="13" spans="1:24">
      <c r="A13" t="str">
        <f t="shared" si="1"/>
        <v/>
      </c>
      <c r="D13" t="str">
        <f t="shared" si="0"/>
        <v/>
      </c>
    </row>
    <row r="14" spans="1:24">
      <c r="A14" t="str">
        <f t="shared" si="1"/>
        <v/>
      </c>
      <c r="D14" t="str">
        <f t="shared" si="0"/>
        <v/>
      </c>
    </row>
    <row r="15" spans="1:24">
      <c r="A15" t="str">
        <f t="shared" si="1"/>
        <v/>
      </c>
      <c r="D15" t="str">
        <f t="shared" si="0"/>
        <v/>
      </c>
    </row>
    <row r="16" spans="1:24">
      <c r="A16" t="str">
        <f t="shared" si="1"/>
        <v/>
      </c>
      <c r="D16" t="str">
        <f t="shared" si="0"/>
        <v/>
      </c>
    </row>
    <row r="17" spans="1:4">
      <c r="A17" t="str">
        <f t="shared" si="1"/>
        <v/>
      </c>
      <c r="D17" t="str">
        <f t="shared" si="0"/>
        <v/>
      </c>
    </row>
    <row r="18" spans="1:4">
      <c r="A18" t="str">
        <f t="shared" si="1"/>
        <v/>
      </c>
      <c r="D18" t="str">
        <f t="shared" si="0"/>
        <v/>
      </c>
    </row>
    <row r="19" spans="1:4">
      <c r="A19" t="str">
        <f t="shared" si="1"/>
        <v/>
      </c>
      <c r="D19" t="str">
        <f t="shared" si="0"/>
        <v/>
      </c>
    </row>
    <row r="20" spans="1:4">
      <c r="A20" t="str">
        <f t="shared" si="1"/>
        <v/>
      </c>
      <c r="D20" t="str">
        <f t="shared" si="0"/>
        <v/>
      </c>
    </row>
    <row r="21" spans="1:4">
      <c r="A21" t="str">
        <f t="shared" si="1"/>
        <v/>
      </c>
      <c r="D21" t="str">
        <f t="shared" si="0"/>
        <v/>
      </c>
    </row>
    <row r="22" spans="1:4">
      <c r="A22" t="str">
        <f t="shared" si="1"/>
        <v/>
      </c>
      <c r="D22" t="str">
        <f t="shared" si="0"/>
        <v/>
      </c>
    </row>
    <row r="23" spans="1:4">
      <c r="A23" t="str">
        <f t="shared" si="1"/>
        <v/>
      </c>
      <c r="D23" t="str">
        <f t="shared" si="0"/>
        <v/>
      </c>
    </row>
    <row r="24" spans="1:4">
      <c r="A24" t="str">
        <f t="shared" si="1"/>
        <v/>
      </c>
      <c r="D24" t="str">
        <f t="shared" si="0"/>
        <v/>
      </c>
    </row>
    <row r="25" spans="1:4">
      <c r="A25" t="str">
        <f t="shared" si="1"/>
        <v/>
      </c>
      <c r="D25" t="str">
        <f t="shared" si="0"/>
        <v/>
      </c>
    </row>
    <row r="26" spans="1:4">
      <c r="A26" t="str">
        <f t="shared" si="1"/>
        <v/>
      </c>
      <c r="D26" t="str">
        <f t="shared" si="0"/>
        <v/>
      </c>
    </row>
    <row r="27" spans="1:4">
      <c r="A27" t="str">
        <f t="shared" si="1"/>
        <v/>
      </c>
      <c r="D27" t="str">
        <f t="shared" si="0"/>
        <v/>
      </c>
    </row>
    <row r="28" spans="1:4">
      <c r="A28" t="str">
        <f t="shared" si="1"/>
        <v/>
      </c>
      <c r="D28" t="str">
        <f t="shared" si="0"/>
        <v/>
      </c>
    </row>
    <row r="29" spans="1:4">
      <c r="A29" t="str">
        <f t="shared" si="1"/>
        <v/>
      </c>
      <c r="D29" t="str">
        <f t="shared" si="0"/>
        <v/>
      </c>
    </row>
    <row r="30" spans="1:4">
      <c r="A30" t="str">
        <f t="shared" si="1"/>
        <v/>
      </c>
      <c r="D30" t="str">
        <f t="shared" si="0"/>
        <v/>
      </c>
    </row>
    <row r="31" spans="1:4">
      <c r="A31" t="str">
        <f t="shared" si="1"/>
        <v/>
      </c>
      <c r="D31" t="str">
        <f t="shared" si="0"/>
        <v/>
      </c>
    </row>
    <row r="32" spans="1:4">
      <c r="A32" t="str">
        <f t="shared" si="1"/>
        <v/>
      </c>
      <c r="D32" t="str">
        <f t="shared" si="0"/>
        <v/>
      </c>
    </row>
    <row r="33" spans="1:4">
      <c r="A33" t="str">
        <f t="shared" si="1"/>
        <v/>
      </c>
      <c r="D33" t="str">
        <f t="shared" si="0"/>
        <v/>
      </c>
    </row>
    <row r="34" spans="1:4">
      <c r="A34" t="str">
        <f t="shared" si="1"/>
        <v/>
      </c>
      <c r="D34" t="str">
        <f t="shared" si="0"/>
        <v/>
      </c>
    </row>
    <row r="35" spans="1:4">
      <c r="A35" t="str">
        <f t="shared" si="1"/>
        <v/>
      </c>
      <c r="D35" t="str">
        <f t="shared" ref="D35:D66" si="2">IF(B35="","", "Semana "&amp;ROUNDUP(DAY(B35)/7,0))</f>
        <v/>
      </c>
    </row>
    <row r="36" spans="1:4">
      <c r="A36" t="str">
        <f t="shared" ref="A36:A67" si="3">IF(C36="","",TEXT(ROW()-4,"000"))</f>
        <v/>
      </c>
      <c r="D36" t="str">
        <f t="shared" si="2"/>
        <v/>
      </c>
    </row>
    <row r="37" spans="1:4">
      <c r="A37" t="str">
        <f t="shared" si="3"/>
        <v/>
      </c>
      <c r="D37" t="str">
        <f t="shared" si="2"/>
        <v/>
      </c>
    </row>
    <row r="38" spans="1:4">
      <c r="A38" t="str">
        <f t="shared" si="3"/>
        <v/>
      </c>
      <c r="D38" t="str">
        <f t="shared" si="2"/>
        <v/>
      </c>
    </row>
    <row r="39" spans="1:4">
      <c r="A39" t="str">
        <f t="shared" si="3"/>
        <v/>
      </c>
      <c r="D39" t="str">
        <f t="shared" si="2"/>
        <v/>
      </c>
    </row>
    <row r="40" spans="1:4">
      <c r="A40" t="str">
        <f t="shared" si="3"/>
        <v/>
      </c>
      <c r="D40" t="str">
        <f t="shared" si="2"/>
        <v/>
      </c>
    </row>
    <row r="41" spans="1:4">
      <c r="A41" t="str">
        <f t="shared" si="3"/>
        <v/>
      </c>
      <c r="D41" t="str">
        <f t="shared" si="2"/>
        <v/>
      </c>
    </row>
    <row r="42" spans="1:4">
      <c r="A42" t="str">
        <f t="shared" si="3"/>
        <v/>
      </c>
      <c r="D42" t="str">
        <f t="shared" si="2"/>
        <v/>
      </c>
    </row>
    <row r="43" spans="1:4">
      <c r="A43" t="str">
        <f t="shared" si="3"/>
        <v/>
      </c>
      <c r="D43" t="str">
        <f t="shared" si="2"/>
        <v/>
      </c>
    </row>
    <row r="44" spans="1:4">
      <c r="A44" t="str">
        <f t="shared" si="3"/>
        <v/>
      </c>
      <c r="D44" t="str">
        <f t="shared" si="2"/>
        <v/>
      </c>
    </row>
    <row r="45" spans="1:4">
      <c r="A45" t="str">
        <f t="shared" si="3"/>
        <v/>
      </c>
      <c r="D45" t="str">
        <f t="shared" si="2"/>
        <v/>
      </c>
    </row>
    <row r="46" spans="1:4">
      <c r="A46" t="str">
        <f t="shared" si="3"/>
        <v/>
      </c>
      <c r="D46" t="str">
        <f t="shared" si="2"/>
        <v/>
      </c>
    </row>
    <row r="47" spans="1:4">
      <c r="A47" t="str">
        <f t="shared" si="3"/>
        <v/>
      </c>
      <c r="D47" t="str">
        <f t="shared" si="2"/>
        <v/>
      </c>
    </row>
    <row r="48" spans="1:4">
      <c r="A48" t="str">
        <f t="shared" si="3"/>
        <v/>
      </c>
      <c r="D48" t="str">
        <f t="shared" si="2"/>
        <v/>
      </c>
    </row>
    <row r="49" spans="1:4">
      <c r="A49" t="str">
        <f t="shared" si="3"/>
        <v/>
      </c>
      <c r="D49" t="str">
        <f t="shared" si="2"/>
        <v/>
      </c>
    </row>
    <row r="50" spans="1:4">
      <c r="A50" t="str">
        <f t="shared" si="3"/>
        <v/>
      </c>
      <c r="D50" t="str">
        <f t="shared" si="2"/>
        <v/>
      </c>
    </row>
    <row r="51" spans="1:4">
      <c r="A51" t="str">
        <f t="shared" si="3"/>
        <v/>
      </c>
      <c r="D51" t="str">
        <f t="shared" si="2"/>
        <v/>
      </c>
    </row>
    <row r="52" spans="1:4">
      <c r="A52" t="str">
        <f t="shared" si="3"/>
        <v/>
      </c>
      <c r="D52" t="str">
        <f t="shared" si="2"/>
        <v/>
      </c>
    </row>
    <row r="53" spans="1:4">
      <c r="A53" t="str">
        <f t="shared" si="3"/>
        <v/>
      </c>
      <c r="D53" t="str">
        <f t="shared" si="2"/>
        <v/>
      </c>
    </row>
    <row r="54" spans="1:4">
      <c r="A54" t="str">
        <f t="shared" si="3"/>
        <v/>
      </c>
      <c r="D54" t="str">
        <f t="shared" si="2"/>
        <v/>
      </c>
    </row>
    <row r="55" spans="1:4">
      <c r="A55" t="str">
        <f t="shared" si="3"/>
        <v/>
      </c>
      <c r="D55" t="str">
        <f t="shared" si="2"/>
        <v/>
      </c>
    </row>
    <row r="56" spans="1:4">
      <c r="A56" t="str">
        <f t="shared" si="3"/>
        <v/>
      </c>
      <c r="D56" t="str">
        <f t="shared" si="2"/>
        <v/>
      </c>
    </row>
    <row r="57" spans="1:4">
      <c r="A57" t="str">
        <f t="shared" si="3"/>
        <v/>
      </c>
      <c r="D57" t="str">
        <f t="shared" si="2"/>
        <v/>
      </c>
    </row>
    <row r="58" spans="1:4">
      <c r="A58" t="str">
        <f t="shared" si="3"/>
        <v/>
      </c>
      <c r="D58" t="str">
        <f t="shared" si="2"/>
        <v/>
      </c>
    </row>
    <row r="59" spans="1:4">
      <c r="A59" t="str">
        <f t="shared" si="3"/>
        <v/>
      </c>
      <c r="D59" t="str">
        <f t="shared" si="2"/>
        <v/>
      </c>
    </row>
    <row r="60" spans="1:4">
      <c r="A60" t="str">
        <f t="shared" si="3"/>
        <v/>
      </c>
      <c r="D60" t="str">
        <f t="shared" si="2"/>
        <v/>
      </c>
    </row>
    <row r="61" spans="1:4">
      <c r="A61" t="str">
        <f t="shared" si="3"/>
        <v/>
      </c>
      <c r="D61" t="str">
        <f t="shared" si="2"/>
        <v/>
      </c>
    </row>
    <row r="62" spans="1:4">
      <c r="A62" t="str">
        <f t="shared" si="3"/>
        <v/>
      </c>
      <c r="D62" t="str">
        <f t="shared" si="2"/>
        <v/>
      </c>
    </row>
    <row r="63" spans="1:4">
      <c r="A63" t="str">
        <f t="shared" si="3"/>
        <v/>
      </c>
      <c r="D63" t="str">
        <f t="shared" si="2"/>
        <v/>
      </c>
    </row>
    <row r="64" spans="1:4">
      <c r="A64" t="str">
        <f t="shared" si="3"/>
        <v/>
      </c>
      <c r="D64" t="str">
        <f t="shared" si="2"/>
        <v/>
      </c>
    </row>
    <row r="65" spans="1:4">
      <c r="A65" t="str">
        <f t="shared" si="3"/>
        <v/>
      </c>
      <c r="D65" t="str">
        <f t="shared" si="2"/>
        <v/>
      </c>
    </row>
    <row r="66" spans="1:4">
      <c r="A66" t="str">
        <f t="shared" si="3"/>
        <v/>
      </c>
      <c r="D66" t="str">
        <f t="shared" si="2"/>
        <v/>
      </c>
    </row>
    <row r="67" spans="1:4">
      <c r="A67" t="str">
        <f t="shared" si="3"/>
        <v/>
      </c>
      <c r="D67" t="str">
        <f t="shared" ref="D67:D98" si="4">IF(B67="","", "Semana "&amp;ROUNDUP(DAY(B67)/7,0))</f>
        <v/>
      </c>
    </row>
    <row r="68" spans="1:4">
      <c r="A68" t="str">
        <f t="shared" ref="A68:A99" si="5">IF(C68="","",TEXT(ROW()-4,"000"))</f>
        <v/>
      </c>
      <c r="D68" t="str">
        <f t="shared" si="4"/>
        <v/>
      </c>
    </row>
    <row r="69" spans="1:4">
      <c r="A69" t="str">
        <f t="shared" si="5"/>
        <v/>
      </c>
      <c r="D69" t="str">
        <f t="shared" si="4"/>
        <v/>
      </c>
    </row>
    <row r="70" spans="1:4">
      <c r="A70" t="str">
        <f t="shared" si="5"/>
        <v/>
      </c>
      <c r="D70" t="str">
        <f t="shared" si="4"/>
        <v/>
      </c>
    </row>
    <row r="71" spans="1:4">
      <c r="A71" t="str">
        <f t="shared" si="5"/>
        <v/>
      </c>
      <c r="D71" t="str">
        <f t="shared" si="4"/>
        <v/>
      </c>
    </row>
    <row r="72" spans="1:4">
      <c r="A72" t="str">
        <f t="shared" si="5"/>
        <v/>
      </c>
      <c r="D72" t="str">
        <f t="shared" si="4"/>
        <v/>
      </c>
    </row>
    <row r="73" spans="1:4">
      <c r="A73" t="str">
        <f t="shared" si="5"/>
        <v/>
      </c>
      <c r="D73" t="str">
        <f t="shared" si="4"/>
        <v/>
      </c>
    </row>
    <row r="74" spans="1:4">
      <c r="A74" t="str">
        <f t="shared" si="5"/>
        <v/>
      </c>
      <c r="D74" t="str">
        <f t="shared" si="4"/>
        <v/>
      </c>
    </row>
    <row r="75" spans="1:4">
      <c r="A75" t="str">
        <f t="shared" si="5"/>
        <v/>
      </c>
      <c r="D75" t="str">
        <f t="shared" si="4"/>
        <v/>
      </c>
    </row>
    <row r="76" spans="1:4">
      <c r="A76" t="str">
        <f t="shared" si="5"/>
        <v/>
      </c>
      <c r="D76" t="str">
        <f t="shared" si="4"/>
        <v/>
      </c>
    </row>
    <row r="77" spans="1:4">
      <c r="A77" t="str">
        <f t="shared" si="5"/>
        <v/>
      </c>
      <c r="D77" t="str">
        <f t="shared" si="4"/>
        <v/>
      </c>
    </row>
    <row r="78" spans="1:4">
      <c r="A78" t="str">
        <f t="shared" si="5"/>
        <v/>
      </c>
      <c r="D78" t="str">
        <f t="shared" si="4"/>
        <v/>
      </c>
    </row>
    <row r="79" spans="1:4">
      <c r="A79" t="str">
        <f t="shared" si="5"/>
        <v/>
      </c>
      <c r="D79" t="str">
        <f t="shared" si="4"/>
        <v/>
      </c>
    </row>
    <row r="80" spans="1:4">
      <c r="A80" t="str">
        <f t="shared" si="5"/>
        <v/>
      </c>
      <c r="D80" t="str">
        <f t="shared" si="4"/>
        <v/>
      </c>
    </row>
    <row r="81" spans="1:4">
      <c r="A81" t="str">
        <f t="shared" si="5"/>
        <v/>
      </c>
      <c r="D81" t="str">
        <f t="shared" si="4"/>
        <v/>
      </c>
    </row>
    <row r="82" spans="1:4">
      <c r="A82" t="str">
        <f t="shared" si="5"/>
        <v/>
      </c>
      <c r="D82" t="str">
        <f t="shared" si="4"/>
        <v/>
      </c>
    </row>
    <row r="83" spans="1:4">
      <c r="A83" t="str">
        <f t="shared" si="5"/>
        <v/>
      </c>
      <c r="D83" t="str">
        <f t="shared" si="4"/>
        <v/>
      </c>
    </row>
    <row r="84" spans="1:4">
      <c r="A84" t="str">
        <f t="shared" si="5"/>
        <v/>
      </c>
      <c r="D84" t="str">
        <f t="shared" si="4"/>
        <v/>
      </c>
    </row>
    <row r="85" spans="1:4">
      <c r="A85" t="str">
        <f t="shared" si="5"/>
        <v/>
      </c>
      <c r="D85" t="str">
        <f t="shared" si="4"/>
        <v/>
      </c>
    </row>
    <row r="86" spans="1:4">
      <c r="A86" t="str">
        <f t="shared" si="5"/>
        <v/>
      </c>
      <c r="D86" t="str">
        <f t="shared" si="4"/>
        <v/>
      </c>
    </row>
    <row r="87" spans="1:4">
      <c r="A87" t="str">
        <f t="shared" si="5"/>
        <v/>
      </c>
      <c r="D87" t="str">
        <f t="shared" si="4"/>
        <v/>
      </c>
    </row>
    <row r="88" spans="1:4">
      <c r="A88" t="str">
        <f t="shared" si="5"/>
        <v/>
      </c>
      <c r="D88" t="str">
        <f t="shared" si="4"/>
        <v/>
      </c>
    </row>
    <row r="89" spans="1:4">
      <c r="A89" t="str">
        <f t="shared" si="5"/>
        <v/>
      </c>
      <c r="D89" t="str">
        <f t="shared" si="4"/>
        <v/>
      </c>
    </row>
    <row r="90" spans="1:4">
      <c r="A90" t="str">
        <f t="shared" si="5"/>
        <v/>
      </c>
      <c r="D90" t="str">
        <f t="shared" si="4"/>
        <v/>
      </c>
    </row>
    <row r="91" spans="1:4">
      <c r="A91" t="str">
        <f t="shared" si="5"/>
        <v/>
      </c>
      <c r="D91" t="str">
        <f t="shared" si="4"/>
        <v/>
      </c>
    </row>
    <row r="92" spans="1:4">
      <c r="A92" t="str">
        <f t="shared" si="5"/>
        <v/>
      </c>
      <c r="D92" t="str">
        <f t="shared" si="4"/>
        <v/>
      </c>
    </row>
    <row r="93" spans="1:4">
      <c r="A93" t="str">
        <f t="shared" si="5"/>
        <v/>
      </c>
      <c r="D93" t="str">
        <f t="shared" si="4"/>
        <v/>
      </c>
    </row>
    <row r="94" spans="1:4">
      <c r="A94" t="str">
        <f t="shared" si="5"/>
        <v/>
      </c>
      <c r="D94" t="str">
        <f t="shared" si="4"/>
        <v/>
      </c>
    </row>
    <row r="95" spans="1:4">
      <c r="A95" t="str">
        <f t="shared" si="5"/>
        <v/>
      </c>
      <c r="D95" t="str">
        <f t="shared" si="4"/>
        <v/>
      </c>
    </row>
    <row r="96" spans="1:4">
      <c r="A96" t="str">
        <f t="shared" si="5"/>
        <v/>
      </c>
      <c r="D96" t="str">
        <f t="shared" si="4"/>
        <v/>
      </c>
    </row>
    <row r="97" spans="1:4">
      <c r="A97" t="str">
        <f t="shared" si="5"/>
        <v/>
      </c>
      <c r="D97" t="str">
        <f t="shared" si="4"/>
        <v/>
      </c>
    </row>
    <row r="98" spans="1:4">
      <c r="A98" t="str">
        <f t="shared" si="5"/>
        <v/>
      </c>
      <c r="D98" t="str">
        <f t="shared" si="4"/>
        <v/>
      </c>
    </row>
    <row r="99" spans="1:4">
      <c r="A99" t="str">
        <f t="shared" si="5"/>
        <v/>
      </c>
      <c r="D99" t="str">
        <f t="shared" ref="D99:D130" si="6">IF(B99="","", "Semana "&amp;ROUNDUP(DAY(B99)/7,0))</f>
        <v/>
      </c>
    </row>
    <row r="100" spans="1:4">
      <c r="A100" t="str">
        <f t="shared" ref="A100:A131" si="7">IF(C100="","",TEXT(ROW()-4,"000"))</f>
        <v/>
      </c>
      <c r="D100" t="str">
        <f t="shared" si="6"/>
        <v/>
      </c>
    </row>
    <row r="101" spans="1:4">
      <c r="A101" t="str">
        <f t="shared" si="7"/>
        <v/>
      </c>
      <c r="D101" t="str">
        <f t="shared" si="6"/>
        <v/>
      </c>
    </row>
    <row r="102" spans="1:4">
      <c r="A102" t="str">
        <f t="shared" si="7"/>
        <v/>
      </c>
      <c r="D102" t="str">
        <f t="shared" si="6"/>
        <v/>
      </c>
    </row>
    <row r="103" spans="1:4">
      <c r="A103" t="str">
        <f t="shared" si="7"/>
        <v/>
      </c>
      <c r="D103" t="str">
        <f t="shared" si="6"/>
        <v/>
      </c>
    </row>
    <row r="104" spans="1:4">
      <c r="A104" t="str">
        <f t="shared" si="7"/>
        <v/>
      </c>
      <c r="D104" t="str">
        <f t="shared" si="6"/>
        <v/>
      </c>
    </row>
    <row r="105" spans="1:4">
      <c r="A105" t="str">
        <f t="shared" si="7"/>
        <v/>
      </c>
      <c r="D105" t="str">
        <f t="shared" si="6"/>
        <v/>
      </c>
    </row>
    <row r="106" spans="1:4">
      <c r="A106" t="str">
        <f t="shared" si="7"/>
        <v/>
      </c>
      <c r="D106" t="str">
        <f t="shared" si="6"/>
        <v/>
      </c>
    </row>
    <row r="107" spans="1:4">
      <c r="A107" t="str">
        <f t="shared" si="7"/>
        <v/>
      </c>
      <c r="D107" t="str">
        <f t="shared" si="6"/>
        <v/>
      </c>
    </row>
    <row r="108" spans="1:4">
      <c r="A108" t="str">
        <f t="shared" si="7"/>
        <v/>
      </c>
      <c r="D108" t="str">
        <f t="shared" si="6"/>
        <v/>
      </c>
    </row>
    <row r="109" spans="1:4">
      <c r="A109" t="str">
        <f t="shared" si="7"/>
        <v/>
      </c>
      <c r="D109" t="str">
        <f t="shared" si="6"/>
        <v/>
      </c>
    </row>
    <row r="110" spans="1:4">
      <c r="A110" t="str">
        <f t="shared" si="7"/>
        <v/>
      </c>
      <c r="D110" t="str">
        <f t="shared" si="6"/>
        <v/>
      </c>
    </row>
    <row r="111" spans="1:4">
      <c r="A111" t="str">
        <f t="shared" si="7"/>
        <v/>
      </c>
      <c r="D111" t="str">
        <f t="shared" si="6"/>
        <v/>
      </c>
    </row>
    <row r="112" spans="1:4">
      <c r="A112" t="str">
        <f t="shared" si="7"/>
        <v/>
      </c>
      <c r="D112" t="str">
        <f t="shared" si="6"/>
        <v/>
      </c>
    </row>
    <row r="113" spans="1:4">
      <c r="A113" t="str">
        <f t="shared" si="7"/>
        <v/>
      </c>
      <c r="D113" t="str">
        <f t="shared" si="6"/>
        <v/>
      </c>
    </row>
    <row r="114" spans="1:4">
      <c r="A114" t="str">
        <f t="shared" si="7"/>
        <v/>
      </c>
      <c r="D114" t="str">
        <f t="shared" si="6"/>
        <v/>
      </c>
    </row>
    <row r="115" spans="1:4">
      <c r="A115" t="str">
        <f t="shared" si="7"/>
        <v/>
      </c>
      <c r="D115" t="str">
        <f t="shared" si="6"/>
        <v/>
      </c>
    </row>
    <row r="116" spans="1:4">
      <c r="A116" t="str">
        <f t="shared" si="7"/>
        <v/>
      </c>
      <c r="D116" t="str">
        <f t="shared" si="6"/>
        <v/>
      </c>
    </row>
    <row r="117" spans="1:4">
      <c r="A117" t="str">
        <f t="shared" si="7"/>
        <v/>
      </c>
      <c r="D117" t="str">
        <f t="shared" si="6"/>
        <v/>
      </c>
    </row>
    <row r="118" spans="1:4">
      <c r="A118" t="str">
        <f t="shared" si="7"/>
        <v/>
      </c>
      <c r="D118" t="str">
        <f t="shared" si="6"/>
        <v/>
      </c>
    </row>
    <row r="119" spans="1:4">
      <c r="A119" t="str">
        <f t="shared" si="7"/>
        <v/>
      </c>
      <c r="D119" t="str">
        <f t="shared" si="6"/>
        <v/>
      </c>
    </row>
    <row r="120" spans="1:4">
      <c r="A120" t="str">
        <f t="shared" si="7"/>
        <v/>
      </c>
      <c r="D120" t="str">
        <f t="shared" si="6"/>
        <v/>
      </c>
    </row>
    <row r="121" spans="1:4">
      <c r="A121" t="str">
        <f t="shared" si="7"/>
        <v/>
      </c>
      <c r="D121" t="str">
        <f t="shared" si="6"/>
        <v/>
      </c>
    </row>
    <row r="122" spans="1:4">
      <c r="A122" t="str">
        <f t="shared" si="7"/>
        <v/>
      </c>
      <c r="D122" t="str">
        <f t="shared" si="6"/>
        <v/>
      </c>
    </row>
    <row r="123" spans="1:4">
      <c r="A123" t="str">
        <f t="shared" si="7"/>
        <v/>
      </c>
      <c r="D123" t="str">
        <f t="shared" si="6"/>
        <v/>
      </c>
    </row>
    <row r="124" spans="1:4">
      <c r="A124" t="str">
        <f t="shared" si="7"/>
        <v/>
      </c>
      <c r="D124" t="str">
        <f t="shared" si="6"/>
        <v/>
      </c>
    </row>
    <row r="125" spans="1:4">
      <c r="A125" t="str">
        <f t="shared" si="7"/>
        <v/>
      </c>
      <c r="D125" t="str">
        <f t="shared" si="6"/>
        <v/>
      </c>
    </row>
    <row r="126" spans="1:4">
      <c r="A126" t="str">
        <f t="shared" si="7"/>
        <v/>
      </c>
      <c r="D126" t="str">
        <f t="shared" si="6"/>
        <v/>
      </c>
    </row>
    <row r="127" spans="1:4">
      <c r="A127" t="str">
        <f t="shared" si="7"/>
        <v/>
      </c>
      <c r="D127" t="str">
        <f t="shared" si="6"/>
        <v/>
      </c>
    </row>
    <row r="128" spans="1:4">
      <c r="A128" t="str">
        <f t="shared" si="7"/>
        <v/>
      </c>
      <c r="D128" t="str">
        <f t="shared" si="6"/>
        <v/>
      </c>
    </row>
    <row r="129" spans="1:4">
      <c r="A129" t="str">
        <f t="shared" si="7"/>
        <v/>
      </c>
      <c r="D129" t="str">
        <f t="shared" si="6"/>
        <v/>
      </c>
    </row>
    <row r="130" spans="1:4">
      <c r="A130" t="str">
        <f t="shared" si="7"/>
        <v/>
      </c>
      <c r="D130" t="str">
        <f t="shared" si="6"/>
        <v/>
      </c>
    </row>
    <row r="131" spans="1:4">
      <c r="A131" t="str">
        <f t="shared" si="7"/>
        <v/>
      </c>
      <c r="D131" t="str">
        <f t="shared" ref="D131:D162" si="8">IF(B131="","", "Semana "&amp;ROUNDUP(DAY(B131)/7,0))</f>
        <v/>
      </c>
    </row>
    <row r="132" spans="1:4">
      <c r="A132" t="str">
        <f t="shared" ref="A132:A163" si="9">IF(C132="","",TEXT(ROW()-4,"000"))</f>
        <v/>
      </c>
      <c r="D132" t="str">
        <f t="shared" si="8"/>
        <v/>
      </c>
    </row>
    <row r="133" spans="1:4">
      <c r="A133" t="str">
        <f t="shared" si="9"/>
        <v/>
      </c>
      <c r="D133" t="str">
        <f t="shared" si="8"/>
        <v/>
      </c>
    </row>
    <row r="134" spans="1:4">
      <c r="A134" t="str">
        <f t="shared" si="9"/>
        <v/>
      </c>
      <c r="D134" t="str">
        <f t="shared" si="8"/>
        <v/>
      </c>
    </row>
    <row r="135" spans="1:4">
      <c r="A135" t="str">
        <f t="shared" si="9"/>
        <v/>
      </c>
      <c r="D135" t="str">
        <f t="shared" si="8"/>
        <v/>
      </c>
    </row>
    <row r="136" spans="1:4">
      <c r="A136" t="str">
        <f t="shared" si="9"/>
        <v/>
      </c>
      <c r="D136" t="str">
        <f t="shared" si="8"/>
        <v/>
      </c>
    </row>
    <row r="137" spans="1:4">
      <c r="A137" t="str">
        <f t="shared" si="9"/>
        <v/>
      </c>
      <c r="D137" t="str">
        <f t="shared" si="8"/>
        <v/>
      </c>
    </row>
    <row r="138" spans="1:4">
      <c r="A138" t="str">
        <f t="shared" si="9"/>
        <v/>
      </c>
      <c r="D138" t="str">
        <f t="shared" si="8"/>
        <v/>
      </c>
    </row>
    <row r="139" spans="1:4">
      <c r="A139" t="str">
        <f t="shared" si="9"/>
        <v/>
      </c>
      <c r="D139" t="str">
        <f t="shared" si="8"/>
        <v/>
      </c>
    </row>
    <row r="140" spans="1:4">
      <c r="A140" t="str">
        <f t="shared" si="9"/>
        <v/>
      </c>
      <c r="D140" t="str">
        <f t="shared" si="8"/>
        <v/>
      </c>
    </row>
    <row r="141" spans="1:4">
      <c r="A141" t="str">
        <f t="shared" si="9"/>
        <v/>
      </c>
      <c r="D141" t="str">
        <f t="shared" si="8"/>
        <v/>
      </c>
    </row>
    <row r="142" spans="1:4">
      <c r="A142" t="str">
        <f t="shared" si="9"/>
        <v/>
      </c>
      <c r="D142" t="str">
        <f t="shared" si="8"/>
        <v/>
      </c>
    </row>
    <row r="143" spans="1:4">
      <c r="A143" t="str">
        <f t="shared" si="9"/>
        <v/>
      </c>
      <c r="D143" t="str">
        <f t="shared" si="8"/>
        <v/>
      </c>
    </row>
    <row r="144" spans="1:4">
      <c r="A144" t="str">
        <f t="shared" si="9"/>
        <v/>
      </c>
      <c r="D144" t="str">
        <f t="shared" si="8"/>
        <v/>
      </c>
    </row>
    <row r="145" spans="1:4">
      <c r="A145" t="str">
        <f t="shared" si="9"/>
        <v/>
      </c>
      <c r="D145" t="str">
        <f t="shared" si="8"/>
        <v/>
      </c>
    </row>
    <row r="146" spans="1:4">
      <c r="A146" t="str">
        <f t="shared" si="9"/>
        <v/>
      </c>
      <c r="D146" t="str">
        <f t="shared" si="8"/>
        <v/>
      </c>
    </row>
    <row r="147" spans="1:4">
      <c r="A147" t="str">
        <f t="shared" si="9"/>
        <v/>
      </c>
      <c r="D147" t="str">
        <f t="shared" si="8"/>
        <v/>
      </c>
    </row>
    <row r="148" spans="1:4">
      <c r="A148" t="str">
        <f t="shared" si="9"/>
        <v/>
      </c>
      <c r="D148" t="str">
        <f t="shared" si="8"/>
        <v/>
      </c>
    </row>
    <row r="149" spans="1:4">
      <c r="A149" t="str">
        <f t="shared" si="9"/>
        <v/>
      </c>
      <c r="D149" t="str">
        <f t="shared" si="8"/>
        <v/>
      </c>
    </row>
    <row r="150" spans="1:4">
      <c r="A150" t="str">
        <f t="shared" si="9"/>
        <v/>
      </c>
      <c r="D150" t="str">
        <f t="shared" si="8"/>
        <v/>
      </c>
    </row>
    <row r="151" spans="1:4">
      <c r="A151" t="str">
        <f t="shared" si="9"/>
        <v/>
      </c>
      <c r="D151" t="str">
        <f t="shared" si="8"/>
        <v/>
      </c>
    </row>
    <row r="152" spans="1:4">
      <c r="A152" t="str">
        <f t="shared" si="9"/>
        <v/>
      </c>
      <c r="D152" t="str">
        <f t="shared" si="8"/>
        <v/>
      </c>
    </row>
    <row r="153" spans="1:4">
      <c r="A153" t="str">
        <f t="shared" si="9"/>
        <v/>
      </c>
      <c r="D153" t="str">
        <f t="shared" si="8"/>
        <v/>
      </c>
    </row>
    <row r="154" spans="1:4">
      <c r="A154" t="str">
        <f t="shared" si="9"/>
        <v/>
      </c>
      <c r="D154" t="str">
        <f t="shared" si="8"/>
        <v/>
      </c>
    </row>
    <row r="155" spans="1:4">
      <c r="A155" t="str">
        <f t="shared" si="9"/>
        <v/>
      </c>
      <c r="D155" t="str">
        <f t="shared" si="8"/>
        <v/>
      </c>
    </row>
    <row r="156" spans="1:4">
      <c r="A156" t="str">
        <f t="shared" si="9"/>
        <v/>
      </c>
      <c r="D156" t="str">
        <f t="shared" si="8"/>
        <v/>
      </c>
    </row>
    <row r="157" spans="1:4">
      <c r="A157" t="str">
        <f t="shared" si="9"/>
        <v/>
      </c>
      <c r="D157" t="str">
        <f t="shared" si="8"/>
        <v/>
      </c>
    </row>
    <row r="158" spans="1:4">
      <c r="A158" t="str">
        <f t="shared" si="9"/>
        <v/>
      </c>
      <c r="D158" t="str">
        <f t="shared" si="8"/>
        <v/>
      </c>
    </row>
    <row r="159" spans="1:4">
      <c r="A159" t="str">
        <f t="shared" si="9"/>
        <v/>
      </c>
      <c r="D159" t="str">
        <f t="shared" si="8"/>
        <v/>
      </c>
    </row>
    <row r="160" spans="1:4">
      <c r="A160" t="str">
        <f t="shared" si="9"/>
        <v/>
      </c>
      <c r="D160" t="str">
        <f t="shared" si="8"/>
        <v/>
      </c>
    </row>
    <row r="161" spans="1:4">
      <c r="A161" t="str">
        <f t="shared" si="9"/>
        <v/>
      </c>
      <c r="D161" t="str">
        <f t="shared" si="8"/>
        <v/>
      </c>
    </row>
    <row r="162" spans="1:4">
      <c r="A162" t="str">
        <f t="shared" si="9"/>
        <v/>
      </c>
      <c r="D162" t="str">
        <f t="shared" si="8"/>
        <v/>
      </c>
    </row>
    <row r="163" spans="1:4">
      <c r="A163" t="str">
        <f t="shared" si="9"/>
        <v/>
      </c>
      <c r="D163" t="str">
        <f t="shared" ref="D163:D194" si="10">IF(B163="","", "Semana "&amp;ROUNDUP(DAY(B163)/7,0))</f>
        <v/>
      </c>
    </row>
    <row r="164" spans="1:4">
      <c r="A164" t="str">
        <f t="shared" ref="A164:A195" si="11">IF(C164="","",TEXT(ROW()-4,"000"))</f>
        <v/>
      </c>
      <c r="D164" t="str">
        <f t="shared" si="10"/>
        <v/>
      </c>
    </row>
    <row r="165" spans="1:4">
      <c r="A165" t="str">
        <f t="shared" si="11"/>
        <v/>
      </c>
      <c r="D165" t="str">
        <f t="shared" si="10"/>
        <v/>
      </c>
    </row>
    <row r="166" spans="1:4">
      <c r="A166" t="str">
        <f t="shared" si="11"/>
        <v/>
      </c>
      <c r="D166" t="str">
        <f t="shared" si="10"/>
        <v/>
      </c>
    </row>
    <row r="167" spans="1:4">
      <c r="A167" t="str">
        <f t="shared" si="11"/>
        <v/>
      </c>
      <c r="D167" t="str">
        <f t="shared" si="10"/>
        <v/>
      </c>
    </row>
    <row r="168" spans="1:4">
      <c r="A168" t="str">
        <f t="shared" si="11"/>
        <v/>
      </c>
      <c r="D168" t="str">
        <f t="shared" si="10"/>
        <v/>
      </c>
    </row>
    <row r="169" spans="1:4">
      <c r="A169" t="str">
        <f t="shared" si="11"/>
        <v/>
      </c>
      <c r="D169" t="str">
        <f t="shared" si="10"/>
        <v/>
      </c>
    </row>
    <row r="170" spans="1:4">
      <c r="A170" t="str">
        <f t="shared" si="11"/>
        <v/>
      </c>
      <c r="D170" t="str">
        <f t="shared" si="10"/>
        <v/>
      </c>
    </row>
    <row r="171" spans="1:4">
      <c r="A171" t="str">
        <f t="shared" si="11"/>
        <v/>
      </c>
      <c r="D171" t="str">
        <f t="shared" si="10"/>
        <v/>
      </c>
    </row>
    <row r="172" spans="1:4">
      <c r="A172" t="str">
        <f t="shared" si="11"/>
        <v/>
      </c>
      <c r="D172" t="str">
        <f t="shared" si="10"/>
        <v/>
      </c>
    </row>
    <row r="173" spans="1:4">
      <c r="A173" t="str">
        <f t="shared" si="11"/>
        <v/>
      </c>
      <c r="D173" t="str">
        <f t="shared" si="10"/>
        <v/>
      </c>
    </row>
    <row r="174" spans="1:4">
      <c r="A174" t="str">
        <f t="shared" si="11"/>
        <v/>
      </c>
      <c r="D174" t="str">
        <f t="shared" si="10"/>
        <v/>
      </c>
    </row>
    <row r="175" spans="1:4">
      <c r="A175" t="str">
        <f t="shared" si="11"/>
        <v/>
      </c>
      <c r="D175" t="str">
        <f t="shared" si="10"/>
        <v/>
      </c>
    </row>
    <row r="176" spans="1:4">
      <c r="A176" t="str">
        <f t="shared" si="11"/>
        <v/>
      </c>
      <c r="D176" t="str">
        <f t="shared" si="10"/>
        <v/>
      </c>
    </row>
    <row r="177" spans="1:4">
      <c r="A177" t="str">
        <f t="shared" si="11"/>
        <v/>
      </c>
      <c r="D177" t="str">
        <f t="shared" si="10"/>
        <v/>
      </c>
    </row>
    <row r="178" spans="1:4">
      <c r="A178" t="str">
        <f t="shared" si="11"/>
        <v/>
      </c>
      <c r="D178" t="str">
        <f t="shared" si="10"/>
        <v/>
      </c>
    </row>
    <row r="179" spans="1:4">
      <c r="A179" t="str">
        <f t="shared" si="11"/>
        <v/>
      </c>
      <c r="D179" t="str">
        <f t="shared" si="10"/>
        <v/>
      </c>
    </row>
    <row r="180" spans="1:4">
      <c r="A180" t="str">
        <f t="shared" si="11"/>
        <v/>
      </c>
      <c r="D180" t="str">
        <f t="shared" si="10"/>
        <v/>
      </c>
    </row>
    <row r="181" spans="1:4">
      <c r="A181" t="str">
        <f t="shared" si="11"/>
        <v/>
      </c>
      <c r="D181" t="str">
        <f t="shared" si="10"/>
        <v/>
      </c>
    </row>
    <row r="182" spans="1:4">
      <c r="A182" t="str">
        <f t="shared" si="11"/>
        <v/>
      </c>
      <c r="D182" t="str">
        <f t="shared" si="10"/>
        <v/>
      </c>
    </row>
    <row r="183" spans="1:4">
      <c r="A183" t="str">
        <f t="shared" si="11"/>
        <v/>
      </c>
      <c r="D183" t="str">
        <f t="shared" si="10"/>
        <v/>
      </c>
    </row>
    <row r="184" spans="1:4">
      <c r="A184" t="str">
        <f t="shared" si="11"/>
        <v/>
      </c>
      <c r="D184" t="str">
        <f t="shared" si="10"/>
        <v/>
      </c>
    </row>
    <row r="185" spans="1:4">
      <c r="A185" t="str">
        <f t="shared" si="11"/>
        <v/>
      </c>
      <c r="D185" t="str">
        <f t="shared" si="10"/>
        <v/>
      </c>
    </row>
    <row r="186" spans="1:4">
      <c r="A186" t="str">
        <f t="shared" si="11"/>
        <v/>
      </c>
      <c r="D186" t="str">
        <f t="shared" si="10"/>
        <v/>
      </c>
    </row>
    <row r="187" spans="1:4">
      <c r="A187" t="str">
        <f t="shared" si="11"/>
        <v/>
      </c>
      <c r="D187" t="str">
        <f t="shared" si="10"/>
        <v/>
      </c>
    </row>
    <row r="188" spans="1:4">
      <c r="A188" t="str">
        <f t="shared" si="11"/>
        <v/>
      </c>
      <c r="D188" t="str">
        <f t="shared" si="10"/>
        <v/>
      </c>
    </row>
    <row r="189" spans="1:4">
      <c r="A189" t="str">
        <f t="shared" si="11"/>
        <v/>
      </c>
      <c r="D189" t="str">
        <f t="shared" si="10"/>
        <v/>
      </c>
    </row>
    <row r="190" spans="1:4">
      <c r="A190" t="str">
        <f t="shared" si="11"/>
        <v/>
      </c>
      <c r="D190" t="str">
        <f t="shared" si="10"/>
        <v/>
      </c>
    </row>
    <row r="191" spans="1:4">
      <c r="A191" t="str">
        <f t="shared" si="11"/>
        <v/>
      </c>
      <c r="D191" t="str">
        <f t="shared" si="10"/>
        <v/>
      </c>
    </row>
    <row r="192" spans="1:4">
      <c r="A192" t="str">
        <f t="shared" si="11"/>
        <v/>
      </c>
      <c r="D192" t="str">
        <f t="shared" si="10"/>
        <v/>
      </c>
    </row>
    <row r="193" spans="1:4">
      <c r="A193" t="str">
        <f t="shared" si="11"/>
        <v/>
      </c>
      <c r="D193" t="str">
        <f t="shared" si="10"/>
        <v/>
      </c>
    </row>
    <row r="194" spans="1:4">
      <c r="A194" t="str">
        <f t="shared" si="11"/>
        <v/>
      </c>
      <c r="D194" t="str">
        <f t="shared" si="10"/>
        <v/>
      </c>
    </row>
    <row r="195" spans="1:4">
      <c r="A195" t="str">
        <f t="shared" si="11"/>
        <v/>
      </c>
      <c r="D195" t="str">
        <f t="shared" ref="D195:D202" si="12">IF(B195="","", "Semana "&amp;ROUNDUP(DAY(B195)/7,0))</f>
        <v/>
      </c>
    </row>
    <row r="196" spans="1:4">
      <c r="A196" t="str">
        <f t="shared" ref="A196:A202" si="13">IF(C196="","",TEXT(ROW()-4,"000"))</f>
        <v/>
      </c>
      <c r="D196" t="str">
        <f t="shared" si="12"/>
        <v/>
      </c>
    </row>
    <row r="197" spans="1:4">
      <c r="A197" t="str">
        <f t="shared" si="13"/>
        <v/>
      </c>
      <c r="D197" t="str">
        <f t="shared" si="12"/>
        <v/>
      </c>
    </row>
    <row r="198" spans="1:4">
      <c r="A198" t="str">
        <f t="shared" si="13"/>
        <v/>
      </c>
      <c r="D198" t="str">
        <f t="shared" si="12"/>
        <v/>
      </c>
    </row>
    <row r="199" spans="1:4">
      <c r="A199" t="str">
        <f t="shared" si="13"/>
        <v/>
      </c>
      <c r="D199" t="str">
        <f t="shared" si="12"/>
        <v/>
      </c>
    </row>
    <row r="200" spans="1:4">
      <c r="A200" t="str">
        <f t="shared" si="13"/>
        <v/>
      </c>
      <c r="D200" t="str">
        <f t="shared" si="12"/>
        <v/>
      </c>
    </row>
    <row r="201" spans="1:4">
      <c r="A201" t="str">
        <f t="shared" si="13"/>
        <v/>
      </c>
      <c r="D201" t="str">
        <f t="shared" si="12"/>
        <v/>
      </c>
    </row>
    <row r="202" spans="1:4">
      <c r="A202" t="str">
        <f t="shared" si="13"/>
        <v/>
      </c>
      <c r="D202" t="str">
        <f t="shared" si="12"/>
        <v/>
      </c>
    </row>
  </sheetData>
  <mergeCells count="1">
    <mergeCell ref="A1:X1"/>
  </mergeCells>
  <conditionalFormatting sqref="U3:V204">
    <cfRule type="expression" dxfId="490" priority="1">
      <formula>ISNUMBER(SEARCH("A - Inmediata",U3))</formula>
    </cfRule>
    <cfRule type="expression" dxfId="489" priority="2">
      <formula>ISNUMBER(SEARCH("B - Interesante",U3))</formula>
    </cfRule>
    <cfRule type="expression" dxfId="488" priority="3">
      <formula>ISNUMBER(SEARCH("C - Observar",U3))</formula>
    </cfRule>
    <cfRule type="expression" dxfId="487" priority="4">
      <formula>ISNUMBER(SEARCH("X - Descartar",U3))</formula>
    </cfRule>
    <cfRule type="expression" dxfId="486" priority="5">
      <formula>ISNUMBER(SEARCH("🔴",U3))</formula>
    </cfRule>
    <cfRule type="expression" dxfId="485" priority="6">
      <formula>ISNUMBER(SEARCH("🟡",U3))</formula>
    </cfRule>
    <cfRule type="expression" dxfId="484" priority="7">
      <formula>ISNUMBER(SEARCH("🟢",U3))</formula>
    </cfRule>
    <cfRule type="expression" dxfId="483" priority="8">
      <formula>ISNUMBER(SEARCH("🔵",U3))</formula>
    </cfRule>
    <cfRule type="expression" dxfId="482" priority="9">
      <formula>ISNUMBER(SEARCH("⭐",U3))</formula>
    </cfRule>
    <cfRule type="expression" dxfId="481" priority="10">
      <formula>ISNUMBER(SEARCH("Riesgo",U3))</formula>
    </cfRule>
    <cfRule type="expression" dxfId="480" priority="11">
      <formula>ISNUMBER(SEARCH("En proceso",U3))</formula>
    </cfRule>
    <cfRule type="expression" dxfId="479" priority="12">
      <formula>ISNUMBER(SEARCH("Cumplido",U3))</formula>
    </cfRule>
    <cfRule type="expression" dxfId="478" priority="13">
      <formula>ISNUMBER(SEARCH("Pendiente",U3))</formula>
    </cfRule>
    <cfRule type="expression" dxfId="477" priority="14">
      <formula>ISNUMBER(SEARCH("Descartar",U3))</formula>
    </cfRule>
    <cfRule type="expression" dxfId="476" priority="15">
      <formula>ISNUMBER(SEARCH("CRM",U3))</formula>
    </cfRule>
    <cfRule type="expression" dxfId="475" priority="16">
      <formula>ISNUMBER(SEARCH("Oportunidad",U3))</formula>
    </cfRule>
    <cfRule type="expression" dxfId="474" priority="17">
      <formula>ISNUMBER(SEARCH("Seguimiento",U3))</formula>
    </cfRule>
    <cfRule type="expression" dxfId="473" priority="18">
      <formula>ISNUMBER(SEARCH("Observar",U3))</formula>
    </cfRule>
  </conditionalFormatting>
  <dataValidations count="3">
    <dataValidation type="list" allowBlank="1" sqref="E3:E202" xr:uid="{00000000-0002-0000-4700-000000000000}">
      <formula1>"MGC,LNR,LN Holding,Banca,Tecnología,Comercio,Legal,Logística,Inmobiliario,Minería,Otro"</formula1>
    </dataValidation>
    <dataValidation type="list" allowBlank="1" sqref="U3:U202" xr:uid="{00000000-0002-0000-4700-000001000000}">
      <formula1>"A,B,C,X"</formula1>
    </dataValidation>
    <dataValidation type="list" allowBlank="1" sqref="V3:V202" xr:uid="{00000000-0002-0000-4700-000002000000}">
      <formula1>"Estudiar más,Pasar a CRM,Crear oportunidad,Seguimiento futuro,Descartar"</formula1>
    </dataValidation>
  </dataValidation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C09000"/>
  </sheetPr>
  <dimension ref="A1:N204"/>
  <sheetViews>
    <sheetView showGridLines="0" workbookViewId="0"/>
  </sheetViews>
  <sheetFormatPr baseColWidth="10" defaultColWidth="8.7265625" defaultRowHeight="14.5"/>
  <cols>
    <col min="1" max="1" width="122.90625" customWidth="1"/>
    <col min="2" max="2" width="10.08984375" customWidth="1"/>
    <col min="3" max="3" width="20" customWidth="1"/>
    <col min="4" max="4" width="6.08984375" customWidth="1"/>
    <col min="5" max="5" width="10.81640625" customWidth="1"/>
    <col min="6" max="6" width="10" customWidth="1"/>
    <col min="7" max="7" width="16.26953125" customWidth="1"/>
    <col min="8" max="8" width="10.1796875" customWidth="1"/>
    <col min="9" max="9" width="20.453125" customWidth="1"/>
    <col min="10" max="10" width="7.54296875" customWidth="1"/>
    <col min="11" max="11" width="82.6328125" customWidth="1"/>
    <col min="12" max="12" width="12.26953125" customWidth="1"/>
    <col min="13" max="13" width="72.90625" customWidth="1"/>
    <col min="14" max="14" width="10.08984375" customWidth="1"/>
  </cols>
  <sheetData>
    <row r="1" spans="1:14" ht="21" customHeight="1">
      <c r="A1" s="120" t="s">
        <v>2931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>
      <c r="A2" s="121" t="s">
        <v>2932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4" spans="1:14" ht="29" customHeight="1">
      <c r="A4" s="119" t="s">
        <v>2933</v>
      </c>
      <c r="B4" s="119" t="s">
        <v>13</v>
      </c>
      <c r="C4" s="119" t="s">
        <v>2860</v>
      </c>
      <c r="D4" s="119" t="s">
        <v>2896</v>
      </c>
      <c r="E4" s="119" t="s">
        <v>2897</v>
      </c>
      <c r="F4" s="119" t="s">
        <v>2934</v>
      </c>
      <c r="G4" s="119" t="s">
        <v>2935</v>
      </c>
      <c r="H4" s="119" t="s">
        <v>1369</v>
      </c>
      <c r="I4" s="119" t="s">
        <v>2936</v>
      </c>
      <c r="J4" s="119" t="s">
        <v>248</v>
      </c>
      <c r="K4" s="119" t="s">
        <v>2181</v>
      </c>
      <c r="L4" s="119" t="s">
        <v>2886</v>
      </c>
      <c r="M4" s="119" t="s">
        <v>1065</v>
      </c>
      <c r="N4" s="119" t="s">
        <v>2937</v>
      </c>
    </row>
    <row r="5" spans="1:14" ht="29" customHeight="1">
      <c r="A5" s="98">
        <f>IF('40_Estudio_Empresas'!A3="","",'40_Estudio_Empresas'!A3)</f>
        <v>1</v>
      </c>
      <c r="B5" s="122">
        <f>IF('40_Estudio_Empresas'!B3="","",'40_Estudio_Empresas'!B3)</f>
        <v>46154</v>
      </c>
      <c r="C5" s="98" t="str">
        <f>IF('40_Estudio_Empresas'!C3="","",'40_Estudio_Empresas'!C3)</f>
        <v>SERC Consultoria Integral</v>
      </c>
      <c r="D5" s="98" t="str">
        <f>IF('40_Estudio_Empresas'!E3="","",'40_Estudio_Empresas'!E3)</f>
        <v>MGC</v>
      </c>
      <c r="E5" s="98" t="str">
        <f>IF('40_Estudio_Empresas'!F3="","",'40_Estudio_Empresas'!F3)</f>
        <v>Argentina</v>
      </c>
      <c r="F5" s="98" t="str">
        <f>IF('40_Estudio_Empresas'!U3="","",'40_Estudio_Empresas'!U3)</f>
        <v>C</v>
      </c>
      <c r="G5" s="98" t="str">
        <f t="shared" ref="G5:G36" si="0">IF(F5="","",IF(F5="A","A - Inmediata",IF(F5="B","B - Interesante",IF(F5="C","C - Observar",IF(F5="X","X - Descartar","Revisar")))))</f>
        <v>C - Observar</v>
      </c>
      <c r="H5" s="98" t="str">
        <f>IF('40_Estudio_Empresas'!V3="","",'40_Estudio_Empresas'!V3)</f>
        <v>Estudiar más</v>
      </c>
      <c r="I5" s="98" t="str">
        <f t="shared" ref="I5:I36" si="1">IF(F5="","",IF(F5="A","32_Oportunidades + 33_Seguimientos + 30_CRM",IF(F5="B","32_Oportunidades + 33_Seguimientos",IF(F5="C","Mantener en observación",IF(F5="X","Descartar / archivo","Revisar")))))</f>
        <v>Mantener en observación</v>
      </c>
      <c r="J5" s="98" t="str">
        <f t="shared" ref="J5:J36" si="2">IF(F5="","",IF(F5="A","Alta",IF(F5="B","Media",IF(F5="C","Baja","Descartar"))))</f>
        <v>Baja</v>
      </c>
      <c r="K5" s="98" t="str">
        <f>IF('40_Estudio_Empresas'!R3="","",'40_Estudio_Empresas'!R3)</f>
        <v>Medio Alto, ya que no hay mayor informacion de la empresa, solo la propia de la web, no hay referecias</v>
      </c>
      <c r="L5" s="123">
        <f>IF('40_Estudio_Empresas'!M3="","",'40_Estudio_Empresas'!M3)</f>
        <v>180000000</v>
      </c>
      <c r="M5" s="98" t="str">
        <f>IF('40_Estudio_Empresas'!W3="","",'40_Estudio_Empresas'!W3)</f>
        <v>Investigacion a fondo, utilizando herramientas de analisis de la pagina web, y de la empresa</v>
      </c>
      <c r="N5" s="98" t="str">
        <f t="shared" ref="N5:N36" si="3">IF(F5="","",IF(OR(F5="A",F5="B"),"🟢 Activa",IF(F5="C","🟡 Observar","🔴 Descartar")))</f>
        <v>🟡 Observar</v>
      </c>
    </row>
    <row r="6" spans="1:14">
      <c r="A6" s="98" t="str">
        <f>IF('40_Estudio_Empresas'!A4="","",'40_Estudio_Empresas'!A4)</f>
        <v/>
      </c>
      <c r="B6" s="122" t="str">
        <f>IF('40_Estudio_Empresas'!B4="","",'40_Estudio_Empresas'!B4)</f>
        <v/>
      </c>
      <c r="C6" s="98" t="str">
        <f>IF('40_Estudio_Empresas'!C4="","",'40_Estudio_Empresas'!C4)</f>
        <v/>
      </c>
      <c r="D6" s="98" t="str">
        <f>IF('40_Estudio_Empresas'!E4="","",'40_Estudio_Empresas'!E4)</f>
        <v/>
      </c>
      <c r="E6" s="98" t="str">
        <f>IF('40_Estudio_Empresas'!F4="","",'40_Estudio_Empresas'!F4)</f>
        <v/>
      </c>
      <c r="F6" s="98" t="str">
        <f>IF('40_Estudio_Empresas'!U4="","",'40_Estudio_Empresas'!U4)</f>
        <v/>
      </c>
      <c r="G6" s="98" t="str">
        <f t="shared" si="0"/>
        <v/>
      </c>
      <c r="H6" s="98" t="str">
        <f>IF('40_Estudio_Empresas'!V4="","",'40_Estudio_Empresas'!V4)</f>
        <v/>
      </c>
      <c r="I6" s="98" t="str">
        <f t="shared" si="1"/>
        <v/>
      </c>
      <c r="J6" s="98" t="str">
        <f t="shared" si="2"/>
        <v/>
      </c>
      <c r="K6" s="98" t="str">
        <f>IF('40_Estudio_Empresas'!R4="","",'40_Estudio_Empresas'!R4)</f>
        <v/>
      </c>
      <c r="L6" s="123" t="str">
        <f>IF('40_Estudio_Empresas'!M4="","",'40_Estudio_Empresas'!M4)</f>
        <v/>
      </c>
      <c r="M6" s="98" t="str">
        <f>IF('40_Estudio_Empresas'!W4="","",'40_Estudio_Empresas'!W4)</f>
        <v/>
      </c>
      <c r="N6" s="98" t="str">
        <f t="shared" si="3"/>
        <v/>
      </c>
    </row>
    <row r="7" spans="1:14">
      <c r="A7" s="98" t="str">
        <f>IF('40_Estudio_Empresas'!A5="","",'40_Estudio_Empresas'!A5)</f>
        <v/>
      </c>
      <c r="B7" s="122" t="str">
        <f>IF('40_Estudio_Empresas'!B5="","",'40_Estudio_Empresas'!B5)</f>
        <v/>
      </c>
      <c r="C7" s="98" t="str">
        <f>IF('40_Estudio_Empresas'!C5="","",'40_Estudio_Empresas'!C5)</f>
        <v/>
      </c>
      <c r="D7" s="98" t="str">
        <f>IF('40_Estudio_Empresas'!E5="","",'40_Estudio_Empresas'!E5)</f>
        <v/>
      </c>
      <c r="E7" s="98" t="str">
        <f>IF('40_Estudio_Empresas'!F5="","",'40_Estudio_Empresas'!F5)</f>
        <v/>
      </c>
      <c r="F7" s="98" t="str">
        <f>IF('40_Estudio_Empresas'!U5="","",'40_Estudio_Empresas'!U5)</f>
        <v/>
      </c>
      <c r="G7" s="98" t="str">
        <f t="shared" si="0"/>
        <v/>
      </c>
      <c r="H7" s="98" t="str">
        <f>IF('40_Estudio_Empresas'!V5="","",'40_Estudio_Empresas'!V5)</f>
        <v/>
      </c>
      <c r="I7" s="98" t="str">
        <f t="shared" si="1"/>
        <v/>
      </c>
      <c r="J7" s="98" t="str">
        <f t="shared" si="2"/>
        <v/>
      </c>
      <c r="K7" s="98" t="str">
        <f>IF('40_Estudio_Empresas'!R5="","",'40_Estudio_Empresas'!R5)</f>
        <v/>
      </c>
      <c r="L7" s="123" t="str">
        <f>IF('40_Estudio_Empresas'!M5="","",'40_Estudio_Empresas'!M5)</f>
        <v/>
      </c>
      <c r="M7" s="98" t="str">
        <f>IF('40_Estudio_Empresas'!W5="","",'40_Estudio_Empresas'!W5)</f>
        <v/>
      </c>
      <c r="N7" s="98" t="str">
        <f t="shared" si="3"/>
        <v/>
      </c>
    </row>
    <row r="8" spans="1:14">
      <c r="A8" s="98" t="str">
        <f>IF('40_Estudio_Empresas'!A6="","",'40_Estudio_Empresas'!A6)</f>
        <v/>
      </c>
      <c r="B8" s="122" t="str">
        <f>IF('40_Estudio_Empresas'!B6="","",'40_Estudio_Empresas'!B6)</f>
        <v/>
      </c>
      <c r="C8" s="98" t="str">
        <f>IF('40_Estudio_Empresas'!C6="","",'40_Estudio_Empresas'!C6)</f>
        <v/>
      </c>
      <c r="D8" s="98" t="str">
        <f>IF('40_Estudio_Empresas'!E6="","",'40_Estudio_Empresas'!E6)</f>
        <v/>
      </c>
      <c r="E8" s="98" t="str">
        <f>IF('40_Estudio_Empresas'!F6="","",'40_Estudio_Empresas'!F6)</f>
        <v/>
      </c>
      <c r="F8" s="98" t="str">
        <f>IF('40_Estudio_Empresas'!U6="","",'40_Estudio_Empresas'!U6)</f>
        <v/>
      </c>
      <c r="G8" s="98" t="str">
        <f t="shared" si="0"/>
        <v/>
      </c>
      <c r="H8" s="98" t="str">
        <f>IF('40_Estudio_Empresas'!V6="","",'40_Estudio_Empresas'!V6)</f>
        <v/>
      </c>
      <c r="I8" s="98" t="str">
        <f t="shared" si="1"/>
        <v/>
      </c>
      <c r="J8" s="98" t="str">
        <f t="shared" si="2"/>
        <v/>
      </c>
      <c r="K8" s="98" t="str">
        <f>IF('40_Estudio_Empresas'!R6="","",'40_Estudio_Empresas'!R6)</f>
        <v/>
      </c>
      <c r="L8" s="123" t="str">
        <f>IF('40_Estudio_Empresas'!M6="","",'40_Estudio_Empresas'!M6)</f>
        <v/>
      </c>
      <c r="M8" s="98" t="str">
        <f>IF('40_Estudio_Empresas'!W6="","",'40_Estudio_Empresas'!W6)</f>
        <v/>
      </c>
      <c r="N8" s="98" t="str">
        <f t="shared" si="3"/>
        <v/>
      </c>
    </row>
    <row r="9" spans="1:14">
      <c r="A9" s="98" t="str">
        <f>IF('40_Estudio_Empresas'!A7="","",'40_Estudio_Empresas'!A7)</f>
        <v/>
      </c>
      <c r="B9" s="122" t="str">
        <f>IF('40_Estudio_Empresas'!B7="","",'40_Estudio_Empresas'!B7)</f>
        <v/>
      </c>
      <c r="C9" s="98" t="str">
        <f>IF('40_Estudio_Empresas'!C7="","",'40_Estudio_Empresas'!C7)</f>
        <v/>
      </c>
      <c r="D9" s="98" t="str">
        <f>IF('40_Estudio_Empresas'!E7="","",'40_Estudio_Empresas'!E7)</f>
        <v/>
      </c>
      <c r="E9" s="98" t="str">
        <f>IF('40_Estudio_Empresas'!F7="","",'40_Estudio_Empresas'!F7)</f>
        <v/>
      </c>
      <c r="F9" s="98" t="str">
        <f>IF('40_Estudio_Empresas'!U7="","",'40_Estudio_Empresas'!U7)</f>
        <v/>
      </c>
      <c r="G9" s="98" t="str">
        <f t="shared" si="0"/>
        <v/>
      </c>
      <c r="H9" s="98" t="str">
        <f>IF('40_Estudio_Empresas'!V7="","",'40_Estudio_Empresas'!V7)</f>
        <v/>
      </c>
      <c r="I9" s="98" t="str">
        <f t="shared" si="1"/>
        <v/>
      </c>
      <c r="J9" s="98" t="str">
        <f t="shared" si="2"/>
        <v/>
      </c>
      <c r="K9" s="98" t="str">
        <f>IF('40_Estudio_Empresas'!R7="","",'40_Estudio_Empresas'!R7)</f>
        <v/>
      </c>
      <c r="L9" s="123" t="str">
        <f>IF('40_Estudio_Empresas'!M7="","",'40_Estudio_Empresas'!M7)</f>
        <v/>
      </c>
      <c r="M9" s="98" t="str">
        <f>IF('40_Estudio_Empresas'!W7="","",'40_Estudio_Empresas'!W7)</f>
        <v/>
      </c>
      <c r="N9" s="98" t="str">
        <f t="shared" si="3"/>
        <v/>
      </c>
    </row>
    <row r="10" spans="1:14">
      <c r="A10" s="98" t="str">
        <f>IF('40_Estudio_Empresas'!A8="","",'40_Estudio_Empresas'!A8)</f>
        <v/>
      </c>
      <c r="B10" s="122" t="str">
        <f>IF('40_Estudio_Empresas'!B8="","",'40_Estudio_Empresas'!B8)</f>
        <v/>
      </c>
      <c r="C10" s="98" t="str">
        <f>IF('40_Estudio_Empresas'!C8="","",'40_Estudio_Empresas'!C8)</f>
        <v/>
      </c>
      <c r="D10" s="98" t="str">
        <f>IF('40_Estudio_Empresas'!E8="","",'40_Estudio_Empresas'!E8)</f>
        <v/>
      </c>
      <c r="E10" s="98" t="str">
        <f>IF('40_Estudio_Empresas'!F8="","",'40_Estudio_Empresas'!F8)</f>
        <v/>
      </c>
      <c r="F10" s="98" t="str">
        <f>IF('40_Estudio_Empresas'!U8="","",'40_Estudio_Empresas'!U8)</f>
        <v/>
      </c>
      <c r="G10" s="98" t="str">
        <f t="shared" si="0"/>
        <v/>
      </c>
      <c r="H10" s="98" t="str">
        <f>IF('40_Estudio_Empresas'!V8="","",'40_Estudio_Empresas'!V8)</f>
        <v/>
      </c>
      <c r="I10" s="98" t="str">
        <f t="shared" si="1"/>
        <v/>
      </c>
      <c r="J10" s="98" t="str">
        <f t="shared" si="2"/>
        <v/>
      </c>
      <c r="K10" s="98" t="str">
        <f>IF('40_Estudio_Empresas'!R8="","",'40_Estudio_Empresas'!R8)</f>
        <v/>
      </c>
      <c r="L10" s="123" t="str">
        <f>IF('40_Estudio_Empresas'!M8="","",'40_Estudio_Empresas'!M8)</f>
        <v/>
      </c>
      <c r="M10" s="98" t="str">
        <f>IF('40_Estudio_Empresas'!W8="","",'40_Estudio_Empresas'!W8)</f>
        <v/>
      </c>
      <c r="N10" s="98" t="str">
        <f t="shared" si="3"/>
        <v/>
      </c>
    </row>
    <row r="11" spans="1:14">
      <c r="A11" s="98" t="str">
        <f>IF('40_Estudio_Empresas'!A9="","",'40_Estudio_Empresas'!A9)</f>
        <v/>
      </c>
      <c r="B11" s="122" t="str">
        <f>IF('40_Estudio_Empresas'!B9="","",'40_Estudio_Empresas'!B9)</f>
        <v/>
      </c>
      <c r="C11" s="98" t="str">
        <f>IF('40_Estudio_Empresas'!C9="","",'40_Estudio_Empresas'!C9)</f>
        <v/>
      </c>
      <c r="D11" s="98" t="str">
        <f>IF('40_Estudio_Empresas'!E9="","",'40_Estudio_Empresas'!E9)</f>
        <v/>
      </c>
      <c r="E11" s="98" t="str">
        <f>IF('40_Estudio_Empresas'!F9="","",'40_Estudio_Empresas'!F9)</f>
        <v/>
      </c>
      <c r="F11" s="98" t="str">
        <f>IF('40_Estudio_Empresas'!U9="","",'40_Estudio_Empresas'!U9)</f>
        <v/>
      </c>
      <c r="G11" s="98" t="str">
        <f t="shared" si="0"/>
        <v/>
      </c>
      <c r="H11" s="98" t="str">
        <f>IF('40_Estudio_Empresas'!V9="","",'40_Estudio_Empresas'!V9)</f>
        <v/>
      </c>
      <c r="I11" s="98" t="str">
        <f t="shared" si="1"/>
        <v/>
      </c>
      <c r="J11" s="98" t="str">
        <f t="shared" si="2"/>
        <v/>
      </c>
      <c r="K11" s="98" t="str">
        <f>IF('40_Estudio_Empresas'!R9="","",'40_Estudio_Empresas'!R9)</f>
        <v/>
      </c>
      <c r="L11" s="123" t="str">
        <f>IF('40_Estudio_Empresas'!M9="","",'40_Estudio_Empresas'!M9)</f>
        <v/>
      </c>
      <c r="M11" s="98" t="str">
        <f>IF('40_Estudio_Empresas'!W9="","",'40_Estudio_Empresas'!W9)</f>
        <v/>
      </c>
      <c r="N11" s="98" t="str">
        <f t="shared" si="3"/>
        <v/>
      </c>
    </row>
    <row r="12" spans="1:14">
      <c r="A12" s="98" t="str">
        <f>IF('40_Estudio_Empresas'!A10="","",'40_Estudio_Empresas'!A10)</f>
        <v/>
      </c>
      <c r="B12" s="122" t="str">
        <f>IF('40_Estudio_Empresas'!B10="","",'40_Estudio_Empresas'!B10)</f>
        <v/>
      </c>
      <c r="C12" s="98" t="str">
        <f>IF('40_Estudio_Empresas'!C10="","",'40_Estudio_Empresas'!C10)</f>
        <v/>
      </c>
      <c r="D12" s="98" t="str">
        <f>IF('40_Estudio_Empresas'!E10="","",'40_Estudio_Empresas'!E10)</f>
        <v/>
      </c>
      <c r="E12" s="98" t="str">
        <f>IF('40_Estudio_Empresas'!F10="","",'40_Estudio_Empresas'!F10)</f>
        <v/>
      </c>
      <c r="F12" s="98" t="str">
        <f>IF('40_Estudio_Empresas'!U10="","",'40_Estudio_Empresas'!U10)</f>
        <v/>
      </c>
      <c r="G12" s="98" t="str">
        <f t="shared" si="0"/>
        <v/>
      </c>
      <c r="H12" s="98" t="str">
        <f>IF('40_Estudio_Empresas'!V10="","",'40_Estudio_Empresas'!V10)</f>
        <v/>
      </c>
      <c r="I12" s="98" t="str">
        <f t="shared" si="1"/>
        <v/>
      </c>
      <c r="J12" s="98" t="str">
        <f t="shared" si="2"/>
        <v/>
      </c>
      <c r="K12" s="98" t="str">
        <f>IF('40_Estudio_Empresas'!R10="","",'40_Estudio_Empresas'!R10)</f>
        <v/>
      </c>
      <c r="L12" s="123" t="str">
        <f>IF('40_Estudio_Empresas'!M10="","",'40_Estudio_Empresas'!M10)</f>
        <v/>
      </c>
      <c r="M12" s="98" t="str">
        <f>IF('40_Estudio_Empresas'!W10="","",'40_Estudio_Empresas'!W10)</f>
        <v/>
      </c>
      <c r="N12" s="98" t="str">
        <f t="shared" si="3"/>
        <v/>
      </c>
    </row>
    <row r="13" spans="1:14">
      <c r="A13" s="98" t="str">
        <f>IF('40_Estudio_Empresas'!A11="","",'40_Estudio_Empresas'!A11)</f>
        <v/>
      </c>
      <c r="B13" s="122" t="str">
        <f>IF('40_Estudio_Empresas'!B11="","",'40_Estudio_Empresas'!B11)</f>
        <v/>
      </c>
      <c r="C13" s="98" t="str">
        <f>IF('40_Estudio_Empresas'!C11="","",'40_Estudio_Empresas'!C11)</f>
        <v/>
      </c>
      <c r="D13" s="98" t="str">
        <f>IF('40_Estudio_Empresas'!E11="","",'40_Estudio_Empresas'!E11)</f>
        <v/>
      </c>
      <c r="E13" s="98" t="str">
        <f>IF('40_Estudio_Empresas'!F11="","",'40_Estudio_Empresas'!F11)</f>
        <v/>
      </c>
      <c r="F13" s="98" t="str">
        <f>IF('40_Estudio_Empresas'!U11="","",'40_Estudio_Empresas'!U11)</f>
        <v/>
      </c>
      <c r="G13" s="98" t="str">
        <f t="shared" si="0"/>
        <v/>
      </c>
      <c r="H13" s="98" t="str">
        <f>IF('40_Estudio_Empresas'!V11="","",'40_Estudio_Empresas'!V11)</f>
        <v/>
      </c>
      <c r="I13" s="98" t="str">
        <f t="shared" si="1"/>
        <v/>
      </c>
      <c r="J13" s="98" t="str">
        <f t="shared" si="2"/>
        <v/>
      </c>
      <c r="K13" s="98" t="str">
        <f>IF('40_Estudio_Empresas'!R11="","",'40_Estudio_Empresas'!R11)</f>
        <v/>
      </c>
      <c r="L13" s="123" t="str">
        <f>IF('40_Estudio_Empresas'!M11="","",'40_Estudio_Empresas'!M11)</f>
        <v/>
      </c>
      <c r="M13" s="98" t="str">
        <f>IF('40_Estudio_Empresas'!W11="","",'40_Estudio_Empresas'!W11)</f>
        <v/>
      </c>
      <c r="N13" s="98" t="str">
        <f t="shared" si="3"/>
        <v/>
      </c>
    </row>
    <row r="14" spans="1:14">
      <c r="A14" s="98" t="str">
        <f>IF('40_Estudio_Empresas'!A12="","",'40_Estudio_Empresas'!A12)</f>
        <v/>
      </c>
      <c r="B14" s="122" t="str">
        <f>IF('40_Estudio_Empresas'!B12="","",'40_Estudio_Empresas'!B12)</f>
        <v/>
      </c>
      <c r="C14" s="98" t="str">
        <f>IF('40_Estudio_Empresas'!C12="","",'40_Estudio_Empresas'!C12)</f>
        <v/>
      </c>
      <c r="D14" s="98" t="str">
        <f>IF('40_Estudio_Empresas'!E12="","",'40_Estudio_Empresas'!E12)</f>
        <v/>
      </c>
      <c r="E14" s="98" t="str">
        <f>IF('40_Estudio_Empresas'!F12="","",'40_Estudio_Empresas'!F12)</f>
        <v/>
      </c>
      <c r="F14" s="98" t="str">
        <f>IF('40_Estudio_Empresas'!U12="","",'40_Estudio_Empresas'!U12)</f>
        <v/>
      </c>
      <c r="G14" s="98" t="str">
        <f t="shared" si="0"/>
        <v/>
      </c>
      <c r="H14" s="98" t="str">
        <f>IF('40_Estudio_Empresas'!V12="","",'40_Estudio_Empresas'!V12)</f>
        <v/>
      </c>
      <c r="I14" s="98" t="str">
        <f t="shared" si="1"/>
        <v/>
      </c>
      <c r="J14" s="98" t="str">
        <f t="shared" si="2"/>
        <v/>
      </c>
      <c r="K14" s="98" t="str">
        <f>IF('40_Estudio_Empresas'!R12="","",'40_Estudio_Empresas'!R12)</f>
        <v/>
      </c>
      <c r="L14" s="123" t="str">
        <f>IF('40_Estudio_Empresas'!M12="","",'40_Estudio_Empresas'!M12)</f>
        <v/>
      </c>
      <c r="M14" s="98" t="str">
        <f>IF('40_Estudio_Empresas'!W12="","",'40_Estudio_Empresas'!W12)</f>
        <v/>
      </c>
      <c r="N14" s="98" t="str">
        <f t="shared" si="3"/>
        <v/>
      </c>
    </row>
    <row r="15" spans="1:14">
      <c r="A15" s="98" t="str">
        <f>IF('40_Estudio_Empresas'!A13="","",'40_Estudio_Empresas'!A13)</f>
        <v/>
      </c>
      <c r="B15" s="122" t="str">
        <f>IF('40_Estudio_Empresas'!B13="","",'40_Estudio_Empresas'!B13)</f>
        <v/>
      </c>
      <c r="C15" s="98" t="str">
        <f>IF('40_Estudio_Empresas'!C13="","",'40_Estudio_Empresas'!C13)</f>
        <v/>
      </c>
      <c r="D15" s="98" t="str">
        <f>IF('40_Estudio_Empresas'!E13="","",'40_Estudio_Empresas'!E13)</f>
        <v/>
      </c>
      <c r="E15" s="98" t="str">
        <f>IF('40_Estudio_Empresas'!F13="","",'40_Estudio_Empresas'!F13)</f>
        <v/>
      </c>
      <c r="F15" s="98" t="str">
        <f>IF('40_Estudio_Empresas'!U13="","",'40_Estudio_Empresas'!U13)</f>
        <v/>
      </c>
      <c r="G15" s="98" t="str">
        <f t="shared" si="0"/>
        <v/>
      </c>
      <c r="H15" s="98" t="str">
        <f>IF('40_Estudio_Empresas'!V13="","",'40_Estudio_Empresas'!V13)</f>
        <v/>
      </c>
      <c r="I15" s="98" t="str">
        <f t="shared" si="1"/>
        <v/>
      </c>
      <c r="J15" s="98" t="str">
        <f t="shared" si="2"/>
        <v/>
      </c>
      <c r="K15" s="98" t="str">
        <f>IF('40_Estudio_Empresas'!R13="","",'40_Estudio_Empresas'!R13)</f>
        <v/>
      </c>
      <c r="L15" s="123" t="str">
        <f>IF('40_Estudio_Empresas'!M13="","",'40_Estudio_Empresas'!M13)</f>
        <v/>
      </c>
      <c r="M15" s="98" t="str">
        <f>IF('40_Estudio_Empresas'!W13="","",'40_Estudio_Empresas'!W13)</f>
        <v/>
      </c>
      <c r="N15" s="98" t="str">
        <f t="shared" si="3"/>
        <v/>
      </c>
    </row>
    <row r="16" spans="1:14">
      <c r="A16" s="98" t="str">
        <f>IF('40_Estudio_Empresas'!A14="","",'40_Estudio_Empresas'!A14)</f>
        <v/>
      </c>
      <c r="B16" s="122" t="str">
        <f>IF('40_Estudio_Empresas'!B14="","",'40_Estudio_Empresas'!B14)</f>
        <v/>
      </c>
      <c r="C16" s="98" t="str">
        <f>IF('40_Estudio_Empresas'!C14="","",'40_Estudio_Empresas'!C14)</f>
        <v/>
      </c>
      <c r="D16" s="98" t="str">
        <f>IF('40_Estudio_Empresas'!E14="","",'40_Estudio_Empresas'!E14)</f>
        <v/>
      </c>
      <c r="E16" s="98" t="str">
        <f>IF('40_Estudio_Empresas'!F14="","",'40_Estudio_Empresas'!F14)</f>
        <v/>
      </c>
      <c r="F16" s="98" t="str">
        <f>IF('40_Estudio_Empresas'!U14="","",'40_Estudio_Empresas'!U14)</f>
        <v/>
      </c>
      <c r="G16" s="98" t="str">
        <f t="shared" si="0"/>
        <v/>
      </c>
      <c r="H16" s="98" t="str">
        <f>IF('40_Estudio_Empresas'!V14="","",'40_Estudio_Empresas'!V14)</f>
        <v/>
      </c>
      <c r="I16" s="98" t="str">
        <f t="shared" si="1"/>
        <v/>
      </c>
      <c r="J16" s="98" t="str">
        <f t="shared" si="2"/>
        <v/>
      </c>
      <c r="K16" s="98" t="str">
        <f>IF('40_Estudio_Empresas'!R14="","",'40_Estudio_Empresas'!R14)</f>
        <v/>
      </c>
      <c r="L16" s="123" t="str">
        <f>IF('40_Estudio_Empresas'!M14="","",'40_Estudio_Empresas'!M14)</f>
        <v/>
      </c>
      <c r="M16" s="98" t="str">
        <f>IF('40_Estudio_Empresas'!W14="","",'40_Estudio_Empresas'!W14)</f>
        <v/>
      </c>
      <c r="N16" s="98" t="str">
        <f t="shared" si="3"/>
        <v/>
      </c>
    </row>
    <row r="17" spans="1:14">
      <c r="A17" s="98" t="str">
        <f>IF('40_Estudio_Empresas'!A15="","",'40_Estudio_Empresas'!A15)</f>
        <v/>
      </c>
      <c r="B17" s="122" t="str">
        <f>IF('40_Estudio_Empresas'!B15="","",'40_Estudio_Empresas'!B15)</f>
        <v/>
      </c>
      <c r="C17" s="98" t="str">
        <f>IF('40_Estudio_Empresas'!C15="","",'40_Estudio_Empresas'!C15)</f>
        <v/>
      </c>
      <c r="D17" s="98" t="str">
        <f>IF('40_Estudio_Empresas'!E15="","",'40_Estudio_Empresas'!E15)</f>
        <v/>
      </c>
      <c r="E17" s="98" t="str">
        <f>IF('40_Estudio_Empresas'!F15="","",'40_Estudio_Empresas'!F15)</f>
        <v/>
      </c>
      <c r="F17" s="98" t="str">
        <f>IF('40_Estudio_Empresas'!U15="","",'40_Estudio_Empresas'!U15)</f>
        <v/>
      </c>
      <c r="G17" s="98" t="str">
        <f t="shared" si="0"/>
        <v/>
      </c>
      <c r="H17" s="98" t="str">
        <f>IF('40_Estudio_Empresas'!V15="","",'40_Estudio_Empresas'!V15)</f>
        <v/>
      </c>
      <c r="I17" s="98" t="str">
        <f t="shared" si="1"/>
        <v/>
      </c>
      <c r="J17" s="98" t="str">
        <f t="shared" si="2"/>
        <v/>
      </c>
      <c r="K17" s="98" t="str">
        <f>IF('40_Estudio_Empresas'!R15="","",'40_Estudio_Empresas'!R15)</f>
        <v/>
      </c>
      <c r="L17" s="123" t="str">
        <f>IF('40_Estudio_Empresas'!M15="","",'40_Estudio_Empresas'!M15)</f>
        <v/>
      </c>
      <c r="M17" s="98" t="str">
        <f>IF('40_Estudio_Empresas'!W15="","",'40_Estudio_Empresas'!W15)</f>
        <v/>
      </c>
      <c r="N17" s="98" t="str">
        <f t="shared" si="3"/>
        <v/>
      </c>
    </row>
    <row r="18" spans="1:14">
      <c r="A18" s="98" t="str">
        <f>IF('40_Estudio_Empresas'!A16="","",'40_Estudio_Empresas'!A16)</f>
        <v/>
      </c>
      <c r="B18" s="122" t="str">
        <f>IF('40_Estudio_Empresas'!B16="","",'40_Estudio_Empresas'!B16)</f>
        <v/>
      </c>
      <c r="C18" s="98" t="str">
        <f>IF('40_Estudio_Empresas'!C16="","",'40_Estudio_Empresas'!C16)</f>
        <v/>
      </c>
      <c r="D18" s="98" t="str">
        <f>IF('40_Estudio_Empresas'!E16="","",'40_Estudio_Empresas'!E16)</f>
        <v/>
      </c>
      <c r="E18" s="98" t="str">
        <f>IF('40_Estudio_Empresas'!F16="","",'40_Estudio_Empresas'!F16)</f>
        <v/>
      </c>
      <c r="F18" s="98" t="str">
        <f>IF('40_Estudio_Empresas'!U16="","",'40_Estudio_Empresas'!U16)</f>
        <v/>
      </c>
      <c r="G18" s="98" t="str">
        <f t="shared" si="0"/>
        <v/>
      </c>
      <c r="H18" s="98" t="str">
        <f>IF('40_Estudio_Empresas'!V16="","",'40_Estudio_Empresas'!V16)</f>
        <v/>
      </c>
      <c r="I18" s="98" t="str">
        <f t="shared" si="1"/>
        <v/>
      </c>
      <c r="J18" s="98" t="str">
        <f t="shared" si="2"/>
        <v/>
      </c>
      <c r="K18" s="98" t="str">
        <f>IF('40_Estudio_Empresas'!R16="","",'40_Estudio_Empresas'!R16)</f>
        <v/>
      </c>
      <c r="L18" s="123" t="str">
        <f>IF('40_Estudio_Empresas'!M16="","",'40_Estudio_Empresas'!M16)</f>
        <v/>
      </c>
      <c r="M18" s="98" t="str">
        <f>IF('40_Estudio_Empresas'!W16="","",'40_Estudio_Empresas'!W16)</f>
        <v/>
      </c>
      <c r="N18" s="98" t="str">
        <f t="shared" si="3"/>
        <v/>
      </c>
    </row>
    <row r="19" spans="1:14">
      <c r="A19" s="98" t="str">
        <f>IF('40_Estudio_Empresas'!A17="","",'40_Estudio_Empresas'!A17)</f>
        <v/>
      </c>
      <c r="B19" s="122" t="str">
        <f>IF('40_Estudio_Empresas'!B17="","",'40_Estudio_Empresas'!B17)</f>
        <v/>
      </c>
      <c r="C19" s="98" t="str">
        <f>IF('40_Estudio_Empresas'!C17="","",'40_Estudio_Empresas'!C17)</f>
        <v/>
      </c>
      <c r="D19" s="98" t="str">
        <f>IF('40_Estudio_Empresas'!E17="","",'40_Estudio_Empresas'!E17)</f>
        <v/>
      </c>
      <c r="E19" s="98" t="str">
        <f>IF('40_Estudio_Empresas'!F17="","",'40_Estudio_Empresas'!F17)</f>
        <v/>
      </c>
      <c r="F19" s="98" t="str">
        <f>IF('40_Estudio_Empresas'!U17="","",'40_Estudio_Empresas'!U17)</f>
        <v/>
      </c>
      <c r="G19" s="98" t="str">
        <f t="shared" si="0"/>
        <v/>
      </c>
      <c r="H19" s="98" t="str">
        <f>IF('40_Estudio_Empresas'!V17="","",'40_Estudio_Empresas'!V17)</f>
        <v/>
      </c>
      <c r="I19" s="98" t="str">
        <f t="shared" si="1"/>
        <v/>
      </c>
      <c r="J19" s="98" t="str">
        <f t="shared" si="2"/>
        <v/>
      </c>
      <c r="K19" s="98" t="str">
        <f>IF('40_Estudio_Empresas'!R17="","",'40_Estudio_Empresas'!R17)</f>
        <v/>
      </c>
      <c r="L19" s="123" t="str">
        <f>IF('40_Estudio_Empresas'!M17="","",'40_Estudio_Empresas'!M17)</f>
        <v/>
      </c>
      <c r="M19" s="98" t="str">
        <f>IF('40_Estudio_Empresas'!W17="","",'40_Estudio_Empresas'!W17)</f>
        <v/>
      </c>
      <c r="N19" s="98" t="str">
        <f t="shared" si="3"/>
        <v/>
      </c>
    </row>
    <row r="20" spans="1:14">
      <c r="A20" s="98" t="str">
        <f>IF('40_Estudio_Empresas'!A18="","",'40_Estudio_Empresas'!A18)</f>
        <v/>
      </c>
      <c r="B20" s="122" t="str">
        <f>IF('40_Estudio_Empresas'!B18="","",'40_Estudio_Empresas'!B18)</f>
        <v/>
      </c>
      <c r="C20" s="98" t="str">
        <f>IF('40_Estudio_Empresas'!C18="","",'40_Estudio_Empresas'!C18)</f>
        <v/>
      </c>
      <c r="D20" s="98" t="str">
        <f>IF('40_Estudio_Empresas'!E18="","",'40_Estudio_Empresas'!E18)</f>
        <v/>
      </c>
      <c r="E20" s="98" t="str">
        <f>IF('40_Estudio_Empresas'!F18="","",'40_Estudio_Empresas'!F18)</f>
        <v/>
      </c>
      <c r="F20" s="98" t="str">
        <f>IF('40_Estudio_Empresas'!U18="","",'40_Estudio_Empresas'!U18)</f>
        <v/>
      </c>
      <c r="G20" s="98" t="str">
        <f t="shared" si="0"/>
        <v/>
      </c>
      <c r="H20" s="98" t="str">
        <f>IF('40_Estudio_Empresas'!V18="","",'40_Estudio_Empresas'!V18)</f>
        <v/>
      </c>
      <c r="I20" s="98" t="str">
        <f t="shared" si="1"/>
        <v/>
      </c>
      <c r="J20" s="98" t="str">
        <f t="shared" si="2"/>
        <v/>
      </c>
      <c r="K20" s="98" t="str">
        <f>IF('40_Estudio_Empresas'!R18="","",'40_Estudio_Empresas'!R18)</f>
        <v/>
      </c>
      <c r="L20" s="123" t="str">
        <f>IF('40_Estudio_Empresas'!M18="","",'40_Estudio_Empresas'!M18)</f>
        <v/>
      </c>
      <c r="M20" s="98" t="str">
        <f>IF('40_Estudio_Empresas'!W18="","",'40_Estudio_Empresas'!W18)</f>
        <v/>
      </c>
      <c r="N20" s="98" t="str">
        <f t="shared" si="3"/>
        <v/>
      </c>
    </row>
    <row r="21" spans="1:14">
      <c r="A21" s="98" t="str">
        <f>IF('40_Estudio_Empresas'!A19="","",'40_Estudio_Empresas'!A19)</f>
        <v/>
      </c>
      <c r="B21" s="122" t="str">
        <f>IF('40_Estudio_Empresas'!B19="","",'40_Estudio_Empresas'!B19)</f>
        <v/>
      </c>
      <c r="C21" s="98" t="str">
        <f>IF('40_Estudio_Empresas'!C19="","",'40_Estudio_Empresas'!C19)</f>
        <v/>
      </c>
      <c r="D21" s="98" t="str">
        <f>IF('40_Estudio_Empresas'!E19="","",'40_Estudio_Empresas'!E19)</f>
        <v/>
      </c>
      <c r="E21" s="98" t="str">
        <f>IF('40_Estudio_Empresas'!F19="","",'40_Estudio_Empresas'!F19)</f>
        <v/>
      </c>
      <c r="F21" s="98" t="str">
        <f>IF('40_Estudio_Empresas'!U19="","",'40_Estudio_Empresas'!U19)</f>
        <v/>
      </c>
      <c r="G21" s="98" t="str">
        <f t="shared" si="0"/>
        <v/>
      </c>
      <c r="H21" s="98" t="str">
        <f>IF('40_Estudio_Empresas'!V19="","",'40_Estudio_Empresas'!V19)</f>
        <v/>
      </c>
      <c r="I21" s="98" t="str">
        <f t="shared" si="1"/>
        <v/>
      </c>
      <c r="J21" s="98" t="str">
        <f t="shared" si="2"/>
        <v/>
      </c>
      <c r="K21" s="98" t="str">
        <f>IF('40_Estudio_Empresas'!R19="","",'40_Estudio_Empresas'!R19)</f>
        <v/>
      </c>
      <c r="L21" s="123" t="str">
        <f>IF('40_Estudio_Empresas'!M19="","",'40_Estudio_Empresas'!M19)</f>
        <v/>
      </c>
      <c r="M21" s="98" t="str">
        <f>IF('40_Estudio_Empresas'!W19="","",'40_Estudio_Empresas'!W19)</f>
        <v/>
      </c>
      <c r="N21" s="98" t="str">
        <f t="shared" si="3"/>
        <v/>
      </c>
    </row>
    <row r="22" spans="1:14">
      <c r="A22" s="98" t="str">
        <f>IF('40_Estudio_Empresas'!A20="","",'40_Estudio_Empresas'!A20)</f>
        <v/>
      </c>
      <c r="B22" s="122" t="str">
        <f>IF('40_Estudio_Empresas'!B20="","",'40_Estudio_Empresas'!B20)</f>
        <v/>
      </c>
      <c r="C22" s="98" t="str">
        <f>IF('40_Estudio_Empresas'!C20="","",'40_Estudio_Empresas'!C20)</f>
        <v/>
      </c>
      <c r="D22" s="98" t="str">
        <f>IF('40_Estudio_Empresas'!E20="","",'40_Estudio_Empresas'!E20)</f>
        <v/>
      </c>
      <c r="E22" s="98" t="str">
        <f>IF('40_Estudio_Empresas'!F20="","",'40_Estudio_Empresas'!F20)</f>
        <v/>
      </c>
      <c r="F22" s="98" t="str">
        <f>IF('40_Estudio_Empresas'!U20="","",'40_Estudio_Empresas'!U20)</f>
        <v/>
      </c>
      <c r="G22" s="98" t="str">
        <f t="shared" si="0"/>
        <v/>
      </c>
      <c r="H22" s="98" t="str">
        <f>IF('40_Estudio_Empresas'!V20="","",'40_Estudio_Empresas'!V20)</f>
        <v/>
      </c>
      <c r="I22" s="98" t="str">
        <f t="shared" si="1"/>
        <v/>
      </c>
      <c r="J22" s="98" t="str">
        <f t="shared" si="2"/>
        <v/>
      </c>
      <c r="K22" s="98" t="str">
        <f>IF('40_Estudio_Empresas'!R20="","",'40_Estudio_Empresas'!R20)</f>
        <v/>
      </c>
      <c r="L22" s="123" t="str">
        <f>IF('40_Estudio_Empresas'!M20="","",'40_Estudio_Empresas'!M20)</f>
        <v/>
      </c>
      <c r="M22" s="98" t="str">
        <f>IF('40_Estudio_Empresas'!W20="","",'40_Estudio_Empresas'!W20)</f>
        <v/>
      </c>
      <c r="N22" s="98" t="str">
        <f t="shared" si="3"/>
        <v/>
      </c>
    </row>
    <row r="23" spans="1:14">
      <c r="A23" s="98" t="str">
        <f>IF('40_Estudio_Empresas'!A21="","",'40_Estudio_Empresas'!A21)</f>
        <v/>
      </c>
      <c r="B23" s="122" t="str">
        <f>IF('40_Estudio_Empresas'!B21="","",'40_Estudio_Empresas'!B21)</f>
        <v/>
      </c>
      <c r="C23" s="98" t="str">
        <f>IF('40_Estudio_Empresas'!C21="","",'40_Estudio_Empresas'!C21)</f>
        <v/>
      </c>
      <c r="D23" s="98" t="str">
        <f>IF('40_Estudio_Empresas'!E21="","",'40_Estudio_Empresas'!E21)</f>
        <v/>
      </c>
      <c r="E23" s="98" t="str">
        <f>IF('40_Estudio_Empresas'!F21="","",'40_Estudio_Empresas'!F21)</f>
        <v/>
      </c>
      <c r="F23" s="98" t="str">
        <f>IF('40_Estudio_Empresas'!U21="","",'40_Estudio_Empresas'!U21)</f>
        <v/>
      </c>
      <c r="G23" s="98" t="str">
        <f t="shared" si="0"/>
        <v/>
      </c>
      <c r="H23" s="98" t="str">
        <f>IF('40_Estudio_Empresas'!V21="","",'40_Estudio_Empresas'!V21)</f>
        <v/>
      </c>
      <c r="I23" s="98" t="str">
        <f t="shared" si="1"/>
        <v/>
      </c>
      <c r="J23" s="98" t="str">
        <f t="shared" si="2"/>
        <v/>
      </c>
      <c r="K23" s="98" t="str">
        <f>IF('40_Estudio_Empresas'!R21="","",'40_Estudio_Empresas'!R21)</f>
        <v/>
      </c>
      <c r="L23" s="123" t="str">
        <f>IF('40_Estudio_Empresas'!M21="","",'40_Estudio_Empresas'!M21)</f>
        <v/>
      </c>
      <c r="M23" s="98" t="str">
        <f>IF('40_Estudio_Empresas'!W21="","",'40_Estudio_Empresas'!W21)</f>
        <v/>
      </c>
      <c r="N23" s="98" t="str">
        <f t="shared" si="3"/>
        <v/>
      </c>
    </row>
    <row r="24" spans="1:14">
      <c r="A24" s="98" t="str">
        <f>IF('40_Estudio_Empresas'!A22="","",'40_Estudio_Empresas'!A22)</f>
        <v/>
      </c>
      <c r="B24" s="122" t="str">
        <f>IF('40_Estudio_Empresas'!B22="","",'40_Estudio_Empresas'!B22)</f>
        <v/>
      </c>
      <c r="C24" s="98" t="str">
        <f>IF('40_Estudio_Empresas'!C22="","",'40_Estudio_Empresas'!C22)</f>
        <v/>
      </c>
      <c r="D24" s="98" t="str">
        <f>IF('40_Estudio_Empresas'!E22="","",'40_Estudio_Empresas'!E22)</f>
        <v/>
      </c>
      <c r="E24" s="98" t="str">
        <f>IF('40_Estudio_Empresas'!F22="","",'40_Estudio_Empresas'!F22)</f>
        <v/>
      </c>
      <c r="F24" s="98" t="str">
        <f>IF('40_Estudio_Empresas'!U22="","",'40_Estudio_Empresas'!U22)</f>
        <v/>
      </c>
      <c r="G24" s="98" t="str">
        <f t="shared" si="0"/>
        <v/>
      </c>
      <c r="H24" s="98" t="str">
        <f>IF('40_Estudio_Empresas'!V22="","",'40_Estudio_Empresas'!V22)</f>
        <v/>
      </c>
      <c r="I24" s="98" t="str">
        <f t="shared" si="1"/>
        <v/>
      </c>
      <c r="J24" s="98" t="str">
        <f t="shared" si="2"/>
        <v/>
      </c>
      <c r="K24" s="98" t="str">
        <f>IF('40_Estudio_Empresas'!R22="","",'40_Estudio_Empresas'!R22)</f>
        <v/>
      </c>
      <c r="L24" s="123" t="str">
        <f>IF('40_Estudio_Empresas'!M22="","",'40_Estudio_Empresas'!M22)</f>
        <v/>
      </c>
      <c r="M24" s="98" t="str">
        <f>IF('40_Estudio_Empresas'!W22="","",'40_Estudio_Empresas'!W22)</f>
        <v/>
      </c>
      <c r="N24" s="98" t="str">
        <f t="shared" si="3"/>
        <v/>
      </c>
    </row>
    <row r="25" spans="1:14">
      <c r="A25" s="98" t="str">
        <f>IF('40_Estudio_Empresas'!A23="","",'40_Estudio_Empresas'!A23)</f>
        <v/>
      </c>
      <c r="B25" s="122" t="str">
        <f>IF('40_Estudio_Empresas'!B23="","",'40_Estudio_Empresas'!B23)</f>
        <v/>
      </c>
      <c r="C25" s="98" t="str">
        <f>IF('40_Estudio_Empresas'!C23="","",'40_Estudio_Empresas'!C23)</f>
        <v/>
      </c>
      <c r="D25" s="98" t="str">
        <f>IF('40_Estudio_Empresas'!E23="","",'40_Estudio_Empresas'!E23)</f>
        <v/>
      </c>
      <c r="E25" s="98" t="str">
        <f>IF('40_Estudio_Empresas'!F23="","",'40_Estudio_Empresas'!F23)</f>
        <v/>
      </c>
      <c r="F25" s="98" t="str">
        <f>IF('40_Estudio_Empresas'!U23="","",'40_Estudio_Empresas'!U23)</f>
        <v/>
      </c>
      <c r="G25" s="98" t="str">
        <f t="shared" si="0"/>
        <v/>
      </c>
      <c r="H25" s="98" t="str">
        <f>IF('40_Estudio_Empresas'!V23="","",'40_Estudio_Empresas'!V23)</f>
        <v/>
      </c>
      <c r="I25" s="98" t="str">
        <f t="shared" si="1"/>
        <v/>
      </c>
      <c r="J25" s="98" t="str">
        <f t="shared" si="2"/>
        <v/>
      </c>
      <c r="K25" s="98" t="str">
        <f>IF('40_Estudio_Empresas'!R23="","",'40_Estudio_Empresas'!R23)</f>
        <v/>
      </c>
      <c r="L25" s="123" t="str">
        <f>IF('40_Estudio_Empresas'!M23="","",'40_Estudio_Empresas'!M23)</f>
        <v/>
      </c>
      <c r="M25" s="98" t="str">
        <f>IF('40_Estudio_Empresas'!W23="","",'40_Estudio_Empresas'!W23)</f>
        <v/>
      </c>
      <c r="N25" s="98" t="str">
        <f t="shared" si="3"/>
        <v/>
      </c>
    </row>
    <row r="26" spans="1:14">
      <c r="A26" s="98" t="str">
        <f>IF('40_Estudio_Empresas'!A24="","",'40_Estudio_Empresas'!A24)</f>
        <v/>
      </c>
      <c r="B26" s="122" t="str">
        <f>IF('40_Estudio_Empresas'!B24="","",'40_Estudio_Empresas'!B24)</f>
        <v/>
      </c>
      <c r="C26" s="98" t="str">
        <f>IF('40_Estudio_Empresas'!C24="","",'40_Estudio_Empresas'!C24)</f>
        <v/>
      </c>
      <c r="D26" s="98" t="str">
        <f>IF('40_Estudio_Empresas'!E24="","",'40_Estudio_Empresas'!E24)</f>
        <v/>
      </c>
      <c r="E26" s="98" t="str">
        <f>IF('40_Estudio_Empresas'!F24="","",'40_Estudio_Empresas'!F24)</f>
        <v/>
      </c>
      <c r="F26" s="98" t="str">
        <f>IF('40_Estudio_Empresas'!U24="","",'40_Estudio_Empresas'!U24)</f>
        <v/>
      </c>
      <c r="G26" s="98" t="str">
        <f t="shared" si="0"/>
        <v/>
      </c>
      <c r="H26" s="98" t="str">
        <f>IF('40_Estudio_Empresas'!V24="","",'40_Estudio_Empresas'!V24)</f>
        <v/>
      </c>
      <c r="I26" s="98" t="str">
        <f t="shared" si="1"/>
        <v/>
      </c>
      <c r="J26" s="98" t="str">
        <f t="shared" si="2"/>
        <v/>
      </c>
      <c r="K26" s="98" t="str">
        <f>IF('40_Estudio_Empresas'!R24="","",'40_Estudio_Empresas'!R24)</f>
        <v/>
      </c>
      <c r="L26" s="123" t="str">
        <f>IF('40_Estudio_Empresas'!M24="","",'40_Estudio_Empresas'!M24)</f>
        <v/>
      </c>
      <c r="M26" s="98" t="str">
        <f>IF('40_Estudio_Empresas'!W24="","",'40_Estudio_Empresas'!W24)</f>
        <v/>
      </c>
      <c r="N26" s="98" t="str">
        <f t="shared" si="3"/>
        <v/>
      </c>
    </row>
    <row r="27" spans="1:14">
      <c r="A27" s="98" t="str">
        <f>IF('40_Estudio_Empresas'!A25="","",'40_Estudio_Empresas'!A25)</f>
        <v/>
      </c>
      <c r="B27" s="122" t="str">
        <f>IF('40_Estudio_Empresas'!B25="","",'40_Estudio_Empresas'!B25)</f>
        <v/>
      </c>
      <c r="C27" s="98" t="str">
        <f>IF('40_Estudio_Empresas'!C25="","",'40_Estudio_Empresas'!C25)</f>
        <v/>
      </c>
      <c r="D27" s="98" t="str">
        <f>IF('40_Estudio_Empresas'!E25="","",'40_Estudio_Empresas'!E25)</f>
        <v/>
      </c>
      <c r="E27" s="98" t="str">
        <f>IF('40_Estudio_Empresas'!F25="","",'40_Estudio_Empresas'!F25)</f>
        <v/>
      </c>
      <c r="F27" s="98" t="str">
        <f>IF('40_Estudio_Empresas'!U25="","",'40_Estudio_Empresas'!U25)</f>
        <v/>
      </c>
      <c r="G27" s="98" t="str">
        <f t="shared" si="0"/>
        <v/>
      </c>
      <c r="H27" s="98" t="str">
        <f>IF('40_Estudio_Empresas'!V25="","",'40_Estudio_Empresas'!V25)</f>
        <v/>
      </c>
      <c r="I27" s="98" t="str">
        <f t="shared" si="1"/>
        <v/>
      </c>
      <c r="J27" s="98" t="str">
        <f t="shared" si="2"/>
        <v/>
      </c>
      <c r="K27" s="98" t="str">
        <f>IF('40_Estudio_Empresas'!R25="","",'40_Estudio_Empresas'!R25)</f>
        <v/>
      </c>
      <c r="L27" s="123" t="str">
        <f>IF('40_Estudio_Empresas'!M25="","",'40_Estudio_Empresas'!M25)</f>
        <v/>
      </c>
      <c r="M27" s="98" t="str">
        <f>IF('40_Estudio_Empresas'!W25="","",'40_Estudio_Empresas'!W25)</f>
        <v/>
      </c>
      <c r="N27" s="98" t="str">
        <f t="shared" si="3"/>
        <v/>
      </c>
    </row>
    <row r="28" spans="1:14">
      <c r="A28" s="98" t="str">
        <f>IF('40_Estudio_Empresas'!A26="","",'40_Estudio_Empresas'!A26)</f>
        <v/>
      </c>
      <c r="B28" s="122" t="str">
        <f>IF('40_Estudio_Empresas'!B26="","",'40_Estudio_Empresas'!B26)</f>
        <v/>
      </c>
      <c r="C28" s="98" t="str">
        <f>IF('40_Estudio_Empresas'!C26="","",'40_Estudio_Empresas'!C26)</f>
        <v/>
      </c>
      <c r="D28" s="98" t="str">
        <f>IF('40_Estudio_Empresas'!E26="","",'40_Estudio_Empresas'!E26)</f>
        <v/>
      </c>
      <c r="E28" s="98" t="str">
        <f>IF('40_Estudio_Empresas'!F26="","",'40_Estudio_Empresas'!F26)</f>
        <v/>
      </c>
      <c r="F28" s="98" t="str">
        <f>IF('40_Estudio_Empresas'!U26="","",'40_Estudio_Empresas'!U26)</f>
        <v/>
      </c>
      <c r="G28" s="98" t="str">
        <f t="shared" si="0"/>
        <v/>
      </c>
      <c r="H28" s="98" t="str">
        <f>IF('40_Estudio_Empresas'!V26="","",'40_Estudio_Empresas'!V26)</f>
        <v/>
      </c>
      <c r="I28" s="98" t="str">
        <f t="shared" si="1"/>
        <v/>
      </c>
      <c r="J28" s="98" t="str">
        <f t="shared" si="2"/>
        <v/>
      </c>
      <c r="K28" s="98" t="str">
        <f>IF('40_Estudio_Empresas'!R26="","",'40_Estudio_Empresas'!R26)</f>
        <v/>
      </c>
      <c r="L28" s="123" t="str">
        <f>IF('40_Estudio_Empresas'!M26="","",'40_Estudio_Empresas'!M26)</f>
        <v/>
      </c>
      <c r="M28" s="98" t="str">
        <f>IF('40_Estudio_Empresas'!W26="","",'40_Estudio_Empresas'!W26)</f>
        <v/>
      </c>
      <c r="N28" s="98" t="str">
        <f t="shared" si="3"/>
        <v/>
      </c>
    </row>
    <row r="29" spans="1:14">
      <c r="A29" s="98" t="str">
        <f>IF('40_Estudio_Empresas'!A27="","",'40_Estudio_Empresas'!A27)</f>
        <v/>
      </c>
      <c r="B29" s="122" t="str">
        <f>IF('40_Estudio_Empresas'!B27="","",'40_Estudio_Empresas'!B27)</f>
        <v/>
      </c>
      <c r="C29" s="98" t="str">
        <f>IF('40_Estudio_Empresas'!C27="","",'40_Estudio_Empresas'!C27)</f>
        <v/>
      </c>
      <c r="D29" s="98" t="str">
        <f>IF('40_Estudio_Empresas'!E27="","",'40_Estudio_Empresas'!E27)</f>
        <v/>
      </c>
      <c r="E29" s="98" t="str">
        <f>IF('40_Estudio_Empresas'!F27="","",'40_Estudio_Empresas'!F27)</f>
        <v/>
      </c>
      <c r="F29" s="98" t="str">
        <f>IF('40_Estudio_Empresas'!U27="","",'40_Estudio_Empresas'!U27)</f>
        <v/>
      </c>
      <c r="G29" s="98" t="str">
        <f t="shared" si="0"/>
        <v/>
      </c>
      <c r="H29" s="98" t="str">
        <f>IF('40_Estudio_Empresas'!V27="","",'40_Estudio_Empresas'!V27)</f>
        <v/>
      </c>
      <c r="I29" s="98" t="str">
        <f t="shared" si="1"/>
        <v/>
      </c>
      <c r="J29" s="98" t="str">
        <f t="shared" si="2"/>
        <v/>
      </c>
      <c r="K29" s="98" t="str">
        <f>IF('40_Estudio_Empresas'!R27="","",'40_Estudio_Empresas'!R27)</f>
        <v/>
      </c>
      <c r="L29" s="123" t="str">
        <f>IF('40_Estudio_Empresas'!M27="","",'40_Estudio_Empresas'!M27)</f>
        <v/>
      </c>
      <c r="M29" s="98" t="str">
        <f>IF('40_Estudio_Empresas'!W27="","",'40_Estudio_Empresas'!W27)</f>
        <v/>
      </c>
      <c r="N29" s="98" t="str">
        <f t="shared" si="3"/>
        <v/>
      </c>
    </row>
    <row r="30" spans="1:14">
      <c r="A30" s="98" t="str">
        <f>IF('40_Estudio_Empresas'!A28="","",'40_Estudio_Empresas'!A28)</f>
        <v/>
      </c>
      <c r="B30" s="122" t="str">
        <f>IF('40_Estudio_Empresas'!B28="","",'40_Estudio_Empresas'!B28)</f>
        <v/>
      </c>
      <c r="C30" s="98" t="str">
        <f>IF('40_Estudio_Empresas'!C28="","",'40_Estudio_Empresas'!C28)</f>
        <v/>
      </c>
      <c r="D30" s="98" t="str">
        <f>IF('40_Estudio_Empresas'!E28="","",'40_Estudio_Empresas'!E28)</f>
        <v/>
      </c>
      <c r="E30" s="98" t="str">
        <f>IF('40_Estudio_Empresas'!F28="","",'40_Estudio_Empresas'!F28)</f>
        <v/>
      </c>
      <c r="F30" s="98" t="str">
        <f>IF('40_Estudio_Empresas'!U28="","",'40_Estudio_Empresas'!U28)</f>
        <v/>
      </c>
      <c r="G30" s="98" t="str">
        <f t="shared" si="0"/>
        <v/>
      </c>
      <c r="H30" s="98" t="str">
        <f>IF('40_Estudio_Empresas'!V28="","",'40_Estudio_Empresas'!V28)</f>
        <v/>
      </c>
      <c r="I30" s="98" t="str">
        <f t="shared" si="1"/>
        <v/>
      </c>
      <c r="J30" s="98" t="str">
        <f t="shared" si="2"/>
        <v/>
      </c>
      <c r="K30" s="98" t="str">
        <f>IF('40_Estudio_Empresas'!R28="","",'40_Estudio_Empresas'!R28)</f>
        <v/>
      </c>
      <c r="L30" s="123" t="str">
        <f>IF('40_Estudio_Empresas'!M28="","",'40_Estudio_Empresas'!M28)</f>
        <v/>
      </c>
      <c r="M30" s="98" t="str">
        <f>IF('40_Estudio_Empresas'!W28="","",'40_Estudio_Empresas'!W28)</f>
        <v/>
      </c>
      <c r="N30" s="98" t="str">
        <f t="shared" si="3"/>
        <v/>
      </c>
    </row>
    <row r="31" spans="1:14">
      <c r="A31" s="98" t="str">
        <f>IF('40_Estudio_Empresas'!A29="","",'40_Estudio_Empresas'!A29)</f>
        <v/>
      </c>
      <c r="B31" s="122" t="str">
        <f>IF('40_Estudio_Empresas'!B29="","",'40_Estudio_Empresas'!B29)</f>
        <v/>
      </c>
      <c r="C31" s="98" t="str">
        <f>IF('40_Estudio_Empresas'!C29="","",'40_Estudio_Empresas'!C29)</f>
        <v/>
      </c>
      <c r="D31" s="98" t="str">
        <f>IF('40_Estudio_Empresas'!E29="","",'40_Estudio_Empresas'!E29)</f>
        <v/>
      </c>
      <c r="E31" s="98" t="str">
        <f>IF('40_Estudio_Empresas'!F29="","",'40_Estudio_Empresas'!F29)</f>
        <v/>
      </c>
      <c r="F31" s="98" t="str">
        <f>IF('40_Estudio_Empresas'!U29="","",'40_Estudio_Empresas'!U29)</f>
        <v/>
      </c>
      <c r="G31" s="98" t="str">
        <f t="shared" si="0"/>
        <v/>
      </c>
      <c r="H31" s="98" t="str">
        <f>IF('40_Estudio_Empresas'!V29="","",'40_Estudio_Empresas'!V29)</f>
        <v/>
      </c>
      <c r="I31" s="98" t="str">
        <f t="shared" si="1"/>
        <v/>
      </c>
      <c r="J31" s="98" t="str">
        <f t="shared" si="2"/>
        <v/>
      </c>
      <c r="K31" s="98" t="str">
        <f>IF('40_Estudio_Empresas'!R29="","",'40_Estudio_Empresas'!R29)</f>
        <v/>
      </c>
      <c r="L31" s="123" t="str">
        <f>IF('40_Estudio_Empresas'!M29="","",'40_Estudio_Empresas'!M29)</f>
        <v/>
      </c>
      <c r="M31" s="98" t="str">
        <f>IF('40_Estudio_Empresas'!W29="","",'40_Estudio_Empresas'!W29)</f>
        <v/>
      </c>
      <c r="N31" s="98" t="str">
        <f t="shared" si="3"/>
        <v/>
      </c>
    </row>
    <row r="32" spans="1:14">
      <c r="A32" s="98" t="str">
        <f>IF('40_Estudio_Empresas'!A30="","",'40_Estudio_Empresas'!A30)</f>
        <v/>
      </c>
      <c r="B32" s="122" t="str">
        <f>IF('40_Estudio_Empresas'!B30="","",'40_Estudio_Empresas'!B30)</f>
        <v/>
      </c>
      <c r="C32" s="98" t="str">
        <f>IF('40_Estudio_Empresas'!C30="","",'40_Estudio_Empresas'!C30)</f>
        <v/>
      </c>
      <c r="D32" s="98" t="str">
        <f>IF('40_Estudio_Empresas'!E30="","",'40_Estudio_Empresas'!E30)</f>
        <v/>
      </c>
      <c r="E32" s="98" t="str">
        <f>IF('40_Estudio_Empresas'!F30="","",'40_Estudio_Empresas'!F30)</f>
        <v/>
      </c>
      <c r="F32" s="98" t="str">
        <f>IF('40_Estudio_Empresas'!U30="","",'40_Estudio_Empresas'!U30)</f>
        <v/>
      </c>
      <c r="G32" s="98" t="str">
        <f t="shared" si="0"/>
        <v/>
      </c>
      <c r="H32" s="98" t="str">
        <f>IF('40_Estudio_Empresas'!V30="","",'40_Estudio_Empresas'!V30)</f>
        <v/>
      </c>
      <c r="I32" s="98" t="str">
        <f t="shared" si="1"/>
        <v/>
      </c>
      <c r="J32" s="98" t="str">
        <f t="shared" si="2"/>
        <v/>
      </c>
      <c r="K32" s="98" t="str">
        <f>IF('40_Estudio_Empresas'!R30="","",'40_Estudio_Empresas'!R30)</f>
        <v/>
      </c>
      <c r="L32" s="123" t="str">
        <f>IF('40_Estudio_Empresas'!M30="","",'40_Estudio_Empresas'!M30)</f>
        <v/>
      </c>
      <c r="M32" s="98" t="str">
        <f>IF('40_Estudio_Empresas'!W30="","",'40_Estudio_Empresas'!W30)</f>
        <v/>
      </c>
      <c r="N32" s="98" t="str">
        <f t="shared" si="3"/>
        <v/>
      </c>
    </row>
    <row r="33" spans="1:14">
      <c r="A33" s="98" t="str">
        <f>IF('40_Estudio_Empresas'!A31="","",'40_Estudio_Empresas'!A31)</f>
        <v/>
      </c>
      <c r="B33" s="122" t="str">
        <f>IF('40_Estudio_Empresas'!B31="","",'40_Estudio_Empresas'!B31)</f>
        <v/>
      </c>
      <c r="C33" s="98" t="str">
        <f>IF('40_Estudio_Empresas'!C31="","",'40_Estudio_Empresas'!C31)</f>
        <v/>
      </c>
      <c r="D33" s="98" t="str">
        <f>IF('40_Estudio_Empresas'!E31="","",'40_Estudio_Empresas'!E31)</f>
        <v/>
      </c>
      <c r="E33" s="98" t="str">
        <f>IF('40_Estudio_Empresas'!F31="","",'40_Estudio_Empresas'!F31)</f>
        <v/>
      </c>
      <c r="F33" s="98" t="str">
        <f>IF('40_Estudio_Empresas'!U31="","",'40_Estudio_Empresas'!U31)</f>
        <v/>
      </c>
      <c r="G33" s="98" t="str">
        <f t="shared" si="0"/>
        <v/>
      </c>
      <c r="H33" s="98" t="str">
        <f>IF('40_Estudio_Empresas'!V31="","",'40_Estudio_Empresas'!V31)</f>
        <v/>
      </c>
      <c r="I33" s="98" t="str">
        <f t="shared" si="1"/>
        <v/>
      </c>
      <c r="J33" s="98" t="str">
        <f t="shared" si="2"/>
        <v/>
      </c>
      <c r="K33" s="98" t="str">
        <f>IF('40_Estudio_Empresas'!R31="","",'40_Estudio_Empresas'!R31)</f>
        <v/>
      </c>
      <c r="L33" s="123" t="str">
        <f>IF('40_Estudio_Empresas'!M31="","",'40_Estudio_Empresas'!M31)</f>
        <v/>
      </c>
      <c r="M33" s="98" t="str">
        <f>IF('40_Estudio_Empresas'!W31="","",'40_Estudio_Empresas'!W31)</f>
        <v/>
      </c>
      <c r="N33" s="98" t="str">
        <f t="shared" si="3"/>
        <v/>
      </c>
    </row>
    <row r="34" spans="1:14">
      <c r="A34" s="98" t="str">
        <f>IF('40_Estudio_Empresas'!A32="","",'40_Estudio_Empresas'!A32)</f>
        <v/>
      </c>
      <c r="B34" s="122" t="str">
        <f>IF('40_Estudio_Empresas'!B32="","",'40_Estudio_Empresas'!B32)</f>
        <v/>
      </c>
      <c r="C34" s="98" t="str">
        <f>IF('40_Estudio_Empresas'!C32="","",'40_Estudio_Empresas'!C32)</f>
        <v/>
      </c>
      <c r="D34" s="98" t="str">
        <f>IF('40_Estudio_Empresas'!E32="","",'40_Estudio_Empresas'!E32)</f>
        <v/>
      </c>
      <c r="E34" s="98" t="str">
        <f>IF('40_Estudio_Empresas'!F32="","",'40_Estudio_Empresas'!F32)</f>
        <v/>
      </c>
      <c r="F34" s="98" t="str">
        <f>IF('40_Estudio_Empresas'!U32="","",'40_Estudio_Empresas'!U32)</f>
        <v/>
      </c>
      <c r="G34" s="98" t="str">
        <f t="shared" si="0"/>
        <v/>
      </c>
      <c r="H34" s="98" t="str">
        <f>IF('40_Estudio_Empresas'!V32="","",'40_Estudio_Empresas'!V32)</f>
        <v/>
      </c>
      <c r="I34" s="98" t="str">
        <f t="shared" si="1"/>
        <v/>
      </c>
      <c r="J34" s="98" t="str">
        <f t="shared" si="2"/>
        <v/>
      </c>
      <c r="K34" s="98" t="str">
        <f>IF('40_Estudio_Empresas'!R32="","",'40_Estudio_Empresas'!R32)</f>
        <v/>
      </c>
      <c r="L34" s="123" t="str">
        <f>IF('40_Estudio_Empresas'!M32="","",'40_Estudio_Empresas'!M32)</f>
        <v/>
      </c>
      <c r="M34" s="98" t="str">
        <f>IF('40_Estudio_Empresas'!W32="","",'40_Estudio_Empresas'!W32)</f>
        <v/>
      </c>
      <c r="N34" s="98" t="str">
        <f t="shared" si="3"/>
        <v/>
      </c>
    </row>
    <row r="35" spans="1:14">
      <c r="A35" s="98" t="str">
        <f>IF('40_Estudio_Empresas'!A33="","",'40_Estudio_Empresas'!A33)</f>
        <v/>
      </c>
      <c r="B35" s="122" t="str">
        <f>IF('40_Estudio_Empresas'!B33="","",'40_Estudio_Empresas'!B33)</f>
        <v/>
      </c>
      <c r="C35" s="98" t="str">
        <f>IF('40_Estudio_Empresas'!C33="","",'40_Estudio_Empresas'!C33)</f>
        <v/>
      </c>
      <c r="D35" s="98" t="str">
        <f>IF('40_Estudio_Empresas'!E33="","",'40_Estudio_Empresas'!E33)</f>
        <v/>
      </c>
      <c r="E35" s="98" t="str">
        <f>IF('40_Estudio_Empresas'!F33="","",'40_Estudio_Empresas'!F33)</f>
        <v/>
      </c>
      <c r="F35" s="98" t="str">
        <f>IF('40_Estudio_Empresas'!U33="","",'40_Estudio_Empresas'!U33)</f>
        <v/>
      </c>
      <c r="G35" s="98" t="str">
        <f t="shared" si="0"/>
        <v/>
      </c>
      <c r="H35" s="98" t="str">
        <f>IF('40_Estudio_Empresas'!V33="","",'40_Estudio_Empresas'!V33)</f>
        <v/>
      </c>
      <c r="I35" s="98" t="str">
        <f t="shared" si="1"/>
        <v/>
      </c>
      <c r="J35" s="98" t="str">
        <f t="shared" si="2"/>
        <v/>
      </c>
      <c r="K35" s="98" t="str">
        <f>IF('40_Estudio_Empresas'!R33="","",'40_Estudio_Empresas'!R33)</f>
        <v/>
      </c>
      <c r="L35" s="123" t="str">
        <f>IF('40_Estudio_Empresas'!M33="","",'40_Estudio_Empresas'!M33)</f>
        <v/>
      </c>
      <c r="M35" s="98" t="str">
        <f>IF('40_Estudio_Empresas'!W33="","",'40_Estudio_Empresas'!W33)</f>
        <v/>
      </c>
      <c r="N35" s="98" t="str">
        <f t="shared" si="3"/>
        <v/>
      </c>
    </row>
    <row r="36" spans="1:14">
      <c r="A36" s="98" t="str">
        <f>IF('40_Estudio_Empresas'!A34="","",'40_Estudio_Empresas'!A34)</f>
        <v/>
      </c>
      <c r="B36" s="122" t="str">
        <f>IF('40_Estudio_Empresas'!B34="","",'40_Estudio_Empresas'!B34)</f>
        <v/>
      </c>
      <c r="C36" s="98" t="str">
        <f>IF('40_Estudio_Empresas'!C34="","",'40_Estudio_Empresas'!C34)</f>
        <v/>
      </c>
      <c r="D36" s="98" t="str">
        <f>IF('40_Estudio_Empresas'!E34="","",'40_Estudio_Empresas'!E34)</f>
        <v/>
      </c>
      <c r="E36" s="98" t="str">
        <f>IF('40_Estudio_Empresas'!F34="","",'40_Estudio_Empresas'!F34)</f>
        <v/>
      </c>
      <c r="F36" s="98" t="str">
        <f>IF('40_Estudio_Empresas'!U34="","",'40_Estudio_Empresas'!U34)</f>
        <v/>
      </c>
      <c r="G36" s="98" t="str">
        <f t="shared" si="0"/>
        <v/>
      </c>
      <c r="H36" s="98" t="str">
        <f>IF('40_Estudio_Empresas'!V34="","",'40_Estudio_Empresas'!V34)</f>
        <v/>
      </c>
      <c r="I36" s="98" t="str">
        <f t="shared" si="1"/>
        <v/>
      </c>
      <c r="J36" s="98" t="str">
        <f t="shared" si="2"/>
        <v/>
      </c>
      <c r="K36" s="98" t="str">
        <f>IF('40_Estudio_Empresas'!R34="","",'40_Estudio_Empresas'!R34)</f>
        <v/>
      </c>
      <c r="L36" s="123" t="str">
        <f>IF('40_Estudio_Empresas'!M34="","",'40_Estudio_Empresas'!M34)</f>
        <v/>
      </c>
      <c r="M36" s="98" t="str">
        <f>IF('40_Estudio_Empresas'!W34="","",'40_Estudio_Empresas'!W34)</f>
        <v/>
      </c>
      <c r="N36" s="98" t="str">
        <f t="shared" si="3"/>
        <v/>
      </c>
    </row>
    <row r="37" spans="1:14">
      <c r="A37" s="98" t="str">
        <f>IF('40_Estudio_Empresas'!A35="","",'40_Estudio_Empresas'!A35)</f>
        <v/>
      </c>
      <c r="B37" s="122" t="str">
        <f>IF('40_Estudio_Empresas'!B35="","",'40_Estudio_Empresas'!B35)</f>
        <v/>
      </c>
      <c r="C37" s="98" t="str">
        <f>IF('40_Estudio_Empresas'!C35="","",'40_Estudio_Empresas'!C35)</f>
        <v/>
      </c>
      <c r="D37" s="98" t="str">
        <f>IF('40_Estudio_Empresas'!E35="","",'40_Estudio_Empresas'!E35)</f>
        <v/>
      </c>
      <c r="E37" s="98" t="str">
        <f>IF('40_Estudio_Empresas'!F35="","",'40_Estudio_Empresas'!F35)</f>
        <v/>
      </c>
      <c r="F37" s="98" t="str">
        <f>IF('40_Estudio_Empresas'!U35="","",'40_Estudio_Empresas'!U35)</f>
        <v/>
      </c>
      <c r="G37" s="98" t="str">
        <f t="shared" ref="G37:G68" si="4">IF(F37="","",IF(F37="A","A - Inmediata",IF(F37="B","B - Interesante",IF(F37="C","C - Observar",IF(F37="X","X - Descartar","Revisar")))))</f>
        <v/>
      </c>
      <c r="H37" s="98" t="str">
        <f>IF('40_Estudio_Empresas'!V35="","",'40_Estudio_Empresas'!V35)</f>
        <v/>
      </c>
      <c r="I37" s="98" t="str">
        <f t="shared" ref="I37:I68" si="5">IF(F37="","",IF(F37="A","32_Oportunidades + 33_Seguimientos + 30_CRM",IF(F37="B","32_Oportunidades + 33_Seguimientos",IF(F37="C","Mantener en observación",IF(F37="X","Descartar / archivo","Revisar")))))</f>
        <v/>
      </c>
      <c r="J37" s="98" t="str">
        <f t="shared" ref="J37:J68" si="6">IF(F37="","",IF(F37="A","Alta",IF(F37="B","Media",IF(F37="C","Baja","Descartar"))))</f>
        <v/>
      </c>
      <c r="K37" s="98" t="str">
        <f>IF('40_Estudio_Empresas'!R35="","",'40_Estudio_Empresas'!R35)</f>
        <v/>
      </c>
      <c r="L37" s="123" t="str">
        <f>IF('40_Estudio_Empresas'!M35="","",'40_Estudio_Empresas'!M35)</f>
        <v/>
      </c>
      <c r="M37" s="98" t="str">
        <f>IF('40_Estudio_Empresas'!W35="","",'40_Estudio_Empresas'!W35)</f>
        <v/>
      </c>
      <c r="N37" s="98" t="str">
        <f t="shared" ref="N37:N68" si="7">IF(F37="","",IF(OR(F37="A",F37="B"),"🟢 Activa",IF(F37="C","🟡 Observar","🔴 Descartar")))</f>
        <v/>
      </c>
    </row>
    <row r="38" spans="1:14">
      <c r="A38" s="98" t="str">
        <f>IF('40_Estudio_Empresas'!A36="","",'40_Estudio_Empresas'!A36)</f>
        <v/>
      </c>
      <c r="B38" s="122" t="str">
        <f>IF('40_Estudio_Empresas'!B36="","",'40_Estudio_Empresas'!B36)</f>
        <v/>
      </c>
      <c r="C38" s="98" t="str">
        <f>IF('40_Estudio_Empresas'!C36="","",'40_Estudio_Empresas'!C36)</f>
        <v/>
      </c>
      <c r="D38" s="98" t="str">
        <f>IF('40_Estudio_Empresas'!E36="","",'40_Estudio_Empresas'!E36)</f>
        <v/>
      </c>
      <c r="E38" s="98" t="str">
        <f>IF('40_Estudio_Empresas'!F36="","",'40_Estudio_Empresas'!F36)</f>
        <v/>
      </c>
      <c r="F38" s="98" t="str">
        <f>IF('40_Estudio_Empresas'!U36="","",'40_Estudio_Empresas'!U36)</f>
        <v/>
      </c>
      <c r="G38" s="98" t="str">
        <f t="shared" si="4"/>
        <v/>
      </c>
      <c r="H38" s="98" t="str">
        <f>IF('40_Estudio_Empresas'!V36="","",'40_Estudio_Empresas'!V36)</f>
        <v/>
      </c>
      <c r="I38" s="98" t="str">
        <f t="shared" si="5"/>
        <v/>
      </c>
      <c r="J38" s="98" t="str">
        <f t="shared" si="6"/>
        <v/>
      </c>
      <c r="K38" s="98" t="str">
        <f>IF('40_Estudio_Empresas'!R36="","",'40_Estudio_Empresas'!R36)</f>
        <v/>
      </c>
      <c r="L38" s="123" t="str">
        <f>IF('40_Estudio_Empresas'!M36="","",'40_Estudio_Empresas'!M36)</f>
        <v/>
      </c>
      <c r="M38" s="98" t="str">
        <f>IF('40_Estudio_Empresas'!W36="","",'40_Estudio_Empresas'!W36)</f>
        <v/>
      </c>
      <c r="N38" s="98" t="str">
        <f t="shared" si="7"/>
        <v/>
      </c>
    </row>
    <row r="39" spans="1:14">
      <c r="A39" s="98" t="str">
        <f>IF('40_Estudio_Empresas'!A37="","",'40_Estudio_Empresas'!A37)</f>
        <v/>
      </c>
      <c r="B39" s="122" t="str">
        <f>IF('40_Estudio_Empresas'!B37="","",'40_Estudio_Empresas'!B37)</f>
        <v/>
      </c>
      <c r="C39" s="98" t="str">
        <f>IF('40_Estudio_Empresas'!C37="","",'40_Estudio_Empresas'!C37)</f>
        <v/>
      </c>
      <c r="D39" s="98" t="str">
        <f>IF('40_Estudio_Empresas'!E37="","",'40_Estudio_Empresas'!E37)</f>
        <v/>
      </c>
      <c r="E39" s="98" t="str">
        <f>IF('40_Estudio_Empresas'!F37="","",'40_Estudio_Empresas'!F37)</f>
        <v/>
      </c>
      <c r="F39" s="98" t="str">
        <f>IF('40_Estudio_Empresas'!U37="","",'40_Estudio_Empresas'!U37)</f>
        <v/>
      </c>
      <c r="G39" s="98" t="str">
        <f t="shared" si="4"/>
        <v/>
      </c>
      <c r="H39" s="98" t="str">
        <f>IF('40_Estudio_Empresas'!V37="","",'40_Estudio_Empresas'!V37)</f>
        <v/>
      </c>
      <c r="I39" s="98" t="str">
        <f t="shared" si="5"/>
        <v/>
      </c>
      <c r="J39" s="98" t="str">
        <f t="shared" si="6"/>
        <v/>
      </c>
      <c r="K39" s="98" t="str">
        <f>IF('40_Estudio_Empresas'!R37="","",'40_Estudio_Empresas'!R37)</f>
        <v/>
      </c>
      <c r="L39" s="123" t="str">
        <f>IF('40_Estudio_Empresas'!M37="","",'40_Estudio_Empresas'!M37)</f>
        <v/>
      </c>
      <c r="M39" s="98" t="str">
        <f>IF('40_Estudio_Empresas'!W37="","",'40_Estudio_Empresas'!W37)</f>
        <v/>
      </c>
      <c r="N39" s="98" t="str">
        <f t="shared" si="7"/>
        <v/>
      </c>
    </row>
    <row r="40" spans="1:14">
      <c r="A40" s="98" t="str">
        <f>IF('40_Estudio_Empresas'!A38="","",'40_Estudio_Empresas'!A38)</f>
        <v/>
      </c>
      <c r="B40" s="122" t="str">
        <f>IF('40_Estudio_Empresas'!B38="","",'40_Estudio_Empresas'!B38)</f>
        <v/>
      </c>
      <c r="C40" s="98" t="str">
        <f>IF('40_Estudio_Empresas'!C38="","",'40_Estudio_Empresas'!C38)</f>
        <v/>
      </c>
      <c r="D40" s="98" t="str">
        <f>IF('40_Estudio_Empresas'!E38="","",'40_Estudio_Empresas'!E38)</f>
        <v/>
      </c>
      <c r="E40" s="98" t="str">
        <f>IF('40_Estudio_Empresas'!F38="","",'40_Estudio_Empresas'!F38)</f>
        <v/>
      </c>
      <c r="F40" s="98" t="str">
        <f>IF('40_Estudio_Empresas'!U38="","",'40_Estudio_Empresas'!U38)</f>
        <v/>
      </c>
      <c r="G40" s="98" t="str">
        <f t="shared" si="4"/>
        <v/>
      </c>
      <c r="H40" s="98" t="str">
        <f>IF('40_Estudio_Empresas'!V38="","",'40_Estudio_Empresas'!V38)</f>
        <v/>
      </c>
      <c r="I40" s="98" t="str">
        <f t="shared" si="5"/>
        <v/>
      </c>
      <c r="J40" s="98" t="str">
        <f t="shared" si="6"/>
        <v/>
      </c>
      <c r="K40" s="98" t="str">
        <f>IF('40_Estudio_Empresas'!R38="","",'40_Estudio_Empresas'!R38)</f>
        <v/>
      </c>
      <c r="L40" s="123" t="str">
        <f>IF('40_Estudio_Empresas'!M38="","",'40_Estudio_Empresas'!M38)</f>
        <v/>
      </c>
      <c r="M40" s="98" t="str">
        <f>IF('40_Estudio_Empresas'!W38="","",'40_Estudio_Empresas'!W38)</f>
        <v/>
      </c>
      <c r="N40" s="98" t="str">
        <f t="shared" si="7"/>
        <v/>
      </c>
    </row>
    <row r="41" spans="1:14">
      <c r="A41" s="98" t="str">
        <f>IF('40_Estudio_Empresas'!A39="","",'40_Estudio_Empresas'!A39)</f>
        <v/>
      </c>
      <c r="B41" s="122" t="str">
        <f>IF('40_Estudio_Empresas'!B39="","",'40_Estudio_Empresas'!B39)</f>
        <v/>
      </c>
      <c r="C41" s="98" t="str">
        <f>IF('40_Estudio_Empresas'!C39="","",'40_Estudio_Empresas'!C39)</f>
        <v/>
      </c>
      <c r="D41" s="98" t="str">
        <f>IF('40_Estudio_Empresas'!E39="","",'40_Estudio_Empresas'!E39)</f>
        <v/>
      </c>
      <c r="E41" s="98" t="str">
        <f>IF('40_Estudio_Empresas'!F39="","",'40_Estudio_Empresas'!F39)</f>
        <v/>
      </c>
      <c r="F41" s="98" t="str">
        <f>IF('40_Estudio_Empresas'!U39="","",'40_Estudio_Empresas'!U39)</f>
        <v/>
      </c>
      <c r="G41" s="98" t="str">
        <f t="shared" si="4"/>
        <v/>
      </c>
      <c r="H41" s="98" t="str">
        <f>IF('40_Estudio_Empresas'!V39="","",'40_Estudio_Empresas'!V39)</f>
        <v/>
      </c>
      <c r="I41" s="98" t="str">
        <f t="shared" si="5"/>
        <v/>
      </c>
      <c r="J41" s="98" t="str">
        <f t="shared" si="6"/>
        <v/>
      </c>
      <c r="K41" s="98" t="str">
        <f>IF('40_Estudio_Empresas'!R39="","",'40_Estudio_Empresas'!R39)</f>
        <v/>
      </c>
      <c r="L41" s="123" t="str">
        <f>IF('40_Estudio_Empresas'!M39="","",'40_Estudio_Empresas'!M39)</f>
        <v/>
      </c>
      <c r="M41" s="98" t="str">
        <f>IF('40_Estudio_Empresas'!W39="","",'40_Estudio_Empresas'!W39)</f>
        <v/>
      </c>
      <c r="N41" s="98" t="str">
        <f t="shared" si="7"/>
        <v/>
      </c>
    </row>
    <row r="42" spans="1:14">
      <c r="A42" s="98" t="str">
        <f>IF('40_Estudio_Empresas'!A40="","",'40_Estudio_Empresas'!A40)</f>
        <v/>
      </c>
      <c r="B42" s="122" t="str">
        <f>IF('40_Estudio_Empresas'!B40="","",'40_Estudio_Empresas'!B40)</f>
        <v/>
      </c>
      <c r="C42" s="98" t="str">
        <f>IF('40_Estudio_Empresas'!C40="","",'40_Estudio_Empresas'!C40)</f>
        <v/>
      </c>
      <c r="D42" s="98" t="str">
        <f>IF('40_Estudio_Empresas'!E40="","",'40_Estudio_Empresas'!E40)</f>
        <v/>
      </c>
      <c r="E42" s="98" t="str">
        <f>IF('40_Estudio_Empresas'!F40="","",'40_Estudio_Empresas'!F40)</f>
        <v/>
      </c>
      <c r="F42" s="98" t="str">
        <f>IF('40_Estudio_Empresas'!U40="","",'40_Estudio_Empresas'!U40)</f>
        <v/>
      </c>
      <c r="G42" s="98" t="str">
        <f t="shared" si="4"/>
        <v/>
      </c>
      <c r="H42" s="98" t="str">
        <f>IF('40_Estudio_Empresas'!V40="","",'40_Estudio_Empresas'!V40)</f>
        <v/>
      </c>
      <c r="I42" s="98" t="str">
        <f t="shared" si="5"/>
        <v/>
      </c>
      <c r="J42" s="98" t="str">
        <f t="shared" si="6"/>
        <v/>
      </c>
      <c r="K42" s="98" t="str">
        <f>IF('40_Estudio_Empresas'!R40="","",'40_Estudio_Empresas'!R40)</f>
        <v/>
      </c>
      <c r="L42" s="123" t="str">
        <f>IF('40_Estudio_Empresas'!M40="","",'40_Estudio_Empresas'!M40)</f>
        <v/>
      </c>
      <c r="M42" s="98" t="str">
        <f>IF('40_Estudio_Empresas'!W40="","",'40_Estudio_Empresas'!W40)</f>
        <v/>
      </c>
      <c r="N42" s="98" t="str">
        <f t="shared" si="7"/>
        <v/>
      </c>
    </row>
    <row r="43" spans="1:14">
      <c r="A43" s="98" t="str">
        <f>IF('40_Estudio_Empresas'!A41="","",'40_Estudio_Empresas'!A41)</f>
        <v/>
      </c>
      <c r="B43" s="122" t="str">
        <f>IF('40_Estudio_Empresas'!B41="","",'40_Estudio_Empresas'!B41)</f>
        <v/>
      </c>
      <c r="C43" s="98" t="str">
        <f>IF('40_Estudio_Empresas'!C41="","",'40_Estudio_Empresas'!C41)</f>
        <v/>
      </c>
      <c r="D43" s="98" t="str">
        <f>IF('40_Estudio_Empresas'!E41="","",'40_Estudio_Empresas'!E41)</f>
        <v/>
      </c>
      <c r="E43" s="98" t="str">
        <f>IF('40_Estudio_Empresas'!F41="","",'40_Estudio_Empresas'!F41)</f>
        <v/>
      </c>
      <c r="F43" s="98" t="str">
        <f>IF('40_Estudio_Empresas'!U41="","",'40_Estudio_Empresas'!U41)</f>
        <v/>
      </c>
      <c r="G43" s="98" t="str">
        <f t="shared" si="4"/>
        <v/>
      </c>
      <c r="H43" s="98" t="str">
        <f>IF('40_Estudio_Empresas'!V41="","",'40_Estudio_Empresas'!V41)</f>
        <v/>
      </c>
      <c r="I43" s="98" t="str">
        <f t="shared" si="5"/>
        <v/>
      </c>
      <c r="J43" s="98" t="str">
        <f t="shared" si="6"/>
        <v/>
      </c>
      <c r="K43" s="98" t="str">
        <f>IF('40_Estudio_Empresas'!R41="","",'40_Estudio_Empresas'!R41)</f>
        <v/>
      </c>
      <c r="L43" s="123" t="str">
        <f>IF('40_Estudio_Empresas'!M41="","",'40_Estudio_Empresas'!M41)</f>
        <v/>
      </c>
      <c r="M43" s="98" t="str">
        <f>IF('40_Estudio_Empresas'!W41="","",'40_Estudio_Empresas'!W41)</f>
        <v/>
      </c>
      <c r="N43" s="98" t="str">
        <f t="shared" si="7"/>
        <v/>
      </c>
    </row>
    <row r="44" spans="1:14">
      <c r="A44" s="98" t="str">
        <f>IF('40_Estudio_Empresas'!A42="","",'40_Estudio_Empresas'!A42)</f>
        <v/>
      </c>
      <c r="B44" s="122" t="str">
        <f>IF('40_Estudio_Empresas'!B42="","",'40_Estudio_Empresas'!B42)</f>
        <v/>
      </c>
      <c r="C44" s="98" t="str">
        <f>IF('40_Estudio_Empresas'!C42="","",'40_Estudio_Empresas'!C42)</f>
        <v/>
      </c>
      <c r="D44" s="98" t="str">
        <f>IF('40_Estudio_Empresas'!E42="","",'40_Estudio_Empresas'!E42)</f>
        <v/>
      </c>
      <c r="E44" s="98" t="str">
        <f>IF('40_Estudio_Empresas'!F42="","",'40_Estudio_Empresas'!F42)</f>
        <v/>
      </c>
      <c r="F44" s="98" t="str">
        <f>IF('40_Estudio_Empresas'!U42="","",'40_Estudio_Empresas'!U42)</f>
        <v/>
      </c>
      <c r="G44" s="98" t="str">
        <f t="shared" si="4"/>
        <v/>
      </c>
      <c r="H44" s="98" t="str">
        <f>IF('40_Estudio_Empresas'!V42="","",'40_Estudio_Empresas'!V42)</f>
        <v/>
      </c>
      <c r="I44" s="98" t="str">
        <f t="shared" si="5"/>
        <v/>
      </c>
      <c r="J44" s="98" t="str">
        <f t="shared" si="6"/>
        <v/>
      </c>
      <c r="K44" s="98" t="str">
        <f>IF('40_Estudio_Empresas'!R42="","",'40_Estudio_Empresas'!R42)</f>
        <v/>
      </c>
      <c r="L44" s="123" t="str">
        <f>IF('40_Estudio_Empresas'!M42="","",'40_Estudio_Empresas'!M42)</f>
        <v/>
      </c>
      <c r="M44" s="98" t="str">
        <f>IF('40_Estudio_Empresas'!W42="","",'40_Estudio_Empresas'!W42)</f>
        <v/>
      </c>
      <c r="N44" s="98" t="str">
        <f t="shared" si="7"/>
        <v/>
      </c>
    </row>
    <row r="45" spans="1:14">
      <c r="A45" s="98" t="str">
        <f>IF('40_Estudio_Empresas'!A43="","",'40_Estudio_Empresas'!A43)</f>
        <v/>
      </c>
      <c r="B45" s="122" t="str">
        <f>IF('40_Estudio_Empresas'!B43="","",'40_Estudio_Empresas'!B43)</f>
        <v/>
      </c>
      <c r="C45" s="98" t="str">
        <f>IF('40_Estudio_Empresas'!C43="","",'40_Estudio_Empresas'!C43)</f>
        <v/>
      </c>
      <c r="D45" s="98" t="str">
        <f>IF('40_Estudio_Empresas'!E43="","",'40_Estudio_Empresas'!E43)</f>
        <v/>
      </c>
      <c r="E45" s="98" t="str">
        <f>IF('40_Estudio_Empresas'!F43="","",'40_Estudio_Empresas'!F43)</f>
        <v/>
      </c>
      <c r="F45" s="98" t="str">
        <f>IF('40_Estudio_Empresas'!U43="","",'40_Estudio_Empresas'!U43)</f>
        <v/>
      </c>
      <c r="G45" s="98" t="str">
        <f t="shared" si="4"/>
        <v/>
      </c>
      <c r="H45" s="98" t="str">
        <f>IF('40_Estudio_Empresas'!V43="","",'40_Estudio_Empresas'!V43)</f>
        <v/>
      </c>
      <c r="I45" s="98" t="str">
        <f t="shared" si="5"/>
        <v/>
      </c>
      <c r="J45" s="98" t="str">
        <f t="shared" si="6"/>
        <v/>
      </c>
      <c r="K45" s="98" t="str">
        <f>IF('40_Estudio_Empresas'!R43="","",'40_Estudio_Empresas'!R43)</f>
        <v/>
      </c>
      <c r="L45" s="123" t="str">
        <f>IF('40_Estudio_Empresas'!M43="","",'40_Estudio_Empresas'!M43)</f>
        <v/>
      </c>
      <c r="M45" s="98" t="str">
        <f>IF('40_Estudio_Empresas'!W43="","",'40_Estudio_Empresas'!W43)</f>
        <v/>
      </c>
      <c r="N45" s="98" t="str">
        <f t="shared" si="7"/>
        <v/>
      </c>
    </row>
    <row r="46" spans="1:14">
      <c r="A46" s="98" t="str">
        <f>IF('40_Estudio_Empresas'!A44="","",'40_Estudio_Empresas'!A44)</f>
        <v/>
      </c>
      <c r="B46" s="122" t="str">
        <f>IF('40_Estudio_Empresas'!B44="","",'40_Estudio_Empresas'!B44)</f>
        <v/>
      </c>
      <c r="C46" s="98" t="str">
        <f>IF('40_Estudio_Empresas'!C44="","",'40_Estudio_Empresas'!C44)</f>
        <v/>
      </c>
      <c r="D46" s="98" t="str">
        <f>IF('40_Estudio_Empresas'!E44="","",'40_Estudio_Empresas'!E44)</f>
        <v/>
      </c>
      <c r="E46" s="98" t="str">
        <f>IF('40_Estudio_Empresas'!F44="","",'40_Estudio_Empresas'!F44)</f>
        <v/>
      </c>
      <c r="F46" s="98" t="str">
        <f>IF('40_Estudio_Empresas'!U44="","",'40_Estudio_Empresas'!U44)</f>
        <v/>
      </c>
      <c r="G46" s="98" t="str">
        <f t="shared" si="4"/>
        <v/>
      </c>
      <c r="H46" s="98" t="str">
        <f>IF('40_Estudio_Empresas'!V44="","",'40_Estudio_Empresas'!V44)</f>
        <v/>
      </c>
      <c r="I46" s="98" t="str">
        <f t="shared" si="5"/>
        <v/>
      </c>
      <c r="J46" s="98" t="str">
        <f t="shared" si="6"/>
        <v/>
      </c>
      <c r="K46" s="98" t="str">
        <f>IF('40_Estudio_Empresas'!R44="","",'40_Estudio_Empresas'!R44)</f>
        <v/>
      </c>
      <c r="L46" s="123" t="str">
        <f>IF('40_Estudio_Empresas'!M44="","",'40_Estudio_Empresas'!M44)</f>
        <v/>
      </c>
      <c r="M46" s="98" t="str">
        <f>IF('40_Estudio_Empresas'!W44="","",'40_Estudio_Empresas'!W44)</f>
        <v/>
      </c>
      <c r="N46" s="98" t="str">
        <f t="shared" si="7"/>
        <v/>
      </c>
    </row>
    <row r="47" spans="1:14">
      <c r="A47" s="98" t="str">
        <f>IF('40_Estudio_Empresas'!A45="","",'40_Estudio_Empresas'!A45)</f>
        <v/>
      </c>
      <c r="B47" s="122" t="str">
        <f>IF('40_Estudio_Empresas'!B45="","",'40_Estudio_Empresas'!B45)</f>
        <v/>
      </c>
      <c r="C47" s="98" t="str">
        <f>IF('40_Estudio_Empresas'!C45="","",'40_Estudio_Empresas'!C45)</f>
        <v/>
      </c>
      <c r="D47" s="98" t="str">
        <f>IF('40_Estudio_Empresas'!E45="","",'40_Estudio_Empresas'!E45)</f>
        <v/>
      </c>
      <c r="E47" s="98" t="str">
        <f>IF('40_Estudio_Empresas'!F45="","",'40_Estudio_Empresas'!F45)</f>
        <v/>
      </c>
      <c r="F47" s="98" t="str">
        <f>IF('40_Estudio_Empresas'!U45="","",'40_Estudio_Empresas'!U45)</f>
        <v/>
      </c>
      <c r="G47" s="98" t="str">
        <f t="shared" si="4"/>
        <v/>
      </c>
      <c r="H47" s="98" t="str">
        <f>IF('40_Estudio_Empresas'!V45="","",'40_Estudio_Empresas'!V45)</f>
        <v/>
      </c>
      <c r="I47" s="98" t="str">
        <f t="shared" si="5"/>
        <v/>
      </c>
      <c r="J47" s="98" t="str">
        <f t="shared" si="6"/>
        <v/>
      </c>
      <c r="K47" s="98" t="str">
        <f>IF('40_Estudio_Empresas'!R45="","",'40_Estudio_Empresas'!R45)</f>
        <v/>
      </c>
      <c r="L47" s="123" t="str">
        <f>IF('40_Estudio_Empresas'!M45="","",'40_Estudio_Empresas'!M45)</f>
        <v/>
      </c>
      <c r="M47" s="98" t="str">
        <f>IF('40_Estudio_Empresas'!W45="","",'40_Estudio_Empresas'!W45)</f>
        <v/>
      </c>
      <c r="N47" s="98" t="str">
        <f t="shared" si="7"/>
        <v/>
      </c>
    </row>
    <row r="48" spans="1:14">
      <c r="A48" s="98" t="str">
        <f>IF('40_Estudio_Empresas'!A46="","",'40_Estudio_Empresas'!A46)</f>
        <v/>
      </c>
      <c r="B48" s="122" t="str">
        <f>IF('40_Estudio_Empresas'!B46="","",'40_Estudio_Empresas'!B46)</f>
        <v/>
      </c>
      <c r="C48" s="98" t="str">
        <f>IF('40_Estudio_Empresas'!C46="","",'40_Estudio_Empresas'!C46)</f>
        <v/>
      </c>
      <c r="D48" s="98" t="str">
        <f>IF('40_Estudio_Empresas'!E46="","",'40_Estudio_Empresas'!E46)</f>
        <v/>
      </c>
      <c r="E48" s="98" t="str">
        <f>IF('40_Estudio_Empresas'!F46="","",'40_Estudio_Empresas'!F46)</f>
        <v/>
      </c>
      <c r="F48" s="98" t="str">
        <f>IF('40_Estudio_Empresas'!U46="","",'40_Estudio_Empresas'!U46)</f>
        <v/>
      </c>
      <c r="G48" s="98" t="str">
        <f t="shared" si="4"/>
        <v/>
      </c>
      <c r="H48" s="98" t="str">
        <f>IF('40_Estudio_Empresas'!V46="","",'40_Estudio_Empresas'!V46)</f>
        <v/>
      </c>
      <c r="I48" s="98" t="str">
        <f t="shared" si="5"/>
        <v/>
      </c>
      <c r="J48" s="98" t="str">
        <f t="shared" si="6"/>
        <v/>
      </c>
      <c r="K48" s="98" t="str">
        <f>IF('40_Estudio_Empresas'!R46="","",'40_Estudio_Empresas'!R46)</f>
        <v/>
      </c>
      <c r="L48" s="123" t="str">
        <f>IF('40_Estudio_Empresas'!M46="","",'40_Estudio_Empresas'!M46)</f>
        <v/>
      </c>
      <c r="M48" s="98" t="str">
        <f>IF('40_Estudio_Empresas'!W46="","",'40_Estudio_Empresas'!W46)</f>
        <v/>
      </c>
      <c r="N48" s="98" t="str">
        <f t="shared" si="7"/>
        <v/>
      </c>
    </row>
    <row r="49" spans="1:14">
      <c r="A49" s="98" t="str">
        <f>IF('40_Estudio_Empresas'!A47="","",'40_Estudio_Empresas'!A47)</f>
        <v/>
      </c>
      <c r="B49" s="122" t="str">
        <f>IF('40_Estudio_Empresas'!B47="","",'40_Estudio_Empresas'!B47)</f>
        <v/>
      </c>
      <c r="C49" s="98" t="str">
        <f>IF('40_Estudio_Empresas'!C47="","",'40_Estudio_Empresas'!C47)</f>
        <v/>
      </c>
      <c r="D49" s="98" t="str">
        <f>IF('40_Estudio_Empresas'!E47="","",'40_Estudio_Empresas'!E47)</f>
        <v/>
      </c>
      <c r="E49" s="98" t="str">
        <f>IF('40_Estudio_Empresas'!F47="","",'40_Estudio_Empresas'!F47)</f>
        <v/>
      </c>
      <c r="F49" s="98" t="str">
        <f>IF('40_Estudio_Empresas'!U47="","",'40_Estudio_Empresas'!U47)</f>
        <v/>
      </c>
      <c r="G49" s="98" t="str">
        <f t="shared" si="4"/>
        <v/>
      </c>
      <c r="H49" s="98" t="str">
        <f>IF('40_Estudio_Empresas'!V47="","",'40_Estudio_Empresas'!V47)</f>
        <v/>
      </c>
      <c r="I49" s="98" t="str">
        <f t="shared" si="5"/>
        <v/>
      </c>
      <c r="J49" s="98" t="str">
        <f t="shared" si="6"/>
        <v/>
      </c>
      <c r="K49" s="98" t="str">
        <f>IF('40_Estudio_Empresas'!R47="","",'40_Estudio_Empresas'!R47)</f>
        <v/>
      </c>
      <c r="L49" s="123" t="str">
        <f>IF('40_Estudio_Empresas'!M47="","",'40_Estudio_Empresas'!M47)</f>
        <v/>
      </c>
      <c r="M49" s="98" t="str">
        <f>IF('40_Estudio_Empresas'!W47="","",'40_Estudio_Empresas'!W47)</f>
        <v/>
      </c>
      <c r="N49" s="98" t="str">
        <f t="shared" si="7"/>
        <v/>
      </c>
    </row>
    <row r="50" spans="1:14">
      <c r="A50" s="98" t="str">
        <f>IF('40_Estudio_Empresas'!A48="","",'40_Estudio_Empresas'!A48)</f>
        <v/>
      </c>
      <c r="B50" s="122" t="str">
        <f>IF('40_Estudio_Empresas'!B48="","",'40_Estudio_Empresas'!B48)</f>
        <v/>
      </c>
      <c r="C50" s="98" t="str">
        <f>IF('40_Estudio_Empresas'!C48="","",'40_Estudio_Empresas'!C48)</f>
        <v/>
      </c>
      <c r="D50" s="98" t="str">
        <f>IF('40_Estudio_Empresas'!E48="","",'40_Estudio_Empresas'!E48)</f>
        <v/>
      </c>
      <c r="E50" s="98" t="str">
        <f>IF('40_Estudio_Empresas'!F48="","",'40_Estudio_Empresas'!F48)</f>
        <v/>
      </c>
      <c r="F50" s="98" t="str">
        <f>IF('40_Estudio_Empresas'!U48="","",'40_Estudio_Empresas'!U48)</f>
        <v/>
      </c>
      <c r="G50" s="98" t="str">
        <f t="shared" si="4"/>
        <v/>
      </c>
      <c r="H50" s="98" t="str">
        <f>IF('40_Estudio_Empresas'!V48="","",'40_Estudio_Empresas'!V48)</f>
        <v/>
      </c>
      <c r="I50" s="98" t="str">
        <f t="shared" si="5"/>
        <v/>
      </c>
      <c r="J50" s="98" t="str">
        <f t="shared" si="6"/>
        <v/>
      </c>
      <c r="K50" s="98" t="str">
        <f>IF('40_Estudio_Empresas'!R48="","",'40_Estudio_Empresas'!R48)</f>
        <v/>
      </c>
      <c r="L50" s="123" t="str">
        <f>IF('40_Estudio_Empresas'!M48="","",'40_Estudio_Empresas'!M48)</f>
        <v/>
      </c>
      <c r="M50" s="98" t="str">
        <f>IF('40_Estudio_Empresas'!W48="","",'40_Estudio_Empresas'!W48)</f>
        <v/>
      </c>
      <c r="N50" s="98" t="str">
        <f t="shared" si="7"/>
        <v/>
      </c>
    </row>
    <row r="51" spans="1:14">
      <c r="A51" s="98" t="str">
        <f>IF('40_Estudio_Empresas'!A49="","",'40_Estudio_Empresas'!A49)</f>
        <v/>
      </c>
      <c r="B51" s="122" t="str">
        <f>IF('40_Estudio_Empresas'!B49="","",'40_Estudio_Empresas'!B49)</f>
        <v/>
      </c>
      <c r="C51" s="98" t="str">
        <f>IF('40_Estudio_Empresas'!C49="","",'40_Estudio_Empresas'!C49)</f>
        <v/>
      </c>
      <c r="D51" s="98" t="str">
        <f>IF('40_Estudio_Empresas'!E49="","",'40_Estudio_Empresas'!E49)</f>
        <v/>
      </c>
      <c r="E51" s="98" t="str">
        <f>IF('40_Estudio_Empresas'!F49="","",'40_Estudio_Empresas'!F49)</f>
        <v/>
      </c>
      <c r="F51" s="98" t="str">
        <f>IF('40_Estudio_Empresas'!U49="","",'40_Estudio_Empresas'!U49)</f>
        <v/>
      </c>
      <c r="G51" s="98" t="str">
        <f t="shared" si="4"/>
        <v/>
      </c>
      <c r="H51" s="98" t="str">
        <f>IF('40_Estudio_Empresas'!V49="","",'40_Estudio_Empresas'!V49)</f>
        <v/>
      </c>
      <c r="I51" s="98" t="str">
        <f t="shared" si="5"/>
        <v/>
      </c>
      <c r="J51" s="98" t="str">
        <f t="shared" si="6"/>
        <v/>
      </c>
      <c r="K51" s="98" t="str">
        <f>IF('40_Estudio_Empresas'!R49="","",'40_Estudio_Empresas'!R49)</f>
        <v/>
      </c>
      <c r="L51" s="123" t="str">
        <f>IF('40_Estudio_Empresas'!M49="","",'40_Estudio_Empresas'!M49)</f>
        <v/>
      </c>
      <c r="M51" s="98" t="str">
        <f>IF('40_Estudio_Empresas'!W49="","",'40_Estudio_Empresas'!W49)</f>
        <v/>
      </c>
      <c r="N51" s="98" t="str">
        <f t="shared" si="7"/>
        <v/>
      </c>
    </row>
    <row r="52" spans="1:14">
      <c r="A52" s="98" t="str">
        <f>IF('40_Estudio_Empresas'!A50="","",'40_Estudio_Empresas'!A50)</f>
        <v/>
      </c>
      <c r="B52" s="122" t="str">
        <f>IF('40_Estudio_Empresas'!B50="","",'40_Estudio_Empresas'!B50)</f>
        <v/>
      </c>
      <c r="C52" s="98" t="str">
        <f>IF('40_Estudio_Empresas'!C50="","",'40_Estudio_Empresas'!C50)</f>
        <v/>
      </c>
      <c r="D52" s="98" t="str">
        <f>IF('40_Estudio_Empresas'!E50="","",'40_Estudio_Empresas'!E50)</f>
        <v/>
      </c>
      <c r="E52" s="98" t="str">
        <f>IF('40_Estudio_Empresas'!F50="","",'40_Estudio_Empresas'!F50)</f>
        <v/>
      </c>
      <c r="F52" s="98" t="str">
        <f>IF('40_Estudio_Empresas'!U50="","",'40_Estudio_Empresas'!U50)</f>
        <v/>
      </c>
      <c r="G52" s="98" t="str">
        <f t="shared" si="4"/>
        <v/>
      </c>
      <c r="H52" s="98" t="str">
        <f>IF('40_Estudio_Empresas'!V50="","",'40_Estudio_Empresas'!V50)</f>
        <v/>
      </c>
      <c r="I52" s="98" t="str">
        <f t="shared" si="5"/>
        <v/>
      </c>
      <c r="J52" s="98" t="str">
        <f t="shared" si="6"/>
        <v/>
      </c>
      <c r="K52" s="98" t="str">
        <f>IF('40_Estudio_Empresas'!R50="","",'40_Estudio_Empresas'!R50)</f>
        <v/>
      </c>
      <c r="L52" s="123" t="str">
        <f>IF('40_Estudio_Empresas'!M50="","",'40_Estudio_Empresas'!M50)</f>
        <v/>
      </c>
      <c r="M52" s="98" t="str">
        <f>IF('40_Estudio_Empresas'!W50="","",'40_Estudio_Empresas'!W50)</f>
        <v/>
      </c>
      <c r="N52" s="98" t="str">
        <f t="shared" si="7"/>
        <v/>
      </c>
    </row>
    <row r="53" spans="1:14">
      <c r="A53" s="98" t="str">
        <f>IF('40_Estudio_Empresas'!A51="","",'40_Estudio_Empresas'!A51)</f>
        <v/>
      </c>
      <c r="B53" s="122" t="str">
        <f>IF('40_Estudio_Empresas'!B51="","",'40_Estudio_Empresas'!B51)</f>
        <v/>
      </c>
      <c r="C53" s="98" t="str">
        <f>IF('40_Estudio_Empresas'!C51="","",'40_Estudio_Empresas'!C51)</f>
        <v/>
      </c>
      <c r="D53" s="98" t="str">
        <f>IF('40_Estudio_Empresas'!E51="","",'40_Estudio_Empresas'!E51)</f>
        <v/>
      </c>
      <c r="E53" s="98" t="str">
        <f>IF('40_Estudio_Empresas'!F51="","",'40_Estudio_Empresas'!F51)</f>
        <v/>
      </c>
      <c r="F53" s="98" t="str">
        <f>IF('40_Estudio_Empresas'!U51="","",'40_Estudio_Empresas'!U51)</f>
        <v/>
      </c>
      <c r="G53" s="98" t="str">
        <f t="shared" si="4"/>
        <v/>
      </c>
      <c r="H53" s="98" t="str">
        <f>IF('40_Estudio_Empresas'!V51="","",'40_Estudio_Empresas'!V51)</f>
        <v/>
      </c>
      <c r="I53" s="98" t="str">
        <f t="shared" si="5"/>
        <v/>
      </c>
      <c r="J53" s="98" t="str">
        <f t="shared" si="6"/>
        <v/>
      </c>
      <c r="K53" s="98" t="str">
        <f>IF('40_Estudio_Empresas'!R51="","",'40_Estudio_Empresas'!R51)</f>
        <v/>
      </c>
      <c r="L53" s="123" t="str">
        <f>IF('40_Estudio_Empresas'!M51="","",'40_Estudio_Empresas'!M51)</f>
        <v/>
      </c>
      <c r="M53" s="98" t="str">
        <f>IF('40_Estudio_Empresas'!W51="","",'40_Estudio_Empresas'!W51)</f>
        <v/>
      </c>
      <c r="N53" s="98" t="str">
        <f t="shared" si="7"/>
        <v/>
      </c>
    </row>
    <row r="54" spans="1:14">
      <c r="A54" s="98" t="str">
        <f>IF('40_Estudio_Empresas'!A52="","",'40_Estudio_Empresas'!A52)</f>
        <v/>
      </c>
      <c r="B54" s="122" t="str">
        <f>IF('40_Estudio_Empresas'!B52="","",'40_Estudio_Empresas'!B52)</f>
        <v/>
      </c>
      <c r="C54" s="98" t="str">
        <f>IF('40_Estudio_Empresas'!C52="","",'40_Estudio_Empresas'!C52)</f>
        <v/>
      </c>
      <c r="D54" s="98" t="str">
        <f>IF('40_Estudio_Empresas'!E52="","",'40_Estudio_Empresas'!E52)</f>
        <v/>
      </c>
      <c r="E54" s="98" t="str">
        <f>IF('40_Estudio_Empresas'!F52="","",'40_Estudio_Empresas'!F52)</f>
        <v/>
      </c>
      <c r="F54" s="98" t="str">
        <f>IF('40_Estudio_Empresas'!U52="","",'40_Estudio_Empresas'!U52)</f>
        <v/>
      </c>
      <c r="G54" s="98" t="str">
        <f t="shared" si="4"/>
        <v/>
      </c>
      <c r="H54" s="98" t="str">
        <f>IF('40_Estudio_Empresas'!V52="","",'40_Estudio_Empresas'!V52)</f>
        <v/>
      </c>
      <c r="I54" s="98" t="str">
        <f t="shared" si="5"/>
        <v/>
      </c>
      <c r="J54" s="98" t="str">
        <f t="shared" si="6"/>
        <v/>
      </c>
      <c r="K54" s="98" t="str">
        <f>IF('40_Estudio_Empresas'!R52="","",'40_Estudio_Empresas'!R52)</f>
        <v/>
      </c>
      <c r="L54" s="123" t="str">
        <f>IF('40_Estudio_Empresas'!M52="","",'40_Estudio_Empresas'!M52)</f>
        <v/>
      </c>
      <c r="M54" s="98" t="str">
        <f>IF('40_Estudio_Empresas'!W52="","",'40_Estudio_Empresas'!W52)</f>
        <v/>
      </c>
      <c r="N54" s="98" t="str">
        <f t="shared" si="7"/>
        <v/>
      </c>
    </row>
    <row r="55" spans="1:14">
      <c r="A55" s="98" t="str">
        <f>IF('40_Estudio_Empresas'!A53="","",'40_Estudio_Empresas'!A53)</f>
        <v/>
      </c>
      <c r="B55" s="122" t="str">
        <f>IF('40_Estudio_Empresas'!B53="","",'40_Estudio_Empresas'!B53)</f>
        <v/>
      </c>
      <c r="C55" s="98" t="str">
        <f>IF('40_Estudio_Empresas'!C53="","",'40_Estudio_Empresas'!C53)</f>
        <v/>
      </c>
      <c r="D55" s="98" t="str">
        <f>IF('40_Estudio_Empresas'!E53="","",'40_Estudio_Empresas'!E53)</f>
        <v/>
      </c>
      <c r="E55" s="98" t="str">
        <f>IF('40_Estudio_Empresas'!F53="","",'40_Estudio_Empresas'!F53)</f>
        <v/>
      </c>
      <c r="F55" s="98" t="str">
        <f>IF('40_Estudio_Empresas'!U53="","",'40_Estudio_Empresas'!U53)</f>
        <v/>
      </c>
      <c r="G55" s="98" t="str">
        <f t="shared" si="4"/>
        <v/>
      </c>
      <c r="H55" s="98" t="str">
        <f>IF('40_Estudio_Empresas'!V53="","",'40_Estudio_Empresas'!V53)</f>
        <v/>
      </c>
      <c r="I55" s="98" t="str">
        <f t="shared" si="5"/>
        <v/>
      </c>
      <c r="J55" s="98" t="str">
        <f t="shared" si="6"/>
        <v/>
      </c>
      <c r="K55" s="98" t="str">
        <f>IF('40_Estudio_Empresas'!R53="","",'40_Estudio_Empresas'!R53)</f>
        <v/>
      </c>
      <c r="L55" s="123" t="str">
        <f>IF('40_Estudio_Empresas'!M53="","",'40_Estudio_Empresas'!M53)</f>
        <v/>
      </c>
      <c r="M55" s="98" t="str">
        <f>IF('40_Estudio_Empresas'!W53="","",'40_Estudio_Empresas'!W53)</f>
        <v/>
      </c>
      <c r="N55" s="98" t="str">
        <f t="shared" si="7"/>
        <v/>
      </c>
    </row>
    <row r="56" spans="1:14">
      <c r="A56" s="98" t="str">
        <f>IF('40_Estudio_Empresas'!A54="","",'40_Estudio_Empresas'!A54)</f>
        <v/>
      </c>
      <c r="B56" s="122" t="str">
        <f>IF('40_Estudio_Empresas'!B54="","",'40_Estudio_Empresas'!B54)</f>
        <v/>
      </c>
      <c r="C56" s="98" t="str">
        <f>IF('40_Estudio_Empresas'!C54="","",'40_Estudio_Empresas'!C54)</f>
        <v/>
      </c>
      <c r="D56" s="98" t="str">
        <f>IF('40_Estudio_Empresas'!E54="","",'40_Estudio_Empresas'!E54)</f>
        <v/>
      </c>
      <c r="E56" s="98" t="str">
        <f>IF('40_Estudio_Empresas'!F54="","",'40_Estudio_Empresas'!F54)</f>
        <v/>
      </c>
      <c r="F56" s="98" t="str">
        <f>IF('40_Estudio_Empresas'!U54="","",'40_Estudio_Empresas'!U54)</f>
        <v/>
      </c>
      <c r="G56" s="98" t="str">
        <f t="shared" si="4"/>
        <v/>
      </c>
      <c r="H56" s="98" t="str">
        <f>IF('40_Estudio_Empresas'!V54="","",'40_Estudio_Empresas'!V54)</f>
        <v/>
      </c>
      <c r="I56" s="98" t="str">
        <f t="shared" si="5"/>
        <v/>
      </c>
      <c r="J56" s="98" t="str">
        <f t="shared" si="6"/>
        <v/>
      </c>
      <c r="K56" s="98" t="str">
        <f>IF('40_Estudio_Empresas'!R54="","",'40_Estudio_Empresas'!R54)</f>
        <v/>
      </c>
      <c r="L56" s="123" t="str">
        <f>IF('40_Estudio_Empresas'!M54="","",'40_Estudio_Empresas'!M54)</f>
        <v/>
      </c>
      <c r="M56" s="98" t="str">
        <f>IF('40_Estudio_Empresas'!W54="","",'40_Estudio_Empresas'!W54)</f>
        <v/>
      </c>
      <c r="N56" s="98" t="str">
        <f t="shared" si="7"/>
        <v/>
      </c>
    </row>
    <row r="57" spans="1:14">
      <c r="A57" s="98" t="str">
        <f>IF('40_Estudio_Empresas'!A55="","",'40_Estudio_Empresas'!A55)</f>
        <v/>
      </c>
      <c r="B57" s="122" t="str">
        <f>IF('40_Estudio_Empresas'!B55="","",'40_Estudio_Empresas'!B55)</f>
        <v/>
      </c>
      <c r="C57" s="98" t="str">
        <f>IF('40_Estudio_Empresas'!C55="","",'40_Estudio_Empresas'!C55)</f>
        <v/>
      </c>
      <c r="D57" s="98" t="str">
        <f>IF('40_Estudio_Empresas'!E55="","",'40_Estudio_Empresas'!E55)</f>
        <v/>
      </c>
      <c r="E57" s="98" t="str">
        <f>IF('40_Estudio_Empresas'!F55="","",'40_Estudio_Empresas'!F55)</f>
        <v/>
      </c>
      <c r="F57" s="98" t="str">
        <f>IF('40_Estudio_Empresas'!U55="","",'40_Estudio_Empresas'!U55)</f>
        <v/>
      </c>
      <c r="G57" s="98" t="str">
        <f t="shared" si="4"/>
        <v/>
      </c>
      <c r="H57" s="98" t="str">
        <f>IF('40_Estudio_Empresas'!V55="","",'40_Estudio_Empresas'!V55)</f>
        <v/>
      </c>
      <c r="I57" s="98" t="str">
        <f t="shared" si="5"/>
        <v/>
      </c>
      <c r="J57" s="98" t="str">
        <f t="shared" si="6"/>
        <v/>
      </c>
      <c r="K57" s="98" t="str">
        <f>IF('40_Estudio_Empresas'!R55="","",'40_Estudio_Empresas'!R55)</f>
        <v/>
      </c>
      <c r="L57" s="123" t="str">
        <f>IF('40_Estudio_Empresas'!M55="","",'40_Estudio_Empresas'!M55)</f>
        <v/>
      </c>
      <c r="M57" s="98" t="str">
        <f>IF('40_Estudio_Empresas'!W55="","",'40_Estudio_Empresas'!W55)</f>
        <v/>
      </c>
      <c r="N57" s="98" t="str">
        <f t="shared" si="7"/>
        <v/>
      </c>
    </row>
    <row r="58" spans="1:14">
      <c r="A58" s="98" t="str">
        <f>IF('40_Estudio_Empresas'!A56="","",'40_Estudio_Empresas'!A56)</f>
        <v/>
      </c>
      <c r="B58" s="122" t="str">
        <f>IF('40_Estudio_Empresas'!B56="","",'40_Estudio_Empresas'!B56)</f>
        <v/>
      </c>
      <c r="C58" s="98" t="str">
        <f>IF('40_Estudio_Empresas'!C56="","",'40_Estudio_Empresas'!C56)</f>
        <v/>
      </c>
      <c r="D58" s="98" t="str">
        <f>IF('40_Estudio_Empresas'!E56="","",'40_Estudio_Empresas'!E56)</f>
        <v/>
      </c>
      <c r="E58" s="98" t="str">
        <f>IF('40_Estudio_Empresas'!F56="","",'40_Estudio_Empresas'!F56)</f>
        <v/>
      </c>
      <c r="F58" s="98" t="str">
        <f>IF('40_Estudio_Empresas'!U56="","",'40_Estudio_Empresas'!U56)</f>
        <v/>
      </c>
      <c r="G58" s="98" t="str">
        <f t="shared" si="4"/>
        <v/>
      </c>
      <c r="H58" s="98" t="str">
        <f>IF('40_Estudio_Empresas'!V56="","",'40_Estudio_Empresas'!V56)</f>
        <v/>
      </c>
      <c r="I58" s="98" t="str">
        <f t="shared" si="5"/>
        <v/>
      </c>
      <c r="J58" s="98" t="str">
        <f t="shared" si="6"/>
        <v/>
      </c>
      <c r="K58" s="98" t="str">
        <f>IF('40_Estudio_Empresas'!R56="","",'40_Estudio_Empresas'!R56)</f>
        <v/>
      </c>
      <c r="L58" s="123" t="str">
        <f>IF('40_Estudio_Empresas'!M56="","",'40_Estudio_Empresas'!M56)</f>
        <v/>
      </c>
      <c r="M58" s="98" t="str">
        <f>IF('40_Estudio_Empresas'!W56="","",'40_Estudio_Empresas'!W56)</f>
        <v/>
      </c>
      <c r="N58" s="98" t="str">
        <f t="shared" si="7"/>
        <v/>
      </c>
    </row>
    <row r="59" spans="1:14">
      <c r="A59" s="98" t="str">
        <f>IF('40_Estudio_Empresas'!A57="","",'40_Estudio_Empresas'!A57)</f>
        <v/>
      </c>
      <c r="B59" s="122" t="str">
        <f>IF('40_Estudio_Empresas'!B57="","",'40_Estudio_Empresas'!B57)</f>
        <v/>
      </c>
      <c r="C59" s="98" t="str">
        <f>IF('40_Estudio_Empresas'!C57="","",'40_Estudio_Empresas'!C57)</f>
        <v/>
      </c>
      <c r="D59" s="98" t="str">
        <f>IF('40_Estudio_Empresas'!E57="","",'40_Estudio_Empresas'!E57)</f>
        <v/>
      </c>
      <c r="E59" s="98" t="str">
        <f>IF('40_Estudio_Empresas'!F57="","",'40_Estudio_Empresas'!F57)</f>
        <v/>
      </c>
      <c r="F59" s="98" t="str">
        <f>IF('40_Estudio_Empresas'!U57="","",'40_Estudio_Empresas'!U57)</f>
        <v/>
      </c>
      <c r="G59" s="98" t="str">
        <f t="shared" si="4"/>
        <v/>
      </c>
      <c r="H59" s="98" t="str">
        <f>IF('40_Estudio_Empresas'!V57="","",'40_Estudio_Empresas'!V57)</f>
        <v/>
      </c>
      <c r="I59" s="98" t="str">
        <f t="shared" si="5"/>
        <v/>
      </c>
      <c r="J59" s="98" t="str">
        <f t="shared" si="6"/>
        <v/>
      </c>
      <c r="K59" s="98" t="str">
        <f>IF('40_Estudio_Empresas'!R57="","",'40_Estudio_Empresas'!R57)</f>
        <v/>
      </c>
      <c r="L59" s="123" t="str">
        <f>IF('40_Estudio_Empresas'!M57="","",'40_Estudio_Empresas'!M57)</f>
        <v/>
      </c>
      <c r="M59" s="98" t="str">
        <f>IF('40_Estudio_Empresas'!W57="","",'40_Estudio_Empresas'!W57)</f>
        <v/>
      </c>
      <c r="N59" s="98" t="str">
        <f t="shared" si="7"/>
        <v/>
      </c>
    </row>
    <row r="60" spans="1:14">
      <c r="A60" s="98" t="str">
        <f>IF('40_Estudio_Empresas'!A58="","",'40_Estudio_Empresas'!A58)</f>
        <v/>
      </c>
      <c r="B60" s="122" t="str">
        <f>IF('40_Estudio_Empresas'!B58="","",'40_Estudio_Empresas'!B58)</f>
        <v/>
      </c>
      <c r="C60" s="98" t="str">
        <f>IF('40_Estudio_Empresas'!C58="","",'40_Estudio_Empresas'!C58)</f>
        <v/>
      </c>
      <c r="D60" s="98" t="str">
        <f>IF('40_Estudio_Empresas'!E58="","",'40_Estudio_Empresas'!E58)</f>
        <v/>
      </c>
      <c r="E60" s="98" t="str">
        <f>IF('40_Estudio_Empresas'!F58="","",'40_Estudio_Empresas'!F58)</f>
        <v/>
      </c>
      <c r="F60" s="98" t="str">
        <f>IF('40_Estudio_Empresas'!U58="","",'40_Estudio_Empresas'!U58)</f>
        <v/>
      </c>
      <c r="G60" s="98" t="str">
        <f t="shared" si="4"/>
        <v/>
      </c>
      <c r="H60" s="98" t="str">
        <f>IF('40_Estudio_Empresas'!V58="","",'40_Estudio_Empresas'!V58)</f>
        <v/>
      </c>
      <c r="I60" s="98" t="str">
        <f t="shared" si="5"/>
        <v/>
      </c>
      <c r="J60" s="98" t="str">
        <f t="shared" si="6"/>
        <v/>
      </c>
      <c r="K60" s="98" t="str">
        <f>IF('40_Estudio_Empresas'!R58="","",'40_Estudio_Empresas'!R58)</f>
        <v/>
      </c>
      <c r="L60" s="123" t="str">
        <f>IF('40_Estudio_Empresas'!M58="","",'40_Estudio_Empresas'!M58)</f>
        <v/>
      </c>
      <c r="M60" s="98" t="str">
        <f>IF('40_Estudio_Empresas'!W58="","",'40_Estudio_Empresas'!W58)</f>
        <v/>
      </c>
      <c r="N60" s="98" t="str">
        <f t="shared" si="7"/>
        <v/>
      </c>
    </row>
    <row r="61" spans="1:14">
      <c r="A61" s="98" t="str">
        <f>IF('40_Estudio_Empresas'!A59="","",'40_Estudio_Empresas'!A59)</f>
        <v/>
      </c>
      <c r="B61" s="122" t="str">
        <f>IF('40_Estudio_Empresas'!B59="","",'40_Estudio_Empresas'!B59)</f>
        <v/>
      </c>
      <c r="C61" s="98" t="str">
        <f>IF('40_Estudio_Empresas'!C59="","",'40_Estudio_Empresas'!C59)</f>
        <v/>
      </c>
      <c r="D61" s="98" t="str">
        <f>IF('40_Estudio_Empresas'!E59="","",'40_Estudio_Empresas'!E59)</f>
        <v/>
      </c>
      <c r="E61" s="98" t="str">
        <f>IF('40_Estudio_Empresas'!F59="","",'40_Estudio_Empresas'!F59)</f>
        <v/>
      </c>
      <c r="F61" s="98" t="str">
        <f>IF('40_Estudio_Empresas'!U59="","",'40_Estudio_Empresas'!U59)</f>
        <v/>
      </c>
      <c r="G61" s="98" t="str">
        <f t="shared" si="4"/>
        <v/>
      </c>
      <c r="H61" s="98" t="str">
        <f>IF('40_Estudio_Empresas'!V59="","",'40_Estudio_Empresas'!V59)</f>
        <v/>
      </c>
      <c r="I61" s="98" t="str">
        <f t="shared" si="5"/>
        <v/>
      </c>
      <c r="J61" s="98" t="str">
        <f t="shared" si="6"/>
        <v/>
      </c>
      <c r="K61" s="98" t="str">
        <f>IF('40_Estudio_Empresas'!R59="","",'40_Estudio_Empresas'!R59)</f>
        <v/>
      </c>
      <c r="L61" s="123" t="str">
        <f>IF('40_Estudio_Empresas'!M59="","",'40_Estudio_Empresas'!M59)</f>
        <v/>
      </c>
      <c r="M61" s="98" t="str">
        <f>IF('40_Estudio_Empresas'!W59="","",'40_Estudio_Empresas'!W59)</f>
        <v/>
      </c>
      <c r="N61" s="98" t="str">
        <f t="shared" si="7"/>
        <v/>
      </c>
    </row>
    <row r="62" spans="1:14">
      <c r="A62" s="98" t="str">
        <f>IF('40_Estudio_Empresas'!A60="","",'40_Estudio_Empresas'!A60)</f>
        <v/>
      </c>
      <c r="B62" s="122" t="str">
        <f>IF('40_Estudio_Empresas'!B60="","",'40_Estudio_Empresas'!B60)</f>
        <v/>
      </c>
      <c r="C62" s="98" t="str">
        <f>IF('40_Estudio_Empresas'!C60="","",'40_Estudio_Empresas'!C60)</f>
        <v/>
      </c>
      <c r="D62" s="98" t="str">
        <f>IF('40_Estudio_Empresas'!E60="","",'40_Estudio_Empresas'!E60)</f>
        <v/>
      </c>
      <c r="E62" s="98" t="str">
        <f>IF('40_Estudio_Empresas'!F60="","",'40_Estudio_Empresas'!F60)</f>
        <v/>
      </c>
      <c r="F62" s="98" t="str">
        <f>IF('40_Estudio_Empresas'!U60="","",'40_Estudio_Empresas'!U60)</f>
        <v/>
      </c>
      <c r="G62" s="98" t="str">
        <f t="shared" si="4"/>
        <v/>
      </c>
      <c r="H62" s="98" t="str">
        <f>IF('40_Estudio_Empresas'!V60="","",'40_Estudio_Empresas'!V60)</f>
        <v/>
      </c>
      <c r="I62" s="98" t="str">
        <f t="shared" si="5"/>
        <v/>
      </c>
      <c r="J62" s="98" t="str">
        <f t="shared" si="6"/>
        <v/>
      </c>
      <c r="K62" s="98" t="str">
        <f>IF('40_Estudio_Empresas'!R60="","",'40_Estudio_Empresas'!R60)</f>
        <v/>
      </c>
      <c r="L62" s="123" t="str">
        <f>IF('40_Estudio_Empresas'!M60="","",'40_Estudio_Empresas'!M60)</f>
        <v/>
      </c>
      <c r="M62" s="98" t="str">
        <f>IF('40_Estudio_Empresas'!W60="","",'40_Estudio_Empresas'!W60)</f>
        <v/>
      </c>
      <c r="N62" s="98" t="str">
        <f t="shared" si="7"/>
        <v/>
      </c>
    </row>
    <row r="63" spans="1:14">
      <c r="A63" s="98" t="str">
        <f>IF('40_Estudio_Empresas'!A61="","",'40_Estudio_Empresas'!A61)</f>
        <v/>
      </c>
      <c r="B63" s="122" t="str">
        <f>IF('40_Estudio_Empresas'!B61="","",'40_Estudio_Empresas'!B61)</f>
        <v/>
      </c>
      <c r="C63" s="98" t="str">
        <f>IF('40_Estudio_Empresas'!C61="","",'40_Estudio_Empresas'!C61)</f>
        <v/>
      </c>
      <c r="D63" s="98" t="str">
        <f>IF('40_Estudio_Empresas'!E61="","",'40_Estudio_Empresas'!E61)</f>
        <v/>
      </c>
      <c r="E63" s="98" t="str">
        <f>IF('40_Estudio_Empresas'!F61="","",'40_Estudio_Empresas'!F61)</f>
        <v/>
      </c>
      <c r="F63" s="98" t="str">
        <f>IF('40_Estudio_Empresas'!U61="","",'40_Estudio_Empresas'!U61)</f>
        <v/>
      </c>
      <c r="G63" s="98" t="str">
        <f t="shared" si="4"/>
        <v/>
      </c>
      <c r="H63" s="98" t="str">
        <f>IF('40_Estudio_Empresas'!V61="","",'40_Estudio_Empresas'!V61)</f>
        <v/>
      </c>
      <c r="I63" s="98" t="str">
        <f t="shared" si="5"/>
        <v/>
      </c>
      <c r="J63" s="98" t="str">
        <f t="shared" si="6"/>
        <v/>
      </c>
      <c r="K63" s="98" t="str">
        <f>IF('40_Estudio_Empresas'!R61="","",'40_Estudio_Empresas'!R61)</f>
        <v/>
      </c>
      <c r="L63" s="123" t="str">
        <f>IF('40_Estudio_Empresas'!M61="","",'40_Estudio_Empresas'!M61)</f>
        <v/>
      </c>
      <c r="M63" s="98" t="str">
        <f>IF('40_Estudio_Empresas'!W61="","",'40_Estudio_Empresas'!W61)</f>
        <v/>
      </c>
      <c r="N63" s="98" t="str">
        <f t="shared" si="7"/>
        <v/>
      </c>
    </row>
    <row r="64" spans="1:14">
      <c r="A64" s="98" t="str">
        <f>IF('40_Estudio_Empresas'!A62="","",'40_Estudio_Empresas'!A62)</f>
        <v/>
      </c>
      <c r="B64" s="122" t="str">
        <f>IF('40_Estudio_Empresas'!B62="","",'40_Estudio_Empresas'!B62)</f>
        <v/>
      </c>
      <c r="C64" s="98" t="str">
        <f>IF('40_Estudio_Empresas'!C62="","",'40_Estudio_Empresas'!C62)</f>
        <v/>
      </c>
      <c r="D64" s="98" t="str">
        <f>IF('40_Estudio_Empresas'!E62="","",'40_Estudio_Empresas'!E62)</f>
        <v/>
      </c>
      <c r="E64" s="98" t="str">
        <f>IF('40_Estudio_Empresas'!F62="","",'40_Estudio_Empresas'!F62)</f>
        <v/>
      </c>
      <c r="F64" s="98" t="str">
        <f>IF('40_Estudio_Empresas'!U62="","",'40_Estudio_Empresas'!U62)</f>
        <v/>
      </c>
      <c r="G64" s="98" t="str">
        <f t="shared" si="4"/>
        <v/>
      </c>
      <c r="H64" s="98" t="str">
        <f>IF('40_Estudio_Empresas'!V62="","",'40_Estudio_Empresas'!V62)</f>
        <v/>
      </c>
      <c r="I64" s="98" t="str">
        <f t="shared" si="5"/>
        <v/>
      </c>
      <c r="J64" s="98" t="str">
        <f t="shared" si="6"/>
        <v/>
      </c>
      <c r="K64" s="98" t="str">
        <f>IF('40_Estudio_Empresas'!R62="","",'40_Estudio_Empresas'!R62)</f>
        <v/>
      </c>
      <c r="L64" s="123" t="str">
        <f>IF('40_Estudio_Empresas'!M62="","",'40_Estudio_Empresas'!M62)</f>
        <v/>
      </c>
      <c r="M64" s="98" t="str">
        <f>IF('40_Estudio_Empresas'!W62="","",'40_Estudio_Empresas'!W62)</f>
        <v/>
      </c>
      <c r="N64" s="98" t="str">
        <f t="shared" si="7"/>
        <v/>
      </c>
    </row>
    <row r="65" spans="1:14">
      <c r="A65" s="98" t="str">
        <f>IF('40_Estudio_Empresas'!A63="","",'40_Estudio_Empresas'!A63)</f>
        <v/>
      </c>
      <c r="B65" s="122" t="str">
        <f>IF('40_Estudio_Empresas'!B63="","",'40_Estudio_Empresas'!B63)</f>
        <v/>
      </c>
      <c r="C65" s="98" t="str">
        <f>IF('40_Estudio_Empresas'!C63="","",'40_Estudio_Empresas'!C63)</f>
        <v/>
      </c>
      <c r="D65" s="98" t="str">
        <f>IF('40_Estudio_Empresas'!E63="","",'40_Estudio_Empresas'!E63)</f>
        <v/>
      </c>
      <c r="E65" s="98" t="str">
        <f>IF('40_Estudio_Empresas'!F63="","",'40_Estudio_Empresas'!F63)</f>
        <v/>
      </c>
      <c r="F65" s="98" t="str">
        <f>IF('40_Estudio_Empresas'!U63="","",'40_Estudio_Empresas'!U63)</f>
        <v/>
      </c>
      <c r="G65" s="98" t="str">
        <f t="shared" si="4"/>
        <v/>
      </c>
      <c r="H65" s="98" t="str">
        <f>IF('40_Estudio_Empresas'!V63="","",'40_Estudio_Empresas'!V63)</f>
        <v/>
      </c>
      <c r="I65" s="98" t="str">
        <f t="shared" si="5"/>
        <v/>
      </c>
      <c r="J65" s="98" t="str">
        <f t="shared" si="6"/>
        <v/>
      </c>
      <c r="K65" s="98" t="str">
        <f>IF('40_Estudio_Empresas'!R63="","",'40_Estudio_Empresas'!R63)</f>
        <v/>
      </c>
      <c r="L65" s="123" t="str">
        <f>IF('40_Estudio_Empresas'!M63="","",'40_Estudio_Empresas'!M63)</f>
        <v/>
      </c>
      <c r="M65" s="98" t="str">
        <f>IF('40_Estudio_Empresas'!W63="","",'40_Estudio_Empresas'!W63)</f>
        <v/>
      </c>
      <c r="N65" s="98" t="str">
        <f t="shared" si="7"/>
        <v/>
      </c>
    </row>
    <row r="66" spans="1:14">
      <c r="A66" s="98" t="str">
        <f>IF('40_Estudio_Empresas'!A64="","",'40_Estudio_Empresas'!A64)</f>
        <v/>
      </c>
      <c r="B66" s="122" t="str">
        <f>IF('40_Estudio_Empresas'!B64="","",'40_Estudio_Empresas'!B64)</f>
        <v/>
      </c>
      <c r="C66" s="98" t="str">
        <f>IF('40_Estudio_Empresas'!C64="","",'40_Estudio_Empresas'!C64)</f>
        <v/>
      </c>
      <c r="D66" s="98" t="str">
        <f>IF('40_Estudio_Empresas'!E64="","",'40_Estudio_Empresas'!E64)</f>
        <v/>
      </c>
      <c r="E66" s="98" t="str">
        <f>IF('40_Estudio_Empresas'!F64="","",'40_Estudio_Empresas'!F64)</f>
        <v/>
      </c>
      <c r="F66" s="98" t="str">
        <f>IF('40_Estudio_Empresas'!U64="","",'40_Estudio_Empresas'!U64)</f>
        <v/>
      </c>
      <c r="G66" s="98" t="str">
        <f t="shared" si="4"/>
        <v/>
      </c>
      <c r="H66" s="98" t="str">
        <f>IF('40_Estudio_Empresas'!V64="","",'40_Estudio_Empresas'!V64)</f>
        <v/>
      </c>
      <c r="I66" s="98" t="str">
        <f t="shared" si="5"/>
        <v/>
      </c>
      <c r="J66" s="98" t="str">
        <f t="shared" si="6"/>
        <v/>
      </c>
      <c r="K66" s="98" t="str">
        <f>IF('40_Estudio_Empresas'!R64="","",'40_Estudio_Empresas'!R64)</f>
        <v/>
      </c>
      <c r="L66" s="123" t="str">
        <f>IF('40_Estudio_Empresas'!M64="","",'40_Estudio_Empresas'!M64)</f>
        <v/>
      </c>
      <c r="M66" s="98" t="str">
        <f>IF('40_Estudio_Empresas'!W64="","",'40_Estudio_Empresas'!W64)</f>
        <v/>
      </c>
      <c r="N66" s="98" t="str">
        <f t="shared" si="7"/>
        <v/>
      </c>
    </row>
    <row r="67" spans="1:14">
      <c r="A67" s="98" t="str">
        <f>IF('40_Estudio_Empresas'!A65="","",'40_Estudio_Empresas'!A65)</f>
        <v/>
      </c>
      <c r="B67" s="122" t="str">
        <f>IF('40_Estudio_Empresas'!B65="","",'40_Estudio_Empresas'!B65)</f>
        <v/>
      </c>
      <c r="C67" s="98" t="str">
        <f>IF('40_Estudio_Empresas'!C65="","",'40_Estudio_Empresas'!C65)</f>
        <v/>
      </c>
      <c r="D67" s="98" t="str">
        <f>IF('40_Estudio_Empresas'!E65="","",'40_Estudio_Empresas'!E65)</f>
        <v/>
      </c>
      <c r="E67" s="98" t="str">
        <f>IF('40_Estudio_Empresas'!F65="","",'40_Estudio_Empresas'!F65)</f>
        <v/>
      </c>
      <c r="F67" s="98" t="str">
        <f>IF('40_Estudio_Empresas'!U65="","",'40_Estudio_Empresas'!U65)</f>
        <v/>
      </c>
      <c r="G67" s="98" t="str">
        <f t="shared" si="4"/>
        <v/>
      </c>
      <c r="H67" s="98" t="str">
        <f>IF('40_Estudio_Empresas'!V65="","",'40_Estudio_Empresas'!V65)</f>
        <v/>
      </c>
      <c r="I67" s="98" t="str">
        <f t="shared" si="5"/>
        <v/>
      </c>
      <c r="J67" s="98" t="str">
        <f t="shared" si="6"/>
        <v/>
      </c>
      <c r="K67" s="98" t="str">
        <f>IF('40_Estudio_Empresas'!R65="","",'40_Estudio_Empresas'!R65)</f>
        <v/>
      </c>
      <c r="L67" s="123" t="str">
        <f>IF('40_Estudio_Empresas'!M65="","",'40_Estudio_Empresas'!M65)</f>
        <v/>
      </c>
      <c r="M67" s="98" t="str">
        <f>IF('40_Estudio_Empresas'!W65="","",'40_Estudio_Empresas'!W65)</f>
        <v/>
      </c>
      <c r="N67" s="98" t="str">
        <f t="shared" si="7"/>
        <v/>
      </c>
    </row>
    <row r="68" spans="1:14">
      <c r="A68" s="98" t="str">
        <f>IF('40_Estudio_Empresas'!A66="","",'40_Estudio_Empresas'!A66)</f>
        <v/>
      </c>
      <c r="B68" s="122" t="str">
        <f>IF('40_Estudio_Empresas'!B66="","",'40_Estudio_Empresas'!B66)</f>
        <v/>
      </c>
      <c r="C68" s="98" t="str">
        <f>IF('40_Estudio_Empresas'!C66="","",'40_Estudio_Empresas'!C66)</f>
        <v/>
      </c>
      <c r="D68" s="98" t="str">
        <f>IF('40_Estudio_Empresas'!E66="","",'40_Estudio_Empresas'!E66)</f>
        <v/>
      </c>
      <c r="E68" s="98" t="str">
        <f>IF('40_Estudio_Empresas'!F66="","",'40_Estudio_Empresas'!F66)</f>
        <v/>
      </c>
      <c r="F68" s="98" t="str">
        <f>IF('40_Estudio_Empresas'!U66="","",'40_Estudio_Empresas'!U66)</f>
        <v/>
      </c>
      <c r="G68" s="98" t="str">
        <f t="shared" si="4"/>
        <v/>
      </c>
      <c r="H68" s="98" t="str">
        <f>IF('40_Estudio_Empresas'!V66="","",'40_Estudio_Empresas'!V66)</f>
        <v/>
      </c>
      <c r="I68" s="98" t="str">
        <f t="shared" si="5"/>
        <v/>
      </c>
      <c r="J68" s="98" t="str">
        <f t="shared" si="6"/>
        <v/>
      </c>
      <c r="K68" s="98" t="str">
        <f>IF('40_Estudio_Empresas'!R66="","",'40_Estudio_Empresas'!R66)</f>
        <v/>
      </c>
      <c r="L68" s="123" t="str">
        <f>IF('40_Estudio_Empresas'!M66="","",'40_Estudio_Empresas'!M66)</f>
        <v/>
      </c>
      <c r="M68" s="98" t="str">
        <f>IF('40_Estudio_Empresas'!W66="","",'40_Estudio_Empresas'!W66)</f>
        <v/>
      </c>
      <c r="N68" s="98" t="str">
        <f t="shared" si="7"/>
        <v/>
      </c>
    </row>
    <row r="69" spans="1:14">
      <c r="A69" s="98" t="str">
        <f>IF('40_Estudio_Empresas'!A67="","",'40_Estudio_Empresas'!A67)</f>
        <v/>
      </c>
      <c r="B69" s="122" t="str">
        <f>IF('40_Estudio_Empresas'!B67="","",'40_Estudio_Empresas'!B67)</f>
        <v/>
      </c>
      <c r="C69" s="98" t="str">
        <f>IF('40_Estudio_Empresas'!C67="","",'40_Estudio_Empresas'!C67)</f>
        <v/>
      </c>
      <c r="D69" s="98" t="str">
        <f>IF('40_Estudio_Empresas'!E67="","",'40_Estudio_Empresas'!E67)</f>
        <v/>
      </c>
      <c r="E69" s="98" t="str">
        <f>IF('40_Estudio_Empresas'!F67="","",'40_Estudio_Empresas'!F67)</f>
        <v/>
      </c>
      <c r="F69" s="98" t="str">
        <f>IF('40_Estudio_Empresas'!U67="","",'40_Estudio_Empresas'!U67)</f>
        <v/>
      </c>
      <c r="G69" s="98" t="str">
        <f t="shared" ref="G69:G100" si="8">IF(F69="","",IF(F69="A","A - Inmediata",IF(F69="B","B - Interesante",IF(F69="C","C - Observar",IF(F69="X","X - Descartar","Revisar")))))</f>
        <v/>
      </c>
      <c r="H69" s="98" t="str">
        <f>IF('40_Estudio_Empresas'!V67="","",'40_Estudio_Empresas'!V67)</f>
        <v/>
      </c>
      <c r="I69" s="98" t="str">
        <f t="shared" ref="I69:I100" si="9">IF(F69="","",IF(F69="A","32_Oportunidades + 33_Seguimientos + 30_CRM",IF(F69="B","32_Oportunidades + 33_Seguimientos",IF(F69="C","Mantener en observación",IF(F69="X","Descartar / archivo","Revisar")))))</f>
        <v/>
      </c>
      <c r="J69" s="98" t="str">
        <f t="shared" ref="J69:J100" si="10">IF(F69="","",IF(F69="A","Alta",IF(F69="B","Media",IF(F69="C","Baja","Descartar"))))</f>
        <v/>
      </c>
      <c r="K69" s="98" t="str">
        <f>IF('40_Estudio_Empresas'!R67="","",'40_Estudio_Empresas'!R67)</f>
        <v/>
      </c>
      <c r="L69" s="123" t="str">
        <f>IF('40_Estudio_Empresas'!M67="","",'40_Estudio_Empresas'!M67)</f>
        <v/>
      </c>
      <c r="M69" s="98" t="str">
        <f>IF('40_Estudio_Empresas'!W67="","",'40_Estudio_Empresas'!W67)</f>
        <v/>
      </c>
      <c r="N69" s="98" t="str">
        <f t="shared" ref="N69:N100" si="11">IF(F69="","",IF(OR(F69="A",F69="B"),"🟢 Activa",IF(F69="C","🟡 Observar","🔴 Descartar")))</f>
        <v/>
      </c>
    </row>
    <row r="70" spans="1:14">
      <c r="A70" s="98" t="str">
        <f>IF('40_Estudio_Empresas'!A68="","",'40_Estudio_Empresas'!A68)</f>
        <v/>
      </c>
      <c r="B70" s="122" t="str">
        <f>IF('40_Estudio_Empresas'!B68="","",'40_Estudio_Empresas'!B68)</f>
        <v/>
      </c>
      <c r="C70" s="98" t="str">
        <f>IF('40_Estudio_Empresas'!C68="","",'40_Estudio_Empresas'!C68)</f>
        <v/>
      </c>
      <c r="D70" s="98" t="str">
        <f>IF('40_Estudio_Empresas'!E68="","",'40_Estudio_Empresas'!E68)</f>
        <v/>
      </c>
      <c r="E70" s="98" t="str">
        <f>IF('40_Estudio_Empresas'!F68="","",'40_Estudio_Empresas'!F68)</f>
        <v/>
      </c>
      <c r="F70" s="98" t="str">
        <f>IF('40_Estudio_Empresas'!U68="","",'40_Estudio_Empresas'!U68)</f>
        <v/>
      </c>
      <c r="G70" s="98" t="str">
        <f t="shared" si="8"/>
        <v/>
      </c>
      <c r="H70" s="98" t="str">
        <f>IF('40_Estudio_Empresas'!V68="","",'40_Estudio_Empresas'!V68)</f>
        <v/>
      </c>
      <c r="I70" s="98" t="str">
        <f t="shared" si="9"/>
        <v/>
      </c>
      <c r="J70" s="98" t="str">
        <f t="shared" si="10"/>
        <v/>
      </c>
      <c r="K70" s="98" t="str">
        <f>IF('40_Estudio_Empresas'!R68="","",'40_Estudio_Empresas'!R68)</f>
        <v/>
      </c>
      <c r="L70" s="123" t="str">
        <f>IF('40_Estudio_Empresas'!M68="","",'40_Estudio_Empresas'!M68)</f>
        <v/>
      </c>
      <c r="M70" s="98" t="str">
        <f>IF('40_Estudio_Empresas'!W68="","",'40_Estudio_Empresas'!W68)</f>
        <v/>
      </c>
      <c r="N70" s="98" t="str">
        <f t="shared" si="11"/>
        <v/>
      </c>
    </row>
    <row r="71" spans="1:14">
      <c r="A71" s="98" t="str">
        <f>IF('40_Estudio_Empresas'!A69="","",'40_Estudio_Empresas'!A69)</f>
        <v/>
      </c>
      <c r="B71" s="122" t="str">
        <f>IF('40_Estudio_Empresas'!B69="","",'40_Estudio_Empresas'!B69)</f>
        <v/>
      </c>
      <c r="C71" s="98" t="str">
        <f>IF('40_Estudio_Empresas'!C69="","",'40_Estudio_Empresas'!C69)</f>
        <v/>
      </c>
      <c r="D71" s="98" t="str">
        <f>IF('40_Estudio_Empresas'!E69="","",'40_Estudio_Empresas'!E69)</f>
        <v/>
      </c>
      <c r="E71" s="98" t="str">
        <f>IF('40_Estudio_Empresas'!F69="","",'40_Estudio_Empresas'!F69)</f>
        <v/>
      </c>
      <c r="F71" s="98" t="str">
        <f>IF('40_Estudio_Empresas'!U69="","",'40_Estudio_Empresas'!U69)</f>
        <v/>
      </c>
      <c r="G71" s="98" t="str">
        <f t="shared" si="8"/>
        <v/>
      </c>
      <c r="H71" s="98" t="str">
        <f>IF('40_Estudio_Empresas'!V69="","",'40_Estudio_Empresas'!V69)</f>
        <v/>
      </c>
      <c r="I71" s="98" t="str">
        <f t="shared" si="9"/>
        <v/>
      </c>
      <c r="J71" s="98" t="str">
        <f t="shared" si="10"/>
        <v/>
      </c>
      <c r="K71" s="98" t="str">
        <f>IF('40_Estudio_Empresas'!R69="","",'40_Estudio_Empresas'!R69)</f>
        <v/>
      </c>
      <c r="L71" s="123" t="str">
        <f>IF('40_Estudio_Empresas'!M69="","",'40_Estudio_Empresas'!M69)</f>
        <v/>
      </c>
      <c r="M71" s="98" t="str">
        <f>IF('40_Estudio_Empresas'!W69="","",'40_Estudio_Empresas'!W69)</f>
        <v/>
      </c>
      <c r="N71" s="98" t="str">
        <f t="shared" si="11"/>
        <v/>
      </c>
    </row>
    <row r="72" spans="1:14">
      <c r="A72" s="98" t="str">
        <f>IF('40_Estudio_Empresas'!A70="","",'40_Estudio_Empresas'!A70)</f>
        <v/>
      </c>
      <c r="B72" s="122" t="str">
        <f>IF('40_Estudio_Empresas'!B70="","",'40_Estudio_Empresas'!B70)</f>
        <v/>
      </c>
      <c r="C72" s="98" t="str">
        <f>IF('40_Estudio_Empresas'!C70="","",'40_Estudio_Empresas'!C70)</f>
        <v/>
      </c>
      <c r="D72" s="98" t="str">
        <f>IF('40_Estudio_Empresas'!E70="","",'40_Estudio_Empresas'!E70)</f>
        <v/>
      </c>
      <c r="E72" s="98" t="str">
        <f>IF('40_Estudio_Empresas'!F70="","",'40_Estudio_Empresas'!F70)</f>
        <v/>
      </c>
      <c r="F72" s="98" t="str">
        <f>IF('40_Estudio_Empresas'!U70="","",'40_Estudio_Empresas'!U70)</f>
        <v/>
      </c>
      <c r="G72" s="98" t="str">
        <f t="shared" si="8"/>
        <v/>
      </c>
      <c r="H72" s="98" t="str">
        <f>IF('40_Estudio_Empresas'!V70="","",'40_Estudio_Empresas'!V70)</f>
        <v/>
      </c>
      <c r="I72" s="98" t="str">
        <f t="shared" si="9"/>
        <v/>
      </c>
      <c r="J72" s="98" t="str">
        <f t="shared" si="10"/>
        <v/>
      </c>
      <c r="K72" s="98" t="str">
        <f>IF('40_Estudio_Empresas'!R70="","",'40_Estudio_Empresas'!R70)</f>
        <v/>
      </c>
      <c r="L72" s="123" t="str">
        <f>IF('40_Estudio_Empresas'!M70="","",'40_Estudio_Empresas'!M70)</f>
        <v/>
      </c>
      <c r="M72" s="98" t="str">
        <f>IF('40_Estudio_Empresas'!W70="","",'40_Estudio_Empresas'!W70)</f>
        <v/>
      </c>
      <c r="N72" s="98" t="str">
        <f t="shared" si="11"/>
        <v/>
      </c>
    </row>
    <row r="73" spans="1:14">
      <c r="A73" s="98" t="str">
        <f>IF('40_Estudio_Empresas'!A71="","",'40_Estudio_Empresas'!A71)</f>
        <v/>
      </c>
      <c r="B73" s="122" t="str">
        <f>IF('40_Estudio_Empresas'!B71="","",'40_Estudio_Empresas'!B71)</f>
        <v/>
      </c>
      <c r="C73" s="98" t="str">
        <f>IF('40_Estudio_Empresas'!C71="","",'40_Estudio_Empresas'!C71)</f>
        <v/>
      </c>
      <c r="D73" s="98" t="str">
        <f>IF('40_Estudio_Empresas'!E71="","",'40_Estudio_Empresas'!E71)</f>
        <v/>
      </c>
      <c r="E73" s="98" t="str">
        <f>IF('40_Estudio_Empresas'!F71="","",'40_Estudio_Empresas'!F71)</f>
        <v/>
      </c>
      <c r="F73" s="98" t="str">
        <f>IF('40_Estudio_Empresas'!U71="","",'40_Estudio_Empresas'!U71)</f>
        <v/>
      </c>
      <c r="G73" s="98" t="str">
        <f t="shared" si="8"/>
        <v/>
      </c>
      <c r="H73" s="98" t="str">
        <f>IF('40_Estudio_Empresas'!V71="","",'40_Estudio_Empresas'!V71)</f>
        <v/>
      </c>
      <c r="I73" s="98" t="str">
        <f t="shared" si="9"/>
        <v/>
      </c>
      <c r="J73" s="98" t="str">
        <f t="shared" si="10"/>
        <v/>
      </c>
      <c r="K73" s="98" t="str">
        <f>IF('40_Estudio_Empresas'!R71="","",'40_Estudio_Empresas'!R71)</f>
        <v/>
      </c>
      <c r="L73" s="123" t="str">
        <f>IF('40_Estudio_Empresas'!M71="","",'40_Estudio_Empresas'!M71)</f>
        <v/>
      </c>
      <c r="M73" s="98" t="str">
        <f>IF('40_Estudio_Empresas'!W71="","",'40_Estudio_Empresas'!W71)</f>
        <v/>
      </c>
      <c r="N73" s="98" t="str">
        <f t="shared" si="11"/>
        <v/>
      </c>
    </row>
    <row r="74" spans="1:14">
      <c r="A74" s="98" t="str">
        <f>IF('40_Estudio_Empresas'!A72="","",'40_Estudio_Empresas'!A72)</f>
        <v/>
      </c>
      <c r="B74" s="122" t="str">
        <f>IF('40_Estudio_Empresas'!B72="","",'40_Estudio_Empresas'!B72)</f>
        <v/>
      </c>
      <c r="C74" s="98" t="str">
        <f>IF('40_Estudio_Empresas'!C72="","",'40_Estudio_Empresas'!C72)</f>
        <v/>
      </c>
      <c r="D74" s="98" t="str">
        <f>IF('40_Estudio_Empresas'!E72="","",'40_Estudio_Empresas'!E72)</f>
        <v/>
      </c>
      <c r="E74" s="98" t="str">
        <f>IF('40_Estudio_Empresas'!F72="","",'40_Estudio_Empresas'!F72)</f>
        <v/>
      </c>
      <c r="F74" s="98" t="str">
        <f>IF('40_Estudio_Empresas'!U72="","",'40_Estudio_Empresas'!U72)</f>
        <v/>
      </c>
      <c r="G74" s="98" t="str">
        <f t="shared" si="8"/>
        <v/>
      </c>
      <c r="H74" s="98" t="str">
        <f>IF('40_Estudio_Empresas'!V72="","",'40_Estudio_Empresas'!V72)</f>
        <v/>
      </c>
      <c r="I74" s="98" t="str">
        <f t="shared" si="9"/>
        <v/>
      </c>
      <c r="J74" s="98" t="str">
        <f t="shared" si="10"/>
        <v/>
      </c>
      <c r="K74" s="98" t="str">
        <f>IF('40_Estudio_Empresas'!R72="","",'40_Estudio_Empresas'!R72)</f>
        <v/>
      </c>
      <c r="L74" s="123" t="str">
        <f>IF('40_Estudio_Empresas'!M72="","",'40_Estudio_Empresas'!M72)</f>
        <v/>
      </c>
      <c r="M74" s="98" t="str">
        <f>IF('40_Estudio_Empresas'!W72="","",'40_Estudio_Empresas'!W72)</f>
        <v/>
      </c>
      <c r="N74" s="98" t="str">
        <f t="shared" si="11"/>
        <v/>
      </c>
    </row>
    <row r="75" spans="1:14">
      <c r="A75" s="98" t="str">
        <f>IF('40_Estudio_Empresas'!A73="","",'40_Estudio_Empresas'!A73)</f>
        <v/>
      </c>
      <c r="B75" s="122" t="str">
        <f>IF('40_Estudio_Empresas'!B73="","",'40_Estudio_Empresas'!B73)</f>
        <v/>
      </c>
      <c r="C75" s="98" t="str">
        <f>IF('40_Estudio_Empresas'!C73="","",'40_Estudio_Empresas'!C73)</f>
        <v/>
      </c>
      <c r="D75" s="98" t="str">
        <f>IF('40_Estudio_Empresas'!E73="","",'40_Estudio_Empresas'!E73)</f>
        <v/>
      </c>
      <c r="E75" s="98" t="str">
        <f>IF('40_Estudio_Empresas'!F73="","",'40_Estudio_Empresas'!F73)</f>
        <v/>
      </c>
      <c r="F75" s="98" t="str">
        <f>IF('40_Estudio_Empresas'!U73="","",'40_Estudio_Empresas'!U73)</f>
        <v/>
      </c>
      <c r="G75" s="98" t="str">
        <f t="shared" si="8"/>
        <v/>
      </c>
      <c r="H75" s="98" t="str">
        <f>IF('40_Estudio_Empresas'!V73="","",'40_Estudio_Empresas'!V73)</f>
        <v/>
      </c>
      <c r="I75" s="98" t="str">
        <f t="shared" si="9"/>
        <v/>
      </c>
      <c r="J75" s="98" t="str">
        <f t="shared" si="10"/>
        <v/>
      </c>
      <c r="K75" s="98" t="str">
        <f>IF('40_Estudio_Empresas'!R73="","",'40_Estudio_Empresas'!R73)</f>
        <v/>
      </c>
      <c r="L75" s="123" t="str">
        <f>IF('40_Estudio_Empresas'!M73="","",'40_Estudio_Empresas'!M73)</f>
        <v/>
      </c>
      <c r="M75" s="98" t="str">
        <f>IF('40_Estudio_Empresas'!W73="","",'40_Estudio_Empresas'!W73)</f>
        <v/>
      </c>
      <c r="N75" s="98" t="str">
        <f t="shared" si="11"/>
        <v/>
      </c>
    </row>
    <row r="76" spans="1:14">
      <c r="A76" s="98" t="str">
        <f>IF('40_Estudio_Empresas'!A74="","",'40_Estudio_Empresas'!A74)</f>
        <v/>
      </c>
      <c r="B76" s="122" t="str">
        <f>IF('40_Estudio_Empresas'!B74="","",'40_Estudio_Empresas'!B74)</f>
        <v/>
      </c>
      <c r="C76" s="98" t="str">
        <f>IF('40_Estudio_Empresas'!C74="","",'40_Estudio_Empresas'!C74)</f>
        <v/>
      </c>
      <c r="D76" s="98" t="str">
        <f>IF('40_Estudio_Empresas'!E74="","",'40_Estudio_Empresas'!E74)</f>
        <v/>
      </c>
      <c r="E76" s="98" t="str">
        <f>IF('40_Estudio_Empresas'!F74="","",'40_Estudio_Empresas'!F74)</f>
        <v/>
      </c>
      <c r="F76" s="98" t="str">
        <f>IF('40_Estudio_Empresas'!U74="","",'40_Estudio_Empresas'!U74)</f>
        <v/>
      </c>
      <c r="G76" s="98" t="str">
        <f t="shared" si="8"/>
        <v/>
      </c>
      <c r="H76" s="98" t="str">
        <f>IF('40_Estudio_Empresas'!V74="","",'40_Estudio_Empresas'!V74)</f>
        <v/>
      </c>
      <c r="I76" s="98" t="str">
        <f t="shared" si="9"/>
        <v/>
      </c>
      <c r="J76" s="98" t="str">
        <f t="shared" si="10"/>
        <v/>
      </c>
      <c r="K76" s="98" t="str">
        <f>IF('40_Estudio_Empresas'!R74="","",'40_Estudio_Empresas'!R74)</f>
        <v/>
      </c>
      <c r="L76" s="123" t="str">
        <f>IF('40_Estudio_Empresas'!M74="","",'40_Estudio_Empresas'!M74)</f>
        <v/>
      </c>
      <c r="M76" s="98" t="str">
        <f>IF('40_Estudio_Empresas'!W74="","",'40_Estudio_Empresas'!W74)</f>
        <v/>
      </c>
      <c r="N76" s="98" t="str">
        <f t="shared" si="11"/>
        <v/>
      </c>
    </row>
    <row r="77" spans="1:14">
      <c r="A77" s="98" t="str">
        <f>IF('40_Estudio_Empresas'!A75="","",'40_Estudio_Empresas'!A75)</f>
        <v/>
      </c>
      <c r="B77" s="122" t="str">
        <f>IF('40_Estudio_Empresas'!B75="","",'40_Estudio_Empresas'!B75)</f>
        <v/>
      </c>
      <c r="C77" s="98" t="str">
        <f>IF('40_Estudio_Empresas'!C75="","",'40_Estudio_Empresas'!C75)</f>
        <v/>
      </c>
      <c r="D77" s="98" t="str">
        <f>IF('40_Estudio_Empresas'!E75="","",'40_Estudio_Empresas'!E75)</f>
        <v/>
      </c>
      <c r="E77" s="98" t="str">
        <f>IF('40_Estudio_Empresas'!F75="","",'40_Estudio_Empresas'!F75)</f>
        <v/>
      </c>
      <c r="F77" s="98" t="str">
        <f>IF('40_Estudio_Empresas'!U75="","",'40_Estudio_Empresas'!U75)</f>
        <v/>
      </c>
      <c r="G77" s="98" t="str">
        <f t="shared" si="8"/>
        <v/>
      </c>
      <c r="H77" s="98" t="str">
        <f>IF('40_Estudio_Empresas'!V75="","",'40_Estudio_Empresas'!V75)</f>
        <v/>
      </c>
      <c r="I77" s="98" t="str">
        <f t="shared" si="9"/>
        <v/>
      </c>
      <c r="J77" s="98" t="str">
        <f t="shared" si="10"/>
        <v/>
      </c>
      <c r="K77" s="98" t="str">
        <f>IF('40_Estudio_Empresas'!R75="","",'40_Estudio_Empresas'!R75)</f>
        <v/>
      </c>
      <c r="L77" s="123" t="str">
        <f>IF('40_Estudio_Empresas'!M75="","",'40_Estudio_Empresas'!M75)</f>
        <v/>
      </c>
      <c r="M77" s="98" t="str">
        <f>IF('40_Estudio_Empresas'!W75="","",'40_Estudio_Empresas'!W75)</f>
        <v/>
      </c>
      <c r="N77" s="98" t="str">
        <f t="shared" si="11"/>
        <v/>
      </c>
    </row>
    <row r="78" spans="1:14">
      <c r="A78" s="98" t="str">
        <f>IF('40_Estudio_Empresas'!A76="","",'40_Estudio_Empresas'!A76)</f>
        <v/>
      </c>
      <c r="B78" s="122" t="str">
        <f>IF('40_Estudio_Empresas'!B76="","",'40_Estudio_Empresas'!B76)</f>
        <v/>
      </c>
      <c r="C78" s="98" t="str">
        <f>IF('40_Estudio_Empresas'!C76="","",'40_Estudio_Empresas'!C76)</f>
        <v/>
      </c>
      <c r="D78" s="98" t="str">
        <f>IF('40_Estudio_Empresas'!E76="","",'40_Estudio_Empresas'!E76)</f>
        <v/>
      </c>
      <c r="E78" s="98" t="str">
        <f>IF('40_Estudio_Empresas'!F76="","",'40_Estudio_Empresas'!F76)</f>
        <v/>
      </c>
      <c r="F78" s="98" t="str">
        <f>IF('40_Estudio_Empresas'!U76="","",'40_Estudio_Empresas'!U76)</f>
        <v/>
      </c>
      <c r="G78" s="98" t="str">
        <f t="shared" si="8"/>
        <v/>
      </c>
      <c r="H78" s="98" t="str">
        <f>IF('40_Estudio_Empresas'!V76="","",'40_Estudio_Empresas'!V76)</f>
        <v/>
      </c>
      <c r="I78" s="98" t="str">
        <f t="shared" si="9"/>
        <v/>
      </c>
      <c r="J78" s="98" t="str">
        <f t="shared" si="10"/>
        <v/>
      </c>
      <c r="K78" s="98" t="str">
        <f>IF('40_Estudio_Empresas'!R76="","",'40_Estudio_Empresas'!R76)</f>
        <v/>
      </c>
      <c r="L78" s="123" t="str">
        <f>IF('40_Estudio_Empresas'!M76="","",'40_Estudio_Empresas'!M76)</f>
        <v/>
      </c>
      <c r="M78" s="98" t="str">
        <f>IF('40_Estudio_Empresas'!W76="","",'40_Estudio_Empresas'!W76)</f>
        <v/>
      </c>
      <c r="N78" s="98" t="str">
        <f t="shared" si="11"/>
        <v/>
      </c>
    </row>
    <row r="79" spans="1:14">
      <c r="A79" s="98" t="str">
        <f>IF('40_Estudio_Empresas'!A77="","",'40_Estudio_Empresas'!A77)</f>
        <v/>
      </c>
      <c r="B79" s="122" t="str">
        <f>IF('40_Estudio_Empresas'!B77="","",'40_Estudio_Empresas'!B77)</f>
        <v/>
      </c>
      <c r="C79" s="98" t="str">
        <f>IF('40_Estudio_Empresas'!C77="","",'40_Estudio_Empresas'!C77)</f>
        <v/>
      </c>
      <c r="D79" s="98" t="str">
        <f>IF('40_Estudio_Empresas'!E77="","",'40_Estudio_Empresas'!E77)</f>
        <v/>
      </c>
      <c r="E79" s="98" t="str">
        <f>IF('40_Estudio_Empresas'!F77="","",'40_Estudio_Empresas'!F77)</f>
        <v/>
      </c>
      <c r="F79" s="98" t="str">
        <f>IF('40_Estudio_Empresas'!U77="","",'40_Estudio_Empresas'!U77)</f>
        <v/>
      </c>
      <c r="G79" s="98" t="str">
        <f t="shared" si="8"/>
        <v/>
      </c>
      <c r="H79" s="98" t="str">
        <f>IF('40_Estudio_Empresas'!V77="","",'40_Estudio_Empresas'!V77)</f>
        <v/>
      </c>
      <c r="I79" s="98" t="str">
        <f t="shared" si="9"/>
        <v/>
      </c>
      <c r="J79" s="98" t="str">
        <f t="shared" si="10"/>
        <v/>
      </c>
      <c r="K79" s="98" t="str">
        <f>IF('40_Estudio_Empresas'!R77="","",'40_Estudio_Empresas'!R77)</f>
        <v/>
      </c>
      <c r="L79" s="123" t="str">
        <f>IF('40_Estudio_Empresas'!M77="","",'40_Estudio_Empresas'!M77)</f>
        <v/>
      </c>
      <c r="M79" s="98" t="str">
        <f>IF('40_Estudio_Empresas'!W77="","",'40_Estudio_Empresas'!W77)</f>
        <v/>
      </c>
      <c r="N79" s="98" t="str">
        <f t="shared" si="11"/>
        <v/>
      </c>
    </row>
    <row r="80" spans="1:14">
      <c r="A80" s="98" t="str">
        <f>IF('40_Estudio_Empresas'!A78="","",'40_Estudio_Empresas'!A78)</f>
        <v/>
      </c>
      <c r="B80" s="122" t="str">
        <f>IF('40_Estudio_Empresas'!B78="","",'40_Estudio_Empresas'!B78)</f>
        <v/>
      </c>
      <c r="C80" s="98" t="str">
        <f>IF('40_Estudio_Empresas'!C78="","",'40_Estudio_Empresas'!C78)</f>
        <v/>
      </c>
      <c r="D80" s="98" t="str">
        <f>IF('40_Estudio_Empresas'!E78="","",'40_Estudio_Empresas'!E78)</f>
        <v/>
      </c>
      <c r="E80" s="98" t="str">
        <f>IF('40_Estudio_Empresas'!F78="","",'40_Estudio_Empresas'!F78)</f>
        <v/>
      </c>
      <c r="F80" s="98" t="str">
        <f>IF('40_Estudio_Empresas'!U78="","",'40_Estudio_Empresas'!U78)</f>
        <v/>
      </c>
      <c r="G80" s="98" t="str">
        <f t="shared" si="8"/>
        <v/>
      </c>
      <c r="H80" s="98" t="str">
        <f>IF('40_Estudio_Empresas'!V78="","",'40_Estudio_Empresas'!V78)</f>
        <v/>
      </c>
      <c r="I80" s="98" t="str">
        <f t="shared" si="9"/>
        <v/>
      </c>
      <c r="J80" s="98" t="str">
        <f t="shared" si="10"/>
        <v/>
      </c>
      <c r="K80" s="98" t="str">
        <f>IF('40_Estudio_Empresas'!R78="","",'40_Estudio_Empresas'!R78)</f>
        <v/>
      </c>
      <c r="L80" s="123" t="str">
        <f>IF('40_Estudio_Empresas'!M78="","",'40_Estudio_Empresas'!M78)</f>
        <v/>
      </c>
      <c r="M80" s="98" t="str">
        <f>IF('40_Estudio_Empresas'!W78="","",'40_Estudio_Empresas'!W78)</f>
        <v/>
      </c>
      <c r="N80" s="98" t="str">
        <f t="shared" si="11"/>
        <v/>
      </c>
    </row>
    <row r="81" spans="1:14">
      <c r="A81" s="98" t="str">
        <f>IF('40_Estudio_Empresas'!A79="","",'40_Estudio_Empresas'!A79)</f>
        <v/>
      </c>
      <c r="B81" s="122" t="str">
        <f>IF('40_Estudio_Empresas'!B79="","",'40_Estudio_Empresas'!B79)</f>
        <v/>
      </c>
      <c r="C81" s="98" t="str">
        <f>IF('40_Estudio_Empresas'!C79="","",'40_Estudio_Empresas'!C79)</f>
        <v/>
      </c>
      <c r="D81" s="98" t="str">
        <f>IF('40_Estudio_Empresas'!E79="","",'40_Estudio_Empresas'!E79)</f>
        <v/>
      </c>
      <c r="E81" s="98" t="str">
        <f>IF('40_Estudio_Empresas'!F79="","",'40_Estudio_Empresas'!F79)</f>
        <v/>
      </c>
      <c r="F81" s="98" t="str">
        <f>IF('40_Estudio_Empresas'!U79="","",'40_Estudio_Empresas'!U79)</f>
        <v/>
      </c>
      <c r="G81" s="98" t="str">
        <f t="shared" si="8"/>
        <v/>
      </c>
      <c r="H81" s="98" t="str">
        <f>IF('40_Estudio_Empresas'!V79="","",'40_Estudio_Empresas'!V79)</f>
        <v/>
      </c>
      <c r="I81" s="98" t="str">
        <f t="shared" si="9"/>
        <v/>
      </c>
      <c r="J81" s="98" t="str">
        <f t="shared" si="10"/>
        <v/>
      </c>
      <c r="K81" s="98" t="str">
        <f>IF('40_Estudio_Empresas'!R79="","",'40_Estudio_Empresas'!R79)</f>
        <v/>
      </c>
      <c r="L81" s="123" t="str">
        <f>IF('40_Estudio_Empresas'!M79="","",'40_Estudio_Empresas'!M79)</f>
        <v/>
      </c>
      <c r="M81" s="98" t="str">
        <f>IF('40_Estudio_Empresas'!W79="","",'40_Estudio_Empresas'!W79)</f>
        <v/>
      </c>
      <c r="N81" s="98" t="str">
        <f t="shared" si="11"/>
        <v/>
      </c>
    </row>
    <row r="82" spans="1:14">
      <c r="A82" s="98" t="str">
        <f>IF('40_Estudio_Empresas'!A80="","",'40_Estudio_Empresas'!A80)</f>
        <v/>
      </c>
      <c r="B82" s="122" t="str">
        <f>IF('40_Estudio_Empresas'!B80="","",'40_Estudio_Empresas'!B80)</f>
        <v/>
      </c>
      <c r="C82" s="98" t="str">
        <f>IF('40_Estudio_Empresas'!C80="","",'40_Estudio_Empresas'!C80)</f>
        <v/>
      </c>
      <c r="D82" s="98" t="str">
        <f>IF('40_Estudio_Empresas'!E80="","",'40_Estudio_Empresas'!E80)</f>
        <v/>
      </c>
      <c r="E82" s="98" t="str">
        <f>IF('40_Estudio_Empresas'!F80="","",'40_Estudio_Empresas'!F80)</f>
        <v/>
      </c>
      <c r="F82" s="98" t="str">
        <f>IF('40_Estudio_Empresas'!U80="","",'40_Estudio_Empresas'!U80)</f>
        <v/>
      </c>
      <c r="G82" s="98" t="str">
        <f t="shared" si="8"/>
        <v/>
      </c>
      <c r="H82" s="98" t="str">
        <f>IF('40_Estudio_Empresas'!V80="","",'40_Estudio_Empresas'!V80)</f>
        <v/>
      </c>
      <c r="I82" s="98" t="str">
        <f t="shared" si="9"/>
        <v/>
      </c>
      <c r="J82" s="98" t="str">
        <f t="shared" si="10"/>
        <v/>
      </c>
      <c r="K82" s="98" t="str">
        <f>IF('40_Estudio_Empresas'!R80="","",'40_Estudio_Empresas'!R80)</f>
        <v/>
      </c>
      <c r="L82" s="123" t="str">
        <f>IF('40_Estudio_Empresas'!M80="","",'40_Estudio_Empresas'!M80)</f>
        <v/>
      </c>
      <c r="M82" s="98" t="str">
        <f>IF('40_Estudio_Empresas'!W80="","",'40_Estudio_Empresas'!W80)</f>
        <v/>
      </c>
      <c r="N82" s="98" t="str">
        <f t="shared" si="11"/>
        <v/>
      </c>
    </row>
    <row r="83" spans="1:14">
      <c r="A83" s="98" t="str">
        <f>IF('40_Estudio_Empresas'!A81="","",'40_Estudio_Empresas'!A81)</f>
        <v/>
      </c>
      <c r="B83" s="122" t="str">
        <f>IF('40_Estudio_Empresas'!B81="","",'40_Estudio_Empresas'!B81)</f>
        <v/>
      </c>
      <c r="C83" s="98" t="str">
        <f>IF('40_Estudio_Empresas'!C81="","",'40_Estudio_Empresas'!C81)</f>
        <v/>
      </c>
      <c r="D83" s="98" t="str">
        <f>IF('40_Estudio_Empresas'!E81="","",'40_Estudio_Empresas'!E81)</f>
        <v/>
      </c>
      <c r="E83" s="98" t="str">
        <f>IF('40_Estudio_Empresas'!F81="","",'40_Estudio_Empresas'!F81)</f>
        <v/>
      </c>
      <c r="F83" s="98" t="str">
        <f>IF('40_Estudio_Empresas'!U81="","",'40_Estudio_Empresas'!U81)</f>
        <v/>
      </c>
      <c r="G83" s="98" t="str">
        <f t="shared" si="8"/>
        <v/>
      </c>
      <c r="H83" s="98" t="str">
        <f>IF('40_Estudio_Empresas'!V81="","",'40_Estudio_Empresas'!V81)</f>
        <v/>
      </c>
      <c r="I83" s="98" t="str">
        <f t="shared" si="9"/>
        <v/>
      </c>
      <c r="J83" s="98" t="str">
        <f t="shared" si="10"/>
        <v/>
      </c>
      <c r="K83" s="98" t="str">
        <f>IF('40_Estudio_Empresas'!R81="","",'40_Estudio_Empresas'!R81)</f>
        <v/>
      </c>
      <c r="L83" s="123" t="str">
        <f>IF('40_Estudio_Empresas'!M81="","",'40_Estudio_Empresas'!M81)</f>
        <v/>
      </c>
      <c r="M83" s="98" t="str">
        <f>IF('40_Estudio_Empresas'!W81="","",'40_Estudio_Empresas'!W81)</f>
        <v/>
      </c>
      <c r="N83" s="98" t="str">
        <f t="shared" si="11"/>
        <v/>
      </c>
    </row>
    <row r="84" spans="1:14">
      <c r="A84" s="98" t="str">
        <f>IF('40_Estudio_Empresas'!A82="","",'40_Estudio_Empresas'!A82)</f>
        <v/>
      </c>
      <c r="B84" s="122" t="str">
        <f>IF('40_Estudio_Empresas'!B82="","",'40_Estudio_Empresas'!B82)</f>
        <v/>
      </c>
      <c r="C84" s="98" t="str">
        <f>IF('40_Estudio_Empresas'!C82="","",'40_Estudio_Empresas'!C82)</f>
        <v/>
      </c>
      <c r="D84" s="98" t="str">
        <f>IF('40_Estudio_Empresas'!E82="","",'40_Estudio_Empresas'!E82)</f>
        <v/>
      </c>
      <c r="E84" s="98" t="str">
        <f>IF('40_Estudio_Empresas'!F82="","",'40_Estudio_Empresas'!F82)</f>
        <v/>
      </c>
      <c r="F84" s="98" t="str">
        <f>IF('40_Estudio_Empresas'!U82="","",'40_Estudio_Empresas'!U82)</f>
        <v/>
      </c>
      <c r="G84" s="98" t="str">
        <f t="shared" si="8"/>
        <v/>
      </c>
      <c r="H84" s="98" t="str">
        <f>IF('40_Estudio_Empresas'!V82="","",'40_Estudio_Empresas'!V82)</f>
        <v/>
      </c>
      <c r="I84" s="98" t="str">
        <f t="shared" si="9"/>
        <v/>
      </c>
      <c r="J84" s="98" t="str">
        <f t="shared" si="10"/>
        <v/>
      </c>
      <c r="K84" s="98" t="str">
        <f>IF('40_Estudio_Empresas'!R82="","",'40_Estudio_Empresas'!R82)</f>
        <v/>
      </c>
      <c r="L84" s="123" t="str">
        <f>IF('40_Estudio_Empresas'!M82="","",'40_Estudio_Empresas'!M82)</f>
        <v/>
      </c>
      <c r="M84" s="98" t="str">
        <f>IF('40_Estudio_Empresas'!W82="","",'40_Estudio_Empresas'!W82)</f>
        <v/>
      </c>
      <c r="N84" s="98" t="str">
        <f t="shared" si="11"/>
        <v/>
      </c>
    </row>
    <row r="85" spans="1:14">
      <c r="A85" s="98" t="str">
        <f>IF('40_Estudio_Empresas'!A83="","",'40_Estudio_Empresas'!A83)</f>
        <v/>
      </c>
      <c r="B85" s="122" t="str">
        <f>IF('40_Estudio_Empresas'!B83="","",'40_Estudio_Empresas'!B83)</f>
        <v/>
      </c>
      <c r="C85" s="98" t="str">
        <f>IF('40_Estudio_Empresas'!C83="","",'40_Estudio_Empresas'!C83)</f>
        <v/>
      </c>
      <c r="D85" s="98" t="str">
        <f>IF('40_Estudio_Empresas'!E83="","",'40_Estudio_Empresas'!E83)</f>
        <v/>
      </c>
      <c r="E85" s="98" t="str">
        <f>IF('40_Estudio_Empresas'!F83="","",'40_Estudio_Empresas'!F83)</f>
        <v/>
      </c>
      <c r="F85" s="98" t="str">
        <f>IF('40_Estudio_Empresas'!U83="","",'40_Estudio_Empresas'!U83)</f>
        <v/>
      </c>
      <c r="G85" s="98" t="str">
        <f t="shared" si="8"/>
        <v/>
      </c>
      <c r="H85" s="98" t="str">
        <f>IF('40_Estudio_Empresas'!V83="","",'40_Estudio_Empresas'!V83)</f>
        <v/>
      </c>
      <c r="I85" s="98" t="str">
        <f t="shared" si="9"/>
        <v/>
      </c>
      <c r="J85" s="98" t="str">
        <f t="shared" si="10"/>
        <v/>
      </c>
      <c r="K85" s="98" t="str">
        <f>IF('40_Estudio_Empresas'!R83="","",'40_Estudio_Empresas'!R83)</f>
        <v/>
      </c>
      <c r="L85" s="123" t="str">
        <f>IF('40_Estudio_Empresas'!M83="","",'40_Estudio_Empresas'!M83)</f>
        <v/>
      </c>
      <c r="M85" s="98" t="str">
        <f>IF('40_Estudio_Empresas'!W83="","",'40_Estudio_Empresas'!W83)</f>
        <v/>
      </c>
      <c r="N85" s="98" t="str">
        <f t="shared" si="11"/>
        <v/>
      </c>
    </row>
    <row r="86" spans="1:14">
      <c r="A86" s="98" t="str">
        <f>IF('40_Estudio_Empresas'!A84="","",'40_Estudio_Empresas'!A84)</f>
        <v/>
      </c>
      <c r="B86" s="122" t="str">
        <f>IF('40_Estudio_Empresas'!B84="","",'40_Estudio_Empresas'!B84)</f>
        <v/>
      </c>
      <c r="C86" s="98" t="str">
        <f>IF('40_Estudio_Empresas'!C84="","",'40_Estudio_Empresas'!C84)</f>
        <v/>
      </c>
      <c r="D86" s="98" t="str">
        <f>IF('40_Estudio_Empresas'!E84="","",'40_Estudio_Empresas'!E84)</f>
        <v/>
      </c>
      <c r="E86" s="98" t="str">
        <f>IF('40_Estudio_Empresas'!F84="","",'40_Estudio_Empresas'!F84)</f>
        <v/>
      </c>
      <c r="F86" s="98" t="str">
        <f>IF('40_Estudio_Empresas'!U84="","",'40_Estudio_Empresas'!U84)</f>
        <v/>
      </c>
      <c r="G86" s="98" t="str">
        <f t="shared" si="8"/>
        <v/>
      </c>
      <c r="H86" s="98" t="str">
        <f>IF('40_Estudio_Empresas'!V84="","",'40_Estudio_Empresas'!V84)</f>
        <v/>
      </c>
      <c r="I86" s="98" t="str">
        <f t="shared" si="9"/>
        <v/>
      </c>
      <c r="J86" s="98" t="str">
        <f t="shared" si="10"/>
        <v/>
      </c>
      <c r="K86" s="98" t="str">
        <f>IF('40_Estudio_Empresas'!R84="","",'40_Estudio_Empresas'!R84)</f>
        <v/>
      </c>
      <c r="L86" s="123" t="str">
        <f>IF('40_Estudio_Empresas'!M84="","",'40_Estudio_Empresas'!M84)</f>
        <v/>
      </c>
      <c r="M86" s="98" t="str">
        <f>IF('40_Estudio_Empresas'!W84="","",'40_Estudio_Empresas'!W84)</f>
        <v/>
      </c>
      <c r="N86" s="98" t="str">
        <f t="shared" si="11"/>
        <v/>
      </c>
    </row>
    <row r="87" spans="1:14">
      <c r="A87" s="98" t="str">
        <f>IF('40_Estudio_Empresas'!A85="","",'40_Estudio_Empresas'!A85)</f>
        <v/>
      </c>
      <c r="B87" s="122" t="str">
        <f>IF('40_Estudio_Empresas'!B85="","",'40_Estudio_Empresas'!B85)</f>
        <v/>
      </c>
      <c r="C87" s="98" t="str">
        <f>IF('40_Estudio_Empresas'!C85="","",'40_Estudio_Empresas'!C85)</f>
        <v/>
      </c>
      <c r="D87" s="98" t="str">
        <f>IF('40_Estudio_Empresas'!E85="","",'40_Estudio_Empresas'!E85)</f>
        <v/>
      </c>
      <c r="E87" s="98" t="str">
        <f>IF('40_Estudio_Empresas'!F85="","",'40_Estudio_Empresas'!F85)</f>
        <v/>
      </c>
      <c r="F87" s="98" t="str">
        <f>IF('40_Estudio_Empresas'!U85="","",'40_Estudio_Empresas'!U85)</f>
        <v/>
      </c>
      <c r="G87" s="98" t="str">
        <f t="shared" si="8"/>
        <v/>
      </c>
      <c r="H87" s="98" t="str">
        <f>IF('40_Estudio_Empresas'!V85="","",'40_Estudio_Empresas'!V85)</f>
        <v/>
      </c>
      <c r="I87" s="98" t="str">
        <f t="shared" si="9"/>
        <v/>
      </c>
      <c r="J87" s="98" t="str">
        <f t="shared" si="10"/>
        <v/>
      </c>
      <c r="K87" s="98" t="str">
        <f>IF('40_Estudio_Empresas'!R85="","",'40_Estudio_Empresas'!R85)</f>
        <v/>
      </c>
      <c r="L87" s="123" t="str">
        <f>IF('40_Estudio_Empresas'!M85="","",'40_Estudio_Empresas'!M85)</f>
        <v/>
      </c>
      <c r="M87" s="98" t="str">
        <f>IF('40_Estudio_Empresas'!W85="","",'40_Estudio_Empresas'!W85)</f>
        <v/>
      </c>
      <c r="N87" s="98" t="str">
        <f t="shared" si="11"/>
        <v/>
      </c>
    </row>
    <row r="88" spans="1:14">
      <c r="A88" s="98" t="str">
        <f>IF('40_Estudio_Empresas'!A86="","",'40_Estudio_Empresas'!A86)</f>
        <v/>
      </c>
      <c r="B88" s="122" t="str">
        <f>IF('40_Estudio_Empresas'!B86="","",'40_Estudio_Empresas'!B86)</f>
        <v/>
      </c>
      <c r="C88" s="98" t="str">
        <f>IF('40_Estudio_Empresas'!C86="","",'40_Estudio_Empresas'!C86)</f>
        <v/>
      </c>
      <c r="D88" s="98" t="str">
        <f>IF('40_Estudio_Empresas'!E86="","",'40_Estudio_Empresas'!E86)</f>
        <v/>
      </c>
      <c r="E88" s="98" t="str">
        <f>IF('40_Estudio_Empresas'!F86="","",'40_Estudio_Empresas'!F86)</f>
        <v/>
      </c>
      <c r="F88" s="98" t="str">
        <f>IF('40_Estudio_Empresas'!U86="","",'40_Estudio_Empresas'!U86)</f>
        <v/>
      </c>
      <c r="G88" s="98" t="str">
        <f t="shared" si="8"/>
        <v/>
      </c>
      <c r="H88" s="98" t="str">
        <f>IF('40_Estudio_Empresas'!V86="","",'40_Estudio_Empresas'!V86)</f>
        <v/>
      </c>
      <c r="I88" s="98" t="str">
        <f t="shared" si="9"/>
        <v/>
      </c>
      <c r="J88" s="98" t="str">
        <f t="shared" si="10"/>
        <v/>
      </c>
      <c r="K88" s="98" t="str">
        <f>IF('40_Estudio_Empresas'!R86="","",'40_Estudio_Empresas'!R86)</f>
        <v/>
      </c>
      <c r="L88" s="123" t="str">
        <f>IF('40_Estudio_Empresas'!M86="","",'40_Estudio_Empresas'!M86)</f>
        <v/>
      </c>
      <c r="M88" s="98" t="str">
        <f>IF('40_Estudio_Empresas'!W86="","",'40_Estudio_Empresas'!W86)</f>
        <v/>
      </c>
      <c r="N88" s="98" t="str">
        <f t="shared" si="11"/>
        <v/>
      </c>
    </row>
    <row r="89" spans="1:14">
      <c r="A89" s="98" t="str">
        <f>IF('40_Estudio_Empresas'!A87="","",'40_Estudio_Empresas'!A87)</f>
        <v/>
      </c>
      <c r="B89" s="122" t="str">
        <f>IF('40_Estudio_Empresas'!B87="","",'40_Estudio_Empresas'!B87)</f>
        <v/>
      </c>
      <c r="C89" s="98" t="str">
        <f>IF('40_Estudio_Empresas'!C87="","",'40_Estudio_Empresas'!C87)</f>
        <v/>
      </c>
      <c r="D89" s="98" t="str">
        <f>IF('40_Estudio_Empresas'!E87="","",'40_Estudio_Empresas'!E87)</f>
        <v/>
      </c>
      <c r="E89" s="98" t="str">
        <f>IF('40_Estudio_Empresas'!F87="","",'40_Estudio_Empresas'!F87)</f>
        <v/>
      </c>
      <c r="F89" s="98" t="str">
        <f>IF('40_Estudio_Empresas'!U87="","",'40_Estudio_Empresas'!U87)</f>
        <v/>
      </c>
      <c r="G89" s="98" t="str">
        <f t="shared" si="8"/>
        <v/>
      </c>
      <c r="H89" s="98" t="str">
        <f>IF('40_Estudio_Empresas'!V87="","",'40_Estudio_Empresas'!V87)</f>
        <v/>
      </c>
      <c r="I89" s="98" t="str">
        <f t="shared" si="9"/>
        <v/>
      </c>
      <c r="J89" s="98" t="str">
        <f t="shared" si="10"/>
        <v/>
      </c>
      <c r="K89" s="98" t="str">
        <f>IF('40_Estudio_Empresas'!R87="","",'40_Estudio_Empresas'!R87)</f>
        <v/>
      </c>
      <c r="L89" s="123" t="str">
        <f>IF('40_Estudio_Empresas'!M87="","",'40_Estudio_Empresas'!M87)</f>
        <v/>
      </c>
      <c r="M89" s="98" t="str">
        <f>IF('40_Estudio_Empresas'!W87="","",'40_Estudio_Empresas'!W87)</f>
        <v/>
      </c>
      <c r="N89" s="98" t="str">
        <f t="shared" si="11"/>
        <v/>
      </c>
    </row>
    <row r="90" spans="1:14">
      <c r="A90" s="98" t="str">
        <f>IF('40_Estudio_Empresas'!A88="","",'40_Estudio_Empresas'!A88)</f>
        <v/>
      </c>
      <c r="B90" s="122" t="str">
        <f>IF('40_Estudio_Empresas'!B88="","",'40_Estudio_Empresas'!B88)</f>
        <v/>
      </c>
      <c r="C90" s="98" t="str">
        <f>IF('40_Estudio_Empresas'!C88="","",'40_Estudio_Empresas'!C88)</f>
        <v/>
      </c>
      <c r="D90" s="98" t="str">
        <f>IF('40_Estudio_Empresas'!E88="","",'40_Estudio_Empresas'!E88)</f>
        <v/>
      </c>
      <c r="E90" s="98" t="str">
        <f>IF('40_Estudio_Empresas'!F88="","",'40_Estudio_Empresas'!F88)</f>
        <v/>
      </c>
      <c r="F90" s="98" t="str">
        <f>IF('40_Estudio_Empresas'!U88="","",'40_Estudio_Empresas'!U88)</f>
        <v/>
      </c>
      <c r="G90" s="98" t="str">
        <f t="shared" si="8"/>
        <v/>
      </c>
      <c r="H90" s="98" t="str">
        <f>IF('40_Estudio_Empresas'!V88="","",'40_Estudio_Empresas'!V88)</f>
        <v/>
      </c>
      <c r="I90" s="98" t="str">
        <f t="shared" si="9"/>
        <v/>
      </c>
      <c r="J90" s="98" t="str">
        <f t="shared" si="10"/>
        <v/>
      </c>
      <c r="K90" s="98" t="str">
        <f>IF('40_Estudio_Empresas'!R88="","",'40_Estudio_Empresas'!R88)</f>
        <v/>
      </c>
      <c r="L90" s="123" t="str">
        <f>IF('40_Estudio_Empresas'!M88="","",'40_Estudio_Empresas'!M88)</f>
        <v/>
      </c>
      <c r="M90" s="98" t="str">
        <f>IF('40_Estudio_Empresas'!W88="","",'40_Estudio_Empresas'!W88)</f>
        <v/>
      </c>
      <c r="N90" s="98" t="str">
        <f t="shared" si="11"/>
        <v/>
      </c>
    </row>
    <row r="91" spans="1:14">
      <c r="A91" s="98" t="str">
        <f>IF('40_Estudio_Empresas'!A89="","",'40_Estudio_Empresas'!A89)</f>
        <v/>
      </c>
      <c r="B91" s="122" t="str">
        <f>IF('40_Estudio_Empresas'!B89="","",'40_Estudio_Empresas'!B89)</f>
        <v/>
      </c>
      <c r="C91" s="98" t="str">
        <f>IF('40_Estudio_Empresas'!C89="","",'40_Estudio_Empresas'!C89)</f>
        <v/>
      </c>
      <c r="D91" s="98" t="str">
        <f>IF('40_Estudio_Empresas'!E89="","",'40_Estudio_Empresas'!E89)</f>
        <v/>
      </c>
      <c r="E91" s="98" t="str">
        <f>IF('40_Estudio_Empresas'!F89="","",'40_Estudio_Empresas'!F89)</f>
        <v/>
      </c>
      <c r="F91" s="98" t="str">
        <f>IF('40_Estudio_Empresas'!U89="","",'40_Estudio_Empresas'!U89)</f>
        <v/>
      </c>
      <c r="G91" s="98" t="str">
        <f t="shared" si="8"/>
        <v/>
      </c>
      <c r="H91" s="98" t="str">
        <f>IF('40_Estudio_Empresas'!V89="","",'40_Estudio_Empresas'!V89)</f>
        <v/>
      </c>
      <c r="I91" s="98" t="str">
        <f t="shared" si="9"/>
        <v/>
      </c>
      <c r="J91" s="98" t="str">
        <f t="shared" si="10"/>
        <v/>
      </c>
      <c r="K91" s="98" t="str">
        <f>IF('40_Estudio_Empresas'!R89="","",'40_Estudio_Empresas'!R89)</f>
        <v/>
      </c>
      <c r="L91" s="123" t="str">
        <f>IF('40_Estudio_Empresas'!M89="","",'40_Estudio_Empresas'!M89)</f>
        <v/>
      </c>
      <c r="M91" s="98" t="str">
        <f>IF('40_Estudio_Empresas'!W89="","",'40_Estudio_Empresas'!W89)</f>
        <v/>
      </c>
      <c r="N91" s="98" t="str">
        <f t="shared" si="11"/>
        <v/>
      </c>
    </row>
    <row r="92" spans="1:14">
      <c r="A92" s="98" t="str">
        <f>IF('40_Estudio_Empresas'!A90="","",'40_Estudio_Empresas'!A90)</f>
        <v/>
      </c>
      <c r="B92" s="122" t="str">
        <f>IF('40_Estudio_Empresas'!B90="","",'40_Estudio_Empresas'!B90)</f>
        <v/>
      </c>
      <c r="C92" s="98" t="str">
        <f>IF('40_Estudio_Empresas'!C90="","",'40_Estudio_Empresas'!C90)</f>
        <v/>
      </c>
      <c r="D92" s="98" t="str">
        <f>IF('40_Estudio_Empresas'!E90="","",'40_Estudio_Empresas'!E90)</f>
        <v/>
      </c>
      <c r="E92" s="98" t="str">
        <f>IF('40_Estudio_Empresas'!F90="","",'40_Estudio_Empresas'!F90)</f>
        <v/>
      </c>
      <c r="F92" s="98" t="str">
        <f>IF('40_Estudio_Empresas'!U90="","",'40_Estudio_Empresas'!U90)</f>
        <v/>
      </c>
      <c r="G92" s="98" t="str">
        <f t="shared" si="8"/>
        <v/>
      </c>
      <c r="H92" s="98" t="str">
        <f>IF('40_Estudio_Empresas'!V90="","",'40_Estudio_Empresas'!V90)</f>
        <v/>
      </c>
      <c r="I92" s="98" t="str">
        <f t="shared" si="9"/>
        <v/>
      </c>
      <c r="J92" s="98" t="str">
        <f t="shared" si="10"/>
        <v/>
      </c>
      <c r="K92" s="98" t="str">
        <f>IF('40_Estudio_Empresas'!R90="","",'40_Estudio_Empresas'!R90)</f>
        <v/>
      </c>
      <c r="L92" s="123" t="str">
        <f>IF('40_Estudio_Empresas'!M90="","",'40_Estudio_Empresas'!M90)</f>
        <v/>
      </c>
      <c r="M92" s="98" t="str">
        <f>IF('40_Estudio_Empresas'!W90="","",'40_Estudio_Empresas'!W90)</f>
        <v/>
      </c>
      <c r="N92" s="98" t="str">
        <f t="shared" si="11"/>
        <v/>
      </c>
    </row>
    <row r="93" spans="1:14">
      <c r="A93" s="98" t="str">
        <f>IF('40_Estudio_Empresas'!A91="","",'40_Estudio_Empresas'!A91)</f>
        <v/>
      </c>
      <c r="B93" s="122" t="str">
        <f>IF('40_Estudio_Empresas'!B91="","",'40_Estudio_Empresas'!B91)</f>
        <v/>
      </c>
      <c r="C93" s="98" t="str">
        <f>IF('40_Estudio_Empresas'!C91="","",'40_Estudio_Empresas'!C91)</f>
        <v/>
      </c>
      <c r="D93" s="98" t="str">
        <f>IF('40_Estudio_Empresas'!E91="","",'40_Estudio_Empresas'!E91)</f>
        <v/>
      </c>
      <c r="E93" s="98" t="str">
        <f>IF('40_Estudio_Empresas'!F91="","",'40_Estudio_Empresas'!F91)</f>
        <v/>
      </c>
      <c r="F93" s="98" t="str">
        <f>IF('40_Estudio_Empresas'!U91="","",'40_Estudio_Empresas'!U91)</f>
        <v/>
      </c>
      <c r="G93" s="98" t="str">
        <f t="shared" si="8"/>
        <v/>
      </c>
      <c r="H93" s="98" t="str">
        <f>IF('40_Estudio_Empresas'!V91="","",'40_Estudio_Empresas'!V91)</f>
        <v/>
      </c>
      <c r="I93" s="98" t="str">
        <f t="shared" si="9"/>
        <v/>
      </c>
      <c r="J93" s="98" t="str">
        <f t="shared" si="10"/>
        <v/>
      </c>
      <c r="K93" s="98" t="str">
        <f>IF('40_Estudio_Empresas'!R91="","",'40_Estudio_Empresas'!R91)</f>
        <v/>
      </c>
      <c r="L93" s="123" t="str">
        <f>IF('40_Estudio_Empresas'!M91="","",'40_Estudio_Empresas'!M91)</f>
        <v/>
      </c>
      <c r="M93" s="98" t="str">
        <f>IF('40_Estudio_Empresas'!W91="","",'40_Estudio_Empresas'!W91)</f>
        <v/>
      </c>
      <c r="N93" s="98" t="str">
        <f t="shared" si="11"/>
        <v/>
      </c>
    </row>
    <row r="94" spans="1:14">
      <c r="A94" s="98" t="str">
        <f>IF('40_Estudio_Empresas'!A92="","",'40_Estudio_Empresas'!A92)</f>
        <v/>
      </c>
      <c r="B94" s="122" t="str">
        <f>IF('40_Estudio_Empresas'!B92="","",'40_Estudio_Empresas'!B92)</f>
        <v/>
      </c>
      <c r="C94" s="98" t="str">
        <f>IF('40_Estudio_Empresas'!C92="","",'40_Estudio_Empresas'!C92)</f>
        <v/>
      </c>
      <c r="D94" s="98" t="str">
        <f>IF('40_Estudio_Empresas'!E92="","",'40_Estudio_Empresas'!E92)</f>
        <v/>
      </c>
      <c r="E94" s="98" t="str">
        <f>IF('40_Estudio_Empresas'!F92="","",'40_Estudio_Empresas'!F92)</f>
        <v/>
      </c>
      <c r="F94" s="98" t="str">
        <f>IF('40_Estudio_Empresas'!U92="","",'40_Estudio_Empresas'!U92)</f>
        <v/>
      </c>
      <c r="G94" s="98" t="str">
        <f t="shared" si="8"/>
        <v/>
      </c>
      <c r="H94" s="98" t="str">
        <f>IF('40_Estudio_Empresas'!V92="","",'40_Estudio_Empresas'!V92)</f>
        <v/>
      </c>
      <c r="I94" s="98" t="str">
        <f t="shared" si="9"/>
        <v/>
      </c>
      <c r="J94" s="98" t="str">
        <f t="shared" si="10"/>
        <v/>
      </c>
      <c r="K94" s="98" t="str">
        <f>IF('40_Estudio_Empresas'!R92="","",'40_Estudio_Empresas'!R92)</f>
        <v/>
      </c>
      <c r="L94" s="123" t="str">
        <f>IF('40_Estudio_Empresas'!M92="","",'40_Estudio_Empresas'!M92)</f>
        <v/>
      </c>
      <c r="M94" s="98" t="str">
        <f>IF('40_Estudio_Empresas'!W92="","",'40_Estudio_Empresas'!W92)</f>
        <v/>
      </c>
      <c r="N94" s="98" t="str">
        <f t="shared" si="11"/>
        <v/>
      </c>
    </row>
    <row r="95" spans="1:14">
      <c r="A95" s="98" t="str">
        <f>IF('40_Estudio_Empresas'!A93="","",'40_Estudio_Empresas'!A93)</f>
        <v/>
      </c>
      <c r="B95" s="122" t="str">
        <f>IF('40_Estudio_Empresas'!B93="","",'40_Estudio_Empresas'!B93)</f>
        <v/>
      </c>
      <c r="C95" s="98" t="str">
        <f>IF('40_Estudio_Empresas'!C93="","",'40_Estudio_Empresas'!C93)</f>
        <v/>
      </c>
      <c r="D95" s="98" t="str">
        <f>IF('40_Estudio_Empresas'!E93="","",'40_Estudio_Empresas'!E93)</f>
        <v/>
      </c>
      <c r="E95" s="98" t="str">
        <f>IF('40_Estudio_Empresas'!F93="","",'40_Estudio_Empresas'!F93)</f>
        <v/>
      </c>
      <c r="F95" s="98" t="str">
        <f>IF('40_Estudio_Empresas'!U93="","",'40_Estudio_Empresas'!U93)</f>
        <v/>
      </c>
      <c r="G95" s="98" t="str">
        <f t="shared" si="8"/>
        <v/>
      </c>
      <c r="H95" s="98" t="str">
        <f>IF('40_Estudio_Empresas'!V93="","",'40_Estudio_Empresas'!V93)</f>
        <v/>
      </c>
      <c r="I95" s="98" t="str">
        <f t="shared" si="9"/>
        <v/>
      </c>
      <c r="J95" s="98" t="str">
        <f t="shared" si="10"/>
        <v/>
      </c>
      <c r="K95" s="98" t="str">
        <f>IF('40_Estudio_Empresas'!R93="","",'40_Estudio_Empresas'!R93)</f>
        <v/>
      </c>
      <c r="L95" s="123" t="str">
        <f>IF('40_Estudio_Empresas'!M93="","",'40_Estudio_Empresas'!M93)</f>
        <v/>
      </c>
      <c r="M95" s="98" t="str">
        <f>IF('40_Estudio_Empresas'!W93="","",'40_Estudio_Empresas'!W93)</f>
        <v/>
      </c>
      <c r="N95" s="98" t="str">
        <f t="shared" si="11"/>
        <v/>
      </c>
    </row>
    <row r="96" spans="1:14">
      <c r="A96" s="98" t="str">
        <f>IF('40_Estudio_Empresas'!A94="","",'40_Estudio_Empresas'!A94)</f>
        <v/>
      </c>
      <c r="B96" s="122" t="str">
        <f>IF('40_Estudio_Empresas'!B94="","",'40_Estudio_Empresas'!B94)</f>
        <v/>
      </c>
      <c r="C96" s="98" t="str">
        <f>IF('40_Estudio_Empresas'!C94="","",'40_Estudio_Empresas'!C94)</f>
        <v/>
      </c>
      <c r="D96" s="98" t="str">
        <f>IF('40_Estudio_Empresas'!E94="","",'40_Estudio_Empresas'!E94)</f>
        <v/>
      </c>
      <c r="E96" s="98" t="str">
        <f>IF('40_Estudio_Empresas'!F94="","",'40_Estudio_Empresas'!F94)</f>
        <v/>
      </c>
      <c r="F96" s="98" t="str">
        <f>IF('40_Estudio_Empresas'!U94="","",'40_Estudio_Empresas'!U94)</f>
        <v/>
      </c>
      <c r="G96" s="98" t="str">
        <f t="shared" si="8"/>
        <v/>
      </c>
      <c r="H96" s="98" t="str">
        <f>IF('40_Estudio_Empresas'!V94="","",'40_Estudio_Empresas'!V94)</f>
        <v/>
      </c>
      <c r="I96" s="98" t="str">
        <f t="shared" si="9"/>
        <v/>
      </c>
      <c r="J96" s="98" t="str">
        <f t="shared" si="10"/>
        <v/>
      </c>
      <c r="K96" s="98" t="str">
        <f>IF('40_Estudio_Empresas'!R94="","",'40_Estudio_Empresas'!R94)</f>
        <v/>
      </c>
      <c r="L96" s="123" t="str">
        <f>IF('40_Estudio_Empresas'!M94="","",'40_Estudio_Empresas'!M94)</f>
        <v/>
      </c>
      <c r="M96" s="98" t="str">
        <f>IF('40_Estudio_Empresas'!W94="","",'40_Estudio_Empresas'!W94)</f>
        <v/>
      </c>
      <c r="N96" s="98" t="str">
        <f t="shared" si="11"/>
        <v/>
      </c>
    </row>
    <row r="97" spans="1:14">
      <c r="A97" s="98" t="str">
        <f>IF('40_Estudio_Empresas'!A95="","",'40_Estudio_Empresas'!A95)</f>
        <v/>
      </c>
      <c r="B97" s="122" t="str">
        <f>IF('40_Estudio_Empresas'!B95="","",'40_Estudio_Empresas'!B95)</f>
        <v/>
      </c>
      <c r="C97" s="98" t="str">
        <f>IF('40_Estudio_Empresas'!C95="","",'40_Estudio_Empresas'!C95)</f>
        <v/>
      </c>
      <c r="D97" s="98" t="str">
        <f>IF('40_Estudio_Empresas'!E95="","",'40_Estudio_Empresas'!E95)</f>
        <v/>
      </c>
      <c r="E97" s="98" t="str">
        <f>IF('40_Estudio_Empresas'!F95="","",'40_Estudio_Empresas'!F95)</f>
        <v/>
      </c>
      <c r="F97" s="98" t="str">
        <f>IF('40_Estudio_Empresas'!U95="","",'40_Estudio_Empresas'!U95)</f>
        <v/>
      </c>
      <c r="G97" s="98" t="str">
        <f t="shared" si="8"/>
        <v/>
      </c>
      <c r="H97" s="98" t="str">
        <f>IF('40_Estudio_Empresas'!V95="","",'40_Estudio_Empresas'!V95)</f>
        <v/>
      </c>
      <c r="I97" s="98" t="str">
        <f t="shared" si="9"/>
        <v/>
      </c>
      <c r="J97" s="98" t="str">
        <f t="shared" si="10"/>
        <v/>
      </c>
      <c r="K97" s="98" t="str">
        <f>IF('40_Estudio_Empresas'!R95="","",'40_Estudio_Empresas'!R95)</f>
        <v/>
      </c>
      <c r="L97" s="123" t="str">
        <f>IF('40_Estudio_Empresas'!M95="","",'40_Estudio_Empresas'!M95)</f>
        <v/>
      </c>
      <c r="M97" s="98" t="str">
        <f>IF('40_Estudio_Empresas'!W95="","",'40_Estudio_Empresas'!W95)</f>
        <v/>
      </c>
      <c r="N97" s="98" t="str">
        <f t="shared" si="11"/>
        <v/>
      </c>
    </row>
    <row r="98" spans="1:14">
      <c r="A98" s="98" t="str">
        <f>IF('40_Estudio_Empresas'!A96="","",'40_Estudio_Empresas'!A96)</f>
        <v/>
      </c>
      <c r="B98" s="122" t="str">
        <f>IF('40_Estudio_Empresas'!B96="","",'40_Estudio_Empresas'!B96)</f>
        <v/>
      </c>
      <c r="C98" s="98" t="str">
        <f>IF('40_Estudio_Empresas'!C96="","",'40_Estudio_Empresas'!C96)</f>
        <v/>
      </c>
      <c r="D98" s="98" t="str">
        <f>IF('40_Estudio_Empresas'!E96="","",'40_Estudio_Empresas'!E96)</f>
        <v/>
      </c>
      <c r="E98" s="98" t="str">
        <f>IF('40_Estudio_Empresas'!F96="","",'40_Estudio_Empresas'!F96)</f>
        <v/>
      </c>
      <c r="F98" s="98" t="str">
        <f>IF('40_Estudio_Empresas'!U96="","",'40_Estudio_Empresas'!U96)</f>
        <v/>
      </c>
      <c r="G98" s="98" t="str">
        <f t="shared" si="8"/>
        <v/>
      </c>
      <c r="H98" s="98" t="str">
        <f>IF('40_Estudio_Empresas'!V96="","",'40_Estudio_Empresas'!V96)</f>
        <v/>
      </c>
      <c r="I98" s="98" t="str">
        <f t="shared" si="9"/>
        <v/>
      </c>
      <c r="J98" s="98" t="str">
        <f t="shared" si="10"/>
        <v/>
      </c>
      <c r="K98" s="98" t="str">
        <f>IF('40_Estudio_Empresas'!R96="","",'40_Estudio_Empresas'!R96)</f>
        <v/>
      </c>
      <c r="L98" s="123" t="str">
        <f>IF('40_Estudio_Empresas'!M96="","",'40_Estudio_Empresas'!M96)</f>
        <v/>
      </c>
      <c r="M98" s="98" t="str">
        <f>IF('40_Estudio_Empresas'!W96="","",'40_Estudio_Empresas'!W96)</f>
        <v/>
      </c>
      <c r="N98" s="98" t="str">
        <f t="shared" si="11"/>
        <v/>
      </c>
    </row>
    <row r="99" spans="1:14">
      <c r="A99" s="98" t="str">
        <f>IF('40_Estudio_Empresas'!A97="","",'40_Estudio_Empresas'!A97)</f>
        <v/>
      </c>
      <c r="B99" s="122" t="str">
        <f>IF('40_Estudio_Empresas'!B97="","",'40_Estudio_Empresas'!B97)</f>
        <v/>
      </c>
      <c r="C99" s="98" t="str">
        <f>IF('40_Estudio_Empresas'!C97="","",'40_Estudio_Empresas'!C97)</f>
        <v/>
      </c>
      <c r="D99" s="98" t="str">
        <f>IF('40_Estudio_Empresas'!E97="","",'40_Estudio_Empresas'!E97)</f>
        <v/>
      </c>
      <c r="E99" s="98" t="str">
        <f>IF('40_Estudio_Empresas'!F97="","",'40_Estudio_Empresas'!F97)</f>
        <v/>
      </c>
      <c r="F99" s="98" t="str">
        <f>IF('40_Estudio_Empresas'!U97="","",'40_Estudio_Empresas'!U97)</f>
        <v/>
      </c>
      <c r="G99" s="98" t="str">
        <f t="shared" si="8"/>
        <v/>
      </c>
      <c r="H99" s="98" t="str">
        <f>IF('40_Estudio_Empresas'!V97="","",'40_Estudio_Empresas'!V97)</f>
        <v/>
      </c>
      <c r="I99" s="98" t="str">
        <f t="shared" si="9"/>
        <v/>
      </c>
      <c r="J99" s="98" t="str">
        <f t="shared" si="10"/>
        <v/>
      </c>
      <c r="K99" s="98" t="str">
        <f>IF('40_Estudio_Empresas'!R97="","",'40_Estudio_Empresas'!R97)</f>
        <v/>
      </c>
      <c r="L99" s="123" t="str">
        <f>IF('40_Estudio_Empresas'!M97="","",'40_Estudio_Empresas'!M97)</f>
        <v/>
      </c>
      <c r="M99" s="98" t="str">
        <f>IF('40_Estudio_Empresas'!W97="","",'40_Estudio_Empresas'!W97)</f>
        <v/>
      </c>
      <c r="N99" s="98" t="str">
        <f t="shared" si="11"/>
        <v/>
      </c>
    </row>
    <row r="100" spans="1:14">
      <c r="A100" s="98" t="str">
        <f>IF('40_Estudio_Empresas'!A98="","",'40_Estudio_Empresas'!A98)</f>
        <v/>
      </c>
      <c r="B100" s="122" t="str">
        <f>IF('40_Estudio_Empresas'!B98="","",'40_Estudio_Empresas'!B98)</f>
        <v/>
      </c>
      <c r="C100" s="98" t="str">
        <f>IF('40_Estudio_Empresas'!C98="","",'40_Estudio_Empresas'!C98)</f>
        <v/>
      </c>
      <c r="D100" s="98" t="str">
        <f>IF('40_Estudio_Empresas'!E98="","",'40_Estudio_Empresas'!E98)</f>
        <v/>
      </c>
      <c r="E100" s="98" t="str">
        <f>IF('40_Estudio_Empresas'!F98="","",'40_Estudio_Empresas'!F98)</f>
        <v/>
      </c>
      <c r="F100" s="98" t="str">
        <f>IF('40_Estudio_Empresas'!U98="","",'40_Estudio_Empresas'!U98)</f>
        <v/>
      </c>
      <c r="G100" s="98" t="str">
        <f t="shared" si="8"/>
        <v/>
      </c>
      <c r="H100" s="98" t="str">
        <f>IF('40_Estudio_Empresas'!V98="","",'40_Estudio_Empresas'!V98)</f>
        <v/>
      </c>
      <c r="I100" s="98" t="str">
        <f t="shared" si="9"/>
        <v/>
      </c>
      <c r="J100" s="98" t="str">
        <f t="shared" si="10"/>
        <v/>
      </c>
      <c r="K100" s="98" t="str">
        <f>IF('40_Estudio_Empresas'!R98="","",'40_Estudio_Empresas'!R98)</f>
        <v/>
      </c>
      <c r="L100" s="123" t="str">
        <f>IF('40_Estudio_Empresas'!M98="","",'40_Estudio_Empresas'!M98)</f>
        <v/>
      </c>
      <c r="M100" s="98" t="str">
        <f>IF('40_Estudio_Empresas'!W98="","",'40_Estudio_Empresas'!W98)</f>
        <v/>
      </c>
      <c r="N100" s="98" t="str">
        <f t="shared" si="11"/>
        <v/>
      </c>
    </row>
    <row r="101" spans="1:14">
      <c r="A101" s="98" t="str">
        <f>IF('40_Estudio_Empresas'!A99="","",'40_Estudio_Empresas'!A99)</f>
        <v/>
      </c>
      <c r="B101" s="122" t="str">
        <f>IF('40_Estudio_Empresas'!B99="","",'40_Estudio_Empresas'!B99)</f>
        <v/>
      </c>
      <c r="C101" s="98" t="str">
        <f>IF('40_Estudio_Empresas'!C99="","",'40_Estudio_Empresas'!C99)</f>
        <v/>
      </c>
      <c r="D101" s="98" t="str">
        <f>IF('40_Estudio_Empresas'!E99="","",'40_Estudio_Empresas'!E99)</f>
        <v/>
      </c>
      <c r="E101" s="98" t="str">
        <f>IF('40_Estudio_Empresas'!F99="","",'40_Estudio_Empresas'!F99)</f>
        <v/>
      </c>
      <c r="F101" s="98" t="str">
        <f>IF('40_Estudio_Empresas'!U99="","",'40_Estudio_Empresas'!U99)</f>
        <v/>
      </c>
      <c r="G101" s="98" t="str">
        <f t="shared" ref="G101:G132" si="12">IF(F101="","",IF(F101="A","A - Inmediata",IF(F101="B","B - Interesante",IF(F101="C","C - Observar",IF(F101="X","X - Descartar","Revisar")))))</f>
        <v/>
      </c>
      <c r="H101" s="98" t="str">
        <f>IF('40_Estudio_Empresas'!V99="","",'40_Estudio_Empresas'!V99)</f>
        <v/>
      </c>
      <c r="I101" s="98" t="str">
        <f t="shared" ref="I101:I132" si="13">IF(F101="","",IF(F101="A","32_Oportunidades + 33_Seguimientos + 30_CRM",IF(F101="B","32_Oportunidades + 33_Seguimientos",IF(F101="C","Mantener en observación",IF(F101="X","Descartar / archivo","Revisar")))))</f>
        <v/>
      </c>
      <c r="J101" s="98" t="str">
        <f t="shared" ref="J101:J132" si="14">IF(F101="","",IF(F101="A","Alta",IF(F101="B","Media",IF(F101="C","Baja","Descartar"))))</f>
        <v/>
      </c>
      <c r="K101" s="98" t="str">
        <f>IF('40_Estudio_Empresas'!R99="","",'40_Estudio_Empresas'!R99)</f>
        <v/>
      </c>
      <c r="L101" s="123" t="str">
        <f>IF('40_Estudio_Empresas'!M99="","",'40_Estudio_Empresas'!M99)</f>
        <v/>
      </c>
      <c r="M101" s="98" t="str">
        <f>IF('40_Estudio_Empresas'!W99="","",'40_Estudio_Empresas'!W99)</f>
        <v/>
      </c>
      <c r="N101" s="98" t="str">
        <f t="shared" ref="N101:N132" si="15">IF(F101="","",IF(OR(F101="A",F101="B"),"🟢 Activa",IF(F101="C","🟡 Observar","🔴 Descartar")))</f>
        <v/>
      </c>
    </row>
    <row r="102" spans="1:14">
      <c r="A102" s="98" t="str">
        <f>IF('40_Estudio_Empresas'!A100="","",'40_Estudio_Empresas'!A100)</f>
        <v/>
      </c>
      <c r="B102" s="122" t="str">
        <f>IF('40_Estudio_Empresas'!B100="","",'40_Estudio_Empresas'!B100)</f>
        <v/>
      </c>
      <c r="C102" s="98" t="str">
        <f>IF('40_Estudio_Empresas'!C100="","",'40_Estudio_Empresas'!C100)</f>
        <v/>
      </c>
      <c r="D102" s="98" t="str">
        <f>IF('40_Estudio_Empresas'!E100="","",'40_Estudio_Empresas'!E100)</f>
        <v/>
      </c>
      <c r="E102" s="98" t="str">
        <f>IF('40_Estudio_Empresas'!F100="","",'40_Estudio_Empresas'!F100)</f>
        <v/>
      </c>
      <c r="F102" s="98" t="str">
        <f>IF('40_Estudio_Empresas'!U100="","",'40_Estudio_Empresas'!U100)</f>
        <v/>
      </c>
      <c r="G102" s="98" t="str">
        <f t="shared" si="12"/>
        <v/>
      </c>
      <c r="H102" s="98" t="str">
        <f>IF('40_Estudio_Empresas'!V100="","",'40_Estudio_Empresas'!V100)</f>
        <v/>
      </c>
      <c r="I102" s="98" t="str">
        <f t="shared" si="13"/>
        <v/>
      </c>
      <c r="J102" s="98" t="str">
        <f t="shared" si="14"/>
        <v/>
      </c>
      <c r="K102" s="98" t="str">
        <f>IF('40_Estudio_Empresas'!R100="","",'40_Estudio_Empresas'!R100)</f>
        <v/>
      </c>
      <c r="L102" s="123" t="str">
        <f>IF('40_Estudio_Empresas'!M100="","",'40_Estudio_Empresas'!M100)</f>
        <v/>
      </c>
      <c r="M102" s="98" t="str">
        <f>IF('40_Estudio_Empresas'!W100="","",'40_Estudio_Empresas'!W100)</f>
        <v/>
      </c>
      <c r="N102" s="98" t="str">
        <f t="shared" si="15"/>
        <v/>
      </c>
    </row>
    <row r="103" spans="1:14">
      <c r="A103" s="98" t="str">
        <f>IF('40_Estudio_Empresas'!A101="","",'40_Estudio_Empresas'!A101)</f>
        <v/>
      </c>
      <c r="B103" s="122" t="str">
        <f>IF('40_Estudio_Empresas'!B101="","",'40_Estudio_Empresas'!B101)</f>
        <v/>
      </c>
      <c r="C103" s="98" t="str">
        <f>IF('40_Estudio_Empresas'!C101="","",'40_Estudio_Empresas'!C101)</f>
        <v/>
      </c>
      <c r="D103" s="98" t="str">
        <f>IF('40_Estudio_Empresas'!E101="","",'40_Estudio_Empresas'!E101)</f>
        <v/>
      </c>
      <c r="E103" s="98" t="str">
        <f>IF('40_Estudio_Empresas'!F101="","",'40_Estudio_Empresas'!F101)</f>
        <v/>
      </c>
      <c r="F103" s="98" t="str">
        <f>IF('40_Estudio_Empresas'!U101="","",'40_Estudio_Empresas'!U101)</f>
        <v/>
      </c>
      <c r="G103" s="98" t="str">
        <f t="shared" si="12"/>
        <v/>
      </c>
      <c r="H103" s="98" t="str">
        <f>IF('40_Estudio_Empresas'!V101="","",'40_Estudio_Empresas'!V101)</f>
        <v/>
      </c>
      <c r="I103" s="98" t="str">
        <f t="shared" si="13"/>
        <v/>
      </c>
      <c r="J103" s="98" t="str">
        <f t="shared" si="14"/>
        <v/>
      </c>
      <c r="K103" s="98" t="str">
        <f>IF('40_Estudio_Empresas'!R101="","",'40_Estudio_Empresas'!R101)</f>
        <v/>
      </c>
      <c r="L103" s="123" t="str">
        <f>IF('40_Estudio_Empresas'!M101="","",'40_Estudio_Empresas'!M101)</f>
        <v/>
      </c>
      <c r="M103" s="98" t="str">
        <f>IF('40_Estudio_Empresas'!W101="","",'40_Estudio_Empresas'!W101)</f>
        <v/>
      </c>
      <c r="N103" s="98" t="str">
        <f t="shared" si="15"/>
        <v/>
      </c>
    </row>
    <row r="104" spans="1:14">
      <c r="A104" s="98" t="str">
        <f>IF('40_Estudio_Empresas'!A102="","",'40_Estudio_Empresas'!A102)</f>
        <v/>
      </c>
      <c r="B104" s="122" t="str">
        <f>IF('40_Estudio_Empresas'!B102="","",'40_Estudio_Empresas'!B102)</f>
        <v/>
      </c>
      <c r="C104" s="98" t="str">
        <f>IF('40_Estudio_Empresas'!C102="","",'40_Estudio_Empresas'!C102)</f>
        <v/>
      </c>
      <c r="D104" s="98" t="str">
        <f>IF('40_Estudio_Empresas'!E102="","",'40_Estudio_Empresas'!E102)</f>
        <v/>
      </c>
      <c r="E104" s="98" t="str">
        <f>IF('40_Estudio_Empresas'!F102="","",'40_Estudio_Empresas'!F102)</f>
        <v/>
      </c>
      <c r="F104" s="98" t="str">
        <f>IF('40_Estudio_Empresas'!U102="","",'40_Estudio_Empresas'!U102)</f>
        <v/>
      </c>
      <c r="G104" s="98" t="str">
        <f t="shared" si="12"/>
        <v/>
      </c>
      <c r="H104" s="98" t="str">
        <f>IF('40_Estudio_Empresas'!V102="","",'40_Estudio_Empresas'!V102)</f>
        <v/>
      </c>
      <c r="I104" s="98" t="str">
        <f t="shared" si="13"/>
        <v/>
      </c>
      <c r="J104" s="98" t="str">
        <f t="shared" si="14"/>
        <v/>
      </c>
      <c r="K104" s="98" t="str">
        <f>IF('40_Estudio_Empresas'!R102="","",'40_Estudio_Empresas'!R102)</f>
        <v/>
      </c>
      <c r="L104" s="123" t="str">
        <f>IF('40_Estudio_Empresas'!M102="","",'40_Estudio_Empresas'!M102)</f>
        <v/>
      </c>
      <c r="M104" s="98" t="str">
        <f>IF('40_Estudio_Empresas'!W102="","",'40_Estudio_Empresas'!W102)</f>
        <v/>
      </c>
      <c r="N104" s="98" t="str">
        <f t="shared" si="15"/>
        <v/>
      </c>
    </row>
    <row r="105" spans="1:14">
      <c r="A105" s="98" t="str">
        <f>IF('40_Estudio_Empresas'!A103="","",'40_Estudio_Empresas'!A103)</f>
        <v/>
      </c>
      <c r="B105" s="122" t="str">
        <f>IF('40_Estudio_Empresas'!B103="","",'40_Estudio_Empresas'!B103)</f>
        <v/>
      </c>
      <c r="C105" s="98" t="str">
        <f>IF('40_Estudio_Empresas'!C103="","",'40_Estudio_Empresas'!C103)</f>
        <v/>
      </c>
      <c r="D105" s="98" t="str">
        <f>IF('40_Estudio_Empresas'!E103="","",'40_Estudio_Empresas'!E103)</f>
        <v/>
      </c>
      <c r="E105" s="98" t="str">
        <f>IF('40_Estudio_Empresas'!F103="","",'40_Estudio_Empresas'!F103)</f>
        <v/>
      </c>
      <c r="F105" s="98" t="str">
        <f>IF('40_Estudio_Empresas'!U103="","",'40_Estudio_Empresas'!U103)</f>
        <v/>
      </c>
      <c r="G105" s="98" t="str">
        <f t="shared" si="12"/>
        <v/>
      </c>
      <c r="H105" s="98" t="str">
        <f>IF('40_Estudio_Empresas'!V103="","",'40_Estudio_Empresas'!V103)</f>
        <v/>
      </c>
      <c r="I105" s="98" t="str">
        <f t="shared" si="13"/>
        <v/>
      </c>
      <c r="J105" s="98" t="str">
        <f t="shared" si="14"/>
        <v/>
      </c>
      <c r="K105" s="98" t="str">
        <f>IF('40_Estudio_Empresas'!R103="","",'40_Estudio_Empresas'!R103)</f>
        <v/>
      </c>
      <c r="L105" s="123" t="str">
        <f>IF('40_Estudio_Empresas'!M103="","",'40_Estudio_Empresas'!M103)</f>
        <v/>
      </c>
      <c r="M105" s="98" t="str">
        <f>IF('40_Estudio_Empresas'!W103="","",'40_Estudio_Empresas'!W103)</f>
        <v/>
      </c>
      <c r="N105" s="98" t="str">
        <f t="shared" si="15"/>
        <v/>
      </c>
    </row>
    <row r="106" spans="1:14">
      <c r="A106" s="98" t="str">
        <f>IF('40_Estudio_Empresas'!A104="","",'40_Estudio_Empresas'!A104)</f>
        <v/>
      </c>
      <c r="B106" s="122" t="str">
        <f>IF('40_Estudio_Empresas'!B104="","",'40_Estudio_Empresas'!B104)</f>
        <v/>
      </c>
      <c r="C106" s="98" t="str">
        <f>IF('40_Estudio_Empresas'!C104="","",'40_Estudio_Empresas'!C104)</f>
        <v/>
      </c>
      <c r="D106" s="98" t="str">
        <f>IF('40_Estudio_Empresas'!E104="","",'40_Estudio_Empresas'!E104)</f>
        <v/>
      </c>
      <c r="E106" s="98" t="str">
        <f>IF('40_Estudio_Empresas'!F104="","",'40_Estudio_Empresas'!F104)</f>
        <v/>
      </c>
      <c r="F106" s="98" t="str">
        <f>IF('40_Estudio_Empresas'!U104="","",'40_Estudio_Empresas'!U104)</f>
        <v/>
      </c>
      <c r="G106" s="98" t="str">
        <f t="shared" si="12"/>
        <v/>
      </c>
      <c r="H106" s="98" t="str">
        <f>IF('40_Estudio_Empresas'!V104="","",'40_Estudio_Empresas'!V104)</f>
        <v/>
      </c>
      <c r="I106" s="98" t="str">
        <f t="shared" si="13"/>
        <v/>
      </c>
      <c r="J106" s="98" t="str">
        <f t="shared" si="14"/>
        <v/>
      </c>
      <c r="K106" s="98" t="str">
        <f>IF('40_Estudio_Empresas'!R104="","",'40_Estudio_Empresas'!R104)</f>
        <v/>
      </c>
      <c r="L106" s="123" t="str">
        <f>IF('40_Estudio_Empresas'!M104="","",'40_Estudio_Empresas'!M104)</f>
        <v/>
      </c>
      <c r="M106" s="98" t="str">
        <f>IF('40_Estudio_Empresas'!W104="","",'40_Estudio_Empresas'!W104)</f>
        <v/>
      </c>
      <c r="N106" s="98" t="str">
        <f t="shared" si="15"/>
        <v/>
      </c>
    </row>
    <row r="107" spans="1:14">
      <c r="A107" s="98" t="str">
        <f>IF('40_Estudio_Empresas'!A105="","",'40_Estudio_Empresas'!A105)</f>
        <v/>
      </c>
      <c r="B107" s="122" t="str">
        <f>IF('40_Estudio_Empresas'!B105="","",'40_Estudio_Empresas'!B105)</f>
        <v/>
      </c>
      <c r="C107" s="98" t="str">
        <f>IF('40_Estudio_Empresas'!C105="","",'40_Estudio_Empresas'!C105)</f>
        <v/>
      </c>
      <c r="D107" s="98" t="str">
        <f>IF('40_Estudio_Empresas'!E105="","",'40_Estudio_Empresas'!E105)</f>
        <v/>
      </c>
      <c r="E107" s="98" t="str">
        <f>IF('40_Estudio_Empresas'!F105="","",'40_Estudio_Empresas'!F105)</f>
        <v/>
      </c>
      <c r="F107" s="98" t="str">
        <f>IF('40_Estudio_Empresas'!U105="","",'40_Estudio_Empresas'!U105)</f>
        <v/>
      </c>
      <c r="G107" s="98" t="str">
        <f t="shared" si="12"/>
        <v/>
      </c>
      <c r="H107" s="98" t="str">
        <f>IF('40_Estudio_Empresas'!V105="","",'40_Estudio_Empresas'!V105)</f>
        <v/>
      </c>
      <c r="I107" s="98" t="str">
        <f t="shared" si="13"/>
        <v/>
      </c>
      <c r="J107" s="98" t="str">
        <f t="shared" si="14"/>
        <v/>
      </c>
      <c r="K107" s="98" t="str">
        <f>IF('40_Estudio_Empresas'!R105="","",'40_Estudio_Empresas'!R105)</f>
        <v/>
      </c>
      <c r="L107" s="123" t="str">
        <f>IF('40_Estudio_Empresas'!M105="","",'40_Estudio_Empresas'!M105)</f>
        <v/>
      </c>
      <c r="M107" s="98" t="str">
        <f>IF('40_Estudio_Empresas'!W105="","",'40_Estudio_Empresas'!W105)</f>
        <v/>
      </c>
      <c r="N107" s="98" t="str">
        <f t="shared" si="15"/>
        <v/>
      </c>
    </row>
    <row r="108" spans="1:14">
      <c r="A108" s="98" t="str">
        <f>IF('40_Estudio_Empresas'!A106="","",'40_Estudio_Empresas'!A106)</f>
        <v/>
      </c>
      <c r="B108" s="122" t="str">
        <f>IF('40_Estudio_Empresas'!B106="","",'40_Estudio_Empresas'!B106)</f>
        <v/>
      </c>
      <c r="C108" s="98" t="str">
        <f>IF('40_Estudio_Empresas'!C106="","",'40_Estudio_Empresas'!C106)</f>
        <v/>
      </c>
      <c r="D108" s="98" t="str">
        <f>IF('40_Estudio_Empresas'!E106="","",'40_Estudio_Empresas'!E106)</f>
        <v/>
      </c>
      <c r="E108" s="98" t="str">
        <f>IF('40_Estudio_Empresas'!F106="","",'40_Estudio_Empresas'!F106)</f>
        <v/>
      </c>
      <c r="F108" s="98" t="str">
        <f>IF('40_Estudio_Empresas'!U106="","",'40_Estudio_Empresas'!U106)</f>
        <v/>
      </c>
      <c r="G108" s="98" t="str">
        <f t="shared" si="12"/>
        <v/>
      </c>
      <c r="H108" s="98" t="str">
        <f>IF('40_Estudio_Empresas'!V106="","",'40_Estudio_Empresas'!V106)</f>
        <v/>
      </c>
      <c r="I108" s="98" t="str">
        <f t="shared" si="13"/>
        <v/>
      </c>
      <c r="J108" s="98" t="str">
        <f t="shared" si="14"/>
        <v/>
      </c>
      <c r="K108" s="98" t="str">
        <f>IF('40_Estudio_Empresas'!R106="","",'40_Estudio_Empresas'!R106)</f>
        <v/>
      </c>
      <c r="L108" s="123" t="str">
        <f>IF('40_Estudio_Empresas'!M106="","",'40_Estudio_Empresas'!M106)</f>
        <v/>
      </c>
      <c r="M108" s="98" t="str">
        <f>IF('40_Estudio_Empresas'!W106="","",'40_Estudio_Empresas'!W106)</f>
        <v/>
      </c>
      <c r="N108" s="98" t="str">
        <f t="shared" si="15"/>
        <v/>
      </c>
    </row>
    <row r="109" spans="1:14">
      <c r="A109" s="98" t="str">
        <f>IF('40_Estudio_Empresas'!A107="","",'40_Estudio_Empresas'!A107)</f>
        <v/>
      </c>
      <c r="B109" s="122" t="str">
        <f>IF('40_Estudio_Empresas'!B107="","",'40_Estudio_Empresas'!B107)</f>
        <v/>
      </c>
      <c r="C109" s="98" t="str">
        <f>IF('40_Estudio_Empresas'!C107="","",'40_Estudio_Empresas'!C107)</f>
        <v/>
      </c>
      <c r="D109" s="98" t="str">
        <f>IF('40_Estudio_Empresas'!E107="","",'40_Estudio_Empresas'!E107)</f>
        <v/>
      </c>
      <c r="E109" s="98" t="str">
        <f>IF('40_Estudio_Empresas'!F107="","",'40_Estudio_Empresas'!F107)</f>
        <v/>
      </c>
      <c r="F109" s="98" t="str">
        <f>IF('40_Estudio_Empresas'!U107="","",'40_Estudio_Empresas'!U107)</f>
        <v/>
      </c>
      <c r="G109" s="98" t="str">
        <f t="shared" si="12"/>
        <v/>
      </c>
      <c r="H109" s="98" t="str">
        <f>IF('40_Estudio_Empresas'!V107="","",'40_Estudio_Empresas'!V107)</f>
        <v/>
      </c>
      <c r="I109" s="98" t="str">
        <f t="shared" si="13"/>
        <v/>
      </c>
      <c r="J109" s="98" t="str">
        <f t="shared" si="14"/>
        <v/>
      </c>
      <c r="K109" s="98" t="str">
        <f>IF('40_Estudio_Empresas'!R107="","",'40_Estudio_Empresas'!R107)</f>
        <v/>
      </c>
      <c r="L109" s="123" t="str">
        <f>IF('40_Estudio_Empresas'!M107="","",'40_Estudio_Empresas'!M107)</f>
        <v/>
      </c>
      <c r="M109" s="98" t="str">
        <f>IF('40_Estudio_Empresas'!W107="","",'40_Estudio_Empresas'!W107)</f>
        <v/>
      </c>
      <c r="N109" s="98" t="str">
        <f t="shared" si="15"/>
        <v/>
      </c>
    </row>
    <row r="110" spans="1:14">
      <c r="A110" s="98" t="str">
        <f>IF('40_Estudio_Empresas'!A108="","",'40_Estudio_Empresas'!A108)</f>
        <v/>
      </c>
      <c r="B110" s="122" t="str">
        <f>IF('40_Estudio_Empresas'!B108="","",'40_Estudio_Empresas'!B108)</f>
        <v/>
      </c>
      <c r="C110" s="98" t="str">
        <f>IF('40_Estudio_Empresas'!C108="","",'40_Estudio_Empresas'!C108)</f>
        <v/>
      </c>
      <c r="D110" s="98" t="str">
        <f>IF('40_Estudio_Empresas'!E108="","",'40_Estudio_Empresas'!E108)</f>
        <v/>
      </c>
      <c r="E110" s="98" t="str">
        <f>IF('40_Estudio_Empresas'!F108="","",'40_Estudio_Empresas'!F108)</f>
        <v/>
      </c>
      <c r="F110" s="98" t="str">
        <f>IF('40_Estudio_Empresas'!U108="","",'40_Estudio_Empresas'!U108)</f>
        <v/>
      </c>
      <c r="G110" s="98" t="str">
        <f t="shared" si="12"/>
        <v/>
      </c>
      <c r="H110" s="98" t="str">
        <f>IF('40_Estudio_Empresas'!V108="","",'40_Estudio_Empresas'!V108)</f>
        <v/>
      </c>
      <c r="I110" s="98" t="str">
        <f t="shared" si="13"/>
        <v/>
      </c>
      <c r="J110" s="98" t="str">
        <f t="shared" si="14"/>
        <v/>
      </c>
      <c r="K110" s="98" t="str">
        <f>IF('40_Estudio_Empresas'!R108="","",'40_Estudio_Empresas'!R108)</f>
        <v/>
      </c>
      <c r="L110" s="123" t="str">
        <f>IF('40_Estudio_Empresas'!M108="","",'40_Estudio_Empresas'!M108)</f>
        <v/>
      </c>
      <c r="M110" s="98" t="str">
        <f>IF('40_Estudio_Empresas'!W108="","",'40_Estudio_Empresas'!W108)</f>
        <v/>
      </c>
      <c r="N110" s="98" t="str">
        <f t="shared" si="15"/>
        <v/>
      </c>
    </row>
    <row r="111" spans="1:14">
      <c r="A111" s="98" t="str">
        <f>IF('40_Estudio_Empresas'!A109="","",'40_Estudio_Empresas'!A109)</f>
        <v/>
      </c>
      <c r="B111" s="122" t="str">
        <f>IF('40_Estudio_Empresas'!B109="","",'40_Estudio_Empresas'!B109)</f>
        <v/>
      </c>
      <c r="C111" s="98" t="str">
        <f>IF('40_Estudio_Empresas'!C109="","",'40_Estudio_Empresas'!C109)</f>
        <v/>
      </c>
      <c r="D111" s="98" t="str">
        <f>IF('40_Estudio_Empresas'!E109="","",'40_Estudio_Empresas'!E109)</f>
        <v/>
      </c>
      <c r="E111" s="98" t="str">
        <f>IF('40_Estudio_Empresas'!F109="","",'40_Estudio_Empresas'!F109)</f>
        <v/>
      </c>
      <c r="F111" s="98" t="str">
        <f>IF('40_Estudio_Empresas'!U109="","",'40_Estudio_Empresas'!U109)</f>
        <v/>
      </c>
      <c r="G111" s="98" t="str">
        <f t="shared" si="12"/>
        <v/>
      </c>
      <c r="H111" s="98" t="str">
        <f>IF('40_Estudio_Empresas'!V109="","",'40_Estudio_Empresas'!V109)</f>
        <v/>
      </c>
      <c r="I111" s="98" t="str">
        <f t="shared" si="13"/>
        <v/>
      </c>
      <c r="J111" s="98" t="str">
        <f t="shared" si="14"/>
        <v/>
      </c>
      <c r="K111" s="98" t="str">
        <f>IF('40_Estudio_Empresas'!R109="","",'40_Estudio_Empresas'!R109)</f>
        <v/>
      </c>
      <c r="L111" s="123" t="str">
        <f>IF('40_Estudio_Empresas'!M109="","",'40_Estudio_Empresas'!M109)</f>
        <v/>
      </c>
      <c r="M111" s="98" t="str">
        <f>IF('40_Estudio_Empresas'!W109="","",'40_Estudio_Empresas'!W109)</f>
        <v/>
      </c>
      <c r="N111" s="98" t="str">
        <f t="shared" si="15"/>
        <v/>
      </c>
    </row>
    <row r="112" spans="1:14">
      <c r="A112" s="98" t="str">
        <f>IF('40_Estudio_Empresas'!A110="","",'40_Estudio_Empresas'!A110)</f>
        <v/>
      </c>
      <c r="B112" s="122" t="str">
        <f>IF('40_Estudio_Empresas'!B110="","",'40_Estudio_Empresas'!B110)</f>
        <v/>
      </c>
      <c r="C112" s="98" t="str">
        <f>IF('40_Estudio_Empresas'!C110="","",'40_Estudio_Empresas'!C110)</f>
        <v/>
      </c>
      <c r="D112" s="98" t="str">
        <f>IF('40_Estudio_Empresas'!E110="","",'40_Estudio_Empresas'!E110)</f>
        <v/>
      </c>
      <c r="E112" s="98" t="str">
        <f>IF('40_Estudio_Empresas'!F110="","",'40_Estudio_Empresas'!F110)</f>
        <v/>
      </c>
      <c r="F112" s="98" t="str">
        <f>IF('40_Estudio_Empresas'!U110="","",'40_Estudio_Empresas'!U110)</f>
        <v/>
      </c>
      <c r="G112" s="98" t="str">
        <f t="shared" si="12"/>
        <v/>
      </c>
      <c r="H112" s="98" t="str">
        <f>IF('40_Estudio_Empresas'!V110="","",'40_Estudio_Empresas'!V110)</f>
        <v/>
      </c>
      <c r="I112" s="98" t="str">
        <f t="shared" si="13"/>
        <v/>
      </c>
      <c r="J112" s="98" t="str">
        <f t="shared" si="14"/>
        <v/>
      </c>
      <c r="K112" s="98" t="str">
        <f>IF('40_Estudio_Empresas'!R110="","",'40_Estudio_Empresas'!R110)</f>
        <v/>
      </c>
      <c r="L112" s="123" t="str">
        <f>IF('40_Estudio_Empresas'!M110="","",'40_Estudio_Empresas'!M110)</f>
        <v/>
      </c>
      <c r="M112" s="98" t="str">
        <f>IF('40_Estudio_Empresas'!W110="","",'40_Estudio_Empresas'!W110)</f>
        <v/>
      </c>
      <c r="N112" s="98" t="str">
        <f t="shared" si="15"/>
        <v/>
      </c>
    </row>
    <row r="113" spans="1:14">
      <c r="A113" s="98" t="str">
        <f>IF('40_Estudio_Empresas'!A111="","",'40_Estudio_Empresas'!A111)</f>
        <v/>
      </c>
      <c r="B113" s="122" t="str">
        <f>IF('40_Estudio_Empresas'!B111="","",'40_Estudio_Empresas'!B111)</f>
        <v/>
      </c>
      <c r="C113" s="98" t="str">
        <f>IF('40_Estudio_Empresas'!C111="","",'40_Estudio_Empresas'!C111)</f>
        <v/>
      </c>
      <c r="D113" s="98" t="str">
        <f>IF('40_Estudio_Empresas'!E111="","",'40_Estudio_Empresas'!E111)</f>
        <v/>
      </c>
      <c r="E113" s="98" t="str">
        <f>IF('40_Estudio_Empresas'!F111="","",'40_Estudio_Empresas'!F111)</f>
        <v/>
      </c>
      <c r="F113" s="98" t="str">
        <f>IF('40_Estudio_Empresas'!U111="","",'40_Estudio_Empresas'!U111)</f>
        <v/>
      </c>
      <c r="G113" s="98" t="str">
        <f t="shared" si="12"/>
        <v/>
      </c>
      <c r="H113" s="98" t="str">
        <f>IF('40_Estudio_Empresas'!V111="","",'40_Estudio_Empresas'!V111)</f>
        <v/>
      </c>
      <c r="I113" s="98" t="str">
        <f t="shared" si="13"/>
        <v/>
      </c>
      <c r="J113" s="98" t="str">
        <f t="shared" si="14"/>
        <v/>
      </c>
      <c r="K113" s="98" t="str">
        <f>IF('40_Estudio_Empresas'!R111="","",'40_Estudio_Empresas'!R111)</f>
        <v/>
      </c>
      <c r="L113" s="123" t="str">
        <f>IF('40_Estudio_Empresas'!M111="","",'40_Estudio_Empresas'!M111)</f>
        <v/>
      </c>
      <c r="M113" s="98" t="str">
        <f>IF('40_Estudio_Empresas'!W111="","",'40_Estudio_Empresas'!W111)</f>
        <v/>
      </c>
      <c r="N113" s="98" t="str">
        <f t="shared" si="15"/>
        <v/>
      </c>
    </row>
    <row r="114" spans="1:14">
      <c r="A114" s="98" t="str">
        <f>IF('40_Estudio_Empresas'!A112="","",'40_Estudio_Empresas'!A112)</f>
        <v/>
      </c>
      <c r="B114" s="122" t="str">
        <f>IF('40_Estudio_Empresas'!B112="","",'40_Estudio_Empresas'!B112)</f>
        <v/>
      </c>
      <c r="C114" s="98" t="str">
        <f>IF('40_Estudio_Empresas'!C112="","",'40_Estudio_Empresas'!C112)</f>
        <v/>
      </c>
      <c r="D114" s="98" t="str">
        <f>IF('40_Estudio_Empresas'!E112="","",'40_Estudio_Empresas'!E112)</f>
        <v/>
      </c>
      <c r="E114" s="98" t="str">
        <f>IF('40_Estudio_Empresas'!F112="","",'40_Estudio_Empresas'!F112)</f>
        <v/>
      </c>
      <c r="F114" s="98" t="str">
        <f>IF('40_Estudio_Empresas'!U112="","",'40_Estudio_Empresas'!U112)</f>
        <v/>
      </c>
      <c r="G114" s="98" t="str">
        <f t="shared" si="12"/>
        <v/>
      </c>
      <c r="H114" s="98" t="str">
        <f>IF('40_Estudio_Empresas'!V112="","",'40_Estudio_Empresas'!V112)</f>
        <v/>
      </c>
      <c r="I114" s="98" t="str">
        <f t="shared" si="13"/>
        <v/>
      </c>
      <c r="J114" s="98" t="str">
        <f t="shared" si="14"/>
        <v/>
      </c>
      <c r="K114" s="98" t="str">
        <f>IF('40_Estudio_Empresas'!R112="","",'40_Estudio_Empresas'!R112)</f>
        <v/>
      </c>
      <c r="L114" s="123" t="str">
        <f>IF('40_Estudio_Empresas'!M112="","",'40_Estudio_Empresas'!M112)</f>
        <v/>
      </c>
      <c r="M114" s="98" t="str">
        <f>IF('40_Estudio_Empresas'!W112="","",'40_Estudio_Empresas'!W112)</f>
        <v/>
      </c>
      <c r="N114" s="98" t="str">
        <f t="shared" si="15"/>
        <v/>
      </c>
    </row>
    <row r="115" spans="1:14">
      <c r="A115" s="98" t="str">
        <f>IF('40_Estudio_Empresas'!A113="","",'40_Estudio_Empresas'!A113)</f>
        <v/>
      </c>
      <c r="B115" s="122" t="str">
        <f>IF('40_Estudio_Empresas'!B113="","",'40_Estudio_Empresas'!B113)</f>
        <v/>
      </c>
      <c r="C115" s="98" t="str">
        <f>IF('40_Estudio_Empresas'!C113="","",'40_Estudio_Empresas'!C113)</f>
        <v/>
      </c>
      <c r="D115" s="98" t="str">
        <f>IF('40_Estudio_Empresas'!E113="","",'40_Estudio_Empresas'!E113)</f>
        <v/>
      </c>
      <c r="E115" s="98" t="str">
        <f>IF('40_Estudio_Empresas'!F113="","",'40_Estudio_Empresas'!F113)</f>
        <v/>
      </c>
      <c r="F115" s="98" t="str">
        <f>IF('40_Estudio_Empresas'!U113="","",'40_Estudio_Empresas'!U113)</f>
        <v/>
      </c>
      <c r="G115" s="98" t="str">
        <f t="shared" si="12"/>
        <v/>
      </c>
      <c r="H115" s="98" t="str">
        <f>IF('40_Estudio_Empresas'!V113="","",'40_Estudio_Empresas'!V113)</f>
        <v/>
      </c>
      <c r="I115" s="98" t="str">
        <f t="shared" si="13"/>
        <v/>
      </c>
      <c r="J115" s="98" t="str">
        <f t="shared" si="14"/>
        <v/>
      </c>
      <c r="K115" s="98" t="str">
        <f>IF('40_Estudio_Empresas'!R113="","",'40_Estudio_Empresas'!R113)</f>
        <v/>
      </c>
      <c r="L115" s="123" t="str">
        <f>IF('40_Estudio_Empresas'!M113="","",'40_Estudio_Empresas'!M113)</f>
        <v/>
      </c>
      <c r="M115" s="98" t="str">
        <f>IF('40_Estudio_Empresas'!W113="","",'40_Estudio_Empresas'!W113)</f>
        <v/>
      </c>
      <c r="N115" s="98" t="str">
        <f t="shared" si="15"/>
        <v/>
      </c>
    </row>
    <row r="116" spans="1:14">
      <c r="A116" s="98" t="str">
        <f>IF('40_Estudio_Empresas'!A114="","",'40_Estudio_Empresas'!A114)</f>
        <v/>
      </c>
      <c r="B116" s="122" t="str">
        <f>IF('40_Estudio_Empresas'!B114="","",'40_Estudio_Empresas'!B114)</f>
        <v/>
      </c>
      <c r="C116" s="98" t="str">
        <f>IF('40_Estudio_Empresas'!C114="","",'40_Estudio_Empresas'!C114)</f>
        <v/>
      </c>
      <c r="D116" s="98" t="str">
        <f>IF('40_Estudio_Empresas'!E114="","",'40_Estudio_Empresas'!E114)</f>
        <v/>
      </c>
      <c r="E116" s="98" t="str">
        <f>IF('40_Estudio_Empresas'!F114="","",'40_Estudio_Empresas'!F114)</f>
        <v/>
      </c>
      <c r="F116" s="98" t="str">
        <f>IF('40_Estudio_Empresas'!U114="","",'40_Estudio_Empresas'!U114)</f>
        <v/>
      </c>
      <c r="G116" s="98" t="str">
        <f t="shared" si="12"/>
        <v/>
      </c>
      <c r="H116" s="98" t="str">
        <f>IF('40_Estudio_Empresas'!V114="","",'40_Estudio_Empresas'!V114)</f>
        <v/>
      </c>
      <c r="I116" s="98" t="str">
        <f t="shared" si="13"/>
        <v/>
      </c>
      <c r="J116" s="98" t="str">
        <f t="shared" si="14"/>
        <v/>
      </c>
      <c r="K116" s="98" t="str">
        <f>IF('40_Estudio_Empresas'!R114="","",'40_Estudio_Empresas'!R114)</f>
        <v/>
      </c>
      <c r="L116" s="123" t="str">
        <f>IF('40_Estudio_Empresas'!M114="","",'40_Estudio_Empresas'!M114)</f>
        <v/>
      </c>
      <c r="M116" s="98" t="str">
        <f>IF('40_Estudio_Empresas'!W114="","",'40_Estudio_Empresas'!W114)</f>
        <v/>
      </c>
      <c r="N116" s="98" t="str">
        <f t="shared" si="15"/>
        <v/>
      </c>
    </row>
    <row r="117" spans="1:14">
      <c r="A117" s="98" t="str">
        <f>IF('40_Estudio_Empresas'!A115="","",'40_Estudio_Empresas'!A115)</f>
        <v/>
      </c>
      <c r="B117" s="122" t="str">
        <f>IF('40_Estudio_Empresas'!B115="","",'40_Estudio_Empresas'!B115)</f>
        <v/>
      </c>
      <c r="C117" s="98" t="str">
        <f>IF('40_Estudio_Empresas'!C115="","",'40_Estudio_Empresas'!C115)</f>
        <v/>
      </c>
      <c r="D117" s="98" t="str">
        <f>IF('40_Estudio_Empresas'!E115="","",'40_Estudio_Empresas'!E115)</f>
        <v/>
      </c>
      <c r="E117" s="98" t="str">
        <f>IF('40_Estudio_Empresas'!F115="","",'40_Estudio_Empresas'!F115)</f>
        <v/>
      </c>
      <c r="F117" s="98" t="str">
        <f>IF('40_Estudio_Empresas'!U115="","",'40_Estudio_Empresas'!U115)</f>
        <v/>
      </c>
      <c r="G117" s="98" t="str">
        <f t="shared" si="12"/>
        <v/>
      </c>
      <c r="H117" s="98" t="str">
        <f>IF('40_Estudio_Empresas'!V115="","",'40_Estudio_Empresas'!V115)</f>
        <v/>
      </c>
      <c r="I117" s="98" t="str">
        <f t="shared" si="13"/>
        <v/>
      </c>
      <c r="J117" s="98" t="str">
        <f t="shared" si="14"/>
        <v/>
      </c>
      <c r="K117" s="98" t="str">
        <f>IF('40_Estudio_Empresas'!R115="","",'40_Estudio_Empresas'!R115)</f>
        <v/>
      </c>
      <c r="L117" s="123" t="str">
        <f>IF('40_Estudio_Empresas'!M115="","",'40_Estudio_Empresas'!M115)</f>
        <v/>
      </c>
      <c r="M117" s="98" t="str">
        <f>IF('40_Estudio_Empresas'!W115="","",'40_Estudio_Empresas'!W115)</f>
        <v/>
      </c>
      <c r="N117" s="98" t="str">
        <f t="shared" si="15"/>
        <v/>
      </c>
    </row>
    <row r="118" spans="1:14">
      <c r="A118" s="98" t="str">
        <f>IF('40_Estudio_Empresas'!A116="","",'40_Estudio_Empresas'!A116)</f>
        <v/>
      </c>
      <c r="B118" s="122" t="str">
        <f>IF('40_Estudio_Empresas'!B116="","",'40_Estudio_Empresas'!B116)</f>
        <v/>
      </c>
      <c r="C118" s="98" t="str">
        <f>IF('40_Estudio_Empresas'!C116="","",'40_Estudio_Empresas'!C116)</f>
        <v/>
      </c>
      <c r="D118" s="98" t="str">
        <f>IF('40_Estudio_Empresas'!E116="","",'40_Estudio_Empresas'!E116)</f>
        <v/>
      </c>
      <c r="E118" s="98" t="str">
        <f>IF('40_Estudio_Empresas'!F116="","",'40_Estudio_Empresas'!F116)</f>
        <v/>
      </c>
      <c r="F118" s="98" t="str">
        <f>IF('40_Estudio_Empresas'!U116="","",'40_Estudio_Empresas'!U116)</f>
        <v/>
      </c>
      <c r="G118" s="98" t="str">
        <f t="shared" si="12"/>
        <v/>
      </c>
      <c r="H118" s="98" t="str">
        <f>IF('40_Estudio_Empresas'!V116="","",'40_Estudio_Empresas'!V116)</f>
        <v/>
      </c>
      <c r="I118" s="98" t="str">
        <f t="shared" si="13"/>
        <v/>
      </c>
      <c r="J118" s="98" t="str">
        <f t="shared" si="14"/>
        <v/>
      </c>
      <c r="K118" s="98" t="str">
        <f>IF('40_Estudio_Empresas'!R116="","",'40_Estudio_Empresas'!R116)</f>
        <v/>
      </c>
      <c r="L118" s="123" t="str">
        <f>IF('40_Estudio_Empresas'!M116="","",'40_Estudio_Empresas'!M116)</f>
        <v/>
      </c>
      <c r="M118" s="98" t="str">
        <f>IF('40_Estudio_Empresas'!W116="","",'40_Estudio_Empresas'!W116)</f>
        <v/>
      </c>
      <c r="N118" s="98" t="str">
        <f t="shared" si="15"/>
        <v/>
      </c>
    </row>
    <row r="119" spans="1:14">
      <c r="A119" s="98" t="str">
        <f>IF('40_Estudio_Empresas'!A117="","",'40_Estudio_Empresas'!A117)</f>
        <v/>
      </c>
      <c r="B119" s="122" t="str">
        <f>IF('40_Estudio_Empresas'!B117="","",'40_Estudio_Empresas'!B117)</f>
        <v/>
      </c>
      <c r="C119" s="98" t="str">
        <f>IF('40_Estudio_Empresas'!C117="","",'40_Estudio_Empresas'!C117)</f>
        <v/>
      </c>
      <c r="D119" s="98" t="str">
        <f>IF('40_Estudio_Empresas'!E117="","",'40_Estudio_Empresas'!E117)</f>
        <v/>
      </c>
      <c r="E119" s="98" t="str">
        <f>IF('40_Estudio_Empresas'!F117="","",'40_Estudio_Empresas'!F117)</f>
        <v/>
      </c>
      <c r="F119" s="98" t="str">
        <f>IF('40_Estudio_Empresas'!U117="","",'40_Estudio_Empresas'!U117)</f>
        <v/>
      </c>
      <c r="G119" s="98" t="str">
        <f t="shared" si="12"/>
        <v/>
      </c>
      <c r="H119" s="98" t="str">
        <f>IF('40_Estudio_Empresas'!V117="","",'40_Estudio_Empresas'!V117)</f>
        <v/>
      </c>
      <c r="I119" s="98" t="str">
        <f t="shared" si="13"/>
        <v/>
      </c>
      <c r="J119" s="98" t="str">
        <f t="shared" si="14"/>
        <v/>
      </c>
      <c r="K119" s="98" t="str">
        <f>IF('40_Estudio_Empresas'!R117="","",'40_Estudio_Empresas'!R117)</f>
        <v/>
      </c>
      <c r="L119" s="123" t="str">
        <f>IF('40_Estudio_Empresas'!M117="","",'40_Estudio_Empresas'!M117)</f>
        <v/>
      </c>
      <c r="M119" s="98" t="str">
        <f>IF('40_Estudio_Empresas'!W117="","",'40_Estudio_Empresas'!W117)</f>
        <v/>
      </c>
      <c r="N119" s="98" t="str">
        <f t="shared" si="15"/>
        <v/>
      </c>
    </row>
    <row r="120" spans="1:14">
      <c r="A120" s="98" t="str">
        <f>IF('40_Estudio_Empresas'!A118="","",'40_Estudio_Empresas'!A118)</f>
        <v/>
      </c>
      <c r="B120" s="122" t="str">
        <f>IF('40_Estudio_Empresas'!B118="","",'40_Estudio_Empresas'!B118)</f>
        <v/>
      </c>
      <c r="C120" s="98" t="str">
        <f>IF('40_Estudio_Empresas'!C118="","",'40_Estudio_Empresas'!C118)</f>
        <v/>
      </c>
      <c r="D120" s="98" t="str">
        <f>IF('40_Estudio_Empresas'!E118="","",'40_Estudio_Empresas'!E118)</f>
        <v/>
      </c>
      <c r="E120" s="98" t="str">
        <f>IF('40_Estudio_Empresas'!F118="","",'40_Estudio_Empresas'!F118)</f>
        <v/>
      </c>
      <c r="F120" s="98" t="str">
        <f>IF('40_Estudio_Empresas'!U118="","",'40_Estudio_Empresas'!U118)</f>
        <v/>
      </c>
      <c r="G120" s="98" t="str">
        <f t="shared" si="12"/>
        <v/>
      </c>
      <c r="H120" s="98" t="str">
        <f>IF('40_Estudio_Empresas'!V118="","",'40_Estudio_Empresas'!V118)</f>
        <v/>
      </c>
      <c r="I120" s="98" t="str">
        <f t="shared" si="13"/>
        <v/>
      </c>
      <c r="J120" s="98" t="str">
        <f t="shared" si="14"/>
        <v/>
      </c>
      <c r="K120" s="98" t="str">
        <f>IF('40_Estudio_Empresas'!R118="","",'40_Estudio_Empresas'!R118)</f>
        <v/>
      </c>
      <c r="L120" s="123" t="str">
        <f>IF('40_Estudio_Empresas'!M118="","",'40_Estudio_Empresas'!M118)</f>
        <v/>
      </c>
      <c r="M120" s="98" t="str">
        <f>IF('40_Estudio_Empresas'!W118="","",'40_Estudio_Empresas'!W118)</f>
        <v/>
      </c>
      <c r="N120" s="98" t="str">
        <f t="shared" si="15"/>
        <v/>
      </c>
    </row>
    <row r="121" spans="1:14">
      <c r="A121" s="98" t="str">
        <f>IF('40_Estudio_Empresas'!A119="","",'40_Estudio_Empresas'!A119)</f>
        <v/>
      </c>
      <c r="B121" s="122" t="str">
        <f>IF('40_Estudio_Empresas'!B119="","",'40_Estudio_Empresas'!B119)</f>
        <v/>
      </c>
      <c r="C121" s="98" t="str">
        <f>IF('40_Estudio_Empresas'!C119="","",'40_Estudio_Empresas'!C119)</f>
        <v/>
      </c>
      <c r="D121" s="98" t="str">
        <f>IF('40_Estudio_Empresas'!E119="","",'40_Estudio_Empresas'!E119)</f>
        <v/>
      </c>
      <c r="E121" s="98" t="str">
        <f>IF('40_Estudio_Empresas'!F119="","",'40_Estudio_Empresas'!F119)</f>
        <v/>
      </c>
      <c r="F121" s="98" t="str">
        <f>IF('40_Estudio_Empresas'!U119="","",'40_Estudio_Empresas'!U119)</f>
        <v/>
      </c>
      <c r="G121" s="98" t="str">
        <f t="shared" si="12"/>
        <v/>
      </c>
      <c r="H121" s="98" t="str">
        <f>IF('40_Estudio_Empresas'!V119="","",'40_Estudio_Empresas'!V119)</f>
        <v/>
      </c>
      <c r="I121" s="98" t="str">
        <f t="shared" si="13"/>
        <v/>
      </c>
      <c r="J121" s="98" t="str">
        <f t="shared" si="14"/>
        <v/>
      </c>
      <c r="K121" s="98" t="str">
        <f>IF('40_Estudio_Empresas'!R119="","",'40_Estudio_Empresas'!R119)</f>
        <v/>
      </c>
      <c r="L121" s="123" t="str">
        <f>IF('40_Estudio_Empresas'!M119="","",'40_Estudio_Empresas'!M119)</f>
        <v/>
      </c>
      <c r="M121" s="98" t="str">
        <f>IF('40_Estudio_Empresas'!W119="","",'40_Estudio_Empresas'!W119)</f>
        <v/>
      </c>
      <c r="N121" s="98" t="str">
        <f t="shared" si="15"/>
        <v/>
      </c>
    </row>
    <row r="122" spans="1:14">
      <c r="A122" s="98" t="str">
        <f>IF('40_Estudio_Empresas'!A120="","",'40_Estudio_Empresas'!A120)</f>
        <v/>
      </c>
      <c r="B122" s="122" t="str">
        <f>IF('40_Estudio_Empresas'!B120="","",'40_Estudio_Empresas'!B120)</f>
        <v/>
      </c>
      <c r="C122" s="98" t="str">
        <f>IF('40_Estudio_Empresas'!C120="","",'40_Estudio_Empresas'!C120)</f>
        <v/>
      </c>
      <c r="D122" s="98" t="str">
        <f>IF('40_Estudio_Empresas'!E120="","",'40_Estudio_Empresas'!E120)</f>
        <v/>
      </c>
      <c r="E122" s="98" t="str">
        <f>IF('40_Estudio_Empresas'!F120="","",'40_Estudio_Empresas'!F120)</f>
        <v/>
      </c>
      <c r="F122" s="98" t="str">
        <f>IF('40_Estudio_Empresas'!U120="","",'40_Estudio_Empresas'!U120)</f>
        <v/>
      </c>
      <c r="G122" s="98" t="str">
        <f t="shared" si="12"/>
        <v/>
      </c>
      <c r="H122" s="98" t="str">
        <f>IF('40_Estudio_Empresas'!V120="","",'40_Estudio_Empresas'!V120)</f>
        <v/>
      </c>
      <c r="I122" s="98" t="str">
        <f t="shared" si="13"/>
        <v/>
      </c>
      <c r="J122" s="98" t="str">
        <f t="shared" si="14"/>
        <v/>
      </c>
      <c r="K122" s="98" t="str">
        <f>IF('40_Estudio_Empresas'!R120="","",'40_Estudio_Empresas'!R120)</f>
        <v/>
      </c>
      <c r="L122" s="123" t="str">
        <f>IF('40_Estudio_Empresas'!M120="","",'40_Estudio_Empresas'!M120)</f>
        <v/>
      </c>
      <c r="M122" s="98" t="str">
        <f>IF('40_Estudio_Empresas'!W120="","",'40_Estudio_Empresas'!W120)</f>
        <v/>
      </c>
      <c r="N122" s="98" t="str">
        <f t="shared" si="15"/>
        <v/>
      </c>
    </row>
    <row r="123" spans="1:14">
      <c r="A123" s="98" t="str">
        <f>IF('40_Estudio_Empresas'!A121="","",'40_Estudio_Empresas'!A121)</f>
        <v/>
      </c>
      <c r="B123" s="122" t="str">
        <f>IF('40_Estudio_Empresas'!B121="","",'40_Estudio_Empresas'!B121)</f>
        <v/>
      </c>
      <c r="C123" s="98" t="str">
        <f>IF('40_Estudio_Empresas'!C121="","",'40_Estudio_Empresas'!C121)</f>
        <v/>
      </c>
      <c r="D123" s="98" t="str">
        <f>IF('40_Estudio_Empresas'!E121="","",'40_Estudio_Empresas'!E121)</f>
        <v/>
      </c>
      <c r="E123" s="98" t="str">
        <f>IF('40_Estudio_Empresas'!F121="","",'40_Estudio_Empresas'!F121)</f>
        <v/>
      </c>
      <c r="F123" s="98" t="str">
        <f>IF('40_Estudio_Empresas'!U121="","",'40_Estudio_Empresas'!U121)</f>
        <v/>
      </c>
      <c r="G123" s="98" t="str">
        <f t="shared" si="12"/>
        <v/>
      </c>
      <c r="H123" s="98" t="str">
        <f>IF('40_Estudio_Empresas'!V121="","",'40_Estudio_Empresas'!V121)</f>
        <v/>
      </c>
      <c r="I123" s="98" t="str">
        <f t="shared" si="13"/>
        <v/>
      </c>
      <c r="J123" s="98" t="str">
        <f t="shared" si="14"/>
        <v/>
      </c>
      <c r="K123" s="98" t="str">
        <f>IF('40_Estudio_Empresas'!R121="","",'40_Estudio_Empresas'!R121)</f>
        <v/>
      </c>
      <c r="L123" s="123" t="str">
        <f>IF('40_Estudio_Empresas'!M121="","",'40_Estudio_Empresas'!M121)</f>
        <v/>
      </c>
      <c r="M123" s="98" t="str">
        <f>IF('40_Estudio_Empresas'!W121="","",'40_Estudio_Empresas'!W121)</f>
        <v/>
      </c>
      <c r="N123" s="98" t="str">
        <f t="shared" si="15"/>
        <v/>
      </c>
    </row>
    <row r="124" spans="1:14">
      <c r="A124" s="98" t="str">
        <f>IF('40_Estudio_Empresas'!A122="","",'40_Estudio_Empresas'!A122)</f>
        <v/>
      </c>
      <c r="B124" s="122" t="str">
        <f>IF('40_Estudio_Empresas'!B122="","",'40_Estudio_Empresas'!B122)</f>
        <v/>
      </c>
      <c r="C124" s="98" t="str">
        <f>IF('40_Estudio_Empresas'!C122="","",'40_Estudio_Empresas'!C122)</f>
        <v/>
      </c>
      <c r="D124" s="98" t="str">
        <f>IF('40_Estudio_Empresas'!E122="","",'40_Estudio_Empresas'!E122)</f>
        <v/>
      </c>
      <c r="E124" s="98" t="str">
        <f>IF('40_Estudio_Empresas'!F122="","",'40_Estudio_Empresas'!F122)</f>
        <v/>
      </c>
      <c r="F124" s="98" t="str">
        <f>IF('40_Estudio_Empresas'!U122="","",'40_Estudio_Empresas'!U122)</f>
        <v/>
      </c>
      <c r="G124" s="98" t="str">
        <f t="shared" si="12"/>
        <v/>
      </c>
      <c r="H124" s="98" t="str">
        <f>IF('40_Estudio_Empresas'!V122="","",'40_Estudio_Empresas'!V122)</f>
        <v/>
      </c>
      <c r="I124" s="98" t="str">
        <f t="shared" si="13"/>
        <v/>
      </c>
      <c r="J124" s="98" t="str">
        <f t="shared" si="14"/>
        <v/>
      </c>
      <c r="K124" s="98" t="str">
        <f>IF('40_Estudio_Empresas'!R122="","",'40_Estudio_Empresas'!R122)</f>
        <v/>
      </c>
      <c r="L124" s="123" t="str">
        <f>IF('40_Estudio_Empresas'!M122="","",'40_Estudio_Empresas'!M122)</f>
        <v/>
      </c>
      <c r="M124" s="98" t="str">
        <f>IF('40_Estudio_Empresas'!W122="","",'40_Estudio_Empresas'!W122)</f>
        <v/>
      </c>
      <c r="N124" s="98" t="str">
        <f t="shared" si="15"/>
        <v/>
      </c>
    </row>
    <row r="125" spans="1:14">
      <c r="A125" s="98" t="str">
        <f>IF('40_Estudio_Empresas'!A123="","",'40_Estudio_Empresas'!A123)</f>
        <v/>
      </c>
      <c r="B125" s="122" t="str">
        <f>IF('40_Estudio_Empresas'!B123="","",'40_Estudio_Empresas'!B123)</f>
        <v/>
      </c>
      <c r="C125" s="98" t="str">
        <f>IF('40_Estudio_Empresas'!C123="","",'40_Estudio_Empresas'!C123)</f>
        <v/>
      </c>
      <c r="D125" s="98" t="str">
        <f>IF('40_Estudio_Empresas'!E123="","",'40_Estudio_Empresas'!E123)</f>
        <v/>
      </c>
      <c r="E125" s="98" t="str">
        <f>IF('40_Estudio_Empresas'!F123="","",'40_Estudio_Empresas'!F123)</f>
        <v/>
      </c>
      <c r="F125" s="98" t="str">
        <f>IF('40_Estudio_Empresas'!U123="","",'40_Estudio_Empresas'!U123)</f>
        <v/>
      </c>
      <c r="G125" s="98" t="str">
        <f t="shared" si="12"/>
        <v/>
      </c>
      <c r="H125" s="98" t="str">
        <f>IF('40_Estudio_Empresas'!V123="","",'40_Estudio_Empresas'!V123)</f>
        <v/>
      </c>
      <c r="I125" s="98" t="str">
        <f t="shared" si="13"/>
        <v/>
      </c>
      <c r="J125" s="98" t="str">
        <f t="shared" si="14"/>
        <v/>
      </c>
      <c r="K125" s="98" t="str">
        <f>IF('40_Estudio_Empresas'!R123="","",'40_Estudio_Empresas'!R123)</f>
        <v/>
      </c>
      <c r="L125" s="123" t="str">
        <f>IF('40_Estudio_Empresas'!M123="","",'40_Estudio_Empresas'!M123)</f>
        <v/>
      </c>
      <c r="M125" s="98" t="str">
        <f>IF('40_Estudio_Empresas'!W123="","",'40_Estudio_Empresas'!W123)</f>
        <v/>
      </c>
      <c r="N125" s="98" t="str">
        <f t="shared" si="15"/>
        <v/>
      </c>
    </row>
    <row r="126" spans="1:14">
      <c r="A126" s="98" t="str">
        <f>IF('40_Estudio_Empresas'!A124="","",'40_Estudio_Empresas'!A124)</f>
        <v/>
      </c>
      <c r="B126" s="122" t="str">
        <f>IF('40_Estudio_Empresas'!B124="","",'40_Estudio_Empresas'!B124)</f>
        <v/>
      </c>
      <c r="C126" s="98" t="str">
        <f>IF('40_Estudio_Empresas'!C124="","",'40_Estudio_Empresas'!C124)</f>
        <v/>
      </c>
      <c r="D126" s="98" t="str">
        <f>IF('40_Estudio_Empresas'!E124="","",'40_Estudio_Empresas'!E124)</f>
        <v/>
      </c>
      <c r="E126" s="98" t="str">
        <f>IF('40_Estudio_Empresas'!F124="","",'40_Estudio_Empresas'!F124)</f>
        <v/>
      </c>
      <c r="F126" s="98" t="str">
        <f>IF('40_Estudio_Empresas'!U124="","",'40_Estudio_Empresas'!U124)</f>
        <v/>
      </c>
      <c r="G126" s="98" t="str">
        <f t="shared" si="12"/>
        <v/>
      </c>
      <c r="H126" s="98" t="str">
        <f>IF('40_Estudio_Empresas'!V124="","",'40_Estudio_Empresas'!V124)</f>
        <v/>
      </c>
      <c r="I126" s="98" t="str">
        <f t="shared" si="13"/>
        <v/>
      </c>
      <c r="J126" s="98" t="str">
        <f t="shared" si="14"/>
        <v/>
      </c>
      <c r="K126" s="98" t="str">
        <f>IF('40_Estudio_Empresas'!R124="","",'40_Estudio_Empresas'!R124)</f>
        <v/>
      </c>
      <c r="L126" s="123" t="str">
        <f>IF('40_Estudio_Empresas'!M124="","",'40_Estudio_Empresas'!M124)</f>
        <v/>
      </c>
      <c r="M126" s="98" t="str">
        <f>IF('40_Estudio_Empresas'!W124="","",'40_Estudio_Empresas'!W124)</f>
        <v/>
      </c>
      <c r="N126" s="98" t="str">
        <f t="shared" si="15"/>
        <v/>
      </c>
    </row>
    <row r="127" spans="1:14">
      <c r="A127" s="98" t="str">
        <f>IF('40_Estudio_Empresas'!A125="","",'40_Estudio_Empresas'!A125)</f>
        <v/>
      </c>
      <c r="B127" s="122" t="str">
        <f>IF('40_Estudio_Empresas'!B125="","",'40_Estudio_Empresas'!B125)</f>
        <v/>
      </c>
      <c r="C127" s="98" t="str">
        <f>IF('40_Estudio_Empresas'!C125="","",'40_Estudio_Empresas'!C125)</f>
        <v/>
      </c>
      <c r="D127" s="98" t="str">
        <f>IF('40_Estudio_Empresas'!E125="","",'40_Estudio_Empresas'!E125)</f>
        <v/>
      </c>
      <c r="E127" s="98" t="str">
        <f>IF('40_Estudio_Empresas'!F125="","",'40_Estudio_Empresas'!F125)</f>
        <v/>
      </c>
      <c r="F127" s="98" t="str">
        <f>IF('40_Estudio_Empresas'!U125="","",'40_Estudio_Empresas'!U125)</f>
        <v/>
      </c>
      <c r="G127" s="98" t="str">
        <f t="shared" si="12"/>
        <v/>
      </c>
      <c r="H127" s="98" t="str">
        <f>IF('40_Estudio_Empresas'!V125="","",'40_Estudio_Empresas'!V125)</f>
        <v/>
      </c>
      <c r="I127" s="98" t="str">
        <f t="shared" si="13"/>
        <v/>
      </c>
      <c r="J127" s="98" t="str">
        <f t="shared" si="14"/>
        <v/>
      </c>
      <c r="K127" s="98" t="str">
        <f>IF('40_Estudio_Empresas'!R125="","",'40_Estudio_Empresas'!R125)</f>
        <v/>
      </c>
      <c r="L127" s="123" t="str">
        <f>IF('40_Estudio_Empresas'!M125="","",'40_Estudio_Empresas'!M125)</f>
        <v/>
      </c>
      <c r="M127" s="98" t="str">
        <f>IF('40_Estudio_Empresas'!W125="","",'40_Estudio_Empresas'!W125)</f>
        <v/>
      </c>
      <c r="N127" s="98" t="str">
        <f t="shared" si="15"/>
        <v/>
      </c>
    </row>
    <row r="128" spans="1:14">
      <c r="A128" s="98" t="str">
        <f>IF('40_Estudio_Empresas'!A126="","",'40_Estudio_Empresas'!A126)</f>
        <v/>
      </c>
      <c r="B128" s="122" t="str">
        <f>IF('40_Estudio_Empresas'!B126="","",'40_Estudio_Empresas'!B126)</f>
        <v/>
      </c>
      <c r="C128" s="98" t="str">
        <f>IF('40_Estudio_Empresas'!C126="","",'40_Estudio_Empresas'!C126)</f>
        <v/>
      </c>
      <c r="D128" s="98" t="str">
        <f>IF('40_Estudio_Empresas'!E126="","",'40_Estudio_Empresas'!E126)</f>
        <v/>
      </c>
      <c r="E128" s="98" t="str">
        <f>IF('40_Estudio_Empresas'!F126="","",'40_Estudio_Empresas'!F126)</f>
        <v/>
      </c>
      <c r="F128" s="98" t="str">
        <f>IF('40_Estudio_Empresas'!U126="","",'40_Estudio_Empresas'!U126)</f>
        <v/>
      </c>
      <c r="G128" s="98" t="str">
        <f t="shared" si="12"/>
        <v/>
      </c>
      <c r="H128" s="98" t="str">
        <f>IF('40_Estudio_Empresas'!V126="","",'40_Estudio_Empresas'!V126)</f>
        <v/>
      </c>
      <c r="I128" s="98" t="str">
        <f t="shared" si="13"/>
        <v/>
      </c>
      <c r="J128" s="98" t="str">
        <f t="shared" si="14"/>
        <v/>
      </c>
      <c r="K128" s="98" t="str">
        <f>IF('40_Estudio_Empresas'!R126="","",'40_Estudio_Empresas'!R126)</f>
        <v/>
      </c>
      <c r="L128" s="123" t="str">
        <f>IF('40_Estudio_Empresas'!M126="","",'40_Estudio_Empresas'!M126)</f>
        <v/>
      </c>
      <c r="M128" s="98" t="str">
        <f>IF('40_Estudio_Empresas'!W126="","",'40_Estudio_Empresas'!W126)</f>
        <v/>
      </c>
      <c r="N128" s="98" t="str">
        <f t="shared" si="15"/>
        <v/>
      </c>
    </row>
    <row r="129" spans="1:14">
      <c r="A129" s="98" t="str">
        <f>IF('40_Estudio_Empresas'!A127="","",'40_Estudio_Empresas'!A127)</f>
        <v/>
      </c>
      <c r="B129" s="122" t="str">
        <f>IF('40_Estudio_Empresas'!B127="","",'40_Estudio_Empresas'!B127)</f>
        <v/>
      </c>
      <c r="C129" s="98" t="str">
        <f>IF('40_Estudio_Empresas'!C127="","",'40_Estudio_Empresas'!C127)</f>
        <v/>
      </c>
      <c r="D129" s="98" t="str">
        <f>IF('40_Estudio_Empresas'!E127="","",'40_Estudio_Empresas'!E127)</f>
        <v/>
      </c>
      <c r="E129" s="98" t="str">
        <f>IF('40_Estudio_Empresas'!F127="","",'40_Estudio_Empresas'!F127)</f>
        <v/>
      </c>
      <c r="F129" s="98" t="str">
        <f>IF('40_Estudio_Empresas'!U127="","",'40_Estudio_Empresas'!U127)</f>
        <v/>
      </c>
      <c r="G129" s="98" t="str">
        <f t="shared" si="12"/>
        <v/>
      </c>
      <c r="H129" s="98" t="str">
        <f>IF('40_Estudio_Empresas'!V127="","",'40_Estudio_Empresas'!V127)</f>
        <v/>
      </c>
      <c r="I129" s="98" t="str">
        <f t="shared" si="13"/>
        <v/>
      </c>
      <c r="J129" s="98" t="str">
        <f t="shared" si="14"/>
        <v/>
      </c>
      <c r="K129" s="98" t="str">
        <f>IF('40_Estudio_Empresas'!R127="","",'40_Estudio_Empresas'!R127)</f>
        <v/>
      </c>
      <c r="L129" s="123" t="str">
        <f>IF('40_Estudio_Empresas'!M127="","",'40_Estudio_Empresas'!M127)</f>
        <v/>
      </c>
      <c r="M129" s="98" t="str">
        <f>IF('40_Estudio_Empresas'!W127="","",'40_Estudio_Empresas'!W127)</f>
        <v/>
      </c>
      <c r="N129" s="98" t="str">
        <f t="shared" si="15"/>
        <v/>
      </c>
    </row>
    <row r="130" spans="1:14">
      <c r="A130" s="98" t="str">
        <f>IF('40_Estudio_Empresas'!A128="","",'40_Estudio_Empresas'!A128)</f>
        <v/>
      </c>
      <c r="B130" s="122" t="str">
        <f>IF('40_Estudio_Empresas'!B128="","",'40_Estudio_Empresas'!B128)</f>
        <v/>
      </c>
      <c r="C130" s="98" t="str">
        <f>IF('40_Estudio_Empresas'!C128="","",'40_Estudio_Empresas'!C128)</f>
        <v/>
      </c>
      <c r="D130" s="98" t="str">
        <f>IF('40_Estudio_Empresas'!E128="","",'40_Estudio_Empresas'!E128)</f>
        <v/>
      </c>
      <c r="E130" s="98" t="str">
        <f>IF('40_Estudio_Empresas'!F128="","",'40_Estudio_Empresas'!F128)</f>
        <v/>
      </c>
      <c r="F130" s="98" t="str">
        <f>IF('40_Estudio_Empresas'!U128="","",'40_Estudio_Empresas'!U128)</f>
        <v/>
      </c>
      <c r="G130" s="98" t="str">
        <f t="shared" si="12"/>
        <v/>
      </c>
      <c r="H130" s="98" t="str">
        <f>IF('40_Estudio_Empresas'!V128="","",'40_Estudio_Empresas'!V128)</f>
        <v/>
      </c>
      <c r="I130" s="98" t="str">
        <f t="shared" si="13"/>
        <v/>
      </c>
      <c r="J130" s="98" t="str">
        <f t="shared" si="14"/>
        <v/>
      </c>
      <c r="K130" s="98" t="str">
        <f>IF('40_Estudio_Empresas'!R128="","",'40_Estudio_Empresas'!R128)</f>
        <v/>
      </c>
      <c r="L130" s="123" t="str">
        <f>IF('40_Estudio_Empresas'!M128="","",'40_Estudio_Empresas'!M128)</f>
        <v/>
      </c>
      <c r="M130" s="98" t="str">
        <f>IF('40_Estudio_Empresas'!W128="","",'40_Estudio_Empresas'!W128)</f>
        <v/>
      </c>
      <c r="N130" s="98" t="str">
        <f t="shared" si="15"/>
        <v/>
      </c>
    </row>
    <row r="131" spans="1:14">
      <c r="A131" s="98" t="str">
        <f>IF('40_Estudio_Empresas'!A129="","",'40_Estudio_Empresas'!A129)</f>
        <v/>
      </c>
      <c r="B131" s="122" t="str">
        <f>IF('40_Estudio_Empresas'!B129="","",'40_Estudio_Empresas'!B129)</f>
        <v/>
      </c>
      <c r="C131" s="98" t="str">
        <f>IF('40_Estudio_Empresas'!C129="","",'40_Estudio_Empresas'!C129)</f>
        <v/>
      </c>
      <c r="D131" s="98" t="str">
        <f>IF('40_Estudio_Empresas'!E129="","",'40_Estudio_Empresas'!E129)</f>
        <v/>
      </c>
      <c r="E131" s="98" t="str">
        <f>IF('40_Estudio_Empresas'!F129="","",'40_Estudio_Empresas'!F129)</f>
        <v/>
      </c>
      <c r="F131" s="98" t="str">
        <f>IF('40_Estudio_Empresas'!U129="","",'40_Estudio_Empresas'!U129)</f>
        <v/>
      </c>
      <c r="G131" s="98" t="str">
        <f t="shared" si="12"/>
        <v/>
      </c>
      <c r="H131" s="98" t="str">
        <f>IF('40_Estudio_Empresas'!V129="","",'40_Estudio_Empresas'!V129)</f>
        <v/>
      </c>
      <c r="I131" s="98" t="str">
        <f t="shared" si="13"/>
        <v/>
      </c>
      <c r="J131" s="98" t="str">
        <f t="shared" si="14"/>
        <v/>
      </c>
      <c r="K131" s="98" t="str">
        <f>IF('40_Estudio_Empresas'!R129="","",'40_Estudio_Empresas'!R129)</f>
        <v/>
      </c>
      <c r="L131" s="123" t="str">
        <f>IF('40_Estudio_Empresas'!M129="","",'40_Estudio_Empresas'!M129)</f>
        <v/>
      </c>
      <c r="M131" s="98" t="str">
        <f>IF('40_Estudio_Empresas'!W129="","",'40_Estudio_Empresas'!W129)</f>
        <v/>
      </c>
      <c r="N131" s="98" t="str">
        <f t="shared" si="15"/>
        <v/>
      </c>
    </row>
    <row r="132" spans="1:14">
      <c r="A132" s="98" t="str">
        <f>IF('40_Estudio_Empresas'!A130="","",'40_Estudio_Empresas'!A130)</f>
        <v/>
      </c>
      <c r="B132" s="122" t="str">
        <f>IF('40_Estudio_Empresas'!B130="","",'40_Estudio_Empresas'!B130)</f>
        <v/>
      </c>
      <c r="C132" s="98" t="str">
        <f>IF('40_Estudio_Empresas'!C130="","",'40_Estudio_Empresas'!C130)</f>
        <v/>
      </c>
      <c r="D132" s="98" t="str">
        <f>IF('40_Estudio_Empresas'!E130="","",'40_Estudio_Empresas'!E130)</f>
        <v/>
      </c>
      <c r="E132" s="98" t="str">
        <f>IF('40_Estudio_Empresas'!F130="","",'40_Estudio_Empresas'!F130)</f>
        <v/>
      </c>
      <c r="F132" s="98" t="str">
        <f>IF('40_Estudio_Empresas'!U130="","",'40_Estudio_Empresas'!U130)</f>
        <v/>
      </c>
      <c r="G132" s="98" t="str">
        <f t="shared" si="12"/>
        <v/>
      </c>
      <c r="H132" s="98" t="str">
        <f>IF('40_Estudio_Empresas'!V130="","",'40_Estudio_Empresas'!V130)</f>
        <v/>
      </c>
      <c r="I132" s="98" t="str">
        <f t="shared" si="13"/>
        <v/>
      </c>
      <c r="J132" s="98" t="str">
        <f t="shared" si="14"/>
        <v/>
      </c>
      <c r="K132" s="98" t="str">
        <f>IF('40_Estudio_Empresas'!R130="","",'40_Estudio_Empresas'!R130)</f>
        <v/>
      </c>
      <c r="L132" s="123" t="str">
        <f>IF('40_Estudio_Empresas'!M130="","",'40_Estudio_Empresas'!M130)</f>
        <v/>
      </c>
      <c r="M132" s="98" t="str">
        <f>IF('40_Estudio_Empresas'!W130="","",'40_Estudio_Empresas'!W130)</f>
        <v/>
      </c>
      <c r="N132" s="98" t="str">
        <f t="shared" si="15"/>
        <v/>
      </c>
    </row>
    <row r="133" spans="1:14">
      <c r="A133" s="98" t="str">
        <f>IF('40_Estudio_Empresas'!A131="","",'40_Estudio_Empresas'!A131)</f>
        <v/>
      </c>
      <c r="B133" s="122" t="str">
        <f>IF('40_Estudio_Empresas'!B131="","",'40_Estudio_Empresas'!B131)</f>
        <v/>
      </c>
      <c r="C133" s="98" t="str">
        <f>IF('40_Estudio_Empresas'!C131="","",'40_Estudio_Empresas'!C131)</f>
        <v/>
      </c>
      <c r="D133" s="98" t="str">
        <f>IF('40_Estudio_Empresas'!E131="","",'40_Estudio_Empresas'!E131)</f>
        <v/>
      </c>
      <c r="E133" s="98" t="str">
        <f>IF('40_Estudio_Empresas'!F131="","",'40_Estudio_Empresas'!F131)</f>
        <v/>
      </c>
      <c r="F133" s="98" t="str">
        <f>IF('40_Estudio_Empresas'!U131="","",'40_Estudio_Empresas'!U131)</f>
        <v/>
      </c>
      <c r="G133" s="98" t="str">
        <f t="shared" ref="G133:G164" si="16">IF(F133="","",IF(F133="A","A - Inmediata",IF(F133="B","B - Interesante",IF(F133="C","C - Observar",IF(F133="X","X - Descartar","Revisar")))))</f>
        <v/>
      </c>
      <c r="H133" s="98" t="str">
        <f>IF('40_Estudio_Empresas'!V131="","",'40_Estudio_Empresas'!V131)</f>
        <v/>
      </c>
      <c r="I133" s="98" t="str">
        <f t="shared" ref="I133:I164" si="17">IF(F133="","",IF(F133="A","32_Oportunidades + 33_Seguimientos + 30_CRM",IF(F133="B","32_Oportunidades + 33_Seguimientos",IF(F133="C","Mantener en observación",IF(F133="X","Descartar / archivo","Revisar")))))</f>
        <v/>
      </c>
      <c r="J133" s="98" t="str">
        <f t="shared" ref="J133:J164" si="18">IF(F133="","",IF(F133="A","Alta",IF(F133="B","Media",IF(F133="C","Baja","Descartar"))))</f>
        <v/>
      </c>
      <c r="K133" s="98" t="str">
        <f>IF('40_Estudio_Empresas'!R131="","",'40_Estudio_Empresas'!R131)</f>
        <v/>
      </c>
      <c r="L133" s="123" t="str">
        <f>IF('40_Estudio_Empresas'!M131="","",'40_Estudio_Empresas'!M131)</f>
        <v/>
      </c>
      <c r="M133" s="98" t="str">
        <f>IF('40_Estudio_Empresas'!W131="","",'40_Estudio_Empresas'!W131)</f>
        <v/>
      </c>
      <c r="N133" s="98" t="str">
        <f t="shared" ref="N133:N164" si="19">IF(F133="","",IF(OR(F133="A",F133="B"),"🟢 Activa",IF(F133="C","🟡 Observar","🔴 Descartar")))</f>
        <v/>
      </c>
    </row>
    <row r="134" spans="1:14">
      <c r="A134" s="98" t="str">
        <f>IF('40_Estudio_Empresas'!A132="","",'40_Estudio_Empresas'!A132)</f>
        <v/>
      </c>
      <c r="B134" s="122" t="str">
        <f>IF('40_Estudio_Empresas'!B132="","",'40_Estudio_Empresas'!B132)</f>
        <v/>
      </c>
      <c r="C134" s="98" t="str">
        <f>IF('40_Estudio_Empresas'!C132="","",'40_Estudio_Empresas'!C132)</f>
        <v/>
      </c>
      <c r="D134" s="98" t="str">
        <f>IF('40_Estudio_Empresas'!E132="","",'40_Estudio_Empresas'!E132)</f>
        <v/>
      </c>
      <c r="E134" s="98" t="str">
        <f>IF('40_Estudio_Empresas'!F132="","",'40_Estudio_Empresas'!F132)</f>
        <v/>
      </c>
      <c r="F134" s="98" t="str">
        <f>IF('40_Estudio_Empresas'!U132="","",'40_Estudio_Empresas'!U132)</f>
        <v/>
      </c>
      <c r="G134" s="98" t="str">
        <f t="shared" si="16"/>
        <v/>
      </c>
      <c r="H134" s="98" t="str">
        <f>IF('40_Estudio_Empresas'!V132="","",'40_Estudio_Empresas'!V132)</f>
        <v/>
      </c>
      <c r="I134" s="98" t="str">
        <f t="shared" si="17"/>
        <v/>
      </c>
      <c r="J134" s="98" t="str">
        <f t="shared" si="18"/>
        <v/>
      </c>
      <c r="K134" s="98" t="str">
        <f>IF('40_Estudio_Empresas'!R132="","",'40_Estudio_Empresas'!R132)</f>
        <v/>
      </c>
      <c r="L134" s="123" t="str">
        <f>IF('40_Estudio_Empresas'!M132="","",'40_Estudio_Empresas'!M132)</f>
        <v/>
      </c>
      <c r="M134" s="98" t="str">
        <f>IF('40_Estudio_Empresas'!W132="","",'40_Estudio_Empresas'!W132)</f>
        <v/>
      </c>
      <c r="N134" s="98" t="str">
        <f t="shared" si="19"/>
        <v/>
      </c>
    </row>
    <row r="135" spans="1:14">
      <c r="A135" s="98" t="str">
        <f>IF('40_Estudio_Empresas'!A133="","",'40_Estudio_Empresas'!A133)</f>
        <v/>
      </c>
      <c r="B135" s="122" t="str">
        <f>IF('40_Estudio_Empresas'!B133="","",'40_Estudio_Empresas'!B133)</f>
        <v/>
      </c>
      <c r="C135" s="98" t="str">
        <f>IF('40_Estudio_Empresas'!C133="","",'40_Estudio_Empresas'!C133)</f>
        <v/>
      </c>
      <c r="D135" s="98" t="str">
        <f>IF('40_Estudio_Empresas'!E133="","",'40_Estudio_Empresas'!E133)</f>
        <v/>
      </c>
      <c r="E135" s="98" t="str">
        <f>IF('40_Estudio_Empresas'!F133="","",'40_Estudio_Empresas'!F133)</f>
        <v/>
      </c>
      <c r="F135" s="98" t="str">
        <f>IF('40_Estudio_Empresas'!U133="","",'40_Estudio_Empresas'!U133)</f>
        <v/>
      </c>
      <c r="G135" s="98" t="str">
        <f t="shared" si="16"/>
        <v/>
      </c>
      <c r="H135" s="98" t="str">
        <f>IF('40_Estudio_Empresas'!V133="","",'40_Estudio_Empresas'!V133)</f>
        <v/>
      </c>
      <c r="I135" s="98" t="str">
        <f t="shared" si="17"/>
        <v/>
      </c>
      <c r="J135" s="98" t="str">
        <f t="shared" si="18"/>
        <v/>
      </c>
      <c r="K135" s="98" t="str">
        <f>IF('40_Estudio_Empresas'!R133="","",'40_Estudio_Empresas'!R133)</f>
        <v/>
      </c>
      <c r="L135" s="123" t="str">
        <f>IF('40_Estudio_Empresas'!M133="","",'40_Estudio_Empresas'!M133)</f>
        <v/>
      </c>
      <c r="M135" s="98" t="str">
        <f>IF('40_Estudio_Empresas'!W133="","",'40_Estudio_Empresas'!W133)</f>
        <v/>
      </c>
      <c r="N135" s="98" t="str">
        <f t="shared" si="19"/>
        <v/>
      </c>
    </row>
    <row r="136" spans="1:14">
      <c r="A136" s="98" t="str">
        <f>IF('40_Estudio_Empresas'!A134="","",'40_Estudio_Empresas'!A134)</f>
        <v/>
      </c>
      <c r="B136" s="122" t="str">
        <f>IF('40_Estudio_Empresas'!B134="","",'40_Estudio_Empresas'!B134)</f>
        <v/>
      </c>
      <c r="C136" s="98" t="str">
        <f>IF('40_Estudio_Empresas'!C134="","",'40_Estudio_Empresas'!C134)</f>
        <v/>
      </c>
      <c r="D136" s="98" t="str">
        <f>IF('40_Estudio_Empresas'!E134="","",'40_Estudio_Empresas'!E134)</f>
        <v/>
      </c>
      <c r="E136" s="98" t="str">
        <f>IF('40_Estudio_Empresas'!F134="","",'40_Estudio_Empresas'!F134)</f>
        <v/>
      </c>
      <c r="F136" s="98" t="str">
        <f>IF('40_Estudio_Empresas'!U134="","",'40_Estudio_Empresas'!U134)</f>
        <v/>
      </c>
      <c r="G136" s="98" t="str">
        <f t="shared" si="16"/>
        <v/>
      </c>
      <c r="H136" s="98" t="str">
        <f>IF('40_Estudio_Empresas'!V134="","",'40_Estudio_Empresas'!V134)</f>
        <v/>
      </c>
      <c r="I136" s="98" t="str">
        <f t="shared" si="17"/>
        <v/>
      </c>
      <c r="J136" s="98" t="str">
        <f t="shared" si="18"/>
        <v/>
      </c>
      <c r="K136" s="98" t="str">
        <f>IF('40_Estudio_Empresas'!R134="","",'40_Estudio_Empresas'!R134)</f>
        <v/>
      </c>
      <c r="L136" s="123" t="str">
        <f>IF('40_Estudio_Empresas'!M134="","",'40_Estudio_Empresas'!M134)</f>
        <v/>
      </c>
      <c r="M136" s="98" t="str">
        <f>IF('40_Estudio_Empresas'!W134="","",'40_Estudio_Empresas'!W134)</f>
        <v/>
      </c>
      <c r="N136" s="98" t="str">
        <f t="shared" si="19"/>
        <v/>
      </c>
    </row>
    <row r="137" spans="1:14">
      <c r="A137" s="98" t="str">
        <f>IF('40_Estudio_Empresas'!A135="","",'40_Estudio_Empresas'!A135)</f>
        <v/>
      </c>
      <c r="B137" s="122" t="str">
        <f>IF('40_Estudio_Empresas'!B135="","",'40_Estudio_Empresas'!B135)</f>
        <v/>
      </c>
      <c r="C137" s="98" t="str">
        <f>IF('40_Estudio_Empresas'!C135="","",'40_Estudio_Empresas'!C135)</f>
        <v/>
      </c>
      <c r="D137" s="98" t="str">
        <f>IF('40_Estudio_Empresas'!E135="","",'40_Estudio_Empresas'!E135)</f>
        <v/>
      </c>
      <c r="E137" s="98" t="str">
        <f>IF('40_Estudio_Empresas'!F135="","",'40_Estudio_Empresas'!F135)</f>
        <v/>
      </c>
      <c r="F137" s="98" t="str">
        <f>IF('40_Estudio_Empresas'!U135="","",'40_Estudio_Empresas'!U135)</f>
        <v/>
      </c>
      <c r="G137" s="98" t="str">
        <f t="shared" si="16"/>
        <v/>
      </c>
      <c r="H137" s="98" t="str">
        <f>IF('40_Estudio_Empresas'!V135="","",'40_Estudio_Empresas'!V135)</f>
        <v/>
      </c>
      <c r="I137" s="98" t="str">
        <f t="shared" si="17"/>
        <v/>
      </c>
      <c r="J137" s="98" t="str">
        <f t="shared" si="18"/>
        <v/>
      </c>
      <c r="K137" s="98" t="str">
        <f>IF('40_Estudio_Empresas'!R135="","",'40_Estudio_Empresas'!R135)</f>
        <v/>
      </c>
      <c r="L137" s="123" t="str">
        <f>IF('40_Estudio_Empresas'!M135="","",'40_Estudio_Empresas'!M135)</f>
        <v/>
      </c>
      <c r="M137" s="98" t="str">
        <f>IF('40_Estudio_Empresas'!W135="","",'40_Estudio_Empresas'!W135)</f>
        <v/>
      </c>
      <c r="N137" s="98" t="str">
        <f t="shared" si="19"/>
        <v/>
      </c>
    </row>
    <row r="138" spans="1:14">
      <c r="A138" s="98" t="str">
        <f>IF('40_Estudio_Empresas'!A136="","",'40_Estudio_Empresas'!A136)</f>
        <v/>
      </c>
      <c r="B138" s="122" t="str">
        <f>IF('40_Estudio_Empresas'!B136="","",'40_Estudio_Empresas'!B136)</f>
        <v/>
      </c>
      <c r="C138" s="98" t="str">
        <f>IF('40_Estudio_Empresas'!C136="","",'40_Estudio_Empresas'!C136)</f>
        <v/>
      </c>
      <c r="D138" s="98" t="str">
        <f>IF('40_Estudio_Empresas'!E136="","",'40_Estudio_Empresas'!E136)</f>
        <v/>
      </c>
      <c r="E138" s="98" t="str">
        <f>IF('40_Estudio_Empresas'!F136="","",'40_Estudio_Empresas'!F136)</f>
        <v/>
      </c>
      <c r="F138" s="98" t="str">
        <f>IF('40_Estudio_Empresas'!U136="","",'40_Estudio_Empresas'!U136)</f>
        <v/>
      </c>
      <c r="G138" s="98" t="str">
        <f t="shared" si="16"/>
        <v/>
      </c>
      <c r="H138" s="98" t="str">
        <f>IF('40_Estudio_Empresas'!V136="","",'40_Estudio_Empresas'!V136)</f>
        <v/>
      </c>
      <c r="I138" s="98" t="str">
        <f t="shared" si="17"/>
        <v/>
      </c>
      <c r="J138" s="98" t="str">
        <f t="shared" si="18"/>
        <v/>
      </c>
      <c r="K138" s="98" t="str">
        <f>IF('40_Estudio_Empresas'!R136="","",'40_Estudio_Empresas'!R136)</f>
        <v/>
      </c>
      <c r="L138" s="123" t="str">
        <f>IF('40_Estudio_Empresas'!M136="","",'40_Estudio_Empresas'!M136)</f>
        <v/>
      </c>
      <c r="M138" s="98" t="str">
        <f>IF('40_Estudio_Empresas'!W136="","",'40_Estudio_Empresas'!W136)</f>
        <v/>
      </c>
      <c r="N138" s="98" t="str">
        <f t="shared" si="19"/>
        <v/>
      </c>
    </row>
    <row r="139" spans="1:14">
      <c r="A139" s="98" t="str">
        <f>IF('40_Estudio_Empresas'!A137="","",'40_Estudio_Empresas'!A137)</f>
        <v/>
      </c>
      <c r="B139" s="122" t="str">
        <f>IF('40_Estudio_Empresas'!B137="","",'40_Estudio_Empresas'!B137)</f>
        <v/>
      </c>
      <c r="C139" s="98" t="str">
        <f>IF('40_Estudio_Empresas'!C137="","",'40_Estudio_Empresas'!C137)</f>
        <v/>
      </c>
      <c r="D139" s="98" t="str">
        <f>IF('40_Estudio_Empresas'!E137="","",'40_Estudio_Empresas'!E137)</f>
        <v/>
      </c>
      <c r="E139" s="98" t="str">
        <f>IF('40_Estudio_Empresas'!F137="","",'40_Estudio_Empresas'!F137)</f>
        <v/>
      </c>
      <c r="F139" s="98" t="str">
        <f>IF('40_Estudio_Empresas'!U137="","",'40_Estudio_Empresas'!U137)</f>
        <v/>
      </c>
      <c r="G139" s="98" t="str">
        <f t="shared" si="16"/>
        <v/>
      </c>
      <c r="H139" s="98" t="str">
        <f>IF('40_Estudio_Empresas'!V137="","",'40_Estudio_Empresas'!V137)</f>
        <v/>
      </c>
      <c r="I139" s="98" t="str">
        <f t="shared" si="17"/>
        <v/>
      </c>
      <c r="J139" s="98" t="str">
        <f t="shared" si="18"/>
        <v/>
      </c>
      <c r="K139" s="98" t="str">
        <f>IF('40_Estudio_Empresas'!R137="","",'40_Estudio_Empresas'!R137)</f>
        <v/>
      </c>
      <c r="L139" s="123" t="str">
        <f>IF('40_Estudio_Empresas'!M137="","",'40_Estudio_Empresas'!M137)</f>
        <v/>
      </c>
      <c r="M139" s="98" t="str">
        <f>IF('40_Estudio_Empresas'!W137="","",'40_Estudio_Empresas'!W137)</f>
        <v/>
      </c>
      <c r="N139" s="98" t="str">
        <f t="shared" si="19"/>
        <v/>
      </c>
    </row>
    <row r="140" spans="1:14">
      <c r="A140" s="98" t="str">
        <f>IF('40_Estudio_Empresas'!A138="","",'40_Estudio_Empresas'!A138)</f>
        <v/>
      </c>
      <c r="B140" s="122" t="str">
        <f>IF('40_Estudio_Empresas'!B138="","",'40_Estudio_Empresas'!B138)</f>
        <v/>
      </c>
      <c r="C140" s="98" t="str">
        <f>IF('40_Estudio_Empresas'!C138="","",'40_Estudio_Empresas'!C138)</f>
        <v/>
      </c>
      <c r="D140" s="98" t="str">
        <f>IF('40_Estudio_Empresas'!E138="","",'40_Estudio_Empresas'!E138)</f>
        <v/>
      </c>
      <c r="E140" s="98" t="str">
        <f>IF('40_Estudio_Empresas'!F138="","",'40_Estudio_Empresas'!F138)</f>
        <v/>
      </c>
      <c r="F140" s="98" t="str">
        <f>IF('40_Estudio_Empresas'!U138="","",'40_Estudio_Empresas'!U138)</f>
        <v/>
      </c>
      <c r="G140" s="98" t="str">
        <f t="shared" si="16"/>
        <v/>
      </c>
      <c r="H140" s="98" t="str">
        <f>IF('40_Estudio_Empresas'!V138="","",'40_Estudio_Empresas'!V138)</f>
        <v/>
      </c>
      <c r="I140" s="98" t="str">
        <f t="shared" si="17"/>
        <v/>
      </c>
      <c r="J140" s="98" t="str">
        <f t="shared" si="18"/>
        <v/>
      </c>
      <c r="K140" s="98" t="str">
        <f>IF('40_Estudio_Empresas'!R138="","",'40_Estudio_Empresas'!R138)</f>
        <v/>
      </c>
      <c r="L140" s="123" t="str">
        <f>IF('40_Estudio_Empresas'!M138="","",'40_Estudio_Empresas'!M138)</f>
        <v/>
      </c>
      <c r="M140" s="98" t="str">
        <f>IF('40_Estudio_Empresas'!W138="","",'40_Estudio_Empresas'!W138)</f>
        <v/>
      </c>
      <c r="N140" s="98" t="str">
        <f t="shared" si="19"/>
        <v/>
      </c>
    </row>
    <row r="141" spans="1:14">
      <c r="A141" s="98" t="str">
        <f>IF('40_Estudio_Empresas'!A139="","",'40_Estudio_Empresas'!A139)</f>
        <v/>
      </c>
      <c r="B141" s="122" t="str">
        <f>IF('40_Estudio_Empresas'!B139="","",'40_Estudio_Empresas'!B139)</f>
        <v/>
      </c>
      <c r="C141" s="98" t="str">
        <f>IF('40_Estudio_Empresas'!C139="","",'40_Estudio_Empresas'!C139)</f>
        <v/>
      </c>
      <c r="D141" s="98" t="str">
        <f>IF('40_Estudio_Empresas'!E139="","",'40_Estudio_Empresas'!E139)</f>
        <v/>
      </c>
      <c r="E141" s="98" t="str">
        <f>IF('40_Estudio_Empresas'!F139="","",'40_Estudio_Empresas'!F139)</f>
        <v/>
      </c>
      <c r="F141" s="98" t="str">
        <f>IF('40_Estudio_Empresas'!U139="","",'40_Estudio_Empresas'!U139)</f>
        <v/>
      </c>
      <c r="G141" s="98" t="str">
        <f t="shared" si="16"/>
        <v/>
      </c>
      <c r="H141" s="98" t="str">
        <f>IF('40_Estudio_Empresas'!V139="","",'40_Estudio_Empresas'!V139)</f>
        <v/>
      </c>
      <c r="I141" s="98" t="str">
        <f t="shared" si="17"/>
        <v/>
      </c>
      <c r="J141" s="98" t="str">
        <f t="shared" si="18"/>
        <v/>
      </c>
      <c r="K141" s="98" t="str">
        <f>IF('40_Estudio_Empresas'!R139="","",'40_Estudio_Empresas'!R139)</f>
        <v/>
      </c>
      <c r="L141" s="123" t="str">
        <f>IF('40_Estudio_Empresas'!M139="","",'40_Estudio_Empresas'!M139)</f>
        <v/>
      </c>
      <c r="M141" s="98" t="str">
        <f>IF('40_Estudio_Empresas'!W139="","",'40_Estudio_Empresas'!W139)</f>
        <v/>
      </c>
      <c r="N141" s="98" t="str">
        <f t="shared" si="19"/>
        <v/>
      </c>
    </row>
    <row r="142" spans="1:14">
      <c r="A142" s="98" t="str">
        <f>IF('40_Estudio_Empresas'!A140="","",'40_Estudio_Empresas'!A140)</f>
        <v/>
      </c>
      <c r="B142" s="122" t="str">
        <f>IF('40_Estudio_Empresas'!B140="","",'40_Estudio_Empresas'!B140)</f>
        <v/>
      </c>
      <c r="C142" s="98" t="str">
        <f>IF('40_Estudio_Empresas'!C140="","",'40_Estudio_Empresas'!C140)</f>
        <v/>
      </c>
      <c r="D142" s="98" t="str">
        <f>IF('40_Estudio_Empresas'!E140="","",'40_Estudio_Empresas'!E140)</f>
        <v/>
      </c>
      <c r="E142" s="98" t="str">
        <f>IF('40_Estudio_Empresas'!F140="","",'40_Estudio_Empresas'!F140)</f>
        <v/>
      </c>
      <c r="F142" s="98" t="str">
        <f>IF('40_Estudio_Empresas'!U140="","",'40_Estudio_Empresas'!U140)</f>
        <v/>
      </c>
      <c r="G142" s="98" t="str">
        <f t="shared" si="16"/>
        <v/>
      </c>
      <c r="H142" s="98" t="str">
        <f>IF('40_Estudio_Empresas'!V140="","",'40_Estudio_Empresas'!V140)</f>
        <v/>
      </c>
      <c r="I142" s="98" t="str">
        <f t="shared" si="17"/>
        <v/>
      </c>
      <c r="J142" s="98" t="str">
        <f t="shared" si="18"/>
        <v/>
      </c>
      <c r="K142" s="98" t="str">
        <f>IF('40_Estudio_Empresas'!R140="","",'40_Estudio_Empresas'!R140)</f>
        <v/>
      </c>
      <c r="L142" s="123" t="str">
        <f>IF('40_Estudio_Empresas'!M140="","",'40_Estudio_Empresas'!M140)</f>
        <v/>
      </c>
      <c r="M142" s="98" t="str">
        <f>IF('40_Estudio_Empresas'!W140="","",'40_Estudio_Empresas'!W140)</f>
        <v/>
      </c>
      <c r="N142" s="98" t="str">
        <f t="shared" si="19"/>
        <v/>
      </c>
    </row>
    <row r="143" spans="1:14">
      <c r="A143" s="98" t="str">
        <f>IF('40_Estudio_Empresas'!A141="","",'40_Estudio_Empresas'!A141)</f>
        <v/>
      </c>
      <c r="B143" s="122" t="str">
        <f>IF('40_Estudio_Empresas'!B141="","",'40_Estudio_Empresas'!B141)</f>
        <v/>
      </c>
      <c r="C143" s="98" t="str">
        <f>IF('40_Estudio_Empresas'!C141="","",'40_Estudio_Empresas'!C141)</f>
        <v/>
      </c>
      <c r="D143" s="98" t="str">
        <f>IF('40_Estudio_Empresas'!E141="","",'40_Estudio_Empresas'!E141)</f>
        <v/>
      </c>
      <c r="E143" s="98" t="str">
        <f>IF('40_Estudio_Empresas'!F141="","",'40_Estudio_Empresas'!F141)</f>
        <v/>
      </c>
      <c r="F143" s="98" t="str">
        <f>IF('40_Estudio_Empresas'!U141="","",'40_Estudio_Empresas'!U141)</f>
        <v/>
      </c>
      <c r="G143" s="98" t="str">
        <f t="shared" si="16"/>
        <v/>
      </c>
      <c r="H143" s="98" t="str">
        <f>IF('40_Estudio_Empresas'!V141="","",'40_Estudio_Empresas'!V141)</f>
        <v/>
      </c>
      <c r="I143" s="98" t="str">
        <f t="shared" si="17"/>
        <v/>
      </c>
      <c r="J143" s="98" t="str">
        <f t="shared" si="18"/>
        <v/>
      </c>
      <c r="K143" s="98" t="str">
        <f>IF('40_Estudio_Empresas'!R141="","",'40_Estudio_Empresas'!R141)</f>
        <v/>
      </c>
      <c r="L143" s="123" t="str">
        <f>IF('40_Estudio_Empresas'!M141="","",'40_Estudio_Empresas'!M141)</f>
        <v/>
      </c>
      <c r="M143" s="98" t="str">
        <f>IF('40_Estudio_Empresas'!W141="","",'40_Estudio_Empresas'!W141)</f>
        <v/>
      </c>
      <c r="N143" s="98" t="str">
        <f t="shared" si="19"/>
        <v/>
      </c>
    </row>
    <row r="144" spans="1:14">
      <c r="A144" s="98" t="str">
        <f>IF('40_Estudio_Empresas'!A142="","",'40_Estudio_Empresas'!A142)</f>
        <v/>
      </c>
      <c r="B144" s="122" t="str">
        <f>IF('40_Estudio_Empresas'!B142="","",'40_Estudio_Empresas'!B142)</f>
        <v/>
      </c>
      <c r="C144" s="98" t="str">
        <f>IF('40_Estudio_Empresas'!C142="","",'40_Estudio_Empresas'!C142)</f>
        <v/>
      </c>
      <c r="D144" s="98" t="str">
        <f>IF('40_Estudio_Empresas'!E142="","",'40_Estudio_Empresas'!E142)</f>
        <v/>
      </c>
      <c r="E144" s="98" t="str">
        <f>IF('40_Estudio_Empresas'!F142="","",'40_Estudio_Empresas'!F142)</f>
        <v/>
      </c>
      <c r="F144" s="98" t="str">
        <f>IF('40_Estudio_Empresas'!U142="","",'40_Estudio_Empresas'!U142)</f>
        <v/>
      </c>
      <c r="G144" s="98" t="str">
        <f t="shared" si="16"/>
        <v/>
      </c>
      <c r="H144" s="98" t="str">
        <f>IF('40_Estudio_Empresas'!V142="","",'40_Estudio_Empresas'!V142)</f>
        <v/>
      </c>
      <c r="I144" s="98" t="str">
        <f t="shared" si="17"/>
        <v/>
      </c>
      <c r="J144" s="98" t="str">
        <f t="shared" si="18"/>
        <v/>
      </c>
      <c r="K144" s="98" t="str">
        <f>IF('40_Estudio_Empresas'!R142="","",'40_Estudio_Empresas'!R142)</f>
        <v/>
      </c>
      <c r="L144" s="123" t="str">
        <f>IF('40_Estudio_Empresas'!M142="","",'40_Estudio_Empresas'!M142)</f>
        <v/>
      </c>
      <c r="M144" s="98" t="str">
        <f>IF('40_Estudio_Empresas'!W142="","",'40_Estudio_Empresas'!W142)</f>
        <v/>
      </c>
      <c r="N144" s="98" t="str">
        <f t="shared" si="19"/>
        <v/>
      </c>
    </row>
    <row r="145" spans="1:14">
      <c r="A145" s="98" t="str">
        <f>IF('40_Estudio_Empresas'!A143="","",'40_Estudio_Empresas'!A143)</f>
        <v/>
      </c>
      <c r="B145" s="122" t="str">
        <f>IF('40_Estudio_Empresas'!B143="","",'40_Estudio_Empresas'!B143)</f>
        <v/>
      </c>
      <c r="C145" s="98" t="str">
        <f>IF('40_Estudio_Empresas'!C143="","",'40_Estudio_Empresas'!C143)</f>
        <v/>
      </c>
      <c r="D145" s="98" t="str">
        <f>IF('40_Estudio_Empresas'!E143="","",'40_Estudio_Empresas'!E143)</f>
        <v/>
      </c>
      <c r="E145" s="98" t="str">
        <f>IF('40_Estudio_Empresas'!F143="","",'40_Estudio_Empresas'!F143)</f>
        <v/>
      </c>
      <c r="F145" s="98" t="str">
        <f>IF('40_Estudio_Empresas'!U143="","",'40_Estudio_Empresas'!U143)</f>
        <v/>
      </c>
      <c r="G145" s="98" t="str">
        <f t="shared" si="16"/>
        <v/>
      </c>
      <c r="H145" s="98" t="str">
        <f>IF('40_Estudio_Empresas'!V143="","",'40_Estudio_Empresas'!V143)</f>
        <v/>
      </c>
      <c r="I145" s="98" t="str">
        <f t="shared" si="17"/>
        <v/>
      </c>
      <c r="J145" s="98" t="str">
        <f t="shared" si="18"/>
        <v/>
      </c>
      <c r="K145" s="98" t="str">
        <f>IF('40_Estudio_Empresas'!R143="","",'40_Estudio_Empresas'!R143)</f>
        <v/>
      </c>
      <c r="L145" s="123" t="str">
        <f>IF('40_Estudio_Empresas'!M143="","",'40_Estudio_Empresas'!M143)</f>
        <v/>
      </c>
      <c r="M145" s="98" t="str">
        <f>IF('40_Estudio_Empresas'!W143="","",'40_Estudio_Empresas'!W143)</f>
        <v/>
      </c>
      <c r="N145" s="98" t="str">
        <f t="shared" si="19"/>
        <v/>
      </c>
    </row>
    <row r="146" spans="1:14">
      <c r="A146" s="98" t="str">
        <f>IF('40_Estudio_Empresas'!A144="","",'40_Estudio_Empresas'!A144)</f>
        <v/>
      </c>
      <c r="B146" s="122" t="str">
        <f>IF('40_Estudio_Empresas'!B144="","",'40_Estudio_Empresas'!B144)</f>
        <v/>
      </c>
      <c r="C146" s="98" t="str">
        <f>IF('40_Estudio_Empresas'!C144="","",'40_Estudio_Empresas'!C144)</f>
        <v/>
      </c>
      <c r="D146" s="98" t="str">
        <f>IF('40_Estudio_Empresas'!E144="","",'40_Estudio_Empresas'!E144)</f>
        <v/>
      </c>
      <c r="E146" s="98" t="str">
        <f>IF('40_Estudio_Empresas'!F144="","",'40_Estudio_Empresas'!F144)</f>
        <v/>
      </c>
      <c r="F146" s="98" t="str">
        <f>IF('40_Estudio_Empresas'!U144="","",'40_Estudio_Empresas'!U144)</f>
        <v/>
      </c>
      <c r="G146" s="98" t="str">
        <f t="shared" si="16"/>
        <v/>
      </c>
      <c r="H146" s="98" t="str">
        <f>IF('40_Estudio_Empresas'!V144="","",'40_Estudio_Empresas'!V144)</f>
        <v/>
      </c>
      <c r="I146" s="98" t="str">
        <f t="shared" si="17"/>
        <v/>
      </c>
      <c r="J146" s="98" t="str">
        <f t="shared" si="18"/>
        <v/>
      </c>
      <c r="K146" s="98" t="str">
        <f>IF('40_Estudio_Empresas'!R144="","",'40_Estudio_Empresas'!R144)</f>
        <v/>
      </c>
      <c r="L146" s="123" t="str">
        <f>IF('40_Estudio_Empresas'!M144="","",'40_Estudio_Empresas'!M144)</f>
        <v/>
      </c>
      <c r="M146" s="98" t="str">
        <f>IF('40_Estudio_Empresas'!W144="","",'40_Estudio_Empresas'!W144)</f>
        <v/>
      </c>
      <c r="N146" s="98" t="str">
        <f t="shared" si="19"/>
        <v/>
      </c>
    </row>
    <row r="147" spans="1:14">
      <c r="A147" s="98" t="str">
        <f>IF('40_Estudio_Empresas'!A145="","",'40_Estudio_Empresas'!A145)</f>
        <v/>
      </c>
      <c r="B147" s="122" t="str">
        <f>IF('40_Estudio_Empresas'!B145="","",'40_Estudio_Empresas'!B145)</f>
        <v/>
      </c>
      <c r="C147" s="98" t="str">
        <f>IF('40_Estudio_Empresas'!C145="","",'40_Estudio_Empresas'!C145)</f>
        <v/>
      </c>
      <c r="D147" s="98" t="str">
        <f>IF('40_Estudio_Empresas'!E145="","",'40_Estudio_Empresas'!E145)</f>
        <v/>
      </c>
      <c r="E147" s="98" t="str">
        <f>IF('40_Estudio_Empresas'!F145="","",'40_Estudio_Empresas'!F145)</f>
        <v/>
      </c>
      <c r="F147" s="98" t="str">
        <f>IF('40_Estudio_Empresas'!U145="","",'40_Estudio_Empresas'!U145)</f>
        <v/>
      </c>
      <c r="G147" s="98" t="str">
        <f t="shared" si="16"/>
        <v/>
      </c>
      <c r="H147" s="98" t="str">
        <f>IF('40_Estudio_Empresas'!V145="","",'40_Estudio_Empresas'!V145)</f>
        <v/>
      </c>
      <c r="I147" s="98" t="str">
        <f t="shared" si="17"/>
        <v/>
      </c>
      <c r="J147" s="98" t="str">
        <f t="shared" si="18"/>
        <v/>
      </c>
      <c r="K147" s="98" t="str">
        <f>IF('40_Estudio_Empresas'!R145="","",'40_Estudio_Empresas'!R145)</f>
        <v/>
      </c>
      <c r="L147" s="123" t="str">
        <f>IF('40_Estudio_Empresas'!M145="","",'40_Estudio_Empresas'!M145)</f>
        <v/>
      </c>
      <c r="M147" s="98" t="str">
        <f>IF('40_Estudio_Empresas'!W145="","",'40_Estudio_Empresas'!W145)</f>
        <v/>
      </c>
      <c r="N147" s="98" t="str">
        <f t="shared" si="19"/>
        <v/>
      </c>
    </row>
    <row r="148" spans="1:14">
      <c r="A148" s="98" t="str">
        <f>IF('40_Estudio_Empresas'!A146="","",'40_Estudio_Empresas'!A146)</f>
        <v/>
      </c>
      <c r="B148" s="122" t="str">
        <f>IF('40_Estudio_Empresas'!B146="","",'40_Estudio_Empresas'!B146)</f>
        <v/>
      </c>
      <c r="C148" s="98" t="str">
        <f>IF('40_Estudio_Empresas'!C146="","",'40_Estudio_Empresas'!C146)</f>
        <v/>
      </c>
      <c r="D148" s="98" t="str">
        <f>IF('40_Estudio_Empresas'!E146="","",'40_Estudio_Empresas'!E146)</f>
        <v/>
      </c>
      <c r="E148" s="98" t="str">
        <f>IF('40_Estudio_Empresas'!F146="","",'40_Estudio_Empresas'!F146)</f>
        <v/>
      </c>
      <c r="F148" s="98" t="str">
        <f>IF('40_Estudio_Empresas'!U146="","",'40_Estudio_Empresas'!U146)</f>
        <v/>
      </c>
      <c r="G148" s="98" t="str">
        <f t="shared" si="16"/>
        <v/>
      </c>
      <c r="H148" s="98" t="str">
        <f>IF('40_Estudio_Empresas'!V146="","",'40_Estudio_Empresas'!V146)</f>
        <v/>
      </c>
      <c r="I148" s="98" t="str">
        <f t="shared" si="17"/>
        <v/>
      </c>
      <c r="J148" s="98" t="str">
        <f t="shared" si="18"/>
        <v/>
      </c>
      <c r="K148" s="98" t="str">
        <f>IF('40_Estudio_Empresas'!R146="","",'40_Estudio_Empresas'!R146)</f>
        <v/>
      </c>
      <c r="L148" s="123" t="str">
        <f>IF('40_Estudio_Empresas'!M146="","",'40_Estudio_Empresas'!M146)</f>
        <v/>
      </c>
      <c r="M148" s="98" t="str">
        <f>IF('40_Estudio_Empresas'!W146="","",'40_Estudio_Empresas'!W146)</f>
        <v/>
      </c>
      <c r="N148" s="98" t="str">
        <f t="shared" si="19"/>
        <v/>
      </c>
    </row>
    <row r="149" spans="1:14">
      <c r="A149" s="98" t="str">
        <f>IF('40_Estudio_Empresas'!A147="","",'40_Estudio_Empresas'!A147)</f>
        <v/>
      </c>
      <c r="B149" s="122" t="str">
        <f>IF('40_Estudio_Empresas'!B147="","",'40_Estudio_Empresas'!B147)</f>
        <v/>
      </c>
      <c r="C149" s="98" t="str">
        <f>IF('40_Estudio_Empresas'!C147="","",'40_Estudio_Empresas'!C147)</f>
        <v/>
      </c>
      <c r="D149" s="98" t="str">
        <f>IF('40_Estudio_Empresas'!E147="","",'40_Estudio_Empresas'!E147)</f>
        <v/>
      </c>
      <c r="E149" s="98" t="str">
        <f>IF('40_Estudio_Empresas'!F147="","",'40_Estudio_Empresas'!F147)</f>
        <v/>
      </c>
      <c r="F149" s="98" t="str">
        <f>IF('40_Estudio_Empresas'!U147="","",'40_Estudio_Empresas'!U147)</f>
        <v/>
      </c>
      <c r="G149" s="98" t="str">
        <f t="shared" si="16"/>
        <v/>
      </c>
      <c r="H149" s="98" t="str">
        <f>IF('40_Estudio_Empresas'!V147="","",'40_Estudio_Empresas'!V147)</f>
        <v/>
      </c>
      <c r="I149" s="98" t="str">
        <f t="shared" si="17"/>
        <v/>
      </c>
      <c r="J149" s="98" t="str">
        <f t="shared" si="18"/>
        <v/>
      </c>
      <c r="K149" s="98" t="str">
        <f>IF('40_Estudio_Empresas'!R147="","",'40_Estudio_Empresas'!R147)</f>
        <v/>
      </c>
      <c r="L149" s="123" t="str">
        <f>IF('40_Estudio_Empresas'!M147="","",'40_Estudio_Empresas'!M147)</f>
        <v/>
      </c>
      <c r="M149" s="98" t="str">
        <f>IF('40_Estudio_Empresas'!W147="","",'40_Estudio_Empresas'!W147)</f>
        <v/>
      </c>
      <c r="N149" s="98" t="str">
        <f t="shared" si="19"/>
        <v/>
      </c>
    </row>
    <row r="150" spans="1:14">
      <c r="A150" s="98" t="str">
        <f>IF('40_Estudio_Empresas'!A148="","",'40_Estudio_Empresas'!A148)</f>
        <v/>
      </c>
      <c r="B150" s="122" t="str">
        <f>IF('40_Estudio_Empresas'!B148="","",'40_Estudio_Empresas'!B148)</f>
        <v/>
      </c>
      <c r="C150" s="98" t="str">
        <f>IF('40_Estudio_Empresas'!C148="","",'40_Estudio_Empresas'!C148)</f>
        <v/>
      </c>
      <c r="D150" s="98" t="str">
        <f>IF('40_Estudio_Empresas'!E148="","",'40_Estudio_Empresas'!E148)</f>
        <v/>
      </c>
      <c r="E150" s="98" t="str">
        <f>IF('40_Estudio_Empresas'!F148="","",'40_Estudio_Empresas'!F148)</f>
        <v/>
      </c>
      <c r="F150" s="98" t="str">
        <f>IF('40_Estudio_Empresas'!U148="","",'40_Estudio_Empresas'!U148)</f>
        <v/>
      </c>
      <c r="G150" s="98" t="str">
        <f t="shared" si="16"/>
        <v/>
      </c>
      <c r="H150" s="98" t="str">
        <f>IF('40_Estudio_Empresas'!V148="","",'40_Estudio_Empresas'!V148)</f>
        <v/>
      </c>
      <c r="I150" s="98" t="str">
        <f t="shared" si="17"/>
        <v/>
      </c>
      <c r="J150" s="98" t="str">
        <f t="shared" si="18"/>
        <v/>
      </c>
      <c r="K150" s="98" t="str">
        <f>IF('40_Estudio_Empresas'!R148="","",'40_Estudio_Empresas'!R148)</f>
        <v/>
      </c>
      <c r="L150" s="123" t="str">
        <f>IF('40_Estudio_Empresas'!M148="","",'40_Estudio_Empresas'!M148)</f>
        <v/>
      </c>
      <c r="M150" s="98" t="str">
        <f>IF('40_Estudio_Empresas'!W148="","",'40_Estudio_Empresas'!W148)</f>
        <v/>
      </c>
      <c r="N150" s="98" t="str">
        <f t="shared" si="19"/>
        <v/>
      </c>
    </row>
    <row r="151" spans="1:14">
      <c r="A151" s="98" t="str">
        <f>IF('40_Estudio_Empresas'!A149="","",'40_Estudio_Empresas'!A149)</f>
        <v/>
      </c>
      <c r="B151" s="122" t="str">
        <f>IF('40_Estudio_Empresas'!B149="","",'40_Estudio_Empresas'!B149)</f>
        <v/>
      </c>
      <c r="C151" s="98" t="str">
        <f>IF('40_Estudio_Empresas'!C149="","",'40_Estudio_Empresas'!C149)</f>
        <v/>
      </c>
      <c r="D151" s="98" t="str">
        <f>IF('40_Estudio_Empresas'!E149="","",'40_Estudio_Empresas'!E149)</f>
        <v/>
      </c>
      <c r="E151" s="98" t="str">
        <f>IF('40_Estudio_Empresas'!F149="","",'40_Estudio_Empresas'!F149)</f>
        <v/>
      </c>
      <c r="F151" s="98" t="str">
        <f>IF('40_Estudio_Empresas'!U149="","",'40_Estudio_Empresas'!U149)</f>
        <v/>
      </c>
      <c r="G151" s="98" t="str">
        <f t="shared" si="16"/>
        <v/>
      </c>
      <c r="H151" s="98" t="str">
        <f>IF('40_Estudio_Empresas'!V149="","",'40_Estudio_Empresas'!V149)</f>
        <v/>
      </c>
      <c r="I151" s="98" t="str">
        <f t="shared" si="17"/>
        <v/>
      </c>
      <c r="J151" s="98" t="str">
        <f t="shared" si="18"/>
        <v/>
      </c>
      <c r="K151" s="98" t="str">
        <f>IF('40_Estudio_Empresas'!R149="","",'40_Estudio_Empresas'!R149)</f>
        <v/>
      </c>
      <c r="L151" s="123" t="str">
        <f>IF('40_Estudio_Empresas'!M149="","",'40_Estudio_Empresas'!M149)</f>
        <v/>
      </c>
      <c r="M151" s="98" t="str">
        <f>IF('40_Estudio_Empresas'!W149="","",'40_Estudio_Empresas'!W149)</f>
        <v/>
      </c>
      <c r="N151" s="98" t="str">
        <f t="shared" si="19"/>
        <v/>
      </c>
    </row>
    <row r="152" spans="1:14">
      <c r="A152" s="98" t="str">
        <f>IF('40_Estudio_Empresas'!A150="","",'40_Estudio_Empresas'!A150)</f>
        <v/>
      </c>
      <c r="B152" s="122" t="str">
        <f>IF('40_Estudio_Empresas'!B150="","",'40_Estudio_Empresas'!B150)</f>
        <v/>
      </c>
      <c r="C152" s="98" t="str">
        <f>IF('40_Estudio_Empresas'!C150="","",'40_Estudio_Empresas'!C150)</f>
        <v/>
      </c>
      <c r="D152" s="98" t="str">
        <f>IF('40_Estudio_Empresas'!E150="","",'40_Estudio_Empresas'!E150)</f>
        <v/>
      </c>
      <c r="E152" s="98" t="str">
        <f>IF('40_Estudio_Empresas'!F150="","",'40_Estudio_Empresas'!F150)</f>
        <v/>
      </c>
      <c r="F152" s="98" t="str">
        <f>IF('40_Estudio_Empresas'!U150="","",'40_Estudio_Empresas'!U150)</f>
        <v/>
      </c>
      <c r="G152" s="98" t="str">
        <f t="shared" si="16"/>
        <v/>
      </c>
      <c r="H152" s="98" t="str">
        <f>IF('40_Estudio_Empresas'!V150="","",'40_Estudio_Empresas'!V150)</f>
        <v/>
      </c>
      <c r="I152" s="98" t="str">
        <f t="shared" si="17"/>
        <v/>
      </c>
      <c r="J152" s="98" t="str">
        <f t="shared" si="18"/>
        <v/>
      </c>
      <c r="K152" s="98" t="str">
        <f>IF('40_Estudio_Empresas'!R150="","",'40_Estudio_Empresas'!R150)</f>
        <v/>
      </c>
      <c r="L152" s="123" t="str">
        <f>IF('40_Estudio_Empresas'!M150="","",'40_Estudio_Empresas'!M150)</f>
        <v/>
      </c>
      <c r="M152" s="98" t="str">
        <f>IF('40_Estudio_Empresas'!W150="","",'40_Estudio_Empresas'!W150)</f>
        <v/>
      </c>
      <c r="N152" s="98" t="str">
        <f t="shared" si="19"/>
        <v/>
      </c>
    </row>
    <row r="153" spans="1:14">
      <c r="A153" s="98" t="str">
        <f>IF('40_Estudio_Empresas'!A151="","",'40_Estudio_Empresas'!A151)</f>
        <v/>
      </c>
      <c r="B153" s="122" t="str">
        <f>IF('40_Estudio_Empresas'!B151="","",'40_Estudio_Empresas'!B151)</f>
        <v/>
      </c>
      <c r="C153" s="98" t="str">
        <f>IF('40_Estudio_Empresas'!C151="","",'40_Estudio_Empresas'!C151)</f>
        <v/>
      </c>
      <c r="D153" s="98" t="str">
        <f>IF('40_Estudio_Empresas'!E151="","",'40_Estudio_Empresas'!E151)</f>
        <v/>
      </c>
      <c r="E153" s="98" t="str">
        <f>IF('40_Estudio_Empresas'!F151="","",'40_Estudio_Empresas'!F151)</f>
        <v/>
      </c>
      <c r="F153" s="98" t="str">
        <f>IF('40_Estudio_Empresas'!U151="","",'40_Estudio_Empresas'!U151)</f>
        <v/>
      </c>
      <c r="G153" s="98" t="str">
        <f t="shared" si="16"/>
        <v/>
      </c>
      <c r="H153" s="98" t="str">
        <f>IF('40_Estudio_Empresas'!V151="","",'40_Estudio_Empresas'!V151)</f>
        <v/>
      </c>
      <c r="I153" s="98" t="str">
        <f t="shared" si="17"/>
        <v/>
      </c>
      <c r="J153" s="98" t="str">
        <f t="shared" si="18"/>
        <v/>
      </c>
      <c r="K153" s="98" t="str">
        <f>IF('40_Estudio_Empresas'!R151="","",'40_Estudio_Empresas'!R151)</f>
        <v/>
      </c>
      <c r="L153" s="123" t="str">
        <f>IF('40_Estudio_Empresas'!M151="","",'40_Estudio_Empresas'!M151)</f>
        <v/>
      </c>
      <c r="M153" s="98" t="str">
        <f>IF('40_Estudio_Empresas'!W151="","",'40_Estudio_Empresas'!W151)</f>
        <v/>
      </c>
      <c r="N153" s="98" t="str">
        <f t="shared" si="19"/>
        <v/>
      </c>
    </row>
    <row r="154" spans="1:14">
      <c r="A154" s="98" t="str">
        <f>IF('40_Estudio_Empresas'!A152="","",'40_Estudio_Empresas'!A152)</f>
        <v/>
      </c>
      <c r="B154" s="122" t="str">
        <f>IF('40_Estudio_Empresas'!B152="","",'40_Estudio_Empresas'!B152)</f>
        <v/>
      </c>
      <c r="C154" s="98" t="str">
        <f>IF('40_Estudio_Empresas'!C152="","",'40_Estudio_Empresas'!C152)</f>
        <v/>
      </c>
      <c r="D154" s="98" t="str">
        <f>IF('40_Estudio_Empresas'!E152="","",'40_Estudio_Empresas'!E152)</f>
        <v/>
      </c>
      <c r="E154" s="98" t="str">
        <f>IF('40_Estudio_Empresas'!F152="","",'40_Estudio_Empresas'!F152)</f>
        <v/>
      </c>
      <c r="F154" s="98" t="str">
        <f>IF('40_Estudio_Empresas'!U152="","",'40_Estudio_Empresas'!U152)</f>
        <v/>
      </c>
      <c r="G154" s="98" t="str">
        <f t="shared" si="16"/>
        <v/>
      </c>
      <c r="H154" s="98" t="str">
        <f>IF('40_Estudio_Empresas'!V152="","",'40_Estudio_Empresas'!V152)</f>
        <v/>
      </c>
      <c r="I154" s="98" t="str">
        <f t="shared" si="17"/>
        <v/>
      </c>
      <c r="J154" s="98" t="str">
        <f t="shared" si="18"/>
        <v/>
      </c>
      <c r="K154" s="98" t="str">
        <f>IF('40_Estudio_Empresas'!R152="","",'40_Estudio_Empresas'!R152)</f>
        <v/>
      </c>
      <c r="L154" s="123" t="str">
        <f>IF('40_Estudio_Empresas'!M152="","",'40_Estudio_Empresas'!M152)</f>
        <v/>
      </c>
      <c r="M154" s="98" t="str">
        <f>IF('40_Estudio_Empresas'!W152="","",'40_Estudio_Empresas'!W152)</f>
        <v/>
      </c>
      <c r="N154" s="98" t="str">
        <f t="shared" si="19"/>
        <v/>
      </c>
    </row>
    <row r="155" spans="1:14">
      <c r="A155" s="98" t="str">
        <f>IF('40_Estudio_Empresas'!A153="","",'40_Estudio_Empresas'!A153)</f>
        <v/>
      </c>
      <c r="B155" s="122" t="str">
        <f>IF('40_Estudio_Empresas'!B153="","",'40_Estudio_Empresas'!B153)</f>
        <v/>
      </c>
      <c r="C155" s="98" t="str">
        <f>IF('40_Estudio_Empresas'!C153="","",'40_Estudio_Empresas'!C153)</f>
        <v/>
      </c>
      <c r="D155" s="98" t="str">
        <f>IF('40_Estudio_Empresas'!E153="","",'40_Estudio_Empresas'!E153)</f>
        <v/>
      </c>
      <c r="E155" s="98" t="str">
        <f>IF('40_Estudio_Empresas'!F153="","",'40_Estudio_Empresas'!F153)</f>
        <v/>
      </c>
      <c r="F155" s="98" t="str">
        <f>IF('40_Estudio_Empresas'!U153="","",'40_Estudio_Empresas'!U153)</f>
        <v/>
      </c>
      <c r="G155" s="98" t="str">
        <f t="shared" si="16"/>
        <v/>
      </c>
      <c r="H155" s="98" t="str">
        <f>IF('40_Estudio_Empresas'!V153="","",'40_Estudio_Empresas'!V153)</f>
        <v/>
      </c>
      <c r="I155" s="98" t="str">
        <f t="shared" si="17"/>
        <v/>
      </c>
      <c r="J155" s="98" t="str">
        <f t="shared" si="18"/>
        <v/>
      </c>
      <c r="K155" s="98" t="str">
        <f>IF('40_Estudio_Empresas'!R153="","",'40_Estudio_Empresas'!R153)</f>
        <v/>
      </c>
      <c r="L155" s="123" t="str">
        <f>IF('40_Estudio_Empresas'!M153="","",'40_Estudio_Empresas'!M153)</f>
        <v/>
      </c>
      <c r="M155" s="98" t="str">
        <f>IF('40_Estudio_Empresas'!W153="","",'40_Estudio_Empresas'!W153)</f>
        <v/>
      </c>
      <c r="N155" s="98" t="str">
        <f t="shared" si="19"/>
        <v/>
      </c>
    </row>
    <row r="156" spans="1:14">
      <c r="A156" s="98" t="str">
        <f>IF('40_Estudio_Empresas'!A154="","",'40_Estudio_Empresas'!A154)</f>
        <v/>
      </c>
      <c r="B156" s="122" t="str">
        <f>IF('40_Estudio_Empresas'!B154="","",'40_Estudio_Empresas'!B154)</f>
        <v/>
      </c>
      <c r="C156" s="98" t="str">
        <f>IF('40_Estudio_Empresas'!C154="","",'40_Estudio_Empresas'!C154)</f>
        <v/>
      </c>
      <c r="D156" s="98" t="str">
        <f>IF('40_Estudio_Empresas'!E154="","",'40_Estudio_Empresas'!E154)</f>
        <v/>
      </c>
      <c r="E156" s="98" t="str">
        <f>IF('40_Estudio_Empresas'!F154="","",'40_Estudio_Empresas'!F154)</f>
        <v/>
      </c>
      <c r="F156" s="98" t="str">
        <f>IF('40_Estudio_Empresas'!U154="","",'40_Estudio_Empresas'!U154)</f>
        <v/>
      </c>
      <c r="G156" s="98" t="str">
        <f t="shared" si="16"/>
        <v/>
      </c>
      <c r="H156" s="98" t="str">
        <f>IF('40_Estudio_Empresas'!V154="","",'40_Estudio_Empresas'!V154)</f>
        <v/>
      </c>
      <c r="I156" s="98" t="str">
        <f t="shared" si="17"/>
        <v/>
      </c>
      <c r="J156" s="98" t="str">
        <f t="shared" si="18"/>
        <v/>
      </c>
      <c r="K156" s="98" t="str">
        <f>IF('40_Estudio_Empresas'!R154="","",'40_Estudio_Empresas'!R154)</f>
        <v/>
      </c>
      <c r="L156" s="123" t="str">
        <f>IF('40_Estudio_Empresas'!M154="","",'40_Estudio_Empresas'!M154)</f>
        <v/>
      </c>
      <c r="M156" s="98" t="str">
        <f>IF('40_Estudio_Empresas'!W154="","",'40_Estudio_Empresas'!W154)</f>
        <v/>
      </c>
      <c r="N156" s="98" t="str">
        <f t="shared" si="19"/>
        <v/>
      </c>
    </row>
    <row r="157" spans="1:14">
      <c r="A157" s="98" t="str">
        <f>IF('40_Estudio_Empresas'!A155="","",'40_Estudio_Empresas'!A155)</f>
        <v/>
      </c>
      <c r="B157" s="122" t="str">
        <f>IF('40_Estudio_Empresas'!B155="","",'40_Estudio_Empresas'!B155)</f>
        <v/>
      </c>
      <c r="C157" s="98" t="str">
        <f>IF('40_Estudio_Empresas'!C155="","",'40_Estudio_Empresas'!C155)</f>
        <v/>
      </c>
      <c r="D157" s="98" t="str">
        <f>IF('40_Estudio_Empresas'!E155="","",'40_Estudio_Empresas'!E155)</f>
        <v/>
      </c>
      <c r="E157" s="98" t="str">
        <f>IF('40_Estudio_Empresas'!F155="","",'40_Estudio_Empresas'!F155)</f>
        <v/>
      </c>
      <c r="F157" s="98" t="str">
        <f>IF('40_Estudio_Empresas'!U155="","",'40_Estudio_Empresas'!U155)</f>
        <v/>
      </c>
      <c r="G157" s="98" t="str">
        <f t="shared" si="16"/>
        <v/>
      </c>
      <c r="H157" s="98" t="str">
        <f>IF('40_Estudio_Empresas'!V155="","",'40_Estudio_Empresas'!V155)</f>
        <v/>
      </c>
      <c r="I157" s="98" t="str">
        <f t="shared" si="17"/>
        <v/>
      </c>
      <c r="J157" s="98" t="str">
        <f t="shared" si="18"/>
        <v/>
      </c>
      <c r="K157" s="98" t="str">
        <f>IF('40_Estudio_Empresas'!R155="","",'40_Estudio_Empresas'!R155)</f>
        <v/>
      </c>
      <c r="L157" s="123" t="str">
        <f>IF('40_Estudio_Empresas'!M155="","",'40_Estudio_Empresas'!M155)</f>
        <v/>
      </c>
      <c r="M157" s="98" t="str">
        <f>IF('40_Estudio_Empresas'!W155="","",'40_Estudio_Empresas'!W155)</f>
        <v/>
      </c>
      <c r="N157" s="98" t="str">
        <f t="shared" si="19"/>
        <v/>
      </c>
    </row>
    <row r="158" spans="1:14">
      <c r="A158" s="98" t="str">
        <f>IF('40_Estudio_Empresas'!A156="","",'40_Estudio_Empresas'!A156)</f>
        <v/>
      </c>
      <c r="B158" s="122" t="str">
        <f>IF('40_Estudio_Empresas'!B156="","",'40_Estudio_Empresas'!B156)</f>
        <v/>
      </c>
      <c r="C158" s="98" t="str">
        <f>IF('40_Estudio_Empresas'!C156="","",'40_Estudio_Empresas'!C156)</f>
        <v/>
      </c>
      <c r="D158" s="98" t="str">
        <f>IF('40_Estudio_Empresas'!E156="","",'40_Estudio_Empresas'!E156)</f>
        <v/>
      </c>
      <c r="E158" s="98" t="str">
        <f>IF('40_Estudio_Empresas'!F156="","",'40_Estudio_Empresas'!F156)</f>
        <v/>
      </c>
      <c r="F158" s="98" t="str">
        <f>IF('40_Estudio_Empresas'!U156="","",'40_Estudio_Empresas'!U156)</f>
        <v/>
      </c>
      <c r="G158" s="98" t="str">
        <f t="shared" si="16"/>
        <v/>
      </c>
      <c r="H158" s="98" t="str">
        <f>IF('40_Estudio_Empresas'!V156="","",'40_Estudio_Empresas'!V156)</f>
        <v/>
      </c>
      <c r="I158" s="98" t="str">
        <f t="shared" si="17"/>
        <v/>
      </c>
      <c r="J158" s="98" t="str">
        <f t="shared" si="18"/>
        <v/>
      </c>
      <c r="K158" s="98" t="str">
        <f>IF('40_Estudio_Empresas'!R156="","",'40_Estudio_Empresas'!R156)</f>
        <v/>
      </c>
      <c r="L158" s="123" t="str">
        <f>IF('40_Estudio_Empresas'!M156="","",'40_Estudio_Empresas'!M156)</f>
        <v/>
      </c>
      <c r="M158" s="98" t="str">
        <f>IF('40_Estudio_Empresas'!W156="","",'40_Estudio_Empresas'!W156)</f>
        <v/>
      </c>
      <c r="N158" s="98" t="str">
        <f t="shared" si="19"/>
        <v/>
      </c>
    </row>
    <row r="159" spans="1:14">
      <c r="A159" s="98" t="str">
        <f>IF('40_Estudio_Empresas'!A157="","",'40_Estudio_Empresas'!A157)</f>
        <v/>
      </c>
      <c r="B159" s="122" t="str">
        <f>IF('40_Estudio_Empresas'!B157="","",'40_Estudio_Empresas'!B157)</f>
        <v/>
      </c>
      <c r="C159" s="98" t="str">
        <f>IF('40_Estudio_Empresas'!C157="","",'40_Estudio_Empresas'!C157)</f>
        <v/>
      </c>
      <c r="D159" s="98" t="str">
        <f>IF('40_Estudio_Empresas'!E157="","",'40_Estudio_Empresas'!E157)</f>
        <v/>
      </c>
      <c r="E159" s="98" t="str">
        <f>IF('40_Estudio_Empresas'!F157="","",'40_Estudio_Empresas'!F157)</f>
        <v/>
      </c>
      <c r="F159" s="98" t="str">
        <f>IF('40_Estudio_Empresas'!U157="","",'40_Estudio_Empresas'!U157)</f>
        <v/>
      </c>
      <c r="G159" s="98" t="str">
        <f t="shared" si="16"/>
        <v/>
      </c>
      <c r="H159" s="98" t="str">
        <f>IF('40_Estudio_Empresas'!V157="","",'40_Estudio_Empresas'!V157)</f>
        <v/>
      </c>
      <c r="I159" s="98" t="str">
        <f t="shared" si="17"/>
        <v/>
      </c>
      <c r="J159" s="98" t="str">
        <f t="shared" si="18"/>
        <v/>
      </c>
      <c r="K159" s="98" t="str">
        <f>IF('40_Estudio_Empresas'!R157="","",'40_Estudio_Empresas'!R157)</f>
        <v/>
      </c>
      <c r="L159" s="123" t="str">
        <f>IF('40_Estudio_Empresas'!M157="","",'40_Estudio_Empresas'!M157)</f>
        <v/>
      </c>
      <c r="M159" s="98" t="str">
        <f>IF('40_Estudio_Empresas'!W157="","",'40_Estudio_Empresas'!W157)</f>
        <v/>
      </c>
      <c r="N159" s="98" t="str">
        <f t="shared" si="19"/>
        <v/>
      </c>
    </row>
    <row r="160" spans="1:14">
      <c r="A160" s="98" t="str">
        <f>IF('40_Estudio_Empresas'!A158="","",'40_Estudio_Empresas'!A158)</f>
        <v/>
      </c>
      <c r="B160" s="122" t="str">
        <f>IF('40_Estudio_Empresas'!B158="","",'40_Estudio_Empresas'!B158)</f>
        <v/>
      </c>
      <c r="C160" s="98" t="str">
        <f>IF('40_Estudio_Empresas'!C158="","",'40_Estudio_Empresas'!C158)</f>
        <v/>
      </c>
      <c r="D160" s="98" t="str">
        <f>IF('40_Estudio_Empresas'!E158="","",'40_Estudio_Empresas'!E158)</f>
        <v/>
      </c>
      <c r="E160" s="98" t="str">
        <f>IF('40_Estudio_Empresas'!F158="","",'40_Estudio_Empresas'!F158)</f>
        <v/>
      </c>
      <c r="F160" s="98" t="str">
        <f>IF('40_Estudio_Empresas'!U158="","",'40_Estudio_Empresas'!U158)</f>
        <v/>
      </c>
      <c r="G160" s="98" t="str">
        <f t="shared" si="16"/>
        <v/>
      </c>
      <c r="H160" s="98" t="str">
        <f>IF('40_Estudio_Empresas'!V158="","",'40_Estudio_Empresas'!V158)</f>
        <v/>
      </c>
      <c r="I160" s="98" t="str">
        <f t="shared" si="17"/>
        <v/>
      </c>
      <c r="J160" s="98" t="str">
        <f t="shared" si="18"/>
        <v/>
      </c>
      <c r="K160" s="98" t="str">
        <f>IF('40_Estudio_Empresas'!R158="","",'40_Estudio_Empresas'!R158)</f>
        <v/>
      </c>
      <c r="L160" s="123" t="str">
        <f>IF('40_Estudio_Empresas'!M158="","",'40_Estudio_Empresas'!M158)</f>
        <v/>
      </c>
      <c r="M160" s="98" t="str">
        <f>IF('40_Estudio_Empresas'!W158="","",'40_Estudio_Empresas'!W158)</f>
        <v/>
      </c>
      <c r="N160" s="98" t="str">
        <f t="shared" si="19"/>
        <v/>
      </c>
    </row>
    <row r="161" spans="1:14">
      <c r="A161" s="98" t="str">
        <f>IF('40_Estudio_Empresas'!A159="","",'40_Estudio_Empresas'!A159)</f>
        <v/>
      </c>
      <c r="B161" s="122" t="str">
        <f>IF('40_Estudio_Empresas'!B159="","",'40_Estudio_Empresas'!B159)</f>
        <v/>
      </c>
      <c r="C161" s="98" t="str">
        <f>IF('40_Estudio_Empresas'!C159="","",'40_Estudio_Empresas'!C159)</f>
        <v/>
      </c>
      <c r="D161" s="98" t="str">
        <f>IF('40_Estudio_Empresas'!E159="","",'40_Estudio_Empresas'!E159)</f>
        <v/>
      </c>
      <c r="E161" s="98" t="str">
        <f>IF('40_Estudio_Empresas'!F159="","",'40_Estudio_Empresas'!F159)</f>
        <v/>
      </c>
      <c r="F161" s="98" t="str">
        <f>IF('40_Estudio_Empresas'!U159="","",'40_Estudio_Empresas'!U159)</f>
        <v/>
      </c>
      <c r="G161" s="98" t="str">
        <f t="shared" si="16"/>
        <v/>
      </c>
      <c r="H161" s="98" t="str">
        <f>IF('40_Estudio_Empresas'!V159="","",'40_Estudio_Empresas'!V159)</f>
        <v/>
      </c>
      <c r="I161" s="98" t="str">
        <f t="shared" si="17"/>
        <v/>
      </c>
      <c r="J161" s="98" t="str">
        <f t="shared" si="18"/>
        <v/>
      </c>
      <c r="K161" s="98" t="str">
        <f>IF('40_Estudio_Empresas'!R159="","",'40_Estudio_Empresas'!R159)</f>
        <v/>
      </c>
      <c r="L161" s="123" t="str">
        <f>IF('40_Estudio_Empresas'!M159="","",'40_Estudio_Empresas'!M159)</f>
        <v/>
      </c>
      <c r="M161" s="98" t="str">
        <f>IF('40_Estudio_Empresas'!W159="","",'40_Estudio_Empresas'!W159)</f>
        <v/>
      </c>
      <c r="N161" s="98" t="str">
        <f t="shared" si="19"/>
        <v/>
      </c>
    </row>
    <row r="162" spans="1:14">
      <c r="A162" s="98" t="str">
        <f>IF('40_Estudio_Empresas'!A160="","",'40_Estudio_Empresas'!A160)</f>
        <v/>
      </c>
      <c r="B162" s="122" t="str">
        <f>IF('40_Estudio_Empresas'!B160="","",'40_Estudio_Empresas'!B160)</f>
        <v/>
      </c>
      <c r="C162" s="98" t="str">
        <f>IF('40_Estudio_Empresas'!C160="","",'40_Estudio_Empresas'!C160)</f>
        <v/>
      </c>
      <c r="D162" s="98" t="str">
        <f>IF('40_Estudio_Empresas'!E160="","",'40_Estudio_Empresas'!E160)</f>
        <v/>
      </c>
      <c r="E162" s="98" t="str">
        <f>IF('40_Estudio_Empresas'!F160="","",'40_Estudio_Empresas'!F160)</f>
        <v/>
      </c>
      <c r="F162" s="98" t="str">
        <f>IF('40_Estudio_Empresas'!U160="","",'40_Estudio_Empresas'!U160)</f>
        <v/>
      </c>
      <c r="G162" s="98" t="str">
        <f t="shared" si="16"/>
        <v/>
      </c>
      <c r="H162" s="98" t="str">
        <f>IF('40_Estudio_Empresas'!V160="","",'40_Estudio_Empresas'!V160)</f>
        <v/>
      </c>
      <c r="I162" s="98" t="str">
        <f t="shared" si="17"/>
        <v/>
      </c>
      <c r="J162" s="98" t="str">
        <f t="shared" si="18"/>
        <v/>
      </c>
      <c r="K162" s="98" t="str">
        <f>IF('40_Estudio_Empresas'!R160="","",'40_Estudio_Empresas'!R160)</f>
        <v/>
      </c>
      <c r="L162" s="123" t="str">
        <f>IF('40_Estudio_Empresas'!M160="","",'40_Estudio_Empresas'!M160)</f>
        <v/>
      </c>
      <c r="M162" s="98" t="str">
        <f>IF('40_Estudio_Empresas'!W160="","",'40_Estudio_Empresas'!W160)</f>
        <v/>
      </c>
      <c r="N162" s="98" t="str">
        <f t="shared" si="19"/>
        <v/>
      </c>
    </row>
    <row r="163" spans="1:14">
      <c r="A163" s="98" t="str">
        <f>IF('40_Estudio_Empresas'!A161="","",'40_Estudio_Empresas'!A161)</f>
        <v/>
      </c>
      <c r="B163" s="122" t="str">
        <f>IF('40_Estudio_Empresas'!B161="","",'40_Estudio_Empresas'!B161)</f>
        <v/>
      </c>
      <c r="C163" s="98" t="str">
        <f>IF('40_Estudio_Empresas'!C161="","",'40_Estudio_Empresas'!C161)</f>
        <v/>
      </c>
      <c r="D163" s="98" t="str">
        <f>IF('40_Estudio_Empresas'!E161="","",'40_Estudio_Empresas'!E161)</f>
        <v/>
      </c>
      <c r="E163" s="98" t="str">
        <f>IF('40_Estudio_Empresas'!F161="","",'40_Estudio_Empresas'!F161)</f>
        <v/>
      </c>
      <c r="F163" s="98" t="str">
        <f>IF('40_Estudio_Empresas'!U161="","",'40_Estudio_Empresas'!U161)</f>
        <v/>
      </c>
      <c r="G163" s="98" t="str">
        <f t="shared" si="16"/>
        <v/>
      </c>
      <c r="H163" s="98" t="str">
        <f>IF('40_Estudio_Empresas'!V161="","",'40_Estudio_Empresas'!V161)</f>
        <v/>
      </c>
      <c r="I163" s="98" t="str">
        <f t="shared" si="17"/>
        <v/>
      </c>
      <c r="J163" s="98" t="str">
        <f t="shared" si="18"/>
        <v/>
      </c>
      <c r="K163" s="98" t="str">
        <f>IF('40_Estudio_Empresas'!R161="","",'40_Estudio_Empresas'!R161)</f>
        <v/>
      </c>
      <c r="L163" s="123" t="str">
        <f>IF('40_Estudio_Empresas'!M161="","",'40_Estudio_Empresas'!M161)</f>
        <v/>
      </c>
      <c r="M163" s="98" t="str">
        <f>IF('40_Estudio_Empresas'!W161="","",'40_Estudio_Empresas'!W161)</f>
        <v/>
      </c>
      <c r="N163" s="98" t="str">
        <f t="shared" si="19"/>
        <v/>
      </c>
    </row>
    <row r="164" spans="1:14">
      <c r="A164" s="98" t="str">
        <f>IF('40_Estudio_Empresas'!A162="","",'40_Estudio_Empresas'!A162)</f>
        <v/>
      </c>
      <c r="B164" s="122" t="str">
        <f>IF('40_Estudio_Empresas'!B162="","",'40_Estudio_Empresas'!B162)</f>
        <v/>
      </c>
      <c r="C164" s="98" t="str">
        <f>IF('40_Estudio_Empresas'!C162="","",'40_Estudio_Empresas'!C162)</f>
        <v/>
      </c>
      <c r="D164" s="98" t="str">
        <f>IF('40_Estudio_Empresas'!E162="","",'40_Estudio_Empresas'!E162)</f>
        <v/>
      </c>
      <c r="E164" s="98" t="str">
        <f>IF('40_Estudio_Empresas'!F162="","",'40_Estudio_Empresas'!F162)</f>
        <v/>
      </c>
      <c r="F164" s="98" t="str">
        <f>IF('40_Estudio_Empresas'!U162="","",'40_Estudio_Empresas'!U162)</f>
        <v/>
      </c>
      <c r="G164" s="98" t="str">
        <f t="shared" si="16"/>
        <v/>
      </c>
      <c r="H164" s="98" t="str">
        <f>IF('40_Estudio_Empresas'!V162="","",'40_Estudio_Empresas'!V162)</f>
        <v/>
      </c>
      <c r="I164" s="98" t="str">
        <f t="shared" si="17"/>
        <v/>
      </c>
      <c r="J164" s="98" t="str">
        <f t="shared" si="18"/>
        <v/>
      </c>
      <c r="K164" s="98" t="str">
        <f>IF('40_Estudio_Empresas'!R162="","",'40_Estudio_Empresas'!R162)</f>
        <v/>
      </c>
      <c r="L164" s="123" t="str">
        <f>IF('40_Estudio_Empresas'!M162="","",'40_Estudio_Empresas'!M162)</f>
        <v/>
      </c>
      <c r="M164" s="98" t="str">
        <f>IF('40_Estudio_Empresas'!W162="","",'40_Estudio_Empresas'!W162)</f>
        <v/>
      </c>
      <c r="N164" s="98" t="str">
        <f t="shared" si="19"/>
        <v/>
      </c>
    </row>
    <row r="165" spans="1:14">
      <c r="A165" s="98" t="str">
        <f>IF('40_Estudio_Empresas'!A163="","",'40_Estudio_Empresas'!A163)</f>
        <v/>
      </c>
      <c r="B165" s="122" t="str">
        <f>IF('40_Estudio_Empresas'!B163="","",'40_Estudio_Empresas'!B163)</f>
        <v/>
      </c>
      <c r="C165" s="98" t="str">
        <f>IF('40_Estudio_Empresas'!C163="","",'40_Estudio_Empresas'!C163)</f>
        <v/>
      </c>
      <c r="D165" s="98" t="str">
        <f>IF('40_Estudio_Empresas'!E163="","",'40_Estudio_Empresas'!E163)</f>
        <v/>
      </c>
      <c r="E165" s="98" t="str">
        <f>IF('40_Estudio_Empresas'!F163="","",'40_Estudio_Empresas'!F163)</f>
        <v/>
      </c>
      <c r="F165" s="98" t="str">
        <f>IF('40_Estudio_Empresas'!U163="","",'40_Estudio_Empresas'!U163)</f>
        <v/>
      </c>
      <c r="G165" s="98" t="str">
        <f t="shared" ref="G165:G196" si="20">IF(F165="","",IF(F165="A","A - Inmediata",IF(F165="B","B - Interesante",IF(F165="C","C - Observar",IF(F165="X","X - Descartar","Revisar")))))</f>
        <v/>
      </c>
      <c r="H165" s="98" t="str">
        <f>IF('40_Estudio_Empresas'!V163="","",'40_Estudio_Empresas'!V163)</f>
        <v/>
      </c>
      <c r="I165" s="98" t="str">
        <f t="shared" ref="I165:I196" si="21">IF(F165="","",IF(F165="A","32_Oportunidades + 33_Seguimientos + 30_CRM",IF(F165="B","32_Oportunidades + 33_Seguimientos",IF(F165="C","Mantener en observación",IF(F165="X","Descartar / archivo","Revisar")))))</f>
        <v/>
      </c>
      <c r="J165" s="98" t="str">
        <f t="shared" ref="J165:J196" si="22">IF(F165="","",IF(F165="A","Alta",IF(F165="B","Media",IF(F165="C","Baja","Descartar"))))</f>
        <v/>
      </c>
      <c r="K165" s="98" t="str">
        <f>IF('40_Estudio_Empresas'!R163="","",'40_Estudio_Empresas'!R163)</f>
        <v/>
      </c>
      <c r="L165" s="123" t="str">
        <f>IF('40_Estudio_Empresas'!M163="","",'40_Estudio_Empresas'!M163)</f>
        <v/>
      </c>
      <c r="M165" s="98" t="str">
        <f>IF('40_Estudio_Empresas'!W163="","",'40_Estudio_Empresas'!W163)</f>
        <v/>
      </c>
      <c r="N165" s="98" t="str">
        <f t="shared" ref="N165:N196" si="23">IF(F165="","",IF(OR(F165="A",F165="B"),"🟢 Activa",IF(F165="C","🟡 Observar","🔴 Descartar")))</f>
        <v/>
      </c>
    </row>
    <row r="166" spans="1:14">
      <c r="A166" s="98" t="str">
        <f>IF('40_Estudio_Empresas'!A164="","",'40_Estudio_Empresas'!A164)</f>
        <v/>
      </c>
      <c r="B166" s="122" t="str">
        <f>IF('40_Estudio_Empresas'!B164="","",'40_Estudio_Empresas'!B164)</f>
        <v/>
      </c>
      <c r="C166" s="98" t="str">
        <f>IF('40_Estudio_Empresas'!C164="","",'40_Estudio_Empresas'!C164)</f>
        <v/>
      </c>
      <c r="D166" s="98" t="str">
        <f>IF('40_Estudio_Empresas'!E164="","",'40_Estudio_Empresas'!E164)</f>
        <v/>
      </c>
      <c r="E166" s="98" t="str">
        <f>IF('40_Estudio_Empresas'!F164="","",'40_Estudio_Empresas'!F164)</f>
        <v/>
      </c>
      <c r="F166" s="98" t="str">
        <f>IF('40_Estudio_Empresas'!U164="","",'40_Estudio_Empresas'!U164)</f>
        <v/>
      </c>
      <c r="G166" s="98" t="str">
        <f t="shared" si="20"/>
        <v/>
      </c>
      <c r="H166" s="98" t="str">
        <f>IF('40_Estudio_Empresas'!V164="","",'40_Estudio_Empresas'!V164)</f>
        <v/>
      </c>
      <c r="I166" s="98" t="str">
        <f t="shared" si="21"/>
        <v/>
      </c>
      <c r="J166" s="98" t="str">
        <f t="shared" si="22"/>
        <v/>
      </c>
      <c r="K166" s="98" t="str">
        <f>IF('40_Estudio_Empresas'!R164="","",'40_Estudio_Empresas'!R164)</f>
        <v/>
      </c>
      <c r="L166" s="123" t="str">
        <f>IF('40_Estudio_Empresas'!M164="","",'40_Estudio_Empresas'!M164)</f>
        <v/>
      </c>
      <c r="M166" s="98" t="str">
        <f>IF('40_Estudio_Empresas'!W164="","",'40_Estudio_Empresas'!W164)</f>
        <v/>
      </c>
      <c r="N166" s="98" t="str">
        <f t="shared" si="23"/>
        <v/>
      </c>
    </row>
    <row r="167" spans="1:14">
      <c r="A167" s="98" t="str">
        <f>IF('40_Estudio_Empresas'!A165="","",'40_Estudio_Empresas'!A165)</f>
        <v/>
      </c>
      <c r="B167" s="122" t="str">
        <f>IF('40_Estudio_Empresas'!B165="","",'40_Estudio_Empresas'!B165)</f>
        <v/>
      </c>
      <c r="C167" s="98" t="str">
        <f>IF('40_Estudio_Empresas'!C165="","",'40_Estudio_Empresas'!C165)</f>
        <v/>
      </c>
      <c r="D167" s="98" t="str">
        <f>IF('40_Estudio_Empresas'!E165="","",'40_Estudio_Empresas'!E165)</f>
        <v/>
      </c>
      <c r="E167" s="98" t="str">
        <f>IF('40_Estudio_Empresas'!F165="","",'40_Estudio_Empresas'!F165)</f>
        <v/>
      </c>
      <c r="F167" s="98" t="str">
        <f>IF('40_Estudio_Empresas'!U165="","",'40_Estudio_Empresas'!U165)</f>
        <v/>
      </c>
      <c r="G167" s="98" t="str">
        <f t="shared" si="20"/>
        <v/>
      </c>
      <c r="H167" s="98" t="str">
        <f>IF('40_Estudio_Empresas'!V165="","",'40_Estudio_Empresas'!V165)</f>
        <v/>
      </c>
      <c r="I167" s="98" t="str">
        <f t="shared" si="21"/>
        <v/>
      </c>
      <c r="J167" s="98" t="str">
        <f t="shared" si="22"/>
        <v/>
      </c>
      <c r="K167" s="98" t="str">
        <f>IF('40_Estudio_Empresas'!R165="","",'40_Estudio_Empresas'!R165)</f>
        <v/>
      </c>
      <c r="L167" s="123" t="str">
        <f>IF('40_Estudio_Empresas'!M165="","",'40_Estudio_Empresas'!M165)</f>
        <v/>
      </c>
      <c r="M167" s="98" t="str">
        <f>IF('40_Estudio_Empresas'!W165="","",'40_Estudio_Empresas'!W165)</f>
        <v/>
      </c>
      <c r="N167" s="98" t="str">
        <f t="shared" si="23"/>
        <v/>
      </c>
    </row>
    <row r="168" spans="1:14">
      <c r="A168" s="98" t="str">
        <f>IF('40_Estudio_Empresas'!A166="","",'40_Estudio_Empresas'!A166)</f>
        <v/>
      </c>
      <c r="B168" s="122" t="str">
        <f>IF('40_Estudio_Empresas'!B166="","",'40_Estudio_Empresas'!B166)</f>
        <v/>
      </c>
      <c r="C168" s="98" t="str">
        <f>IF('40_Estudio_Empresas'!C166="","",'40_Estudio_Empresas'!C166)</f>
        <v/>
      </c>
      <c r="D168" s="98" t="str">
        <f>IF('40_Estudio_Empresas'!E166="","",'40_Estudio_Empresas'!E166)</f>
        <v/>
      </c>
      <c r="E168" s="98" t="str">
        <f>IF('40_Estudio_Empresas'!F166="","",'40_Estudio_Empresas'!F166)</f>
        <v/>
      </c>
      <c r="F168" s="98" t="str">
        <f>IF('40_Estudio_Empresas'!U166="","",'40_Estudio_Empresas'!U166)</f>
        <v/>
      </c>
      <c r="G168" s="98" t="str">
        <f t="shared" si="20"/>
        <v/>
      </c>
      <c r="H168" s="98" t="str">
        <f>IF('40_Estudio_Empresas'!V166="","",'40_Estudio_Empresas'!V166)</f>
        <v/>
      </c>
      <c r="I168" s="98" t="str">
        <f t="shared" si="21"/>
        <v/>
      </c>
      <c r="J168" s="98" t="str">
        <f t="shared" si="22"/>
        <v/>
      </c>
      <c r="K168" s="98" t="str">
        <f>IF('40_Estudio_Empresas'!R166="","",'40_Estudio_Empresas'!R166)</f>
        <v/>
      </c>
      <c r="L168" s="123" t="str">
        <f>IF('40_Estudio_Empresas'!M166="","",'40_Estudio_Empresas'!M166)</f>
        <v/>
      </c>
      <c r="M168" s="98" t="str">
        <f>IF('40_Estudio_Empresas'!W166="","",'40_Estudio_Empresas'!W166)</f>
        <v/>
      </c>
      <c r="N168" s="98" t="str">
        <f t="shared" si="23"/>
        <v/>
      </c>
    </row>
    <row r="169" spans="1:14">
      <c r="A169" s="98" t="str">
        <f>IF('40_Estudio_Empresas'!A167="","",'40_Estudio_Empresas'!A167)</f>
        <v/>
      </c>
      <c r="B169" s="122" t="str">
        <f>IF('40_Estudio_Empresas'!B167="","",'40_Estudio_Empresas'!B167)</f>
        <v/>
      </c>
      <c r="C169" s="98" t="str">
        <f>IF('40_Estudio_Empresas'!C167="","",'40_Estudio_Empresas'!C167)</f>
        <v/>
      </c>
      <c r="D169" s="98" t="str">
        <f>IF('40_Estudio_Empresas'!E167="","",'40_Estudio_Empresas'!E167)</f>
        <v/>
      </c>
      <c r="E169" s="98" t="str">
        <f>IF('40_Estudio_Empresas'!F167="","",'40_Estudio_Empresas'!F167)</f>
        <v/>
      </c>
      <c r="F169" s="98" t="str">
        <f>IF('40_Estudio_Empresas'!U167="","",'40_Estudio_Empresas'!U167)</f>
        <v/>
      </c>
      <c r="G169" s="98" t="str">
        <f t="shared" si="20"/>
        <v/>
      </c>
      <c r="H169" s="98" t="str">
        <f>IF('40_Estudio_Empresas'!V167="","",'40_Estudio_Empresas'!V167)</f>
        <v/>
      </c>
      <c r="I169" s="98" t="str">
        <f t="shared" si="21"/>
        <v/>
      </c>
      <c r="J169" s="98" t="str">
        <f t="shared" si="22"/>
        <v/>
      </c>
      <c r="K169" s="98" t="str">
        <f>IF('40_Estudio_Empresas'!R167="","",'40_Estudio_Empresas'!R167)</f>
        <v/>
      </c>
      <c r="L169" s="123" t="str">
        <f>IF('40_Estudio_Empresas'!M167="","",'40_Estudio_Empresas'!M167)</f>
        <v/>
      </c>
      <c r="M169" s="98" t="str">
        <f>IF('40_Estudio_Empresas'!W167="","",'40_Estudio_Empresas'!W167)</f>
        <v/>
      </c>
      <c r="N169" s="98" t="str">
        <f t="shared" si="23"/>
        <v/>
      </c>
    </row>
    <row r="170" spans="1:14">
      <c r="A170" s="98" t="str">
        <f>IF('40_Estudio_Empresas'!A168="","",'40_Estudio_Empresas'!A168)</f>
        <v/>
      </c>
      <c r="B170" s="122" t="str">
        <f>IF('40_Estudio_Empresas'!B168="","",'40_Estudio_Empresas'!B168)</f>
        <v/>
      </c>
      <c r="C170" s="98" t="str">
        <f>IF('40_Estudio_Empresas'!C168="","",'40_Estudio_Empresas'!C168)</f>
        <v/>
      </c>
      <c r="D170" s="98" t="str">
        <f>IF('40_Estudio_Empresas'!E168="","",'40_Estudio_Empresas'!E168)</f>
        <v/>
      </c>
      <c r="E170" s="98" t="str">
        <f>IF('40_Estudio_Empresas'!F168="","",'40_Estudio_Empresas'!F168)</f>
        <v/>
      </c>
      <c r="F170" s="98" t="str">
        <f>IF('40_Estudio_Empresas'!U168="","",'40_Estudio_Empresas'!U168)</f>
        <v/>
      </c>
      <c r="G170" s="98" t="str">
        <f t="shared" si="20"/>
        <v/>
      </c>
      <c r="H170" s="98" t="str">
        <f>IF('40_Estudio_Empresas'!V168="","",'40_Estudio_Empresas'!V168)</f>
        <v/>
      </c>
      <c r="I170" s="98" t="str">
        <f t="shared" si="21"/>
        <v/>
      </c>
      <c r="J170" s="98" t="str">
        <f t="shared" si="22"/>
        <v/>
      </c>
      <c r="K170" s="98" t="str">
        <f>IF('40_Estudio_Empresas'!R168="","",'40_Estudio_Empresas'!R168)</f>
        <v/>
      </c>
      <c r="L170" s="123" t="str">
        <f>IF('40_Estudio_Empresas'!M168="","",'40_Estudio_Empresas'!M168)</f>
        <v/>
      </c>
      <c r="M170" s="98" t="str">
        <f>IF('40_Estudio_Empresas'!W168="","",'40_Estudio_Empresas'!W168)</f>
        <v/>
      </c>
      <c r="N170" s="98" t="str">
        <f t="shared" si="23"/>
        <v/>
      </c>
    </row>
    <row r="171" spans="1:14">
      <c r="A171" s="98" t="str">
        <f>IF('40_Estudio_Empresas'!A169="","",'40_Estudio_Empresas'!A169)</f>
        <v/>
      </c>
      <c r="B171" s="122" t="str">
        <f>IF('40_Estudio_Empresas'!B169="","",'40_Estudio_Empresas'!B169)</f>
        <v/>
      </c>
      <c r="C171" s="98" t="str">
        <f>IF('40_Estudio_Empresas'!C169="","",'40_Estudio_Empresas'!C169)</f>
        <v/>
      </c>
      <c r="D171" s="98" t="str">
        <f>IF('40_Estudio_Empresas'!E169="","",'40_Estudio_Empresas'!E169)</f>
        <v/>
      </c>
      <c r="E171" s="98" t="str">
        <f>IF('40_Estudio_Empresas'!F169="","",'40_Estudio_Empresas'!F169)</f>
        <v/>
      </c>
      <c r="F171" s="98" t="str">
        <f>IF('40_Estudio_Empresas'!U169="","",'40_Estudio_Empresas'!U169)</f>
        <v/>
      </c>
      <c r="G171" s="98" t="str">
        <f t="shared" si="20"/>
        <v/>
      </c>
      <c r="H171" s="98" t="str">
        <f>IF('40_Estudio_Empresas'!V169="","",'40_Estudio_Empresas'!V169)</f>
        <v/>
      </c>
      <c r="I171" s="98" t="str">
        <f t="shared" si="21"/>
        <v/>
      </c>
      <c r="J171" s="98" t="str">
        <f t="shared" si="22"/>
        <v/>
      </c>
      <c r="K171" s="98" t="str">
        <f>IF('40_Estudio_Empresas'!R169="","",'40_Estudio_Empresas'!R169)</f>
        <v/>
      </c>
      <c r="L171" s="123" t="str">
        <f>IF('40_Estudio_Empresas'!M169="","",'40_Estudio_Empresas'!M169)</f>
        <v/>
      </c>
      <c r="M171" s="98" t="str">
        <f>IF('40_Estudio_Empresas'!W169="","",'40_Estudio_Empresas'!W169)</f>
        <v/>
      </c>
      <c r="N171" s="98" t="str">
        <f t="shared" si="23"/>
        <v/>
      </c>
    </row>
    <row r="172" spans="1:14">
      <c r="A172" s="98" t="str">
        <f>IF('40_Estudio_Empresas'!A170="","",'40_Estudio_Empresas'!A170)</f>
        <v/>
      </c>
      <c r="B172" s="122" t="str">
        <f>IF('40_Estudio_Empresas'!B170="","",'40_Estudio_Empresas'!B170)</f>
        <v/>
      </c>
      <c r="C172" s="98" t="str">
        <f>IF('40_Estudio_Empresas'!C170="","",'40_Estudio_Empresas'!C170)</f>
        <v/>
      </c>
      <c r="D172" s="98" t="str">
        <f>IF('40_Estudio_Empresas'!E170="","",'40_Estudio_Empresas'!E170)</f>
        <v/>
      </c>
      <c r="E172" s="98" t="str">
        <f>IF('40_Estudio_Empresas'!F170="","",'40_Estudio_Empresas'!F170)</f>
        <v/>
      </c>
      <c r="F172" s="98" t="str">
        <f>IF('40_Estudio_Empresas'!U170="","",'40_Estudio_Empresas'!U170)</f>
        <v/>
      </c>
      <c r="G172" s="98" t="str">
        <f t="shared" si="20"/>
        <v/>
      </c>
      <c r="H172" s="98" t="str">
        <f>IF('40_Estudio_Empresas'!V170="","",'40_Estudio_Empresas'!V170)</f>
        <v/>
      </c>
      <c r="I172" s="98" t="str">
        <f t="shared" si="21"/>
        <v/>
      </c>
      <c r="J172" s="98" t="str">
        <f t="shared" si="22"/>
        <v/>
      </c>
      <c r="K172" s="98" t="str">
        <f>IF('40_Estudio_Empresas'!R170="","",'40_Estudio_Empresas'!R170)</f>
        <v/>
      </c>
      <c r="L172" s="123" t="str">
        <f>IF('40_Estudio_Empresas'!M170="","",'40_Estudio_Empresas'!M170)</f>
        <v/>
      </c>
      <c r="M172" s="98" t="str">
        <f>IF('40_Estudio_Empresas'!W170="","",'40_Estudio_Empresas'!W170)</f>
        <v/>
      </c>
      <c r="N172" s="98" t="str">
        <f t="shared" si="23"/>
        <v/>
      </c>
    </row>
    <row r="173" spans="1:14">
      <c r="A173" s="98" t="str">
        <f>IF('40_Estudio_Empresas'!A171="","",'40_Estudio_Empresas'!A171)</f>
        <v/>
      </c>
      <c r="B173" s="122" t="str">
        <f>IF('40_Estudio_Empresas'!B171="","",'40_Estudio_Empresas'!B171)</f>
        <v/>
      </c>
      <c r="C173" s="98" t="str">
        <f>IF('40_Estudio_Empresas'!C171="","",'40_Estudio_Empresas'!C171)</f>
        <v/>
      </c>
      <c r="D173" s="98" t="str">
        <f>IF('40_Estudio_Empresas'!E171="","",'40_Estudio_Empresas'!E171)</f>
        <v/>
      </c>
      <c r="E173" s="98" t="str">
        <f>IF('40_Estudio_Empresas'!F171="","",'40_Estudio_Empresas'!F171)</f>
        <v/>
      </c>
      <c r="F173" s="98" t="str">
        <f>IF('40_Estudio_Empresas'!U171="","",'40_Estudio_Empresas'!U171)</f>
        <v/>
      </c>
      <c r="G173" s="98" t="str">
        <f t="shared" si="20"/>
        <v/>
      </c>
      <c r="H173" s="98" t="str">
        <f>IF('40_Estudio_Empresas'!V171="","",'40_Estudio_Empresas'!V171)</f>
        <v/>
      </c>
      <c r="I173" s="98" t="str">
        <f t="shared" si="21"/>
        <v/>
      </c>
      <c r="J173" s="98" t="str">
        <f t="shared" si="22"/>
        <v/>
      </c>
      <c r="K173" s="98" t="str">
        <f>IF('40_Estudio_Empresas'!R171="","",'40_Estudio_Empresas'!R171)</f>
        <v/>
      </c>
      <c r="L173" s="123" t="str">
        <f>IF('40_Estudio_Empresas'!M171="","",'40_Estudio_Empresas'!M171)</f>
        <v/>
      </c>
      <c r="M173" s="98" t="str">
        <f>IF('40_Estudio_Empresas'!W171="","",'40_Estudio_Empresas'!W171)</f>
        <v/>
      </c>
      <c r="N173" s="98" t="str">
        <f t="shared" si="23"/>
        <v/>
      </c>
    </row>
    <row r="174" spans="1:14">
      <c r="A174" s="98" t="str">
        <f>IF('40_Estudio_Empresas'!A172="","",'40_Estudio_Empresas'!A172)</f>
        <v/>
      </c>
      <c r="B174" s="122" t="str">
        <f>IF('40_Estudio_Empresas'!B172="","",'40_Estudio_Empresas'!B172)</f>
        <v/>
      </c>
      <c r="C174" s="98" t="str">
        <f>IF('40_Estudio_Empresas'!C172="","",'40_Estudio_Empresas'!C172)</f>
        <v/>
      </c>
      <c r="D174" s="98" t="str">
        <f>IF('40_Estudio_Empresas'!E172="","",'40_Estudio_Empresas'!E172)</f>
        <v/>
      </c>
      <c r="E174" s="98" t="str">
        <f>IF('40_Estudio_Empresas'!F172="","",'40_Estudio_Empresas'!F172)</f>
        <v/>
      </c>
      <c r="F174" s="98" t="str">
        <f>IF('40_Estudio_Empresas'!U172="","",'40_Estudio_Empresas'!U172)</f>
        <v/>
      </c>
      <c r="G174" s="98" t="str">
        <f t="shared" si="20"/>
        <v/>
      </c>
      <c r="H174" s="98" t="str">
        <f>IF('40_Estudio_Empresas'!V172="","",'40_Estudio_Empresas'!V172)</f>
        <v/>
      </c>
      <c r="I174" s="98" t="str">
        <f t="shared" si="21"/>
        <v/>
      </c>
      <c r="J174" s="98" t="str">
        <f t="shared" si="22"/>
        <v/>
      </c>
      <c r="K174" s="98" t="str">
        <f>IF('40_Estudio_Empresas'!R172="","",'40_Estudio_Empresas'!R172)</f>
        <v/>
      </c>
      <c r="L174" s="123" t="str">
        <f>IF('40_Estudio_Empresas'!M172="","",'40_Estudio_Empresas'!M172)</f>
        <v/>
      </c>
      <c r="M174" s="98" t="str">
        <f>IF('40_Estudio_Empresas'!W172="","",'40_Estudio_Empresas'!W172)</f>
        <v/>
      </c>
      <c r="N174" s="98" t="str">
        <f t="shared" si="23"/>
        <v/>
      </c>
    </row>
    <row r="175" spans="1:14">
      <c r="A175" s="98" t="str">
        <f>IF('40_Estudio_Empresas'!A173="","",'40_Estudio_Empresas'!A173)</f>
        <v/>
      </c>
      <c r="B175" s="122" t="str">
        <f>IF('40_Estudio_Empresas'!B173="","",'40_Estudio_Empresas'!B173)</f>
        <v/>
      </c>
      <c r="C175" s="98" t="str">
        <f>IF('40_Estudio_Empresas'!C173="","",'40_Estudio_Empresas'!C173)</f>
        <v/>
      </c>
      <c r="D175" s="98" t="str">
        <f>IF('40_Estudio_Empresas'!E173="","",'40_Estudio_Empresas'!E173)</f>
        <v/>
      </c>
      <c r="E175" s="98" t="str">
        <f>IF('40_Estudio_Empresas'!F173="","",'40_Estudio_Empresas'!F173)</f>
        <v/>
      </c>
      <c r="F175" s="98" t="str">
        <f>IF('40_Estudio_Empresas'!U173="","",'40_Estudio_Empresas'!U173)</f>
        <v/>
      </c>
      <c r="G175" s="98" t="str">
        <f t="shared" si="20"/>
        <v/>
      </c>
      <c r="H175" s="98" t="str">
        <f>IF('40_Estudio_Empresas'!V173="","",'40_Estudio_Empresas'!V173)</f>
        <v/>
      </c>
      <c r="I175" s="98" t="str">
        <f t="shared" si="21"/>
        <v/>
      </c>
      <c r="J175" s="98" t="str">
        <f t="shared" si="22"/>
        <v/>
      </c>
      <c r="K175" s="98" t="str">
        <f>IF('40_Estudio_Empresas'!R173="","",'40_Estudio_Empresas'!R173)</f>
        <v/>
      </c>
      <c r="L175" s="123" t="str">
        <f>IF('40_Estudio_Empresas'!M173="","",'40_Estudio_Empresas'!M173)</f>
        <v/>
      </c>
      <c r="M175" s="98" t="str">
        <f>IF('40_Estudio_Empresas'!W173="","",'40_Estudio_Empresas'!W173)</f>
        <v/>
      </c>
      <c r="N175" s="98" t="str">
        <f t="shared" si="23"/>
        <v/>
      </c>
    </row>
    <row r="176" spans="1:14">
      <c r="A176" s="98" t="str">
        <f>IF('40_Estudio_Empresas'!A174="","",'40_Estudio_Empresas'!A174)</f>
        <v/>
      </c>
      <c r="B176" s="122" t="str">
        <f>IF('40_Estudio_Empresas'!B174="","",'40_Estudio_Empresas'!B174)</f>
        <v/>
      </c>
      <c r="C176" s="98" t="str">
        <f>IF('40_Estudio_Empresas'!C174="","",'40_Estudio_Empresas'!C174)</f>
        <v/>
      </c>
      <c r="D176" s="98" t="str">
        <f>IF('40_Estudio_Empresas'!E174="","",'40_Estudio_Empresas'!E174)</f>
        <v/>
      </c>
      <c r="E176" s="98" t="str">
        <f>IF('40_Estudio_Empresas'!F174="","",'40_Estudio_Empresas'!F174)</f>
        <v/>
      </c>
      <c r="F176" s="98" t="str">
        <f>IF('40_Estudio_Empresas'!U174="","",'40_Estudio_Empresas'!U174)</f>
        <v/>
      </c>
      <c r="G176" s="98" t="str">
        <f t="shared" si="20"/>
        <v/>
      </c>
      <c r="H176" s="98" t="str">
        <f>IF('40_Estudio_Empresas'!V174="","",'40_Estudio_Empresas'!V174)</f>
        <v/>
      </c>
      <c r="I176" s="98" t="str">
        <f t="shared" si="21"/>
        <v/>
      </c>
      <c r="J176" s="98" t="str">
        <f t="shared" si="22"/>
        <v/>
      </c>
      <c r="K176" s="98" t="str">
        <f>IF('40_Estudio_Empresas'!R174="","",'40_Estudio_Empresas'!R174)</f>
        <v/>
      </c>
      <c r="L176" s="123" t="str">
        <f>IF('40_Estudio_Empresas'!M174="","",'40_Estudio_Empresas'!M174)</f>
        <v/>
      </c>
      <c r="M176" s="98" t="str">
        <f>IF('40_Estudio_Empresas'!W174="","",'40_Estudio_Empresas'!W174)</f>
        <v/>
      </c>
      <c r="N176" s="98" t="str">
        <f t="shared" si="23"/>
        <v/>
      </c>
    </row>
    <row r="177" spans="1:14">
      <c r="A177" s="98" t="str">
        <f>IF('40_Estudio_Empresas'!A175="","",'40_Estudio_Empresas'!A175)</f>
        <v/>
      </c>
      <c r="B177" s="122" t="str">
        <f>IF('40_Estudio_Empresas'!B175="","",'40_Estudio_Empresas'!B175)</f>
        <v/>
      </c>
      <c r="C177" s="98" t="str">
        <f>IF('40_Estudio_Empresas'!C175="","",'40_Estudio_Empresas'!C175)</f>
        <v/>
      </c>
      <c r="D177" s="98" t="str">
        <f>IF('40_Estudio_Empresas'!E175="","",'40_Estudio_Empresas'!E175)</f>
        <v/>
      </c>
      <c r="E177" s="98" t="str">
        <f>IF('40_Estudio_Empresas'!F175="","",'40_Estudio_Empresas'!F175)</f>
        <v/>
      </c>
      <c r="F177" s="98" t="str">
        <f>IF('40_Estudio_Empresas'!U175="","",'40_Estudio_Empresas'!U175)</f>
        <v/>
      </c>
      <c r="G177" s="98" t="str">
        <f t="shared" si="20"/>
        <v/>
      </c>
      <c r="H177" s="98" t="str">
        <f>IF('40_Estudio_Empresas'!V175="","",'40_Estudio_Empresas'!V175)</f>
        <v/>
      </c>
      <c r="I177" s="98" t="str">
        <f t="shared" si="21"/>
        <v/>
      </c>
      <c r="J177" s="98" t="str">
        <f t="shared" si="22"/>
        <v/>
      </c>
      <c r="K177" s="98" t="str">
        <f>IF('40_Estudio_Empresas'!R175="","",'40_Estudio_Empresas'!R175)</f>
        <v/>
      </c>
      <c r="L177" s="123" t="str">
        <f>IF('40_Estudio_Empresas'!M175="","",'40_Estudio_Empresas'!M175)</f>
        <v/>
      </c>
      <c r="M177" s="98" t="str">
        <f>IF('40_Estudio_Empresas'!W175="","",'40_Estudio_Empresas'!W175)</f>
        <v/>
      </c>
      <c r="N177" s="98" t="str">
        <f t="shared" si="23"/>
        <v/>
      </c>
    </row>
    <row r="178" spans="1:14">
      <c r="A178" s="98" t="str">
        <f>IF('40_Estudio_Empresas'!A176="","",'40_Estudio_Empresas'!A176)</f>
        <v/>
      </c>
      <c r="B178" s="122" t="str">
        <f>IF('40_Estudio_Empresas'!B176="","",'40_Estudio_Empresas'!B176)</f>
        <v/>
      </c>
      <c r="C178" s="98" t="str">
        <f>IF('40_Estudio_Empresas'!C176="","",'40_Estudio_Empresas'!C176)</f>
        <v/>
      </c>
      <c r="D178" s="98" t="str">
        <f>IF('40_Estudio_Empresas'!E176="","",'40_Estudio_Empresas'!E176)</f>
        <v/>
      </c>
      <c r="E178" s="98" t="str">
        <f>IF('40_Estudio_Empresas'!F176="","",'40_Estudio_Empresas'!F176)</f>
        <v/>
      </c>
      <c r="F178" s="98" t="str">
        <f>IF('40_Estudio_Empresas'!U176="","",'40_Estudio_Empresas'!U176)</f>
        <v/>
      </c>
      <c r="G178" s="98" t="str">
        <f t="shared" si="20"/>
        <v/>
      </c>
      <c r="H178" s="98" t="str">
        <f>IF('40_Estudio_Empresas'!V176="","",'40_Estudio_Empresas'!V176)</f>
        <v/>
      </c>
      <c r="I178" s="98" t="str">
        <f t="shared" si="21"/>
        <v/>
      </c>
      <c r="J178" s="98" t="str">
        <f t="shared" si="22"/>
        <v/>
      </c>
      <c r="K178" s="98" t="str">
        <f>IF('40_Estudio_Empresas'!R176="","",'40_Estudio_Empresas'!R176)</f>
        <v/>
      </c>
      <c r="L178" s="123" t="str">
        <f>IF('40_Estudio_Empresas'!M176="","",'40_Estudio_Empresas'!M176)</f>
        <v/>
      </c>
      <c r="M178" s="98" t="str">
        <f>IF('40_Estudio_Empresas'!W176="","",'40_Estudio_Empresas'!W176)</f>
        <v/>
      </c>
      <c r="N178" s="98" t="str">
        <f t="shared" si="23"/>
        <v/>
      </c>
    </row>
    <row r="179" spans="1:14">
      <c r="A179" s="98" t="str">
        <f>IF('40_Estudio_Empresas'!A177="","",'40_Estudio_Empresas'!A177)</f>
        <v/>
      </c>
      <c r="B179" s="122" t="str">
        <f>IF('40_Estudio_Empresas'!B177="","",'40_Estudio_Empresas'!B177)</f>
        <v/>
      </c>
      <c r="C179" s="98" t="str">
        <f>IF('40_Estudio_Empresas'!C177="","",'40_Estudio_Empresas'!C177)</f>
        <v/>
      </c>
      <c r="D179" s="98" t="str">
        <f>IF('40_Estudio_Empresas'!E177="","",'40_Estudio_Empresas'!E177)</f>
        <v/>
      </c>
      <c r="E179" s="98" t="str">
        <f>IF('40_Estudio_Empresas'!F177="","",'40_Estudio_Empresas'!F177)</f>
        <v/>
      </c>
      <c r="F179" s="98" t="str">
        <f>IF('40_Estudio_Empresas'!U177="","",'40_Estudio_Empresas'!U177)</f>
        <v/>
      </c>
      <c r="G179" s="98" t="str">
        <f t="shared" si="20"/>
        <v/>
      </c>
      <c r="H179" s="98" t="str">
        <f>IF('40_Estudio_Empresas'!V177="","",'40_Estudio_Empresas'!V177)</f>
        <v/>
      </c>
      <c r="I179" s="98" t="str">
        <f t="shared" si="21"/>
        <v/>
      </c>
      <c r="J179" s="98" t="str">
        <f t="shared" si="22"/>
        <v/>
      </c>
      <c r="K179" s="98" t="str">
        <f>IF('40_Estudio_Empresas'!R177="","",'40_Estudio_Empresas'!R177)</f>
        <v/>
      </c>
      <c r="L179" s="123" t="str">
        <f>IF('40_Estudio_Empresas'!M177="","",'40_Estudio_Empresas'!M177)</f>
        <v/>
      </c>
      <c r="M179" s="98" t="str">
        <f>IF('40_Estudio_Empresas'!W177="","",'40_Estudio_Empresas'!W177)</f>
        <v/>
      </c>
      <c r="N179" s="98" t="str">
        <f t="shared" si="23"/>
        <v/>
      </c>
    </row>
    <row r="180" spans="1:14">
      <c r="A180" s="98" t="str">
        <f>IF('40_Estudio_Empresas'!A178="","",'40_Estudio_Empresas'!A178)</f>
        <v/>
      </c>
      <c r="B180" s="122" t="str">
        <f>IF('40_Estudio_Empresas'!B178="","",'40_Estudio_Empresas'!B178)</f>
        <v/>
      </c>
      <c r="C180" s="98" t="str">
        <f>IF('40_Estudio_Empresas'!C178="","",'40_Estudio_Empresas'!C178)</f>
        <v/>
      </c>
      <c r="D180" s="98" t="str">
        <f>IF('40_Estudio_Empresas'!E178="","",'40_Estudio_Empresas'!E178)</f>
        <v/>
      </c>
      <c r="E180" s="98" t="str">
        <f>IF('40_Estudio_Empresas'!F178="","",'40_Estudio_Empresas'!F178)</f>
        <v/>
      </c>
      <c r="F180" s="98" t="str">
        <f>IF('40_Estudio_Empresas'!U178="","",'40_Estudio_Empresas'!U178)</f>
        <v/>
      </c>
      <c r="G180" s="98" t="str">
        <f t="shared" si="20"/>
        <v/>
      </c>
      <c r="H180" s="98" t="str">
        <f>IF('40_Estudio_Empresas'!V178="","",'40_Estudio_Empresas'!V178)</f>
        <v/>
      </c>
      <c r="I180" s="98" t="str">
        <f t="shared" si="21"/>
        <v/>
      </c>
      <c r="J180" s="98" t="str">
        <f t="shared" si="22"/>
        <v/>
      </c>
      <c r="K180" s="98" t="str">
        <f>IF('40_Estudio_Empresas'!R178="","",'40_Estudio_Empresas'!R178)</f>
        <v/>
      </c>
      <c r="L180" s="123" t="str">
        <f>IF('40_Estudio_Empresas'!M178="","",'40_Estudio_Empresas'!M178)</f>
        <v/>
      </c>
      <c r="M180" s="98" t="str">
        <f>IF('40_Estudio_Empresas'!W178="","",'40_Estudio_Empresas'!W178)</f>
        <v/>
      </c>
      <c r="N180" s="98" t="str">
        <f t="shared" si="23"/>
        <v/>
      </c>
    </row>
    <row r="181" spans="1:14">
      <c r="A181" s="98" t="str">
        <f>IF('40_Estudio_Empresas'!A179="","",'40_Estudio_Empresas'!A179)</f>
        <v/>
      </c>
      <c r="B181" s="122" t="str">
        <f>IF('40_Estudio_Empresas'!B179="","",'40_Estudio_Empresas'!B179)</f>
        <v/>
      </c>
      <c r="C181" s="98" t="str">
        <f>IF('40_Estudio_Empresas'!C179="","",'40_Estudio_Empresas'!C179)</f>
        <v/>
      </c>
      <c r="D181" s="98" t="str">
        <f>IF('40_Estudio_Empresas'!E179="","",'40_Estudio_Empresas'!E179)</f>
        <v/>
      </c>
      <c r="E181" s="98" t="str">
        <f>IF('40_Estudio_Empresas'!F179="","",'40_Estudio_Empresas'!F179)</f>
        <v/>
      </c>
      <c r="F181" s="98" t="str">
        <f>IF('40_Estudio_Empresas'!U179="","",'40_Estudio_Empresas'!U179)</f>
        <v/>
      </c>
      <c r="G181" s="98" t="str">
        <f t="shared" si="20"/>
        <v/>
      </c>
      <c r="H181" s="98" t="str">
        <f>IF('40_Estudio_Empresas'!V179="","",'40_Estudio_Empresas'!V179)</f>
        <v/>
      </c>
      <c r="I181" s="98" t="str">
        <f t="shared" si="21"/>
        <v/>
      </c>
      <c r="J181" s="98" t="str">
        <f t="shared" si="22"/>
        <v/>
      </c>
      <c r="K181" s="98" t="str">
        <f>IF('40_Estudio_Empresas'!R179="","",'40_Estudio_Empresas'!R179)</f>
        <v/>
      </c>
      <c r="L181" s="123" t="str">
        <f>IF('40_Estudio_Empresas'!M179="","",'40_Estudio_Empresas'!M179)</f>
        <v/>
      </c>
      <c r="M181" s="98" t="str">
        <f>IF('40_Estudio_Empresas'!W179="","",'40_Estudio_Empresas'!W179)</f>
        <v/>
      </c>
      <c r="N181" s="98" t="str">
        <f t="shared" si="23"/>
        <v/>
      </c>
    </row>
    <row r="182" spans="1:14">
      <c r="A182" s="98" t="str">
        <f>IF('40_Estudio_Empresas'!A180="","",'40_Estudio_Empresas'!A180)</f>
        <v/>
      </c>
      <c r="B182" s="122" t="str">
        <f>IF('40_Estudio_Empresas'!B180="","",'40_Estudio_Empresas'!B180)</f>
        <v/>
      </c>
      <c r="C182" s="98" t="str">
        <f>IF('40_Estudio_Empresas'!C180="","",'40_Estudio_Empresas'!C180)</f>
        <v/>
      </c>
      <c r="D182" s="98" t="str">
        <f>IF('40_Estudio_Empresas'!E180="","",'40_Estudio_Empresas'!E180)</f>
        <v/>
      </c>
      <c r="E182" s="98" t="str">
        <f>IF('40_Estudio_Empresas'!F180="","",'40_Estudio_Empresas'!F180)</f>
        <v/>
      </c>
      <c r="F182" s="98" t="str">
        <f>IF('40_Estudio_Empresas'!U180="","",'40_Estudio_Empresas'!U180)</f>
        <v/>
      </c>
      <c r="G182" s="98" t="str">
        <f t="shared" si="20"/>
        <v/>
      </c>
      <c r="H182" s="98" t="str">
        <f>IF('40_Estudio_Empresas'!V180="","",'40_Estudio_Empresas'!V180)</f>
        <v/>
      </c>
      <c r="I182" s="98" t="str">
        <f t="shared" si="21"/>
        <v/>
      </c>
      <c r="J182" s="98" t="str">
        <f t="shared" si="22"/>
        <v/>
      </c>
      <c r="K182" s="98" t="str">
        <f>IF('40_Estudio_Empresas'!R180="","",'40_Estudio_Empresas'!R180)</f>
        <v/>
      </c>
      <c r="L182" s="123" t="str">
        <f>IF('40_Estudio_Empresas'!M180="","",'40_Estudio_Empresas'!M180)</f>
        <v/>
      </c>
      <c r="M182" s="98" t="str">
        <f>IF('40_Estudio_Empresas'!W180="","",'40_Estudio_Empresas'!W180)</f>
        <v/>
      </c>
      <c r="N182" s="98" t="str">
        <f t="shared" si="23"/>
        <v/>
      </c>
    </row>
    <row r="183" spans="1:14">
      <c r="A183" s="98" t="str">
        <f>IF('40_Estudio_Empresas'!A181="","",'40_Estudio_Empresas'!A181)</f>
        <v/>
      </c>
      <c r="B183" s="122" t="str">
        <f>IF('40_Estudio_Empresas'!B181="","",'40_Estudio_Empresas'!B181)</f>
        <v/>
      </c>
      <c r="C183" s="98" t="str">
        <f>IF('40_Estudio_Empresas'!C181="","",'40_Estudio_Empresas'!C181)</f>
        <v/>
      </c>
      <c r="D183" s="98" t="str">
        <f>IF('40_Estudio_Empresas'!E181="","",'40_Estudio_Empresas'!E181)</f>
        <v/>
      </c>
      <c r="E183" s="98" t="str">
        <f>IF('40_Estudio_Empresas'!F181="","",'40_Estudio_Empresas'!F181)</f>
        <v/>
      </c>
      <c r="F183" s="98" t="str">
        <f>IF('40_Estudio_Empresas'!U181="","",'40_Estudio_Empresas'!U181)</f>
        <v/>
      </c>
      <c r="G183" s="98" t="str">
        <f t="shared" si="20"/>
        <v/>
      </c>
      <c r="H183" s="98" t="str">
        <f>IF('40_Estudio_Empresas'!V181="","",'40_Estudio_Empresas'!V181)</f>
        <v/>
      </c>
      <c r="I183" s="98" t="str">
        <f t="shared" si="21"/>
        <v/>
      </c>
      <c r="J183" s="98" t="str">
        <f t="shared" si="22"/>
        <v/>
      </c>
      <c r="K183" s="98" t="str">
        <f>IF('40_Estudio_Empresas'!R181="","",'40_Estudio_Empresas'!R181)</f>
        <v/>
      </c>
      <c r="L183" s="123" t="str">
        <f>IF('40_Estudio_Empresas'!M181="","",'40_Estudio_Empresas'!M181)</f>
        <v/>
      </c>
      <c r="M183" s="98" t="str">
        <f>IF('40_Estudio_Empresas'!W181="","",'40_Estudio_Empresas'!W181)</f>
        <v/>
      </c>
      <c r="N183" s="98" t="str">
        <f t="shared" si="23"/>
        <v/>
      </c>
    </row>
    <row r="184" spans="1:14">
      <c r="A184" s="98" t="str">
        <f>IF('40_Estudio_Empresas'!A182="","",'40_Estudio_Empresas'!A182)</f>
        <v/>
      </c>
      <c r="B184" s="122" t="str">
        <f>IF('40_Estudio_Empresas'!B182="","",'40_Estudio_Empresas'!B182)</f>
        <v/>
      </c>
      <c r="C184" s="98" t="str">
        <f>IF('40_Estudio_Empresas'!C182="","",'40_Estudio_Empresas'!C182)</f>
        <v/>
      </c>
      <c r="D184" s="98" t="str">
        <f>IF('40_Estudio_Empresas'!E182="","",'40_Estudio_Empresas'!E182)</f>
        <v/>
      </c>
      <c r="E184" s="98" t="str">
        <f>IF('40_Estudio_Empresas'!F182="","",'40_Estudio_Empresas'!F182)</f>
        <v/>
      </c>
      <c r="F184" s="98" t="str">
        <f>IF('40_Estudio_Empresas'!U182="","",'40_Estudio_Empresas'!U182)</f>
        <v/>
      </c>
      <c r="G184" s="98" t="str">
        <f t="shared" si="20"/>
        <v/>
      </c>
      <c r="H184" s="98" t="str">
        <f>IF('40_Estudio_Empresas'!V182="","",'40_Estudio_Empresas'!V182)</f>
        <v/>
      </c>
      <c r="I184" s="98" t="str">
        <f t="shared" si="21"/>
        <v/>
      </c>
      <c r="J184" s="98" t="str">
        <f t="shared" si="22"/>
        <v/>
      </c>
      <c r="K184" s="98" t="str">
        <f>IF('40_Estudio_Empresas'!R182="","",'40_Estudio_Empresas'!R182)</f>
        <v/>
      </c>
      <c r="L184" s="123" t="str">
        <f>IF('40_Estudio_Empresas'!M182="","",'40_Estudio_Empresas'!M182)</f>
        <v/>
      </c>
      <c r="M184" s="98" t="str">
        <f>IF('40_Estudio_Empresas'!W182="","",'40_Estudio_Empresas'!W182)</f>
        <v/>
      </c>
      <c r="N184" s="98" t="str">
        <f t="shared" si="23"/>
        <v/>
      </c>
    </row>
    <row r="185" spans="1:14">
      <c r="A185" s="98" t="str">
        <f>IF('40_Estudio_Empresas'!A183="","",'40_Estudio_Empresas'!A183)</f>
        <v/>
      </c>
      <c r="B185" s="122" t="str">
        <f>IF('40_Estudio_Empresas'!B183="","",'40_Estudio_Empresas'!B183)</f>
        <v/>
      </c>
      <c r="C185" s="98" t="str">
        <f>IF('40_Estudio_Empresas'!C183="","",'40_Estudio_Empresas'!C183)</f>
        <v/>
      </c>
      <c r="D185" s="98" t="str">
        <f>IF('40_Estudio_Empresas'!E183="","",'40_Estudio_Empresas'!E183)</f>
        <v/>
      </c>
      <c r="E185" s="98" t="str">
        <f>IF('40_Estudio_Empresas'!F183="","",'40_Estudio_Empresas'!F183)</f>
        <v/>
      </c>
      <c r="F185" s="98" t="str">
        <f>IF('40_Estudio_Empresas'!U183="","",'40_Estudio_Empresas'!U183)</f>
        <v/>
      </c>
      <c r="G185" s="98" t="str">
        <f t="shared" si="20"/>
        <v/>
      </c>
      <c r="H185" s="98" t="str">
        <f>IF('40_Estudio_Empresas'!V183="","",'40_Estudio_Empresas'!V183)</f>
        <v/>
      </c>
      <c r="I185" s="98" t="str">
        <f t="shared" si="21"/>
        <v/>
      </c>
      <c r="J185" s="98" t="str">
        <f t="shared" si="22"/>
        <v/>
      </c>
      <c r="K185" s="98" t="str">
        <f>IF('40_Estudio_Empresas'!R183="","",'40_Estudio_Empresas'!R183)</f>
        <v/>
      </c>
      <c r="L185" s="123" t="str">
        <f>IF('40_Estudio_Empresas'!M183="","",'40_Estudio_Empresas'!M183)</f>
        <v/>
      </c>
      <c r="M185" s="98" t="str">
        <f>IF('40_Estudio_Empresas'!W183="","",'40_Estudio_Empresas'!W183)</f>
        <v/>
      </c>
      <c r="N185" s="98" t="str">
        <f t="shared" si="23"/>
        <v/>
      </c>
    </row>
    <row r="186" spans="1:14">
      <c r="A186" s="98" t="str">
        <f>IF('40_Estudio_Empresas'!A184="","",'40_Estudio_Empresas'!A184)</f>
        <v/>
      </c>
      <c r="B186" s="122" t="str">
        <f>IF('40_Estudio_Empresas'!B184="","",'40_Estudio_Empresas'!B184)</f>
        <v/>
      </c>
      <c r="C186" s="98" t="str">
        <f>IF('40_Estudio_Empresas'!C184="","",'40_Estudio_Empresas'!C184)</f>
        <v/>
      </c>
      <c r="D186" s="98" t="str">
        <f>IF('40_Estudio_Empresas'!E184="","",'40_Estudio_Empresas'!E184)</f>
        <v/>
      </c>
      <c r="E186" s="98" t="str">
        <f>IF('40_Estudio_Empresas'!F184="","",'40_Estudio_Empresas'!F184)</f>
        <v/>
      </c>
      <c r="F186" s="98" t="str">
        <f>IF('40_Estudio_Empresas'!U184="","",'40_Estudio_Empresas'!U184)</f>
        <v/>
      </c>
      <c r="G186" s="98" t="str">
        <f t="shared" si="20"/>
        <v/>
      </c>
      <c r="H186" s="98" t="str">
        <f>IF('40_Estudio_Empresas'!V184="","",'40_Estudio_Empresas'!V184)</f>
        <v/>
      </c>
      <c r="I186" s="98" t="str">
        <f t="shared" si="21"/>
        <v/>
      </c>
      <c r="J186" s="98" t="str">
        <f t="shared" si="22"/>
        <v/>
      </c>
      <c r="K186" s="98" t="str">
        <f>IF('40_Estudio_Empresas'!R184="","",'40_Estudio_Empresas'!R184)</f>
        <v/>
      </c>
      <c r="L186" s="123" t="str">
        <f>IF('40_Estudio_Empresas'!M184="","",'40_Estudio_Empresas'!M184)</f>
        <v/>
      </c>
      <c r="M186" s="98" t="str">
        <f>IF('40_Estudio_Empresas'!W184="","",'40_Estudio_Empresas'!W184)</f>
        <v/>
      </c>
      <c r="N186" s="98" t="str">
        <f t="shared" si="23"/>
        <v/>
      </c>
    </row>
    <row r="187" spans="1:14">
      <c r="A187" s="98" t="str">
        <f>IF('40_Estudio_Empresas'!A185="","",'40_Estudio_Empresas'!A185)</f>
        <v/>
      </c>
      <c r="B187" s="122" t="str">
        <f>IF('40_Estudio_Empresas'!B185="","",'40_Estudio_Empresas'!B185)</f>
        <v/>
      </c>
      <c r="C187" s="98" t="str">
        <f>IF('40_Estudio_Empresas'!C185="","",'40_Estudio_Empresas'!C185)</f>
        <v/>
      </c>
      <c r="D187" s="98" t="str">
        <f>IF('40_Estudio_Empresas'!E185="","",'40_Estudio_Empresas'!E185)</f>
        <v/>
      </c>
      <c r="E187" s="98" t="str">
        <f>IF('40_Estudio_Empresas'!F185="","",'40_Estudio_Empresas'!F185)</f>
        <v/>
      </c>
      <c r="F187" s="98" t="str">
        <f>IF('40_Estudio_Empresas'!U185="","",'40_Estudio_Empresas'!U185)</f>
        <v/>
      </c>
      <c r="G187" s="98" t="str">
        <f t="shared" si="20"/>
        <v/>
      </c>
      <c r="H187" s="98" t="str">
        <f>IF('40_Estudio_Empresas'!V185="","",'40_Estudio_Empresas'!V185)</f>
        <v/>
      </c>
      <c r="I187" s="98" t="str">
        <f t="shared" si="21"/>
        <v/>
      </c>
      <c r="J187" s="98" t="str">
        <f t="shared" si="22"/>
        <v/>
      </c>
      <c r="K187" s="98" t="str">
        <f>IF('40_Estudio_Empresas'!R185="","",'40_Estudio_Empresas'!R185)</f>
        <v/>
      </c>
      <c r="L187" s="123" t="str">
        <f>IF('40_Estudio_Empresas'!M185="","",'40_Estudio_Empresas'!M185)</f>
        <v/>
      </c>
      <c r="M187" s="98" t="str">
        <f>IF('40_Estudio_Empresas'!W185="","",'40_Estudio_Empresas'!W185)</f>
        <v/>
      </c>
      <c r="N187" s="98" t="str">
        <f t="shared" si="23"/>
        <v/>
      </c>
    </row>
    <row r="188" spans="1:14">
      <c r="A188" s="98" t="str">
        <f>IF('40_Estudio_Empresas'!A186="","",'40_Estudio_Empresas'!A186)</f>
        <v/>
      </c>
      <c r="B188" s="122" t="str">
        <f>IF('40_Estudio_Empresas'!B186="","",'40_Estudio_Empresas'!B186)</f>
        <v/>
      </c>
      <c r="C188" s="98" t="str">
        <f>IF('40_Estudio_Empresas'!C186="","",'40_Estudio_Empresas'!C186)</f>
        <v/>
      </c>
      <c r="D188" s="98" t="str">
        <f>IF('40_Estudio_Empresas'!E186="","",'40_Estudio_Empresas'!E186)</f>
        <v/>
      </c>
      <c r="E188" s="98" t="str">
        <f>IF('40_Estudio_Empresas'!F186="","",'40_Estudio_Empresas'!F186)</f>
        <v/>
      </c>
      <c r="F188" s="98" t="str">
        <f>IF('40_Estudio_Empresas'!U186="","",'40_Estudio_Empresas'!U186)</f>
        <v/>
      </c>
      <c r="G188" s="98" t="str">
        <f t="shared" si="20"/>
        <v/>
      </c>
      <c r="H188" s="98" t="str">
        <f>IF('40_Estudio_Empresas'!V186="","",'40_Estudio_Empresas'!V186)</f>
        <v/>
      </c>
      <c r="I188" s="98" t="str">
        <f t="shared" si="21"/>
        <v/>
      </c>
      <c r="J188" s="98" t="str">
        <f t="shared" si="22"/>
        <v/>
      </c>
      <c r="K188" s="98" t="str">
        <f>IF('40_Estudio_Empresas'!R186="","",'40_Estudio_Empresas'!R186)</f>
        <v/>
      </c>
      <c r="L188" s="123" t="str">
        <f>IF('40_Estudio_Empresas'!M186="","",'40_Estudio_Empresas'!M186)</f>
        <v/>
      </c>
      <c r="M188" s="98" t="str">
        <f>IF('40_Estudio_Empresas'!W186="","",'40_Estudio_Empresas'!W186)</f>
        <v/>
      </c>
      <c r="N188" s="98" t="str">
        <f t="shared" si="23"/>
        <v/>
      </c>
    </row>
    <row r="189" spans="1:14">
      <c r="A189" s="98" t="str">
        <f>IF('40_Estudio_Empresas'!A187="","",'40_Estudio_Empresas'!A187)</f>
        <v/>
      </c>
      <c r="B189" s="122" t="str">
        <f>IF('40_Estudio_Empresas'!B187="","",'40_Estudio_Empresas'!B187)</f>
        <v/>
      </c>
      <c r="C189" s="98" t="str">
        <f>IF('40_Estudio_Empresas'!C187="","",'40_Estudio_Empresas'!C187)</f>
        <v/>
      </c>
      <c r="D189" s="98" t="str">
        <f>IF('40_Estudio_Empresas'!E187="","",'40_Estudio_Empresas'!E187)</f>
        <v/>
      </c>
      <c r="E189" s="98" t="str">
        <f>IF('40_Estudio_Empresas'!F187="","",'40_Estudio_Empresas'!F187)</f>
        <v/>
      </c>
      <c r="F189" s="98" t="str">
        <f>IF('40_Estudio_Empresas'!U187="","",'40_Estudio_Empresas'!U187)</f>
        <v/>
      </c>
      <c r="G189" s="98" t="str">
        <f t="shared" si="20"/>
        <v/>
      </c>
      <c r="H189" s="98" t="str">
        <f>IF('40_Estudio_Empresas'!V187="","",'40_Estudio_Empresas'!V187)</f>
        <v/>
      </c>
      <c r="I189" s="98" t="str">
        <f t="shared" si="21"/>
        <v/>
      </c>
      <c r="J189" s="98" t="str">
        <f t="shared" si="22"/>
        <v/>
      </c>
      <c r="K189" s="98" t="str">
        <f>IF('40_Estudio_Empresas'!R187="","",'40_Estudio_Empresas'!R187)</f>
        <v/>
      </c>
      <c r="L189" s="123" t="str">
        <f>IF('40_Estudio_Empresas'!M187="","",'40_Estudio_Empresas'!M187)</f>
        <v/>
      </c>
      <c r="M189" s="98" t="str">
        <f>IF('40_Estudio_Empresas'!W187="","",'40_Estudio_Empresas'!W187)</f>
        <v/>
      </c>
      <c r="N189" s="98" t="str">
        <f t="shared" si="23"/>
        <v/>
      </c>
    </row>
    <row r="190" spans="1:14">
      <c r="A190" s="98" t="str">
        <f>IF('40_Estudio_Empresas'!A188="","",'40_Estudio_Empresas'!A188)</f>
        <v/>
      </c>
      <c r="B190" s="122" t="str">
        <f>IF('40_Estudio_Empresas'!B188="","",'40_Estudio_Empresas'!B188)</f>
        <v/>
      </c>
      <c r="C190" s="98" t="str">
        <f>IF('40_Estudio_Empresas'!C188="","",'40_Estudio_Empresas'!C188)</f>
        <v/>
      </c>
      <c r="D190" s="98" t="str">
        <f>IF('40_Estudio_Empresas'!E188="","",'40_Estudio_Empresas'!E188)</f>
        <v/>
      </c>
      <c r="E190" s="98" t="str">
        <f>IF('40_Estudio_Empresas'!F188="","",'40_Estudio_Empresas'!F188)</f>
        <v/>
      </c>
      <c r="F190" s="98" t="str">
        <f>IF('40_Estudio_Empresas'!U188="","",'40_Estudio_Empresas'!U188)</f>
        <v/>
      </c>
      <c r="G190" s="98" t="str">
        <f t="shared" si="20"/>
        <v/>
      </c>
      <c r="H190" s="98" t="str">
        <f>IF('40_Estudio_Empresas'!V188="","",'40_Estudio_Empresas'!V188)</f>
        <v/>
      </c>
      <c r="I190" s="98" t="str">
        <f t="shared" si="21"/>
        <v/>
      </c>
      <c r="J190" s="98" t="str">
        <f t="shared" si="22"/>
        <v/>
      </c>
      <c r="K190" s="98" t="str">
        <f>IF('40_Estudio_Empresas'!R188="","",'40_Estudio_Empresas'!R188)</f>
        <v/>
      </c>
      <c r="L190" s="123" t="str">
        <f>IF('40_Estudio_Empresas'!M188="","",'40_Estudio_Empresas'!M188)</f>
        <v/>
      </c>
      <c r="M190" s="98" t="str">
        <f>IF('40_Estudio_Empresas'!W188="","",'40_Estudio_Empresas'!W188)</f>
        <v/>
      </c>
      <c r="N190" s="98" t="str">
        <f t="shared" si="23"/>
        <v/>
      </c>
    </row>
    <row r="191" spans="1:14">
      <c r="A191" s="98" t="str">
        <f>IF('40_Estudio_Empresas'!A189="","",'40_Estudio_Empresas'!A189)</f>
        <v/>
      </c>
      <c r="B191" s="122" t="str">
        <f>IF('40_Estudio_Empresas'!B189="","",'40_Estudio_Empresas'!B189)</f>
        <v/>
      </c>
      <c r="C191" s="98" t="str">
        <f>IF('40_Estudio_Empresas'!C189="","",'40_Estudio_Empresas'!C189)</f>
        <v/>
      </c>
      <c r="D191" s="98" t="str">
        <f>IF('40_Estudio_Empresas'!E189="","",'40_Estudio_Empresas'!E189)</f>
        <v/>
      </c>
      <c r="E191" s="98" t="str">
        <f>IF('40_Estudio_Empresas'!F189="","",'40_Estudio_Empresas'!F189)</f>
        <v/>
      </c>
      <c r="F191" s="98" t="str">
        <f>IF('40_Estudio_Empresas'!U189="","",'40_Estudio_Empresas'!U189)</f>
        <v/>
      </c>
      <c r="G191" s="98" t="str">
        <f t="shared" si="20"/>
        <v/>
      </c>
      <c r="H191" s="98" t="str">
        <f>IF('40_Estudio_Empresas'!V189="","",'40_Estudio_Empresas'!V189)</f>
        <v/>
      </c>
      <c r="I191" s="98" t="str">
        <f t="shared" si="21"/>
        <v/>
      </c>
      <c r="J191" s="98" t="str">
        <f t="shared" si="22"/>
        <v/>
      </c>
      <c r="K191" s="98" t="str">
        <f>IF('40_Estudio_Empresas'!R189="","",'40_Estudio_Empresas'!R189)</f>
        <v/>
      </c>
      <c r="L191" s="123" t="str">
        <f>IF('40_Estudio_Empresas'!M189="","",'40_Estudio_Empresas'!M189)</f>
        <v/>
      </c>
      <c r="M191" s="98" t="str">
        <f>IF('40_Estudio_Empresas'!W189="","",'40_Estudio_Empresas'!W189)</f>
        <v/>
      </c>
      <c r="N191" s="98" t="str">
        <f t="shared" si="23"/>
        <v/>
      </c>
    </row>
    <row r="192" spans="1:14">
      <c r="A192" s="98" t="str">
        <f>IF('40_Estudio_Empresas'!A190="","",'40_Estudio_Empresas'!A190)</f>
        <v/>
      </c>
      <c r="B192" s="122" t="str">
        <f>IF('40_Estudio_Empresas'!B190="","",'40_Estudio_Empresas'!B190)</f>
        <v/>
      </c>
      <c r="C192" s="98" t="str">
        <f>IF('40_Estudio_Empresas'!C190="","",'40_Estudio_Empresas'!C190)</f>
        <v/>
      </c>
      <c r="D192" s="98" t="str">
        <f>IF('40_Estudio_Empresas'!E190="","",'40_Estudio_Empresas'!E190)</f>
        <v/>
      </c>
      <c r="E192" s="98" t="str">
        <f>IF('40_Estudio_Empresas'!F190="","",'40_Estudio_Empresas'!F190)</f>
        <v/>
      </c>
      <c r="F192" s="98" t="str">
        <f>IF('40_Estudio_Empresas'!U190="","",'40_Estudio_Empresas'!U190)</f>
        <v/>
      </c>
      <c r="G192" s="98" t="str">
        <f t="shared" si="20"/>
        <v/>
      </c>
      <c r="H192" s="98" t="str">
        <f>IF('40_Estudio_Empresas'!V190="","",'40_Estudio_Empresas'!V190)</f>
        <v/>
      </c>
      <c r="I192" s="98" t="str">
        <f t="shared" si="21"/>
        <v/>
      </c>
      <c r="J192" s="98" t="str">
        <f t="shared" si="22"/>
        <v/>
      </c>
      <c r="K192" s="98" t="str">
        <f>IF('40_Estudio_Empresas'!R190="","",'40_Estudio_Empresas'!R190)</f>
        <v/>
      </c>
      <c r="L192" s="123" t="str">
        <f>IF('40_Estudio_Empresas'!M190="","",'40_Estudio_Empresas'!M190)</f>
        <v/>
      </c>
      <c r="M192" s="98" t="str">
        <f>IF('40_Estudio_Empresas'!W190="","",'40_Estudio_Empresas'!W190)</f>
        <v/>
      </c>
      <c r="N192" s="98" t="str">
        <f t="shared" si="23"/>
        <v/>
      </c>
    </row>
    <row r="193" spans="1:14">
      <c r="A193" s="98" t="str">
        <f>IF('40_Estudio_Empresas'!A191="","",'40_Estudio_Empresas'!A191)</f>
        <v/>
      </c>
      <c r="B193" s="122" t="str">
        <f>IF('40_Estudio_Empresas'!B191="","",'40_Estudio_Empresas'!B191)</f>
        <v/>
      </c>
      <c r="C193" s="98" t="str">
        <f>IF('40_Estudio_Empresas'!C191="","",'40_Estudio_Empresas'!C191)</f>
        <v/>
      </c>
      <c r="D193" s="98" t="str">
        <f>IF('40_Estudio_Empresas'!E191="","",'40_Estudio_Empresas'!E191)</f>
        <v/>
      </c>
      <c r="E193" s="98" t="str">
        <f>IF('40_Estudio_Empresas'!F191="","",'40_Estudio_Empresas'!F191)</f>
        <v/>
      </c>
      <c r="F193" s="98" t="str">
        <f>IF('40_Estudio_Empresas'!U191="","",'40_Estudio_Empresas'!U191)</f>
        <v/>
      </c>
      <c r="G193" s="98" t="str">
        <f t="shared" si="20"/>
        <v/>
      </c>
      <c r="H193" s="98" t="str">
        <f>IF('40_Estudio_Empresas'!V191="","",'40_Estudio_Empresas'!V191)</f>
        <v/>
      </c>
      <c r="I193" s="98" t="str">
        <f t="shared" si="21"/>
        <v/>
      </c>
      <c r="J193" s="98" t="str">
        <f t="shared" si="22"/>
        <v/>
      </c>
      <c r="K193" s="98" t="str">
        <f>IF('40_Estudio_Empresas'!R191="","",'40_Estudio_Empresas'!R191)</f>
        <v/>
      </c>
      <c r="L193" s="123" t="str">
        <f>IF('40_Estudio_Empresas'!M191="","",'40_Estudio_Empresas'!M191)</f>
        <v/>
      </c>
      <c r="M193" s="98" t="str">
        <f>IF('40_Estudio_Empresas'!W191="","",'40_Estudio_Empresas'!W191)</f>
        <v/>
      </c>
      <c r="N193" s="98" t="str">
        <f t="shared" si="23"/>
        <v/>
      </c>
    </row>
    <row r="194" spans="1:14">
      <c r="A194" s="98" t="str">
        <f>IF('40_Estudio_Empresas'!A192="","",'40_Estudio_Empresas'!A192)</f>
        <v/>
      </c>
      <c r="B194" s="122" t="str">
        <f>IF('40_Estudio_Empresas'!B192="","",'40_Estudio_Empresas'!B192)</f>
        <v/>
      </c>
      <c r="C194" s="98" t="str">
        <f>IF('40_Estudio_Empresas'!C192="","",'40_Estudio_Empresas'!C192)</f>
        <v/>
      </c>
      <c r="D194" s="98" t="str">
        <f>IF('40_Estudio_Empresas'!E192="","",'40_Estudio_Empresas'!E192)</f>
        <v/>
      </c>
      <c r="E194" s="98" t="str">
        <f>IF('40_Estudio_Empresas'!F192="","",'40_Estudio_Empresas'!F192)</f>
        <v/>
      </c>
      <c r="F194" s="98" t="str">
        <f>IF('40_Estudio_Empresas'!U192="","",'40_Estudio_Empresas'!U192)</f>
        <v/>
      </c>
      <c r="G194" s="98" t="str">
        <f t="shared" si="20"/>
        <v/>
      </c>
      <c r="H194" s="98" t="str">
        <f>IF('40_Estudio_Empresas'!V192="","",'40_Estudio_Empresas'!V192)</f>
        <v/>
      </c>
      <c r="I194" s="98" t="str">
        <f t="shared" si="21"/>
        <v/>
      </c>
      <c r="J194" s="98" t="str">
        <f t="shared" si="22"/>
        <v/>
      </c>
      <c r="K194" s="98" t="str">
        <f>IF('40_Estudio_Empresas'!R192="","",'40_Estudio_Empresas'!R192)</f>
        <v/>
      </c>
      <c r="L194" s="123" t="str">
        <f>IF('40_Estudio_Empresas'!M192="","",'40_Estudio_Empresas'!M192)</f>
        <v/>
      </c>
      <c r="M194" s="98" t="str">
        <f>IF('40_Estudio_Empresas'!W192="","",'40_Estudio_Empresas'!W192)</f>
        <v/>
      </c>
      <c r="N194" s="98" t="str">
        <f t="shared" si="23"/>
        <v/>
      </c>
    </row>
    <row r="195" spans="1:14">
      <c r="A195" s="98" t="str">
        <f>IF('40_Estudio_Empresas'!A193="","",'40_Estudio_Empresas'!A193)</f>
        <v/>
      </c>
      <c r="B195" s="122" t="str">
        <f>IF('40_Estudio_Empresas'!B193="","",'40_Estudio_Empresas'!B193)</f>
        <v/>
      </c>
      <c r="C195" s="98" t="str">
        <f>IF('40_Estudio_Empresas'!C193="","",'40_Estudio_Empresas'!C193)</f>
        <v/>
      </c>
      <c r="D195" s="98" t="str">
        <f>IF('40_Estudio_Empresas'!E193="","",'40_Estudio_Empresas'!E193)</f>
        <v/>
      </c>
      <c r="E195" s="98" t="str">
        <f>IF('40_Estudio_Empresas'!F193="","",'40_Estudio_Empresas'!F193)</f>
        <v/>
      </c>
      <c r="F195" s="98" t="str">
        <f>IF('40_Estudio_Empresas'!U193="","",'40_Estudio_Empresas'!U193)</f>
        <v/>
      </c>
      <c r="G195" s="98" t="str">
        <f t="shared" si="20"/>
        <v/>
      </c>
      <c r="H195" s="98" t="str">
        <f>IF('40_Estudio_Empresas'!V193="","",'40_Estudio_Empresas'!V193)</f>
        <v/>
      </c>
      <c r="I195" s="98" t="str">
        <f t="shared" si="21"/>
        <v/>
      </c>
      <c r="J195" s="98" t="str">
        <f t="shared" si="22"/>
        <v/>
      </c>
      <c r="K195" s="98" t="str">
        <f>IF('40_Estudio_Empresas'!R193="","",'40_Estudio_Empresas'!R193)</f>
        <v/>
      </c>
      <c r="L195" s="123" t="str">
        <f>IF('40_Estudio_Empresas'!M193="","",'40_Estudio_Empresas'!M193)</f>
        <v/>
      </c>
      <c r="M195" s="98" t="str">
        <f>IF('40_Estudio_Empresas'!W193="","",'40_Estudio_Empresas'!W193)</f>
        <v/>
      </c>
      <c r="N195" s="98" t="str">
        <f t="shared" si="23"/>
        <v/>
      </c>
    </row>
    <row r="196" spans="1:14">
      <c r="A196" s="98" t="str">
        <f>IF('40_Estudio_Empresas'!A194="","",'40_Estudio_Empresas'!A194)</f>
        <v/>
      </c>
      <c r="B196" s="122" t="str">
        <f>IF('40_Estudio_Empresas'!B194="","",'40_Estudio_Empresas'!B194)</f>
        <v/>
      </c>
      <c r="C196" s="98" t="str">
        <f>IF('40_Estudio_Empresas'!C194="","",'40_Estudio_Empresas'!C194)</f>
        <v/>
      </c>
      <c r="D196" s="98" t="str">
        <f>IF('40_Estudio_Empresas'!E194="","",'40_Estudio_Empresas'!E194)</f>
        <v/>
      </c>
      <c r="E196" s="98" t="str">
        <f>IF('40_Estudio_Empresas'!F194="","",'40_Estudio_Empresas'!F194)</f>
        <v/>
      </c>
      <c r="F196" s="98" t="str">
        <f>IF('40_Estudio_Empresas'!U194="","",'40_Estudio_Empresas'!U194)</f>
        <v/>
      </c>
      <c r="G196" s="98" t="str">
        <f t="shared" si="20"/>
        <v/>
      </c>
      <c r="H196" s="98" t="str">
        <f>IF('40_Estudio_Empresas'!V194="","",'40_Estudio_Empresas'!V194)</f>
        <v/>
      </c>
      <c r="I196" s="98" t="str">
        <f t="shared" si="21"/>
        <v/>
      </c>
      <c r="J196" s="98" t="str">
        <f t="shared" si="22"/>
        <v/>
      </c>
      <c r="K196" s="98" t="str">
        <f>IF('40_Estudio_Empresas'!R194="","",'40_Estudio_Empresas'!R194)</f>
        <v/>
      </c>
      <c r="L196" s="123" t="str">
        <f>IF('40_Estudio_Empresas'!M194="","",'40_Estudio_Empresas'!M194)</f>
        <v/>
      </c>
      <c r="M196" s="98" t="str">
        <f>IF('40_Estudio_Empresas'!W194="","",'40_Estudio_Empresas'!W194)</f>
        <v/>
      </c>
      <c r="N196" s="98" t="str">
        <f t="shared" si="23"/>
        <v/>
      </c>
    </row>
    <row r="197" spans="1:14">
      <c r="A197" s="98" t="str">
        <f>IF('40_Estudio_Empresas'!A195="","",'40_Estudio_Empresas'!A195)</f>
        <v/>
      </c>
      <c r="B197" s="122" t="str">
        <f>IF('40_Estudio_Empresas'!B195="","",'40_Estudio_Empresas'!B195)</f>
        <v/>
      </c>
      <c r="C197" s="98" t="str">
        <f>IF('40_Estudio_Empresas'!C195="","",'40_Estudio_Empresas'!C195)</f>
        <v/>
      </c>
      <c r="D197" s="98" t="str">
        <f>IF('40_Estudio_Empresas'!E195="","",'40_Estudio_Empresas'!E195)</f>
        <v/>
      </c>
      <c r="E197" s="98" t="str">
        <f>IF('40_Estudio_Empresas'!F195="","",'40_Estudio_Empresas'!F195)</f>
        <v/>
      </c>
      <c r="F197" s="98" t="str">
        <f>IF('40_Estudio_Empresas'!U195="","",'40_Estudio_Empresas'!U195)</f>
        <v/>
      </c>
      <c r="G197" s="98" t="str">
        <f t="shared" ref="G197:G204" si="24">IF(F197="","",IF(F197="A","A - Inmediata",IF(F197="B","B - Interesante",IF(F197="C","C - Observar",IF(F197="X","X - Descartar","Revisar")))))</f>
        <v/>
      </c>
      <c r="H197" s="98" t="str">
        <f>IF('40_Estudio_Empresas'!V195="","",'40_Estudio_Empresas'!V195)</f>
        <v/>
      </c>
      <c r="I197" s="98" t="str">
        <f t="shared" ref="I197:I204" si="25">IF(F197="","",IF(F197="A","32_Oportunidades + 33_Seguimientos + 30_CRM",IF(F197="B","32_Oportunidades + 33_Seguimientos",IF(F197="C","Mantener en observación",IF(F197="X","Descartar / archivo","Revisar")))))</f>
        <v/>
      </c>
      <c r="J197" s="98" t="str">
        <f t="shared" ref="J197:J204" si="26">IF(F197="","",IF(F197="A","Alta",IF(F197="B","Media",IF(F197="C","Baja","Descartar"))))</f>
        <v/>
      </c>
      <c r="K197" s="98" t="str">
        <f>IF('40_Estudio_Empresas'!R195="","",'40_Estudio_Empresas'!R195)</f>
        <v/>
      </c>
      <c r="L197" s="123" t="str">
        <f>IF('40_Estudio_Empresas'!M195="","",'40_Estudio_Empresas'!M195)</f>
        <v/>
      </c>
      <c r="M197" s="98" t="str">
        <f>IF('40_Estudio_Empresas'!W195="","",'40_Estudio_Empresas'!W195)</f>
        <v/>
      </c>
      <c r="N197" s="98" t="str">
        <f t="shared" ref="N197:N204" si="27">IF(F197="","",IF(OR(F197="A",F197="B"),"🟢 Activa",IF(F197="C","🟡 Observar","🔴 Descartar")))</f>
        <v/>
      </c>
    </row>
    <row r="198" spans="1:14">
      <c r="A198" s="98" t="str">
        <f>IF('40_Estudio_Empresas'!A196="","",'40_Estudio_Empresas'!A196)</f>
        <v/>
      </c>
      <c r="B198" s="122" t="str">
        <f>IF('40_Estudio_Empresas'!B196="","",'40_Estudio_Empresas'!B196)</f>
        <v/>
      </c>
      <c r="C198" s="98" t="str">
        <f>IF('40_Estudio_Empresas'!C196="","",'40_Estudio_Empresas'!C196)</f>
        <v/>
      </c>
      <c r="D198" s="98" t="str">
        <f>IF('40_Estudio_Empresas'!E196="","",'40_Estudio_Empresas'!E196)</f>
        <v/>
      </c>
      <c r="E198" s="98" t="str">
        <f>IF('40_Estudio_Empresas'!F196="","",'40_Estudio_Empresas'!F196)</f>
        <v/>
      </c>
      <c r="F198" s="98" t="str">
        <f>IF('40_Estudio_Empresas'!U196="","",'40_Estudio_Empresas'!U196)</f>
        <v/>
      </c>
      <c r="G198" s="98" t="str">
        <f t="shared" si="24"/>
        <v/>
      </c>
      <c r="H198" s="98" t="str">
        <f>IF('40_Estudio_Empresas'!V196="","",'40_Estudio_Empresas'!V196)</f>
        <v/>
      </c>
      <c r="I198" s="98" t="str">
        <f t="shared" si="25"/>
        <v/>
      </c>
      <c r="J198" s="98" t="str">
        <f t="shared" si="26"/>
        <v/>
      </c>
      <c r="K198" s="98" t="str">
        <f>IF('40_Estudio_Empresas'!R196="","",'40_Estudio_Empresas'!R196)</f>
        <v/>
      </c>
      <c r="L198" s="123" t="str">
        <f>IF('40_Estudio_Empresas'!M196="","",'40_Estudio_Empresas'!M196)</f>
        <v/>
      </c>
      <c r="M198" s="98" t="str">
        <f>IF('40_Estudio_Empresas'!W196="","",'40_Estudio_Empresas'!W196)</f>
        <v/>
      </c>
      <c r="N198" s="98" t="str">
        <f t="shared" si="27"/>
        <v/>
      </c>
    </row>
    <row r="199" spans="1:14">
      <c r="A199" s="98" t="str">
        <f>IF('40_Estudio_Empresas'!A197="","",'40_Estudio_Empresas'!A197)</f>
        <v/>
      </c>
      <c r="B199" s="122" t="str">
        <f>IF('40_Estudio_Empresas'!B197="","",'40_Estudio_Empresas'!B197)</f>
        <v/>
      </c>
      <c r="C199" s="98" t="str">
        <f>IF('40_Estudio_Empresas'!C197="","",'40_Estudio_Empresas'!C197)</f>
        <v/>
      </c>
      <c r="D199" s="98" t="str">
        <f>IF('40_Estudio_Empresas'!E197="","",'40_Estudio_Empresas'!E197)</f>
        <v/>
      </c>
      <c r="E199" s="98" t="str">
        <f>IF('40_Estudio_Empresas'!F197="","",'40_Estudio_Empresas'!F197)</f>
        <v/>
      </c>
      <c r="F199" s="98" t="str">
        <f>IF('40_Estudio_Empresas'!U197="","",'40_Estudio_Empresas'!U197)</f>
        <v/>
      </c>
      <c r="G199" s="98" t="str">
        <f t="shared" si="24"/>
        <v/>
      </c>
      <c r="H199" s="98" t="str">
        <f>IF('40_Estudio_Empresas'!V197="","",'40_Estudio_Empresas'!V197)</f>
        <v/>
      </c>
      <c r="I199" s="98" t="str">
        <f t="shared" si="25"/>
        <v/>
      </c>
      <c r="J199" s="98" t="str">
        <f t="shared" si="26"/>
        <v/>
      </c>
      <c r="K199" s="98" t="str">
        <f>IF('40_Estudio_Empresas'!R197="","",'40_Estudio_Empresas'!R197)</f>
        <v/>
      </c>
      <c r="L199" s="123" t="str">
        <f>IF('40_Estudio_Empresas'!M197="","",'40_Estudio_Empresas'!M197)</f>
        <v/>
      </c>
      <c r="M199" s="98" t="str">
        <f>IF('40_Estudio_Empresas'!W197="","",'40_Estudio_Empresas'!W197)</f>
        <v/>
      </c>
      <c r="N199" s="98" t="str">
        <f t="shared" si="27"/>
        <v/>
      </c>
    </row>
    <row r="200" spans="1:14">
      <c r="A200" s="98" t="str">
        <f>IF('40_Estudio_Empresas'!A198="","",'40_Estudio_Empresas'!A198)</f>
        <v/>
      </c>
      <c r="B200" s="122" t="str">
        <f>IF('40_Estudio_Empresas'!B198="","",'40_Estudio_Empresas'!B198)</f>
        <v/>
      </c>
      <c r="C200" s="98" t="str">
        <f>IF('40_Estudio_Empresas'!C198="","",'40_Estudio_Empresas'!C198)</f>
        <v/>
      </c>
      <c r="D200" s="98" t="str">
        <f>IF('40_Estudio_Empresas'!E198="","",'40_Estudio_Empresas'!E198)</f>
        <v/>
      </c>
      <c r="E200" s="98" t="str">
        <f>IF('40_Estudio_Empresas'!F198="","",'40_Estudio_Empresas'!F198)</f>
        <v/>
      </c>
      <c r="F200" s="98" t="str">
        <f>IF('40_Estudio_Empresas'!U198="","",'40_Estudio_Empresas'!U198)</f>
        <v/>
      </c>
      <c r="G200" s="98" t="str">
        <f t="shared" si="24"/>
        <v/>
      </c>
      <c r="H200" s="98" t="str">
        <f>IF('40_Estudio_Empresas'!V198="","",'40_Estudio_Empresas'!V198)</f>
        <v/>
      </c>
      <c r="I200" s="98" t="str">
        <f t="shared" si="25"/>
        <v/>
      </c>
      <c r="J200" s="98" t="str">
        <f t="shared" si="26"/>
        <v/>
      </c>
      <c r="K200" s="98" t="str">
        <f>IF('40_Estudio_Empresas'!R198="","",'40_Estudio_Empresas'!R198)</f>
        <v/>
      </c>
      <c r="L200" s="123" t="str">
        <f>IF('40_Estudio_Empresas'!M198="","",'40_Estudio_Empresas'!M198)</f>
        <v/>
      </c>
      <c r="M200" s="98" t="str">
        <f>IF('40_Estudio_Empresas'!W198="","",'40_Estudio_Empresas'!W198)</f>
        <v/>
      </c>
      <c r="N200" s="98" t="str">
        <f t="shared" si="27"/>
        <v/>
      </c>
    </row>
    <row r="201" spans="1:14">
      <c r="A201" s="98" t="str">
        <f>IF('40_Estudio_Empresas'!A199="","",'40_Estudio_Empresas'!A199)</f>
        <v/>
      </c>
      <c r="B201" s="122" t="str">
        <f>IF('40_Estudio_Empresas'!B199="","",'40_Estudio_Empresas'!B199)</f>
        <v/>
      </c>
      <c r="C201" s="98" t="str">
        <f>IF('40_Estudio_Empresas'!C199="","",'40_Estudio_Empresas'!C199)</f>
        <v/>
      </c>
      <c r="D201" s="98" t="str">
        <f>IF('40_Estudio_Empresas'!E199="","",'40_Estudio_Empresas'!E199)</f>
        <v/>
      </c>
      <c r="E201" s="98" t="str">
        <f>IF('40_Estudio_Empresas'!F199="","",'40_Estudio_Empresas'!F199)</f>
        <v/>
      </c>
      <c r="F201" s="98" t="str">
        <f>IF('40_Estudio_Empresas'!U199="","",'40_Estudio_Empresas'!U199)</f>
        <v/>
      </c>
      <c r="G201" s="98" t="str">
        <f t="shared" si="24"/>
        <v/>
      </c>
      <c r="H201" s="98" t="str">
        <f>IF('40_Estudio_Empresas'!V199="","",'40_Estudio_Empresas'!V199)</f>
        <v/>
      </c>
      <c r="I201" s="98" t="str">
        <f t="shared" si="25"/>
        <v/>
      </c>
      <c r="J201" s="98" t="str">
        <f t="shared" si="26"/>
        <v/>
      </c>
      <c r="K201" s="98" t="str">
        <f>IF('40_Estudio_Empresas'!R199="","",'40_Estudio_Empresas'!R199)</f>
        <v/>
      </c>
      <c r="L201" s="123" t="str">
        <f>IF('40_Estudio_Empresas'!M199="","",'40_Estudio_Empresas'!M199)</f>
        <v/>
      </c>
      <c r="M201" s="98" t="str">
        <f>IF('40_Estudio_Empresas'!W199="","",'40_Estudio_Empresas'!W199)</f>
        <v/>
      </c>
      <c r="N201" s="98" t="str">
        <f t="shared" si="27"/>
        <v/>
      </c>
    </row>
    <row r="202" spans="1:14">
      <c r="A202" s="98" t="str">
        <f>IF('40_Estudio_Empresas'!A200="","",'40_Estudio_Empresas'!A200)</f>
        <v/>
      </c>
      <c r="B202" s="122" t="str">
        <f>IF('40_Estudio_Empresas'!B200="","",'40_Estudio_Empresas'!B200)</f>
        <v/>
      </c>
      <c r="C202" s="98" t="str">
        <f>IF('40_Estudio_Empresas'!C200="","",'40_Estudio_Empresas'!C200)</f>
        <v/>
      </c>
      <c r="D202" s="98" t="str">
        <f>IF('40_Estudio_Empresas'!E200="","",'40_Estudio_Empresas'!E200)</f>
        <v/>
      </c>
      <c r="E202" s="98" t="str">
        <f>IF('40_Estudio_Empresas'!F200="","",'40_Estudio_Empresas'!F200)</f>
        <v/>
      </c>
      <c r="F202" s="98" t="str">
        <f>IF('40_Estudio_Empresas'!U200="","",'40_Estudio_Empresas'!U200)</f>
        <v/>
      </c>
      <c r="G202" s="98" t="str">
        <f t="shared" si="24"/>
        <v/>
      </c>
      <c r="H202" s="98" t="str">
        <f>IF('40_Estudio_Empresas'!V200="","",'40_Estudio_Empresas'!V200)</f>
        <v/>
      </c>
      <c r="I202" s="98" t="str">
        <f t="shared" si="25"/>
        <v/>
      </c>
      <c r="J202" s="98" t="str">
        <f t="shared" si="26"/>
        <v/>
      </c>
      <c r="K202" s="98" t="str">
        <f>IF('40_Estudio_Empresas'!R200="","",'40_Estudio_Empresas'!R200)</f>
        <v/>
      </c>
      <c r="L202" s="123" t="str">
        <f>IF('40_Estudio_Empresas'!M200="","",'40_Estudio_Empresas'!M200)</f>
        <v/>
      </c>
      <c r="M202" s="98" t="str">
        <f>IF('40_Estudio_Empresas'!W200="","",'40_Estudio_Empresas'!W200)</f>
        <v/>
      </c>
      <c r="N202" s="98" t="str">
        <f t="shared" si="27"/>
        <v/>
      </c>
    </row>
    <row r="203" spans="1:14">
      <c r="A203" s="98" t="str">
        <f>IF('40_Estudio_Empresas'!A201="","",'40_Estudio_Empresas'!A201)</f>
        <v/>
      </c>
      <c r="B203" s="122" t="str">
        <f>IF('40_Estudio_Empresas'!B201="","",'40_Estudio_Empresas'!B201)</f>
        <v/>
      </c>
      <c r="C203" s="98" t="str">
        <f>IF('40_Estudio_Empresas'!C201="","",'40_Estudio_Empresas'!C201)</f>
        <v/>
      </c>
      <c r="D203" s="98" t="str">
        <f>IF('40_Estudio_Empresas'!E201="","",'40_Estudio_Empresas'!E201)</f>
        <v/>
      </c>
      <c r="E203" s="98" t="str">
        <f>IF('40_Estudio_Empresas'!F201="","",'40_Estudio_Empresas'!F201)</f>
        <v/>
      </c>
      <c r="F203" s="98" t="str">
        <f>IF('40_Estudio_Empresas'!U201="","",'40_Estudio_Empresas'!U201)</f>
        <v/>
      </c>
      <c r="G203" s="98" t="str">
        <f t="shared" si="24"/>
        <v/>
      </c>
      <c r="H203" s="98" t="str">
        <f>IF('40_Estudio_Empresas'!V201="","",'40_Estudio_Empresas'!V201)</f>
        <v/>
      </c>
      <c r="I203" s="98" t="str">
        <f t="shared" si="25"/>
        <v/>
      </c>
      <c r="J203" s="98" t="str">
        <f t="shared" si="26"/>
        <v/>
      </c>
      <c r="K203" s="98" t="str">
        <f>IF('40_Estudio_Empresas'!R201="","",'40_Estudio_Empresas'!R201)</f>
        <v/>
      </c>
      <c r="L203" s="123" t="str">
        <f>IF('40_Estudio_Empresas'!M201="","",'40_Estudio_Empresas'!M201)</f>
        <v/>
      </c>
      <c r="M203" s="98" t="str">
        <f>IF('40_Estudio_Empresas'!W201="","",'40_Estudio_Empresas'!W201)</f>
        <v/>
      </c>
      <c r="N203" s="98" t="str">
        <f t="shared" si="27"/>
        <v/>
      </c>
    </row>
    <row r="204" spans="1:14">
      <c r="A204" s="98" t="str">
        <f>IF('40_Estudio_Empresas'!A202="","",'40_Estudio_Empresas'!A202)</f>
        <v/>
      </c>
      <c r="B204" s="122" t="str">
        <f>IF('40_Estudio_Empresas'!B202="","",'40_Estudio_Empresas'!B202)</f>
        <v/>
      </c>
      <c r="C204" s="98" t="str">
        <f>IF('40_Estudio_Empresas'!C202="","",'40_Estudio_Empresas'!C202)</f>
        <v/>
      </c>
      <c r="D204" s="98" t="str">
        <f>IF('40_Estudio_Empresas'!E202="","",'40_Estudio_Empresas'!E202)</f>
        <v/>
      </c>
      <c r="E204" s="98" t="str">
        <f>IF('40_Estudio_Empresas'!F202="","",'40_Estudio_Empresas'!F202)</f>
        <v/>
      </c>
      <c r="F204" s="98" t="str">
        <f>IF('40_Estudio_Empresas'!U202="","",'40_Estudio_Empresas'!U202)</f>
        <v/>
      </c>
      <c r="G204" s="98" t="str">
        <f t="shared" si="24"/>
        <v/>
      </c>
      <c r="H204" s="98" t="str">
        <f>IF('40_Estudio_Empresas'!V202="","",'40_Estudio_Empresas'!V202)</f>
        <v/>
      </c>
      <c r="I204" s="98" t="str">
        <f t="shared" si="25"/>
        <v/>
      </c>
      <c r="J204" s="98" t="str">
        <f t="shared" si="26"/>
        <v/>
      </c>
      <c r="K204" s="98" t="str">
        <f>IF('40_Estudio_Empresas'!R202="","",'40_Estudio_Empresas'!R202)</f>
        <v/>
      </c>
      <c r="L204" s="123" t="str">
        <f>IF('40_Estudio_Empresas'!M202="","",'40_Estudio_Empresas'!M202)</f>
        <v/>
      </c>
      <c r="M204" s="98" t="str">
        <f>IF('40_Estudio_Empresas'!W202="","",'40_Estudio_Empresas'!W202)</f>
        <v/>
      </c>
      <c r="N204" s="98" t="str">
        <f t="shared" si="27"/>
        <v/>
      </c>
    </row>
  </sheetData>
  <conditionalFormatting sqref="F5:J204">
    <cfRule type="expression" dxfId="472" priority="1">
      <formula>ISNUMBER(SEARCH("A - Inmediata",F5))</formula>
    </cfRule>
    <cfRule type="expression" dxfId="471" priority="2">
      <formula>ISNUMBER(SEARCH("B - Interesante",F5))</formula>
    </cfRule>
    <cfRule type="expression" dxfId="470" priority="3">
      <formula>ISNUMBER(SEARCH("C - Observar",F5))</formula>
    </cfRule>
    <cfRule type="expression" dxfId="469" priority="4">
      <formula>ISNUMBER(SEARCH("X - Descartar",F5))</formula>
    </cfRule>
    <cfRule type="expression" dxfId="468" priority="5">
      <formula>ISNUMBER(SEARCH("🔴",F5))</formula>
    </cfRule>
    <cfRule type="expression" dxfId="467" priority="6">
      <formula>ISNUMBER(SEARCH("🟡",F5))</formula>
    </cfRule>
    <cfRule type="expression" dxfId="466" priority="7">
      <formula>ISNUMBER(SEARCH("🟢",F5))</formula>
    </cfRule>
    <cfRule type="expression" dxfId="465" priority="8">
      <formula>ISNUMBER(SEARCH("🔵",F5))</formula>
    </cfRule>
    <cfRule type="expression" dxfId="464" priority="9">
      <formula>ISNUMBER(SEARCH("⭐",F5))</formula>
    </cfRule>
    <cfRule type="expression" dxfId="463" priority="10">
      <formula>ISNUMBER(SEARCH("Riesgo",F5))</formula>
    </cfRule>
    <cfRule type="expression" dxfId="462" priority="11">
      <formula>ISNUMBER(SEARCH("En proceso",F5))</formula>
    </cfRule>
    <cfRule type="expression" dxfId="461" priority="12">
      <formula>ISNUMBER(SEARCH("Cumplido",F5))</formula>
    </cfRule>
    <cfRule type="expression" dxfId="460" priority="13">
      <formula>ISNUMBER(SEARCH("Pendiente",F5))</formula>
    </cfRule>
    <cfRule type="expression" dxfId="459" priority="14">
      <formula>ISNUMBER(SEARCH("Descartar",F5))</formula>
    </cfRule>
    <cfRule type="expression" dxfId="458" priority="15">
      <formula>ISNUMBER(SEARCH("CRM",F5))</formula>
    </cfRule>
    <cfRule type="expression" dxfId="457" priority="16">
      <formula>ISNUMBER(SEARCH("Oportunidad",F5))</formula>
    </cfRule>
    <cfRule type="expression" dxfId="456" priority="17">
      <formula>ISNUMBER(SEARCH("Seguimiento",F5))</formula>
    </cfRule>
    <cfRule type="expression" dxfId="455" priority="18">
      <formula>ISNUMBER(SEARCH("Observar",F5))</formula>
    </cfRule>
  </conditionalFormatting>
  <conditionalFormatting sqref="N5:N204">
    <cfRule type="expression" dxfId="454" priority="19">
      <formula>ISNUMBER(SEARCH("A - Inmediata",N5))</formula>
    </cfRule>
    <cfRule type="expression" dxfId="453" priority="20">
      <formula>ISNUMBER(SEARCH("B - Interesante",N5))</formula>
    </cfRule>
    <cfRule type="expression" dxfId="452" priority="21">
      <formula>ISNUMBER(SEARCH("C - Observar",N5))</formula>
    </cfRule>
    <cfRule type="expression" dxfId="451" priority="22">
      <formula>ISNUMBER(SEARCH("X - Descartar",N5))</formula>
    </cfRule>
    <cfRule type="expression" dxfId="450" priority="23">
      <formula>ISNUMBER(SEARCH("🔴",N5))</formula>
    </cfRule>
    <cfRule type="expression" dxfId="449" priority="24">
      <formula>ISNUMBER(SEARCH("🟡",N5))</formula>
    </cfRule>
    <cfRule type="expression" dxfId="448" priority="25">
      <formula>ISNUMBER(SEARCH("🟢",N5))</formula>
    </cfRule>
    <cfRule type="expression" dxfId="447" priority="26">
      <formula>ISNUMBER(SEARCH("🔵",N5))</formula>
    </cfRule>
    <cfRule type="expression" dxfId="446" priority="27">
      <formula>ISNUMBER(SEARCH("⭐",N5))</formula>
    </cfRule>
    <cfRule type="expression" dxfId="445" priority="28">
      <formula>ISNUMBER(SEARCH("Riesgo",N5))</formula>
    </cfRule>
    <cfRule type="expression" dxfId="444" priority="29">
      <formula>ISNUMBER(SEARCH("En proceso",N5))</formula>
    </cfRule>
    <cfRule type="expression" dxfId="443" priority="30">
      <formula>ISNUMBER(SEARCH("Cumplido",N5))</formula>
    </cfRule>
    <cfRule type="expression" dxfId="442" priority="31">
      <formula>ISNUMBER(SEARCH("Pendiente",N5))</formula>
    </cfRule>
    <cfRule type="expression" dxfId="441" priority="32">
      <formula>ISNUMBER(SEARCH("Descartar",N5))</formula>
    </cfRule>
    <cfRule type="expression" dxfId="440" priority="33">
      <formula>ISNUMBER(SEARCH("CRM",N5))</formula>
    </cfRule>
    <cfRule type="expression" dxfId="439" priority="34">
      <formula>ISNUMBER(SEARCH("Oportunidad",N5))</formula>
    </cfRule>
    <cfRule type="expression" dxfId="438" priority="35">
      <formula>ISNUMBER(SEARCH("Seguimiento",N5))</formula>
    </cfRule>
    <cfRule type="expression" dxfId="437" priority="36">
      <formula>ISNUMBER(SEARCH("Observar",N5))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C09000"/>
  </sheetPr>
  <dimension ref="A1:J10"/>
  <sheetViews>
    <sheetView showGridLines="0" workbookViewId="0"/>
  </sheetViews>
  <sheetFormatPr baseColWidth="10" defaultColWidth="8.7265625" defaultRowHeight="14.5"/>
  <cols>
    <col min="1" max="1" width="7.453125" customWidth="1"/>
    <col min="2" max="2" width="11.26953125" customWidth="1"/>
    <col min="3" max="3" width="20.81640625" customWidth="1"/>
    <col min="4" max="4" width="37.6328125" customWidth="1"/>
    <col min="5" max="5" width="29.7265625" customWidth="1"/>
    <col min="6" max="6" width="30.90625" customWidth="1"/>
    <col min="7" max="7" width="33.81640625" customWidth="1"/>
    <col min="8" max="8" width="27.90625" customWidth="1"/>
    <col min="9" max="9" width="27.54296875" customWidth="1"/>
    <col min="10" max="10" width="8.7265625" customWidth="1"/>
  </cols>
  <sheetData>
    <row r="1" spans="1:10">
      <c r="A1" s="427" t="s">
        <v>2938</v>
      </c>
      <c r="B1" s="426"/>
      <c r="C1" s="426"/>
      <c r="D1" s="426"/>
      <c r="E1" s="426"/>
      <c r="F1" s="426"/>
      <c r="G1" s="426"/>
      <c r="H1" s="426"/>
      <c r="I1" s="426"/>
      <c r="J1" s="426"/>
    </row>
    <row r="2" spans="1:10" ht="6" customHeight="1"/>
    <row r="3" spans="1:10" ht="8.5" customHeight="1"/>
    <row r="4" spans="1:10">
      <c r="A4" s="54" t="s">
        <v>2896</v>
      </c>
      <c r="B4" s="54" t="s">
        <v>2939</v>
      </c>
      <c r="C4" s="54" t="s">
        <v>2940</v>
      </c>
      <c r="D4" s="54" t="s">
        <v>2899</v>
      </c>
      <c r="E4" s="54" t="s">
        <v>2941</v>
      </c>
      <c r="F4" s="54" t="s">
        <v>2942</v>
      </c>
      <c r="G4" s="54" t="s">
        <v>2943</v>
      </c>
      <c r="H4" s="54" t="s">
        <v>2909</v>
      </c>
      <c r="I4" s="54" t="s">
        <v>2944</v>
      </c>
      <c r="J4" s="54" t="s">
        <v>248</v>
      </c>
    </row>
    <row r="5" spans="1:10">
      <c r="A5" t="s">
        <v>1500</v>
      </c>
      <c r="B5" t="s">
        <v>2945</v>
      </c>
      <c r="C5" t="s">
        <v>2946</v>
      </c>
      <c r="D5" t="s">
        <v>2947</v>
      </c>
      <c r="E5" t="s">
        <v>2948</v>
      </c>
      <c r="F5" t="s">
        <v>2949</v>
      </c>
      <c r="G5" t="s">
        <v>2950</v>
      </c>
      <c r="H5" t="s">
        <v>2951</v>
      </c>
      <c r="I5" t="s">
        <v>2952</v>
      </c>
      <c r="J5" t="s">
        <v>332</v>
      </c>
    </row>
    <row r="6" spans="1:10">
      <c r="A6" t="s">
        <v>1500</v>
      </c>
      <c r="B6" t="s">
        <v>2945</v>
      </c>
      <c r="C6" t="s">
        <v>2953</v>
      </c>
      <c r="D6" t="s">
        <v>2954</v>
      </c>
      <c r="E6" t="s">
        <v>2955</v>
      </c>
      <c r="F6" t="s">
        <v>2956</v>
      </c>
      <c r="G6" t="s">
        <v>2957</v>
      </c>
      <c r="H6" t="s">
        <v>2958</v>
      </c>
      <c r="I6" t="s">
        <v>2959</v>
      </c>
      <c r="J6" t="s">
        <v>332</v>
      </c>
    </row>
    <row r="7" spans="1:10">
      <c r="A7" t="s">
        <v>201</v>
      </c>
      <c r="B7" t="s">
        <v>2960</v>
      </c>
      <c r="C7" t="s">
        <v>2961</v>
      </c>
      <c r="D7" t="s">
        <v>2962</v>
      </c>
      <c r="E7" t="s">
        <v>2963</v>
      </c>
      <c r="F7" t="s">
        <v>2964</v>
      </c>
      <c r="G7" t="s">
        <v>2965</v>
      </c>
      <c r="H7" t="s">
        <v>2966</v>
      </c>
      <c r="I7" t="s">
        <v>2967</v>
      </c>
      <c r="J7" t="s">
        <v>332</v>
      </c>
    </row>
    <row r="8" spans="1:10">
      <c r="A8" t="s">
        <v>201</v>
      </c>
      <c r="B8" t="s">
        <v>2960</v>
      </c>
      <c r="C8" t="s">
        <v>2968</v>
      </c>
      <c r="D8" t="s">
        <v>2969</v>
      </c>
      <c r="E8" t="s">
        <v>2970</v>
      </c>
      <c r="F8" t="s">
        <v>2971</v>
      </c>
      <c r="G8" t="s">
        <v>2972</v>
      </c>
      <c r="H8" t="s">
        <v>2973</v>
      </c>
      <c r="I8" t="s">
        <v>2974</v>
      </c>
      <c r="J8" t="s">
        <v>332</v>
      </c>
    </row>
    <row r="9" spans="1:10">
      <c r="A9" t="s">
        <v>2975</v>
      </c>
      <c r="B9" t="s">
        <v>215</v>
      </c>
      <c r="C9" t="s">
        <v>2976</v>
      </c>
      <c r="D9" t="s">
        <v>2977</v>
      </c>
      <c r="E9" t="s">
        <v>2978</v>
      </c>
      <c r="F9" t="s">
        <v>2979</v>
      </c>
      <c r="G9" t="s">
        <v>2980</v>
      </c>
      <c r="H9" t="s">
        <v>2981</v>
      </c>
      <c r="I9" t="s">
        <v>2982</v>
      </c>
      <c r="J9" t="s">
        <v>1289</v>
      </c>
    </row>
    <row r="10" spans="1:10">
      <c r="A10" t="s">
        <v>2975</v>
      </c>
      <c r="B10" t="s">
        <v>2983</v>
      </c>
      <c r="C10" t="s">
        <v>2984</v>
      </c>
      <c r="D10" t="s">
        <v>2985</v>
      </c>
      <c r="E10" t="s">
        <v>2986</v>
      </c>
      <c r="F10" t="s">
        <v>2987</v>
      </c>
      <c r="G10" t="s">
        <v>2988</v>
      </c>
      <c r="H10" t="s">
        <v>2989</v>
      </c>
      <c r="I10" t="s">
        <v>2990</v>
      </c>
      <c r="J10" t="s">
        <v>332</v>
      </c>
    </row>
  </sheetData>
  <mergeCells count="1">
    <mergeCell ref="A1:J1"/>
  </mergeCells>
  <dataValidations count="1">
    <dataValidation type="list" allowBlank="1" sqref="J5:J204" xr:uid="{00000000-0002-0000-4900-000000000000}">
      <formula1>"Baja,Media,Alta,Crítica"</formula1>
    </dataValidation>
  </dataValidation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C09000"/>
  </sheetPr>
  <dimension ref="A1:E10"/>
  <sheetViews>
    <sheetView showGridLines="0" workbookViewId="0"/>
  </sheetViews>
  <sheetFormatPr baseColWidth="10" defaultColWidth="8.7265625" defaultRowHeight="14.5"/>
  <cols>
    <col min="1" max="1" width="13.7265625" customWidth="1"/>
    <col min="2" max="2" width="132" customWidth="1"/>
    <col min="3" max="3" width="55.7265625" customWidth="1"/>
    <col min="4" max="4" width="39.54296875" customWidth="1"/>
    <col min="5" max="5" width="45.26953125" customWidth="1"/>
  </cols>
  <sheetData>
    <row r="1" spans="1:5">
      <c r="A1" s="427" t="s">
        <v>2991</v>
      </c>
      <c r="B1" s="426"/>
      <c r="C1" s="426"/>
      <c r="D1" s="426"/>
      <c r="E1" s="426"/>
    </row>
    <row r="4" spans="1:5">
      <c r="A4" s="54" t="s">
        <v>6</v>
      </c>
      <c r="B4" s="54" t="s">
        <v>2992</v>
      </c>
      <c r="C4" s="54" t="s">
        <v>2993</v>
      </c>
      <c r="D4" s="54" t="s">
        <v>2994</v>
      </c>
      <c r="E4" s="54" t="s">
        <v>2995</v>
      </c>
    </row>
    <row r="5" spans="1:5">
      <c r="A5" t="s">
        <v>8</v>
      </c>
      <c r="B5" t="s">
        <v>2996</v>
      </c>
      <c r="C5" t="s">
        <v>2997</v>
      </c>
      <c r="D5" t="s">
        <v>2998</v>
      </c>
      <c r="E5" t="s">
        <v>2999</v>
      </c>
    </row>
    <row r="6" spans="1:5">
      <c r="A6" t="s">
        <v>655</v>
      </c>
      <c r="B6" t="s">
        <v>3000</v>
      </c>
      <c r="C6" t="s">
        <v>3001</v>
      </c>
      <c r="D6" t="s">
        <v>3002</v>
      </c>
      <c r="E6" t="s">
        <v>3003</v>
      </c>
    </row>
    <row r="7" spans="1:5">
      <c r="A7" t="s">
        <v>2886</v>
      </c>
      <c r="B7" t="s">
        <v>3004</v>
      </c>
      <c r="C7" t="s">
        <v>3005</v>
      </c>
      <c r="D7" t="s">
        <v>3006</v>
      </c>
      <c r="E7" t="s">
        <v>3007</v>
      </c>
    </row>
    <row r="8" spans="1:5">
      <c r="A8" t="s">
        <v>248</v>
      </c>
      <c r="B8" t="s">
        <v>3008</v>
      </c>
      <c r="C8" t="s">
        <v>3009</v>
      </c>
      <c r="D8" t="s">
        <v>3010</v>
      </c>
      <c r="E8" t="s">
        <v>3011</v>
      </c>
    </row>
    <row r="9" spans="1:5">
      <c r="A9" t="s">
        <v>2181</v>
      </c>
      <c r="B9" t="s">
        <v>3012</v>
      </c>
      <c r="C9" t="s">
        <v>3013</v>
      </c>
      <c r="D9" t="s">
        <v>3014</v>
      </c>
      <c r="E9" t="s">
        <v>3015</v>
      </c>
    </row>
    <row r="10" spans="1:5">
      <c r="A10" t="s">
        <v>2774</v>
      </c>
      <c r="B10" t="s">
        <v>3016</v>
      </c>
      <c r="C10" t="s">
        <v>3017</v>
      </c>
      <c r="D10" t="s">
        <v>3018</v>
      </c>
      <c r="E10" t="s">
        <v>3019</v>
      </c>
    </row>
  </sheetData>
  <mergeCells count="1">
    <mergeCell ref="A1:E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C09000"/>
  </sheetPr>
  <dimension ref="A1:R4"/>
  <sheetViews>
    <sheetView showGridLines="0" workbookViewId="0"/>
  </sheetViews>
  <sheetFormatPr baseColWidth="10" defaultColWidth="8.7265625" defaultRowHeight="14.5"/>
  <cols>
    <col min="1" max="1" width="38" customWidth="1"/>
    <col min="2" max="2" width="10.36328125" customWidth="1"/>
    <col min="3" max="3" width="12.6328125" customWidth="1"/>
    <col min="4" max="4" width="8.81640625" customWidth="1"/>
    <col min="5" max="5" width="8.1796875" customWidth="1"/>
    <col min="6" max="6" width="13.08984375" customWidth="1"/>
    <col min="7" max="7" width="24.81640625" customWidth="1"/>
    <col min="8" max="8" width="25.453125" customWidth="1"/>
    <col min="9" max="9" width="17.54296875" customWidth="1"/>
    <col min="10" max="10" width="18" customWidth="1"/>
    <col min="11" max="11" width="17.54296875" customWidth="1"/>
    <col min="12" max="12" width="16.7265625" customWidth="1"/>
    <col min="13" max="13" width="21.36328125" customWidth="1"/>
    <col min="14" max="14" width="11.453125" customWidth="1"/>
    <col min="15" max="15" width="23.453125" customWidth="1"/>
    <col min="16" max="16" width="16.90625" customWidth="1"/>
    <col min="17" max="17" width="11.08984375" customWidth="1"/>
    <col min="18" max="18" width="19.1796875" customWidth="1"/>
  </cols>
  <sheetData>
    <row r="1" spans="1:18" ht="37" customHeight="1">
      <c r="A1" s="503" t="s">
        <v>3020</v>
      </c>
      <c r="B1" s="504"/>
      <c r="C1" s="504"/>
      <c r="D1" s="504"/>
      <c r="E1" s="504"/>
      <c r="F1" s="504"/>
      <c r="G1" s="504"/>
      <c r="H1" s="504"/>
      <c r="I1" s="505"/>
      <c r="J1" s="152"/>
      <c r="K1" s="152"/>
      <c r="L1" s="152"/>
      <c r="M1" s="152"/>
      <c r="N1" s="152"/>
      <c r="O1" s="152"/>
      <c r="P1" s="152"/>
      <c r="Q1" s="152"/>
      <c r="R1" s="152"/>
    </row>
    <row r="2" spans="1:18">
      <c r="A2" s="506" t="s">
        <v>3021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</row>
    <row r="4" spans="1:18">
      <c r="A4" s="153" t="s">
        <v>73</v>
      </c>
      <c r="B4" s="153" t="s">
        <v>13</v>
      </c>
      <c r="C4" s="153" t="s">
        <v>2860</v>
      </c>
      <c r="D4" s="153" t="s">
        <v>2861</v>
      </c>
      <c r="E4" s="153" t="s">
        <v>3022</v>
      </c>
      <c r="F4" s="153" t="s">
        <v>3023</v>
      </c>
      <c r="G4" s="153" t="s">
        <v>3024</v>
      </c>
      <c r="H4" s="153" t="s">
        <v>3025</v>
      </c>
      <c r="I4" s="153" t="s">
        <v>3026</v>
      </c>
      <c r="J4" s="153" t="s">
        <v>3027</v>
      </c>
      <c r="K4" s="153" t="s">
        <v>3028</v>
      </c>
      <c r="L4" s="153" t="s">
        <v>3029</v>
      </c>
      <c r="M4" s="153" t="s">
        <v>3030</v>
      </c>
      <c r="N4" s="153" t="s">
        <v>252</v>
      </c>
      <c r="O4" s="153" t="s">
        <v>939</v>
      </c>
      <c r="P4" s="153" t="s">
        <v>1065</v>
      </c>
      <c r="Q4" s="153" t="s">
        <v>655</v>
      </c>
      <c r="R4" s="153" t="s">
        <v>1207</v>
      </c>
    </row>
  </sheetData>
  <mergeCells count="2">
    <mergeCell ref="A1:I1"/>
    <mergeCell ref="A2:R2"/>
  </mergeCells>
  <dataValidations count="4">
    <dataValidation type="list" allowBlank="1" sqref="E5:E200" xr:uid="{00000000-0002-0000-4B00-000000000000}">
      <formula1>"Buyer,Supplier,Trader,Steel Mill,Mine Owner,Logistics,Finance,Other"</formula1>
    </dataValidation>
    <dataValidation type="list" allowBlank="1" sqref="G5:G200" xr:uid="{00000000-0002-0000-4B00-000001000000}">
      <formula1>"Buyer,Supplier,Trader,Otro"</formula1>
    </dataValidation>
    <dataValidation type="list" allowBlank="1" sqref="H5:H200" xr:uid="{00000000-0002-0000-4B00-000002000000}">
      <formula1>"Directo,Intermediario,No claro"</formula1>
    </dataValidation>
    <dataValidation type="list" allowBlank="1" sqref="O5:O200" xr:uid="{00000000-0002-0000-4B00-000003000000}">
      <formula1>"A,B,C,X"</formula1>
    </dataValidation>
  </dataValidation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3031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5B9BD5"/>
  </sheetPr>
  <dimension ref="A1:R4"/>
  <sheetViews>
    <sheetView showGridLines="0" workbookViewId="0"/>
  </sheetViews>
  <sheetFormatPr baseColWidth="10" defaultColWidth="8.7265625" defaultRowHeight="14.5"/>
  <cols>
    <col min="1" max="1" width="38" customWidth="1"/>
    <col min="2" max="2" width="10.36328125" customWidth="1"/>
    <col min="3" max="3" width="18.90625" customWidth="1"/>
    <col min="4" max="4" width="13.81640625" customWidth="1"/>
    <col min="5" max="5" width="18.26953125" customWidth="1"/>
    <col min="6" max="6" width="14" customWidth="1"/>
    <col min="7" max="7" width="15.26953125" customWidth="1"/>
    <col min="8" max="8" width="14.81640625" customWidth="1"/>
    <col min="9" max="9" width="22.453125" customWidth="1"/>
    <col min="10" max="10" width="18.26953125" customWidth="1"/>
    <col min="11" max="11" width="19.08984375" customWidth="1"/>
    <col min="12" max="12" width="21.36328125" customWidth="1"/>
    <col min="13" max="13" width="20" customWidth="1"/>
    <col min="14" max="14" width="18.26953125" customWidth="1"/>
    <col min="15" max="15" width="11" customWidth="1"/>
    <col min="16" max="16" width="23.453125" customWidth="1"/>
    <col min="17" max="17" width="16.90625" customWidth="1"/>
    <col min="18" max="18" width="15.36328125" customWidth="1"/>
  </cols>
  <sheetData>
    <row r="1" spans="1:18" ht="55.5" customHeight="1">
      <c r="A1" s="503" t="s">
        <v>3032</v>
      </c>
      <c r="B1" s="504"/>
      <c r="C1" s="504"/>
      <c r="D1" s="504"/>
      <c r="E1" s="504"/>
      <c r="F1" s="504"/>
      <c r="G1" s="504"/>
      <c r="H1" s="505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r="2" spans="1:18">
      <c r="A2" s="506" t="s">
        <v>3033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</row>
    <row r="4" spans="1:18">
      <c r="A4" s="153" t="s">
        <v>73</v>
      </c>
      <c r="B4" s="153" t="s">
        <v>13</v>
      </c>
      <c r="C4" s="153" t="s">
        <v>3034</v>
      </c>
      <c r="D4" s="153" t="s">
        <v>3035</v>
      </c>
      <c r="E4" s="153" t="s">
        <v>3036</v>
      </c>
      <c r="F4" s="153" t="s">
        <v>2939</v>
      </c>
      <c r="G4" s="153" t="s">
        <v>3037</v>
      </c>
      <c r="H4" s="153" t="s">
        <v>3038</v>
      </c>
      <c r="I4" s="153" t="s">
        <v>3039</v>
      </c>
      <c r="J4" s="153" t="s">
        <v>3040</v>
      </c>
      <c r="K4" s="153" t="s">
        <v>2942</v>
      </c>
      <c r="L4" s="153" t="s">
        <v>3041</v>
      </c>
      <c r="M4" s="153" t="s">
        <v>3042</v>
      </c>
      <c r="N4" s="153" t="s">
        <v>3043</v>
      </c>
      <c r="O4" s="153" t="s">
        <v>2181</v>
      </c>
      <c r="P4" s="153" t="s">
        <v>939</v>
      </c>
      <c r="Q4" s="153" t="s">
        <v>1065</v>
      </c>
      <c r="R4" s="153" t="s">
        <v>656</v>
      </c>
    </row>
  </sheetData>
  <mergeCells count="2">
    <mergeCell ref="A2:R2"/>
    <mergeCell ref="A1:H1"/>
  </mergeCells>
  <dataValidations count="3">
    <dataValidation type="list" allowBlank="1" sqref="D5:D200" xr:uid="{00000000-0002-0000-4D00-000000000000}">
      <formula1>"Propietario,Comprador,Arrendador,Corredor,Broker,Inmobiliaria,Constructora,Inversionista,Family Office,Fondo,Arquitectura/Construcción,Otro"</formula1>
    </dataValidation>
    <dataValidation type="list" allowBlank="1" sqref="F5:F200" xr:uid="{00000000-0002-0000-4D00-000001000000}">
      <formula1>"Arriendo,Venta,Inversión,Proyectos,Premium,Masivo,Otro"</formula1>
    </dataValidation>
    <dataValidation type="list" allowBlank="1" sqref="P5:P200" xr:uid="{00000000-0002-0000-4D00-000002000000}">
      <formula1>"A,B,C,X"</formula1>
    </dataValidation>
  </dataValidation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5B9BD5"/>
  </sheetPr>
  <dimension ref="A1:T4"/>
  <sheetViews>
    <sheetView showGridLines="0" workbookViewId="0"/>
  </sheetViews>
  <sheetFormatPr baseColWidth="10" defaultColWidth="8.7265625" defaultRowHeight="14.5"/>
  <cols>
    <col min="1" max="1" width="38" customWidth="1"/>
    <col min="2" max="2" width="10.36328125" customWidth="1"/>
    <col min="3" max="3" width="12.6328125" customWidth="1"/>
    <col min="4" max="4" width="10.453125" customWidth="1"/>
    <col min="5" max="5" width="13.7265625" customWidth="1"/>
    <col min="6" max="6" width="10" customWidth="1"/>
    <col min="7" max="7" width="13.81640625" customWidth="1"/>
    <col min="8" max="8" width="12.6328125" customWidth="1"/>
    <col min="9" max="9" width="13.453125" customWidth="1"/>
    <col min="10" max="10" width="19.1796875" customWidth="1"/>
    <col min="11" max="11" width="21.36328125" customWidth="1"/>
    <col min="12" max="12" width="18.6328125" customWidth="1"/>
    <col min="13" max="13" width="21.54296875" customWidth="1"/>
    <col min="14" max="14" width="18.6328125" customWidth="1"/>
    <col min="15" max="15" width="20" customWidth="1"/>
    <col min="16" max="16" width="13.1796875" customWidth="1"/>
    <col min="17" max="17" width="13.6328125" customWidth="1"/>
    <col min="18" max="18" width="22.1796875" customWidth="1"/>
    <col min="19" max="19" width="11" customWidth="1"/>
    <col min="20" max="20" width="15.90625" customWidth="1"/>
  </cols>
  <sheetData>
    <row r="1" spans="1:20" ht="55.5" customHeight="1">
      <c r="A1" s="503" t="s">
        <v>3044</v>
      </c>
      <c r="B1" s="504"/>
      <c r="C1" s="504"/>
      <c r="D1" s="504"/>
      <c r="E1" s="504"/>
      <c r="F1" s="504"/>
      <c r="G1" s="504"/>
      <c r="H1" s="504"/>
      <c r="I1" s="504"/>
      <c r="J1" s="505"/>
      <c r="K1" s="152"/>
      <c r="L1" s="152"/>
      <c r="M1" s="152"/>
      <c r="N1" s="152"/>
      <c r="O1" s="152"/>
      <c r="P1" s="152"/>
      <c r="Q1" s="152"/>
      <c r="R1" s="152"/>
      <c r="S1" s="152"/>
      <c r="T1" s="152"/>
    </row>
    <row r="2" spans="1:20">
      <c r="A2" s="506" t="s">
        <v>3045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</row>
    <row r="4" spans="1:20">
      <c r="A4" s="153" t="s">
        <v>73</v>
      </c>
      <c r="B4" s="153" t="s">
        <v>13</v>
      </c>
      <c r="C4" s="153" t="s">
        <v>2860</v>
      </c>
      <c r="D4" s="153" t="s">
        <v>3046</v>
      </c>
      <c r="E4" s="153" t="s">
        <v>3047</v>
      </c>
      <c r="F4" s="153" t="s">
        <v>3048</v>
      </c>
      <c r="G4" s="153" t="s">
        <v>3049</v>
      </c>
      <c r="H4" s="153" t="s">
        <v>3050</v>
      </c>
      <c r="I4" s="153" t="s">
        <v>3051</v>
      </c>
      <c r="J4" s="153" t="s">
        <v>3052</v>
      </c>
      <c r="K4" s="153" t="s">
        <v>3041</v>
      </c>
      <c r="L4" s="153" t="s">
        <v>3053</v>
      </c>
      <c r="M4" s="153" t="s">
        <v>3054</v>
      </c>
      <c r="N4" s="153" t="s">
        <v>3055</v>
      </c>
      <c r="O4" s="153" t="s">
        <v>3056</v>
      </c>
      <c r="P4" s="153" t="s">
        <v>3057</v>
      </c>
      <c r="Q4" s="153" t="s">
        <v>3058</v>
      </c>
      <c r="R4" s="153" t="s">
        <v>3059</v>
      </c>
      <c r="S4" s="153" t="s">
        <v>2181</v>
      </c>
      <c r="T4" s="153" t="s">
        <v>2934</v>
      </c>
    </row>
  </sheetData>
  <mergeCells count="2">
    <mergeCell ref="A1:J1"/>
    <mergeCell ref="A2:T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5B9BD5"/>
  </sheetPr>
  <dimension ref="A1:Q104"/>
  <sheetViews>
    <sheetView showGridLines="0" workbookViewId="0"/>
  </sheetViews>
  <sheetFormatPr baseColWidth="10" defaultColWidth="8.7265625" defaultRowHeight="14.5"/>
  <cols>
    <col min="1" max="1" width="38" customWidth="1"/>
    <col min="2" max="2" width="15.36328125" customWidth="1"/>
    <col min="3" max="3" width="11.54296875" customWidth="1"/>
    <col min="4" max="4" width="10.08984375" customWidth="1"/>
    <col min="5" max="5" width="13.26953125" customWidth="1"/>
    <col min="6" max="6" width="12.81640625" customWidth="1"/>
    <col min="7" max="7" width="13.90625" customWidth="1"/>
    <col min="8" max="8" width="18.90625" customWidth="1"/>
    <col min="9" max="9" width="12.36328125" customWidth="1"/>
    <col min="10" max="10" width="16.08984375" customWidth="1"/>
    <col min="11" max="11" width="10.1796875" customWidth="1"/>
    <col min="12" max="12" width="8.453125" customWidth="1"/>
    <col min="13" max="13" width="15.90625" customWidth="1"/>
    <col min="14" max="14" width="15" customWidth="1"/>
    <col min="15" max="15" width="11.08984375" customWidth="1"/>
    <col min="16" max="16" width="15.6328125" customWidth="1"/>
    <col min="17" max="17" width="24.08984375" customWidth="1"/>
  </cols>
  <sheetData>
    <row r="1" spans="1:17" ht="55.5" customHeight="1">
      <c r="A1" s="503" t="s">
        <v>3060</v>
      </c>
      <c r="B1" s="504"/>
      <c r="C1" s="504"/>
      <c r="D1" s="504"/>
      <c r="E1" s="504"/>
      <c r="F1" s="504"/>
      <c r="G1" s="504"/>
      <c r="H1" s="504"/>
      <c r="I1" s="505"/>
      <c r="J1" s="152"/>
      <c r="K1" s="152"/>
      <c r="L1" s="152"/>
      <c r="M1" s="152"/>
      <c r="N1" s="152"/>
      <c r="O1" s="152"/>
      <c r="P1" s="152"/>
      <c r="Q1" s="152"/>
    </row>
    <row r="2" spans="1:17">
      <c r="A2" s="506" t="s">
        <v>3061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</row>
    <row r="4" spans="1:17">
      <c r="A4" s="153" t="s">
        <v>73</v>
      </c>
      <c r="B4" s="153" t="s">
        <v>1233</v>
      </c>
      <c r="C4" s="153" t="s">
        <v>2243</v>
      </c>
      <c r="D4" s="153" t="s">
        <v>2894</v>
      </c>
      <c r="E4" s="153" t="s">
        <v>3062</v>
      </c>
      <c r="F4" s="153" t="s">
        <v>421</v>
      </c>
      <c r="G4" s="153" t="s">
        <v>3063</v>
      </c>
      <c r="H4" s="153" t="s">
        <v>3064</v>
      </c>
      <c r="I4" s="153" t="s">
        <v>3065</v>
      </c>
      <c r="J4" s="153" t="s">
        <v>3066</v>
      </c>
      <c r="K4" s="153" t="s">
        <v>3067</v>
      </c>
      <c r="L4" s="153" t="s">
        <v>3068</v>
      </c>
      <c r="M4" s="153" t="s">
        <v>3069</v>
      </c>
      <c r="N4" s="153" t="s">
        <v>3070</v>
      </c>
      <c r="O4" s="153" t="s">
        <v>655</v>
      </c>
      <c r="P4" s="153" t="s">
        <v>3071</v>
      </c>
      <c r="Q4" s="153" t="s">
        <v>3072</v>
      </c>
    </row>
    <row r="5" spans="1:17">
      <c r="J5" s="63"/>
      <c r="L5" s="63">
        <f t="shared" ref="L5:L36" si="0">IFERROR(J5/K5,0)</f>
        <v>0</v>
      </c>
      <c r="N5" s="165">
        <f t="shared" ref="N5:N36" si="1">IFERROR(M5/K5,0)</f>
        <v>0</v>
      </c>
    </row>
    <row r="6" spans="1:17">
      <c r="J6" s="63"/>
      <c r="L6" s="63">
        <f t="shared" si="0"/>
        <v>0</v>
      </c>
      <c r="N6" s="165">
        <f t="shared" si="1"/>
        <v>0</v>
      </c>
    </row>
    <row r="7" spans="1:17">
      <c r="J7" s="63"/>
      <c r="L7" s="63">
        <f t="shared" si="0"/>
        <v>0</v>
      </c>
      <c r="N7" s="165">
        <f t="shared" si="1"/>
        <v>0</v>
      </c>
    </row>
    <row r="8" spans="1:17">
      <c r="J8" s="63"/>
      <c r="L8" s="63">
        <f t="shared" si="0"/>
        <v>0</v>
      </c>
      <c r="N8" s="165">
        <f t="shared" si="1"/>
        <v>0</v>
      </c>
    </row>
    <row r="9" spans="1:17">
      <c r="J9" s="63"/>
      <c r="L9" s="63">
        <f t="shared" si="0"/>
        <v>0</v>
      </c>
      <c r="N9" s="165">
        <f t="shared" si="1"/>
        <v>0</v>
      </c>
    </row>
    <row r="10" spans="1:17">
      <c r="J10" s="63"/>
      <c r="L10" s="63">
        <f t="shared" si="0"/>
        <v>0</v>
      </c>
      <c r="N10" s="165">
        <f t="shared" si="1"/>
        <v>0</v>
      </c>
    </row>
    <row r="11" spans="1:17">
      <c r="J11" s="63"/>
      <c r="L11" s="63">
        <f t="shared" si="0"/>
        <v>0</v>
      </c>
      <c r="N11" s="165">
        <f t="shared" si="1"/>
        <v>0</v>
      </c>
    </row>
    <row r="12" spans="1:17">
      <c r="J12" s="63"/>
      <c r="L12" s="63">
        <f t="shared" si="0"/>
        <v>0</v>
      </c>
      <c r="N12" s="165">
        <f t="shared" si="1"/>
        <v>0</v>
      </c>
    </row>
    <row r="13" spans="1:17">
      <c r="J13" s="63"/>
      <c r="L13" s="63">
        <f t="shared" si="0"/>
        <v>0</v>
      </c>
      <c r="N13" s="165">
        <f t="shared" si="1"/>
        <v>0</v>
      </c>
    </row>
    <row r="14" spans="1:17">
      <c r="J14" s="63"/>
      <c r="L14" s="63">
        <f t="shared" si="0"/>
        <v>0</v>
      </c>
      <c r="N14" s="165">
        <f t="shared" si="1"/>
        <v>0</v>
      </c>
    </row>
    <row r="15" spans="1:17">
      <c r="J15" s="63"/>
      <c r="L15" s="63">
        <f t="shared" si="0"/>
        <v>0</v>
      </c>
      <c r="N15" s="165">
        <f t="shared" si="1"/>
        <v>0</v>
      </c>
    </row>
    <row r="16" spans="1:17">
      <c r="J16" s="63"/>
      <c r="L16" s="63">
        <f t="shared" si="0"/>
        <v>0</v>
      </c>
      <c r="N16" s="165">
        <f t="shared" si="1"/>
        <v>0</v>
      </c>
    </row>
    <row r="17" spans="10:14">
      <c r="J17" s="63"/>
      <c r="L17" s="63">
        <f t="shared" si="0"/>
        <v>0</v>
      </c>
      <c r="N17" s="165">
        <f t="shared" si="1"/>
        <v>0</v>
      </c>
    </row>
    <row r="18" spans="10:14">
      <c r="J18" s="63"/>
      <c r="L18" s="63">
        <f t="shared" si="0"/>
        <v>0</v>
      </c>
      <c r="N18" s="165">
        <f t="shared" si="1"/>
        <v>0</v>
      </c>
    </row>
    <row r="19" spans="10:14">
      <c r="J19" s="63"/>
      <c r="L19" s="63">
        <f t="shared" si="0"/>
        <v>0</v>
      </c>
      <c r="N19" s="165">
        <f t="shared" si="1"/>
        <v>0</v>
      </c>
    </row>
    <row r="20" spans="10:14">
      <c r="J20" s="63"/>
      <c r="L20" s="63">
        <f t="shared" si="0"/>
        <v>0</v>
      </c>
      <c r="N20" s="165">
        <f t="shared" si="1"/>
        <v>0</v>
      </c>
    </row>
    <row r="21" spans="10:14">
      <c r="J21" s="63"/>
      <c r="L21" s="63">
        <f t="shared" si="0"/>
        <v>0</v>
      </c>
      <c r="N21" s="165">
        <f t="shared" si="1"/>
        <v>0</v>
      </c>
    </row>
    <row r="22" spans="10:14">
      <c r="J22" s="63"/>
      <c r="L22" s="63">
        <f t="shared" si="0"/>
        <v>0</v>
      </c>
      <c r="N22" s="165">
        <f t="shared" si="1"/>
        <v>0</v>
      </c>
    </row>
    <row r="23" spans="10:14">
      <c r="J23" s="63"/>
      <c r="L23" s="63">
        <f t="shared" si="0"/>
        <v>0</v>
      </c>
      <c r="N23" s="165">
        <f t="shared" si="1"/>
        <v>0</v>
      </c>
    </row>
    <row r="24" spans="10:14">
      <c r="J24" s="63"/>
      <c r="L24" s="63">
        <f t="shared" si="0"/>
        <v>0</v>
      </c>
      <c r="N24" s="165">
        <f t="shared" si="1"/>
        <v>0</v>
      </c>
    </row>
    <row r="25" spans="10:14">
      <c r="J25" s="63"/>
      <c r="L25" s="63">
        <f t="shared" si="0"/>
        <v>0</v>
      </c>
      <c r="N25" s="165">
        <f t="shared" si="1"/>
        <v>0</v>
      </c>
    </row>
    <row r="26" spans="10:14">
      <c r="J26" s="63"/>
      <c r="L26" s="63">
        <f t="shared" si="0"/>
        <v>0</v>
      </c>
      <c r="N26" s="165">
        <f t="shared" si="1"/>
        <v>0</v>
      </c>
    </row>
    <row r="27" spans="10:14">
      <c r="J27" s="63"/>
      <c r="L27" s="63">
        <f t="shared" si="0"/>
        <v>0</v>
      </c>
      <c r="N27" s="165">
        <f t="shared" si="1"/>
        <v>0</v>
      </c>
    </row>
    <row r="28" spans="10:14">
      <c r="J28" s="63"/>
      <c r="L28" s="63">
        <f t="shared" si="0"/>
        <v>0</v>
      </c>
      <c r="N28" s="165">
        <f t="shared" si="1"/>
        <v>0</v>
      </c>
    </row>
    <row r="29" spans="10:14">
      <c r="J29" s="63"/>
      <c r="L29" s="63">
        <f t="shared" si="0"/>
        <v>0</v>
      </c>
      <c r="N29" s="165">
        <f t="shared" si="1"/>
        <v>0</v>
      </c>
    </row>
    <row r="30" spans="10:14">
      <c r="J30" s="63"/>
      <c r="L30" s="63">
        <f t="shared" si="0"/>
        <v>0</v>
      </c>
      <c r="N30" s="165">
        <f t="shared" si="1"/>
        <v>0</v>
      </c>
    </row>
    <row r="31" spans="10:14">
      <c r="J31" s="63"/>
      <c r="L31" s="63">
        <f t="shared" si="0"/>
        <v>0</v>
      </c>
      <c r="N31" s="165">
        <f t="shared" si="1"/>
        <v>0</v>
      </c>
    </row>
    <row r="32" spans="10:14">
      <c r="J32" s="63"/>
      <c r="L32" s="63">
        <f t="shared" si="0"/>
        <v>0</v>
      </c>
      <c r="N32" s="165">
        <f t="shared" si="1"/>
        <v>0</v>
      </c>
    </row>
    <row r="33" spans="10:14">
      <c r="J33" s="63"/>
      <c r="L33" s="63">
        <f t="shared" si="0"/>
        <v>0</v>
      </c>
      <c r="N33" s="165">
        <f t="shared" si="1"/>
        <v>0</v>
      </c>
    </row>
    <row r="34" spans="10:14">
      <c r="J34" s="63"/>
      <c r="L34" s="63">
        <f t="shared" si="0"/>
        <v>0</v>
      </c>
      <c r="N34" s="165">
        <f t="shared" si="1"/>
        <v>0</v>
      </c>
    </row>
    <row r="35" spans="10:14">
      <c r="J35" s="63"/>
      <c r="L35" s="63">
        <f t="shared" si="0"/>
        <v>0</v>
      </c>
      <c r="N35" s="165">
        <f t="shared" si="1"/>
        <v>0</v>
      </c>
    </row>
    <row r="36" spans="10:14">
      <c r="J36" s="63"/>
      <c r="L36" s="63">
        <f t="shared" si="0"/>
        <v>0</v>
      </c>
      <c r="N36" s="165">
        <f t="shared" si="1"/>
        <v>0</v>
      </c>
    </row>
    <row r="37" spans="10:14">
      <c r="J37" s="63"/>
      <c r="L37" s="63">
        <f t="shared" ref="L37:L68" si="2">IFERROR(J37/K37,0)</f>
        <v>0</v>
      </c>
      <c r="N37" s="165">
        <f t="shared" ref="N37:N68" si="3">IFERROR(M37/K37,0)</f>
        <v>0</v>
      </c>
    </row>
    <row r="38" spans="10:14">
      <c r="J38" s="63"/>
      <c r="L38" s="63">
        <f t="shared" si="2"/>
        <v>0</v>
      </c>
      <c r="N38" s="165">
        <f t="shared" si="3"/>
        <v>0</v>
      </c>
    </row>
    <row r="39" spans="10:14">
      <c r="J39" s="63"/>
      <c r="L39" s="63">
        <f t="shared" si="2"/>
        <v>0</v>
      </c>
      <c r="N39" s="165">
        <f t="shared" si="3"/>
        <v>0</v>
      </c>
    </row>
    <row r="40" spans="10:14">
      <c r="J40" s="63"/>
      <c r="L40" s="63">
        <f t="shared" si="2"/>
        <v>0</v>
      </c>
      <c r="N40" s="165">
        <f t="shared" si="3"/>
        <v>0</v>
      </c>
    </row>
    <row r="41" spans="10:14">
      <c r="J41" s="63"/>
      <c r="L41" s="63">
        <f t="shared" si="2"/>
        <v>0</v>
      </c>
      <c r="N41" s="165">
        <f t="shared" si="3"/>
        <v>0</v>
      </c>
    </row>
    <row r="42" spans="10:14">
      <c r="J42" s="63"/>
      <c r="L42" s="63">
        <f t="shared" si="2"/>
        <v>0</v>
      </c>
      <c r="N42" s="165">
        <f t="shared" si="3"/>
        <v>0</v>
      </c>
    </row>
    <row r="43" spans="10:14">
      <c r="J43" s="63"/>
      <c r="L43" s="63">
        <f t="shared" si="2"/>
        <v>0</v>
      </c>
      <c r="N43" s="165">
        <f t="shared" si="3"/>
        <v>0</v>
      </c>
    </row>
    <row r="44" spans="10:14">
      <c r="J44" s="63"/>
      <c r="L44" s="63">
        <f t="shared" si="2"/>
        <v>0</v>
      </c>
      <c r="N44" s="165">
        <f t="shared" si="3"/>
        <v>0</v>
      </c>
    </row>
    <row r="45" spans="10:14">
      <c r="J45" s="63"/>
      <c r="L45" s="63">
        <f t="shared" si="2"/>
        <v>0</v>
      </c>
      <c r="N45" s="165">
        <f t="shared" si="3"/>
        <v>0</v>
      </c>
    </row>
    <row r="46" spans="10:14">
      <c r="J46" s="63"/>
      <c r="L46" s="63">
        <f t="shared" si="2"/>
        <v>0</v>
      </c>
      <c r="N46" s="165">
        <f t="shared" si="3"/>
        <v>0</v>
      </c>
    </row>
    <row r="47" spans="10:14">
      <c r="J47" s="63"/>
      <c r="L47" s="63">
        <f t="shared" si="2"/>
        <v>0</v>
      </c>
      <c r="N47" s="165">
        <f t="shared" si="3"/>
        <v>0</v>
      </c>
    </row>
    <row r="48" spans="10:14">
      <c r="J48" s="63"/>
      <c r="L48" s="63">
        <f t="shared" si="2"/>
        <v>0</v>
      </c>
      <c r="N48" s="165">
        <f t="shared" si="3"/>
        <v>0</v>
      </c>
    </row>
    <row r="49" spans="10:14">
      <c r="J49" s="63"/>
      <c r="L49" s="63">
        <f t="shared" si="2"/>
        <v>0</v>
      </c>
      <c r="N49" s="165">
        <f t="shared" si="3"/>
        <v>0</v>
      </c>
    </row>
    <row r="50" spans="10:14">
      <c r="J50" s="63"/>
      <c r="L50" s="63">
        <f t="shared" si="2"/>
        <v>0</v>
      </c>
      <c r="N50" s="165">
        <f t="shared" si="3"/>
        <v>0</v>
      </c>
    </row>
    <row r="51" spans="10:14">
      <c r="J51" s="63"/>
      <c r="L51" s="63">
        <f t="shared" si="2"/>
        <v>0</v>
      </c>
      <c r="N51" s="165">
        <f t="shared" si="3"/>
        <v>0</v>
      </c>
    </row>
    <row r="52" spans="10:14">
      <c r="J52" s="63"/>
      <c r="L52" s="63">
        <f t="shared" si="2"/>
        <v>0</v>
      </c>
      <c r="N52" s="165">
        <f t="shared" si="3"/>
        <v>0</v>
      </c>
    </row>
    <row r="53" spans="10:14">
      <c r="J53" s="63"/>
      <c r="L53" s="63">
        <f t="shared" si="2"/>
        <v>0</v>
      </c>
      <c r="N53" s="165">
        <f t="shared" si="3"/>
        <v>0</v>
      </c>
    </row>
    <row r="54" spans="10:14">
      <c r="J54" s="63"/>
      <c r="L54" s="63">
        <f t="shared" si="2"/>
        <v>0</v>
      </c>
      <c r="N54" s="165">
        <f t="shared" si="3"/>
        <v>0</v>
      </c>
    </row>
    <row r="55" spans="10:14">
      <c r="J55" s="63"/>
      <c r="L55" s="63">
        <f t="shared" si="2"/>
        <v>0</v>
      </c>
      <c r="N55" s="165">
        <f t="shared" si="3"/>
        <v>0</v>
      </c>
    </row>
    <row r="56" spans="10:14">
      <c r="J56" s="63"/>
      <c r="L56" s="63">
        <f t="shared" si="2"/>
        <v>0</v>
      </c>
      <c r="N56" s="165">
        <f t="shared" si="3"/>
        <v>0</v>
      </c>
    </row>
    <row r="57" spans="10:14">
      <c r="J57" s="63"/>
      <c r="L57" s="63">
        <f t="shared" si="2"/>
        <v>0</v>
      </c>
      <c r="N57" s="165">
        <f t="shared" si="3"/>
        <v>0</v>
      </c>
    </row>
    <row r="58" spans="10:14">
      <c r="J58" s="63"/>
      <c r="L58" s="63">
        <f t="shared" si="2"/>
        <v>0</v>
      </c>
      <c r="N58" s="165">
        <f t="shared" si="3"/>
        <v>0</v>
      </c>
    </row>
    <row r="59" spans="10:14">
      <c r="J59" s="63"/>
      <c r="L59" s="63">
        <f t="shared" si="2"/>
        <v>0</v>
      </c>
      <c r="N59" s="165">
        <f t="shared" si="3"/>
        <v>0</v>
      </c>
    </row>
    <row r="60" spans="10:14">
      <c r="J60" s="63"/>
      <c r="L60" s="63">
        <f t="shared" si="2"/>
        <v>0</v>
      </c>
      <c r="N60" s="165">
        <f t="shared" si="3"/>
        <v>0</v>
      </c>
    </row>
    <row r="61" spans="10:14">
      <c r="J61" s="63"/>
      <c r="L61" s="63">
        <f t="shared" si="2"/>
        <v>0</v>
      </c>
      <c r="N61" s="165">
        <f t="shared" si="3"/>
        <v>0</v>
      </c>
    </row>
    <row r="62" spans="10:14">
      <c r="J62" s="63"/>
      <c r="L62" s="63">
        <f t="shared" si="2"/>
        <v>0</v>
      </c>
      <c r="N62" s="165">
        <f t="shared" si="3"/>
        <v>0</v>
      </c>
    </row>
    <row r="63" spans="10:14">
      <c r="J63" s="63"/>
      <c r="L63" s="63">
        <f t="shared" si="2"/>
        <v>0</v>
      </c>
      <c r="N63" s="165">
        <f t="shared" si="3"/>
        <v>0</v>
      </c>
    </row>
    <row r="64" spans="10:14">
      <c r="J64" s="63"/>
      <c r="L64" s="63">
        <f t="shared" si="2"/>
        <v>0</v>
      </c>
      <c r="N64" s="165">
        <f t="shared" si="3"/>
        <v>0</v>
      </c>
    </row>
    <row r="65" spans="10:14">
      <c r="J65" s="63"/>
      <c r="L65" s="63">
        <f t="shared" si="2"/>
        <v>0</v>
      </c>
      <c r="N65" s="165">
        <f t="shared" si="3"/>
        <v>0</v>
      </c>
    </row>
    <row r="66" spans="10:14">
      <c r="J66" s="63"/>
      <c r="L66" s="63">
        <f t="shared" si="2"/>
        <v>0</v>
      </c>
      <c r="N66" s="165">
        <f t="shared" si="3"/>
        <v>0</v>
      </c>
    </row>
    <row r="67" spans="10:14">
      <c r="J67" s="63"/>
      <c r="L67" s="63">
        <f t="shared" si="2"/>
        <v>0</v>
      </c>
      <c r="N67" s="165">
        <f t="shared" si="3"/>
        <v>0</v>
      </c>
    </row>
    <row r="68" spans="10:14">
      <c r="J68" s="63"/>
      <c r="L68" s="63">
        <f t="shared" si="2"/>
        <v>0</v>
      </c>
      <c r="N68" s="165">
        <f t="shared" si="3"/>
        <v>0</v>
      </c>
    </row>
    <row r="69" spans="10:14">
      <c r="J69" s="63"/>
      <c r="L69" s="63">
        <f t="shared" ref="L69:L100" si="4">IFERROR(J69/K69,0)</f>
        <v>0</v>
      </c>
      <c r="N69" s="165">
        <f t="shared" ref="N69:N100" si="5">IFERROR(M69/K69,0)</f>
        <v>0</v>
      </c>
    </row>
    <row r="70" spans="10:14">
      <c r="J70" s="63"/>
      <c r="L70" s="63">
        <f t="shared" si="4"/>
        <v>0</v>
      </c>
      <c r="N70" s="165">
        <f t="shared" si="5"/>
        <v>0</v>
      </c>
    </row>
    <row r="71" spans="10:14">
      <c r="J71" s="63"/>
      <c r="L71" s="63">
        <f t="shared" si="4"/>
        <v>0</v>
      </c>
      <c r="N71" s="165">
        <f t="shared" si="5"/>
        <v>0</v>
      </c>
    </row>
    <row r="72" spans="10:14">
      <c r="J72" s="63"/>
      <c r="L72" s="63">
        <f t="shared" si="4"/>
        <v>0</v>
      </c>
      <c r="N72" s="165">
        <f t="shared" si="5"/>
        <v>0</v>
      </c>
    </row>
    <row r="73" spans="10:14">
      <c r="J73" s="63"/>
      <c r="L73" s="63">
        <f t="shared" si="4"/>
        <v>0</v>
      </c>
      <c r="N73" s="165">
        <f t="shared" si="5"/>
        <v>0</v>
      </c>
    </row>
    <row r="74" spans="10:14">
      <c r="J74" s="63"/>
      <c r="L74" s="63">
        <f t="shared" si="4"/>
        <v>0</v>
      </c>
      <c r="N74" s="165">
        <f t="shared" si="5"/>
        <v>0</v>
      </c>
    </row>
    <row r="75" spans="10:14">
      <c r="J75" s="63"/>
      <c r="L75" s="63">
        <f t="shared" si="4"/>
        <v>0</v>
      </c>
      <c r="N75" s="165">
        <f t="shared" si="5"/>
        <v>0</v>
      </c>
    </row>
    <row r="76" spans="10:14">
      <c r="J76" s="63"/>
      <c r="L76" s="63">
        <f t="shared" si="4"/>
        <v>0</v>
      </c>
      <c r="N76" s="165">
        <f t="shared" si="5"/>
        <v>0</v>
      </c>
    </row>
    <row r="77" spans="10:14">
      <c r="J77" s="63"/>
      <c r="L77" s="63">
        <f t="shared" si="4"/>
        <v>0</v>
      </c>
      <c r="N77" s="165">
        <f t="shared" si="5"/>
        <v>0</v>
      </c>
    </row>
    <row r="78" spans="10:14">
      <c r="J78" s="63"/>
      <c r="L78" s="63">
        <f t="shared" si="4"/>
        <v>0</v>
      </c>
      <c r="N78" s="165">
        <f t="shared" si="5"/>
        <v>0</v>
      </c>
    </row>
    <row r="79" spans="10:14">
      <c r="J79" s="63"/>
      <c r="L79" s="63">
        <f t="shared" si="4"/>
        <v>0</v>
      </c>
      <c r="N79" s="165">
        <f t="shared" si="5"/>
        <v>0</v>
      </c>
    </row>
    <row r="80" spans="10:14">
      <c r="J80" s="63"/>
      <c r="L80" s="63">
        <f t="shared" si="4"/>
        <v>0</v>
      </c>
      <c r="N80" s="165">
        <f t="shared" si="5"/>
        <v>0</v>
      </c>
    </row>
    <row r="81" spans="10:14">
      <c r="J81" s="63"/>
      <c r="L81" s="63">
        <f t="shared" si="4"/>
        <v>0</v>
      </c>
      <c r="N81" s="165">
        <f t="shared" si="5"/>
        <v>0</v>
      </c>
    </row>
    <row r="82" spans="10:14">
      <c r="J82" s="63"/>
      <c r="L82" s="63">
        <f t="shared" si="4"/>
        <v>0</v>
      </c>
      <c r="N82" s="165">
        <f t="shared" si="5"/>
        <v>0</v>
      </c>
    </row>
    <row r="83" spans="10:14">
      <c r="J83" s="63"/>
      <c r="L83" s="63">
        <f t="shared" si="4"/>
        <v>0</v>
      </c>
      <c r="N83" s="165">
        <f t="shared" si="5"/>
        <v>0</v>
      </c>
    </row>
    <row r="84" spans="10:14">
      <c r="J84" s="63"/>
      <c r="L84" s="63">
        <f t="shared" si="4"/>
        <v>0</v>
      </c>
      <c r="N84" s="165">
        <f t="shared" si="5"/>
        <v>0</v>
      </c>
    </row>
    <row r="85" spans="10:14">
      <c r="J85" s="63"/>
      <c r="L85" s="63">
        <f t="shared" si="4"/>
        <v>0</v>
      </c>
      <c r="N85" s="165">
        <f t="shared" si="5"/>
        <v>0</v>
      </c>
    </row>
    <row r="86" spans="10:14">
      <c r="J86" s="63"/>
      <c r="L86" s="63">
        <f t="shared" si="4"/>
        <v>0</v>
      </c>
      <c r="N86" s="165">
        <f t="shared" si="5"/>
        <v>0</v>
      </c>
    </row>
    <row r="87" spans="10:14">
      <c r="J87" s="63"/>
      <c r="L87" s="63">
        <f t="shared" si="4"/>
        <v>0</v>
      </c>
      <c r="N87" s="165">
        <f t="shared" si="5"/>
        <v>0</v>
      </c>
    </row>
    <row r="88" spans="10:14">
      <c r="J88" s="63"/>
      <c r="L88" s="63">
        <f t="shared" si="4"/>
        <v>0</v>
      </c>
      <c r="N88" s="165">
        <f t="shared" si="5"/>
        <v>0</v>
      </c>
    </row>
    <row r="89" spans="10:14">
      <c r="J89" s="63"/>
      <c r="L89" s="63">
        <f t="shared" si="4"/>
        <v>0</v>
      </c>
      <c r="N89" s="165">
        <f t="shared" si="5"/>
        <v>0</v>
      </c>
    </row>
    <row r="90" spans="10:14">
      <c r="J90" s="63"/>
      <c r="L90" s="63">
        <f t="shared" si="4"/>
        <v>0</v>
      </c>
      <c r="N90" s="165">
        <f t="shared" si="5"/>
        <v>0</v>
      </c>
    </row>
    <row r="91" spans="10:14">
      <c r="J91" s="63"/>
      <c r="L91" s="63">
        <f t="shared" si="4"/>
        <v>0</v>
      </c>
      <c r="N91" s="165">
        <f t="shared" si="5"/>
        <v>0</v>
      </c>
    </row>
    <row r="92" spans="10:14">
      <c r="J92" s="63"/>
      <c r="L92" s="63">
        <f t="shared" si="4"/>
        <v>0</v>
      </c>
      <c r="N92" s="165">
        <f t="shared" si="5"/>
        <v>0</v>
      </c>
    </row>
    <row r="93" spans="10:14">
      <c r="J93" s="63"/>
      <c r="L93" s="63">
        <f t="shared" si="4"/>
        <v>0</v>
      </c>
      <c r="N93" s="165">
        <f t="shared" si="5"/>
        <v>0</v>
      </c>
    </row>
    <row r="94" spans="10:14">
      <c r="J94" s="63"/>
      <c r="L94" s="63">
        <f t="shared" si="4"/>
        <v>0</v>
      </c>
      <c r="N94" s="165">
        <f t="shared" si="5"/>
        <v>0</v>
      </c>
    </row>
    <row r="95" spans="10:14">
      <c r="J95" s="63"/>
      <c r="L95" s="63">
        <f t="shared" si="4"/>
        <v>0</v>
      </c>
      <c r="N95" s="165">
        <f t="shared" si="5"/>
        <v>0</v>
      </c>
    </row>
    <row r="96" spans="10:14">
      <c r="J96" s="63"/>
      <c r="L96" s="63">
        <f t="shared" si="4"/>
        <v>0</v>
      </c>
      <c r="N96" s="165">
        <f t="shared" si="5"/>
        <v>0</v>
      </c>
    </row>
    <row r="97" spans="10:14">
      <c r="J97" s="63"/>
      <c r="L97" s="63">
        <f t="shared" si="4"/>
        <v>0</v>
      </c>
      <c r="N97" s="165">
        <f t="shared" si="5"/>
        <v>0</v>
      </c>
    </row>
    <row r="98" spans="10:14">
      <c r="J98" s="63"/>
      <c r="L98" s="63">
        <f t="shared" si="4"/>
        <v>0</v>
      </c>
      <c r="N98" s="165">
        <f t="shared" si="5"/>
        <v>0</v>
      </c>
    </row>
    <row r="99" spans="10:14">
      <c r="J99" s="63"/>
      <c r="L99" s="63">
        <f t="shared" si="4"/>
        <v>0</v>
      </c>
      <c r="N99" s="165">
        <f t="shared" si="5"/>
        <v>0</v>
      </c>
    </row>
    <row r="100" spans="10:14">
      <c r="J100" s="63"/>
      <c r="L100" s="63">
        <f t="shared" si="4"/>
        <v>0</v>
      </c>
      <c r="N100" s="165">
        <f t="shared" si="5"/>
        <v>0</v>
      </c>
    </row>
    <row r="101" spans="10:14">
      <c r="J101" s="63"/>
      <c r="L101" s="63">
        <f t="shared" ref="L101:L104" si="6">IFERROR(J101/K101,0)</f>
        <v>0</v>
      </c>
      <c r="N101" s="165">
        <f t="shared" ref="N101:N104" si="7">IFERROR(M101/K101,0)</f>
        <v>0</v>
      </c>
    </row>
    <row r="102" spans="10:14">
      <c r="J102" s="63"/>
      <c r="L102" s="63">
        <f t="shared" si="6"/>
        <v>0</v>
      </c>
      <c r="N102" s="165">
        <f t="shared" si="7"/>
        <v>0</v>
      </c>
    </row>
    <row r="103" spans="10:14">
      <c r="J103" s="63"/>
      <c r="L103" s="63">
        <f t="shared" si="6"/>
        <v>0</v>
      </c>
      <c r="N103" s="165">
        <f t="shared" si="7"/>
        <v>0</v>
      </c>
    </row>
    <row r="104" spans="10:14">
      <c r="J104" s="63"/>
      <c r="L104" s="63">
        <f t="shared" si="6"/>
        <v>0</v>
      </c>
      <c r="N104" s="165">
        <f t="shared" si="7"/>
        <v>0</v>
      </c>
    </row>
  </sheetData>
  <mergeCells count="2">
    <mergeCell ref="A1:I1"/>
    <mergeCell ref="A2:Q2"/>
  </mergeCells>
  <dataValidations count="3">
    <dataValidation type="list" allowBlank="1" sqref="C5:C150" xr:uid="{00000000-0002-0000-4F00-000000000000}">
      <formula1>"LNH,LNR,MGC,CaptaPropIA,Marca Personal"</formula1>
    </dataValidation>
    <dataValidation type="list" allowBlank="1" sqref="D5:D150" xr:uid="{00000000-0002-0000-4F00-000001000000}">
      <formula1>"Meta Ads,Google Ads,LinkedIn,YouTube,WhatsApp,Email,Orgánico,Portales,Referidos,Otro"</formula1>
    </dataValidation>
    <dataValidation type="list" allowBlank="1" sqref="I5:I150" xr:uid="{00000000-0002-0000-4F00-000002000000}">
      <formula1>"Lineal,Horizontal,Vertical,Invertido,Relacional,Híbrido,Institucional"</formula1>
    </dataValidation>
  </dataValidation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5B9BD5"/>
  </sheetPr>
  <dimension ref="A1:R4"/>
  <sheetViews>
    <sheetView showGridLines="0" workbookViewId="0"/>
  </sheetViews>
  <sheetFormatPr baseColWidth="10" defaultColWidth="8.7265625" defaultRowHeight="14.5"/>
  <cols>
    <col min="1" max="1" width="38" customWidth="1"/>
    <col min="2" max="2" width="10.36328125" customWidth="1"/>
    <col min="3" max="3" width="18.08984375" customWidth="1"/>
    <col min="4" max="4" width="8.7265625" customWidth="1"/>
    <col min="5" max="5" width="10.453125" customWidth="1"/>
    <col min="6" max="6" width="20.1796875" customWidth="1"/>
    <col min="7" max="7" width="16.453125" customWidth="1"/>
    <col min="8" max="8" width="10.90625" customWidth="1"/>
    <col min="9" max="9" width="14.7265625" customWidth="1"/>
    <col min="10" max="10" width="20.453125" customWidth="1"/>
    <col min="11" max="11" width="18" customWidth="1"/>
    <col min="12" max="12" width="29.7265625" customWidth="1"/>
    <col min="13" max="13" width="18.90625" customWidth="1"/>
    <col min="14" max="14" width="21.54296875" customWidth="1"/>
    <col min="15" max="15" width="12.36328125" customWidth="1"/>
    <col min="16" max="16" width="17.90625" customWidth="1"/>
    <col min="17" max="17" width="13.1796875" customWidth="1"/>
    <col min="18" max="18" width="15.36328125" customWidth="1"/>
  </cols>
  <sheetData>
    <row r="1" spans="1:18" ht="37" customHeight="1">
      <c r="A1" s="503" t="s">
        <v>3073</v>
      </c>
      <c r="B1" s="504"/>
      <c r="C1" s="504"/>
      <c r="D1" s="504"/>
      <c r="E1" s="504"/>
      <c r="F1" s="504"/>
      <c r="G1" s="505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r="2" spans="1:18">
      <c r="A2" s="506" t="s">
        <v>3074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</row>
    <row r="4" spans="1:18">
      <c r="A4" s="153" t="s">
        <v>73</v>
      </c>
      <c r="B4" s="153" t="s">
        <v>13</v>
      </c>
      <c r="C4" s="153" t="s">
        <v>3075</v>
      </c>
      <c r="D4" s="153" t="s">
        <v>3076</v>
      </c>
      <c r="E4" s="153" t="s">
        <v>3046</v>
      </c>
      <c r="F4" s="153" t="s">
        <v>3077</v>
      </c>
      <c r="G4" s="153" t="s">
        <v>3078</v>
      </c>
      <c r="H4" s="153" t="s">
        <v>3079</v>
      </c>
      <c r="I4" s="153" t="s">
        <v>3080</v>
      </c>
      <c r="J4" s="153" t="s">
        <v>3081</v>
      </c>
      <c r="K4" s="153" t="s">
        <v>3082</v>
      </c>
      <c r="L4" s="153" t="s">
        <v>3083</v>
      </c>
      <c r="M4" s="153" t="s">
        <v>3084</v>
      </c>
      <c r="N4" s="153" t="s">
        <v>3085</v>
      </c>
      <c r="O4" s="153" t="s">
        <v>3065</v>
      </c>
      <c r="P4" s="153" t="s">
        <v>3086</v>
      </c>
      <c r="Q4" s="153" t="s">
        <v>248</v>
      </c>
      <c r="R4" s="153" t="s">
        <v>656</v>
      </c>
    </row>
  </sheetData>
  <mergeCells count="2">
    <mergeCell ref="A2:R2"/>
    <mergeCell ref="A1:G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5B9BD5"/>
  </sheetPr>
  <dimension ref="A1:R4"/>
  <sheetViews>
    <sheetView showGridLines="0" workbookViewId="0"/>
  </sheetViews>
  <sheetFormatPr baseColWidth="10" defaultColWidth="8.7265625" defaultRowHeight="14.5"/>
  <cols>
    <col min="1" max="1" width="38" customWidth="1"/>
    <col min="2" max="2" width="10.36328125" customWidth="1"/>
    <col min="3" max="3" width="11.453125" customWidth="1"/>
    <col min="4" max="4" width="14.7265625" customWidth="1"/>
    <col min="5" max="5" width="10.453125" customWidth="1"/>
    <col min="6" max="6" width="14.81640625" customWidth="1"/>
    <col min="7" max="7" width="14.54296875" customWidth="1"/>
    <col min="8" max="8" width="18.08984375" customWidth="1"/>
    <col min="9" max="9" width="11.81640625" customWidth="1"/>
    <col min="10" max="10" width="13.90625" customWidth="1"/>
    <col min="11" max="11" width="16.6328125" customWidth="1"/>
    <col min="12" max="12" width="8.7265625" customWidth="1"/>
    <col min="13" max="13" width="14.81640625" customWidth="1"/>
    <col min="14" max="14" width="10.90625" customWidth="1"/>
    <col min="15" max="15" width="28.90625" customWidth="1"/>
    <col min="16" max="16" width="17.1796875" customWidth="1"/>
    <col min="17" max="17" width="27.36328125" customWidth="1"/>
    <col min="18" max="18" width="13.1796875" customWidth="1"/>
  </cols>
  <sheetData>
    <row r="1" spans="1:18" ht="55.5" customHeight="1">
      <c r="A1" s="503" t="s">
        <v>3087</v>
      </c>
      <c r="B1" s="504"/>
      <c r="C1" s="504"/>
      <c r="D1" s="504"/>
      <c r="E1" s="504"/>
      <c r="F1" s="504"/>
      <c r="G1" s="504"/>
      <c r="H1" s="504"/>
      <c r="I1" s="504"/>
      <c r="J1" s="504"/>
      <c r="K1" s="505"/>
      <c r="L1" s="152"/>
      <c r="M1" s="152"/>
      <c r="N1" s="152"/>
      <c r="O1" s="152"/>
      <c r="P1" s="152"/>
      <c r="Q1" s="152"/>
      <c r="R1" s="152"/>
    </row>
    <row r="2" spans="1:18">
      <c r="A2" s="506" t="s">
        <v>3088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</row>
    <row r="4" spans="1:18">
      <c r="A4" s="153" t="s">
        <v>73</v>
      </c>
      <c r="B4" s="153" t="s">
        <v>13</v>
      </c>
      <c r="C4" s="153" t="s">
        <v>1786</v>
      </c>
      <c r="D4" s="153" t="s">
        <v>3089</v>
      </c>
      <c r="E4" s="153" t="s">
        <v>3046</v>
      </c>
      <c r="F4" s="153" t="s">
        <v>3090</v>
      </c>
      <c r="G4" s="153" t="s">
        <v>1306</v>
      </c>
      <c r="H4" s="153" t="s">
        <v>3091</v>
      </c>
      <c r="I4" s="153" t="s">
        <v>3092</v>
      </c>
      <c r="J4" s="153" t="s">
        <v>3093</v>
      </c>
      <c r="K4" s="153" t="s">
        <v>3094</v>
      </c>
      <c r="L4" s="153" t="s">
        <v>3095</v>
      </c>
      <c r="M4" s="153" t="s">
        <v>3096</v>
      </c>
      <c r="N4" s="153" t="s">
        <v>3079</v>
      </c>
      <c r="O4" s="153" t="s">
        <v>3097</v>
      </c>
      <c r="P4" s="153" t="s">
        <v>3098</v>
      </c>
      <c r="Q4" s="153" t="s">
        <v>3099</v>
      </c>
      <c r="R4" s="153" t="s">
        <v>248</v>
      </c>
    </row>
  </sheetData>
  <mergeCells count="2">
    <mergeCell ref="A2:R2"/>
    <mergeCell ref="A1:K1"/>
  </mergeCells>
  <dataValidations count="1">
    <dataValidation type="list" allowBlank="1" sqref="D5:D200" xr:uid="{00000000-0002-0000-5100-000000000000}">
      <formula1>"Instagram,Facebook,LinkedIn,YouTube,TikTok,X,WhatsApp,Otro"</formula1>
    </dataValidation>
  </dataValidation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3100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00B0F0"/>
  </sheetPr>
  <dimension ref="A1:Q13"/>
  <sheetViews>
    <sheetView showGridLines="0" workbookViewId="0"/>
  </sheetViews>
  <sheetFormatPr baseColWidth="10" defaultColWidth="8.7265625" defaultRowHeight="14.5"/>
  <cols>
    <col min="1" max="1" width="42" customWidth="1"/>
    <col min="2" max="2" width="17" customWidth="1"/>
    <col min="3" max="3" width="19" customWidth="1"/>
    <col min="4" max="4" width="12" customWidth="1"/>
    <col min="5" max="6" width="13" customWidth="1"/>
    <col min="7" max="9" width="12" customWidth="1"/>
    <col min="10" max="10" width="16" customWidth="1"/>
    <col min="11" max="11" width="25" customWidth="1"/>
    <col min="12" max="12" width="23" customWidth="1"/>
    <col min="13" max="13" width="12" customWidth="1"/>
    <col min="14" max="14" width="15" customWidth="1"/>
    <col min="15" max="15" width="20.7265625" customWidth="1"/>
    <col min="16" max="16" width="20.453125" customWidth="1"/>
    <col min="17" max="17" width="15.36328125" customWidth="1"/>
    <col min="19" max="19" width="13.6328125" customWidth="1"/>
    <col min="22" max="22" width="19.7265625" customWidth="1"/>
    <col min="23" max="23" width="9.6328125" customWidth="1"/>
    <col min="24" max="24" width="14.1796875" customWidth="1"/>
    <col min="25" max="25" width="8.1796875" customWidth="1"/>
  </cols>
  <sheetData>
    <row r="1" spans="1:17" ht="30" customHeight="1">
      <c r="A1" s="489" t="s">
        <v>3101</v>
      </c>
      <c r="B1" s="426"/>
      <c r="C1" s="426"/>
      <c r="D1" s="426"/>
      <c r="E1" s="426"/>
      <c r="F1" s="426"/>
      <c r="G1" s="426"/>
      <c r="H1" s="426"/>
    </row>
    <row r="2" spans="1:17">
      <c r="A2" s="485" t="s">
        <v>3102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</row>
    <row r="4" spans="1:17">
      <c r="A4" s="207" t="s">
        <v>3103</v>
      </c>
      <c r="B4" s="207" t="s">
        <v>2746</v>
      </c>
      <c r="C4" s="207" t="s">
        <v>1904</v>
      </c>
      <c r="D4" s="207" t="s">
        <v>3104</v>
      </c>
      <c r="E4" s="207" t="s">
        <v>1307</v>
      </c>
      <c r="F4" s="207" t="s">
        <v>3105</v>
      </c>
      <c r="G4" s="207" t="s">
        <v>655</v>
      </c>
      <c r="H4" s="207" t="s">
        <v>3106</v>
      </c>
      <c r="I4" s="207" t="s">
        <v>3107</v>
      </c>
      <c r="J4" s="207" t="s">
        <v>3108</v>
      </c>
      <c r="K4" s="207" t="s">
        <v>3109</v>
      </c>
      <c r="L4" s="207" t="s">
        <v>3110</v>
      </c>
      <c r="M4" s="207" t="s">
        <v>248</v>
      </c>
      <c r="N4" s="207" t="s">
        <v>1934</v>
      </c>
    </row>
    <row r="5" spans="1:17">
      <c r="A5" s="209" t="s">
        <v>3111</v>
      </c>
      <c r="B5" s="209" t="s">
        <v>3112</v>
      </c>
      <c r="C5" s="209" t="s">
        <v>2829</v>
      </c>
      <c r="D5" s="209" t="s">
        <v>3113</v>
      </c>
      <c r="E5" s="209" t="s">
        <v>1314</v>
      </c>
      <c r="F5" s="209" t="s">
        <v>3114</v>
      </c>
      <c r="G5" s="209" t="s">
        <v>49</v>
      </c>
      <c r="H5" s="223">
        <v>0</v>
      </c>
      <c r="I5" s="209"/>
      <c r="J5" s="209"/>
      <c r="K5" s="209" t="s">
        <v>3115</v>
      </c>
      <c r="L5" s="209" t="s">
        <v>3116</v>
      </c>
      <c r="M5" s="209" t="s">
        <v>332</v>
      </c>
      <c r="N5" s="209"/>
    </row>
    <row r="6" spans="1:17" ht="42.5" customHeight="1">
      <c r="A6" s="431" t="s">
        <v>3111</v>
      </c>
      <c r="B6" s="429"/>
      <c r="C6" s="429"/>
      <c r="D6" s="429"/>
      <c r="E6" s="430"/>
      <c r="F6" s="209" t="s">
        <v>3117</v>
      </c>
      <c r="G6" s="209" t="s">
        <v>49</v>
      </c>
      <c r="H6" s="223">
        <v>0</v>
      </c>
      <c r="I6" s="209"/>
      <c r="J6" s="209"/>
      <c r="K6" s="209" t="s">
        <v>3118</v>
      </c>
      <c r="L6" s="209" t="s">
        <v>3119</v>
      </c>
      <c r="M6" s="209" t="s">
        <v>332</v>
      </c>
      <c r="N6" s="209"/>
    </row>
    <row r="7" spans="1:17">
      <c r="A7" s="431" t="s">
        <v>3120</v>
      </c>
      <c r="B7" s="429"/>
      <c r="C7" s="429"/>
      <c r="D7" s="429"/>
      <c r="E7" s="429"/>
      <c r="F7" s="429"/>
      <c r="G7" s="429"/>
      <c r="H7" s="429"/>
      <c r="I7" s="430"/>
      <c r="J7" s="209"/>
      <c r="K7" s="209" t="s">
        <v>3121</v>
      </c>
      <c r="L7" s="209" t="s">
        <v>3122</v>
      </c>
      <c r="M7" s="209" t="s">
        <v>332</v>
      </c>
      <c r="N7" s="209"/>
    </row>
    <row r="8" spans="1:17">
      <c r="A8" s="209" t="s">
        <v>3120</v>
      </c>
      <c r="B8" s="209" t="s">
        <v>3123</v>
      </c>
      <c r="C8" s="209" t="s">
        <v>3124</v>
      </c>
      <c r="D8" s="209" t="s">
        <v>3125</v>
      </c>
      <c r="E8" s="209" t="s">
        <v>1314</v>
      </c>
      <c r="F8" s="209" t="s">
        <v>3126</v>
      </c>
      <c r="G8" s="209" t="s">
        <v>49</v>
      </c>
      <c r="H8" s="223">
        <v>0</v>
      </c>
      <c r="I8" s="209"/>
      <c r="J8" s="209"/>
      <c r="K8" s="209" t="s">
        <v>3127</v>
      </c>
      <c r="L8" s="209" t="s">
        <v>3128</v>
      </c>
      <c r="M8" s="209" t="s">
        <v>332</v>
      </c>
      <c r="N8" s="209"/>
    </row>
    <row r="9" spans="1:17">
      <c r="A9" s="209" t="s">
        <v>3129</v>
      </c>
      <c r="B9" s="209" t="s">
        <v>3130</v>
      </c>
      <c r="C9" s="209" t="s">
        <v>3131</v>
      </c>
      <c r="D9" s="209" t="s">
        <v>3132</v>
      </c>
      <c r="E9" s="209" t="s">
        <v>1314</v>
      </c>
      <c r="F9" s="209" t="s">
        <v>3133</v>
      </c>
      <c r="G9" s="209" t="s">
        <v>49</v>
      </c>
      <c r="H9" s="223">
        <v>0</v>
      </c>
      <c r="I9" s="209"/>
      <c r="J9" s="209"/>
      <c r="K9" s="209" t="s">
        <v>3134</v>
      </c>
      <c r="L9" s="209" t="s">
        <v>3135</v>
      </c>
      <c r="M9" s="209" t="s">
        <v>1907</v>
      </c>
      <c r="N9" s="209"/>
    </row>
    <row r="10" spans="1:17">
      <c r="A10" s="209" t="s">
        <v>3129</v>
      </c>
      <c r="B10" s="209" t="s">
        <v>3130</v>
      </c>
      <c r="C10" s="209" t="s">
        <v>3136</v>
      </c>
      <c r="D10" s="209" t="s">
        <v>3132</v>
      </c>
      <c r="E10" s="209" t="s">
        <v>1314</v>
      </c>
      <c r="F10" s="209" t="s">
        <v>3137</v>
      </c>
      <c r="G10" s="209" t="s">
        <v>49</v>
      </c>
      <c r="H10" s="223">
        <v>0</v>
      </c>
      <c r="I10" s="209"/>
      <c r="J10" s="209"/>
      <c r="K10" s="209" t="s">
        <v>3138</v>
      </c>
      <c r="L10" s="209" t="s">
        <v>3135</v>
      </c>
      <c r="M10" s="209" t="s">
        <v>1907</v>
      </c>
      <c r="N10" s="209"/>
    </row>
    <row r="11" spans="1:17">
      <c r="A11" s="209" t="s">
        <v>3139</v>
      </c>
      <c r="B11" s="209" t="s">
        <v>3140</v>
      </c>
      <c r="C11" s="209" t="s">
        <v>3141</v>
      </c>
      <c r="D11" s="209" t="s">
        <v>3142</v>
      </c>
      <c r="E11" s="209" t="s">
        <v>1314</v>
      </c>
      <c r="F11" s="209" t="s">
        <v>3143</v>
      </c>
      <c r="G11" s="209" t="s">
        <v>49</v>
      </c>
      <c r="H11" s="223">
        <v>0</v>
      </c>
      <c r="I11" s="209"/>
      <c r="J11" s="209"/>
      <c r="K11" s="209" t="s">
        <v>3070</v>
      </c>
      <c r="L11" s="209" t="s">
        <v>3144</v>
      </c>
      <c r="M11" s="209" t="s">
        <v>1907</v>
      </c>
      <c r="N11" s="209"/>
    </row>
    <row r="12" spans="1:17">
      <c r="A12" s="209" t="s">
        <v>3145</v>
      </c>
      <c r="B12" s="209" t="s">
        <v>3146</v>
      </c>
      <c r="C12" s="209" t="s">
        <v>3147</v>
      </c>
      <c r="D12" s="209" t="s">
        <v>3148</v>
      </c>
      <c r="E12" s="209" t="s">
        <v>1314</v>
      </c>
      <c r="F12" s="209" t="s">
        <v>3123</v>
      </c>
      <c r="G12" s="209" t="s">
        <v>49</v>
      </c>
      <c r="H12" s="223">
        <v>0</v>
      </c>
      <c r="I12" s="209"/>
      <c r="J12" s="209"/>
      <c r="K12" s="209" t="s">
        <v>3149</v>
      </c>
      <c r="L12" s="209" t="s">
        <v>3150</v>
      </c>
      <c r="M12" s="209" t="s">
        <v>332</v>
      </c>
      <c r="N12" s="209"/>
    </row>
    <row r="13" spans="1:17">
      <c r="A13" s="209" t="s">
        <v>3151</v>
      </c>
      <c r="B13" s="209" t="s">
        <v>90</v>
      </c>
      <c r="C13" s="209" t="s">
        <v>3152</v>
      </c>
      <c r="D13" s="209" t="s">
        <v>3153</v>
      </c>
      <c r="E13" s="209" t="s">
        <v>1314</v>
      </c>
      <c r="F13" s="209" t="s">
        <v>3141</v>
      </c>
      <c r="G13" s="209" t="s">
        <v>49</v>
      </c>
      <c r="H13" s="223">
        <v>0</v>
      </c>
      <c r="I13" s="209"/>
      <c r="J13" s="209"/>
      <c r="K13" s="209" t="s">
        <v>3154</v>
      </c>
      <c r="L13" s="209" t="s">
        <v>3155</v>
      </c>
      <c r="M13" s="209" t="s">
        <v>332</v>
      </c>
      <c r="N13" s="209"/>
    </row>
  </sheetData>
  <mergeCells count="4">
    <mergeCell ref="A7:I7"/>
    <mergeCell ref="A6:E6"/>
    <mergeCell ref="A2:Q2"/>
    <mergeCell ref="A1:H1"/>
  </mergeCells>
  <dataValidations count="5">
    <dataValidation type="list" allowBlank="1" sqref="B5 B8:B200" xr:uid="{00000000-0002-0000-5300-000000000000}">
      <formula1>"Fase 0,Fase 1,Fase 2,Fase 3,Fase 4,Fase 5"</formula1>
    </dataValidation>
    <dataValidation type="list" allowBlank="1" sqref="C5 C8:C200" xr:uid="{00000000-0002-0000-5300-000001000000}">
      <formula1>"Infraestructura,Backend,Frontend,Base de datos,IA/Scoring,Scraping/ETL,CRM,WhatsApp/Email,Dashboard,Legal/Privacidad,Testing,Growth"</formula1>
    </dataValidation>
    <dataValidation type="list" allowBlank="1" sqref="F5:F6 F8:F200" xr:uid="{00000000-0002-0000-5300-000002000000}">
      <formula1>"Alta,Media,Baja"</formula1>
    </dataValidation>
    <dataValidation type="list" allowBlank="1" sqref="G5:G6 G8:G200" xr:uid="{00000000-0002-0000-5300-000003000000}">
      <formula1>"No iniciado,En proceso,Bloqueado,Terminado,Descartado"</formula1>
    </dataValidation>
    <dataValidation type="list" allowBlank="1" sqref="G5:G13" xr:uid="{00000000-0002-0000-5300-000004000000}">
      <formula1>"Pendiente,En proceso,Completado,Bloqueado"</formula1>
    </dataValidation>
  </dataValidation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00B0F0"/>
  </sheetPr>
  <dimension ref="A1:N72"/>
  <sheetViews>
    <sheetView showGridLines="0" workbookViewId="0"/>
  </sheetViews>
  <sheetFormatPr baseColWidth="10" defaultColWidth="8.7265625" defaultRowHeight="14.5"/>
  <cols>
    <col min="1" max="1" width="22" customWidth="1"/>
    <col min="2" max="2" width="20" customWidth="1"/>
    <col min="3" max="3" width="22" customWidth="1"/>
    <col min="4" max="4" width="28" customWidth="1"/>
    <col min="5" max="5" width="30" customWidth="1"/>
    <col min="6" max="9" width="18" customWidth="1"/>
    <col min="10" max="10" width="20" customWidth="1"/>
    <col min="11" max="12" width="28" customWidth="1"/>
    <col min="13" max="13" width="22" customWidth="1"/>
    <col min="14" max="14" width="28" customWidth="1"/>
  </cols>
  <sheetData>
    <row r="1" spans="1:14" ht="28" customHeight="1">
      <c r="A1" s="507" t="s">
        <v>3156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 ht="36" customHeight="1">
      <c r="A2" s="510" t="s">
        <v>3157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4" spans="1:14" ht="24" customHeight="1">
      <c r="A4" s="508" t="s">
        <v>3158</v>
      </c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</row>
    <row r="5" spans="1:14" ht="36" customHeight="1">
      <c r="A5" s="199" t="s">
        <v>66</v>
      </c>
      <c r="B5" s="199" t="s">
        <v>3159</v>
      </c>
      <c r="C5" s="199" t="s">
        <v>3160</v>
      </c>
      <c r="D5" s="199" t="s">
        <v>1369</v>
      </c>
      <c r="E5" s="199" t="s">
        <v>248</v>
      </c>
      <c r="F5" s="199" t="s">
        <v>3161</v>
      </c>
      <c r="G5" s="199" t="s">
        <v>3162</v>
      </c>
      <c r="H5" s="199" t="s">
        <v>655</v>
      </c>
      <c r="I5" s="199" t="s">
        <v>2181</v>
      </c>
      <c r="J5" s="199" t="s">
        <v>3163</v>
      </c>
    </row>
    <row r="6" spans="1:14" ht="36" customHeight="1">
      <c r="A6" s="200" t="s">
        <v>3164</v>
      </c>
      <c r="B6" s="200" t="s">
        <v>3165</v>
      </c>
      <c r="C6" s="200" t="s">
        <v>3166</v>
      </c>
      <c r="D6" s="200" t="s">
        <v>3167</v>
      </c>
      <c r="E6" s="200" t="s">
        <v>332</v>
      </c>
      <c r="F6" s="200" t="s">
        <v>1289</v>
      </c>
      <c r="G6" s="200" t="s">
        <v>3168</v>
      </c>
      <c r="H6" s="201" t="s">
        <v>3169</v>
      </c>
      <c r="I6" s="200" t="s">
        <v>3170</v>
      </c>
      <c r="J6" s="200" t="s">
        <v>3171</v>
      </c>
    </row>
    <row r="7" spans="1:14" ht="36" customHeight="1">
      <c r="A7" s="200" t="s">
        <v>3172</v>
      </c>
      <c r="B7" s="200" t="s">
        <v>3173</v>
      </c>
      <c r="C7" s="200" t="s">
        <v>3174</v>
      </c>
      <c r="D7" s="200" t="s">
        <v>3167</v>
      </c>
      <c r="E7" s="200" t="s">
        <v>332</v>
      </c>
      <c r="F7" s="200" t="s">
        <v>1289</v>
      </c>
      <c r="G7" s="200" t="s">
        <v>3175</v>
      </c>
      <c r="H7" s="201" t="s">
        <v>3169</v>
      </c>
      <c r="I7" s="200" t="s">
        <v>3176</v>
      </c>
      <c r="J7" s="200" t="s">
        <v>3177</v>
      </c>
    </row>
    <row r="8" spans="1:14" ht="36" customHeight="1">
      <c r="A8" s="200" t="s">
        <v>3117</v>
      </c>
      <c r="B8" s="200" t="s">
        <v>3178</v>
      </c>
      <c r="C8" s="200" t="s">
        <v>3179</v>
      </c>
      <c r="D8" s="200" t="s">
        <v>2135</v>
      </c>
      <c r="E8" s="200" t="s">
        <v>332</v>
      </c>
      <c r="F8" s="200" t="s">
        <v>1289</v>
      </c>
      <c r="G8" s="200" t="s">
        <v>3175</v>
      </c>
      <c r="H8" s="202" t="s">
        <v>3180</v>
      </c>
      <c r="I8" s="200" t="s">
        <v>3181</v>
      </c>
      <c r="J8" s="200" t="s">
        <v>3182</v>
      </c>
    </row>
    <row r="9" spans="1:14" ht="36" customHeight="1">
      <c r="A9" s="200" t="s">
        <v>3183</v>
      </c>
      <c r="B9" s="200" t="s">
        <v>3135</v>
      </c>
      <c r="C9" s="200" t="s">
        <v>3184</v>
      </c>
      <c r="D9" s="200" t="s">
        <v>3167</v>
      </c>
      <c r="E9" s="200" t="s">
        <v>332</v>
      </c>
      <c r="F9" s="200" t="s">
        <v>3185</v>
      </c>
      <c r="G9" s="200" t="s">
        <v>3186</v>
      </c>
      <c r="H9" s="201" t="s">
        <v>3169</v>
      </c>
      <c r="I9" s="200" t="s">
        <v>3187</v>
      </c>
      <c r="J9" s="200" t="s">
        <v>3188</v>
      </c>
    </row>
    <row r="10" spans="1:14" ht="36" customHeight="1">
      <c r="A10" s="200" t="s">
        <v>3146</v>
      </c>
      <c r="B10" s="200" t="s">
        <v>3189</v>
      </c>
      <c r="C10" s="200" t="s">
        <v>3190</v>
      </c>
      <c r="D10" s="200" t="s">
        <v>2135</v>
      </c>
      <c r="E10" s="200" t="s">
        <v>332</v>
      </c>
      <c r="F10" s="200" t="s">
        <v>1289</v>
      </c>
      <c r="G10" s="200" t="s">
        <v>3175</v>
      </c>
      <c r="H10" s="202" t="s">
        <v>3180</v>
      </c>
      <c r="I10" s="200" t="s">
        <v>3191</v>
      </c>
      <c r="J10" s="200" t="s">
        <v>3192</v>
      </c>
    </row>
    <row r="11" spans="1:14" ht="36" customHeight="1">
      <c r="A11" s="200" t="s">
        <v>3124</v>
      </c>
      <c r="B11" s="200" t="s">
        <v>3193</v>
      </c>
      <c r="C11" s="200" t="s">
        <v>3194</v>
      </c>
      <c r="D11" s="200" t="s">
        <v>2135</v>
      </c>
      <c r="E11" s="200" t="s">
        <v>332</v>
      </c>
      <c r="F11" s="200" t="s">
        <v>3185</v>
      </c>
      <c r="G11" s="200" t="s">
        <v>1598</v>
      </c>
      <c r="H11" s="202" t="s">
        <v>3180</v>
      </c>
      <c r="I11" s="200" t="s">
        <v>3195</v>
      </c>
      <c r="J11" s="200" t="s">
        <v>3196</v>
      </c>
    </row>
    <row r="12" spans="1:14" ht="36" customHeight="1">
      <c r="A12" s="200" t="s">
        <v>3140</v>
      </c>
      <c r="B12" s="200" t="s">
        <v>3197</v>
      </c>
      <c r="C12" s="200" t="s">
        <v>3198</v>
      </c>
      <c r="D12" s="200" t="s">
        <v>2135</v>
      </c>
      <c r="E12" s="200" t="s">
        <v>1289</v>
      </c>
      <c r="F12" s="200" t="s">
        <v>3199</v>
      </c>
      <c r="G12" s="200" t="s">
        <v>3175</v>
      </c>
      <c r="H12" s="202" t="s">
        <v>3180</v>
      </c>
      <c r="I12" s="200" t="s">
        <v>3200</v>
      </c>
      <c r="J12" s="200" t="s">
        <v>3201</v>
      </c>
    </row>
    <row r="13" spans="1:14" ht="36" customHeight="1">
      <c r="A13" s="200" t="s">
        <v>3202</v>
      </c>
      <c r="B13" s="200" t="s">
        <v>3203</v>
      </c>
      <c r="C13" s="200" t="s">
        <v>3204</v>
      </c>
      <c r="D13" s="200" t="s">
        <v>2135</v>
      </c>
      <c r="E13" s="200" t="s">
        <v>1289</v>
      </c>
      <c r="F13" s="200" t="s">
        <v>2006</v>
      </c>
      <c r="G13" s="200" t="s">
        <v>3205</v>
      </c>
      <c r="H13" s="202" t="s">
        <v>3180</v>
      </c>
      <c r="I13" s="200" t="s">
        <v>3206</v>
      </c>
      <c r="J13" s="200" t="s">
        <v>3207</v>
      </c>
    </row>
    <row r="14" spans="1:14" ht="36" customHeight="1">
      <c r="A14" s="200" t="s">
        <v>3208</v>
      </c>
      <c r="B14" s="200" t="s">
        <v>3209</v>
      </c>
      <c r="C14" s="200" t="s">
        <v>3210</v>
      </c>
      <c r="D14" s="200" t="s">
        <v>2135</v>
      </c>
      <c r="E14" s="200" t="s">
        <v>1289</v>
      </c>
      <c r="F14" s="200" t="s">
        <v>1289</v>
      </c>
      <c r="G14" s="200" t="s">
        <v>3186</v>
      </c>
      <c r="H14" s="202" t="s">
        <v>3180</v>
      </c>
      <c r="I14" s="200" t="s">
        <v>3211</v>
      </c>
      <c r="J14" s="200" t="s">
        <v>3212</v>
      </c>
    </row>
    <row r="17" spans="1:14" ht="24" customHeight="1">
      <c r="A17" s="508" t="s">
        <v>3213</v>
      </c>
      <c r="B17" s="426"/>
      <c r="C17" s="426"/>
      <c r="D17" s="426"/>
      <c r="E17" s="426"/>
      <c r="F17" s="426"/>
      <c r="G17" s="426"/>
      <c r="H17" s="426"/>
      <c r="I17" s="426"/>
      <c r="J17" s="426"/>
      <c r="K17" s="426"/>
      <c r="L17" s="426"/>
      <c r="M17" s="426"/>
      <c r="N17" s="426"/>
    </row>
    <row r="18" spans="1:14" ht="36" customHeight="1">
      <c r="A18" s="199" t="s">
        <v>67</v>
      </c>
      <c r="B18" s="199" t="s">
        <v>3110</v>
      </c>
      <c r="C18" s="199" t="s">
        <v>3160</v>
      </c>
      <c r="D18" s="199" t="s">
        <v>3214</v>
      </c>
      <c r="E18" s="199" t="s">
        <v>3215</v>
      </c>
      <c r="F18" s="199" t="s">
        <v>248</v>
      </c>
      <c r="G18" s="199" t="s">
        <v>655</v>
      </c>
      <c r="H18" s="199" t="s">
        <v>3161</v>
      </c>
      <c r="I18" s="199" t="s">
        <v>3216</v>
      </c>
      <c r="J18" s="199" t="s">
        <v>1369</v>
      </c>
      <c r="K18" s="199" t="s">
        <v>2181</v>
      </c>
      <c r="L18" s="199" t="s">
        <v>3217</v>
      </c>
      <c r="M18" s="199" t="s">
        <v>3105</v>
      </c>
      <c r="N18" s="199" t="s">
        <v>11</v>
      </c>
    </row>
    <row r="19" spans="1:14" ht="36" customHeight="1">
      <c r="A19" s="200" t="s">
        <v>3218</v>
      </c>
      <c r="B19" s="200" t="s">
        <v>3165</v>
      </c>
      <c r="C19" s="200" t="s">
        <v>3166</v>
      </c>
      <c r="D19" s="200" t="s">
        <v>3219</v>
      </c>
      <c r="E19" s="200" t="s">
        <v>3220</v>
      </c>
      <c r="F19" s="200" t="s">
        <v>332</v>
      </c>
      <c r="G19" s="201" t="s">
        <v>3169</v>
      </c>
      <c r="H19" s="200" t="s">
        <v>1289</v>
      </c>
      <c r="I19" s="200" t="s">
        <v>3168</v>
      </c>
      <c r="J19" s="200" t="s">
        <v>3167</v>
      </c>
      <c r="K19" s="200" t="s">
        <v>3221</v>
      </c>
      <c r="L19" s="200" t="s">
        <v>3222</v>
      </c>
      <c r="M19" s="200" t="s">
        <v>3223</v>
      </c>
      <c r="N19" s="200" t="s">
        <v>3224</v>
      </c>
    </row>
    <row r="20" spans="1:14" ht="36" customHeight="1">
      <c r="A20" s="200" t="s">
        <v>3218</v>
      </c>
      <c r="B20" s="200" t="s">
        <v>3166</v>
      </c>
      <c r="C20" s="200" t="s">
        <v>3165</v>
      </c>
      <c r="D20" s="200" t="s">
        <v>3225</v>
      </c>
      <c r="E20" s="200" t="s">
        <v>3226</v>
      </c>
      <c r="F20" s="200" t="s">
        <v>1289</v>
      </c>
      <c r="G20" s="202" t="s">
        <v>3180</v>
      </c>
      <c r="H20" s="200" t="s">
        <v>1289</v>
      </c>
      <c r="I20" s="200" t="s">
        <v>3227</v>
      </c>
      <c r="J20" s="200" t="s">
        <v>2135</v>
      </c>
      <c r="K20" s="200" t="s">
        <v>3228</v>
      </c>
      <c r="L20" s="200" t="s">
        <v>3229</v>
      </c>
      <c r="M20" s="200" t="s">
        <v>3230</v>
      </c>
      <c r="N20" s="200" t="s">
        <v>3231</v>
      </c>
    </row>
    <row r="21" spans="1:14" ht="36" customHeight="1">
      <c r="A21" s="200" t="s">
        <v>3172</v>
      </c>
      <c r="B21" s="200" t="s">
        <v>3173</v>
      </c>
      <c r="C21" s="200" t="s">
        <v>3174</v>
      </c>
      <c r="D21" s="200" t="s">
        <v>3232</v>
      </c>
      <c r="E21" s="200" t="s">
        <v>3233</v>
      </c>
      <c r="F21" s="200" t="s">
        <v>332</v>
      </c>
      <c r="G21" s="201" t="s">
        <v>3169</v>
      </c>
      <c r="H21" s="200" t="s">
        <v>1289</v>
      </c>
      <c r="I21" s="200" t="s">
        <v>3175</v>
      </c>
      <c r="J21" s="200" t="s">
        <v>3167</v>
      </c>
      <c r="K21" s="200" t="s">
        <v>3234</v>
      </c>
      <c r="L21" s="200" t="s">
        <v>3235</v>
      </c>
      <c r="M21" s="200" t="s">
        <v>3236</v>
      </c>
      <c r="N21" s="200" t="s">
        <v>3237</v>
      </c>
    </row>
    <row r="22" spans="1:14" ht="36" customHeight="1">
      <c r="A22" s="200" t="s">
        <v>3238</v>
      </c>
      <c r="B22" s="200" t="s">
        <v>3239</v>
      </c>
      <c r="C22" s="200" t="s">
        <v>3240</v>
      </c>
      <c r="D22" s="200" t="s">
        <v>3241</v>
      </c>
      <c r="E22" s="200" t="s">
        <v>3242</v>
      </c>
      <c r="F22" s="200" t="s">
        <v>332</v>
      </c>
      <c r="G22" s="202" t="s">
        <v>3180</v>
      </c>
      <c r="H22" s="200" t="s">
        <v>3185</v>
      </c>
      <c r="I22" s="200" t="s">
        <v>3227</v>
      </c>
      <c r="J22" s="200" t="s">
        <v>2135</v>
      </c>
      <c r="K22" s="200" t="s">
        <v>3243</v>
      </c>
      <c r="L22" s="200" t="s">
        <v>3244</v>
      </c>
      <c r="M22" s="200" t="s">
        <v>3172</v>
      </c>
      <c r="N22" s="200" t="s">
        <v>3245</v>
      </c>
    </row>
    <row r="23" spans="1:14" ht="36" customHeight="1">
      <c r="A23" s="200" t="s">
        <v>3117</v>
      </c>
      <c r="B23" s="200" t="s">
        <v>3178</v>
      </c>
      <c r="C23" s="200" t="s">
        <v>3179</v>
      </c>
      <c r="D23" s="200" t="s">
        <v>3246</v>
      </c>
      <c r="E23" s="200" t="s">
        <v>3247</v>
      </c>
      <c r="F23" s="200" t="s">
        <v>332</v>
      </c>
      <c r="G23" s="202" t="s">
        <v>3180</v>
      </c>
      <c r="H23" s="200" t="s">
        <v>1289</v>
      </c>
      <c r="I23" s="200" t="s">
        <v>3175</v>
      </c>
      <c r="J23" s="200" t="s">
        <v>2135</v>
      </c>
      <c r="K23" s="200" t="s">
        <v>3248</v>
      </c>
      <c r="L23" s="200" t="s">
        <v>3249</v>
      </c>
      <c r="M23" s="200" t="s">
        <v>3238</v>
      </c>
      <c r="N23" s="200" t="s">
        <v>3250</v>
      </c>
    </row>
    <row r="24" spans="1:14" ht="36" customHeight="1">
      <c r="A24" s="200" t="s">
        <v>3130</v>
      </c>
      <c r="B24" s="200" t="s">
        <v>3135</v>
      </c>
      <c r="C24" s="200" t="s">
        <v>3184</v>
      </c>
      <c r="D24" s="200" t="s">
        <v>3251</v>
      </c>
      <c r="E24" s="200" t="s">
        <v>3252</v>
      </c>
      <c r="F24" s="200" t="s">
        <v>332</v>
      </c>
      <c r="G24" s="201" t="s">
        <v>3169</v>
      </c>
      <c r="H24" s="200" t="s">
        <v>1289</v>
      </c>
      <c r="I24" s="200" t="s">
        <v>3186</v>
      </c>
      <c r="J24" s="200" t="s">
        <v>3167</v>
      </c>
      <c r="K24" s="200" t="s">
        <v>3253</v>
      </c>
      <c r="L24" s="200" t="s">
        <v>3254</v>
      </c>
      <c r="M24" s="200" t="s">
        <v>3255</v>
      </c>
      <c r="N24" s="200" t="s">
        <v>3256</v>
      </c>
    </row>
    <row r="25" spans="1:14" ht="36" customHeight="1">
      <c r="A25" s="200" t="s">
        <v>3130</v>
      </c>
      <c r="B25" s="200" t="s">
        <v>3257</v>
      </c>
      <c r="C25" s="200" t="s">
        <v>3135</v>
      </c>
      <c r="D25" s="200" t="s">
        <v>3258</v>
      </c>
      <c r="E25" s="200" t="s">
        <v>3259</v>
      </c>
      <c r="F25" s="200" t="s">
        <v>332</v>
      </c>
      <c r="G25" s="201" t="s">
        <v>3169</v>
      </c>
      <c r="H25" s="200" t="s">
        <v>1289</v>
      </c>
      <c r="I25" s="200" t="s">
        <v>3260</v>
      </c>
      <c r="J25" s="200" t="s">
        <v>3167</v>
      </c>
      <c r="K25" s="200" t="s">
        <v>3261</v>
      </c>
      <c r="L25" s="200" t="s">
        <v>3262</v>
      </c>
      <c r="M25" s="200" t="s">
        <v>3263</v>
      </c>
      <c r="N25" s="200" t="s">
        <v>3264</v>
      </c>
    </row>
    <row r="26" spans="1:14" ht="36" customHeight="1">
      <c r="A26" s="200" t="s">
        <v>3146</v>
      </c>
      <c r="B26" s="200" t="s">
        <v>3189</v>
      </c>
      <c r="C26" s="200" t="s">
        <v>3265</v>
      </c>
      <c r="D26" s="200" t="s">
        <v>3266</v>
      </c>
      <c r="E26" s="200" t="s">
        <v>3267</v>
      </c>
      <c r="F26" s="200" t="s">
        <v>332</v>
      </c>
      <c r="G26" s="202" t="s">
        <v>3180</v>
      </c>
      <c r="H26" s="200" t="s">
        <v>1289</v>
      </c>
      <c r="I26" s="200" t="s">
        <v>3175</v>
      </c>
      <c r="J26" s="200" t="s">
        <v>2135</v>
      </c>
      <c r="K26" s="200" t="s">
        <v>3268</v>
      </c>
      <c r="L26" s="200" t="s">
        <v>3269</v>
      </c>
      <c r="M26" s="200" t="s">
        <v>3270</v>
      </c>
      <c r="N26" s="200" t="s">
        <v>3271</v>
      </c>
    </row>
    <row r="27" spans="1:14" ht="36" customHeight="1">
      <c r="A27" s="200" t="s">
        <v>3146</v>
      </c>
      <c r="B27" s="200" t="s">
        <v>3265</v>
      </c>
      <c r="C27" s="200" t="s">
        <v>3272</v>
      </c>
      <c r="D27" s="200" t="s">
        <v>3273</v>
      </c>
      <c r="E27" s="200" t="s">
        <v>3274</v>
      </c>
      <c r="F27" s="200" t="s">
        <v>1289</v>
      </c>
      <c r="G27" s="202" t="s">
        <v>3180</v>
      </c>
      <c r="H27" s="200" t="s">
        <v>3199</v>
      </c>
      <c r="I27" s="200" t="s">
        <v>1598</v>
      </c>
      <c r="J27" s="200" t="s">
        <v>2135</v>
      </c>
      <c r="K27" s="200" t="s">
        <v>2122</v>
      </c>
      <c r="L27" s="200" t="s">
        <v>3275</v>
      </c>
      <c r="M27" s="200" t="s">
        <v>3276</v>
      </c>
      <c r="N27" s="200" t="s">
        <v>3277</v>
      </c>
    </row>
    <row r="28" spans="1:14" ht="36" customHeight="1">
      <c r="A28" s="200" t="s">
        <v>3124</v>
      </c>
      <c r="B28" s="200" t="s">
        <v>3193</v>
      </c>
      <c r="C28" s="200" t="s">
        <v>3194</v>
      </c>
      <c r="D28" s="200" t="s">
        <v>3278</v>
      </c>
      <c r="E28" s="200" t="s">
        <v>3279</v>
      </c>
      <c r="F28" s="200" t="s">
        <v>332</v>
      </c>
      <c r="G28" s="202" t="s">
        <v>3180</v>
      </c>
      <c r="H28" s="200" t="s">
        <v>3185</v>
      </c>
      <c r="I28" s="200" t="s">
        <v>1598</v>
      </c>
      <c r="J28" s="200" t="s">
        <v>2135</v>
      </c>
      <c r="K28" s="200" t="s">
        <v>3280</v>
      </c>
      <c r="L28" s="200" t="s">
        <v>3281</v>
      </c>
      <c r="M28" s="200" t="s">
        <v>3282</v>
      </c>
      <c r="N28" s="200" t="s">
        <v>3283</v>
      </c>
    </row>
    <row r="29" spans="1:14" ht="36" customHeight="1">
      <c r="A29" s="200" t="s">
        <v>3140</v>
      </c>
      <c r="B29" s="200" t="s">
        <v>3197</v>
      </c>
      <c r="C29" s="200" t="s">
        <v>3198</v>
      </c>
      <c r="D29" s="200" t="s">
        <v>3284</v>
      </c>
      <c r="E29" s="200" t="s">
        <v>3285</v>
      </c>
      <c r="F29" s="200" t="s">
        <v>1289</v>
      </c>
      <c r="G29" s="202" t="s">
        <v>3180</v>
      </c>
      <c r="H29" s="200" t="s">
        <v>2006</v>
      </c>
      <c r="I29" s="200" t="s">
        <v>3175</v>
      </c>
      <c r="J29" s="200" t="s">
        <v>2135</v>
      </c>
      <c r="K29" s="200" t="s">
        <v>3286</v>
      </c>
      <c r="L29" s="200" t="s">
        <v>3287</v>
      </c>
      <c r="M29" s="200" t="s">
        <v>3141</v>
      </c>
      <c r="N29" s="200" t="s">
        <v>3288</v>
      </c>
    </row>
    <row r="30" spans="1:14" ht="36" customHeight="1">
      <c r="A30" s="200" t="s">
        <v>3202</v>
      </c>
      <c r="B30" s="200" t="s">
        <v>3203</v>
      </c>
      <c r="C30" s="200" t="s">
        <v>3204</v>
      </c>
      <c r="D30" s="200" t="s">
        <v>3289</v>
      </c>
      <c r="E30" s="200" t="s">
        <v>3290</v>
      </c>
      <c r="F30" s="200" t="s">
        <v>1289</v>
      </c>
      <c r="G30" s="202" t="s">
        <v>3180</v>
      </c>
      <c r="H30" s="200" t="s">
        <v>2006</v>
      </c>
      <c r="I30" s="200" t="s">
        <v>3227</v>
      </c>
      <c r="J30" s="200" t="s">
        <v>2135</v>
      </c>
      <c r="K30" s="200" t="s">
        <v>3291</v>
      </c>
      <c r="L30" s="200" t="s">
        <v>3292</v>
      </c>
      <c r="M30" s="200" t="s">
        <v>2829</v>
      </c>
      <c r="N30" s="200" t="s">
        <v>3293</v>
      </c>
    </row>
    <row r="31" spans="1:14" ht="36" customHeight="1">
      <c r="A31" s="200" t="s">
        <v>3294</v>
      </c>
      <c r="B31" s="200" t="s">
        <v>3209</v>
      </c>
      <c r="C31" s="200" t="s">
        <v>3210</v>
      </c>
      <c r="D31" s="200" t="s">
        <v>3295</v>
      </c>
      <c r="E31" s="200" t="s">
        <v>3296</v>
      </c>
      <c r="F31" s="200" t="s">
        <v>1289</v>
      </c>
      <c r="G31" s="202" t="s">
        <v>3180</v>
      </c>
      <c r="H31" s="200" t="s">
        <v>1289</v>
      </c>
      <c r="I31" s="200" t="s">
        <v>3186</v>
      </c>
      <c r="J31" s="200" t="s">
        <v>2135</v>
      </c>
      <c r="K31" s="200" t="s">
        <v>3211</v>
      </c>
      <c r="L31" s="200" t="s">
        <v>3297</v>
      </c>
      <c r="M31" s="200" t="s">
        <v>3298</v>
      </c>
      <c r="N31" s="200" t="s">
        <v>3299</v>
      </c>
    </row>
    <row r="32" spans="1:14" ht="36" customHeight="1">
      <c r="A32" s="200" t="s">
        <v>3300</v>
      </c>
      <c r="B32" s="200" t="s">
        <v>3301</v>
      </c>
      <c r="C32" s="200" t="s">
        <v>3302</v>
      </c>
      <c r="D32" s="200" t="s">
        <v>3303</v>
      </c>
      <c r="E32" s="200" t="s">
        <v>3304</v>
      </c>
      <c r="F32" s="200" t="s">
        <v>1289</v>
      </c>
      <c r="G32" s="202" t="s">
        <v>3180</v>
      </c>
      <c r="H32" s="200" t="s">
        <v>1289</v>
      </c>
      <c r="I32" s="200" t="s">
        <v>3175</v>
      </c>
      <c r="J32" s="200" t="s">
        <v>2135</v>
      </c>
      <c r="K32" s="200" t="s">
        <v>3305</v>
      </c>
      <c r="L32" s="200" t="s">
        <v>3306</v>
      </c>
      <c r="M32" s="200" t="s">
        <v>3133</v>
      </c>
      <c r="N32" s="200" t="s">
        <v>3307</v>
      </c>
    </row>
    <row r="36" spans="1:14" ht="24" customHeight="1">
      <c r="A36" s="508" t="s">
        <v>3308</v>
      </c>
      <c r="B36" s="426"/>
      <c r="C36" s="426"/>
      <c r="D36" s="426"/>
      <c r="E36" s="426"/>
      <c r="F36" s="426"/>
      <c r="G36" s="426"/>
      <c r="H36" s="426"/>
      <c r="I36" s="426"/>
      <c r="J36" s="426"/>
      <c r="K36" s="426"/>
      <c r="L36" s="426"/>
      <c r="M36" s="426"/>
      <c r="N36" s="426"/>
    </row>
    <row r="37" spans="1:14" ht="36" customHeight="1">
      <c r="A37" s="199" t="s">
        <v>3103</v>
      </c>
      <c r="B37" s="199" t="s">
        <v>421</v>
      </c>
      <c r="C37" s="199" t="s">
        <v>3309</v>
      </c>
      <c r="D37" s="199" t="s">
        <v>253</v>
      </c>
      <c r="E37" s="199" t="s">
        <v>3310</v>
      </c>
      <c r="F37" s="199" t="s">
        <v>2181</v>
      </c>
      <c r="G37" s="199" t="s">
        <v>655</v>
      </c>
    </row>
    <row r="38" spans="1:14" ht="36" customHeight="1">
      <c r="A38" s="200" t="s">
        <v>3111</v>
      </c>
      <c r="B38" s="200" t="s">
        <v>3311</v>
      </c>
      <c r="C38" s="200" t="s">
        <v>3312</v>
      </c>
      <c r="D38" s="200" t="s">
        <v>3313</v>
      </c>
      <c r="E38" s="200" t="s">
        <v>3314</v>
      </c>
      <c r="F38" s="200" t="s">
        <v>3315</v>
      </c>
      <c r="G38" s="202" t="s">
        <v>3316</v>
      </c>
    </row>
    <row r="39" spans="1:14" ht="36" customHeight="1">
      <c r="A39" s="200" t="s">
        <v>3120</v>
      </c>
      <c r="B39" s="200" t="s">
        <v>3317</v>
      </c>
      <c r="C39" s="200" t="s">
        <v>3318</v>
      </c>
      <c r="D39" s="200" t="s">
        <v>3319</v>
      </c>
      <c r="E39" s="200" t="s">
        <v>3320</v>
      </c>
      <c r="F39" s="200" t="s">
        <v>3321</v>
      </c>
      <c r="G39" s="202" t="s">
        <v>3316</v>
      </c>
    </row>
    <row r="40" spans="1:14" ht="36" customHeight="1">
      <c r="A40" s="200" t="s">
        <v>3129</v>
      </c>
      <c r="B40" s="200" t="s">
        <v>3322</v>
      </c>
      <c r="C40" s="200" t="s">
        <v>3323</v>
      </c>
      <c r="D40" s="200" t="s">
        <v>3324</v>
      </c>
      <c r="E40" s="200" t="s">
        <v>3325</v>
      </c>
      <c r="F40" s="200" t="s">
        <v>3326</v>
      </c>
      <c r="G40" s="202" t="s">
        <v>3316</v>
      </c>
    </row>
    <row r="41" spans="1:14" ht="36" customHeight="1">
      <c r="A41" s="200" t="s">
        <v>3139</v>
      </c>
      <c r="B41" s="200" t="s">
        <v>3327</v>
      </c>
      <c r="C41" s="200" t="s">
        <v>3328</v>
      </c>
      <c r="D41" s="200" t="s">
        <v>3329</v>
      </c>
      <c r="E41" s="200" t="s">
        <v>3330</v>
      </c>
      <c r="F41" s="200" t="s">
        <v>3331</v>
      </c>
      <c r="G41" s="202" t="s">
        <v>3316</v>
      </c>
    </row>
    <row r="42" spans="1:14" ht="36" customHeight="1">
      <c r="A42" s="200" t="s">
        <v>3145</v>
      </c>
      <c r="B42" s="200" t="s">
        <v>3146</v>
      </c>
      <c r="C42" s="200" t="s">
        <v>3332</v>
      </c>
      <c r="D42" s="200" t="s">
        <v>3333</v>
      </c>
      <c r="E42" s="200" t="s">
        <v>3334</v>
      </c>
      <c r="F42" s="200" t="s">
        <v>3335</v>
      </c>
      <c r="G42" s="202" t="s">
        <v>3316</v>
      </c>
    </row>
    <row r="43" spans="1:14" ht="36" customHeight="1">
      <c r="A43" s="200" t="s">
        <v>3151</v>
      </c>
      <c r="B43" s="200" t="s">
        <v>3303</v>
      </c>
      <c r="C43" s="200" t="s">
        <v>3336</v>
      </c>
      <c r="D43" s="200" t="s">
        <v>3337</v>
      </c>
      <c r="E43" s="200" t="s">
        <v>3338</v>
      </c>
      <c r="F43" s="200" t="s">
        <v>3339</v>
      </c>
      <c r="G43" s="202" t="s">
        <v>3316</v>
      </c>
    </row>
    <row r="47" spans="1:14" ht="24" customHeight="1">
      <c r="A47" s="508" t="s">
        <v>3340</v>
      </c>
      <c r="B47" s="426"/>
      <c r="C47" s="426"/>
      <c r="D47" s="426"/>
      <c r="E47" s="426"/>
      <c r="F47" s="426"/>
      <c r="G47" s="426"/>
      <c r="H47" s="426"/>
      <c r="I47" s="426"/>
      <c r="J47" s="426"/>
      <c r="K47" s="426"/>
      <c r="L47" s="426"/>
      <c r="M47" s="426"/>
      <c r="N47" s="426"/>
    </row>
    <row r="48" spans="1:14" ht="36" customHeight="1">
      <c r="A48" s="199" t="s">
        <v>3110</v>
      </c>
      <c r="B48" s="199" t="s">
        <v>1369</v>
      </c>
      <c r="C48" s="199" t="s">
        <v>3341</v>
      </c>
      <c r="D48" s="199" t="s">
        <v>3342</v>
      </c>
      <c r="E48" s="199" t="s">
        <v>3343</v>
      </c>
      <c r="F48" s="199" t="s">
        <v>2252</v>
      </c>
    </row>
    <row r="49" spans="1:14" ht="36" customHeight="1">
      <c r="A49" s="200" t="s">
        <v>3165</v>
      </c>
      <c r="B49" s="200" t="s">
        <v>3167</v>
      </c>
      <c r="C49" s="200" t="s">
        <v>3344</v>
      </c>
      <c r="D49" s="200" t="s">
        <v>3345</v>
      </c>
      <c r="E49" s="200" t="s">
        <v>3346</v>
      </c>
      <c r="F49" s="200" t="s">
        <v>3347</v>
      </c>
    </row>
    <row r="50" spans="1:14" ht="36" customHeight="1">
      <c r="A50" s="200" t="s">
        <v>3173</v>
      </c>
      <c r="B50" s="200" t="s">
        <v>3167</v>
      </c>
      <c r="C50" s="200" t="s">
        <v>3348</v>
      </c>
      <c r="D50" s="200" t="s">
        <v>3349</v>
      </c>
      <c r="E50" s="200" t="s">
        <v>3350</v>
      </c>
      <c r="F50" s="200" t="s">
        <v>3351</v>
      </c>
    </row>
    <row r="51" spans="1:14" ht="36" customHeight="1">
      <c r="A51" s="200" t="s">
        <v>3135</v>
      </c>
      <c r="B51" s="200" t="s">
        <v>3167</v>
      </c>
      <c r="C51" s="200" t="s">
        <v>3352</v>
      </c>
      <c r="D51" s="200" t="s">
        <v>3353</v>
      </c>
      <c r="E51" s="200" t="s">
        <v>3354</v>
      </c>
      <c r="F51" s="200" t="s">
        <v>3355</v>
      </c>
    </row>
    <row r="52" spans="1:14" ht="36" customHeight="1">
      <c r="A52" s="200" t="s">
        <v>3189</v>
      </c>
      <c r="B52" s="200" t="s">
        <v>2135</v>
      </c>
      <c r="C52" s="200" t="s">
        <v>3356</v>
      </c>
      <c r="D52" s="200" t="s">
        <v>3357</v>
      </c>
      <c r="E52" s="200" t="s">
        <v>3358</v>
      </c>
      <c r="F52" s="200" t="s">
        <v>3359</v>
      </c>
    </row>
    <row r="53" spans="1:14" ht="36" customHeight="1">
      <c r="A53" s="200" t="s">
        <v>3193</v>
      </c>
      <c r="B53" s="200" t="s">
        <v>2135</v>
      </c>
      <c r="C53" s="200" t="s">
        <v>3360</v>
      </c>
      <c r="D53" s="200" t="s">
        <v>3361</v>
      </c>
      <c r="E53" s="200" t="s">
        <v>3362</v>
      </c>
      <c r="F53" s="200" t="s">
        <v>3363</v>
      </c>
    </row>
    <row r="54" spans="1:14" ht="36" customHeight="1">
      <c r="A54" s="200" t="s">
        <v>3197</v>
      </c>
      <c r="B54" s="200" t="s">
        <v>2135</v>
      </c>
      <c r="C54" s="200" t="s">
        <v>3364</v>
      </c>
      <c r="D54" s="200" t="s">
        <v>3365</v>
      </c>
      <c r="E54" s="200" t="s">
        <v>3366</v>
      </c>
      <c r="F54" s="200" t="s">
        <v>3367</v>
      </c>
    </row>
    <row r="58" spans="1:14" ht="24" customHeight="1">
      <c r="A58" s="508" t="s">
        <v>3368</v>
      </c>
      <c r="B58" s="426"/>
      <c r="C58" s="426"/>
      <c r="D58" s="426"/>
      <c r="E58" s="426"/>
      <c r="F58" s="426"/>
      <c r="G58" s="426"/>
      <c r="H58" s="426"/>
      <c r="I58" s="426"/>
      <c r="J58" s="426"/>
      <c r="K58" s="426"/>
      <c r="L58" s="426"/>
      <c r="M58" s="426"/>
      <c r="N58" s="426"/>
    </row>
    <row r="59" spans="1:14" ht="36" customHeight="1">
      <c r="A59" s="199" t="s">
        <v>2522</v>
      </c>
      <c r="B59" s="199" t="s">
        <v>3369</v>
      </c>
      <c r="C59" s="199" t="s">
        <v>252</v>
      </c>
      <c r="D59" s="199" t="s">
        <v>1306</v>
      </c>
      <c r="E59" s="199" t="s">
        <v>3370</v>
      </c>
      <c r="F59" s="199" t="s">
        <v>3371</v>
      </c>
      <c r="G59" s="199" t="s">
        <v>656</v>
      </c>
    </row>
    <row r="60" spans="1:14" ht="36" customHeight="1">
      <c r="A60" s="200" t="s">
        <v>3115</v>
      </c>
      <c r="B60" s="200" t="s">
        <v>3372</v>
      </c>
      <c r="C60" s="200" t="s">
        <v>3111</v>
      </c>
      <c r="D60" s="200" t="s">
        <v>1009</v>
      </c>
      <c r="E60" s="200" t="s">
        <v>3373</v>
      </c>
      <c r="F60" s="203" t="s">
        <v>3374</v>
      </c>
      <c r="G60" s="200" t="s">
        <v>3375</v>
      </c>
    </row>
    <row r="61" spans="1:14" ht="36" customHeight="1">
      <c r="A61" s="200" t="s">
        <v>3376</v>
      </c>
      <c r="B61" s="200" t="s">
        <v>3372</v>
      </c>
      <c r="C61" s="200" t="s">
        <v>3377</v>
      </c>
      <c r="D61" s="200" t="s">
        <v>1009</v>
      </c>
      <c r="E61" s="200" t="s">
        <v>3373</v>
      </c>
      <c r="F61" s="203" t="s">
        <v>3374</v>
      </c>
      <c r="G61" s="200" t="s">
        <v>3378</v>
      </c>
    </row>
    <row r="62" spans="1:14" ht="36" customHeight="1">
      <c r="A62" s="200" t="s">
        <v>3379</v>
      </c>
      <c r="B62" s="200" t="s">
        <v>3380</v>
      </c>
      <c r="C62" s="200" t="s">
        <v>3381</v>
      </c>
      <c r="D62" s="200" t="s">
        <v>1009</v>
      </c>
      <c r="E62" s="200" t="s">
        <v>3382</v>
      </c>
      <c r="F62" s="203" t="s">
        <v>3374</v>
      </c>
      <c r="G62" s="200" t="s">
        <v>3383</v>
      </c>
    </row>
    <row r="63" spans="1:14" ht="36" customHeight="1">
      <c r="A63" s="200" t="s">
        <v>3384</v>
      </c>
      <c r="B63" s="200" t="s">
        <v>3385</v>
      </c>
      <c r="C63" s="200" t="s">
        <v>3386</v>
      </c>
      <c r="D63" s="200" t="s">
        <v>1006</v>
      </c>
      <c r="E63" s="200" t="s">
        <v>3373</v>
      </c>
      <c r="F63" s="203" t="s">
        <v>3374</v>
      </c>
      <c r="G63" s="200" t="s">
        <v>3387</v>
      </c>
    </row>
    <row r="64" spans="1:14" ht="36" customHeight="1">
      <c r="A64" s="200" t="s">
        <v>3388</v>
      </c>
      <c r="B64" s="200" t="s">
        <v>3389</v>
      </c>
      <c r="C64" s="200" t="s">
        <v>3390</v>
      </c>
      <c r="D64" s="200" t="s">
        <v>1006</v>
      </c>
      <c r="E64" s="200" t="s">
        <v>3382</v>
      </c>
      <c r="F64" s="203" t="s">
        <v>3374</v>
      </c>
      <c r="G64" s="200" t="s">
        <v>3391</v>
      </c>
    </row>
    <row r="65" spans="1:14" ht="36" customHeight="1">
      <c r="A65" s="200" t="s">
        <v>3392</v>
      </c>
      <c r="B65" s="200" t="s">
        <v>3393</v>
      </c>
      <c r="C65" s="200" t="s">
        <v>3394</v>
      </c>
      <c r="D65" s="200" t="s">
        <v>1006</v>
      </c>
      <c r="E65" s="200" t="s">
        <v>49</v>
      </c>
      <c r="F65" s="202" t="s">
        <v>3180</v>
      </c>
      <c r="G65" s="200" t="s">
        <v>3395</v>
      </c>
    </row>
    <row r="69" spans="1:14" ht="24" customHeight="1">
      <c r="A69" s="508" t="s">
        <v>3396</v>
      </c>
      <c r="B69" s="426"/>
      <c r="C69" s="426"/>
      <c r="D69" s="426"/>
      <c r="E69" s="426"/>
      <c r="F69" s="426"/>
      <c r="G69" s="426"/>
      <c r="H69" s="426"/>
      <c r="I69" s="426"/>
      <c r="J69" s="426"/>
      <c r="K69" s="426"/>
      <c r="L69" s="426"/>
      <c r="M69" s="426"/>
      <c r="N69" s="426"/>
    </row>
    <row r="70" spans="1:14">
      <c r="A70" s="509" t="s">
        <v>3397</v>
      </c>
      <c r="B70" s="426"/>
      <c r="C70" s="426"/>
      <c r="D70" s="426"/>
      <c r="E70" s="426"/>
      <c r="F70" s="426"/>
      <c r="G70" s="426"/>
      <c r="H70" s="426"/>
      <c r="I70" s="426"/>
      <c r="J70" s="426"/>
      <c r="K70" s="426"/>
      <c r="L70" s="426"/>
      <c r="M70" s="426"/>
      <c r="N70" s="426"/>
    </row>
    <row r="71" spans="1:14">
      <c r="A71" s="426"/>
      <c r="B71" s="426"/>
      <c r="C71" s="426"/>
      <c r="D71" s="426"/>
      <c r="E71" s="426"/>
      <c r="F71" s="426"/>
      <c r="G71" s="426"/>
      <c r="H71" s="426"/>
      <c r="I71" s="426"/>
      <c r="J71" s="426"/>
      <c r="K71" s="426"/>
      <c r="L71" s="426"/>
      <c r="M71" s="426"/>
      <c r="N71" s="426"/>
    </row>
    <row r="72" spans="1:14">
      <c r="A72" s="426"/>
      <c r="B72" s="426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</row>
  </sheetData>
  <mergeCells count="9">
    <mergeCell ref="A1:N1"/>
    <mergeCell ref="A17:N17"/>
    <mergeCell ref="A70:N72"/>
    <mergeCell ref="A69:N69"/>
    <mergeCell ref="A4:N4"/>
    <mergeCell ref="A2:N2"/>
    <mergeCell ref="A47:N47"/>
    <mergeCell ref="A36:N36"/>
    <mergeCell ref="A58:N58"/>
  </mergeCells>
  <dataValidations count="3">
    <dataValidation type="list" allowBlank="1" sqref="F6:F80" xr:uid="{00000000-0002-0000-5400-000000000000}">
      <formula1>"Alta,Media,Baja"</formula1>
    </dataValidation>
    <dataValidation type="list" allowBlank="1" sqref="G6:G80" xr:uid="{00000000-0002-0000-5400-000001000000}">
      <formula1>"🟢 Principal,🟡 Evaluar,🔴 Descartar"</formula1>
    </dataValidation>
    <dataValidation type="list" allowBlank="1" sqref="J6:J80" xr:uid="{00000000-0002-0000-5400-000002000000}">
      <formula1>"Aplicar,Evaluar,Mejorar,Descartar"</formula1>
    </dataValidation>
  </dataValidation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000000"/>
  </sheetPr>
  <dimension ref="A1:A2"/>
  <sheetViews>
    <sheetView showGridLines="0" workbookViewId="0"/>
  </sheetViews>
  <sheetFormatPr baseColWidth="10" defaultColWidth="8.7265625" defaultRowHeight="14.5"/>
  <cols>
    <col min="1" max="1" width="90" customWidth="1"/>
  </cols>
  <sheetData>
    <row r="1" spans="1:1" ht="23.5" customHeight="1">
      <c r="A1" s="218" t="s">
        <v>3398</v>
      </c>
    </row>
    <row r="2" spans="1:1">
      <c r="A2" s="217" t="s">
        <v>1101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7F6000"/>
  </sheetPr>
  <dimension ref="A1:L73"/>
  <sheetViews>
    <sheetView showGridLines="0" workbookViewId="0"/>
  </sheetViews>
  <sheetFormatPr baseColWidth="10" defaultColWidth="8.7265625" defaultRowHeight="14.5"/>
  <cols>
    <col min="1" max="1" width="42" customWidth="1"/>
    <col min="2" max="2" width="30" customWidth="1"/>
    <col min="3" max="4" width="12" customWidth="1"/>
    <col min="5" max="5" width="32" customWidth="1"/>
    <col min="6" max="6" width="13" customWidth="1"/>
    <col min="7" max="7" width="31" customWidth="1"/>
    <col min="8" max="8" width="24" customWidth="1"/>
    <col min="9" max="9" width="12" customWidth="1"/>
    <col min="10" max="10" width="13" customWidth="1"/>
    <col min="11" max="11" width="18" customWidth="1"/>
    <col min="12" max="12" width="15" customWidth="1"/>
    <col min="13" max="13" width="24" customWidth="1"/>
    <col min="14" max="14" width="22" customWidth="1"/>
    <col min="15" max="15" width="14" customWidth="1"/>
    <col min="16" max="16" width="30" customWidth="1"/>
  </cols>
  <sheetData>
    <row r="1" spans="1:12" ht="30" customHeight="1">
      <c r="A1" s="489" t="s">
        <v>3399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85" t="s">
        <v>3400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4" spans="1:12" ht="28" customHeight="1">
      <c r="A4" s="428" t="s">
        <v>2243</v>
      </c>
      <c r="B4" s="430"/>
      <c r="C4" s="428" t="s">
        <v>1239</v>
      </c>
      <c r="D4" s="430"/>
      <c r="E4" s="428" t="s">
        <v>3401</v>
      </c>
      <c r="F4" s="430"/>
      <c r="G4" s="428" t="s">
        <v>3402</v>
      </c>
      <c r="H4" s="430"/>
      <c r="I4" s="428" t="s">
        <v>1306</v>
      </c>
      <c r="J4" s="430"/>
      <c r="K4" s="428" t="s">
        <v>3403</v>
      </c>
      <c r="L4" s="430"/>
    </row>
    <row r="5" spans="1:12" ht="30" customHeight="1">
      <c r="A5" s="431" t="s">
        <v>157</v>
      </c>
      <c r="B5" s="430"/>
      <c r="C5" s="431">
        <v>95</v>
      </c>
      <c r="D5" s="430"/>
      <c r="E5" s="431" t="s">
        <v>3404</v>
      </c>
      <c r="F5" s="430"/>
      <c r="G5" s="431" t="s">
        <v>3405</v>
      </c>
      <c r="H5" s="430"/>
      <c r="I5" s="431" t="s">
        <v>1009</v>
      </c>
      <c r="J5" s="430"/>
      <c r="K5" s="431"/>
      <c r="L5" s="430"/>
    </row>
    <row r="6" spans="1:12">
      <c r="A6" s="209" t="s">
        <v>3406</v>
      </c>
      <c r="B6" s="209" t="s">
        <v>2749</v>
      </c>
      <c r="C6" s="209">
        <v>92</v>
      </c>
      <c r="D6" s="209" t="s">
        <v>2193</v>
      </c>
      <c r="E6" s="209" t="s">
        <v>3407</v>
      </c>
      <c r="F6" s="209"/>
      <c r="G6" s="209" t="s">
        <v>3408</v>
      </c>
      <c r="H6" s="209" t="s">
        <v>3409</v>
      </c>
      <c r="I6" s="209" t="s">
        <v>1009</v>
      </c>
      <c r="J6" s="209" t="s">
        <v>1314</v>
      </c>
      <c r="K6" s="209"/>
      <c r="L6" s="209"/>
    </row>
    <row r="7" spans="1:12">
      <c r="A7" s="209" t="s">
        <v>3410</v>
      </c>
      <c r="B7" s="209" t="s">
        <v>2749</v>
      </c>
      <c r="C7" s="209">
        <v>90</v>
      </c>
      <c r="D7" s="209" t="s">
        <v>2193</v>
      </c>
      <c r="E7" s="209" t="s">
        <v>3411</v>
      </c>
      <c r="F7" s="209"/>
      <c r="G7" s="209" t="s">
        <v>3412</v>
      </c>
      <c r="H7" s="209" t="s">
        <v>3413</v>
      </c>
      <c r="I7" s="209" t="s">
        <v>1009</v>
      </c>
      <c r="J7" s="209" t="s">
        <v>1314</v>
      </c>
      <c r="K7" s="209"/>
      <c r="L7" s="209"/>
    </row>
    <row r="8" spans="1:12">
      <c r="A8" s="209" t="s">
        <v>1500</v>
      </c>
      <c r="B8" s="431" t="s">
        <v>2749</v>
      </c>
      <c r="C8" s="511"/>
      <c r="D8" s="511"/>
      <c r="E8" s="511"/>
      <c r="F8" s="511"/>
      <c r="G8" s="511"/>
      <c r="H8" s="511"/>
      <c r="I8" s="511"/>
      <c r="J8" s="511"/>
      <c r="K8" s="512"/>
      <c r="L8" s="209"/>
    </row>
    <row r="9" spans="1:12">
      <c r="A9" s="209" t="s">
        <v>201</v>
      </c>
      <c r="B9" s="513"/>
      <c r="C9" s="426"/>
      <c r="D9" s="426"/>
      <c r="E9" s="426"/>
      <c r="F9" s="426"/>
      <c r="G9" s="426"/>
      <c r="H9" s="426"/>
      <c r="I9" s="426"/>
      <c r="J9" s="426"/>
      <c r="K9" s="514"/>
      <c r="L9" s="209"/>
    </row>
    <row r="10" spans="1:12">
      <c r="A10" s="209" t="s">
        <v>207</v>
      </c>
      <c r="B10" s="515"/>
      <c r="C10" s="516"/>
      <c r="D10" s="516"/>
      <c r="E10" s="516"/>
      <c r="F10" s="516"/>
      <c r="G10" s="516"/>
      <c r="H10" s="516"/>
      <c r="I10" s="516"/>
      <c r="J10" s="516"/>
      <c r="K10" s="517"/>
      <c r="L10" s="209"/>
    </row>
    <row r="11" spans="1:12">
      <c r="A11" s="209" t="s">
        <v>3414</v>
      </c>
      <c r="B11" s="209" t="s">
        <v>79</v>
      </c>
      <c r="C11" s="209">
        <v>88</v>
      </c>
      <c r="D11" s="209" t="s">
        <v>2193</v>
      </c>
      <c r="E11" s="209" t="s">
        <v>3415</v>
      </c>
      <c r="F11" s="209"/>
      <c r="G11" s="209" t="s">
        <v>3416</v>
      </c>
      <c r="H11" s="209" t="s">
        <v>3417</v>
      </c>
      <c r="I11" s="209" t="s">
        <v>1006</v>
      </c>
      <c r="J11" s="209" t="s">
        <v>1314</v>
      </c>
      <c r="K11" s="209"/>
      <c r="L11" s="209"/>
    </row>
    <row r="13" spans="1:12" ht="30" customHeight="1"/>
    <row r="14" spans="1:12" ht="30" customHeight="1"/>
    <row r="15" spans="1:12" ht="30" customHeight="1">
      <c r="A15" s="518" t="s">
        <v>3418</v>
      </c>
      <c r="B15" s="426"/>
      <c r="C15" s="426"/>
      <c r="D15" s="426"/>
      <c r="E15" s="426"/>
      <c r="F15" s="426"/>
    </row>
    <row r="16" spans="1:12" ht="30" customHeight="1">
      <c r="A16" s="220" t="s">
        <v>1225</v>
      </c>
      <c r="B16" s="220">
        <f>AVERAGE(C5:C11)</f>
        <v>91.25</v>
      </c>
    </row>
    <row r="17" spans="1:2" ht="30" customHeight="1">
      <c r="A17" s="220" t="s">
        <v>3419</v>
      </c>
      <c r="B17" s="220">
        <f>COUNTIF(D5:D11,"Alto")</f>
        <v>0</v>
      </c>
    </row>
    <row r="18" spans="1:2" ht="30" customHeight="1">
      <c r="A18" s="220" t="s">
        <v>3420</v>
      </c>
      <c r="B18" s="220">
        <f>COUNTIF(B5:B11,"Operativo")</f>
        <v>3</v>
      </c>
    </row>
    <row r="19" spans="1:2" ht="30" customHeight="1"/>
    <row r="20" spans="1:2" ht="30" customHeight="1"/>
    <row r="21" spans="1:2" ht="30" customHeight="1"/>
    <row r="22" spans="1:2" ht="30" customHeight="1"/>
    <row r="23" spans="1:2" ht="30" customHeight="1"/>
    <row r="24" spans="1:2" ht="30" customHeight="1"/>
    <row r="25" spans="1:2" ht="30" customHeight="1"/>
    <row r="26" spans="1:2" ht="30" customHeight="1"/>
    <row r="27" spans="1:2" ht="30" customHeight="1"/>
    <row r="28" spans="1:2" ht="30" customHeight="1"/>
    <row r="29" spans="1:2" ht="30" customHeight="1"/>
    <row r="30" spans="1:2" ht="30" customHeight="1"/>
    <row r="31" spans="1:2" ht="30" customHeight="1"/>
    <row r="32" spans="1: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</sheetData>
  <mergeCells count="16">
    <mergeCell ref="B8:K10"/>
    <mergeCell ref="A15:F15"/>
    <mergeCell ref="C4:D4"/>
    <mergeCell ref="A1:L1"/>
    <mergeCell ref="C5:D5"/>
    <mergeCell ref="A5:B5"/>
    <mergeCell ref="G5:H5"/>
    <mergeCell ref="E5:F5"/>
    <mergeCell ref="K5:L5"/>
    <mergeCell ref="I5:J5"/>
    <mergeCell ref="K4:L4"/>
    <mergeCell ref="A4:B4"/>
    <mergeCell ref="G4:H4"/>
    <mergeCell ref="E4:F4"/>
    <mergeCell ref="A2:L2"/>
    <mergeCell ref="I4:J4"/>
  </mergeCells>
  <conditionalFormatting sqref="G14:G73">
    <cfRule type="expression" dxfId="436" priority="2">
      <formula>G14="Completado"</formula>
    </cfRule>
  </conditionalFormatting>
  <conditionalFormatting sqref="K14:K73">
    <cfRule type="expression" dxfId="435" priority="1">
      <formula>K14="Alto"</formula>
    </cfRule>
  </conditionalFormatting>
  <conditionalFormatting sqref="L14:L73">
    <cfRule type="cellIs" dxfId="434" priority="3" operator="greaterThanOrEqual">
      <formula>0.7</formula>
    </cfRule>
  </conditionalFormatting>
  <dataValidations count="5">
    <dataValidation type="list" allowBlank="1" errorTitle="Valor no valido" error="Seleccione un valor valido de la lista." sqref="B14:B73" xr:uid="{00000000-0002-0000-5900-000000000000}">
      <formula1>"Latitud Norte Holding,CaptaPropIA,Latitud Norte Real Estate,Miner Global Connect,Universidad,Finanzas Personales,Stack Tecnologico,Legal/Compliance"</formula1>
    </dataValidation>
    <dataValidation type="list" allowBlank="1" errorTitle="Valor no valido" error="Seleccione un valor valido de la lista." sqref="F14:F73" xr:uid="{00000000-0002-0000-5900-000001000000}">
      <formula1>"A,B,C"</formula1>
    </dataValidation>
    <dataValidation type="list" allowBlank="1" errorTitle="Valor no valido" error="Seleccione un valor valido de la lista." sqref="G14:G73" xr:uid="{00000000-0002-0000-5900-000002000000}">
      <formula1>"Pendiente,En ejecucion,Bloqueado,Completado,Pausado"</formula1>
    </dataValidation>
    <dataValidation type="list" allowBlank="1" errorTitle="Valor no valido" error="Seleccione un valor valido de la lista." sqref="K14:K73" xr:uid="{00000000-0002-0000-5900-000003000000}">
      <formula1>"Alto,Medio,Bajo"</formula1>
    </dataValidation>
    <dataValidation type="list" allowBlank="1" errorTitle="Valor no valido" error="Seleccione un valor valido de la lista." sqref="E14:E73" xr:uid="{00000000-0002-0000-5900-000004000000}">
      <formula1>"Robinson,LNR,MGC,Asistente,Partner"</formula1>
    </dataValidation>
  </dataValidation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BFBFBF"/>
  </sheetPr>
  <dimension ref="A1:J106"/>
  <sheetViews>
    <sheetView showGridLines="0" workbookViewId="0"/>
  </sheetViews>
  <sheetFormatPr baseColWidth="10" defaultColWidth="14.453125" defaultRowHeight="14.5"/>
  <cols>
    <col min="1" max="1" width="14" customWidth="1"/>
    <col min="2" max="2" width="18" customWidth="1"/>
    <col min="3" max="3" width="16.6328125" customWidth="1"/>
    <col min="4" max="5" width="15.90625" customWidth="1"/>
    <col min="6" max="6" width="5.54296875" customWidth="1"/>
    <col min="7" max="7" width="10.08984375" customWidth="1"/>
    <col min="8" max="8" width="11.1796875" customWidth="1"/>
    <col min="9" max="9" width="6.54296875" customWidth="1"/>
    <col min="10" max="10" width="11.453125" customWidth="1"/>
    <col min="11" max="11" width="8.7265625" customWidth="1"/>
  </cols>
  <sheetData>
    <row r="1" spans="1:10" ht="23.5" customHeight="1">
      <c r="A1" s="519" t="s">
        <v>3421</v>
      </c>
      <c r="B1" s="426"/>
      <c r="C1" s="426"/>
      <c r="D1" s="426"/>
      <c r="E1" s="426"/>
      <c r="F1" s="426"/>
      <c r="G1" s="426"/>
      <c r="H1" s="426"/>
      <c r="I1" s="426"/>
      <c r="J1" s="426"/>
    </row>
    <row r="2" spans="1:10">
      <c r="A2" s="520" t="s">
        <v>3422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5" t="s">
        <v>13</v>
      </c>
      <c r="B4" s="5" t="s">
        <v>3423</v>
      </c>
      <c r="C4" s="5" t="s">
        <v>3424</v>
      </c>
      <c r="D4" s="5" t="s">
        <v>3425</v>
      </c>
      <c r="E4" s="5" t="s">
        <v>3426</v>
      </c>
      <c r="F4" s="5" t="s">
        <v>2088</v>
      </c>
      <c r="G4" s="5" t="s">
        <v>3427</v>
      </c>
      <c r="H4" s="5" t="s">
        <v>2091</v>
      </c>
      <c r="I4" s="5" t="s">
        <v>655</v>
      </c>
      <c r="J4" s="5" t="s">
        <v>11</v>
      </c>
    </row>
    <row r="5" spans="1:10">
      <c r="A5" s="23"/>
      <c r="B5" s="6"/>
      <c r="C5" s="6"/>
      <c r="D5" s="36"/>
      <c r="E5" s="36"/>
      <c r="F5" s="36"/>
      <c r="G5" s="36"/>
      <c r="H5" s="36"/>
      <c r="I5" s="84"/>
      <c r="J5" s="6"/>
    </row>
    <row r="6" spans="1:10">
      <c r="A6" s="23"/>
      <c r="B6" s="6"/>
      <c r="C6" s="6"/>
      <c r="D6" s="36"/>
      <c r="E6" s="36"/>
      <c r="F6" s="36"/>
      <c r="G6" s="36"/>
      <c r="H6" s="36"/>
      <c r="I6" s="84"/>
      <c r="J6" s="6"/>
    </row>
    <row r="7" spans="1:10">
      <c r="A7" s="23"/>
      <c r="B7" s="6"/>
      <c r="C7" s="6"/>
      <c r="D7" s="36"/>
      <c r="E7" s="36"/>
      <c r="F7" s="36"/>
      <c r="G7" s="36"/>
      <c r="H7" s="36"/>
      <c r="I7" s="84"/>
      <c r="J7" s="6"/>
    </row>
    <row r="8" spans="1:10">
      <c r="A8" s="23"/>
      <c r="B8" s="6"/>
      <c r="C8" s="6"/>
      <c r="D8" s="36"/>
      <c r="E8" s="36"/>
      <c r="F8" s="36"/>
      <c r="G8" s="36"/>
      <c r="H8" s="36"/>
      <c r="I8" s="84"/>
      <c r="J8" s="6"/>
    </row>
    <row r="9" spans="1:10">
      <c r="A9" s="23"/>
      <c r="B9" s="6"/>
      <c r="C9" s="6"/>
      <c r="D9" s="36"/>
      <c r="E9" s="36"/>
      <c r="F9" s="36"/>
      <c r="G9" s="36"/>
      <c r="H9" s="36"/>
      <c r="I9" s="84"/>
      <c r="J9" s="6"/>
    </row>
    <row r="10" spans="1:10">
      <c r="A10" s="23"/>
      <c r="B10" s="6"/>
      <c r="C10" s="6"/>
      <c r="D10" s="36"/>
      <c r="E10" s="36"/>
      <c r="F10" s="36"/>
      <c r="G10" s="36"/>
      <c r="H10" s="36"/>
      <c r="I10" s="84"/>
      <c r="J10" s="6"/>
    </row>
    <row r="11" spans="1:10">
      <c r="A11" s="23"/>
      <c r="B11" s="6"/>
      <c r="C11" s="6"/>
      <c r="D11" s="36"/>
      <c r="E11" s="36"/>
      <c r="F11" s="36"/>
      <c r="G11" s="36"/>
      <c r="H11" s="36"/>
      <c r="I11" s="84"/>
      <c r="J11" s="6"/>
    </row>
    <row r="12" spans="1:10">
      <c r="A12" s="23"/>
      <c r="B12" s="6"/>
      <c r="C12" s="6"/>
      <c r="D12" s="36"/>
      <c r="E12" s="36"/>
      <c r="F12" s="36"/>
      <c r="G12" s="36"/>
      <c r="H12" s="36"/>
      <c r="I12" s="84"/>
      <c r="J12" s="6"/>
    </row>
    <row r="13" spans="1:10">
      <c r="A13" s="23"/>
      <c r="B13" s="6"/>
      <c r="C13" s="6"/>
      <c r="D13" s="36"/>
      <c r="E13" s="36"/>
      <c r="F13" s="36"/>
      <c r="G13" s="36"/>
      <c r="H13" s="36"/>
      <c r="I13" s="84"/>
      <c r="J13" s="6"/>
    </row>
    <row r="14" spans="1:10">
      <c r="A14" s="23"/>
      <c r="B14" s="6"/>
      <c r="C14" s="6"/>
      <c r="D14" s="36"/>
      <c r="E14" s="36"/>
      <c r="F14" s="36"/>
      <c r="G14" s="36"/>
      <c r="H14" s="36"/>
      <c r="I14" s="84"/>
      <c r="J14" s="6"/>
    </row>
    <row r="15" spans="1:10">
      <c r="A15" s="23"/>
      <c r="B15" s="6"/>
      <c r="C15" s="6"/>
      <c r="D15" s="36"/>
      <c r="E15" s="36"/>
      <c r="F15" s="36"/>
      <c r="G15" s="36"/>
      <c r="H15" s="36"/>
      <c r="I15" s="84"/>
      <c r="J15" s="6"/>
    </row>
    <row r="16" spans="1:10" ht="1.9" customHeight="1">
      <c r="A16" s="23"/>
      <c r="B16" s="6"/>
      <c r="C16" s="6"/>
      <c r="D16" s="36"/>
      <c r="E16" s="36"/>
      <c r="F16" s="36"/>
      <c r="G16" s="36"/>
      <c r="H16" s="36"/>
      <c r="I16" s="84"/>
      <c r="J16" s="6"/>
    </row>
    <row r="17" spans="1:10" ht="1.9" customHeight="1">
      <c r="A17" s="23"/>
      <c r="B17" s="6"/>
      <c r="C17" s="6"/>
      <c r="D17" s="36"/>
      <c r="E17" s="36"/>
      <c r="F17" s="36"/>
      <c r="G17" s="36"/>
      <c r="H17" s="36"/>
      <c r="I17" s="84"/>
      <c r="J17" s="6"/>
    </row>
    <row r="18" spans="1:10" ht="1.9" customHeight="1">
      <c r="A18" s="23"/>
      <c r="B18" s="6"/>
      <c r="C18" s="6"/>
      <c r="D18" s="36"/>
      <c r="E18" s="36"/>
      <c r="F18" s="36"/>
      <c r="G18" s="36"/>
      <c r="H18" s="36"/>
      <c r="I18" s="84"/>
      <c r="J18" s="6"/>
    </row>
    <row r="19" spans="1:10" ht="1.9" customHeight="1">
      <c r="A19" s="23"/>
      <c r="B19" s="6"/>
      <c r="C19" s="6"/>
      <c r="D19" s="36"/>
      <c r="E19" s="36"/>
      <c r="F19" s="36"/>
      <c r="G19" s="36"/>
      <c r="H19" s="36"/>
      <c r="I19" s="84"/>
      <c r="J19" s="6"/>
    </row>
    <row r="20" spans="1:10" ht="1.9" customHeight="1">
      <c r="A20" s="23"/>
      <c r="B20" s="6"/>
      <c r="C20" s="6"/>
      <c r="D20" s="36"/>
      <c r="E20" s="36"/>
      <c r="F20" s="36"/>
      <c r="G20" s="36"/>
      <c r="H20" s="36"/>
      <c r="I20" s="84"/>
      <c r="J20" s="6"/>
    </row>
    <row r="21" spans="1:10" ht="1.9" customHeight="1">
      <c r="A21" s="23"/>
      <c r="B21" s="6"/>
      <c r="C21" s="6"/>
      <c r="D21" s="36"/>
      <c r="E21" s="36"/>
      <c r="F21" s="36"/>
      <c r="G21" s="36"/>
      <c r="H21" s="36"/>
      <c r="I21" s="84"/>
      <c r="J21" s="6"/>
    </row>
    <row r="22" spans="1:10" ht="1.9" customHeight="1">
      <c r="A22" s="23"/>
      <c r="B22" s="6"/>
      <c r="C22" s="6"/>
      <c r="D22" s="36"/>
      <c r="E22" s="36"/>
      <c r="F22" s="36"/>
      <c r="G22" s="36"/>
      <c r="H22" s="36"/>
      <c r="I22" s="84"/>
      <c r="J22" s="6"/>
    </row>
    <row r="23" spans="1:10" ht="1.9" customHeight="1">
      <c r="A23" s="23"/>
      <c r="B23" s="6"/>
      <c r="C23" s="6"/>
      <c r="D23" s="36"/>
      <c r="E23" s="36"/>
      <c r="F23" s="36"/>
      <c r="G23" s="36"/>
      <c r="H23" s="36"/>
      <c r="I23" s="84"/>
      <c r="J23" s="6"/>
    </row>
    <row r="24" spans="1:10" ht="1.9" customHeight="1">
      <c r="A24" s="23"/>
      <c r="B24" s="6"/>
      <c r="C24" s="6"/>
      <c r="D24" s="36"/>
      <c r="E24" s="36"/>
      <c r="F24" s="36"/>
      <c r="G24" s="36"/>
      <c r="H24" s="36"/>
      <c r="I24" s="84"/>
      <c r="J24" s="6"/>
    </row>
    <row r="25" spans="1:10" ht="1.9" customHeight="1">
      <c r="A25" s="23"/>
      <c r="B25" s="6"/>
      <c r="C25" s="6"/>
      <c r="D25" s="36"/>
      <c r="E25" s="36"/>
      <c r="F25" s="36"/>
      <c r="G25" s="36"/>
      <c r="H25" s="36"/>
      <c r="I25" s="84"/>
      <c r="J25" s="6"/>
    </row>
    <row r="26" spans="1:10" ht="1.9" customHeight="1">
      <c r="A26" s="23"/>
      <c r="B26" s="6"/>
      <c r="C26" s="6"/>
      <c r="D26" s="36"/>
      <c r="E26" s="36"/>
      <c r="F26" s="36"/>
      <c r="G26" s="36"/>
      <c r="H26" s="36"/>
      <c r="I26" s="84"/>
      <c r="J26" s="6"/>
    </row>
    <row r="27" spans="1:10" ht="1.9" customHeight="1">
      <c r="A27" s="23"/>
      <c r="B27" s="6"/>
      <c r="C27" s="6"/>
      <c r="D27" s="36"/>
      <c r="E27" s="36"/>
      <c r="F27" s="36"/>
      <c r="G27" s="36"/>
      <c r="H27" s="36"/>
      <c r="I27" s="84"/>
      <c r="J27" s="6"/>
    </row>
    <row r="28" spans="1:10" ht="1.9" customHeight="1">
      <c r="A28" s="23"/>
      <c r="B28" s="6"/>
      <c r="C28" s="6"/>
      <c r="D28" s="36"/>
      <c r="E28" s="36"/>
      <c r="F28" s="36"/>
      <c r="G28" s="36"/>
      <c r="H28" s="36"/>
      <c r="I28" s="84"/>
      <c r="J28" s="6"/>
    </row>
    <row r="29" spans="1:10" ht="1.9" customHeight="1">
      <c r="A29" s="23"/>
      <c r="B29" s="6"/>
      <c r="C29" s="6"/>
      <c r="D29" s="36"/>
      <c r="E29" s="36"/>
      <c r="F29" s="36"/>
      <c r="G29" s="36"/>
      <c r="H29" s="36"/>
      <c r="I29" s="84"/>
      <c r="J29" s="6"/>
    </row>
    <row r="30" spans="1:10" ht="1.9" customHeight="1">
      <c r="A30" s="23"/>
      <c r="B30" s="6"/>
      <c r="C30" s="6"/>
      <c r="D30" s="36"/>
      <c r="E30" s="36"/>
      <c r="F30" s="36"/>
      <c r="G30" s="36"/>
      <c r="H30" s="36"/>
      <c r="I30" s="84"/>
      <c r="J30" s="6"/>
    </row>
    <row r="31" spans="1:10" ht="1.9" customHeight="1">
      <c r="A31" s="23"/>
      <c r="B31" s="6"/>
      <c r="C31" s="6"/>
      <c r="D31" s="36"/>
      <c r="E31" s="36"/>
      <c r="F31" s="36"/>
      <c r="G31" s="36"/>
      <c r="H31" s="36"/>
      <c r="I31" s="84"/>
      <c r="J31" s="6"/>
    </row>
    <row r="32" spans="1:10" ht="1.9" customHeight="1">
      <c r="A32" s="23"/>
      <c r="B32" s="6"/>
      <c r="C32" s="6"/>
      <c r="D32" s="36"/>
      <c r="E32" s="36"/>
      <c r="F32" s="36"/>
      <c r="G32" s="36"/>
      <c r="H32" s="36"/>
      <c r="I32" s="84"/>
      <c r="J32" s="6"/>
    </row>
    <row r="33" spans="1:10" ht="1.9" customHeight="1">
      <c r="A33" s="23"/>
      <c r="B33" s="6"/>
      <c r="C33" s="6"/>
      <c r="D33" s="36"/>
      <c r="E33" s="36"/>
      <c r="F33" s="36"/>
      <c r="G33" s="36"/>
      <c r="H33" s="36"/>
      <c r="I33" s="84"/>
      <c r="J33" s="6"/>
    </row>
    <row r="34" spans="1:10" ht="1.9" customHeight="1">
      <c r="A34" s="23"/>
      <c r="B34" s="6"/>
      <c r="C34" s="6"/>
      <c r="D34" s="36"/>
      <c r="E34" s="36"/>
      <c r="F34" s="36"/>
      <c r="G34" s="36"/>
      <c r="H34" s="36"/>
      <c r="I34" s="84"/>
      <c r="J34" s="6"/>
    </row>
    <row r="35" spans="1:10" ht="1.9" customHeight="1">
      <c r="A35" s="23"/>
      <c r="B35" s="6"/>
      <c r="C35" s="6"/>
      <c r="D35" s="36"/>
      <c r="E35" s="36"/>
      <c r="F35" s="36"/>
      <c r="G35" s="36"/>
      <c r="H35" s="36"/>
      <c r="I35" s="84"/>
      <c r="J35" s="6"/>
    </row>
    <row r="36" spans="1:10" ht="1.9" customHeight="1">
      <c r="A36" s="23"/>
      <c r="B36" s="6"/>
      <c r="C36" s="6"/>
      <c r="D36" s="36"/>
      <c r="E36" s="36"/>
      <c r="F36" s="36"/>
      <c r="G36" s="36"/>
      <c r="H36" s="36"/>
      <c r="I36" s="84"/>
      <c r="J36" s="6"/>
    </row>
    <row r="37" spans="1:10" ht="1.9" customHeight="1">
      <c r="A37" s="23"/>
      <c r="B37" s="6"/>
      <c r="C37" s="6"/>
      <c r="D37" s="36"/>
      <c r="E37" s="36"/>
      <c r="F37" s="36"/>
      <c r="G37" s="36"/>
      <c r="H37" s="36"/>
      <c r="I37" s="84"/>
      <c r="J37" s="6"/>
    </row>
    <row r="38" spans="1:10" ht="1.9" customHeight="1">
      <c r="A38" s="23"/>
      <c r="B38" s="6"/>
      <c r="C38" s="6"/>
      <c r="D38" s="36"/>
      <c r="E38" s="36"/>
      <c r="F38" s="36"/>
      <c r="G38" s="36"/>
      <c r="H38" s="36"/>
      <c r="I38" s="84"/>
      <c r="J38" s="6"/>
    </row>
    <row r="39" spans="1:10" ht="1.9" customHeight="1">
      <c r="A39" s="23"/>
      <c r="B39" s="6"/>
      <c r="C39" s="6"/>
      <c r="D39" s="36"/>
      <c r="E39" s="36"/>
      <c r="F39" s="36"/>
      <c r="G39" s="36"/>
      <c r="H39" s="36"/>
      <c r="I39" s="84"/>
      <c r="J39" s="6"/>
    </row>
    <row r="40" spans="1:10" ht="1.9" customHeight="1">
      <c r="A40" s="23"/>
      <c r="B40" s="6"/>
      <c r="C40" s="6"/>
      <c r="D40" s="36"/>
      <c r="E40" s="36"/>
      <c r="F40" s="36"/>
      <c r="G40" s="36"/>
      <c r="H40" s="36"/>
      <c r="I40" s="84"/>
      <c r="J40" s="6"/>
    </row>
    <row r="41" spans="1:10" ht="1.9" customHeight="1">
      <c r="A41" s="23"/>
      <c r="B41" s="6"/>
      <c r="C41" s="6"/>
      <c r="D41" s="36"/>
      <c r="E41" s="36"/>
      <c r="F41" s="36"/>
      <c r="G41" s="36"/>
      <c r="H41" s="36"/>
      <c r="I41" s="84"/>
      <c r="J41" s="6"/>
    </row>
    <row r="42" spans="1:10" ht="1.9" customHeight="1">
      <c r="A42" s="23"/>
      <c r="B42" s="6"/>
      <c r="C42" s="6"/>
      <c r="D42" s="36"/>
      <c r="E42" s="36"/>
      <c r="F42" s="36"/>
      <c r="G42" s="36"/>
      <c r="H42" s="36"/>
      <c r="I42" s="84"/>
      <c r="J42" s="6"/>
    </row>
    <row r="43" spans="1:10" ht="1.9" customHeight="1">
      <c r="A43" s="23"/>
      <c r="B43" s="6"/>
      <c r="C43" s="6"/>
      <c r="D43" s="36"/>
      <c r="E43" s="36"/>
      <c r="F43" s="36"/>
      <c r="G43" s="36"/>
      <c r="H43" s="36"/>
      <c r="I43" s="84"/>
      <c r="J43" s="6"/>
    </row>
    <row r="44" spans="1:10" ht="1.9" customHeight="1">
      <c r="A44" s="23"/>
      <c r="B44" s="6"/>
      <c r="C44" s="6"/>
      <c r="D44" s="36"/>
      <c r="E44" s="36"/>
      <c r="F44" s="36"/>
      <c r="G44" s="36"/>
      <c r="H44" s="36"/>
      <c r="I44" s="84"/>
      <c r="J44" s="6"/>
    </row>
    <row r="45" spans="1:10" ht="1.9" customHeight="1">
      <c r="A45" s="23"/>
      <c r="B45" s="6"/>
      <c r="C45" s="6"/>
      <c r="D45" s="36"/>
      <c r="E45" s="36"/>
      <c r="F45" s="36"/>
      <c r="G45" s="36"/>
      <c r="H45" s="36"/>
      <c r="I45" s="84"/>
      <c r="J45" s="6"/>
    </row>
    <row r="46" spans="1:10" ht="1.9" customHeight="1">
      <c r="A46" s="23"/>
      <c r="B46" s="6"/>
      <c r="C46" s="6"/>
      <c r="D46" s="36"/>
      <c r="E46" s="36"/>
      <c r="F46" s="36"/>
      <c r="G46" s="36"/>
      <c r="H46" s="36"/>
      <c r="I46" s="84"/>
      <c r="J46" s="6"/>
    </row>
    <row r="47" spans="1:10" ht="1.9" customHeight="1">
      <c r="A47" s="23"/>
      <c r="B47" s="6"/>
      <c r="C47" s="6"/>
      <c r="D47" s="36"/>
      <c r="E47" s="36"/>
      <c r="F47" s="36"/>
      <c r="G47" s="36"/>
      <c r="H47" s="36"/>
      <c r="I47" s="84"/>
      <c r="J47" s="6"/>
    </row>
    <row r="48" spans="1:10" ht="1.9" customHeight="1">
      <c r="A48" s="23"/>
      <c r="B48" s="6"/>
      <c r="C48" s="6"/>
      <c r="D48" s="36"/>
      <c r="E48" s="36"/>
      <c r="F48" s="36"/>
      <c r="G48" s="36"/>
      <c r="H48" s="36"/>
      <c r="I48" s="84"/>
      <c r="J48" s="6"/>
    </row>
    <row r="49" spans="1:10" ht="1.9" customHeight="1">
      <c r="A49" s="23"/>
      <c r="B49" s="6"/>
      <c r="C49" s="6"/>
      <c r="D49" s="36"/>
      <c r="E49" s="36"/>
      <c r="F49" s="36"/>
      <c r="G49" s="36"/>
      <c r="H49" s="36"/>
      <c r="I49" s="84"/>
      <c r="J49" s="6"/>
    </row>
    <row r="50" spans="1:10" ht="1.9" customHeight="1">
      <c r="A50" s="23"/>
      <c r="B50" s="6"/>
      <c r="C50" s="6"/>
      <c r="D50" s="36"/>
      <c r="E50" s="36"/>
      <c r="F50" s="36"/>
      <c r="G50" s="36"/>
      <c r="H50" s="36"/>
      <c r="I50" s="84"/>
      <c r="J50" s="6"/>
    </row>
    <row r="51" spans="1:10" ht="1.9" customHeight="1">
      <c r="A51" s="23"/>
      <c r="B51" s="6"/>
      <c r="C51" s="6"/>
      <c r="D51" s="36"/>
      <c r="E51" s="36"/>
      <c r="F51" s="36"/>
      <c r="G51" s="36"/>
      <c r="H51" s="36"/>
      <c r="I51" s="84"/>
      <c r="J51" s="6"/>
    </row>
    <row r="52" spans="1:10" ht="1.9" customHeight="1">
      <c r="A52" s="23"/>
      <c r="B52" s="6"/>
      <c r="C52" s="6"/>
      <c r="D52" s="36"/>
      <c r="E52" s="36"/>
      <c r="F52" s="36"/>
      <c r="G52" s="36"/>
      <c r="H52" s="36"/>
      <c r="I52" s="84"/>
      <c r="J52" s="6"/>
    </row>
    <row r="53" spans="1:10" ht="1.9" customHeight="1">
      <c r="A53" s="23"/>
      <c r="B53" s="6"/>
      <c r="C53" s="6"/>
      <c r="D53" s="36"/>
      <c r="E53" s="36"/>
      <c r="F53" s="36"/>
      <c r="G53" s="36"/>
      <c r="H53" s="36"/>
      <c r="I53" s="84"/>
      <c r="J53" s="6"/>
    </row>
    <row r="54" spans="1:10" ht="1.9" customHeight="1">
      <c r="A54" s="23"/>
      <c r="B54" s="6"/>
      <c r="C54" s="6"/>
      <c r="D54" s="36"/>
      <c r="E54" s="36"/>
      <c r="F54" s="36"/>
      <c r="G54" s="36"/>
      <c r="H54" s="36"/>
      <c r="I54" s="84"/>
      <c r="J54" s="6"/>
    </row>
    <row r="55" spans="1:10" ht="1.9" customHeight="1">
      <c r="A55" s="23"/>
      <c r="B55" s="6"/>
      <c r="C55" s="6"/>
      <c r="D55" s="36"/>
      <c r="E55" s="36"/>
      <c r="F55" s="36"/>
      <c r="G55" s="36"/>
      <c r="H55" s="36"/>
      <c r="I55" s="84"/>
      <c r="J55" s="6"/>
    </row>
    <row r="56" spans="1:10" ht="1.9" customHeight="1">
      <c r="A56" s="23"/>
      <c r="B56" s="6"/>
      <c r="C56" s="6"/>
      <c r="D56" s="36"/>
      <c r="E56" s="36"/>
      <c r="F56" s="36"/>
      <c r="G56" s="36"/>
      <c r="H56" s="36"/>
      <c r="I56" s="84"/>
      <c r="J56" s="6"/>
    </row>
    <row r="57" spans="1:10" ht="1.9" customHeight="1">
      <c r="A57" s="23"/>
      <c r="B57" s="6"/>
      <c r="C57" s="6"/>
      <c r="D57" s="36"/>
      <c r="E57" s="36"/>
      <c r="F57" s="36"/>
      <c r="G57" s="36"/>
      <c r="H57" s="36"/>
      <c r="I57" s="84"/>
      <c r="J57" s="6"/>
    </row>
    <row r="58" spans="1:10" ht="1.9" customHeight="1">
      <c r="A58" s="23"/>
      <c r="B58" s="6"/>
      <c r="C58" s="6"/>
      <c r="D58" s="36"/>
      <c r="E58" s="36"/>
      <c r="F58" s="36"/>
      <c r="G58" s="36"/>
      <c r="H58" s="36"/>
      <c r="I58" s="84"/>
      <c r="J58" s="6"/>
    </row>
    <row r="59" spans="1:10" ht="1.9" customHeight="1">
      <c r="A59" s="23"/>
      <c r="B59" s="6"/>
      <c r="C59" s="6"/>
      <c r="D59" s="36"/>
      <c r="E59" s="36"/>
      <c r="F59" s="36"/>
      <c r="G59" s="36"/>
      <c r="H59" s="36"/>
      <c r="I59" s="84"/>
      <c r="J59" s="6"/>
    </row>
    <row r="60" spans="1:10" ht="1.9" customHeight="1">
      <c r="A60" s="23"/>
      <c r="B60" s="6"/>
      <c r="C60" s="6"/>
      <c r="D60" s="36"/>
      <c r="E60" s="36"/>
      <c r="F60" s="36"/>
      <c r="G60" s="36"/>
      <c r="H60" s="36"/>
      <c r="I60" s="84"/>
      <c r="J60" s="6"/>
    </row>
    <row r="61" spans="1:10" ht="1.9" customHeight="1">
      <c r="A61" s="23"/>
      <c r="B61" s="6"/>
      <c r="C61" s="6"/>
      <c r="D61" s="36"/>
      <c r="E61" s="36"/>
      <c r="F61" s="36"/>
      <c r="G61" s="36"/>
      <c r="H61" s="36"/>
      <c r="I61" s="84"/>
      <c r="J61" s="6"/>
    </row>
    <row r="62" spans="1:10" ht="1.9" customHeight="1">
      <c r="A62" s="23"/>
      <c r="B62" s="6"/>
      <c r="C62" s="6"/>
      <c r="D62" s="36"/>
      <c r="E62" s="36"/>
      <c r="F62" s="36"/>
      <c r="G62" s="36"/>
      <c r="H62" s="36"/>
      <c r="I62" s="84"/>
      <c r="J62" s="6"/>
    </row>
    <row r="63" spans="1:10" ht="1.9" customHeight="1">
      <c r="A63" s="23"/>
      <c r="B63" s="6"/>
      <c r="C63" s="6"/>
      <c r="D63" s="36"/>
      <c r="E63" s="36"/>
      <c r="F63" s="36"/>
      <c r="G63" s="36"/>
      <c r="H63" s="36"/>
      <c r="I63" s="84"/>
      <c r="J63" s="6"/>
    </row>
    <row r="64" spans="1:10" ht="1.9" customHeight="1">
      <c r="A64" s="23"/>
      <c r="B64" s="6"/>
      <c r="C64" s="6"/>
      <c r="D64" s="36"/>
      <c r="E64" s="36"/>
      <c r="F64" s="36"/>
      <c r="G64" s="36"/>
      <c r="H64" s="36"/>
      <c r="I64" s="84"/>
      <c r="J64" s="6"/>
    </row>
    <row r="65" spans="1:10" ht="1.9" customHeight="1">
      <c r="A65" s="23"/>
      <c r="B65" s="6"/>
      <c r="C65" s="6"/>
      <c r="D65" s="36"/>
      <c r="E65" s="36"/>
      <c r="F65" s="36"/>
      <c r="G65" s="36"/>
      <c r="H65" s="36"/>
      <c r="I65" s="84"/>
      <c r="J65" s="6"/>
    </row>
    <row r="66" spans="1:10" ht="1.9" customHeight="1">
      <c r="A66" s="23"/>
      <c r="B66" s="6"/>
      <c r="C66" s="6"/>
      <c r="D66" s="36"/>
      <c r="E66" s="36"/>
      <c r="F66" s="36"/>
      <c r="G66" s="36"/>
      <c r="H66" s="36"/>
      <c r="I66" s="84"/>
      <c r="J66" s="6"/>
    </row>
    <row r="67" spans="1:10" ht="1.9" customHeight="1">
      <c r="A67" s="23"/>
      <c r="B67" s="6"/>
      <c r="C67" s="6"/>
      <c r="D67" s="36"/>
      <c r="E67" s="36"/>
      <c r="F67" s="36"/>
      <c r="G67" s="36"/>
      <c r="H67" s="36"/>
      <c r="I67" s="84"/>
      <c r="J67" s="6"/>
    </row>
    <row r="68" spans="1:10" ht="1.9" customHeight="1">
      <c r="A68" s="23"/>
      <c r="B68" s="6"/>
      <c r="C68" s="6"/>
      <c r="D68" s="36"/>
      <c r="E68" s="36"/>
      <c r="F68" s="36"/>
      <c r="G68" s="36"/>
      <c r="H68" s="36"/>
      <c r="I68" s="84"/>
      <c r="J68" s="6"/>
    </row>
    <row r="69" spans="1:10" ht="1.9" customHeight="1">
      <c r="A69" s="23"/>
      <c r="B69" s="6"/>
      <c r="C69" s="6"/>
      <c r="D69" s="36"/>
      <c r="E69" s="36"/>
      <c r="F69" s="36"/>
      <c r="G69" s="36"/>
      <c r="H69" s="36"/>
      <c r="I69" s="84"/>
      <c r="J69" s="6"/>
    </row>
    <row r="70" spans="1:10" ht="1.9" customHeight="1">
      <c r="A70" s="23"/>
      <c r="B70" s="6"/>
      <c r="C70" s="6"/>
      <c r="D70" s="36"/>
      <c r="E70" s="36"/>
      <c r="F70" s="36"/>
      <c r="G70" s="36"/>
      <c r="H70" s="36"/>
      <c r="I70" s="84"/>
      <c r="J70" s="6"/>
    </row>
    <row r="71" spans="1:10" ht="1.9" customHeight="1">
      <c r="A71" s="23"/>
      <c r="B71" s="6"/>
      <c r="C71" s="6"/>
      <c r="D71" s="36"/>
      <c r="E71" s="36"/>
      <c r="F71" s="36"/>
      <c r="G71" s="36"/>
      <c r="H71" s="36"/>
      <c r="I71" s="84"/>
      <c r="J71" s="6"/>
    </row>
    <row r="72" spans="1:10" ht="1.9" customHeight="1">
      <c r="A72" s="23"/>
      <c r="B72" s="6"/>
      <c r="C72" s="6"/>
      <c r="D72" s="36"/>
      <c r="E72" s="36"/>
      <c r="F72" s="36"/>
      <c r="G72" s="36"/>
      <c r="H72" s="36"/>
      <c r="I72" s="84"/>
      <c r="J72" s="6"/>
    </row>
    <row r="73" spans="1:10" ht="1.9" customHeight="1">
      <c r="A73" s="23"/>
      <c r="B73" s="6"/>
      <c r="C73" s="6"/>
      <c r="D73" s="36"/>
      <c r="E73" s="36"/>
      <c r="F73" s="36"/>
      <c r="G73" s="36"/>
      <c r="H73" s="36"/>
      <c r="I73" s="84"/>
      <c r="J73" s="6"/>
    </row>
    <row r="74" spans="1:10" ht="1.9" customHeight="1">
      <c r="A74" s="23"/>
      <c r="B74" s="6"/>
      <c r="C74" s="6"/>
      <c r="D74" s="36"/>
      <c r="E74" s="36"/>
      <c r="F74" s="36"/>
      <c r="G74" s="36"/>
      <c r="H74" s="36"/>
      <c r="I74" s="84"/>
      <c r="J74" s="6"/>
    </row>
    <row r="75" spans="1:10" ht="1.9" customHeight="1">
      <c r="A75" s="23"/>
      <c r="B75" s="6"/>
      <c r="C75" s="6"/>
      <c r="D75" s="36"/>
      <c r="E75" s="36"/>
      <c r="F75" s="36"/>
      <c r="G75" s="36"/>
      <c r="H75" s="36"/>
      <c r="I75" s="84"/>
      <c r="J75" s="6"/>
    </row>
    <row r="76" spans="1:10" ht="1.9" customHeight="1">
      <c r="A76" s="23"/>
      <c r="B76" s="6"/>
      <c r="C76" s="6"/>
      <c r="D76" s="36"/>
      <c r="E76" s="36"/>
      <c r="F76" s="36"/>
      <c r="G76" s="36"/>
      <c r="H76" s="36"/>
      <c r="I76" s="84"/>
      <c r="J76" s="6"/>
    </row>
    <row r="77" spans="1:10" ht="1.9" customHeight="1">
      <c r="A77" s="23"/>
      <c r="B77" s="6"/>
      <c r="C77" s="6"/>
      <c r="D77" s="36"/>
      <c r="E77" s="36"/>
      <c r="F77" s="36"/>
      <c r="G77" s="36"/>
      <c r="H77" s="36"/>
      <c r="I77" s="84"/>
      <c r="J77" s="6"/>
    </row>
    <row r="78" spans="1:10" ht="1.9" customHeight="1">
      <c r="A78" s="23"/>
      <c r="B78" s="6"/>
      <c r="C78" s="6"/>
      <c r="D78" s="36"/>
      <c r="E78" s="36"/>
      <c r="F78" s="36"/>
      <c r="G78" s="36"/>
      <c r="H78" s="36"/>
      <c r="I78" s="84"/>
      <c r="J78" s="6"/>
    </row>
    <row r="79" spans="1:10" ht="1.9" customHeight="1">
      <c r="A79" s="23"/>
      <c r="B79" s="6"/>
      <c r="C79" s="6"/>
      <c r="D79" s="36"/>
      <c r="E79" s="36"/>
      <c r="F79" s="36"/>
      <c r="G79" s="36"/>
      <c r="H79" s="36"/>
      <c r="I79" s="84"/>
      <c r="J79" s="6"/>
    </row>
    <row r="80" spans="1:10" ht="1.9" customHeight="1">
      <c r="A80" s="23"/>
      <c r="B80" s="6"/>
      <c r="C80" s="6"/>
      <c r="D80" s="36"/>
      <c r="E80" s="36"/>
      <c r="F80" s="36"/>
      <c r="G80" s="36"/>
      <c r="H80" s="36"/>
      <c r="I80" s="84"/>
      <c r="J80" s="6"/>
    </row>
    <row r="81" spans="1:10" ht="1.9" customHeight="1">
      <c r="A81" s="23"/>
      <c r="B81" s="6"/>
      <c r="C81" s="6"/>
      <c r="D81" s="36"/>
      <c r="E81" s="36"/>
      <c r="F81" s="36"/>
      <c r="G81" s="36"/>
      <c r="H81" s="36"/>
      <c r="I81" s="84"/>
      <c r="J81" s="6"/>
    </row>
    <row r="82" spans="1:10" ht="1.9" customHeight="1">
      <c r="A82" s="23"/>
      <c r="B82" s="6"/>
      <c r="C82" s="6"/>
      <c r="D82" s="36"/>
      <c r="E82" s="36"/>
      <c r="F82" s="36"/>
      <c r="G82" s="36"/>
      <c r="H82" s="36"/>
      <c r="I82" s="84"/>
      <c r="J82" s="6"/>
    </row>
    <row r="83" spans="1:10" ht="1.9" customHeight="1">
      <c r="A83" s="23"/>
      <c r="B83" s="6"/>
      <c r="C83" s="6"/>
      <c r="D83" s="36"/>
      <c r="E83" s="36"/>
      <c r="F83" s="36"/>
      <c r="G83" s="36"/>
      <c r="H83" s="36"/>
      <c r="I83" s="84"/>
      <c r="J83" s="6"/>
    </row>
    <row r="84" spans="1:10" ht="1.9" customHeight="1">
      <c r="A84" s="23"/>
      <c r="B84" s="6"/>
      <c r="C84" s="6"/>
      <c r="D84" s="36"/>
      <c r="E84" s="36"/>
      <c r="F84" s="36"/>
      <c r="G84" s="36"/>
      <c r="H84" s="36"/>
      <c r="I84" s="84"/>
      <c r="J84" s="6"/>
    </row>
    <row r="85" spans="1:10" ht="1.9" customHeight="1">
      <c r="A85" s="23"/>
      <c r="B85" s="6"/>
      <c r="C85" s="6"/>
      <c r="D85" s="36"/>
      <c r="E85" s="36"/>
      <c r="F85" s="36"/>
      <c r="G85" s="36"/>
      <c r="H85" s="36"/>
      <c r="I85" s="84"/>
      <c r="J85" s="6"/>
    </row>
    <row r="86" spans="1:10" ht="1.9" customHeight="1">
      <c r="A86" s="23"/>
      <c r="B86" s="6"/>
      <c r="C86" s="6"/>
      <c r="D86" s="36"/>
      <c r="E86" s="36"/>
      <c r="F86" s="36"/>
      <c r="G86" s="36"/>
      <c r="H86" s="36"/>
      <c r="I86" s="84"/>
      <c r="J86" s="6"/>
    </row>
    <row r="87" spans="1:10" ht="1.9" customHeight="1">
      <c r="A87" s="23"/>
      <c r="B87" s="6"/>
      <c r="C87" s="6"/>
      <c r="D87" s="36"/>
      <c r="E87" s="36"/>
      <c r="F87" s="36"/>
      <c r="G87" s="36"/>
      <c r="H87" s="36"/>
      <c r="I87" s="84"/>
      <c r="J87" s="6"/>
    </row>
    <row r="88" spans="1:10" ht="1.9" customHeight="1">
      <c r="A88" s="23"/>
      <c r="B88" s="6"/>
      <c r="C88" s="6"/>
      <c r="D88" s="36"/>
      <c r="E88" s="36"/>
      <c r="F88" s="36"/>
      <c r="G88" s="36"/>
      <c r="H88" s="36"/>
      <c r="I88" s="84"/>
      <c r="J88" s="6"/>
    </row>
    <row r="89" spans="1:10" ht="1.9" customHeight="1">
      <c r="A89" s="23"/>
      <c r="B89" s="6"/>
      <c r="C89" s="6"/>
      <c r="D89" s="36"/>
      <c r="E89" s="36"/>
      <c r="F89" s="36"/>
      <c r="G89" s="36"/>
      <c r="H89" s="36"/>
      <c r="I89" s="84"/>
      <c r="J89" s="6"/>
    </row>
    <row r="90" spans="1:10" ht="1.9" customHeight="1">
      <c r="A90" s="23"/>
      <c r="B90" s="6"/>
      <c r="C90" s="6"/>
      <c r="D90" s="36"/>
      <c r="E90" s="36"/>
      <c r="F90" s="36"/>
      <c r="G90" s="36"/>
      <c r="H90" s="36"/>
      <c r="I90" s="84"/>
      <c r="J90" s="6"/>
    </row>
    <row r="91" spans="1:10" ht="1.9" customHeight="1">
      <c r="A91" s="23"/>
      <c r="B91" s="6"/>
      <c r="C91" s="6"/>
      <c r="D91" s="36"/>
      <c r="E91" s="36"/>
      <c r="F91" s="36"/>
      <c r="G91" s="36"/>
      <c r="H91" s="36"/>
      <c r="I91" s="84"/>
      <c r="J91" s="6"/>
    </row>
    <row r="92" spans="1:10" ht="1.9" customHeight="1">
      <c r="A92" s="23"/>
      <c r="B92" s="6"/>
      <c r="C92" s="6"/>
      <c r="D92" s="36"/>
      <c r="E92" s="36"/>
      <c r="F92" s="36"/>
      <c r="G92" s="36"/>
      <c r="H92" s="36"/>
      <c r="I92" s="84"/>
      <c r="J92" s="6"/>
    </row>
    <row r="93" spans="1:10" ht="1.9" customHeight="1">
      <c r="A93" s="23"/>
      <c r="B93" s="6"/>
      <c r="C93" s="6"/>
      <c r="D93" s="36"/>
      <c r="E93" s="36"/>
      <c r="F93" s="36"/>
      <c r="G93" s="36"/>
      <c r="H93" s="36"/>
      <c r="I93" s="84"/>
      <c r="J93" s="6"/>
    </row>
    <row r="94" spans="1:10" ht="1.9" customHeight="1">
      <c r="A94" s="23"/>
      <c r="B94" s="6"/>
      <c r="C94" s="6"/>
      <c r="D94" s="36"/>
      <c r="E94" s="36"/>
      <c r="F94" s="36"/>
      <c r="G94" s="36"/>
      <c r="H94" s="36"/>
      <c r="I94" s="84"/>
      <c r="J94" s="6"/>
    </row>
    <row r="95" spans="1:10" ht="1.9" customHeight="1">
      <c r="A95" s="6"/>
      <c r="B95" s="6"/>
      <c r="C95" s="6"/>
      <c r="D95" s="6"/>
      <c r="E95" s="6"/>
      <c r="F95" s="6"/>
      <c r="G95" s="6"/>
      <c r="H95" s="6"/>
      <c r="I95" s="84"/>
      <c r="J95" s="6"/>
    </row>
    <row r="96" spans="1:10" ht="1.9" customHeight="1">
      <c r="A96" s="6"/>
      <c r="B96" s="6"/>
      <c r="C96" s="6"/>
      <c r="D96" s="6"/>
      <c r="E96" s="6"/>
      <c r="F96" s="6"/>
      <c r="G96" s="6"/>
      <c r="H96" s="6"/>
      <c r="I96" s="84"/>
      <c r="J96" s="6"/>
    </row>
    <row r="97" spans="1:10" ht="1.9" customHeight="1">
      <c r="A97" s="6"/>
      <c r="B97" s="6"/>
      <c r="C97" s="6"/>
      <c r="D97" s="6"/>
      <c r="E97" s="6"/>
      <c r="F97" s="6"/>
      <c r="G97" s="6"/>
      <c r="H97" s="6"/>
      <c r="I97" s="84"/>
      <c r="J97" s="6"/>
    </row>
    <row r="98" spans="1:10" ht="1.9" customHeight="1">
      <c r="A98" s="494" t="s">
        <v>3428</v>
      </c>
      <c r="B98" s="495"/>
      <c r="C98" s="495"/>
      <c r="D98" s="495"/>
      <c r="E98" s="6"/>
      <c r="F98" s="6"/>
      <c r="G98" s="6"/>
      <c r="H98" s="6"/>
      <c r="I98" s="84"/>
      <c r="J98" s="6"/>
    </row>
    <row r="99" spans="1:10">
      <c r="A99" s="5" t="s">
        <v>1300</v>
      </c>
      <c r="B99" s="5" t="s">
        <v>7</v>
      </c>
      <c r="C99" s="5" t="s">
        <v>655</v>
      </c>
      <c r="D99" s="5" t="s">
        <v>1844</v>
      </c>
      <c r="E99" s="6"/>
      <c r="F99" s="6"/>
      <c r="G99" s="6"/>
      <c r="H99" s="6"/>
      <c r="I99" s="84"/>
      <c r="J99" s="6"/>
    </row>
    <row r="100" spans="1:10" ht="43.5" customHeight="1">
      <c r="A100" s="21" t="s">
        <v>3429</v>
      </c>
      <c r="B100" s="35">
        <f>COUNTA(A5:A94)</f>
        <v>0</v>
      </c>
      <c r="C100" s="6"/>
      <c r="D100" s="6" t="s">
        <v>3430</v>
      </c>
      <c r="E100" s="6"/>
      <c r="F100" s="6"/>
      <c r="G100" s="6"/>
      <c r="H100" s="6"/>
      <c r="I100" s="84"/>
      <c r="J100" s="6"/>
    </row>
    <row r="101" spans="1:10">
      <c r="A101" s="21" t="s">
        <v>3431</v>
      </c>
      <c r="B101" s="35">
        <f>COUNTIF(I5:I94,"Cumplido")+COUNTIF(I5:I94,"🟢 Cumplido")+COUNTIF(I5:I94,"🔵 Superado")</f>
        <v>0</v>
      </c>
      <c r="C101" s="6"/>
      <c r="D101" s="6" t="s">
        <v>3432</v>
      </c>
      <c r="E101" s="6"/>
      <c r="F101" s="6"/>
      <c r="G101" s="6"/>
      <c r="H101" s="6"/>
      <c r="I101" s="84"/>
      <c r="J101" s="6"/>
    </row>
    <row r="102" spans="1:10" ht="29" customHeight="1">
      <c r="A102" s="21" t="s">
        <v>3433</v>
      </c>
      <c r="B102" s="35">
        <f ca="1">MAX(0,DAY(TODAY())-B100)</f>
        <v>3</v>
      </c>
      <c r="C102" s="6"/>
      <c r="D102" s="6" t="s">
        <v>3434</v>
      </c>
      <c r="E102" s="6"/>
      <c r="F102" s="6"/>
      <c r="G102" s="6"/>
      <c r="H102" s="6"/>
      <c r="I102" s="84"/>
      <c r="J102" s="6"/>
    </row>
    <row r="103" spans="1:10" ht="29" customHeight="1">
      <c r="A103" s="21" t="s">
        <v>3435</v>
      </c>
      <c r="B103" s="39">
        <f>IFERROR(AVERAGEIF(H5:H94,"&gt;0"),0)</f>
        <v>0</v>
      </c>
      <c r="C103" s="6"/>
      <c r="D103" s="6" t="s">
        <v>3436</v>
      </c>
      <c r="E103" s="6"/>
      <c r="F103" s="6"/>
      <c r="G103" s="6"/>
      <c r="H103" s="6"/>
      <c r="I103" s="84"/>
      <c r="J103" s="6"/>
    </row>
    <row r="104" spans="1:10" ht="29" customHeight="1">
      <c r="A104" s="21" t="s">
        <v>3437</v>
      </c>
      <c r="B104" s="40">
        <f>SUM(G5:G94)</f>
        <v>0</v>
      </c>
      <c r="C104" s="6"/>
      <c r="D104" s="6" t="s">
        <v>3438</v>
      </c>
      <c r="E104" s="6"/>
      <c r="F104" s="6"/>
      <c r="G104" s="6"/>
      <c r="H104" s="6"/>
      <c r="I104" s="84"/>
      <c r="J104" s="6"/>
    </row>
    <row r="105" spans="1:10" ht="43.5" customHeight="1">
      <c r="A105" s="21" t="s">
        <v>3439</v>
      </c>
      <c r="B105" s="8">
        <f>IFERROR(B101/B100,0)</f>
        <v>0</v>
      </c>
      <c r="C105" s="6" t="str">
        <f>IF(B105&gt;=0.8,"🟢 Controlada",IF(B105&gt;=0.6,"🟡 Revisar","🔴 Riesgo"))</f>
        <v>🔴 Riesgo</v>
      </c>
      <c r="D105" s="6" t="s">
        <v>3440</v>
      </c>
      <c r="E105" s="6"/>
      <c r="F105" s="6"/>
      <c r="G105" s="6"/>
      <c r="H105" s="6"/>
      <c r="I105" s="84"/>
      <c r="J105" s="6"/>
    </row>
    <row r="106" spans="1:10" ht="29" customHeight="1">
      <c r="A106" s="21" t="s">
        <v>3441</v>
      </c>
      <c r="B106" s="35">
        <f>COUNTIF(D5:D94,"&gt;=140")+COUNTIF(E5:E94,"&gt;=90")</f>
        <v>0</v>
      </c>
      <c r="C106" s="6" t="str">
        <f>IF(B106=0,"🟢 Sin alertas","🔴 Revisar presión")</f>
        <v>🟢 Sin alertas</v>
      </c>
      <c r="D106" s="6" t="s">
        <v>3442</v>
      </c>
      <c r="E106" s="6"/>
      <c r="F106" s="6"/>
      <c r="G106" s="6"/>
      <c r="H106" s="6"/>
      <c r="I106" s="84"/>
      <c r="J106" s="6"/>
    </row>
  </sheetData>
  <mergeCells count="3">
    <mergeCell ref="A1:J1"/>
    <mergeCell ref="A98:D98"/>
    <mergeCell ref="A2:J2"/>
  </mergeCells>
  <conditionalFormatting sqref="B105">
    <cfRule type="cellIs" dxfId="433" priority="1" operator="lessThan">
      <formula>0.6</formula>
    </cfRule>
    <cfRule type="cellIs" dxfId="432" priority="2" operator="greaterThanOrEqual">
      <formula>0.8</formula>
    </cfRule>
  </conditionalFormatting>
  <conditionalFormatting sqref="D5:D94">
    <cfRule type="cellIs" dxfId="431" priority="3" operator="greaterThanOrEqual">
      <formula>140</formula>
    </cfRule>
  </conditionalFormatting>
  <conditionalFormatting sqref="E5:E94">
    <cfRule type="cellIs" dxfId="430" priority="4" operator="greaterThanOrEqual">
      <formula>90</formula>
    </cfRule>
  </conditionalFormatting>
  <conditionalFormatting sqref="H8">
    <cfRule type="cellIs" dxfId="429" priority="5" operator="lessThan">
      <formula>0.6</formula>
    </cfRule>
    <cfRule type="cellIs" dxfId="428" priority="6" operator="greaterThanOrEqual">
      <formula>0.8</formula>
    </cfRule>
  </conditionalFormatting>
  <conditionalFormatting sqref="I5:I106">
    <cfRule type="expression" dxfId="427" priority="7">
      <formula>ISNUMBER(SEARCH("Riesgo",I5))</formula>
    </cfRule>
    <cfRule type="expression" dxfId="426" priority="8">
      <formula>ISNUMBER(SEARCH("Crítico",I5))</formula>
    </cfRule>
    <cfRule type="expression" dxfId="425" priority="9">
      <formula>ISNUMBER(SEARCH("Pendiente",I5))</formula>
    </cfRule>
    <cfRule type="expression" dxfId="424" priority="10">
      <formula>ISNUMBER(SEARCH("En riesgo",I5))</formula>
    </cfRule>
    <cfRule type="expression" dxfId="423" priority="11">
      <formula>ISNUMBER(SEARCH("Atención",I5))</formula>
    </cfRule>
    <cfRule type="expression" dxfId="422" priority="12">
      <formula>ISNUMBER(SEARCH("En proceso",I5))</formula>
    </cfRule>
    <cfRule type="expression" dxfId="421" priority="13">
      <formula>ISNUMBER(SEARCH("Meta",I5))</formula>
    </cfRule>
    <cfRule type="expression" dxfId="420" priority="14">
      <formula>ISNUMBER(SEARCH("Cumple",I5))</formula>
    </cfRule>
    <cfRule type="expression" dxfId="419" priority="15">
      <formula>ISNUMBER(SEARCH("Cumplido",I5))</formula>
    </cfRule>
    <cfRule type="expression" dxfId="418" priority="16">
      <formula>ISNUMBER(SEARCH("Positivo",I5))</formula>
    </cfRule>
    <cfRule type="expression" dxfId="417" priority="17">
      <formula>ISNUMBER(SEARCH("Dominio",I5))</formula>
    </cfRule>
    <cfRule type="expression" dxfId="416" priority="18">
      <formula>ISNUMBER(SEARCH("Alto",I5))</formula>
    </cfRule>
    <cfRule type="expression" dxfId="415" priority="19">
      <formula>ISNUMBER(SEARCH("Superado",I5))</formula>
    </cfRule>
    <cfRule type="expression" dxfId="414" priority="20">
      <formula>ISNUMBER(SEARCH("Cuadrado",I5))</formula>
    </cfRule>
    <cfRule type="expression" dxfId="413" priority="21">
      <formula>ISNUMBER(SEARCH("Revisar",I5))</formula>
    </cfRule>
    <cfRule type="expression" dxfId="412" priority="22">
      <formula>ISNUMBER(SEARCH("Vacío",I5))</formula>
    </cfRule>
  </conditionalFormatting>
  <dataValidations count="3">
    <dataValidation type="decimal" allowBlank="1" sqref="C5:C80 H5:H94" xr:uid="{00000000-0002-0000-5A00-000000000000}">
      <formula1>1</formula1>
      <formula2>10</formula2>
    </dataValidation>
    <dataValidation type="list" allowBlank="1" sqref="D5:D80 I5:I94" xr:uid="{00000000-0002-0000-5A00-000001000000}">
      <formula1>"Cumplido,🟢 Cumplido,🔵 Superado,🟡 En proceso,🔴 Riesgo"</formula1>
    </dataValidation>
    <dataValidation type="list" allowBlank="1" sqref="B5:B94" xr:uid="{00000000-0002-0000-5A00-000002000000}">
      <formula1>"Cardio,Presión,Descanso,Alimentación,Caminata,Rutina casa,Otro"</formula1>
    </dataValidation>
  </dataValidation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5"/>
  <sheetViews>
    <sheetView workbookViewId="0"/>
  </sheetViews>
  <sheetFormatPr baseColWidth="10" defaultColWidth="8.7265625" defaultRowHeight="14.5"/>
  <sheetData>
    <row r="1" spans="1:2">
      <c r="A1" t="s">
        <v>3443</v>
      </c>
    </row>
    <row r="3" spans="1:2">
      <c r="A3" t="s">
        <v>3444</v>
      </c>
    </row>
    <row r="5" spans="1:2">
      <c r="A5" t="s">
        <v>3445</v>
      </c>
      <c r="B5">
        <v>31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6"/>
  <sheetViews>
    <sheetView workbookViewId="0"/>
  </sheetViews>
  <sheetFormatPr baseColWidth="10" defaultColWidth="8.7265625" defaultRowHeight="14.5"/>
  <sheetData>
    <row r="1" spans="1:1">
      <c r="A1" t="s">
        <v>3446</v>
      </c>
    </row>
    <row r="3" spans="1:1">
      <c r="A3" t="s">
        <v>3447</v>
      </c>
    </row>
    <row r="4" spans="1:1">
      <c r="A4" t="s">
        <v>3448</v>
      </c>
    </row>
    <row r="5" spans="1:1">
      <c r="A5" t="s">
        <v>3449</v>
      </c>
    </row>
    <row r="6" spans="1:1">
      <c r="A6" t="s">
        <v>3450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6"/>
  <sheetViews>
    <sheetView workbookViewId="0"/>
  </sheetViews>
  <sheetFormatPr baseColWidth="10" defaultColWidth="8.7265625" defaultRowHeight="14.5"/>
  <sheetData>
    <row r="1" spans="1:1">
      <c r="A1" t="s">
        <v>3451</v>
      </c>
    </row>
    <row r="3" spans="1:1">
      <c r="A3" t="s">
        <v>3452</v>
      </c>
    </row>
    <row r="4" spans="1:1">
      <c r="A4" t="s">
        <v>3453</v>
      </c>
    </row>
    <row r="5" spans="1:1">
      <c r="A5" t="s">
        <v>3454</v>
      </c>
    </row>
    <row r="6" spans="1:1">
      <c r="A6" t="s">
        <v>3455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BFBFBF"/>
  </sheetPr>
  <dimension ref="A1:A9"/>
  <sheetViews>
    <sheetView showGridLines="0" workbookViewId="0"/>
  </sheetViews>
  <sheetFormatPr baseColWidth="10" defaultColWidth="8.7265625" defaultRowHeight="14.5"/>
  <sheetData>
    <row r="1" spans="1:1" ht="18.5" customHeight="1">
      <c r="A1" s="187" t="s">
        <v>3456</v>
      </c>
    </row>
    <row r="3" spans="1:1">
      <c r="A3" t="s">
        <v>3457</v>
      </c>
    </row>
    <row r="4" spans="1:1">
      <c r="A4" t="s">
        <v>871</v>
      </c>
    </row>
    <row r="5" spans="1:1">
      <c r="A5" t="s">
        <v>873</v>
      </c>
    </row>
    <row r="6" spans="1:1">
      <c r="A6" t="s">
        <v>872</v>
      </c>
    </row>
    <row r="7" spans="1:1">
      <c r="A7" t="s">
        <v>874</v>
      </c>
    </row>
    <row r="8" spans="1:1">
      <c r="A8" t="s">
        <v>3458</v>
      </c>
    </row>
    <row r="9" spans="1:1">
      <c r="A9" t="s">
        <v>3459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BFBFBF"/>
  </sheetPr>
  <dimension ref="A1:H80"/>
  <sheetViews>
    <sheetView showGridLines="0" workbookViewId="0"/>
  </sheetViews>
  <sheetFormatPr baseColWidth="10" defaultColWidth="8.7265625" defaultRowHeight="14.5"/>
  <cols>
    <col min="1" max="1" width="28.453125" customWidth="1"/>
    <col min="2" max="2" width="29" customWidth="1"/>
    <col min="3" max="3" width="14" customWidth="1"/>
    <col min="4" max="4" width="24.08984375" customWidth="1"/>
    <col min="5" max="5" width="19" customWidth="1"/>
    <col min="6" max="8" width="10" customWidth="1"/>
  </cols>
  <sheetData>
    <row r="1" spans="1:8">
      <c r="A1" s="432" t="s">
        <v>3460</v>
      </c>
      <c r="B1" s="426"/>
      <c r="C1" s="426"/>
      <c r="D1" s="426"/>
      <c r="E1" s="426"/>
      <c r="F1" s="426"/>
      <c r="G1" s="426"/>
      <c r="H1" s="426"/>
    </row>
    <row r="2" spans="1:8">
      <c r="A2" s="71"/>
      <c r="B2" s="71"/>
      <c r="C2" s="71"/>
      <c r="D2" s="71"/>
      <c r="E2" s="71"/>
      <c r="F2" s="71"/>
      <c r="G2" s="71"/>
      <c r="H2" s="71"/>
    </row>
    <row r="3" spans="1:8">
      <c r="A3" s="72" t="s">
        <v>1300</v>
      </c>
      <c r="B3" s="72" t="s">
        <v>7</v>
      </c>
      <c r="C3" s="72" t="s">
        <v>655</v>
      </c>
      <c r="D3" s="72" t="s">
        <v>252</v>
      </c>
      <c r="E3" s="72" t="s">
        <v>3461</v>
      </c>
      <c r="F3" s="71"/>
      <c r="G3" s="71"/>
      <c r="H3" s="71"/>
    </row>
    <row r="4" spans="1:8" ht="29" customHeight="1">
      <c r="A4" s="73" t="s">
        <v>3462</v>
      </c>
      <c r="B4" s="74">
        <f>SUM('10_Apertura'!C3:C8)</f>
        <v>13858</v>
      </c>
      <c r="C4" s="81" t="str">
        <f>IF(B4&gt;=100000,"Meta caja",IF(B4&gt;=50000,"Atención","Crítico"))</f>
        <v>Crítico</v>
      </c>
      <c r="D4" s="73" t="s">
        <v>784</v>
      </c>
      <c r="E4" s="73" t="s">
        <v>3463</v>
      </c>
      <c r="F4" s="71"/>
      <c r="G4" s="71"/>
      <c r="H4" s="71"/>
    </row>
    <row r="5" spans="1:8">
      <c r="A5" s="73" t="s">
        <v>3464</v>
      </c>
      <c r="B5" s="74">
        <f>SUM('14_Inversiones'!G5:G203)</f>
        <v>1924.0900000000001</v>
      </c>
      <c r="C5" s="81" t="str">
        <f>IF(B5&gt;=50000,"Meta inversión",IF(B5&gt;0,"Atención","Crítico"))</f>
        <v>Atención</v>
      </c>
      <c r="D5" s="73" t="s">
        <v>663</v>
      </c>
      <c r="E5" s="73" t="s">
        <v>3465</v>
      </c>
      <c r="F5" s="71"/>
      <c r="G5" s="71"/>
      <c r="H5" s="71"/>
    </row>
    <row r="6" spans="1:8" ht="29" customHeight="1">
      <c r="A6" s="73" t="s">
        <v>3466</v>
      </c>
      <c r="B6" s="74">
        <f>SUMIF('11_Ingresos'!K:K,"mayo",'11_Ingresos'!C:C)</f>
        <v>1130484</v>
      </c>
      <c r="C6" s="81" t="str">
        <f>IF(B6&gt;0,"Activo","Vacío")</f>
        <v>Activo</v>
      </c>
      <c r="D6" s="73" t="s">
        <v>156</v>
      </c>
      <c r="E6" s="73" t="s">
        <v>3467</v>
      </c>
      <c r="F6" s="71"/>
      <c r="G6" s="71"/>
      <c r="H6" s="71"/>
    </row>
    <row r="7" spans="1:8" ht="29" customHeight="1">
      <c r="A7" s="73" t="s">
        <v>3468</v>
      </c>
      <c r="B7" s="74">
        <f>SUMIF('12_Gastos'!I:I,"mayo",'12_Gastos'!D:D)</f>
        <v>1339017</v>
      </c>
      <c r="C7" s="81" t="str">
        <f>IF(B7&lt;=B6,"Controlado","Controlar")</f>
        <v>Controlar</v>
      </c>
      <c r="D7" s="73" t="s">
        <v>164</v>
      </c>
      <c r="E7" s="73" t="s">
        <v>3469</v>
      </c>
      <c r="F7" s="71"/>
      <c r="G7" s="71"/>
      <c r="H7" s="71"/>
    </row>
    <row r="8" spans="1:8">
      <c r="A8" s="73" t="s">
        <v>3470</v>
      </c>
      <c r="B8" s="74">
        <f>B6-B7</f>
        <v>-208533</v>
      </c>
      <c r="C8" s="81" t="str">
        <f>IF(B8&gt;=0,"Positivo",IF(B8&gt;-100000,"Atención","Crítico"))</f>
        <v>Crítico</v>
      </c>
      <c r="D8" s="73" t="s">
        <v>3471</v>
      </c>
      <c r="E8" s="73" t="s">
        <v>3472</v>
      </c>
      <c r="F8" s="71"/>
      <c r="G8" s="71"/>
      <c r="H8" s="71"/>
    </row>
    <row r="9" spans="1:8">
      <c r="A9" s="73" t="s">
        <v>3473</v>
      </c>
      <c r="B9" s="74">
        <f>'13_Deudas'!O8</f>
        <v>-653763</v>
      </c>
      <c r="C9" s="81" t="str">
        <f>IF(B9&lt;=0,"Cumplida",IF(B9&lt;500000,"Atención","Controlar"))</f>
        <v>Cumplida</v>
      </c>
      <c r="D9" s="73" t="s">
        <v>170</v>
      </c>
      <c r="E9" s="73" t="s">
        <v>3474</v>
      </c>
      <c r="F9" s="71"/>
      <c r="G9" s="71"/>
      <c r="H9" s="71"/>
    </row>
    <row r="10" spans="1:8" ht="29" customHeight="1">
      <c r="A10" s="73" t="s">
        <v>1040</v>
      </c>
      <c r="B10" s="74">
        <f>B4+B5-B9</f>
        <v>669545.09</v>
      </c>
      <c r="C10" s="81" t="str">
        <f>IF(B10&gt;=0,"Positivo",IF(B10&gt;-500000,"Atención","Crítico"))</f>
        <v>Positivo</v>
      </c>
      <c r="D10" s="73" t="s">
        <v>3475</v>
      </c>
      <c r="E10" s="73" t="s">
        <v>3476</v>
      </c>
      <c r="F10" s="71"/>
      <c r="G10" s="71"/>
      <c r="H10" s="71"/>
    </row>
    <row r="11" spans="1:8">
      <c r="A11" s="73" t="s">
        <v>1219</v>
      </c>
      <c r="B11" s="73">
        <f>COUNT('20_Registro_CEO_V4'!K5:K35)</f>
        <v>28</v>
      </c>
      <c r="C11" s="81" t="str">
        <f>IF(B11&gt;=20,"Meta",IF(B11&gt;=12,"En construcción","Crítico"))</f>
        <v>Meta</v>
      </c>
      <c r="D11" s="73" t="s">
        <v>685</v>
      </c>
      <c r="E11" s="73" t="s">
        <v>3477</v>
      </c>
      <c r="F11" s="71"/>
      <c r="G11" s="71"/>
      <c r="H11" s="71"/>
    </row>
    <row r="12" spans="1:8">
      <c r="A12" s="73" t="s">
        <v>1344</v>
      </c>
      <c r="B12" s="73">
        <f>COUNTA('40_Estudio_Empresas'!C3:C204)</f>
        <v>1</v>
      </c>
      <c r="C12" s="81" t="str">
        <f>IF(B12&gt;=25,"Meta",IF(B12&gt;0,"En construcción","Vacío"))</f>
        <v>En construcción</v>
      </c>
      <c r="D12" s="73" t="s">
        <v>675</v>
      </c>
      <c r="E12" s="73" t="s">
        <v>3478</v>
      </c>
      <c r="F12" s="71"/>
      <c r="G12" s="71"/>
      <c r="H12" s="71"/>
    </row>
    <row r="13" spans="1:8">
      <c r="A13" s="73" t="s">
        <v>3479</v>
      </c>
      <c r="B13" s="73">
        <f>COUNTA('32_Oportunidades'!A5:A204)</f>
        <v>200</v>
      </c>
      <c r="C13" s="81" t="str">
        <f>IF(B13&gt;=5,"Meta",IF(B13&gt;0,"En construcción","Vacío"))</f>
        <v>Meta</v>
      </c>
      <c r="D13" s="73" t="s">
        <v>747</v>
      </c>
      <c r="E13" s="73" t="s">
        <v>1263</v>
      </c>
      <c r="F13" s="71"/>
      <c r="G13" s="71"/>
      <c r="H13" s="71"/>
    </row>
    <row r="14" spans="1:8">
      <c r="A14" s="73" t="s">
        <v>3480</v>
      </c>
      <c r="B14" s="75">
        <f>'24_KPI_Mensual_V4'!G13</f>
        <v>0</v>
      </c>
      <c r="C14" s="81" t="str">
        <f>IF(B14&gt;=0.85,"Dominio",IF(B14&gt;=0.7,"Meta",IF(B14&gt;=0.55,"Atención","Crítico")))</f>
        <v>Crítico</v>
      </c>
      <c r="D14" s="73" t="s">
        <v>714</v>
      </c>
      <c r="E14" s="73" t="s">
        <v>3481</v>
      </c>
      <c r="F14" s="71"/>
      <c r="G14" s="71"/>
      <c r="H14" s="71"/>
    </row>
    <row r="15" spans="1:8">
      <c r="A15" s="71"/>
      <c r="B15" s="71"/>
      <c r="C15" s="71"/>
      <c r="D15" s="71"/>
      <c r="E15" s="71"/>
      <c r="F15" s="71"/>
      <c r="G15" s="71"/>
      <c r="H15" s="71"/>
    </row>
    <row r="16" spans="1:8">
      <c r="A16" s="141" t="s">
        <v>3482</v>
      </c>
      <c r="B16" s="141"/>
      <c r="C16" s="141"/>
      <c r="D16" s="141"/>
      <c r="E16" s="141"/>
      <c r="F16" s="71"/>
      <c r="G16" s="71"/>
      <c r="H16" s="71"/>
    </row>
    <row r="17" spans="1:8">
      <c r="A17" s="71" t="s">
        <v>3483</v>
      </c>
      <c r="B17" s="71" t="s">
        <v>791</v>
      </c>
      <c r="C17" s="71" t="s">
        <v>79</v>
      </c>
      <c r="D17" s="71" t="s">
        <v>3484</v>
      </c>
      <c r="E17" s="71"/>
      <c r="F17" s="71"/>
      <c r="G17" s="71"/>
      <c r="H17" s="71"/>
    </row>
    <row r="18" spans="1:8">
      <c r="A18" s="71" t="s">
        <v>3485</v>
      </c>
      <c r="B18" s="71" t="s">
        <v>706</v>
      </c>
      <c r="C18" s="71" t="s">
        <v>79</v>
      </c>
      <c r="D18" s="71" t="s">
        <v>3486</v>
      </c>
      <c r="E18" s="71"/>
      <c r="F18" s="71"/>
      <c r="G18" s="71"/>
      <c r="H18" s="71"/>
    </row>
    <row r="19" spans="1:8">
      <c r="A19" s="71" t="s">
        <v>3487</v>
      </c>
      <c r="B19" s="71" t="s">
        <v>770</v>
      </c>
      <c r="C19" s="71" t="s">
        <v>79</v>
      </c>
      <c r="D19" s="71" t="s">
        <v>3488</v>
      </c>
      <c r="E19" s="71"/>
      <c r="F19" s="71"/>
      <c r="G19" s="71"/>
      <c r="H19" s="71"/>
    </row>
    <row r="20" spans="1:8">
      <c r="A20" s="71" t="s">
        <v>1074</v>
      </c>
      <c r="B20" s="71" t="s">
        <v>795</v>
      </c>
      <c r="C20" s="71" t="s">
        <v>79</v>
      </c>
      <c r="D20" s="71" t="s">
        <v>3489</v>
      </c>
      <c r="E20" s="71"/>
      <c r="F20" s="71"/>
      <c r="G20" s="71"/>
      <c r="H20" s="71"/>
    </row>
    <row r="21" spans="1:8">
      <c r="A21" s="71" t="s">
        <v>1080</v>
      </c>
      <c r="B21" s="71" t="s">
        <v>796</v>
      </c>
      <c r="C21" s="71" t="s">
        <v>959</v>
      </c>
      <c r="D21" s="71" t="s">
        <v>3490</v>
      </c>
      <c r="E21" s="71"/>
      <c r="F21" s="71"/>
      <c r="G21" s="71"/>
      <c r="H21" s="71"/>
    </row>
    <row r="22" spans="1:8">
      <c r="A22" s="71" t="s">
        <v>1086</v>
      </c>
      <c r="B22" s="71" t="s">
        <v>797</v>
      </c>
      <c r="C22" s="71" t="s">
        <v>959</v>
      </c>
      <c r="D22" s="71" t="s">
        <v>3490</v>
      </c>
      <c r="E22" s="71"/>
      <c r="F22" s="71"/>
      <c r="G22" s="71"/>
      <c r="H22" s="71"/>
    </row>
    <row r="23" spans="1:8">
      <c r="A23" s="71"/>
      <c r="B23" s="71"/>
      <c r="C23" s="71"/>
      <c r="D23" s="71"/>
      <c r="E23" s="71"/>
      <c r="F23" s="71"/>
      <c r="G23" s="71"/>
      <c r="H23" s="71"/>
    </row>
    <row r="24" spans="1:8">
      <c r="A24" s="71"/>
      <c r="B24" s="71"/>
      <c r="C24" s="71"/>
      <c r="D24" s="71"/>
      <c r="E24" s="71"/>
      <c r="F24" s="71"/>
      <c r="G24" s="71"/>
      <c r="H24" s="71"/>
    </row>
    <row r="25" spans="1:8">
      <c r="A25" s="71"/>
      <c r="B25" s="71"/>
      <c r="C25" s="71"/>
      <c r="D25" s="71"/>
      <c r="E25" s="71"/>
      <c r="F25" s="71"/>
      <c r="G25" s="71"/>
      <c r="H25" s="71"/>
    </row>
    <row r="26" spans="1:8">
      <c r="A26" s="71"/>
      <c r="B26" s="71"/>
      <c r="C26" s="71"/>
      <c r="D26" s="71"/>
      <c r="E26" s="71"/>
      <c r="F26" s="71"/>
      <c r="G26" s="71"/>
      <c r="H26" s="71"/>
    </row>
    <row r="27" spans="1:8">
      <c r="A27" s="71"/>
      <c r="B27" s="71"/>
      <c r="C27" s="71"/>
      <c r="D27" s="71"/>
      <c r="E27" s="71"/>
      <c r="F27" s="71"/>
      <c r="G27" s="71"/>
      <c r="H27" s="71"/>
    </row>
    <row r="28" spans="1:8">
      <c r="A28" s="71"/>
      <c r="B28" s="71"/>
      <c r="C28" s="71"/>
      <c r="D28" s="71"/>
      <c r="E28" s="71"/>
      <c r="F28" s="71"/>
      <c r="G28" s="71"/>
      <c r="H28" s="71"/>
    </row>
    <row r="29" spans="1:8">
      <c r="A29" s="71"/>
      <c r="B29" s="71"/>
      <c r="C29" s="71"/>
      <c r="D29" s="71"/>
      <c r="E29" s="71"/>
      <c r="F29" s="71"/>
      <c r="G29" s="71"/>
      <c r="H29" s="71"/>
    </row>
    <row r="30" spans="1:8">
      <c r="A30" s="71"/>
      <c r="B30" s="71"/>
      <c r="C30" s="71"/>
      <c r="D30" s="71"/>
      <c r="E30" s="71"/>
      <c r="F30" s="71"/>
      <c r="G30" s="71"/>
      <c r="H30" s="71"/>
    </row>
    <row r="31" spans="1:8">
      <c r="A31" s="71"/>
      <c r="B31" s="71"/>
      <c r="C31" s="71"/>
      <c r="D31" s="71"/>
      <c r="E31" s="71"/>
      <c r="F31" s="71"/>
      <c r="G31" s="71"/>
      <c r="H31" s="71"/>
    </row>
    <row r="32" spans="1:8">
      <c r="A32" s="71"/>
      <c r="B32" s="71"/>
      <c r="C32" s="71"/>
      <c r="D32" s="71"/>
      <c r="E32" s="71"/>
      <c r="F32" s="71"/>
      <c r="G32" s="71"/>
      <c r="H32" s="71"/>
    </row>
    <row r="33" spans="1:8">
      <c r="A33" s="71"/>
      <c r="B33" s="71"/>
      <c r="C33" s="71"/>
      <c r="D33" s="71"/>
      <c r="E33" s="71"/>
      <c r="F33" s="71"/>
      <c r="G33" s="71"/>
      <c r="H33" s="71"/>
    </row>
    <row r="34" spans="1:8">
      <c r="A34" s="71"/>
      <c r="B34" s="71"/>
      <c r="C34" s="71"/>
      <c r="D34" s="71"/>
      <c r="E34" s="71"/>
      <c r="F34" s="71"/>
      <c r="G34" s="71"/>
      <c r="H34" s="71"/>
    </row>
    <row r="35" spans="1:8">
      <c r="A35" s="71"/>
      <c r="B35" s="71"/>
      <c r="C35" s="71"/>
      <c r="D35" s="71"/>
      <c r="E35" s="71"/>
      <c r="F35" s="71"/>
      <c r="G35" s="71"/>
      <c r="H35" s="71"/>
    </row>
    <row r="36" spans="1:8">
      <c r="A36" s="71"/>
      <c r="B36" s="71"/>
      <c r="C36" s="71"/>
      <c r="D36" s="71"/>
      <c r="E36" s="71"/>
      <c r="F36" s="71"/>
      <c r="G36" s="71"/>
      <c r="H36" s="71"/>
    </row>
    <row r="37" spans="1:8">
      <c r="A37" s="71"/>
      <c r="B37" s="71"/>
      <c r="C37" s="71"/>
      <c r="D37" s="71"/>
      <c r="E37" s="71"/>
      <c r="F37" s="71"/>
      <c r="G37" s="71"/>
      <c r="H37" s="71"/>
    </row>
    <row r="38" spans="1:8">
      <c r="A38" s="71"/>
      <c r="B38" s="71"/>
      <c r="C38" s="71"/>
      <c r="D38" s="71"/>
      <c r="E38" s="71"/>
      <c r="F38" s="71"/>
      <c r="G38" s="71"/>
      <c r="H38" s="71"/>
    </row>
    <row r="39" spans="1:8">
      <c r="A39" s="71"/>
      <c r="B39" s="71"/>
      <c r="C39" s="71"/>
      <c r="D39" s="71"/>
      <c r="E39" s="71"/>
      <c r="F39" s="71"/>
      <c r="G39" s="71"/>
      <c r="H39" s="71"/>
    </row>
    <row r="40" spans="1:8">
      <c r="A40" s="71"/>
      <c r="B40" s="71"/>
      <c r="C40" s="71"/>
      <c r="D40" s="71"/>
      <c r="E40" s="71"/>
      <c r="F40" s="71"/>
      <c r="G40" s="71"/>
      <c r="H40" s="71"/>
    </row>
    <row r="41" spans="1:8">
      <c r="A41" s="71"/>
      <c r="B41" s="71"/>
      <c r="C41" s="71"/>
      <c r="D41" s="71"/>
      <c r="E41" s="71"/>
      <c r="F41" s="71"/>
      <c r="G41" s="71"/>
      <c r="H41" s="71"/>
    </row>
    <row r="42" spans="1:8">
      <c r="A42" s="71"/>
      <c r="B42" s="71"/>
      <c r="C42" s="71"/>
      <c r="D42" s="71"/>
      <c r="E42" s="71"/>
      <c r="F42" s="71"/>
      <c r="G42" s="71"/>
      <c r="H42" s="71"/>
    </row>
    <row r="43" spans="1:8">
      <c r="A43" s="71"/>
      <c r="B43" s="71"/>
      <c r="C43" s="71"/>
      <c r="D43" s="71"/>
      <c r="E43" s="71"/>
      <c r="F43" s="71"/>
      <c r="G43" s="71"/>
      <c r="H43" s="71"/>
    </row>
    <row r="44" spans="1:8">
      <c r="A44" s="71"/>
      <c r="B44" s="71"/>
      <c r="C44" s="71"/>
      <c r="D44" s="71"/>
      <c r="E44" s="71"/>
      <c r="F44" s="71"/>
      <c r="G44" s="71"/>
      <c r="H44" s="71"/>
    </row>
    <row r="45" spans="1:8">
      <c r="A45" s="71"/>
      <c r="B45" s="71"/>
      <c r="C45" s="71"/>
      <c r="D45" s="71"/>
      <c r="E45" s="71"/>
      <c r="F45" s="71"/>
      <c r="G45" s="71"/>
      <c r="H45" s="71"/>
    </row>
    <row r="46" spans="1:8">
      <c r="A46" s="71"/>
      <c r="B46" s="71"/>
      <c r="C46" s="71"/>
      <c r="D46" s="71"/>
      <c r="E46" s="71"/>
      <c r="F46" s="71"/>
      <c r="G46" s="71"/>
      <c r="H46" s="71"/>
    </row>
    <row r="47" spans="1:8">
      <c r="A47" s="71"/>
      <c r="B47" s="71"/>
      <c r="C47" s="71"/>
      <c r="D47" s="71"/>
      <c r="E47" s="71"/>
      <c r="F47" s="71"/>
      <c r="G47" s="71"/>
      <c r="H47" s="71"/>
    </row>
    <row r="48" spans="1:8">
      <c r="A48" s="71"/>
      <c r="B48" s="71"/>
      <c r="C48" s="71"/>
      <c r="D48" s="71"/>
      <c r="E48" s="71"/>
      <c r="F48" s="71"/>
      <c r="G48" s="71"/>
      <c r="H48" s="71"/>
    </row>
    <row r="49" spans="1:8">
      <c r="A49" s="71"/>
      <c r="B49" s="71"/>
      <c r="C49" s="71"/>
      <c r="D49" s="71"/>
      <c r="E49" s="71"/>
      <c r="F49" s="71"/>
      <c r="G49" s="71"/>
      <c r="H49" s="71"/>
    </row>
    <row r="50" spans="1:8">
      <c r="A50" s="71"/>
      <c r="B50" s="71"/>
      <c r="C50" s="71"/>
      <c r="D50" s="71"/>
      <c r="E50" s="71"/>
      <c r="F50" s="71"/>
      <c r="G50" s="71"/>
      <c r="H50" s="71"/>
    </row>
    <row r="51" spans="1:8">
      <c r="A51" s="71"/>
      <c r="B51" s="71"/>
      <c r="C51" s="71"/>
      <c r="D51" s="71"/>
      <c r="E51" s="71"/>
      <c r="F51" s="71"/>
      <c r="G51" s="71"/>
      <c r="H51" s="71"/>
    </row>
    <row r="52" spans="1:8">
      <c r="A52" s="71"/>
      <c r="B52" s="71"/>
      <c r="C52" s="71"/>
      <c r="D52" s="71"/>
      <c r="E52" s="71"/>
      <c r="F52" s="71"/>
      <c r="G52" s="71"/>
      <c r="H52" s="71"/>
    </row>
    <row r="53" spans="1:8">
      <c r="A53" s="71"/>
      <c r="B53" s="71"/>
      <c r="C53" s="71"/>
      <c r="D53" s="71"/>
      <c r="E53" s="71"/>
      <c r="F53" s="71"/>
      <c r="G53" s="71"/>
      <c r="H53" s="71"/>
    </row>
    <row r="54" spans="1:8">
      <c r="A54" s="71"/>
      <c r="B54" s="71"/>
      <c r="C54" s="71"/>
      <c r="D54" s="71"/>
      <c r="E54" s="71"/>
      <c r="F54" s="71"/>
      <c r="G54" s="71"/>
      <c r="H54" s="71"/>
    </row>
    <row r="55" spans="1:8">
      <c r="A55" s="71"/>
      <c r="B55" s="71"/>
      <c r="C55" s="71"/>
      <c r="D55" s="71"/>
      <c r="E55" s="71"/>
      <c r="F55" s="71"/>
      <c r="G55" s="71"/>
      <c r="H55" s="71"/>
    </row>
    <row r="56" spans="1:8">
      <c r="A56" s="71"/>
      <c r="B56" s="71"/>
      <c r="C56" s="71"/>
      <c r="D56" s="71"/>
      <c r="E56" s="71"/>
      <c r="F56" s="71"/>
      <c r="G56" s="71"/>
      <c r="H56" s="71"/>
    </row>
    <row r="57" spans="1:8">
      <c r="A57" s="71"/>
      <c r="B57" s="71"/>
      <c r="C57" s="71"/>
      <c r="D57" s="71"/>
      <c r="E57" s="71"/>
      <c r="F57" s="71"/>
      <c r="G57" s="71"/>
      <c r="H57" s="71"/>
    </row>
    <row r="58" spans="1:8">
      <c r="A58" s="71"/>
      <c r="B58" s="71"/>
      <c r="C58" s="71"/>
      <c r="D58" s="71"/>
      <c r="E58" s="71"/>
      <c r="F58" s="71"/>
      <c r="G58" s="71"/>
      <c r="H58" s="71"/>
    </row>
    <row r="59" spans="1:8">
      <c r="A59" s="71"/>
      <c r="B59" s="71"/>
      <c r="C59" s="71"/>
      <c r="D59" s="71"/>
      <c r="E59" s="71"/>
      <c r="F59" s="71"/>
      <c r="G59" s="71"/>
      <c r="H59" s="71"/>
    </row>
    <row r="60" spans="1:8">
      <c r="A60" s="71"/>
      <c r="B60" s="71"/>
      <c r="C60" s="71"/>
      <c r="D60" s="71"/>
      <c r="E60" s="71"/>
      <c r="F60" s="71"/>
      <c r="G60" s="71"/>
      <c r="H60" s="71"/>
    </row>
    <row r="61" spans="1:8">
      <c r="A61" s="71"/>
      <c r="B61" s="71"/>
      <c r="C61" s="71"/>
      <c r="D61" s="71"/>
      <c r="E61" s="71"/>
      <c r="F61" s="71"/>
      <c r="G61" s="71"/>
      <c r="H61" s="71"/>
    </row>
    <row r="62" spans="1:8">
      <c r="A62" s="71"/>
      <c r="B62" s="71"/>
      <c r="C62" s="71"/>
      <c r="D62" s="71"/>
      <c r="E62" s="71"/>
      <c r="F62" s="71"/>
      <c r="G62" s="71"/>
      <c r="H62" s="71"/>
    </row>
    <row r="63" spans="1:8">
      <c r="A63" s="71"/>
      <c r="B63" s="71"/>
      <c r="C63" s="71"/>
      <c r="D63" s="71"/>
      <c r="E63" s="71"/>
      <c r="F63" s="71"/>
      <c r="G63" s="71"/>
      <c r="H63" s="71"/>
    </row>
    <row r="64" spans="1:8">
      <c r="A64" s="71"/>
      <c r="B64" s="71"/>
      <c r="C64" s="71"/>
      <c r="D64" s="71"/>
      <c r="E64" s="71"/>
      <c r="F64" s="71"/>
      <c r="G64" s="71"/>
      <c r="H64" s="71"/>
    </row>
    <row r="65" spans="1:8">
      <c r="A65" s="71"/>
      <c r="B65" s="71"/>
      <c r="C65" s="71"/>
      <c r="D65" s="71"/>
      <c r="E65" s="71"/>
      <c r="F65" s="71"/>
      <c r="G65" s="71"/>
      <c r="H65" s="71"/>
    </row>
    <row r="66" spans="1:8">
      <c r="A66" s="71"/>
      <c r="B66" s="71"/>
      <c r="C66" s="71"/>
      <c r="D66" s="71"/>
      <c r="E66" s="71"/>
      <c r="F66" s="71"/>
      <c r="G66" s="71"/>
      <c r="H66" s="71"/>
    </row>
    <row r="67" spans="1:8">
      <c r="A67" s="71"/>
      <c r="B67" s="71"/>
      <c r="C67" s="71"/>
      <c r="D67" s="71"/>
      <c r="E67" s="71"/>
      <c r="F67" s="71"/>
      <c r="G67" s="71"/>
      <c r="H67" s="71"/>
    </row>
    <row r="68" spans="1:8">
      <c r="A68" s="71"/>
      <c r="B68" s="71"/>
      <c r="C68" s="71"/>
      <c r="D68" s="71"/>
      <c r="E68" s="71"/>
      <c r="F68" s="71"/>
      <c r="G68" s="71"/>
      <c r="H68" s="71"/>
    </row>
    <row r="69" spans="1:8">
      <c r="A69" s="71"/>
      <c r="B69" s="71"/>
      <c r="C69" s="71"/>
      <c r="D69" s="71"/>
      <c r="E69" s="71"/>
      <c r="F69" s="71"/>
      <c r="G69" s="71"/>
      <c r="H69" s="71"/>
    </row>
    <row r="70" spans="1:8">
      <c r="A70" s="71"/>
      <c r="B70" s="71"/>
      <c r="C70" s="71"/>
      <c r="D70" s="71"/>
      <c r="E70" s="71"/>
      <c r="F70" s="71"/>
      <c r="G70" s="71"/>
      <c r="H70" s="71"/>
    </row>
    <row r="71" spans="1:8">
      <c r="A71" s="71"/>
      <c r="B71" s="71"/>
      <c r="C71" s="71"/>
      <c r="D71" s="71"/>
      <c r="E71" s="71"/>
      <c r="F71" s="71"/>
      <c r="G71" s="71"/>
      <c r="H71" s="71"/>
    </row>
    <row r="72" spans="1:8">
      <c r="A72" s="71"/>
      <c r="B72" s="71"/>
      <c r="C72" s="71"/>
      <c r="D72" s="71"/>
      <c r="E72" s="71"/>
      <c r="F72" s="71"/>
      <c r="G72" s="71"/>
      <c r="H72" s="71"/>
    </row>
    <row r="73" spans="1:8">
      <c r="A73" s="71"/>
      <c r="B73" s="71"/>
      <c r="C73" s="71"/>
      <c r="D73" s="71"/>
      <c r="E73" s="71"/>
      <c r="F73" s="71"/>
      <c r="G73" s="71"/>
      <c r="H73" s="71"/>
    </row>
    <row r="74" spans="1:8">
      <c r="A74" s="71"/>
      <c r="B74" s="71"/>
      <c r="C74" s="71"/>
      <c r="D74" s="71"/>
      <c r="E74" s="71"/>
      <c r="F74" s="71"/>
      <c r="G74" s="71"/>
      <c r="H74" s="71"/>
    </row>
    <row r="75" spans="1:8">
      <c r="A75" s="71"/>
      <c r="B75" s="71"/>
      <c r="C75" s="71"/>
      <c r="D75" s="71"/>
      <c r="E75" s="71"/>
      <c r="F75" s="71"/>
      <c r="G75" s="71"/>
      <c r="H75" s="71"/>
    </row>
    <row r="76" spans="1:8">
      <c r="A76" s="71"/>
      <c r="B76" s="71"/>
      <c r="C76" s="71"/>
      <c r="D76" s="71"/>
      <c r="E76" s="71"/>
      <c r="F76" s="71"/>
      <c r="G76" s="71"/>
      <c r="H76" s="71"/>
    </row>
    <row r="77" spans="1:8">
      <c r="A77" s="71"/>
      <c r="B77" s="71"/>
      <c r="C77" s="71"/>
      <c r="D77" s="71"/>
      <c r="E77" s="71"/>
      <c r="F77" s="71"/>
      <c r="G77" s="71"/>
      <c r="H77" s="71"/>
    </row>
    <row r="78" spans="1:8">
      <c r="A78" s="71"/>
      <c r="B78" s="71"/>
      <c r="C78" s="71"/>
      <c r="D78" s="71"/>
      <c r="E78" s="71"/>
      <c r="F78" s="71"/>
      <c r="G78" s="71"/>
      <c r="H78" s="71"/>
    </row>
    <row r="79" spans="1:8">
      <c r="A79" s="71"/>
      <c r="B79" s="71"/>
      <c r="C79" s="71"/>
      <c r="D79" s="71"/>
      <c r="E79" s="71"/>
      <c r="F79" s="71"/>
      <c r="G79" s="71"/>
      <c r="H79" s="71"/>
    </row>
    <row r="80" spans="1:8">
      <c r="A80" s="71"/>
      <c r="B80" s="71"/>
      <c r="C80" s="71"/>
      <c r="D80" s="71"/>
      <c r="E80" s="71"/>
      <c r="F80" s="71"/>
      <c r="G80" s="71"/>
      <c r="H80" s="71"/>
    </row>
  </sheetData>
  <mergeCells count="1">
    <mergeCell ref="A1:H1"/>
  </mergeCells>
  <conditionalFormatting sqref="C4:C14">
    <cfRule type="expression" dxfId="411" priority="1">
      <formula>ISNUMBER(SEARCH("Riesgo",C4))</formula>
    </cfRule>
    <cfRule type="expression" dxfId="410" priority="2">
      <formula>ISNUMBER(SEARCH("Crítico",C4))</formula>
    </cfRule>
    <cfRule type="expression" dxfId="409" priority="3">
      <formula>ISNUMBER(SEARCH("Pendiente",C4))</formula>
    </cfRule>
    <cfRule type="expression" dxfId="408" priority="4">
      <formula>ISNUMBER(SEARCH("En riesgo",C4))</formula>
    </cfRule>
    <cfRule type="expression" dxfId="407" priority="5">
      <formula>ISNUMBER(SEARCH("Atención",C4))</formula>
    </cfRule>
    <cfRule type="expression" dxfId="406" priority="6">
      <formula>ISNUMBER(SEARCH("En proceso",C4))</formula>
    </cfRule>
    <cfRule type="expression" dxfId="405" priority="7">
      <formula>ISNUMBER(SEARCH("Meta",C4))</formula>
    </cfRule>
    <cfRule type="expression" dxfId="404" priority="8">
      <formula>ISNUMBER(SEARCH("Cumple",C4))</formula>
    </cfRule>
    <cfRule type="expression" dxfId="403" priority="9">
      <formula>ISNUMBER(SEARCH("Cumplido",C4))</formula>
    </cfRule>
    <cfRule type="expression" dxfId="402" priority="10">
      <formula>ISNUMBER(SEARCH("Positivo",C4))</formula>
    </cfRule>
    <cfRule type="expression" dxfId="401" priority="11">
      <formula>ISNUMBER(SEARCH("Dominio",C4))</formula>
    </cfRule>
    <cfRule type="expression" dxfId="400" priority="12">
      <formula>ISNUMBER(SEARCH("Alto",C4))</formula>
    </cfRule>
    <cfRule type="expression" dxfId="399" priority="13">
      <formula>ISNUMBER(SEARCH("Superado",C4))</formula>
    </cfRule>
    <cfRule type="expression" dxfId="398" priority="14">
      <formula>ISNUMBER(SEARCH("Cuadrado",C4))</formula>
    </cfRule>
    <cfRule type="expression" dxfId="397" priority="15">
      <formula>ISNUMBER(SEARCH("Revisar",C4))</formula>
    </cfRule>
    <cfRule type="expression" dxfId="396" priority="16">
      <formula>ISNUMBER(SEARCH("Vacío",C4))</formula>
    </cfRule>
  </conditionalFormatting>
  <conditionalFormatting sqref="C17:C22">
    <cfRule type="expression" dxfId="395" priority="17">
      <formula>ISNUMBER(SEARCH("Conciliado",C17))</formula>
    </cfRule>
    <cfRule type="expression" dxfId="394" priority="18">
      <formula>ISNUMBER(SEARCH("Cumple",C17))</formula>
    </cfRule>
    <cfRule type="expression" dxfId="393" priority="19">
      <formula>ISNUMBER(SEARCH("Dominio",C17))</formula>
    </cfRule>
    <cfRule type="expression" dxfId="392" priority="20">
      <formula>ISNUMBER(SEARCH("Cerrado",C17))</formula>
    </cfRule>
    <cfRule type="expression" dxfId="391" priority="21">
      <formula>ISNUMBER(SEARCH("Activo",C17))</formula>
    </cfRule>
    <cfRule type="expression" dxfId="390" priority="22">
      <formula>ISNUMBER(SEARCH("En proceso",C17))</formula>
    </cfRule>
    <cfRule type="expression" dxfId="389" priority="23">
      <formula>ISNUMBER(SEARCH("Atención",C17))</formula>
    </cfRule>
    <cfRule type="expression" dxfId="388" priority="24">
      <formula>ISNUMBER(SEARCH("Revisar",C17))</formula>
    </cfRule>
    <cfRule type="expression" dxfId="387" priority="25">
      <formula>ISNUMBER(SEARCH("Pendiente",C17))</formula>
    </cfRule>
    <cfRule type="expression" dxfId="386" priority="26">
      <formula>ISNUMBER(SEARCH("Diferencia crítica",C17))</formula>
    </cfRule>
    <cfRule type="expression" dxfId="385" priority="27">
      <formula>ISNUMBER(SEARCH("Crítico",C17))</formula>
    </cfRule>
    <cfRule type="expression" dxfId="384" priority="28">
      <formula>ISNUMBER(SEARCH("Riesgo",C17))</formula>
    </cfRule>
    <cfRule type="expression" dxfId="383" priority="29">
      <formula>ISNUMBER(SEARCH("No iniciado",C17))</formula>
    </cfRule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BFBFBF"/>
  </sheetPr>
  <dimension ref="A1:A12"/>
  <sheetViews>
    <sheetView showGridLines="0" workbookViewId="0"/>
  </sheetViews>
  <sheetFormatPr baseColWidth="10" defaultColWidth="8.7265625" defaultRowHeight="14.5"/>
  <sheetData>
    <row r="1" spans="1:1">
      <c r="A1" t="s">
        <v>3491</v>
      </c>
    </row>
    <row r="3" spans="1:1">
      <c r="A3" t="s">
        <v>3492</v>
      </c>
    </row>
    <row r="5" spans="1:1">
      <c r="A5" t="s">
        <v>781</v>
      </c>
    </row>
    <row r="6" spans="1:1">
      <c r="A6" t="s">
        <v>782</v>
      </c>
    </row>
    <row r="7" spans="1:1">
      <c r="A7" t="s">
        <v>670</v>
      </c>
    </row>
    <row r="8" spans="1:1">
      <c r="A8" t="s">
        <v>800</v>
      </c>
    </row>
    <row r="9" spans="1:1">
      <c r="A9" t="s">
        <v>801</v>
      </c>
    </row>
    <row r="10" spans="1:1">
      <c r="A10" t="s">
        <v>802</v>
      </c>
    </row>
    <row r="11" spans="1:1">
      <c r="A11" t="s">
        <v>779</v>
      </c>
    </row>
    <row r="12" spans="1:1">
      <c r="A12" t="s">
        <v>815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BFBFBF"/>
  </sheetPr>
  <dimension ref="A1:J100"/>
  <sheetViews>
    <sheetView showGridLines="0" workbookViewId="0"/>
  </sheetViews>
  <sheetFormatPr baseColWidth="10" defaultColWidth="14.453125" defaultRowHeight="14.5"/>
  <cols>
    <col min="1" max="1" width="44.90625" customWidth="1"/>
    <col min="2" max="2" width="14.6328125" customWidth="1"/>
    <col min="3" max="3" width="11.1796875" customWidth="1"/>
    <col min="4" max="4" width="25.81640625" customWidth="1"/>
    <col min="5" max="5" width="20" customWidth="1"/>
    <col min="6" max="6" width="5.81640625" customWidth="1"/>
    <col min="7" max="7" width="13.81640625" customWidth="1"/>
    <col min="8" max="8" width="20.453125" customWidth="1"/>
    <col min="9" max="9" width="13.7265625" customWidth="1"/>
    <col min="10" max="10" width="13.08984375" customWidth="1"/>
  </cols>
  <sheetData>
    <row r="1" spans="1:10" ht="21" customHeight="1">
      <c r="A1" s="521" t="s">
        <v>3493</v>
      </c>
      <c r="B1" s="426"/>
      <c r="C1" s="426"/>
      <c r="D1" s="426"/>
      <c r="E1" s="426"/>
      <c r="F1" s="426"/>
      <c r="G1" s="426"/>
      <c r="H1" s="426"/>
      <c r="I1" s="88"/>
      <c r="J1" s="88"/>
    </row>
    <row r="2" spans="1:10">
      <c r="A2" s="71"/>
      <c r="B2" s="71"/>
      <c r="C2" s="71"/>
      <c r="D2" s="71"/>
      <c r="E2" s="71"/>
      <c r="F2" s="71"/>
      <c r="G2" s="71"/>
      <c r="H2" s="71"/>
    </row>
    <row r="3" spans="1:10" ht="29" customHeight="1">
      <c r="A3" s="93" t="s">
        <v>66</v>
      </c>
      <c r="B3" s="93" t="s">
        <v>1177</v>
      </c>
      <c r="C3" s="93" t="s">
        <v>655</v>
      </c>
      <c r="D3" s="93" t="s">
        <v>252</v>
      </c>
      <c r="E3" s="93" t="s">
        <v>656</v>
      </c>
      <c r="F3" s="93" t="s">
        <v>1238</v>
      </c>
      <c r="G3" s="93" t="s">
        <v>3494</v>
      </c>
      <c r="H3" s="93" t="s">
        <v>1305</v>
      </c>
      <c r="I3" s="89" t="s">
        <v>3495</v>
      </c>
      <c r="J3" s="89" t="s">
        <v>1242</v>
      </c>
    </row>
    <row r="4" spans="1:10" ht="29" customHeight="1">
      <c r="A4" s="73" t="s">
        <v>157</v>
      </c>
      <c r="B4" s="94">
        <f>'24_KPI_Mensual_V4'!D5</f>
        <v>0</v>
      </c>
      <c r="C4" s="81">
        <f>'24_KPI_Mensual_V4'!E5</f>
        <v>0</v>
      </c>
      <c r="D4" s="73" t="s">
        <v>714</v>
      </c>
      <c r="E4" s="73" t="s">
        <v>3496</v>
      </c>
      <c r="F4" s="75">
        <v>0.2</v>
      </c>
      <c r="G4" s="94">
        <f t="shared" ref="G4:G10" si="0">B4*F4</f>
        <v>0</v>
      </c>
      <c r="H4" s="73" t="s">
        <v>3497</v>
      </c>
      <c r="I4" s="92">
        <f t="shared" ref="I4:I11" si="1">B4*100</f>
        <v>0</v>
      </c>
      <c r="J4" t="s">
        <v>1248</v>
      </c>
    </row>
    <row r="5" spans="1:10" ht="29" customHeight="1">
      <c r="A5" s="73" t="s">
        <v>286</v>
      </c>
      <c r="B5" s="94">
        <f>'24_KPI_Mensual_V4'!D6</f>
        <v>0</v>
      </c>
      <c r="C5" s="81">
        <f>'24_KPI_Mensual_V4'!E6</f>
        <v>0</v>
      </c>
      <c r="D5" s="73" t="s">
        <v>714</v>
      </c>
      <c r="E5" s="73" t="s">
        <v>3498</v>
      </c>
      <c r="F5" s="75">
        <v>0.2</v>
      </c>
      <c r="G5" s="94">
        <f t="shared" si="0"/>
        <v>0</v>
      </c>
      <c r="H5" s="73" t="s">
        <v>3499</v>
      </c>
      <c r="I5" s="92">
        <f t="shared" si="1"/>
        <v>0</v>
      </c>
      <c r="J5" t="s">
        <v>1248</v>
      </c>
    </row>
    <row r="6" spans="1:10">
      <c r="A6" s="73" t="s">
        <v>683</v>
      </c>
      <c r="B6" s="94">
        <f>'24_KPI_Mensual_V4'!D4</f>
        <v>0</v>
      </c>
      <c r="C6" s="81">
        <f>'24_KPI_Mensual_V4'!E4</f>
        <v>0</v>
      </c>
      <c r="D6" s="73" t="s">
        <v>685</v>
      </c>
      <c r="E6" s="73" t="s">
        <v>1219</v>
      </c>
      <c r="F6" s="75">
        <v>0.2</v>
      </c>
      <c r="G6" s="94">
        <f t="shared" si="0"/>
        <v>0</v>
      </c>
      <c r="H6" s="73" t="s">
        <v>3500</v>
      </c>
      <c r="I6" s="92">
        <f t="shared" si="1"/>
        <v>0</v>
      </c>
      <c r="J6" t="s">
        <v>1248</v>
      </c>
    </row>
    <row r="7" spans="1:10">
      <c r="A7" s="73" t="s">
        <v>913</v>
      </c>
      <c r="B7" s="94">
        <f>'24_KPI_Mensual_V4'!D7</f>
        <v>0</v>
      </c>
      <c r="C7" s="81">
        <f>'24_KPI_Mensual_V4'!E7</f>
        <v>0</v>
      </c>
      <c r="D7" s="73" t="s">
        <v>675</v>
      </c>
      <c r="E7" s="73" t="s">
        <v>1344</v>
      </c>
      <c r="F7" s="75">
        <v>0.15</v>
      </c>
      <c r="G7" s="94">
        <f t="shared" si="0"/>
        <v>0</v>
      </c>
      <c r="H7" s="73" t="s">
        <v>3501</v>
      </c>
      <c r="I7" s="92">
        <f t="shared" si="1"/>
        <v>0</v>
      </c>
      <c r="J7" t="s">
        <v>1248</v>
      </c>
    </row>
    <row r="8" spans="1:10" ht="29" customHeight="1">
      <c r="A8" s="73" t="s">
        <v>322</v>
      </c>
      <c r="B8" s="94">
        <f>'24_KPI_Mensual_V4'!D8</f>
        <v>0</v>
      </c>
      <c r="C8" s="81">
        <f>'24_KPI_Mensual_V4'!E8</f>
        <v>0</v>
      </c>
      <c r="D8" s="73" t="s">
        <v>3502</v>
      </c>
      <c r="E8" s="73" t="s">
        <v>3503</v>
      </c>
      <c r="F8" s="75">
        <v>0.1</v>
      </c>
      <c r="G8" s="94">
        <f t="shared" si="0"/>
        <v>0</v>
      </c>
      <c r="H8" s="73" t="s">
        <v>3504</v>
      </c>
      <c r="I8" s="92">
        <f t="shared" si="1"/>
        <v>0</v>
      </c>
      <c r="J8" t="s">
        <v>1248</v>
      </c>
    </row>
    <row r="9" spans="1:10" ht="29" customHeight="1">
      <c r="A9" s="73" t="s">
        <v>897</v>
      </c>
      <c r="B9" s="94">
        <f>'24_KPI_Mensual_V4'!D9</f>
        <v>0</v>
      </c>
      <c r="C9" s="81">
        <f>'24_KPI_Mensual_V4'!E9</f>
        <v>0</v>
      </c>
      <c r="D9" s="73" t="s">
        <v>713</v>
      </c>
      <c r="E9" s="73" t="s">
        <v>1262</v>
      </c>
      <c r="F9" s="75">
        <v>0.1</v>
      </c>
      <c r="G9" s="94">
        <f t="shared" si="0"/>
        <v>0</v>
      </c>
      <c r="H9" s="73" t="s">
        <v>3505</v>
      </c>
      <c r="I9" s="92">
        <f t="shared" si="1"/>
        <v>0</v>
      </c>
      <c r="J9" t="s">
        <v>1248</v>
      </c>
    </row>
    <row r="10" spans="1:10">
      <c r="A10" s="73" t="s">
        <v>916</v>
      </c>
      <c r="B10" s="94" t="str">
        <f>'24_KPI_Mensual_V4'!D10</f>
        <v>Cumplimiento %</v>
      </c>
      <c r="C10" s="81" t="str">
        <f>'24_KPI_Mensual_V4'!E10</f>
        <v>Estado</v>
      </c>
      <c r="D10" s="73" t="s">
        <v>747</v>
      </c>
      <c r="E10" s="73" t="s">
        <v>3141</v>
      </c>
      <c r="F10" s="75">
        <v>0.05</v>
      </c>
      <c r="G10" s="94" t="e">
        <f t="shared" si="0"/>
        <v>#VALUE!</v>
      </c>
      <c r="H10" s="73" t="s">
        <v>3506</v>
      </c>
      <c r="I10" s="92" t="e">
        <f t="shared" si="1"/>
        <v>#VALUE!</v>
      </c>
      <c r="J10" t="s">
        <v>1248</v>
      </c>
    </row>
    <row r="11" spans="1:10">
      <c r="A11" s="73" t="s">
        <v>3507</v>
      </c>
      <c r="B11" s="94">
        <f>IFERROR(SUM(G4:G10),0)</f>
        <v>0</v>
      </c>
      <c r="C11" s="81" t="str">
        <f>IF(B11&gt;=0.85,"Dominio",IF(B11&gt;=0.7,"Meta",IF(B11&gt;=0.55,"Atención","Crítico")))</f>
        <v>Crítico</v>
      </c>
      <c r="D11" s="73" t="s">
        <v>3508</v>
      </c>
      <c r="E11" s="73" t="s">
        <v>3509</v>
      </c>
      <c r="F11" s="75">
        <v>1</v>
      </c>
      <c r="G11" s="94">
        <f>IFERROR(B11,0)</f>
        <v>0</v>
      </c>
      <c r="H11" s="73"/>
      <c r="I11" s="92">
        <f t="shared" si="1"/>
        <v>0</v>
      </c>
      <c r="J11" t="s">
        <v>3510</v>
      </c>
    </row>
    <row r="12" spans="1:10" ht="1.9" customHeight="1">
      <c r="A12" s="71"/>
      <c r="B12" s="71"/>
      <c r="C12" s="71"/>
      <c r="D12" s="71"/>
      <c r="E12" s="71"/>
      <c r="F12" s="71"/>
      <c r="G12" s="71"/>
      <c r="H12" s="71"/>
    </row>
    <row r="13" spans="1:10" ht="1.9" customHeight="1">
      <c r="A13" s="71"/>
      <c r="B13" s="71"/>
      <c r="C13" s="71"/>
      <c r="D13" s="71"/>
      <c r="E13" s="71"/>
      <c r="F13" s="71"/>
      <c r="G13" s="71"/>
      <c r="H13" s="71"/>
    </row>
    <row r="14" spans="1:10" ht="1.9" customHeight="1">
      <c r="A14" s="71"/>
      <c r="B14" s="71"/>
      <c r="C14" s="71"/>
      <c r="D14" s="71"/>
      <c r="E14" s="71"/>
      <c r="F14" s="71"/>
      <c r="G14" s="71"/>
      <c r="H14" s="71"/>
    </row>
    <row r="15" spans="1:10" ht="1.9" customHeight="1">
      <c r="A15" s="71"/>
      <c r="B15" s="71"/>
      <c r="C15" s="71"/>
      <c r="D15" s="71"/>
      <c r="E15" s="71"/>
      <c r="F15" s="71"/>
      <c r="G15" s="71"/>
      <c r="H15" s="71"/>
    </row>
    <row r="16" spans="1:10" ht="1.9" customHeight="1">
      <c r="A16" s="71"/>
      <c r="B16" s="71"/>
      <c r="C16" s="71"/>
      <c r="D16" s="71"/>
      <c r="E16" s="71"/>
      <c r="F16" s="71"/>
      <c r="G16" s="71"/>
      <c r="H16" s="71"/>
    </row>
    <row r="17" spans="1:8" ht="1.9" customHeight="1">
      <c r="A17" s="71"/>
      <c r="B17" s="71"/>
      <c r="C17" s="71"/>
      <c r="D17" s="71"/>
      <c r="E17" s="71"/>
      <c r="F17" s="71"/>
      <c r="G17" s="71"/>
      <c r="H17" s="71"/>
    </row>
    <row r="18" spans="1:8" ht="1.9" customHeight="1">
      <c r="A18" s="71"/>
      <c r="B18" s="71"/>
      <c r="C18" s="71"/>
      <c r="D18" s="71"/>
      <c r="E18" s="71"/>
      <c r="F18" s="71"/>
      <c r="G18" s="71"/>
      <c r="H18" s="71"/>
    </row>
    <row r="19" spans="1:8" ht="1.9" customHeight="1">
      <c r="A19" s="71"/>
      <c r="B19" s="71"/>
      <c r="C19" s="71"/>
      <c r="D19" s="71"/>
      <c r="E19" s="71"/>
      <c r="F19" s="71"/>
      <c r="G19" s="71"/>
      <c r="H19" s="71"/>
    </row>
    <row r="20" spans="1:8" ht="1.9" customHeight="1">
      <c r="A20" s="71"/>
      <c r="B20" s="71"/>
      <c r="C20" s="71"/>
      <c r="D20" s="71"/>
      <c r="E20" s="71"/>
      <c r="F20" s="71"/>
      <c r="G20" s="71"/>
      <c r="H20" s="71"/>
    </row>
    <row r="21" spans="1:8" ht="1.9" customHeight="1">
      <c r="A21" s="71"/>
      <c r="B21" s="71"/>
      <c r="C21" s="71"/>
      <c r="D21" s="71"/>
      <c r="E21" s="71"/>
      <c r="F21" s="71"/>
      <c r="G21" s="71"/>
      <c r="H21" s="71"/>
    </row>
    <row r="22" spans="1:8" ht="1.9" customHeight="1">
      <c r="A22" s="71"/>
      <c r="B22" s="71"/>
      <c r="C22" s="71"/>
      <c r="D22" s="71"/>
      <c r="E22" s="71"/>
      <c r="F22" s="71"/>
      <c r="G22" s="71"/>
      <c r="H22" s="71"/>
    </row>
    <row r="23" spans="1:8" ht="1.9" customHeight="1">
      <c r="A23" s="71"/>
      <c r="B23" s="71"/>
      <c r="C23" s="71"/>
      <c r="D23" s="71"/>
      <c r="E23" s="71"/>
      <c r="F23" s="71"/>
      <c r="G23" s="71"/>
      <c r="H23" s="71"/>
    </row>
    <row r="24" spans="1:8" ht="1.9" customHeight="1">
      <c r="A24" s="71"/>
      <c r="B24" s="71"/>
      <c r="C24" s="71"/>
      <c r="D24" s="71"/>
      <c r="E24" s="71"/>
      <c r="F24" s="71"/>
      <c r="G24" s="71"/>
      <c r="H24" s="71"/>
    </row>
    <row r="25" spans="1:8" ht="1.9" customHeight="1">
      <c r="A25" s="71"/>
      <c r="B25" s="71"/>
      <c r="C25" s="71"/>
      <c r="D25" s="71"/>
      <c r="E25" s="71"/>
      <c r="F25" s="71"/>
      <c r="G25" s="71"/>
      <c r="H25" s="71"/>
    </row>
    <row r="26" spans="1:8" ht="1.9" customHeight="1">
      <c r="A26" s="71"/>
      <c r="B26" s="71"/>
      <c r="C26" s="71"/>
      <c r="D26" s="71"/>
      <c r="E26" s="71"/>
      <c r="F26" s="71"/>
      <c r="G26" s="71"/>
      <c r="H26" s="71"/>
    </row>
    <row r="27" spans="1:8" ht="1.9" customHeight="1">
      <c r="A27" s="71"/>
      <c r="B27" s="71"/>
      <c r="C27" s="71"/>
      <c r="D27" s="71"/>
      <c r="E27" s="71"/>
      <c r="F27" s="71"/>
      <c r="G27" s="71"/>
      <c r="H27" s="71"/>
    </row>
    <row r="28" spans="1:8" ht="1.9" customHeight="1">
      <c r="A28" s="71"/>
      <c r="B28" s="71"/>
      <c r="C28" s="71"/>
      <c r="D28" s="71"/>
      <c r="E28" s="71"/>
      <c r="F28" s="71"/>
      <c r="G28" s="71"/>
      <c r="H28" s="71"/>
    </row>
    <row r="29" spans="1:8" ht="1.9" customHeight="1">
      <c r="A29" s="71"/>
      <c r="B29" s="71"/>
      <c r="C29" s="71"/>
      <c r="D29" s="71"/>
      <c r="E29" s="71"/>
      <c r="F29" s="71"/>
      <c r="G29" s="71"/>
      <c r="H29" s="71"/>
    </row>
    <row r="30" spans="1:8" ht="1.9" customHeight="1">
      <c r="A30" s="71"/>
      <c r="B30" s="71"/>
      <c r="C30" s="71"/>
      <c r="D30" s="71"/>
      <c r="E30" s="71"/>
      <c r="F30" s="71"/>
      <c r="G30" s="71"/>
      <c r="H30" s="71"/>
    </row>
    <row r="31" spans="1:8" ht="1.9" customHeight="1">
      <c r="A31" s="71"/>
      <c r="B31" s="71"/>
      <c r="C31" s="71"/>
      <c r="D31" s="71"/>
      <c r="E31" s="71"/>
      <c r="F31" s="71"/>
      <c r="G31" s="71"/>
      <c r="H31" s="71"/>
    </row>
    <row r="32" spans="1:8" ht="1.9" customHeight="1">
      <c r="A32" s="71"/>
      <c r="B32" s="71"/>
      <c r="C32" s="71"/>
      <c r="D32" s="71"/>
      <c r="E32" s="71"/>
      <c r="F32" s="71"/>
      <c r="G32" s="71"/>
      <c r="H32" s="71"/>
    </row>
    <row r="33" spans="1:8" ht="1.9" customHeight="1">
      <c r="A33" s="71"/>
      <c r="B33" s="71"/>
      <c r="C33" s="71"/>
      <c r="D33" s="71"/>
      <c r="E33" s="71"/>
      <c r="F33" s="71"/>
      <c r="G33" s="71"/>
      <c r="H33" s="71"/>
    </row>
    <row r="34" spans="1:8" ht="1.9" customHeight="1">
      <c r="A34" s="71"/>
      <c r="B34" s="71"/>
      <c r="C34" s="71"/>
      <c r="D34" s="71"/>
      <c r="E34" s="71"/>
      <c r="F34" s="71"/>
      <c r="G34" s="71"/>
      <c r="H34" s="71"/>
    </row>
    <row r="35" spans="1:8" ht="1.9" customHeight="1">
      <c r="A35" s="71"/>
      <c r="B35" s="71"/>
      <c r="C35" s="71"/>
      <c r="D35" s="71"/>
      <c r="E35" s="71"/>
      <c r="F35" s="71"/>
      <c r="G35" s="71"/>
      <c r="H35" s="71"/>
    </row>
    <row r="36" spans="1:8" ht="1.9" customHeight="1">
      <c r="A36" s="71"/>
      <c r="B36" s="71"/>
      <c r="C36" s="71"/>
      <c r="D36" s="71"/>
      <c r="E36" s="71"/>
      <c r="F36" s="71"/>
      <c r="G36" s="71"/>
      <c r="H36" s="71"/>
    </row>
    <row r="37" spans="1:8" ht="1.9" customHeight="1">
      <c r="A37" s="71"/>
      <c r="B37" s="71"/>
      <c r="C37" s="71"/>
      <c r="D37" s="71"/>
      <c r="E37" s="71"/>
      <c r="F37" s="71"/>
      <c r="G37" s="71"/>
      <c r="H37" s="71"/>
    </row>
    <row r="38" spans="1:8" ht="1.9" customHeight="1">
      <c r="A38" s="71"/>
      <c r="B38" s="71"/>
      <c r="C38" s="71"/>
      <c r="D38" s="71"/>
      <c r="E38" s="71"/>
      <c r="F38" s="71"/>
      <c r="G38" s="71"/>
      <c r="H38" s="71"/>
    </row>
    <row r="39" spans="1:8" ht="1.9" customHeight="1">
      <c r="A39" s="71"/>
      <c r="B39" s="71"/>
      <c r="C39" s="71"/>
      <c r="D39" s="71"/>
      <c r="E39" s="71"/>
      <c r="F39" s="71"/>
      <c r="G39" s="71"/>
      <c r="H39" s="71"/>
    </row>
    <row r="40" spans="1:8" ht="1.9" customHeight="1">
      <c r="A40" s="71"/>
      <c r="B40" s="71"/>
      <c r="C40" s="71"/>
      <c r="D40" s="71"/>
      <c r="E40" s="71"/>
      <c r="F40" s="71"/>
      <c r="G40" s="71"/>
      <c r="H40" s="71"/>
    </row>
    <row r="41" spans="1:8" ht="1.9" customHeight="1">
      <c r="A41" s="71"/>
      <c r="B41" s="71"/>
      <c r="C41" s="71"/>
      <c r="D41" s="71"/>
      <c r="E41" s="71"/>
      <c r="F41" s="71"/>
      <c r="G41" s="71"/>
      <c r="H41" s="71"/>
    </row>
    <row r="42" spans="1:8" ht="1.9" customHeight="1">
      <c r="A42" s="71"/>
      <c r="B42" s="71"/>
      <c r="C42" s="71"/>
      <c r="D42" s="71"/>
      <c r="E42" s="71"/>
      <c r="F42" s="71"/>
      <c r="G42" s="71"/>
      <c r="H42" s="71"/>
    </row>
    <row r="43" spans="1:8" ht="1.9" customHeight="1">
      <c r="A43" s="71"/>
      <c r="B43" s="71"/>
      <c r="C43" s="71"/>
      <c r="D43" s="71"/>
      <c r="E43" s="71"/>
      <c r="F43" s="71"/>
      <c r="G43" s="71"/>
      <c r="H43" s="71"/>
    </row>
    <row r="44" spans="1:8" ht="1.9" customHeight="1">
      <c r="A44" s="71"/>
      <c r="B44" s="71"/>
      <c r="C44" s="71"/>
      <c r="D44" s="71"/>
      <c r="E44" s="71"/>
      <c r="F44" s="71"/>
      <c r="G44" s="71"/>
      <c r="H44" s="71"/>
    </row>
    <row r="45" spans="1:8" ht="1.9" customHeight="1">
      <c r="A45" s="71"/>
      <c r="B45" s="71"/>
      <c r="C45" s="71"/>
      <c r="D45" s="71"/>
      <c r="E45" s="71"/>
      <c r="F45" s="71"/>
      <c r="G45" s="71"/>
      <c r="H45" s="71"/>
    </row>
    <row r="46" spans="1:8" ht="1.9" customHeight="1">
      <c r="A46" s="71"/>
      <c r="B46" s="71"/>
      <c r="C46" s="71"/>
      <c r="D46" s="71"/>
      <c r="E46" s="71"/>
      <c r="F46" s="71"/>
      <c r="G46" s="71"/>
      <c r="H46" s="71"/>
    </row>
    <row r="47" spans="1:8" ht="1.9" customHeight="1">
      <c r="A47" s="71"/>
      <c r="B47" s="71"/>
      <c r="C47" s="71"/>
      <c r="D47" s="71"/>
      <c r="E47" s="71"/>
      <c r="F47" s="71"/>
      <c r="G47" s="71"/>
      <c r="H47" s="71"/>
    </row>
    <row r="48" spans="1:8" ht="1.9" customHeight="1">
      <c r="A48" s="71"/>
      <c r="B48" s="71"/>
      <c r="C48" s="71"/>
      <c r="D48" s="71"/>
      <c r="E48" s="71"/>
      <c r="F48" s="71"/>
      <c r="G48" s="71"/>
      <c r="H48" s="71"/>
    </row>
    <row r="49" spans="1:8" ht="1.9" customHeight="1">
      <c r="A49" s="71"/>
      <c r="B49" s="71"/>
      <c r="C49" s="71"/>
      <c r="D49" s="71"/>
      <c r="E49" s="71"/>
      <c r="F49" s="71"/>
      <c r="G49" s="71"/>
      <c r="H49" s="71"/>
    </row>
    <row r="50" spans="1:8" ht="1.9" customHeight="1">
      <c r="A50" s="71"/>
      <c r="B50" s="71"/>
      <c r="C50" s="71"/>
      <c r="D50" s="71"/>
      <c r="E50" s="71"/>
      <c r="F50" s="71"/>
      <c r="G50" s="71"/>
      <c r="H50" s="71"/>
    </row>
    <row r="51" spans="1:8" ht="1.9" customHeight="1">
      <c r="A51" s="71"/>
      <c r="B51" s="71"/>
      <c r="C51" s="71"/>
      <c r="D51" s="71"/>
      <c r="E51" s="71"/>
      <c r="F51" s="71"/>
      <c r="G51" s="71"/>
      <c r="H51" s="71"/>
    </row>
    <row r="52" spans="1:8" ht="1.9" customHeight="1">
      <c r="A52" s="71"/>
      <c r="B52" s="71"/>
      <c r="C52" s="71"/>
      <c r="D52" s="71"/>
      <c r="E52" s="71"/>
      <c r="F52" s="71"/>
      <c r="G52" s="71"/>
      <c r="H52" s="71"/>
    </row>
    <row r="53" spans="1:8" ht="1.9" customHeight="1">
      <c r="A53" s="71"/>
      <c r="B53" s="71"/>
      <c r="C53" s="71"/>
      <c r="D53" s="71"/>
      <c r="E53" s="71"/>
      <c r="F53" s="71"/>
      <c r="G53" s="71"/>
      <c r="H53" s="71"/>
    </row>
    <row r="54" spans="1:8" ht="1.9" customHeight="1">
      <c r="A54" s="71"/>
      <c r="B54" s="71"/>
      <c r="C54" s="71"/>
      <c r="D54" s="71"/>
      <c r="E54" s="71"/>
      <c r="F54" s="71"/>
      <c r="G54" s="71"/>
      <c r="H54" s="71"/>
    </row>
    <row r="55" spans="1:8" ht="1.9" customHeight="1">
      <c r="A55" s="71"/>
      <c r="B55" s="71"/>
      <c r="C55" s="71"/>
      <c r="D55" s="71"/>
      <c r="E55" s="71"/>
      <c r="F55" s="71"/>
      <c r="G55" s="71"/>
      <c r="H55" s="71"/>
    </row>
    <row r="56" spans="1:8" ht="1.9" customHeight="1">
      <c r="A56" s="71"/>
      <c r="B56" s="71"/>
      <c r="C56" s="71"/>
      <c r="D56" s="71"/>
      <c r="E56" s="71"/>
      <c r="F56" s="71"/>
      <c r="G56" s="71"/>
      <c r="H56" s="71"/>
    </row>
    <row r="57" spans="1:8" ht="1.9" customHeight="1">
      <c r="A57" s="71"/>
      <c r="B57" s="71"/>
      <c r="C57" s="71"/>
      <c r="D57" s="71"/>
      <c r="E57" s="71"/>
      <c r="F57" s="71"/>
      <c r="G57" s="71"/>
      <c r="H57" s="71"/>
    </row>
    <row r="58" spans="1:8" ht="1.9" customHeight="1">
      <c r="A58" s="71"/>
      <c r="B58" s="71"/>
      <c r="C58" s="71"/>
      <c r="D58" s="71"/>
      <c r="E58" s="71"/>
      <c r="F58" s="71"/>
      <c r="G58" s="71"/>
      <c r="H58" s="71"/>
    </row>
    <row r="59" spans="1:8" ht="1.9" customHeight="1">
      <c r="A59" s="71"/>
      <c r="B59" s="71"/>
      <c r="C59" s="71"/>
      <c r="D59" s="71"/>
      <c r="E59" s="71"/>
      <c r="F59" s="71"/>
      <c r="G59" s="71"/>
      <c r="H59" s="71"/>
    </row>
    <row r="60" spans="1:8" ht="1.9" customHeight="1">
      <c r="A60" s="71"/>
      <c r="B60" s="71"/>
      <c r="C60" s="71"/>
      <c r="D60" s="71"/>
      <c r="E60" s="71"/>
      <c r="F60" s="71"/>
      <c r="G60" s="71"/>
      <c r="H60" s="71"/>
    </row>
    <row r="61" spans="1:8" ht="1.9" customHeight="1">
      <c r="A61" s="71"/>
      <c r="B61" s="71"/>
      <c r="C61" s="71"/>
      <c r="D61" s="71"/>
      <c r="E61" s="71"/>
      <c r="F61" s="71"/>
      <c r="G61" s="71"/>
      <c r="H61" s="71"/>
    </row>
    <row r="62" spans="1:8" ht="1.9" customHeight="1">
      <c r="A62" s="71"/>
      <c r="B62" s="71"/>
      <c r="C62" s="71"/>
      <c r="D62" s="71"/>
      <c r="E62" s="71"/>
      <c r="F62" s="71"/>
      <c r="G62" s="71"/>
      <c r="H62" s="71"/>
    </row>
    <row r="63" spans="1:8" ht="1.9" customHeight="1">
      <c r="A63" s="71"/>
      <c r="B63" s="71"/>
      <c r="C63" s="71"/>
      <c r="D63" s="71"/>
      <c r="E63" s="71"/>
      <c r="F63" s="71"/>
      <c r="G63" s="71"/>
      <c r="H63" s="71"/>
    </row>
    <row r="64" spans="1:8" ht="1.9" customHeight="1">
      <c r="A64" s="71"/>
      <c r="B64" s="71"/>
      <c r="C64" s="71"/>
      <c r="D64" s="71"/>
      <c r="E64" s="71"/>
      <c r="F64" s="71"/>
      <c r="G64" s="71"/>
      <c r="H64" s="71"/>
    </row>
    <row r="65" spans="1:8" ht="1.9" customHeight="1">
      <c r="A65" s="71"/>
      <c r="B65" s="71"/>
      <c r="C65" s="71"/>
      <c r="D65" s="71"/>
      <c r="E65" s="71"/>
      <c r="F65" s="71"/>
      <c r="G65" s="71"/>
      <c r="H65" s="71"/>
    </row>
    <row r="66" spans="1:8" ht="1.9" customHeight="1">
      <c r="A66" s="71"/>
      <c r="B66" s="71"/>
      <c r="C66" s="71"/>
      <c r="D66" s="71"/>
      <c r="E66" s="71"/>
      <c r="F66" s="71"/>
      <c r="G66" s="71"/>
      <c r="H66" s="71"/>
    </row>
    <row r="67" spans="1:8" ht="1.9" customHeight="1">
      <c r="A67" s="71"/>
      <c r="B67" s="71"/>
      <c r="C67" s="71"/>
      <c r="D67" s="71"/>
      <c r="E67" s="71"/>
      <c r="F67" s="71"/>
      <c r="G67" s="71"/>
      <c r="H67" s="71"/>
    </row>
    <row r="68" spans="1:8" ht="1.9" customHeight="1">
      <c r="A68" s="71"/>
      <c r="B68" s="71"/>
      <c r="C68" s="71"/>
      <c r="D68" s="71"/>
      <c r="E68" s="71"/>
      <c r="F68" s="71"/>
      <c r="G68" s="71"/>
      <c r="H68" s="71"/>
    </row>
    <row r="69" spans="1:8" ht="1.9" customHeight="1">
      <c r="A69" s="71"/>
      <c r="B69" s="71"/>
      <c r="C69" s="71"/>
      <c r="D69" s="71"/>
      <c r="E69" s="71"/>
      <c r="F69" s="71"/>
      <c r="G69" s="71"/>
      <c r="H69" s="71"/>
    </row>
    <row r="70" spans="1:8" ht="1.9" customHeight="1">
      <c r="A70" s="71"/>
      <c r="B70" s="71"/>
      <c r="C70" s="71"/>
      <c r="D70" s="71"/>
      <c r="E70" s="71"/>
      <c r="F70" s="71"/>
      <c r="G70" s="71"/>
      <c r="H70" s="71"/>
    </row>
    <row r="71" spans="1:8" ht="1.9" customHeight="1">
      <c r="A71" s="71"/>
      <c r="B71" s="71"/>
      <c r="C71" s="71"/>
      <c r="D71" s="71"/>
      <c r="E71" s="71"/>
      <c r="F71" s="71"/>
      <c r="G71" s="71"/>
      <c r="H71" s="71"/>
    </row>
    <row r="72" spans="1:8" ht="1.9" customHeight="1">
      <c r="A72" s="71"/>
      <c r="B72" s="71"/>
      <c r="C72" s="71"/>
      <c r="D72" s="71"/>
      <c r="E72" s="71"/>
      <c r="F72" s="71"/>
      <c r="G72" s="71"/>
      <c r="H72" s="71"/>
    </row>
    <row r="73" spans="1:8" ht="1.9" customHeight="1">
      <c r="A73" s="71"/>
      <c r="B73" s="71"/>
      <c r="C73" s="71"/>
      <c r="D73" s="71"/>
      <c r="E73" s="71"/>
      <c r="F73" s="71"/>
      <c r="G73" s="71"/>
      <c r="H73" s="71"/>
    </row>
    <row r="74" spans="1:8" ht="1.9" customHeight="1">
      <c r="A74" s="71"/>
      <c r="B74" s="71"/>
      <c r="C74" s="71"/>
      <c r="D74" s="71"/>
      <c r="E74" s="71"/>
      <c r="F74" s="71"/>
      <c r="G74" s="71"/>
      <c r="H74" s="71"/>
    </row>
    <row r="75" spans="1:8" ht="1.9" customHeight="1">
      <c r="A75" s="71"/>
      <c r="B75" s="71"/>
      <c r="C75" s="71"/>
      <c r="D75" s="71"/>
      <c r="E75" s="71"/>
      <c r="F75" s="71"/>
      <c r="G75" s="71"/>
      <c r="H75" s="71"/>
    </row>
    <row r="76" spans="1:8" ht="1.9" customHeight="1">
      <c r="A76" s="71"/>
      <c r="B76" s="71"/>
      <c r="C76" s="71"/>
      <c r="D76" s="71"/>
      <c r="E76" s="71"/>
      <c r="F76" s="71"/>
      <c r="G76" s="71"/>
      <c r="H76" s="71"/>
    </row>
    <row r="77" spans="1:8" ht="1.9" customHeight="1">
      <c r="A77" s="71"/>
      <c r="B77" s="71"/>
      <c r="C77" s="71"/>
      <c r="D77" s="71"/>
      <c r="E77" s="71"/>
      <c r="F77" s="71"/>
      <c r="G77" s="71"/>
      <c r="H77" s="71"/>
    </row>
    <row r="78" spans="1:8" ht="1.9" customHeight="1">
      <c r="A78" s="71"/>
      <c r="B78" s="71"/>
      <c r="C78" s="71"/>
      <c r="D78" s="71"/>
      <c r="E78" s="71"/>
      <c r="F78" s="71"/>
      <c r="G78" s="71"/>
      <c r="H78" s="71"/>
    </row>
    <row r="79" spans="1:8" ht="1.9" customHeight="1">
      <c r="A79" s="71"/>
      <c r="B79" s="71"/>
      <c r="C79" s="71"/>
      <c r="D79" s="71"/>
      <c r="E79" s="71"/>
      <c r="F79" s="71"/>
      <c r="G79" s="71"/>
      <c r="H79" s="71"/>
    </row>
    <row r="80" spans="1:8" ht="1.9" customHeight="1">
      <c r="A80" s="71"/>
      <c r="B80" s="71"/>
      <c r="C80" s="71"/>
      <c r="D80" s="71"/>
      <c r="E80" s="71"/>
      <c r="F80" s="71"/>
      <c r="G80" s="71"/>
      <c r="H80" s="71"/>
    </row>
    <row r="81" spans="1:4" ht="1.9" customHeight="1">
      <c r="A81" s="7"/>
      <c r="B81" s="7"/>
      <c r="C81" s="7"/>
      <c r="D81" s="7"/>
    </row>
    <row r="82" spans="1:4" ht="1.9" customHeight="1">
      <c r="A82" s="7"/>
      <c r="B82" s="7"/>
      <c r="C82" s="7"/>
      <c r="D82" s="7"/>
    </row>
    <row r="83" spans="1:4" ht="1.9" customHeight="1">
      <c r="A83" s="7"/>
      <c r="B83" s="7"/>
      <c r="C83" s="7"/>
      <c r="D83" s="7"/>
    </row>
    <row r="84" spans="1:4" ht="1.9" customHeight="1">
      <c r="A84" s="7"/>
      <c r="B84" s="7"/>
      <c r="C84" s="7"/>
      <c r="D84" s="7"/>
    </row>
    <row r="85" spans="1:4" ht="1.9" customHeight="1">
      <c r="A85" s="7"/>
      <c r="B85" s="7"/>
      <c r="C85" s="7"/>
      <c r="D85" s="7"/>
    </row>
    <row r="86" spans="1:4" ht="1.9" customHeight="1">
      <c r="A86" s="7"/>
      <c r="B86" s="7"/>
      <c r="C86" s="7"/>
      <c r="D86" s="7"/>
    </row>
    <row r="87" spans="1:4" ht="1.9" customHeight="1">
      <c r="A87" s="7"/>
      <c r="B87" s="7"/>
      <c r="C87" s="7"/>
      <c r="D87" s="7"/>
    </row>
    <row r="88" spans="1:4" ht="1.9" customHeight="1">
      <c r="A88" s="7"/>
      <c r="B88" s="7"/>
      <c r="C88" s="7"/>
      <c r="D88" s="7"/>
    </row>
    <row r="89" spans="1:4" ht="1.9" customHeight="1">
      <c r="A89" s="7"/>
      <c r="B89" s="7"/>
      <c r="C89" s="7"/>
      <c r="D89" s="7"/>
    </row>
    <row r="90" spans="1:4" ht="1.9" customHeight="1">
      <c r="A90" s="7"/>
      <c r="B90" s="7"/>
      <c r="C90" s="7"/>
      <c r="D90" s="7"/>
    </row>
    <row r="91" spans="1:4" ht="1.9" customHeight="1">
      <c r="A91" s="7"/>
      <c r="B91" s="7"/>
      <c r="C91" s="7"/>
      <c r="D91" s="7"/>
    </row>
    <row r="92" spans="1:4" ht="1.9" customHeight="1">
      <c r="A92" s="7"/>
      <c r="B92" s="7"/>
      <c r="C92" s="7"/>
      <c r="D92" s="7"/>
    </row>
    <row r="93" spans="1:4" ht="1.9" customHeight="1">
      <c r="A93" s="7"/>
      <c r="B93" s="7"/>
      <c r="C93" s="7"/>
      <c r="D93" s="7"/>
    </row>
    <row r="94" spans="1:4" ht="1.9" customHeight="1">
      <c r="A94" s="7"/>
      <c r="B94" s="7"/>
      <c r="C94" s="7"/>
      <c r="D94" s="7"/>
    </row>
    <row r="95" spans="1:4" ht="1.9" customHeight="1">
      <c r="A95" s="7"/>
      <c r="B95" s="7"/>
      <c r="C95" s="7"/>
      <c r="D95" s="7"/>
    </row>
    <row r="96" spans="1:4" ht="1.9" customHeight="1">
      <c r="A96" s="7"/>
      <c r="B96" s="7"/>
      <c r="C96" s="7"/>
      <c r="D96" s="7"/>
    </row>
    <row r="97" spans="1:4" ht="1.9" customHeight="1">
      <c r="A97" s="7"/>
      <c r="B97" s="7"/>
      <c r="C97" s="7"/>
      <c r="D97" s="7"/>
    </row>
    <row r="98" spans="1:4" ht="1.9" customHeight="1">
      <c r="A98" s="7"/>
      <c r="B98" s="7"/>
      <c r="C98" s="7"/>
      <c r="D98" s="7"/>
    </row>
    <row r="99" spans="1:4" ht="1.9" customHeight="1">
      <c r="A99" s="7"/>
      <c r="B99" s="7"/>
      <c r="C99" s="7"/>
      <c r="D99" s="7"/>
    </row>
    <row r="100" spans="1:4" ht="1.9" customHeight="1">
      <c r="A100" s="7"/>
      <c r="B100" s="7"/>
      <c r="C100" s="7"/>
      <c r="D100" s="7"/>
    </row>
  </sheetData>
  <mergeCells count="1">
    <mergeCell ref="A1:H1"/>
  </mergeCells>
  <conditionalFormatting sqref="C4:C11">
    <cfRule type="expression" dxfId="382" priority="1">
      <formula>ISNUMBER(SEARCH("Riesgo",C4))</formula>
    </cfRule>
    <cfRule type="expression" dxfId="381" priority="2">
      <formula>ISNUMBER(SEARCH("Crítico",C4))</formula>
    </cfRule>
    <cfRule type="expression" dxfId="380" priority="3">
      <formula>ISNUMBER(SEARCH("Pendiente",C4))</formula>
    </cfRule>
    <cfRule type="expression" dxfId="379" priority="4">
      <formula>ISNUMBER(SEARCH("En proceso",C4))</formula>
    </cfRule>
    <cfRule type="expression" dxfId="378" priority="5">
      <formula>ISNUMBER(SEARCH("Atención",C4))</formula>
    </cfRule>
    <cfRule type="expression" dxfId="377" priority="6">
      <formula>ISNUMBER(SEARCH("Cumple",C4))</formula>
    </cfRule>
    <cfRule type="expression" dxfId="376" priority="7">
      <formula>ISNUMBER(SEARCH("Cumplido",C4))</formula>
    </cfRule>
    <cfRule type="expression" dxfId="375" priority="8">
      <formula>ISNUMBER(SEARCH("Dominio",C4))</formula>
    </cfRule>
    <cfRule type="expression" dxfId="374" priority="9">
      <formula>ISNUMBER(SEARCH("Alto",C4))</formula>
    </cfRule>
    <cfRule type="expression" dxfId="373" priority="10">
      <formula>ISNUMBER(SEARCH("Meta",C4))</formula>
    </cfRule>
    <cfRule type="expression" dxfId="372" priority="11">
      <formula>ISNUMBER(SEARCH("Superado",C4))</formula>
    </cfRule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BFBFBF"/>
  </sheetPr>
  <dimension ref="A1:F14"/>
  <sheetViews>
    <sheetView showGridLines="0" workbookViewId="0"/>
  </sheetViews>
  <sheetFormatPr baseColWidth="10" defaultColWidth="8.7265625" defaultRowHeight="14.5"/>
  <cols>
    <col min="1" max="1" width="45" customWidth="1"/>
    <col min="2" max="2" width="41" customWidth="1"/>
    <col min="3" max="3" width="34" customWidth="1"/>
    <col min="4" max="4" width="25" customWidth="1"/>
    <col min="5" max="5" width="31" customWidth="1"/>
    <col min="6" max="6" width="40" customWidth="1"/>
  </cols>
  <sheetData>
    <row r="1" spans="1:6">
      <c r="A1" s="427" t="s">
        <v>3511</v>
      </c>
      <c r="B1" s="426"/>
      <c r="C1" s="426"/>
      <c r="D1" s="426"/>
      <c r="E1" s="426"/>
      <c r="F1" s="426"/>
    </row>
    <row r="3" spans="1:6">
      <c r="A3" s="54" t="s">
        <v>3512</v>
      </c>
      <c r="B3" s="54" t="s">
        <v>3513</v>
      </c>
      <c r="C3" s="54" t="s">
        <v>3514</v>
      </c>
      <c r="D3" s="54" t="s">
        <v>3515</v>
      </c>
      <c r="E3" s="54" t="s">
        <v>2995</v>
      </c>
      <c r="F3" s="54" t="s">
        <v>2994</v>
      </c>
    </row>
    <row r="4" spans="1:6">
      <c r="A4" t="s">
        <v>3516</v>
      </c>
      <c r="B4" t="s">
        <v>1067</v>
      </c>
      <c r="C4" t="s">
        <v>3517</v>
      </c>
      <c r="D4" t="s">
        <v>3518</v>
      </c>
      <c r="E4" t="s">
        <v>3477</v>
      </c>
      <c r="F4" t="s">
        <v>3519</v>
      </c>
    </row>
    <row r="5" spans="1:6">
      <c r="A5" t="s">
        <v>3520</v>
      </c>
      <c r="B5" t="s">
        <v>156</v>
      </c>
      <c r="C5" t="s">
        <v>3521</v>
      </c>
      <c r="D5" t="s">
        <v>3522</v>
      </c>
      <c r="E5" t="s">
        <v>3523</v>
      </c>
      <c r="F5" t="s">
        <v>3524</v>
      </c>
    </row>
    <row r="6" spans="1:6">
      <c r="A6" t="s">
        <v>1555</v>
      </c>
      <c r="B6" t="s">
        <v>164</v>
      </c>
      <c r="C6" t="s">
        <v>3525</v>
      </c>
      <c r="D6" t="s">
        <v>3522</v>
      </c>
      <c r="E6" t="s">
        <v>3526</v>
      </c>
      <c r="F6" t="s">
        <v>3527</v>
      </c>
    </row>
    <row r="7" spans="1:6">
      <c r="A7" t="s">
        <v>175</v>
      </c>
      <c r="B7" t="s">
        <v>670</v>
      </c>
      <c r="C7" t="s">
        <v>1009</v>
      </c>
      <c r="D7" t="s">
        <v>1764</v>
      </c>
      <c r="E7" t="s">
        <v>3528</v>
      </c>
      <c r="F7" t="s">
        <v>3529</v>
      </c>
    </row>
    <row r="8" spans="1:6">
      <c r="A8" t="s">
        <v>286</v>
      </c>
      <c r="B8" t="s">
        <v>3530</v>
      </c>
      <c r="C8" t="s">
        <v>3531</v>
      </c>
      <c r="D8" t="s">
        <v>3532</v>
      </c>
      <c r="E8" t="s">
        <v>3533</v>
      </c>
      <c r="F8" t="s">
        <v>3534</v>
      </c>
    </row>
    <row r="9" spans="1:6">
      <c r="A9" t="s">
        <v>3535</v>
      </c>
      <c r="B9" t="s">
        <v>3536</v>
      </c>
      <c r="C9" t="s">
        <v>914</v>
      </c>
      <c r="D9" t="s">
        <v>3537</v>
      </c>
      <c r="E9" t="s">
        <v>3538</v>
      </c>
      <c r="F9" t="s">
        <v>3539</v>
      </c>
    </row>
    <row r="10" spans="1:6">
      <c r="A10" t="s">
        <v>3540</v>
      </c>
      <c r="B10" t="s">
        <v>183</v>
      </c>
      <c r="C10" t="s">
        <v>3541</v>
      </c>
      <c r="D10" t="s">
        <v>3542</v>
      </c>
      <c r="E10" t="s">
        <v>3543</v>
      </c>
      <c r="F10" t="s">
        <v>3544</v>
      </c>
    </row>
    <row r="11" spans="1:6">
      <c r="A11" t="s">
        <v>3545</v>
      </c>
      <c r="B11" t="s">
        <v>747</v>
      </c>
      <c r="C11" t="s">
        <v>3546</v>
      </c>
      <c r="D11" t="s">
        <v>3141</v>
      </c>
      <c r="E11" t="s">
        <v>3547</v>
      </c>
      <c r="F11" t="s">
        <v>3548</v>
      </c>
    </row>
    <row r="12" spans="1:6">
      <c r="A12" t="s">
        <v>918</v>
      </c>
      <c r="B12" t="s">
        <v>190</v>
      </c>
      <c r="C12" t="s">
        <v>3549</v>
      </c>
      <c r="D12" t="s">
        <v>1764</v>
      </c>
      <c r="E12" t="s">
        <v>3550</v>
      </c>
      <c r="F12" t="s">
        <v>3551</v>
      </c>
    </row>
    <row r="13" spans="1:6">
      <c r="A13" t="s">
        <v>322</v>
      </c>
      <c r="B13" t="s">
        <v>715</v>
      </c>
      <c r="C13" t="s">
        <v>3552</v>
      </c>
      <c r="D13" t="s">
        <v>338</v>
      </c>
      <c r="E13" t="s">
        <v>3553</v>
      </c>
      <c r="F13" t="s">
        <v>3554</v>
      </c>
    </row>
    <row r="14" spans="1:6">
      <c r="A14" t="s">
        <v>3555</v>
      </c>
      <c r="B14" t="s">
        <v>3556</v>
      </c>
      <c r="C14" t="s">
        <v>389</v>
      </c>
      <c r="D14" t="s">
        <v>3557</v>
      </c>
      <c r="E14" t="s">
        <v>3558</v>
      </c>
      <c r="F14" t="s">
        <v>3559</v>
      </c>
    </row>
  </sheetData>
  <mergeCells count="1">
    <mergeCell ref="A1:F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BFBFBF"/>
  </sheetPr>
  <dimension ref="A1:O34"/>
  <sheetViews>
    <sheetView showGridLines="0" workbookViewId="0"/>
  </sheetViews>
  <sheetFormatPr baseColWidth="10" defaultColWidth="8.7265625" defaultRowHeight="14.5"/>
  <cols>
    <col min="1" max="1" width="10.08984375" customWidth="1"/>
    <col min="2" max="2" width="9.26953125" customWidth="1"/>
    <col min="3" max="3" width="7.6328125" customWidth="1"/>
    <col min="4" max="4" width="9" customWidth="1"/>
    <col min="5" max="5" width="6.6328125" customWidth="1"/>
    <col min="6" max="6" width="7.26953125" customWidth="1"/>
    <col min="7" max="7" width="11.1796875" customWidth="1"/>
    <col min="8" max="8" width="9" customWidth="1"/>
    <col min="9" max="10" width="5.54296875" customWidth="1"/>
    <col min="11" max="11" width="9" customWidth="1"/>
    <col min="12" max="12" width="5.81640625" customWidth="1"/>
    <col min="13" max="13" width="16.36328125" customWidth="1"/>
    <col min="14" max="14" width="12.81640625" customWidth="1"/>
    <col min="15" max="15" width="30.36328125" customWidth="1"/>
  </cols>
  <sheetData>
    <row r="1" spans="1:15">
      <c r="A1" s="427" t="s">
        <v>3560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</row>
    <row r="3" spans="1:15">
      <c r="A3" s="522" t="s">
        <v>3561</v>
      </c>
      <c r="B3" s="426"/>
      <c r="C3" s="426"/>
      <c r="D3" s="426"/>
    </row>
    <row r="4" spans="1:15">
      <c r="A4" s="54" t="s">
        <v>13</v>
      </c>
      <c r="B4" s="54" t="s">
        <v>2232</v>
      </c>
      <c r="C4" s="54" t="s">
        <v>17</v>
      </c>
      <c r="D4" s="54" t="s">
        <v>1115</v>
      </c>
      <c r="E4" s="54" t="s">
        <v>1109</v>
      </c>
      <c r="F4" s="54" t="s">
        <v>1110</v>
      </c>
      <c r="G4" s="54" t="s">
        <v>286</v>
      </c>
      <c r="H4" s="54" t="s">
        <v>3562</v>
      </c>
      <c r="I4" s="54" t="s">
        <v>322</v>
      </c>
      <c r="J4" s="54" t="s">
        <v>381</v>
      </c>
      <c r="K4" s="54" t="s">
        <v>3563</v>
      </c>
      <c r="L4" s="54" t="s">
        <v>3564</v>
      </c>
      <c r="M4" s="54" t="s">
        <v>3565</v>
      </c>
      <c r="N4" s="54" t="s">
        <v>3566</v>
      </c>
      <c r="O4" s="54" t="s">
        <v>3567</v>
      </c>
    </row>
    <row r="5" spans="1:15">
      <c r="A5" s="59">
        <v>46143</v>
      </c>
      <c r="B5" t="s">
        <v>2224</v>
      </c>
      <c r="C5" t="s">
        <v>324</v>
      </c>
      <c r="D5" t="s">
        <v>1209</v>
      </c>
      <c r="E5" t="s">
        <v>87</v>
      </c>
      <c r="F5" t="s">
        <v>87</v>
      </c>
      <c r="G5" t="s">
        <v>87</v>
      </c>
      <c r="H5" t="s">
        <v>58</v>
      </c>
      <c r="I5" t="s">
        <v>58</v>
      </c>
      <c r="J5" t="s">
        <v>87</v>
      </c>
      <c r="K5" s="60">
        <v>8</v>
      </c>
      <c r="L5" s="56">
        <f t="shared" ref="L5:L34" si="0">IF(COUNTIF(E5:J5,"Sí")=0,"",COUNTIF(E5:J5,"Sí")/6)</f>
        <v>0.66666666666666663</v>
      </c>
      <c r="M5" t="str">
        <f t="shared" ref="M5:M34" si="1">IF(L5="","",IF(L5&gt;=0.5,"Sí","No"))</f>
        <v>Sí</v>
      </c>
      <c r="N5" t="str">
        <f t="shared" ref="N5:N34" si="2">IF(AND(C5="Libre",L5&gt;=0.75),"Sí","No")</f>
        <v>No</v>
      </c>
      <c r="O5" s="61" t="s">
        <v>3568</v>
      </c>
    </row>
    <row r="6" spans="1:15">
      <c r="A6" s="59">
        <v>46144</v>
      </c>
      <c r="B6" t="s">
        <v>2225</v>
      </c>
      <c r="C6" t="s">
        <v>324</v>
      </c>
      <c r="D6" t="s">
        <v>1209</v>
      </c>
      <c r="E6" t="s">
        <v>87</v>
      </c>
      <c r="F6" t="s">
        <v>87</v>
      </c>
      <c r="G6" t="s">
        <v>87</v>
      </c>
      <c r="H6" t="s">
        <v>58</v>
      </c>
      <c r="I6" t="s">
        <v>87</v>
      </c>
      <c r="J6" t="s">
        <v>58</v>
      </c>
      <c r="K6" s="60">
        <v>7</v>
      </c>
      <c r="L6" s="56">
        <f t="shared" si="0"/>
        <v>0.66666666666666663</v>
      </c>
      <c r="M6" t="str">
        <f t="shared" si="1"/>
        <v>Sí</v>
      </c>
      <c r="N6" t="str">
        <f t="shared" si="2"/>
        <v>No</v>
      </c>
      <c r="O6" s="61" t="s">
        <v>3569</v>
      </c>
    </row>
    <row r="7" spans="1:15">
      <c r="A7" s="59">
        <v>46145</v>
      </c>
      <c r="B7" t="s">
        <v>2226</v>
      </c>
      <c r="C7" t="s">
        <v>324</v>
      </c>
      <c r="D7" t="s">
        <v>1209</v>
      </c>
      <c r="E7" t="s">
        <v>87</v>
      </c>
      <c r="F7" t="s">
        <v>87</v>
      </c>
      <c r="G7" t="s">
        <v>87</v>
      </c>
      <c r="H7" t="s">
        <v>58</v>
      </c>
      <c r="I7" t="s">
        <v>87</v>
      </c>
      <c r="J7" t="s">
        <v>58</v>
      </c>
      <c r="K7" s="60">
        <v>9</v>
      </c>
      <c r="L7" s="56">
        <f t="shared" si="0"/>
        <v>0.66666666666666663</v>
      </c>
      <c r="M7" t="str">
        <f t="shared" si="1"/>
        <v>Sí</v>
      </c>
      <c r="N7" t="str">
        <f t="shared" si="2"/>
        <v>No</v>
      </c>
      <c r="O7" s="61" t="s">
        <v>3570</v>
      </c>
    </row>
    <row r="8" spans="1:15">
      <c r="A8" s="59">
        <v>46146</v>
      </c>
      <c r="B8" t="s">
        <v>2220</v>
      </c>
      <c r="C8" t="s">
        <v>275</v>
      </c>
      <c r="D8" t="s">
        <v>1211</v>
      </c>
      <c r="E8" t="s">
        <v>87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s="60">
        <v>7</v>
      </c>
      <c r="L8" s="56">
        <f t="shared" si="0"/>
        <v>0.16666666666666666</v>
      </c>
      <c r="M8" t="str">
        <f t="shared" si="1"/>
        <v>No</v>
      </c>
      <c r="N8" t="str">
        <f t="shared" si="2"/>
        <v>No</v>
      </c>
      <c r="O8" s="61" t="s">
        <v>3569</v>
      </c>
    </row>
    <row r="9" spans="1:15">
      <c r="A9" s="59">
        <v>46147</v>
      </c>
      <c r="B9" t="s">
        <v>2221</v>
      </c>
      <c r="C9" t="s">
        <v>275</v>
      </c>
      <c r="D9" t="s">
        <v>1211</v>
      </c>
      <c r="E9" t="s">
        <v>87</v>
      </c>
      <c r="F9" t="s">
        <v>87</v>
      </c>
      <c r="G9" t="s">
        <v>58</v>
      </c>
      <c r="H9" t="s">
        <v>58</v>
      </c>
      <c r="I9" t="s">
        <v>58</v>
      </c>
      <c r="J9" t="s">
        <v>58</v>
      </c>
      <c r="K9" s="60">
        <v>7</v>
      </c>
      <c r="L9" s="56">
        <f t="shared" si="0"/>
        <v>0.33333333333333331</v>
      </c>
      <c r="M9" t="str">
        <f t="shared" si="1"/>
        <v>No</v>
      </c>
      <c r="N9" t="str">
        <f t="shared" si="2"/>
        <v>No</v>
      </c>
      <c r="O9" s="61" t="s">
        <v>3569</v>
      </c>
    </row>
    <row r="10" spans="1:15">
      <c r="A10" s="59">
        <v>46148</v>
      </c>
      <c r="B10" t="s">
        <v>2222</v>
      </c>
      <c r="C10" t="s">
        <v>275</v>
      </c>
      <c r="D10" t="s">
        <v>1211</v>
      </c>
      <c r="E10" t="s">
        <v>87</v>
      </c>
      <c r="F10" t="s">
        <v>87</v>
      </c>
      <c r="G10" t="s">
        <v>58</v>
      </c>
      <c r="H10" t="s">
        <v>58</v>
      </c>
      <c r="I10" t="s">
        <v>58</v>
      </c>
      <c r="J10" t="s">
        <v>58</v>
      </c>
      <c r="K10" s="60">
        <v>7</v>
      </c>
      <c r="L10" s="56">
        <f t="shared" si="0"/>
        <v>0.33333333333333331</v>
      </c>
      <c r="M10" t="str">
        <f t="shared" si="1"/>
        <v>No</v>
      </c>
      <c r="N10" t="str">
        <f t="shared" si="2"/>
        <v>No</v>
      </c>
      <c r="O10" s="61" t="s">
        <v>3569</v>
      </c>
    </row>
    <row r="11" spans="1:15">
      <c r="A11" s="59">
        <v>46149</v>
      </c>
      <c r="B11" t="s">
        <v>2223</v>
      </c>
      <c r="C11" t="s">
        <v>275</v>
      </c>
      <c r="D11" t="s">
        <v>1211</v>
      </c>
      <c r="E11" t="s">
        <v>87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s="60">
        <v>7</v>
      </c>
      <c r="L11" s="56">
        <f t="shared" si="0"/>
        <v>0.16666666666666666</v>
      </c>
      <c r="M11" t="str">
        <f t="shared" si="1"/>
        <v>No</v>
      </c>
      <c r="N11" t="str">
        <f t="shared" si="2"/>
        <v>No</v>
      </c>
      <c r="O11" s="61" t="s">
        <v>3569</v>
      </c>
    </row>
    <row r="12" spans="1:15">
      <c r="A12" s="59">
        <v>46150</v>
      </c>
      <c r="B12" t="s">
        <v>2224</v>
      </c>
      <c r="C12" t="s">
        <v>3571</v>
      </c>
      <c r="D12" t="s">
        <v>1211</v>
      </c>
      <c r="E12" t="s">
        <v>87</v>
      </c>
      <c r="F12" t="s">
        <v>87</v>
      </c>
      <c r="G12" t="s">
        <v>58</v>
      </c>
      <c r="H12" t="s">
        <v>58</v>
      </c>
      <c r="I12" t="s">
        <v>58</v>
      </c>
      <c r="J12" t="s">
        <v>58</v>
      </c>
      <c r="K12" s="60">
        <v>7</v>
      </c>
      <c r="L12" s="56">
        <f t="shared" si="0"/>
        <v>0.33333333333333331</v>
      </c>
      <c r="M12" t="str">
        <f t="shared" si="1"/>
        <v>No</v>
      </c>
      <c r="N12" t="str">
        <f t="shared" si="2"/>
        <v>No</v>
      </c>
      <c r="O12" s="61" t="s">
        <v>3569</v>
      </c>
    </row>
    <row r="13" spans="1:15">
      <c r="A13" s="59">
        <v>46151</v>
      </c>
      <c r="B13" t="s">
        <v>2225</v>
      </c>
      <c r="C13" t="s">
        <v>3571</v>
      </c>
      <c r="D13" t="s">
        <v>1211</v>
      </c>
      <c r="E13" t="s">
        <v>87</v>
      </c>
      <c r="F13" t="s">
        <v>87</v>
      </c>
      <c r="G13" t="s">
        <v>58</v>
      </c>
      <c r="H13" t="s">
        <v>58</v>
      </c>
      <c r="I13" t="s">
        <v>58</v>
      </c>
      <c r="J13" t="s">
        <v>58</v>
      </c>
      <c r="K13" s="60">
        <v>7</v>
      </c>
      <c r="L13" s="56">
        <f t="shared" si="0"/>
        <v>0.33333333333333331</v>
      </c>
      <c r="M13" t="str">
        <f t="shared" si="1"/>
        <v>No</v>
      </c>
      <c r="N13" t="str">
        <f t="shared" si="2"/>
        <v>No</v>
      </c>
      <c r="O13" s="61" t="s">
        <v>3569</v>
      </c>
    </row>
    <row r="14" spans="1:15">
      <c r="A14" s="59">
        <v>46152</v>
      </c>
      <c r="B14" t="s">
        <v>2226</v>
      </c>
      <c r="C14" t="s">
        <v>3571</v>
      </c>
      <c r="D14" t="s">
        <v>1211</v>
      </c>
      <c r="E14" t="s">
        <v>87</v>
      </c>
      <c r="F14" t="s">
        <v>87</v>
      </c>
      <c r="G14" t="s">
        <v>87</v>
      </c>
      <c r="H14" t="s">
        <v>58</v>
      </c>
      <c r="I14" t="s">
        <v>58</v>
      </c>
      <c r="J14" t="s">
        <v>58</v>
      </c>
      <c r="K14" s="60">
        <v>9</v>
      </c>
      <c r="L14" s="56">
        <f t="shared" si="0"/>
        <v>0.5</v>
      </c>
      <c r="M14" t="str">
        <f t="shared" si="1"/>
        <v>Sí</v>
      </c>
      <c r="N14" t="str">
        <f t="shared" si="2"/>
        <v>No</v>
      </c>
      <c r="O14" s="61" t="s">
        <v>3570</v>
      </c>
    </row>
    <row r="15" spans="1:15">
      <c r="A15" s="59">
        <v>46153</v>
      </c>
      <c r="B15" t="s">
        <v>2220</v>
      </c>
      <c r="C15" t="s">
        <v>3571</v>
      </c>
      <c r="D15" t="s">
        <v>1213</v>
      </c>
      <c r="E15" t="s">
        <v>87</v>
      </c>
      <c r="F15" t="s">
        <v>87</v>
      </c>
      <c r="G15" t="s">
        <v>58</v>
      </c>
      <c r="H15" t="s">
        <v>58</v>
      </c>
      <c r="I15" t="s">
        <v>58</v>
      </c>
      <c r="J15" t="s">
        <v>58</v>
      </c>
      <c r="K15" s="60">
        <v>7</v>
      </c>
      <c r="L15" s="56">
        <f t="shared" si="0"/>
        <v>0.33333333333333331</v>
      </c>
      <c r="M15" t="str">
        <f t="shared" si="1"/>
        <v>No</v>
      </c>
      <c r="N15" t="str">
        <f t="shared" si="2"/>
        <v>No</v>
      </c>
      <c r="O15" s="61" t="s">
        <v>3569</v>
      </c>
    </row>
    <row r="16" spans="1:15">
      <c r="A16" s="59">
        <v>46154</v>
      </c>
      <c r="B16" t="s">
        <v>2221</v>
      </c>
      <c r="C16" t="s">
        <v>275</v>
      </c>
      <c r="D16" t="s">
        <v>1213</v>
      </c>
      <c r="E16" t="s">
        <v>87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s="60">
        <v>7</v>
      </c>
      <c r="L16" s="56">
        <f t="shared" si="0"/>
        <v>0.16666666666666666</v>
      </c>
      <c r="M16" t="str">
        <f t="shared" si="1"/>
        <v>No</v>
      </c>
      <c r="N16" t="str">
        <f t="shared" si="2"/>
        <v>No</v>
      </c>
      <c r="O16" s="61" t="s">
        <v>3569</v>
      </c>
    </row>
    <row r="17" spans="1:15">
      <c r="A17" s="59">
        <v>46155</v>
      </c>
      <c r="B17" t="s">
        <v>2222</v>
      </c>
      <c r="C17" t="s">
        <v>275</v>
      </c>
      <c r="D17" t="s">
        <v>1213</v>
      </c>
      <c r="E17" t="s">
        <v>87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s="60">
        <v>7</v>
      </c>
      <c r="L17" s="56">
        <f t="shared" si="0"/>
        <v>0.16666666666666666</v>
      </c>
      <c r="M17" t="str">
        <f t="shared" si="1"/>
        <v>No</v>
      </c>
      <c r="N17" t="str">
        <f t="shared" si="2"/>
        <v>No</v>
      </c>
      <c r="O17" s="61" t="s">
        <v>3569</v>
      </c>
    </row>
    <row r="18" spans="1:15">
      <c r="A18" s="59">
        <v>46156</v>
      </c>
      <c r="B18" t="s">
        <v>2223</v>
      </c>
      <c r="C18" t="s">
        <v>275</v>
      </c>
      <c r="D18" t="s">
        <v>1213</v>
      </c>
      <c r="E18" t="s">
        <v>87</v>
      </c>
      <c r="F18" t="s">
        <v>87</v>
      </c>
      <c r="G18" t="s">
        <v>58</v>
      </c>
      <c r="H18" t="s">
        <v>58</v>
      </c>
      <c r="I18" t="s">
        <v>58</v>
      </c>
      <c r="J18" t="s">
        <v>58</v>
      </c>
      <c r="K18" s="60">
        <v>7</v>
      </c>
      <c r="L18" s="56">
        <f t="shared" si="0"/>
        <v>0.33333333333333331</v>
      </c>
      <c r="M18" t="str">
        <f t="shared" si="1"/>
        <v>No</v>
      </c>
      <c r="N18" t="str">
        <f t="shared" si="2"/>
        <v>No</v>
      </c>
      <c r="O18" s="61" t="s">
        <v>3569</v>
      </c>
    </row>
    <row r="19" spans="1:15">
      <c r="A19" s="59">
        <v>46157</v>
      </c>
      <c r="B19" t="s">
        <v>2224</v>
      </c>
      <c r="C19" t="s">
        <v>275</v>
      </c>
      <c r="D19" t="s">
        <v>1213</v>
      </c>
      <c r="E19" t="s">
        <v>87</v>
      </c>
      <c r="F19" t="s">
        <v>87</v>
      </c>
      <c r="G19" t="s">
        <v>58</v>
      </c>
      <c r="H19" t="s">
        <v>58</v>
      </c>
      <c r="I19" t="s">
        <v>58</v>
      </c>
      <c r="J19" t="s">
        <v>58</v>
      </c>
      <c r="K19" s="60">
        <v>7</v>
      </c>
      <c r="L19" s="56">
        <f t="shared" si="0"/>
        <v>0.33333333333333331</v>
      </c>
      <c r="M19" t="str">
        <f t="shared" si="1"/>
        <v>No</v>
      </c>
      <c r="N19" t="str">
        <f t="shared" si="2"/>
        <v>No</v>
      </c>
      <c r="O19" s="61" t="s">
        <v>3569</v>
      </c>
    </row>
    <row r="20" spans="1:15">
      <c r="A20" s="59">
        <v>46158</v>
      </c>
      <c r="B20" t="s">
        <v>2225</v>
      </c>
      <c r="C20" t="s">
        <v>324</v>
      </c>
      <c r="D20" t="s">
        <v>1213</v>
      </c>
      <c r="E20" t="s">
        <v>87</v>
      </c>
      <c r="F20" t="s">
        <v>87</v>
      </c>
      <c r="G20" t="s">
        <v>87</v>
      </c>
      <c r="H20" t="s">
        <v>58</v>
      </c>
      <c r="I20" t="s">
        <v>58</v>
      </c>
      <c r="J20" t="s">
        <v>58</v>
      </c>
      <c r="K20" s="60">
        <v>9</v>
      </c>
      <c r="L20" s="56">
        <f t="shared" si="0"/>
        <v>0.5</v>
      </c>
      <c r="M20" t="str">
        <f t="shared" si="1"/>
        <v>Sí</v>
      </c>
      <c r="N20" t="str">
        <f t="shared" si="2"/>
        <v>No</v>
      </c>
      <c r="O20" s="61" t="s">
        <v>3569</v>
      </c>
    </row>
    <row r="21" spans="1:15">
      <c r="A21" s="59">
        <v>46159</v>
      </c>
      <c r="B21" t="s">
        <v>2226</v>
      </c>
      <c r="C21" t="s">
        <v>324</v>
      </c>
      <c r="D21" t="s">
        <v>1213</v>
      </c>
      <c r="E21" t="s">
        <v>87</v>
      </c>
      <c r="F21" t="s">
        <v>87</v>
      </c>
      <c r="G21" t="s">
        <v>87</v>
      </c>
      <c r="H21" t="s">
        <v>58</v>
      </c>
      <c r="I21" t="s">
        <v>58</v>
      </c>
      <c r="J21" t="s">
        <v>58</v>
      </c>
      <c r="K21" s="60">
        <v>9</v>
      </c>
      <c r="L21" s="56">
        <f t="shared" si="0"/>
        <v>0.5</v>
      </c>
      <c r="M21" t="str">
        <f t="shared" si="1"/>
        <v>Sí</v>
      </c>
      <c r="N21" t="str">
        <f t="shared" si="2"/>
        <v>No</v>
      </c>
      <c r="O21" s="61" t="s">
        <v>3569</v>
      </c>
    </row>
    <row r="22" spans="1:15">
      <c r="A22" s="59">
        <v>46160</v>
      </c>
      <c r="B22" t="s">
        <v>2220</v>
      </c>
      <c r="C22" t="s">
        <v>324</v>
      </c>
      <c r="D22" t="s">
        <v>30</v>
      </c>
      <c r="E22" t="s">
        <v>87</v>
      </c>
      <c r="F22" t="s">
        <v>87</v>
      </c>
      <c r="G22" t="s">
        <v>58</v>
      </c>
      <c r="H22" t="s">
        <v>58</v>
      </c>
      <c r="I22" t="s">
        <v>58</v>
      </c>
      <c r="J22" t="s">
        <v>58</v>
      </c>
      <c r="K22" s="60">
        <v>7</v>
      </c>
      <c r="L22" s="56">
        <f t="shared" si="0"/>
        <v>0.33333333333333331</v>
      </c>
      <c r="M22" t="str">
        <f t="shared" si="1"/>
        <v>No</v>
      </c>
      <c r="N22" t="str">
        <f t="shared" si="2"/>
        <v>No</v>
      </c>
      <c r="O22" s="61" t="s">
        <v>3570</v>
      </c>
    </row>
    <row r="23" spans="1:15">
      <c r="A23" s="59">
        <v>46161</v>
      </c>
      <c r="B23" t="s">
        <v>2221</v>
      </c>
      <c r="C23" t="s">
        <v>324</v>
      </c>
      <c r="D23" t="s">
        <v>30</v>
      </c>
      <c r="E23" t="s">
        <v>87</v>
      </c>
      <c r="F23" t="s">
        <v>87</v>
      </c>
      <c r="G23" t="s">
        <v>58</v>
      </c>
      <c r="H23" t="s">
        <v>58</v>
      </c>
      <c r="I23" t="s">
        <v>58</v>
      </c>
      <c r="J23" t="s">
        <v>58</v>
      </c>
      <c r="K23" s="60">
        <v>7</v>
      </c>
      <c r="L23" s="56">
        <f t="shared" si="0"/>
        <v>0.33333333333333331</v>
      </c>
      <c r="M23" t="str">
        <f t="shared" si="1"/>
        <v>No</v>
      </c>
      <c r="N23" t="str">
        <f t="shared" si="2"/>
        <v>No</v>
      </c>
      <c r="O23" s="61" t="s">
        <v>3569</v>
      </c>
    </row>
    <row r="24" spans="1:15">
      <c r="A24" s="59">
        <v>46162</v>
      </c>
      <c r="B24" t="s">
        <v>2222</v>
      </c>
      <c r="C24" t="s">
        <v>275</v>
      </c>
      <c r="D24" t="s">
        <v>30</v>
      </c>
      <c r="E24" t="s">
        <v>87</v>
      </c>
      <c r="F24" t="s">
        <v>58</v>
      </c>
      <c r="G24" t="s">
        <v>58</v>
      </c>
      <c r="H24" t="s">
        <v>58</v>
      </c>
      <c r="I24" t="s">
        <v>58</v>
      </c>
      <c r="J24" t="s">
        <v>58</v>
      </c>
      <c r="K24" s="60">
        <v>7</v>
      </c>
      <c r="L24" s="56">
        <f t="shared" si="0"/>
        <v>0.16666666666666666</v>
      </c>
      <c r="M24" t="str">
        <f t="shared" si="1"/>
        <v>No</v>
      </c>
      <c r="N24" t="str">
        <f t="shared" si="2"/>
        <v>No</v>
      </c>
      <c r="O24" s="61" t="s">
        <v>3569</v>
      </c>
    </row>
    <row r="25" spans="1:15">
      <c r="A25" s="59">
        <v>46163</v>
      </c>
      <c r="B25" t="s">
        <v>2223</v>
      </c>
      <c r="C25" t="s">
        <v>275</v>
      </c>
      <c r="D25" t="s">
        <v>30</v>
      </c>
      <c r="E25" t="s">
        <v>87</v>
      </c>
      <c r="F25" t="s">
        <v>87</v>
      </c>
      <c r="G25" t="s">
        <v>87</v>
      </c>
      <c r="H25" t="s">
        <v>58</v>
      </c>
      <c r="I25" t="s">
        <v>58</v>
      </c>
      <c r="J25" t="s">
        <v>58</v>
      </c>
      <c r="K25" s="60">
        <v>9</v>
      </c>
      <c r="L25" s="56">
        <f t="shared" si="0"/>
        <v>0.5</v>
      </c>
      <c r="M25" t="str">
        <f t="shared" si="1"/>
        <v>Sí</v>
      </c>
      <c r="N25" t="str">
        <f t="shared" si="2"/>
        <v>No</v>
      </c>
      <c r="O25" s="61" t="s">
        <v>3569</v>
      </c>
    </row>
    <row r="26" spans="1:15">
      <c r="A26" s="59">
        <v>46164</v>
      </c>
      <c r="B26" t="s">
        <v>2224</v>
      </c>
      <c r="C26" t="s">
        <v>275</v>
      </c>
      <c r="D26" t="s">
        <v>30</v>
      </c>
      <c r="E26" t="s">
        <v>87</v>
      </c>
      <c r="F26" t="s">
        <v>87</v>
      </c>
      <c r="G26" t="s">
        <v>87</v>
      </c>
      <c r="H26" t="s">
        <v>58</v>
      </c>
      <c r="I26" t="s">
        <v>58</v>
      </c>
      <c r="J26" t="s">
        <v>58</v>
      </c>
      <c r="K26" s="60">
        <v>9</v>
      </c>
      <c r="L26" s="56">
        <f t="shared" si="0"/>
        <v>0.5</v>
      </c>
      <c r="M26" t="str">
        <f t="shared" si="1"/>
        <v>Sí</v>
      </c>
      <c r="N26" t="str">
        <f t="shared" si="2"/>
        <v>No</v>
      </c>
      <c r="O26" s="61" t="s">
        <v>3569</v>
      </c>
    </row>
    <row r="27" spans="1:15">
      <c r="A27" s="59">
        <v>46165</v>
      </c>
      <c r="B27" t="s">
        <v>2225</v>
      </c>
      <c r="C27" t="s">
        <v>275</v>
      </c>
      <c r="D27" t="s">
        <v>30</v>
      </c>
      <c r="E27" t="s">
        <v>87</v>
      </c>
      <c r="F27" t="s">
        <v>58</v>
      </c>
      <c r="G27" t="s">
        <v>87</v>
      </c>
      <c r="H27" t="s">
        <v>58</v>
      </c>
      <c r="I27" t="s">
        <v>58</v>
      </c>
      <c r="J27" t="s">
        <v>58</v>
      </c>
      <c r="K27" s="60">
        <v>9</v>
      </c>
      <c r="L27" s="56">
        <f t="shared" si="0"/>
        <v>0.33333333333333331</v>
      </c>
      <c r="M27" t="str">
        <f t="shared" si="1"/>
        <v>No</v>
      </c>
      <c r="N27" t="str">
        <f t="shared" si="2"/>
        <v>No</v>
      </c>
      <c r="O27" s="61" t="s">
        <v>3569</v>
      </c>
    </row>
    <row r="28" spans="1:15">
      <c r="A28" s="59">
        <v>46166</v>
      </c>
      <c r="B28" t="s">
        <v>2226</v>
      </c>
      <c r="C28" t="s">
        <v>3571</v>
      </c>
      <c r="D28" t="s">
        <v>30</v>
      </c>
      <c r="E28" t="s">
        <v>87</v>
      </c>
      <c r="F28" t="s">
        <v>87</v>
      </c>
      <c r="G28" t="s">
        <v>58</v>
      </c>
      <c r="H28" t="s">
        <v>58</v>
      </c>
      <c r="I28" t="s">
        <v>58</v>
      </c>
      <c r="J28" t="s">
        <v>58</v>
      </c>
      <c r="K28" s="60">
        <v>7</v>
      </c>
      <c r="L28" s="56">
        <f t="shared" si="0"/>
        <v>0.33333333333333331</v>
      </c>
      <c r="M28" t="str">
        <f t="shared" si="1"/>
        <v>No</v>
      </c>
      <c r="N28" t="str">
        <f t="shared" si="2"/>
        <v>No</v>
      </c>
      <c r="O28" s="61" t="s">
        <v>3570</v>
      </c>
    </row>
    <row r="29" spans="1:15">
      <c r="A29" s="59">
        <v>46167</v>
      </c>
      <c r="B29" t="s">
        <v>2220</v>
      </c>
      <c r="C29" t="s">
        <v>3571</v>
      </c>
      <c r="D29" t="s">
        <v>1216</v>
      </c>
      <c r="E29" t="s">
        <v>87</v>
      </c>
      <c r="F29" t="s">
        <v>87</v>
      </c>
      <c r="G29" t="s">
        <v>58</v>
      </c>
      <c r="H29" t="s">
        <v>58</v>
      </c>
      <c r="I29" t="s">
        <v>58</v>
      </c>
      <c r="J29" t="s">
        <v>58</v>
      </c>
      <c r="K29" s="60">
        <v>7</v>
      </c>
      <c r="L29" s="56">
        <f t="shared" si="0"/>
        <v>0.33333333333333331</v>
      </c>
      <c r="M29" t="str">
        <f t="shared" si="1"/>
        <v>No</v>
      </c>
      <c r="N29" t="str">
        <f t="shared" si="2"/>
        <v>No</v>
      </c>
      <c r="O29" s="61" t="s">
        <v>3569</v>
      </c>
    </row>
    <row r="30" spans="1:15">
      <c r="A30" s="59">
        <v>46168</v>
      </c>
      <c r="B30" t="s">
        <v>2221</v>
      </c>
      <c r="C30" t="s">
        <v>3571</v>
      </c>
      <c r="D30" t="s">
        <v>1216</v>
      </c>
      <c r="E30" t="s">
        <v>87</v>
      </c>
      <c r="F30" t="s">
        <v>87</v>
      </c>
      <c r="G30" t="s">
        <v>58</v>
      </c>
      <c r="H30" t="s">
        <v>58</v>
      </c>
      <c r="I30" t="s">
        <v>58</v>
      </c>
      <c r="J30" t="s">
        <v>58</v>
      </c>
      <c r="K30" s="60">
        <v>7</v>
      </c>
      <c r="L30" s="56">
        <f t="shared" si="0"/>
        <v>0.33333333333333331</v>
      </c>
      <c r="M30" t="str">
        <f t="shared" si="1"/>
        <v>No</v>
      </c>
      <c r="N30" t="str">
        <f t="shared" si="2"/>
        <v>No</v>
      </c>
      <c r="O30" s="61" t="s">
        <v>3569</v>
      </c>
    </row>
    <row r="31" spans="1:15">
      <c r="A31" s="59">
        <v>46169</v>
      </c>
      <c r="B31" t="s">
        <v>2222</v>
      </c>
      <c r="C31" t="s">
        <v>3571</v>
      </c>
      <c r="D31" t="s">
        <v>1216</v>
      </c>
      <c r="E31" t="s">
        <v>87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s="60">
        <v>7</v>
      </c>
      <c r="L31" s="56">
        <f t="shared" si="0"/>
        <v>0.16666666666666666</v>
      </c>
      <c r="M31" t="str">
        <f t="shared" si="1"/>
        <v>No</v>
      </c>
      <c r="N31" t="str">
        <f t="shared" si="2"/>
        <v>No</v>
      </c>
      <c r="O31" s="61" t="s">
        <v>3569</v>
      </c>
    </row>
    <row r="32" spans="1:15">
      <c r="A32" s="59">
        <v>46170</v>
      </c>
      <c r="B32" t="s">
        <v>2223</v>
      </c>
      <c r="C32" t="s">
        <v>275</v>
      </c>
      <c r="D32" t="s">
        <v>1216</v>
      </c>
      <c r="E32" t="s">
        <v>87</v>
      </c>
      <c r="F32" t="s">
        <v>58</v>
      </c>
      <c r="G32" t="s">
        <v>58</v>
      </c>
      <c r="H32" t="s">
        <v>58</v>
      </c>
      <c r="I32" t="s">
        <v>58</v>
      </c>
      <c r="J32" t="s">
        <v>58</v>
      </c>
      <c r="K32" s="60">
        <v>7</v>
      </c>
      <c r="L32" s="56">
        <f t="shared" si="0"/>
        <v>0.16666666666666666</v>
      </c>
      <c r="M32" t="str">
        <f t="shared" si="1"/>
        <v>No</v>
      </c>
      <c r="N32" t="str">
        <f t="shared" si="2"/>
        <v>No</v>
      </c>
      <c r="O32" s="61" t="s">
        <v>3569</v>
      </c>
    </row>
    <row r="33" spans="1:15">
      <c r="A33" s="59"/>
      <c r="K33" s="60"/>
      <c r="L33" s="56" t="str">
        <f t="shared" si="0"/>
        <v/>
      </c>
      <c r="M33" t="str">
        <f t="shared" si="1"/>
        <v/>
      </c>
      <c r="N33" t="str">
        <f t="shared" si="2"/>
        <v>No</v>
      </c>
      <c r="O33" s="61"/>
    </row>
    <row r="34" spans="1:15">
      <c r="A34" s="59"/>
      <c r="K34" s="60"/>
      <c r="L34" s="56" t="str">
        <f t="shared" si="0"/>
        <v/>
      </c>
      <c r="M34" t="str">
        <f t="shared" si="1"/>
        <v/>
      </c>
      <c r="N34" t="str">
        <f t="shared" si="2"/>
        <v>No</v>
      </c>
      <c r="O34" s="61"/>
    </row>
  </sheetData>
  <mergeCells count="2">
    <mergeCell ref="A1:O1"/>
    <mergeCell ref="A3:D3"/>
  </mergeCells>
  <dataValidations count="1">
    <dataValidation type="list" allowBlank="1" sqref="E5:J34" xr:uid="{00000000-0002-0000-6300-000000000000}">
      <formula1>"Sí,No"</formula1>
    </dataValidation>
  </dataValidation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BFBFBF"/>
  </sheetPr>
  <dimension ref="A1:K15"/>
  <sheetViews>
    <sheetView showGridLines="0" workbookViewId="0"/>
  </sheetViews>
  <sheetFormatPr baseColWidth="10" defaultColWidth="8.7265625" defaultRowHeight="14.5"/>
  <cols>
    <col min="1" max="1" width="147.36328125" customWidth="1"/>
    <col min="2" max="2" width="12.26953125" customWidth="1"/>
    <col min="3" max="3" width="30.453125" customWidth="1"/>
    <col min="4" max="4" width="12.26953125" customWidth="1"/>
    <col min="5" max="5" width="17.453125" customWidth="1"/>
    <col min="6" max="6" width="21.26953125" customWidth="1"/>
  </cols>
  <sheetData>
    <row r="1" spans="1:11" ht="21" customHeight="1">
      <c r="A1" s="88" t="s">
        <v>3572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3" spans="1:11" ht="29" customHeight="1">
      <c r="A3" s="89" t="s">
        <v>1242</v>
      </c>
      <c r="B3" s="89" t="s">
        <v>3573</v>
      </c>
      <c r="C3" s="89" t="s">
        <v>881</v>
      </c>
      <c r="D3" s="89" t="s">
        <v>3574</v>
      </c>
      <c r="E3" s="89" t="s">
        <v>3575</v>
      </c>
      <c r="F3" s="89" t="s">
        <v>2994</v>
      </c>
    </row>
    <row r="4" spans="1:11">
      <c r="A4" t="s">
        <v>1177</v>
      </c>
      <c r="B4" t="s">
        <v>3576</v>
      </c>
      <c r="C4" t="s">
        <v>3577</v>
      </c>
      <c r="D4" t="s">
        <v>3578</v>
      </c>
      <c r="E4" t="s">
        <v>3579</v>
      </c>
      <c r="F4" t="s">
        <v>3580</v>
      </c>
    </row>
    <row r="5" spans="1:11">
      <c r="A5" t="s">
        <v>1202</v>
      </c>
      <c r="B5" t="s">
        <v>3581</v>
      </c>
      <c r="C5" t="s">
        <v>3582</v>
      </c>
      <c r="D5" t="s">
        <v>3583</v>
      </c>
      <c r="E5" t="s">
        <v>3584</v>
      </c>
      <c r="F5" t="s">
        <v>3585</v>
      </c>
    </row>
    <row r="6" spans="1:11">
      <c r="A6" t="s">
        <v>1240</v>
      </c>
      <c r="B6" t="s">
        <v>3586</v>
      </c>
      <c r="C6" t="s">
        <v>3587</v>
      </c>
      <c r="D6" t="s">
        <v>3588</v>
      </c>
      <c r="E6" t="s">
        <v>3584</v>
      </c>
      <c r="F6" t="s">
        <v>3589</v>
      </c>
    </row>
    <row r="7" spans="1:11">
      <c r="A7" t="s">
        <v>1183</v>
      </c>
      <c r="B7" t="s">
        <v>3590</v>
      </c>
      <c r="C7" t="s">
        <v>3591</v>
      </c>
      <c r="D7" t="s">
        <v>3583</v>
      </c>
      <c r="E7" t="s">
        <v>3592</v>
      </c>
      <c r="F7" t="s">
        <v>3593</v>
      </c>
    </row>
    <row r="8" spans="1:11">
      <c r="A8" t="s">
        <v>3594</v>
      </c>
      <c r="B8" t="s">
        <v>3595</v>
      </c>
      <c r="C8" t="s">
        <v>3596</v>
      </c>
      <c r="D8" t="s">
        <v>1395</v>
      </c>
      <c r="E8" t="s">
        <v>3584</v>
      </c>
      <c r="F8" t="s">
        <v>3597</v>
      </c>
    </row>
    <row r="10" spans="1:11">
      <c r="A10" s="89" t="s">
        <v>2995</v>
      </c>
      <c r="B10" s="89" t="s">
        <v>2568</v>
      </c>
      <c r="C10" s="89" t="s">
        <v>2190</v>
      </c>
      <c r="D10" s="89" t="s">
        <v>3598</v>
      </c>
      <c r="E10" s="89" t="s">
        <v>2829</v>
      </c>
    </row>
    <row r="11" spans="1:11">
      <c r="A11" t="s">
        <v>3599</v>
      </c>
      <c r="B11" t="s">
        <v>3600</v>
      </c>
      <c r="C11" t="s">
        <v>3601</v>
      </c>
      <c r="D11" t="s">
        <v>3602</v>
      </c>
      <c r="E11" t="s">
        <v>3603</v>
      </c>
    </row>
    <row r="12" spans="1:11">
      <c r="A12" t="s">
        <v>882</v>
      </c>
      <c r="B12" t="s">
        <v>3604</v>
      </c>
      <c r="C12" t="s">
        <v>3605</v>
      </c>
      <c r="D12" t="s">
        <v>3606</v>
      </c>
      <c r="E12" t="s">
        <v>3607</v>
      </c>
    </row>
    <row r="13" spans="1:11">
      <c r="A13" t="s">
        <v>3608</v>
      </c>
      <c r="B13" t="s">
        <v>3609</v>
      </c>
      <c r="C13" t="s">
        <v>3610</v>
      </c>
      <c r="D13" t="s">
        <v>3611</v>
      </c>
      <c r="E13" t="s">
        <v>3612</v>
      </c>
    </row>
    <row r="15" spans="1:11">
      <c r="A15" s="90" t="s">
        <v>3613</v>
      </c>
      <c r="B15" s="90"/>
      <c r="C15" s="90"/>
      <c r="D15" s="90"/>
      <c r="E15" s="90"/>
      <c r="F15" s="90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BFBFBF"/>
  </sheetPr>
  <dimension ref="A1:H15"/>
  <sheetViews>
    <sheetView showGridLines="0" workbookViewId="0"/>
  </sheetViews>
  <sheetFormatPr baseColWidth="10" defaultColWidth="8.7265625" defaultRowHeight="14.5"/>
  <cols>
    <col min="1" max="1" width="11.453125" customWidth="1"/>
    <col min="2" max="2" width="23.54296875" customWidth="1"/>
    <col min="3" max="3" width="39.54296875" customWidth="1"/>
    <col min="4" max="4" width="52.36328125" customWidth="1"/>
    <col min="5" max="5" width="22.08984375" customWidth="1"/>
    <col min="6" max="6" width="19.90625" customWidth="1"/>
  </cols>
  <sheetData>
    <row r="1" spans="1:8" ht="21" customHeight="1">
      <c r="A1" s="523" t="s">
        <v>3614</v>
      </c>
      <c r="B1" s="426"/>
      <c r="C1" s="426"/>
      <c r="D1" s="426"/>
      <c r="E1" s="426"/>
      <c r="F1" s="120"/>
      <c r="G1" s="120"/>
      <c r="H1" s="120"/>
    </row>
    <row r="3" spans="1:8" ht="29" customHeight="1">
      <c r="A3" s="119" t="s">
        <v>3615</v>
      </c>
      <c r="B3" s="119" t="s">
        <v>3616</v>
      </c>
      <c r="C3" s="119" t="s">
        <v>3617</v>
      </c>
      <c r="D3" s="119" t="s">
        <v>3618</v>
      </c>
      <c r="E3" s="119" t="s">
        <v>1750</v>
      </c>
      <c r="F3" s="119" t="s">
        <v>3619</v>
      </c>
    </row>
    <row r="4" spans="1:8">
      <c r="A4" t="s">
        <v>3620</v>
      </c>
      <c r="B4" t="s">
        <v>675</v>
      </c>
      <c r="C4" t="s">
        <v>3621</v>
      </c>
      <c r="D4" t="s">
        <v>3622</v>
      </c>
      <c r="E4" t="s">
        <v>939</v>
      </c>
      <c r="F4" t="s">
        <v>3623</v>
      </c>
    </row>
    <row r="5" spans="1:8">
      <c r="A5" t="s">
        <v>465</v>
      </c>
      <c r="B5" t="s">
        <v>748</v>
      </c>
      <c r="C5" t="s">
        <v>3624</v>
      </c>
      <c r="D5" t="s">
        <v>3625</v>
      </c>
      <c r="E5" t="s">
        <v>3626</v>
      </c>
      <c r="F5" t="s">
        <v>3627</v>
      </c>
    </row>
    <row r="6" spans="1:8">
      <c r="A6" t="s">
        <v>3628</v>
      </c>
      <c r="B6" t="s">
        <v>747</v>
      </c>
      <c r="C6" t="s">
        <v>3629</v>
      </c>
      <c r="D6" t="s">
        <v>3630</v>
      </c>
      <c r="E6" t="s">
        <v>918</v>
      </c>
      <c r="F6" t="s">
        <v>3631</v>
      </c>
    </row>
    <row r="7" spans="1:8">
      <c r="A7" t="s">
        <v>339</v>
      </c>
      <c r="B7" t="s">
        <v>190</v>
      </c>
      <c r="C7" t="s">
        <v>3632</v>
      </c>
      <c r="D7" t="s">
        <v>3633</v>
      </c>
      <c r="E7" t="s">
        <v>3634</v>
      </c>
      <c r="F7" t="s">
        <v>3635</v>
      </c>
    </row>
    <row r="8" spans="1:8">
      <c r="A8" t="s">
        <v>3636</v>
      </c>
      <c r="B8" t="s">
        <v>183</v>
      </c>
      <c r="C8" t="s">
        <v>3637</v>
      </c>
      <c r="D8" t="s">
        <v>3638</v>
      </c>
      <c r="E8" t="s">
        <v>3639</v>
      </c>
      <c r="F8" t="s">
        <v>3640</v>
      </c>
    </row>
    <row r="9" spans="1:8">
      <c r="A9" t="s">
        <v>3641</v>
      </c>
      <c r="B9" t="s">
        <v>793</v>
      </c>
      <c r="C9" t="s">
        <v>3642</v>
      </c>
      <c r="D9" t="s">
        <v>3643</v>
      </c>
      <c r="E9" t="s">
        <v>3644</v>
      </c>
      <c r="F9" t="s">
        <v>3457</v>
      </c>
    </row>
    <row r="11" spans="1:8">
      <c r="A11" s="119" t="s">
        <v>2934</v>
      </c>
      <c r="B11" s="119" t="s">
        <v>3645</v>
      </c>
      <c r="C11" s="119" t="s">
        <v>3646</v>
      </c>
      <c r="D11" s="119" t="s">
        <v>248</v>
      </c>
      <c r="E11" s="119" t="s">
        <v>2181</v>
      </c>
    </row>
    <row r="12" spans="1:8">
      <c r="A12" t="s">
        <v>3647</v>
      </c>
      <c r="B12" t="s">
        <v>3648</v>
      </c>
      <c r="C12" t="s">
        <v>3649</v>
      </c>
      <c r="D12" t="s">
        <v>332</v>
      </c>
      <c r="E12" t="s">
        <v>3650</v>
      </c>
    </row>
    <row r="13" spans="1:8">
      <c r="A13" t="s">
        <v>3651</v>
      </c>
      <c r="B13" t="s">
        <v>3652</v>
      </c>
      <c r="C13" t="s">
        <v>3653</v>
      </c>
      <c r="D13" t="s">
        <v>1289</v>
      </c>
      <c r="E13" t="s">
        <v>2929</v>
      </c>
    </row>
    <row r="14" spans="1:8">
      <c r="A14" t="s">
        <v>2928</v>
      </c>
      <c r="B14" t="s">
        <v>3654</v>
      </c>
      <c r="C14" t="s">
        <v>3655</v>
      </c>
      <c r="D14" t="s">
        <v>2006</v>
      </c>
      <c r="E14" t="s">
        <v>3656</v>
      </c>
    </row>
    <row r="15" spans="1:8">
      <c r="A15" t="s">
        <v>3657</v>
      </c>
      <c r="B15" t="s">
        <v>3658</v>
      </c>
      <c r="C15" t="s">
        <v>3659</v>
      </c>
      <c r="D15" t="s">
        <v>3658</v>
      </c>
      <c r="E15" t="s">
        <v>3660</v>
      </c>
    </row>
  </sheetData>
  <mergeCells count="1">
    <mergeCell ref="A1:E1"/>
  </mergeCells>
  <conditionalFormatting sqref="A12:E15">
    <cfRule type="expression" dxfId="371" priority="1">
      <formula>ISNUMBER(SEARCH("A - Inmediata",A12))</formula>
    </cfRule>
    <cfRule type="expression" dxfId="370" priority="2">
      <formula>ISNUMBER(SEARCH("B - Interesante",A12))</formula>
    </cfRule>
    <cfRule type="expression" dxfId="369" priority="3">
      <formula>ISNUMBER(SEARCH("C - Observar",A12))</formula>
    </cfRule>
    <cfRule type="expression" dxfId="368" priority="4">
      <formula>ISNUMBER(SEARCH("X - Descartar",A12))</formula>
    </cfRule>
    <cfRule type="expression" dxfId="367" priority="5">
      <formula>ISNUMBER(SEARCH("🔴",A12))</formula>
    </cfRule>
    <cfRule type="expression" dxfId="366" priority="6">
      <formula>ISNUMBER(SEARCH("🟡",A12))</formula>
    </cfRule>
    <cfRule type="expression" dxfId="365" priority="7">
      <formula>ISNUMBER(SEARCH("🟢",A12))</formula>
    </cfRule>
    <cfRule type="expression" dxfId="364" priority="8">
      <formula>ISNUMBER(SEARCH("🔵",A12))</formula>
    </cfRule>
    <cfRule type="expression" dxfId="363" priority="9">
      <formula>ISNUMBER(SEARCH("⭐",A12))</formula>
    </cfRule>
    <cfRule type="expression" dxfId="362" priority="10">
      <formula>ISNUMBER(SEARCH("Riesgo",A12))</formula>
    </cfRule>
    <cfRule type="expression" dxfId="361" priority="11">
      <formula>ISNUMBER(SEARCH("En proceso",A12))</formula>
    </cfRule>
    <cfRule type="expression" dxfId="360" priority="12">
      <formula>ISNUMBER(SEARCH("Cumplido",A12))</formula>
    </cfRule>
    <cfRule type="expression" dxfId="359" priority="13">
      <formula>ISNUMBER(SEARCH("Pendiente",A12))</formula>
    </cfRule>
    <cfRule type="expression" dxfId="358" priority="14">
      <formula>ISNUMBER(SEARCH("Descartar",A12))</formula>
    </cfRule>
    <cfRule type="expression" dxfId="357" priority="15">
      <formula>ISNUMBER(SEARCH("CRM",A12))</formula>
    </cfRule>
    <cfRule type="expression" dxfId="356" priority="16">
      <formula>ISNUMBER(SEARCH("Oportunidad",A12))</formula>
    </cfRule>
    <cfRule type="expression" dxfId="355" priority="17">
      <formula>ISNUMBER(SEARCH("Seguimiento",A12))</formula>
    </cfRule>
    <cfRule type="expression" dxfId="354" priority="18">
      <formula>ISNUMBER(SEARCH("Observar",A12))</formula>
    </cfRule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BFBFBF"/>
  </sheetPr>
  <dimension ref="A1:D18"/>
  <sheetViews>
    <sheetView showGridLines="0" workbookViewId="0"/>
  </sheetViews>
  <sheetFormatPr baseColWidth="10" defaultColWidth="8.7265625" defaultRowHeight="14.5"/>
  <cols>
    <col min="1" max="1" width="45" customWidth="1"/>
    <col min="2" max="2" width="75.36328125" customWidth="1"/>
    <col min="3" max="3" width="22" customWidth="1"/>
    <col min="4" max="4" width="18" customWidth="1"/>
  </cols>
  <sheetData>
    <row r="1" spans="1:4">
      <c r="A1" s="427" t="s">
        <v>3661</v>
      </c>
      <c r="B1" s="426"/>
      <c r="C1" s="426"/>
      <c r="D1" s="426"/>
    </row>
    <row r="4" spans="1:4">
      <c r="A4" s="54" t="s">
        <v>74</v>
      </c>
      <c r="B4" s="54" t="s">
        <v>3662</v>
      </c>
      <c r="C4" s="54" t="s">
        <v>3663</v>
      </c>
      <c r="D4" s="54" t="s">
        <v>3664</v>
      </c>
    </row>
    <row r="5" spans="1:4">
      <c r="A5" t="s">
        <v>3665</v>
      </c>
      <c r="B5" t="s">
        <v>3666</v>
      </c>
    </row>
    <row r="6" spans="1:4">
      <c r="A6" t="s">
        <v>3667</v>
      </c>
      <c r="B6" t="s">
        <v>3668</v>
      </c>
    </row>
    <row r="7" spans="1:4">
      <c r="A7" t="s">
        <v>2900</v>
      </c>
      <c r="B7" t="s">
        <v>3669</v>
      </c>
    </row>
    <row r="8" spans="1:4">
      <c r="A8" t="s">
        <v>3670</v>
      </c>
      <c r="B8" t="s">
        <v>3671</v>
      </c>
    </row>
    <row r="9" spans="1:4">
      <c r="A9" t="s">
        <v>3079</v>
      </c>
      <c r="B9" t="s">
        <v>3672</v>
      </c>
    </row>
    <row r="10" spans="1:4">
      <c r="A10" t="s">
        <v>3123</v>
      </c>
      <c r="B10" t="s">
        <v>3673</v>
      </c>
    </row>
    <row r="11" spans="1:4">
      <c r="A11" t="s">
        <v>3674</v>
      </c>
      <c r="B11" t="s">
        <v>3675</v>
      </c>
    </row>
    <row r="12" spans="1:4">
      <c r="A12" t="s">
        <v>3676</v>
      </c>
      <c r="B12" t="s">
        <v>3677</v>
      </c>
    </row>
    <row r="13" spans="1:4">
      <c r="A13" t="s">
        <v>3678</v>
      </c>
      <c r="B13" t="s">
        <v>3679</v>
      </c>
    </row>
    <row r="14" spans="1:4">
      <c r="A14" t="s">
        <v>2909</v>
      </c>
      <c r="B14" t="s">
        <v>3680</v>
      </c>
    </row>
    <row r="15" spans="1:4">
      <c r="A15" t="s">
        <v>3681</v>
      </c>
      <c r="B15" t="s">
        <v>3682</v>
      </c>
    </row>
    <row r="16" spans="1:4">
      <c r="A16" t="s">
        <v>3683</v>
      </c>
      <c r="B16" t="s">
        <v>3684</v>
      </c>
    </row>
    <row r="17" spans="1:2">
      <c r="A17" t="s">
        <v>2911</v>
      </c>
      <c r="B17" t="s">
        <v>3685</v>
      </c>
    </row>
    <row r="18" spans="1:2">
      <c r="A18" t="s">
        <v>1369</v>
      </c>
      <c r="B18" t="s">
        <v>3686</v>
      </c>
    </row>
  </sheetData>
  <mergeCells count="1">
    <mergeCell ref="A1:D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BFBFBF"/>
  </sheetPr>
  <dimension ref="A1:H12"/>
  <sheetViews>
    <sheetView showGridLines="0" workbookViewId="0"/>
  </sheetViews>
  <sheetFormatPr baseColWidth="10" defaultColWidth="8.7265625" defaultRowHeight="14.5"/>
  <cols>
    <col min="1" max="1" width="21.36328125" customWidth="1"/>
    <col min="2" max="2" width="31.1796875" customWidth="1"/>
    <col min="3" max="3" width="13.6328125" customWidth="1"/>
    <col min="4" max="4" width="14.54296875" customWidth="1"/>
    <col min="5" max="5" width="17.453125" customWidth="1"/>
    <col min="6" max="6" width="41.453125" customWidth="1"/>
    <col min="7" max="7" width="5.26953125" customWidth="1"/>
    <col min="8" max="8" width="12.26953125" customWidth="1"/>
  </cols>
  <sheetData>
    <row r="1" spans="1:8" ht="37" customHeight="1">
      <c r="A1" s="503" t="s">
        <v>3687</v>
      </c>
      <c r="B1" s="504"/>
      <c r="C1" s="504"/>
      <c r="D1" s="504"/>
      <c r="E1" s="505"/>
      <c r="F1" s="152"/>
      <c r="G1" s="152"/>
      <c r="H1" s="152"/>
    </row>
    <row r="2" spans="1:8">
      <c r="A2" s="524" t="s">
        <v>3688</v>
      </c>
      <c r="B2" s="426"/>
      <c r="C2" s="426"/>
      <c r="D2" s="426"/>
      <c r="E2" s="426"/>
      <c r="F2" s="426"/>
      <c r="G2" s="426"/>
      <c r="H2" s="426"/>
    </row>
    <row r="4" spans="1:8">
      <c r="A4" s="153" t="s">
        <v>1741</v>
      </c>
      <c r="B4" s="153" t="s">
        <v>3689</v>
      </c>
      <c r="C4" s="153" t="s">
        <v>252</v>
      </c>
      <c r="D4" s="153" t="s">
        <v>8</v>
      </c>
      <c r="E4" s="153" t="s">
        <v>655</v>
      </c>
      <c r="F4" s="153" t="s">
        <v>656</v>
      </c>
      <c r="G4" s="153" t="s">
        <v>1061</v>
      </c>
      <c r="H4" s="153" t="s">
        <v>3690</v>
      </c>
    </row>
    <row r="5" spans="1:8">
      <c r="A5" t="s">
        <v>3691</v>
      </c>
      <c r="B5" s="63">
        <f>IFERROR('18_Conciliacion_Bancaria_V2'!B22,'15_Conciliacion'!B22)</f>
        <v>51789</v>
      </c>
      <c r="C5" t="s">
        <v>175</v>
      </c>
      <c r="D5" t="s">
        <v>3692</v>
      </c>
      <c r="E5" t="s">
        <v>79</v>
      </c>
      <c r="F5" t="s">
        <v>3693</v>
      </c>
      <c r="G5" t="s">
        <v>1188</v>
      </c>
      <c r="H5" t="s">
        <v>3690</v>
      </c>
    </row>
    <row r="6" spans="1:8">
      <c r="A6" t="s">
        <v>1324</v>
      </c>
      <c r="B6" s="63">
        <f>'08_Rentabilidad_Inversiones'!V5</f>
        <v>236224</v>
      </c>
      <c r="C6" t="s">
        <v>783</v>
      </c>
      <c r="D6" t="s">
        <v>3694</v>
      </c>
      <c r="E6" t="s">
        <v>79</v>
      </c>
      <c r="F6" t="s">
        <v>3695</v>
      </c>
      <c r="G6" t="s">
        <v>1188</v>
      </c>
      <c r="H6" t="s">
        <v>3696</v>
      </c>
    </row>
    <row r="7" spans="1:8">
      <c r="A7" t="s">
        <v>3697</v>
      </c>
      <c r="B7" s="63">
        <f>'08_Rentabilidad_Inversiones'!V5</f>
        <v>236224</v>
      </c>
      <c r="C7" t="s">
        <v>783</v>
      </c>
      <c r="D7" t="s">
        <v>3694</v>
      </c>
      <c r="E7" t="s">
        <v>79</v>
      </c>
      <c r="F7" t="s">
        <v>3698</v>
      </c>
      <c r="G7" t="s">
        <v>1188</v>
      </c>
      <c r="H7" t="s">
        <v>3699</v>
      </c>
    </row>
    <row r="8" spans="1:8">
      <c r="A8" t="s">
        <v>905</v>
      </c>
      <c r="B8" s="63">
        <f>SUM('13_Deudas'!$M$5:$M$204)</f>
        <v>0</v>
      </c>
      <c r="C8" t="s">
        <v>170</v>
      </c>
      <c r="D8" t="s">
        <v>1884</v>
      </c>
      <c r="E8" t="s">
        <v>1884</v>
      </c>
      <c r="F8" t="s">
        <v>3474</v>
      </c>
      <c r="G8" t="s">
        <v>1188</v>
      </c>
      <c r="H8" t="s">
        <v>3699</v>
      </c>
    </row>
    <row r="9" spans="1:8">
      <c r="A9" t="s">
        <v>1873</v>
      </c>
      <c r="B9" s="63">
        <f>B5+B7-B8</f>
        <v>288013</v>
      </c>
      <c r="C9" t="s">
        <v>396</v>
      </c>
      <c r="D9" t="s">
        <v>1236</v>
      </c>
      <c r="E9" t="s">
        <v>3700</v>
      </c>
      <c r="F9" t="s">
        <v>3701</v>
      </c>
      <c r="G9" t="s">
        <v>1188</v>
      </c>
      <c r="H9" t="s">
        <v>3696</v>
      </c>
    </row>
    <row r="12" spans="1:8">
      <c r="A12" s="166" t="s">
        <v>2995</v>
      </c>
      <c r="B12" s="166" t="s">
        <v>3702</v>
      </c>
      <c r="C12" s="166"/>
      <c r="D12" s="166"/>
      <c r="E12" s="166"/>
      <c r="F12" s="166"/>
      <c r="G12" s="166"/>
      <c r="H12" s="166"/>
    </row>
  </sheetData>
  <mergeCells count="2">
    <mergeCell ref="A1:E1"/>
    <mergeCell ref="A2:H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BFBFBF"/>
  </sheetPr>
  <dimension ref="A1:G100"/>
  <sheetViews>
    <sheetView showGridLines="0" workbookViewId="0"/>
  </sheetViews>
  <sheetFormatPr baseColWidth="10" defaultColWidth="14.453125" defaultRowHeight="14.5"/>
  <cols>
    <col min="1" max="1" width="28" customWidth="1"/>
    <col min="2" max="2" width="18" customWidth="1"/>
    <col min="3" max="5" width="16" customWidth="1"/>
    <col min="6" max="6" width="20" customWidth="1"/>
    <col min="7" max="7" width="18" customWidth="1"/>
    <col min="8" max="11" width="8.7265625" customWidth="1"/>
  </cols>
  <sheetData>
    <row r="1" spans="1:7">
      <c r="A1" s="525" t="s">
        <v>3703</v>
      </c>
      <c r="B1" s="426"/>
      <c r="C1" s="426"/>
      <c r="D1" s="426"/>
      <c r="E1" s="426"/>
      <c r="F1" s="426"/>
      <c r="G1" s="426"/>
    </row>
    <row r="2" spans="1:7" ht="1.9" customHeight="1">
      <c r="A2" s="9" t="s">
        <v>1786</v>
      </c>
      <c r="B2" s="9" t="s">
        <v>8</v>
      </c>
      <c r="C2" s="9" t="s">
        <v>3704</v>
      </c>
      <c r="D2" s="9" t="s">
        <v>3705</v>
      </c>
      <c r="E2" s="9" t="s">
        <v>656</v>
      </c>
      <c r="F2" s="7"/>
      <c r="G2" s="7"/>
    </row>
    <row r="3" spans="1:7">
      <c r="A3" s="10" t="s">
        <v>3706</v>
      </c>
      <c r="B3" s="10" t="s">
        <v>1790</v>
      </c>
      <c r="C3" s="11">
        <v>2963</v>
      </c>
      <c r="D3" s="10" t="s">
        <v>87</v>
      </c>
      <c r="E3" s="10" t="s">
        <v>1657</v>
      </c>
      <c r="F3" s="7"/>
      <c r="G3" s="7"/>
    </row>
    <row r="4" spans="1:7">
      <c r="A4" s="10" t="s">
        <v>3707</v>
      </c>
      <c r="B4" s="10" t="s">
        <v>1790</v>
      </c>
      <c r="C4" s="11">
        <v>937</v>
      </c>
      <c r="D4" s="10" t="s">
        <v>87</v>
      </c>
      <c r="E4" s="10" t="s">
        <v>3708</v>
      </c>
      <c r="F4" s="7"/>
      <c r="G4" s="7"/>
    </row>
    <row r="5" spans="1:7">
      <c r="A5" s="10" t="s">
        <v>1451</v>
      </c>
      <c r="B5" s="10" t="s">
        <v>1451</v>
      </c>
      <c r="C5" s="11">
        <v>200</v>
      </c>
      <c r="D5" s="10" t="s">
        <v>87</v>
      </c>
      <c r="E5" s="10" t="s">
        <v>3709</v>
      </c>
      <c r="F5" s="7"/>
      <c r="G5" s="7"/>
    </row>
    <row r="6" spans="1:7">
      <c r="A6" s="10" t="s">
        <v>3710</v>
      </c>
      <c r="B6" s="10" t="s">
        <v>1490</v>
      </c>
      <c r="C6" s="11">
        <v>9150</v>
      </c>
      <c r="D6" s="10" t="s">
        <v>87</v>
      </c>
      <c r="E6" s="10" t="s">
        <v>1521</v>
      </c>
      <c r="F6" s="7"/>
      <c r="G6" s="7"/>
    </row>
    <row r="7" spans="1:7">
      <c r="A7" s="10" t="s">
        <v>3711</v>
      </c>
      <c r="B7" s="10" t="s">
        <v>1790</v>
      </c>
      <c r="C7" s="11">
        <v>554</v>
      </c>
      <c r="D7" s="10" t="s">
        <v>87</v>
      </c>
      <c r="E7" s="10" t="s">
        <v>3712</v>
      </c>
      <c r="F7" s="7"/>
      <c r="G7" s="7"/>
    </row>
    <row r="8" spans="1:7">
      <c r="A8" s="10" t="s">
        <v>3713</v>
      </c>
      <c r="B8" s="10" t="s">
        <v>1790</v>
      </c>
      <c r="C8" s="11">
        <v>54</v>
      </c>
      <c r="D8" s="10" t="s">
        <v>87</v>
      </c>
      <c r="E8" s="10" t="s">
        <v>3714</v>
      </c>
      <c r="F8" s="7"/>
      <c r="G8" s="7"/>
    </row>
    <row r="9" spans="1:7">
      <c r="A9" s="10" t="s">
        <v>3715</v>
      </c>
      <c r="B9" s="10"/>
      <c r="C9" s="11">
        <f>SUM(C3:C8)</f>
        <v>13858</v>
      </c>
      <c r="D9" s="10"/>
      <c r="E9" s="10"/>
      <c r="F9" s="7"/>
      <c r="G9" s="7"/>
    </row>
    <row r="10" spans="1:7" ht="1.9" customHeight="1">
      <c r="A10" s="7"/>
      <c r="B10" s="7"/>
      <c r="C10" s="7"/>
      <c r="D10" s="7"/>
      <c r="E10" s="7"/>
      <c r="F10" s="7"/>
      <c r="G10" s="7"/>
    </row>
    <row r="11" spans="1:7">
      <c r="A11" s="525" t="s">
        <v>3716</v>
      </c>
      <c r="B11" s="426"/>
      <c r="C11" s="426"/>
      <c r="D11" s="426"/>
      <c r="E11" s="426"/>
      <c r="F11" s="426"/>
      <c r="G11" s="426"/>
    </row>
    <row r="12" spans="1:7">
      <c r="A12" s="12" t="s">
        <v>3717</v>
      </c>
      <c r="B12" s="7"/>
      <c r="C12">
        <v>950</v>
      </c>
      <c r="D12" s="7"/>
      <c r="E12" s="7"/>
      <c r="F12" s="7"/>
      <c r="G12" s="7"/>
    </row>
    <row r="13" spans="1:7">
      <c r="A13" s="9" t="s">
        <v>79</v>
      </c>
      <c r="B13" s="9" t="s">
        <v>8</v>
      </c>
      <c r="C13" s="9" t="s">
        <v>3689</v>
      </c>
      <c r="D13" s="9" t="s">
        <v>1395</v>
      </c>
      <c r="E13" s="9" t="s">
        <v>1398</v>
      </c>
      <c r="F13" s="9" t="s">
        <v>3718</v>
      </c>
      <c r="G13" s="9" t="s">
        <v>1886</v>
      </c>
    </row>
    <row r="14" spans="1:7">
      <c r="A14" s="13" t="s">
        <v>1679</v>
      </c>
      <c r="B14" s="13" t="s">
        <v>3719</v>
      </c>
      <c r="C14" s="14">
        <v>15911</v>
      </c>
      <c r="D14" s="13" t="s">
        <v>1402</v>
      </c>
      <c r="E14" s="14">
        <f>IF(D14="USD",C14*C12,C14)</f>
        <v>15911</v>
      </c>
      <c r="F14" s="13" t="s">
        <v>3719</v>
      </c>
      <c r="G14" s="14"/>
    </row>
    <row r="15" spans="1:7">
      <c r="A15" s="13" t="s">
        <v>3720</v>
      </c>
      <c r="B15" s="13" t="s">
        <v>3721</v>
      </c>
      <c r="C15" s="14">
        <v>822</v>
      </c>
      <c r="D15" s="13" t="s">
        <v>1402</v>
      </c>
      <c r="E15" s="14">
        <f>IF(D15="USD",C15*C12,C15)</f>
        <v>822</v>
      </c>
      <c r="F15" s="13" t="s">
        <v>3721</v>
      </c>
      <c r="G15" s="14">
        <v>8350</v>
      </c>
    </row>
    <row r="16" spans="1:7">
      <c r="A16" s="13" t="s">
        <v>1646</v>
      </c>
      <c r="B16" s="13" t="s">
        <v>3721</v>
      </c>
      <c r="C16" s="14">
        <v>42139</v>
      </c>
      <c r="D16" s="13" t="s">
        <v>1402</v>
      </c>
      <c r="E16" s="14">
        <f>IF(D16="USD",C16*C12,C16)</f>
        <v>42139</v>
      </c>
      <c r="F16" s="13" t="s">
        <v>3721</v>
      </c>
      <c r="G16" s="14">
        <v>2093</v>
      </c>
    </row>
    <row r="17" spans="1:7">
      <c r="A17" s="13" t="s">
        <v>3722</v>
      </c>
      <c r="B17" s="13" t="s">
        <v>3723</v>
      </c>
      <c r="C17" s="14">
        <v>5735</v>
      </c>
      <c r="D17" s="13" t="s">
        <v>1402</v>
      </c>
      <c r="E17" s="14">
        <f>IF(D17="USD",C17*C12,C17)</f>
        <v>5735</v>
      </c>
      <c r="F17" s="13" t="s">
        <v>3723</v>
      </c>
      <c r="G17" s="14">
        <v>521</v>
      </c>
    </row>
    <row r="18" spans="1:7">
      <c r="A18" s="13" t="s">
        <v>1633</v>
      </c>
      <c r="B18" s="13" t="s">
        <v>1674</v>
      </c>
      <c r="C18" s="15">
        <v>38.43</v>
      </c>
      <c r="D18" s="13" t="s">
        <v>1635</v>
      </c>
      <c r="E18" s="14">
        <f>IF(D18="USD",C18*C12,C18)</f>
        <v>36508.5</v>
      </c>
      <c r="F18" s="13" t="s">
        <v>3724</v>
      </c>
      <c r="G18" s="15" t="s">
        <v>3725</v>
      </c>
    </row>
    <row r="19" spans="1:7">
      <c r="A19" s="12" t="s">
        <v>3726</v>
      </c>
      <c r="B19" s="7"/>
      <c r="C19" s="7"/>
      <c r="D19" s="7"/>
      <c r="E19" s="14">
        <f>SUM(E14:E18)</f>
        <v>101115.5</v>
      </c>
      <c r="F19" s="7"/>
      <c r="G19" s="7"/>
    </row>
    <row r="20" spans="1:7">
      <c r="A20" s="7"/>
      <c r="B20" s="7"/>
      <c r="C20" s="7"/>
      <c r="D20" s="7"/>
      <c r="E20" s="83"/>
      <c r="F20" s="7"/>
      <c r="G20" s="7"/>
    </row>
    <row r="21" spans="1:7">
      <c r="A21" s="525" t="s">
        <v>3727</v>
      </c>
      <c r="B21" s="426"/>
      <c r="C21" s="426"/>
      <c r="D21" s="426"/>
      <c r="E21" s="426"/>
      <c r="F21" s="426"/>
      <c r="G21" s="426"/>
    </row>
    <row r="22" spans="1:7">
      <c r="A22" s="9" t="s">
        <v>1589</v>
      </c>
      <c r="B22" s="9" t="s">
        <v>1285</v>
      </c>
      <c r="C22" s="9" t="s">
        <v>1595</v>
      </c>
      <c r="D22" s="9" t="s">
        <v>3728</v>
      </c>
      <c r="E22" s="9" t="s">
        <v>655</v>
      </c>
      <c r="F22" s="9" t="s">
        <v>248</v>
      </c>
      <c r="G22" s="9" t="s">
        <v>656</v>
      </c>
    </row>
    <row r="23" spans="1:7">
      <c r="A23" s="10" t="s">
        <v>1616</v>
      </c>
      <c r="B23" s="11">
        <v>432399</v>
      </c>
      <c r="C23" s="10">
        <v>24</v>
      </c>
      <c r="D23" s="11">
        <v>36330</v>
      </c>
      <c r="E23" s="85" t="s">
        <v>2190</v>
      </c>
      <c r="F23" s="10" t="s">
        <v>332</v>
      </c>
      <c r="G23" s="10" t="s">
        <v>3729</v>
      </c>
    </row>
    <row r="24" spans="1:7">
      <c r="A24" s="10" t="s">
        <v>3730</v>
      </c>
      <c r="B24" s="11">
        <v>453987</v>
      </c>
      <c r="C24" s="10"/>
      <c r="D24" s="11"/>
      <c r="E24" s="85" t="s">
        <v>2181</v>
      </c>
      <c r="F24" s="10" t="s">
        <v>1907</v>
      </c>
      <c r="G24" s="10" t="s">
        <v>3731</v>
      </c>
    </row>
    <row r="25" spans="1:7">
      <c r="A25" s="12" t="s">
        <v>3732</v>
      </c>
      <c r="B25" s="14">
        <f>SUM(B23:B24)</f>
        <v>886386</v>
      </c>
      <c r="C25" s="7"/>
      <c r="D25" s="7"/>
      <c r="E25" s="83"/>
      <c r="F25" s="7"/>
      <c r="G25" s="7"/>
    </row>
    <row r="26" spans="1:7">
      <c r="A26" s="7"/>
      <c r="B26" s="7"/>
      <c r="C26" s="7"/>
      <c r="D26" s="7"/>
      <c r="E26" s="83"/>
      <c r="F26" s="7"/>
      <c r="G26" s="7"/>
    </row>
    <row r="27" spans="1:7">
      <c r="A27" s="525" t="s">
        <v>3733</v>
      </c>
      <c r="B27" s="426"/>
      <c r="C27" s="426"/>
      <c r="D27" s="426"/>
      <c r="E27" s="426"/>
      <c r="F27" s="426"/>
      <c r="G27" s="426"/>
    </row>
    <row r="28" spans="1:7">
      <c r="A28" s="9" t="s">
        <v>1741</v>
      </c>
      <c r="B28" s="9" t="s">
        <v>1418</v>
      </c>
      <c r="C28" s="7"/>
      <c r="D28" s="7"/>
      <c r="E28" s="83"/>
      <c r="F28" s="7"/>
      <c r="G28" s="7"/>
    </row>
    <row r="29" spans="1:7">
      <c r="A29" s="10" t="s">
        <v>3734</v>
      </c>
      <c r="B29" s="11">
        <v>540000</v>
      </c>
      <c r="C29" s="7"/>
      <c r="D29" s="7"/>
      <c r="E29" s="83"/>
      <c r="F29" s="7"/>
      <c r="G29" s="7"/>
    </row>
    <row r="30" spans="1:7">
      <c r="A30" s="10" t="s">
        <v>1449</v>
      </c>
      <c r="B30" s="11">
        <v>72000</v>
      </c>
      <c r="C30" s="7"/>
      <c r="D30" s="7"/>
      <c r="E30" s="83"/>
      <c r="F30" s="7"/>
      <c r="G30" s="7"/>
    </row>
    <row r="31" spans="1:7">
      <c r="A31" s="10" t="s">
        <v>1436</v>
      </c>
      <c r="B31" s="11">
        <v>160000</v>
      </c>
      <c r="C31" s="7"/>
      <c r="D31" s="7"/>
      <c r="E31" s="7"/>
      <c r="F31" s="7"/>
      <c r="G31" s="7"/>
    </row>
    <row r="32" spans="1:7">
      <c r="A32" s="10" t="s">
        <v>3735</v>
      </c>
      <c r="B32" s="11">
        <v>388000</v>
      </c>
      <c r="C32" s="7"/>
      <c r="D32" s="7"/>
      <c r="E32" s="7"/>
      <c r="F32" s="7"/>
      <c r="G32" s="7"/>
    </row>
    <row r="33" spans="1:7">
      <c r="A33" s="12" t="s">
        <v>3736</v>
      </c>
      <c r="B33" s="14">
        <f>SUM(B29:B32)</f>
        <v>1160000</v>
      </c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525" t="s">
        <v>3737</v>
      </c>
      <c r="B35" s="426"/>
      <c r="C35" s="426"/>
      <c r="D35" s="426"/>
      <c r="E35" s="426"/>
      <c r="F35" s="426"/>
      <c r="G35" s="426"/>
    </row>
    <row r="36" spans="1:7">
      <c r="A36" s="9" t="s">
        <v>1741</v>
      </c>
      <c r="B36" s="9" t="s">
        <v>3578</v>
      </c>
      <c r="C36" s="7"/>
      <c r="D36" s="7"/>
      <c r="E36" s="7"/>
      <c r="F36" s="7"/>
      <c r="G36" s="7"/>
    </row>
    <row r="37" spans="1:7">
      <c r="A37" s="10" t="s">
        <v>3738</v>
      </c>
      <c r="B37" s="10" t="s">
        <v>3739</v>
      </c>
      <c r="C37" s="7"/>
      <c r="D37" s="7"/>
      <c r="E37" s="7"/>
      <c r="F37" s="7"/>
      <c r="G37" s="7"/>
    </row>
    <row r="38" spans="1:7">
      <c r="A38" s="10" t="s">
        <v>3740</v>
      </c>
      <c r="B38" s="10" t="s">
        <v>3741</v>
      </c>
      <c r="C38" s="7"/>
      <c r="D38" s="7"/>
      <c r="E38" s="7"/>
      <c r="F38" s="7"/>
      <c r="G38" s="7"/>
    </row>
    <row r="39" spans="1:7">
      <c r="A39" s="10" t="s">
        <v>1285</v>
      </c>
      <c r="B39" s="10" t="s">
        <v>3742</v>
      </c>
      <c r="C39" s="7"/>
      <c r="D39" s="7"/>
      <c r="E39" s="7"/>
      <c r="F39" s="7"/>
      <c r="G39" s="7"/>
    </row>
    <row r="40" spans="1:7">
      <c r="A40" s="10" t="s">
        <v>1493</v>
      </c>
      <c r="B40" s="10" t="s">
        <v>3743</v>
      </c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525" t="s">
        <v>3744</v>
      </c>
      <c r="B42" s="426"/>
      <c r="C42" s="426"/>
      <c r="D42" s="426"/>
      <c r="E42" s="426"/>
      <c r="F42" s="426"/>
      <c r="G42" s="426"/>
    </row>
    <row r="43" spans="1:7">
      <c r="A43" s="9" t="s">
        <v>1741</v>
      </c>
      <c r="B43" s="9" t="s">
        <v>1418</v>
      </c>
      <c r="C43" s="7"/>
      <c r="D43" s="7"/>
      <c r="E43" s="7"/>
      <c r="F43" s="7"/>
      <c r="G43" s="7"/>
    </row>
    <row r="44" spans="1:7">
      <c r="A44" s="10" t="s">
        <v>3745</v>
      </c>
      <c r="B44" s="11">
        <v>300000</v>
      </c>
      <c r="C44" s="7"/>
      <c r="D44" s="7"/>
      <c r="E44" s="7"/>
      <c r="F44" s="7"/>
      <c r="G44" s="7"/>
    </row>
    <row r="45" spans="1:7">
      <c r="A45" s="10" t="s">
        <v>3746</v>
      </c>
      <c r="B45" s="11">
        <v>200000</v>
      </c>
      <c r="C45" s="7"/>
      <c r="D45" s="7"/>
      <c r="E45" s="7"/>
      <c r="F45" s="7"/>
      <c r="G45" s="7"/>
    </row>
    <row r="46" spans="1:7">
      <c r="A46" s="10" t="s">
        <v>661</v>
      </c>
      <c r="B46" s="11">
        <v>100000</v>
      </c>
      <c r="C46" s="7"/>
      <c r="D46" s="7"/>
      <c r="E46" s="7"/>
      <c r="F46" s="7"/>
      <c r="G46" s="7"/>
    </row>
    <row r="47" spans="1:7">
      <c r="A47" s="10" t="s">
        <v>3747</v>
      </c>
      <c r="B47" s="11">
        <v>150000</v>
      </c>
      <c r="C47" s="7"/>
      <c r="D47" s="7"/>
      <c r="E47" s="7"/>
      <c r="F47" s="7"/>
      <c r="G47" s="7"/>
    </row>
    <row r="48" spans="1:7" ht="1.9" customHeight="1">
      <c r="A48" s="7"/>
      <c r="B48" s="7"/>
      <c r="C48" s="7"/>
      <c r="D48" s="7"/>
      <c r="E48" s="7"/>
      <c r="F48" s="7"/>
      <c r="G48" s="7"/>
    </row>
    <row r="49" spans="1:7">
      <c r="A49" s="525" t="s">
        <v>3748</v>
      </c>
      <c r="B49" s="426"/>
      <c r="C49" s="426"/>
      <c r="D49" s="426"/>
      <c r="E49" s="426"/>
      <c r="F49" s="426"/>
      <c r="G49" s="426"/>
    </row>
    <row r="50" spans="1:7">
      <c r="A50" s="9" t="s">
        <v>1741</v>
      </c>
      <c r="B50" s="9" t="s">
        <v>1418</v>
      </c>
      <c r="C50" s="7"/>
      <c r="D50" s="7"/>
      <c r="E50" s="7"/>
      <c r="F50" s="7"/>
      <c r="G50" s="7"/>
    </row>
    <row r="51" spans="1:7">
      <c r="A51" s="10" t="s">
        <v>3749</v>
      </c>
      <c r="B51" s="11">
        <f>C9</f>
        <v>13858</v>
      </c>
      <c r="C51" s="7"/>
      <c r="D51" s="7"/>
      <c r="E51" s="7"/>
      <c r="F51" s="7"/>
      <c r="G51" s="7"/>
    </row>
    <row r="52" spans="1:7">
      <c r="A52" s="10" t="s">
        <v>1324</v>
      </c>
      <c r="B52" s="11">
        <f>E19</f>
        <v>101115.5</v>
      </c>
      <c r="C52" s="7"/>
      <c r="D52" s="7"/>
      <c r="E52" s="7"/>
      <c r="F52" s="7"/>
      <c r="G52" s="7"/>
    </row>
    <row r="53" spans="1:7">
      <c r="A53" s="10" t="s">
        <v>1285</v>
      </c>
      <c r="B53" s="11">
        <f>B25</f>
        <v>886386</v>
      </c>
      <c r="C53" s="7"/>
      <c r="D53" s="7"/>
      <c r="E53" s="7"/>
      <c r="F53" s="7"/>
      <c r="G53" s="7"/>
    </row>
    <row r="54" spans="1:7">
      <c r="A54" s="10" t="s">
        <v>3750</v>
      </c>
      <c r="B54" s="11">
        <f>C9+E19-B25</f>
        <v>-771412.5</v>
      </c>
      <c r="C54" s="7"/>
      <c r="D54" s="7"/>
      <c r="E54" s="7"/>
      <c r="F54" s="7"/>
      <c r="G54" s="7"/>
    </row>
    <row r="55" spans="1:7" ht="1.9" customHeight="1">
      <c r="A55" s="7"/>
      <c r="B55" s="7"/>
      <c r="C55" s="7"/>
      <c r="D55" s="7"/>
      <c r="E55" s="7"/>
      <c r="F55" s="7"/>
      <c r="G55" s="7"/>
    </row>
    <row r="56" spans="1:7" ht="1.9" customHeight="1">
      <c r="A56" s="7"/>
      <c r="B56" s="7"/>
      <c r="C56" s="7"/>
      <c r="D56" s="7"/>
      <c r="E56" s="7"/>
      <c r="F56" s="7"/>
      <c r="G56" s="7"/>
    </row>
    <row r="57" spans="1:7" ht="1.9" customHeight="1">
      <c r="A57" s="7"/>
      <c r="B57" s="7"/>
      <c r="C57" s="7"/>
      <c r="D57" s="7"/>
      <c r="E57" s="7"/>
      <c r="F57" s="7"/>
      <c r="G57" s="7"/>
    </row>
    <row r="58" spans="1:7" ht="1.9" customHeight="1">
      <c r="A58" s="7"/>
      <c r="B58" s="7"/>
      <c r="C58" s="7"/>
      <c r="D58" s="7"/>
      <c r="E58" s="7"/>
      <c r="F58" s="7"/>
      <c r="G58" s="7"/>
    </row>
    <row r="59" spans="1:7" ht="1.9" customHeight="1">
      <c r="A59" s="7"/>
      <c r="B59" s="7"/>
      <c r="C59" s="7"/>
      <c r="D59" s="7"/>
      <c r="E59" s="7"/>
      <c r="F59" s="7"/>
      <c r="G59" s="7"/>
    </row>
    <row r="60" spans="1:7" ht="1.9" customHeight="1">
      <c r="A60" s="7"/>
      <c r="B60" s="7"/>
      <c r="C60" s="7"/>
      <c r="D60" s="7"/>
      <c r="E60" s="7"/>
      <c r="F60" s="7"/>
      <c r="G60" s="7"/>
    </row>
    <row r="61" spans="1:7" ht="1.9" customHeight="1">
      <c r="A61" s="7"/>
      <c r="B61" s="7"/>
      <c r="C61" s="7"/>
      <c r="D61" s="7"/>
      <c r="E61" s="7"/>
      <c r="F61" s="7"/>
      <c r="G61" s="7"/>
    </row>
    <row r="62" spans="1:7" ht="1.9" customHeight="1">
      <c r="A62" s="7"/>
      <c r="B62" s="7"/>
      <c r="C62" s="7"/>
      <c r="D62" s="7"/>
      <c r="E62" s="7"/>
      <c r="F62" s="7"/>
      <c r="G62" s="7"/>
    </row>
    <row r="63" spans="1:7" ht="1.9" customHeight="1">
      <c r="A63" s="7"/>
      <c r="B63" s="7"/>
      <c r="C63" s="7"/>
      <c r="D63" s="7"/>
      <c r="E63" s="7"/>
      <c r="F63" s="7"/>
      <c r="G63" s="7"/>
    </row>
    <row r="64" spans="1:7" ht="1.9" customHeight="1">
      <c r="A64" s="7"/>
      <c r="B64" s="7"/>
      <c r="C64" s="7"/>
      <c r="D64" s="7"/>
      <c r="E64" s="7"/>
      <c r="F64" s="7"/>
      <c r="G64" s="7"/>
    </row>
    <row r="65" spans="1:7" ht="1.9" customHeight="1">
      <c r="A65" s="7"/>
      <c r="B65" s="7"/>
      <c r="C65" s="7"/>
      <c r="D65" s="7"/>
      <c r="E65" s="7"/>
      <c r="F65" s="7"/>
      <c r="G65" s="7"/>
    </row>
    <row r="66" spans="1:7" ht="1.9" customHeight="1">
      <c r="A66" s="7"/>
      <c r="B66" s="7"/>
      <c r="C66" s="7"/>
      <c r="D66" s="7"/>
      <c r="E66" s="7"/>
      <c r="F66" s="7"/>
      <c r="G66" s="7"/>
    </row>
    <row r="67" spans="1:7" ht="1.9" customHeight="1">
      <c r="A67" s="7"/>
      <c r="B67" s="7"/>
      <c r="C67" s="7"/>
      <c r="D67" s="7"/>
      <c r="E67" s="7"/>
      <c r="F67" s="7"/>
      <c r="G67" s="7"/>
    </row>
    <row r="68" spans="1:7" ht="1.9" customHeight="1">
      <c r="A68" s="7"/>
      <c r="B68" s="7"/>
      <c r="C68" s="7"/>
      <c r="D68" s="7"/>
      <c r="E68" s="7"/>
      <c r="F68" s="7"/>
      <c r="G68" s="7"/>
    </row>
    <row r="69" spans="1:7" ht="1.9" customHeight="1">
      <c r="A69" s="7"/>
      <c r="B69" s="7"/>
      <c r="C69" s="7"/>
      <c r="D69" s="7"/>
      <c r="E69" s="7"/>
      <c r="F69" s="7"/>
      <c r="G69" s="7"/>
    </row>
    <row r="70" spans="1:7" ht="1.9" customHeight="1">
      <c r="A70" s="7"/>
      <c r="B70" s="7"/>
      <c r="C70" s="7"/>
      <c r="D70" s="7"/>
      <c r="E70" s="7"/>
      <c r="F70" s="7"/>
      <c r="G70" s="7"/>
    </row>
    <row r="71" spans="1:7" ht="1.9" customHeight="1">
      <c r="A71" s="7"/>
      <c r="B71" s="7"/>
      <c r="C71" s="7"/>
      <c r="D71" s="7"/>
      <c r="E71" s="7"/>
      <c r="F71" s="7"/>
      <c r="G71" s="7"/>
    </row>
    <row r="72" spans="1:7" ht="1.9" customHeight="1">
      <c r="A72" s="7"/>
      <c r="B72" s="7"/>
      <c r="C72" s="7"/>
      <c r="D72" s="7"/>
      <c r="E72" s="7"/>
      <c r="F72" s="7"/>
      <c r="G72" s="7"/>
    </row>
    <row r="73" spans="1:7" ht="1.9" customHeight="1">
      <c r="A73" s="7"/>
      <c r="B73" s="7"/>
      <c r="C73" s="7"/>
      <c r="D73" s="7"/>
      <c r="E73" s="7"/>
      <c r="F73" s="7"/>
      <c r="G73" s="7"/>
    </row>
    <row r="74" spans="1:7" ht="1.9" customHeight="1">
      <c r="A74" s="7"/>
      <c r="B74" s="7"/>
      <c r="C74" s="7"/>
      <c r="D74" s="7"/>
      <c r="E74" s="7"/>
      <c r="F74" s="7"/>
      <c r="G74" s="7"/>
    </row>
    <row r="75" spans="1:7" ht="1.9" customHeight="1">
      <c r="A75" s="7"/>
      <c r="B75" s="7"/>
      <c r="C75" s="7"/>
      <c r="D75" s="7"/>
      <c r="E75" s="7"/>
      <c r="F75" s="7"/>
      <c r="G75" s="7"/>
    </row>
    <row r="76" spans="1:7" ht="1.9" customHeight="1">
      <c r="A76" s="7"/>
      <c r="B76" s="7"/>
      <c r="C76" s="7"/>
      <c r="D76" s="7"/>
      <c r="E76" s="7"/>
      <c r="F76" s="7"/>
      <c r="G76" s="7"/>
    </row>
    <row r="77" spans="1:7" ht="1.9" customHeight="1">
      <c r="A77" s="7"/>
      <c r="B77" s="7"/>
      <c r="C77" s="7"/>
      <c r="D77" s="7"/>
      <c r="E77" s="7"/>
      <c r="F77" s="7"/>
      <c r="G77" s="7"/>
    </row>
    <row r="78" spans="1:7" ht="1.9" customHeight="1">
      <c r="A78" s="7"/>
      <c r="B78" s="7"/>
      <c r="C78" s="7"/>
      <c r="D78" s="7"/>
      <c r="E78" s="7"/>
      <c r="F78" s="7"/>
      <c r="G78" s="7"/>
    </row>
    <row r="79" spans="1:7" ht="1.9" customHeight="1">
      <c r="A79" s="7"/>
      <c r="B79" s="7"/>
      <c r="C79" s="7"/>
      <c r="D79" s="7"/>
      <c r="E79" s="7"/>
      <c r="F79" s="7"/>
      <c r="G79" s="7"/>
    </row>
    <row r="80" spans="1:7" ht="1.9" customHeight="1">
      <c r="A80" s="7"/>
      <c r="B80" s="7"/>
      <c r="C80" s="7"/>
      <c r="D80" s="7"/>
      <c r="E80" s="7"/>
      <c r="F80" s="7"/>
      <c r="G80" s="7"/>
    </row>
    <row r="81" spans="1:7" ht="1.9" customHeight="1">
      <c r="A81" s="7"/>
      <c r="B81" s="7"/>
      <c r="C81" s="7"/>
      <c r="D81" s="7"/>
      <c r="E81" s="7"/>
      <c r="F81" s="7"/>
      <c r="G81" s="7"/>
    </row>
    <row r="82" spans="1:7" ht="1.9" customHeight="1">
      <c r="A82" s="7"/>
      <c r="B82" s="7"/>
      <c r="C82" s="7"/>
      <c r="D82" s="7"/>
      <c r="E82" s="7"/>
      <c r="F82" s="7"/>
      <c r="G82" s="7"/>
    </row>
    <row r="83" spans="1:7" ht="1.9" customHeight="1">
      <c r="A83" s="7"/>
      <c r="B83" s="7"/>
      <c r="C83" s="7"/>
      <c r="D83" s="7"/>
      <c r="E83" s="7"/>
      <c r="F83" s="7"/>
      <c r="G83" s="7"/>
    </row>
    <row r="84" spans="1:7" ht="1.9" customHeight="1">
      <c r="A84" s="7"/>
      <c r="B84" s="7"/>
      <c r="C84" s="7"/>
      <c r="D84" s="7"/>
      <c r="E84" s="7"/>
      <c r="F84" s="7"/>
      <c r="G84" s="7"/>
    </row>
    <row r="85" spans="1:7" ht="1.9" customHeight="1">
      <c r="A85" s="7"/>
      <c r="B85" s="7"/>
      <c r="C85" s="7"/>
      <c r="D85" s="7"/>
      <c r="E85" s="7"/>
      <c r="F85" s="7"/>
      <c r="G85" s="7"/>
    </row>
    <row r="86" spans="1:7" ht="1.9" customHeight="1">
      <c r="A86" s="7"/>
      <c r="B86" s="7"/>
      <c r="C86" s="7"/>
      <c r="D86" s="7"/>
      <c r="E86" s="7"/>
      <c r="F86" s="7"/>
      <c r="G86" s="7"/>
    </row>
    <row r="87" spans="1:7" ht="1.9" customHeight="1">
      <c r="A87" s="7"/>
      <c r="B87" s="7"/>
      <c r="C87" s="7"/>
      <c r="D87" s="7"/>
      <c r="E87" s="7"/>
      <c r="F87" s="7"/>
      <c r="G87" s="7"/>
    </row>
    <row r="88" spans="1:7" ht="1.9" customHeight="1">
      <c r="A88" s="7"/>
      <c r="B88" s="7"/>
      <c r="C88" s="7"/>
      <c r="D88" s="7"/>
      <c r="E88" s="7"/>
      <c r="F88" s="7"/>
      <c r="G88" s="7"/>
    </row>
    <row r="89" spans="1:7" ht="1.9" customHeight="1">
      <c r="A89" s="7"/>
      <c r="B89" s="7"/>
      <c r="C89" s="7"/>
      <c r="D89" s="7"/>
      <c r="E89" s="7"/>
      <c r="F89" s="7"/>
      <c r="G89" s="7"/>
    </row>
    <row r="90" spans="1:7" ht="1.9" customHeight="1">
      <c r="A90" s="7"/>
      <c r="B90" s="7"/>
      <c r="C90" s="7"/>
      <c r="D90" s="7"/>
      <c r="E90" s="7"/>
      <c r="F90" s="7"/>
      <c r="G90" s="7"/>
    </row>
    <row r="91" spans="1:7" ht="1.9" customHeight="1">
      <c r="A91" s="7"/>
      <c r="B91" s="7"/>
      <c r="C91" s="7"/>
      <c r="D91" s="7"/>
      <c r="E91" s="7"/>
      <c r="F91" s="7"/>
      <c r="G91" s="7"/>
    </row>
    <row r="92" spans="1:7" ht="1.9" customHeight="1">
      <c r="A92" s="7"/>
      <c r="B92" s="7"/>
      <c r="C92" s="7"/>
      <c r="D92" s="7"/>
      <c r="E92" s="7"/>
      <c r="F92" s="7"/>
      <c r="G92" s="7"/>
    </row>
    <row r="93" spans="1:7" ht="1.9" customHeight="1">
      <c r="A93" s="7"/>
      <c r="B93" s="7"/>
      <c r="C93" s="7"/>
      <c r="D93" s="7"/>
      <c r="E93" s="7"/>
      <c r="F93" s="7"/>
      <c r="G93" s="7"/>
    </row>
    <row r="94" spans="1:7" ht="1.9" customHeight="1">
      <c r="A94" s="7"/>
      <c r="B94" s="7"/>
      <c r="C94" s="7"/>
      <c r="D94" s="7"/>
      <c r="E94" s="7"/>
      <c r="F94" s="7"/>
      <c r="G94" s="7"/>
    </row>
    <row r="95" spans="1:7" ht="1.9" customHeight="1">
      <c r="A95" s="7"/>
      <c r="B95" s="7"/>
      <c r="C95" s="7"/>
      <c r="D95" s="7"/>
      <c r="E95" s="7"/>
      <c r="F95" s="7"/>
      <c r="G95" s="7"/>
    </row>
    <row r="96" spans="1:7" ht="1.9" customHeight="1">
      <c r="A96" s="7"/>
      <c r="B96" s="7"/>
      <c r="C96" s="7"/>
      <c r="D96" s="7"/>
      <c r="E96" s="7"/>
      <c r="F96" s="7"/>
      <c r="G96" s="7"/>
    </row>
    <row r="97" spans="1:7" ht="1.9" customHeight="1">
      <c r="A97" s="7"/>
      <c r="B97" s="7"/>
      <c r="C97" s="7"/>
      <c r="D97" s="7"/>
      <c r="E97" s="7"/>
      <c r="F97" s="7"/>
      <c r="G97" s="7"/>
    </row>
    <row r="98" spans="1:7" ht="1.9" customHeight="1">
      <c r="A98" s="7"/>
      <c r="B98" s="7"/>
      <c r="C98" s="7"/>
      <c r="D98" s="7"/>
      <c r="E98" s="7"/>
      <c r="F98" s="7"/>
      <c r="G98" s="7"/>
    </row>
    <row r="99" spans="1:7" ht="1.9" customHeight="1">
      <c r="A99" s="7"/>
      <c r="B99" s="7"/>
      <c r="C99" s="7"/>
      <c r="D99" s="7"/>
      <c r="E99" s="7"/>
      <c r="F99" s="7"/>
      <c r="G99" s="7"/>
    </row>
    <row r="100" spans="1:7" ht="1.9" customHeight="1">
      <c r="A100" s="7"/>
      <c r="B100" s="7"/>
      <c r="C100" s="7"/>
      <c r="D100" s="7"/>
      <c r="E100" s="7"/>
      <c r="F100" s="7"/>
      <c r="G100" s="7"/>
    </row>
  </sheetData>
  <mergeCells count="7">
    <mergeCell ref="A1:G1"/>
    <mergeCell ref="A27:G27"/>
    <mergeCell ref="A21:G21"/>
    <mergeCell ref="A49:G49"/>
    <mergeCell ref="A35:G35"/>
    <mergeCell ref="A11:G11"/>
    <mergeCell ref="A42:G42"/>
  </mergeCells>
  <conditionalFormatting sqref="E20:E30">
    <cfRule type="expression" dxfId="353" priority="1">
      <formula>ISNUMBER(SEARCH("Riesgo",E20))</formula>
    </cfRule>
    <cfRule type="expression" dxfId="352" priority="2">
      <formula>ISNUMBER(SEARCH("Crítico",E20))</formula>
    </cfRule>
    <cfRule type="expression" dxfId="351" priority="3">
      <formula>ISNUMBER(SEARCH("Pendiente",E20))</formula>
    </cfRule>
    <cfRule type="expression" dxfId="350" priority="4">
      <formula>ISNUMBER(SEARCH("En riesgo",E20))</formula>
    </cfRule>
    <cfRule type="expression" dxfId="349" priority="5">
      <formula>ISNUMBER(SEARCH("Atención",E20))</formula>
    </cfRule>
    <cfRule type="expression" dxfId="348" priority="6">
      <formula>ISNUMBER(SEARCH("En proceso",E20))</formula>
    </cfRule>
    <cfRule type="expression" dxfId="347" priority="7">
      <formula>ISNUMBER(SEARCH("Meta",E20))</formula>
    </cfRule>
    <cfRule type="expression" dxfId="346" priority="8">
      <formula>ISNUMBER(SEARCH("Cumple",E20))</formula>
    </cfRule>
    <cfRule type="expression" dxfId="345" priority="9">
      <formula>ISNUMBER(SEARCH("Cumplido",E20))</formula>
    </cfRule>
    <cfRule type="expression" dxfId="344" priority="10">
      <formula>ISNUMBER(SEARCH("Positivo",E20))</formula>
    </cfRule>
    <cfRule type="expression" dxfId="343" priority="11">
      <formula>ISNUMBER(SEARCH("Dominio",E20))</formula>
    </cfRule>
    <cfRule type="expression" dxfId="342" priority="12">
      <formula>ISNUMBER(SEARCH("Alto",E20))</formula>
    </cfRule>
    <cfRule type="expression" dxfId="341" priority="13">
      <formula>ISNUMBER(SEARCH("Superado",E20))</formula>
    </cfRule>
    <cfRule type="expression" dxfId="340" priority="14">
      <formula>ISNUMBER(SEARCH("Cuadrado",E20))</formula>
    </cfRule>
    <cfRule type="expression" dxfId="339" priority="15">
      <formula>ISNUMBER(SEARCH("Revisar",E20))</formula>
    </cfRule>
    <cfRule type="expression" dxfId="338" priority="16">
      <formula>ISNUMBER(SEARCH("Vacío",E20))</formula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BFBFBF"/>
  </sheetPr>
  <dimension ref="A1:K80"/>
  <sheetViews>
    <sheetView showGridLines="0" workbookViewId="0"/>
  </sheetViews>
  <sheetFormatPr baseColWidth="10" defaultColWidth="8.7265625" defaultRowHeight="14.5"/>
  <cols>
    <col min="1" max="1" width="14" customWidth="1"/>
    <col min="2" max="2" width="18" customWidth="1"/>
    <col min="3" max="3" width="24" customWidth="1"/>
    <col min="4" max="4" width="14" customWidth="1"/>
    <col min="5" max="5" width="18" customWidth="1"/>
    <col min="6" max="8" width="14" customWidth="1"/>
    <col min="9" max="9" width="56.36328125" customWidth="1"/>
    <col min="10" max="10" width="18" customWidth="1"/>
    <col min="11" max="11" width="22" customWidth="1"/>
  </cols>
  <sheetData>
    <row r="1" spans="1:11" ht="28" customHeight="1">
      <c r="A1" s="446" t="s">
        <v>3751</v>
      </c>
      <c r="B1" s="426"/>
      <c r="C1" s="426"/>
      <c r="D1" s="426"/>
      <c r="E1" s="426"/>
      <c r="F1" s="426"/>
      <c r="G1" s="173"/>
      <c r="H1" s="173"/>
      <c r="I1" s="173"/>
      <c r="J1" s="173"/>
      <c r="K1" s="173"/>
    </row>
    <row r="2" spans="1:11">
      <c r="A2" s="447" t="s">
        <v>1870</v>
      </c>
      <c r="B2" s="426"/>
      <c r="C2" s="426"/>
      <c r="D2" s="426"/>
      <c r="E2" s="426"/>
      <c r="F2" s="426"/>
      <c r="G2" s="426"/>
      <c r="H2" s="426"/>
      <c r="I2" s="426"/>
      <c r="J2" s="426"/>
      <c r="K2" s="174"/>
    </row>
    <row r="3" spans="1:11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</row>
    <row r="4" spans="1:11">
      <c r="A4" s="175" t="s">
        <v>1061</v>
      </c>
      <c r="B4" s="175" t="s">
        <v>1871</v>
      </c>
      <c r="C4" s="175" t="s">
        <v>1872</v>
      </c>
      <c r="D4" s="175" t="s">
        <v>1285</v>
      </c>
      <c r="E4" s="175" t="s">
        <v>1873</v>
      </c>
      <c r="F4" s="175" t="s">
        <v>1874</v>
      </c>
      <c r="G4" s="175" t="s">
        <v>1875</v>
      </c>
      <c r="H4" s="175" t="s">
        <v>655</v>
      </c>
      <c r="I4" s="175" t="s">
        <v>656</v>
      </c>
      <c r="J4" s="175" t="s">
        <v>1876</v>
      </c>
      <c r="K4" s="175" t="s">
        <v>696</v>
      </c>
    </row>
    <row r="5" spans="1:11" ht="29" customHeight="1">
      <c r="A5" s="132" t="s">
        <v>1197</v>
      </c>
      <c r="B5" s="171">
        <f>'15_Conciliacion'!B22</f>
        <v>90470</v>
      </c>
      <c r="C5" s="171"/>
      <c r="D5" s="171"/>
      <c r="E5" s="171">
        <f t="shared" ref="E5:E12" si="0">IFERROR(B5+C5-D5,"")</f>
        <v>90470</v>
      </c>
      <c r="F5" s="171">
        <f>0</f>
        <v>0</v>
      </c>
      <c r="G5" s="180">
        <f>0</f>
        <v>0</v>
      </c>
      <c r="H5" s="132" t="str">
        <f t="shared" ref="H5:H12" si="1">IF(E5="","Pendiente",IF(F5&gt;0,"🟢 Crece",IF(F5=0,"🟡 Estable","🔴 Baja")))</f>
        <v>🟡 Estable</v>
      </c>
      <c r="I5" s="132" t="s">
        <v>1877</v>
      </c>
      <c r="J5" s="132"/>
      <c r="K5" s="132"/>
    </row>
    <row r="6" spans="1:11" ht="29" customHeight="1">
      <c r="A6" s="132" t="s">
        <v>1188</v>
      </c>
      <c r="B6" s="171">
        <f>'10_Patrimonio_Financiero'!G5</f>
        <v>13858</v>
      </c>
      <c r="C6" s="171">
        <f>'10_Patrimonio_Financiero'!G6</f>
        <v>236224</v>
      </c>
      <c r="D6" s="171">
        <f>'10_Patrimonio_Financiero'!G8</f>
        <v>-653763</v>
      </c>
      <c r="E6" s="171">
        <f t="shared" si="0"/>
        <v>903845</v>
      </c>
      <c r="F6" s="171">
        <f t="shared" ref="F6:F12" si="2">IFERROR(E6-E5,"")</f>
        <v>813375</v>
      </c>
      <c r="G6" s="180">
        <f t="shared" ref="G6:G12" si="3">IFERROR(F6/ABS(E5),"")</f>
        <v>8.9905493533768102</v>
      </c>
      <c r="H6" s="132" t="str">
        <f t="shared" si="1"/>
        <v>🟢 Crece</v>
      </c>
      <c r="I6" s="132" t="s">
        <v>1878</v>
      </c>
      <c r="J6" s="132"/>
      <c r="K6" s="132"/>
    </row>
    <row r="7" spans="1:11">
      <c r="A7" s="132" t="s">
        <v>1208</v>
      </c>
      <c r="B7" s="171"/>
      <c r="C7" s="171"/>
      <c r="D7" s="171"/>
      <c r="E7" s="171">
        <f t="shared" si="0"/>
        <v>0</v>
      </c>
      <c r="F7" s="171">
        <f t="shared" si="2"/>
        <v>-903845</v>
      </c>
      <c r="G7" s="180">
        <f t="shared" si="3"/>
        <v>-1</v>
      </c>
      <c r="H7" s="132" t="str">
        <f t="shared" si="1"/>
        <v>🔴 Baja</v>
      </c>
      <c r="I7" s="132"/>
      <c r="J7" s="132"/>
      <c r="K7" s="132"/>
    </row>
    <row r="8" spans="1:11">
      <c r="A8" s="132" t="s">
        <v>1210</v>
      </c>
      <c r="B8" s="171"/>
      <c r="C8" s="171"/>
      <c r="D8" s="171"/>
      <c r="E8" s="171">
        <f t="shared" si="0"/>
        <v>0</v>
      </c>
      <c r="F8" s="171">
        <f t="shared" si="2"/>
        <v>0</v>
      </c>
      <c r="G8" s="180" t="str">
        <f t="shared" si="3"/>
        <v/>
      </c>
      <c r="H8" s="132" t="str">
        <f t="shared" si="1"/>
        <v>🟡 Estable</v>
      </c>
      <c r="I8" s="132"/>
      <c r="J8" s="132"/>
      <c r="K8" s="132"/>
    </row>
    <row r="9" spans="1:11">
      <c r="A9" s="132" t="s">
        <v>1212</v>
      </c>
      <c r="B9" s="171"/>
      <c r="C9" s="171"/>
      <c r="D9" s="171"/>
      <c r="E9" s="171">
        <f t="shared" si="0"/>
        <v>0</v>
      </c>
      <c r="F9" s="171">
        <f t="shared" si="2"/>
        <v>0</v>
      </c>
      <c r="G9" s="180" t="str">
        <f t="shared" si="3"/>
        <v/>
      </c>
      <c r="H9" s="132" t="str">
        <f t="shared" si="1"/>
        <v>🟡 Estable</v>
      </c>
      <c r="I9" s="132"/>
      <c r="J9" s="132"/>
      <c r="K9" s="132"/>
    </row>
    <row r="10" spans="1:11">
      <c r="A10" s="132" t="s">
        <v>1214</v>
      </c>
      <c r="B10" s="171"/>
      <c r="C10" s="171"/>
      <c r="D10" s="171"/>
      <c r="E10" s="171">
        <f t="shared" si="0"/>
        <v>0</v>
      </c>
      <c r="F10" s="171">
        <f t="shared" si="2"/>
        <v>0</v>
      </c>
      <c r="G10" s="180" t="str">
        <f t="shared" si="3"/>
        <v/>
      </c>
      <c r="H10" s="132" t="str">
        <f t="shared" si="1"/>
        <v>🟡 Estable</v>
      </c>
      <c r="I10" s="132"/>
      <c r="J10" s="132"/>
      <c r="K10" s="132"/>
    </row>
    <row r="11" spans="1:11">
      <c r="A11" s="132" t="s">
        <v>1215</v>
      </c>
      <c r="B11" s="171"/>
      <c r="C11" s="171"/>
      <c r="D11" s="171"/>
      <c r="E11" s="171">
        <f t="shared" si="0"/>
        <v>0</v>
      </c>
      <c r="F11" s="171">
        <f t="shared" si="2"/>
        <v>0</v>
      </c>
      <c r="G11" s="180" t="str">
        <f t="shared" si="3"/>
        <v/>
      </c>
      <c r="H11" s="132" t="str">
        <f t="shared" si="1"/>
        <v>🟡 Estable</v>
      </c>
      <c r="I11" s="132"/>
      <c r="J11" s="132"/>
      <c r="K11" s="132"/>
    </row>
    <row r="12" spans="1:11">
      <c r="A12" s="132" t="s">
        <v>1217</v>
      </c>
      <c r="B12" s="171"/>
      <c r="C12" s="171"/>
      <c r="D12" s="171"/>
      <c r="E12" s="171">
        <f t="shared" si="0"/>
        <v>0</v>
      </c>
      <c r="F12" s="171">
        <f t="shared" si="2"/>
        <v>0</v>
      </c>
      <c r="G12" s="180" t="str">
        <f t="shared" si="3"/>
        <v/>
      </c>
      <c r="H12" s="132" t="str">
        <f t="shared" si="1"/>
        <v>🟡 Estable</v>
      </c>
      <c r="I12" s="132"/>
      <c r="J12" s="132"/>
      <c r="K12" s="132"/>
    </row>
    <row r="13" spans="1:11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</row>
    <row r="14" spans="1:11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</row>
    <row r="15" spans="1:11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</row>
    <row r="16" spans="1:11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</row>
    <row r="17" spans="1:11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</row>
    <row r="18" spans="1:11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</row>
    <row r="19" spans="1:11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</row>
    <row r="20" spans="1:11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</row>
    <row r="21" spans="1:11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</row>
    <row r="22" spans="1:11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</row>
    <row r="23" spans="1:11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</row>
    <row r="24" spans="1:11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</row>
    <row r="25" spans="1:11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</row>
    <row r="26" spans="1:11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</row>
    <row r="27" spans="1:11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</row>
    <row r="28" spans="1:11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</row>
    <row r="29" spans="1:11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</row>
    <row r="30" spans="1:11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</row>
    <row r="31" spans="1:1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</row>
    <row r="32" spans="1:11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</row>
    <row r="33" spans="1:11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</row>
    <row r="34" spans="1:11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</row>
    <row r="35" spans="1:1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</row>
    <row r="36" spans="1:11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</row>
    <row r="37" spans="1:11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</row>
    <row r="38" spans="1:1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</row>
    <row r="39" spans="1:1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</row>
    <row r="40" spans="1:1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</row>
    <row r="41" spans="1:1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</row>
    <row r="42" spans="1:1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</row>
    <row r="43" spans="1:11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</row>
    <row r="44" spans="1:11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</row>
    <row r="45" spans="1:1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</row>
    <row r="46" spans="1:1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</row>
    <row r="47" spans="1:1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</row>
    <row r="48" spans="1:1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</row>
    <row r="49" spans="1:1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</row>
    <row r="50" spans="1:1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</row>
    <row r="51" spans="1:1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</row>
    <row r="52" spans="1:1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</row>
    <row r="53" spans="1:11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</row>
    <row r="54" spans="1:11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</row>
    <row r="55" spans="1:1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</row>
    <row r="56" spans="1:1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</row>
    <row r="57" spans="1:1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</row>
    <row r="58" spans="1:1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</row>
    <row r="59" spans="1:1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</row>
    <row r="60" spans="1:1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</row>
    <row r="61" spans="1:1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</row>
    <row r="62" spans="1:1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</row>
    <row r="63" spans="1:1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</row>
    <row r="64" spans="1:1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</row>
    <row r="65" spans="1:1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</row>
    <row r="66" spans="1:1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</row>
    <row r="67" spans="1:1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</row>
    <row r="68" spans="1:1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</row>
    <row r="69" spans="1:1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spans="1:1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spans="1:1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spans="1:1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</row>
    <row r="73" spans="1:1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</row>
    <row r="74" spans="1:1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</row>
    <row r="75" spans="1:1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</row>
    <row r="76" spans="1:1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</row>
    <row r="77" spans="1:1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</row>
    <row r="78" spans="1:1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</row>
    <row r="79" spans="1:1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</row>
    <row r="80" spans="1:1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</row>
  </sheetData>
  <mergeCells count="2">
    <mergeCell ref="A1:F1"/>
    <mergeCell ref="A2:J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BFBFBF"/>
  </sheetPr>
  <dimension ref="A1:Y204"/>
  <sheetViews>
    <sheetView showGridLines="0" workbookViewId="0"/>
  </sheetViews>
  <sheetFormatPr baseColWidth="10" defaultColWidth="14.453125" defaultRowHeight="14.5"/>
  <cols>
    <col min="1" max="1" width="10.08984375" customWidth="1"/>
    <col min="2" max="2" width="21.08984375" customWidth="1"/>
    <col min="3" max="3" width="11.453125" customWidth="1"/>
    <col min="4" max="5" width="7.36328125" customWidth="1"/>
    <col min="6" max="6" width="10.90625" customWidth="1"/>
    <col min="7" max="7" width="15.7265625" customWidth="1"/>
    <col min="8" max="8" width="10.1796875" customWidth="1"/>
    <col min="9" max="9" width="10.7265625" customWidth="1"/>
    <col min="10" max="10" width="13.36328125" customWidth="1"/>
    <col min="11" max="11" width="42.26953125" customWidth="1"/>
    <col min="12" max="12" width="13.36328125" customWidth="1"/>
    <col min="13" max="13" width="23.1796875" customWidth="1"/>
    <col min="14" max="14" width="8.36328125" customWidth="1"/>
    <col min="15" max="15" width="16.90625" customWidth="1"/>
    <col min="16" max="16" width="10.1796875" customWidth="1"/>
    <col min="17" max="17" width="9.54296875" customWidth="1"/>
    <col min="18" max="18" width="14.26953125" customWidth="1"/>
    <col min="19" max="19" width="13.08984375" customWidth="1"/>
    <col min="20" max="20" width="12.26953125" customWidth="1"/>
    <col min="21" max="21" width="3" customWidth="1"/>
    <col min="22" max="22" width="21.08984375" customWidth="1"/>
    <col min="23" max="23" width="13.08984375" customWidth="1"/>
    <col min="24" max="24" width="7.90625" customWidth="1"/>
    <col min="25" max="25" width="13.36328125" customWidth="1"/>
  </cols>
  <sheetData>
    <row r="1" spans="1:25" ht="19" customHeight="1">
      <c r="A1" s="526" t="s">
        <v>3752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"/>
      <c r="N1" s="4"/>
    </row>
    <row r="2" spans="1:25">
      <c r="A2" s="435" t="s">
        <v>3753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"/>
      <c r="N2" s="4"/>
    </row>
    <row r="3" spans="1:25" ht="1.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5" ht="29" customHeight="1">
      <c r="A4" s="5" t="s">
        <v>13</v>
      </c>
      <c r="B4" s="5" t="s">
        <v>79</v>
      </c>
      <c r="C4" s="5" t="s">
        <v>1423</v>
      </c>
      <c r="D4" s="5" t="s">
        <v>1647</v>
      </c>
      <c r="E4" s="5" t="s">
        <v>1651</v>
      </c>
      <c r="F4" s="5" t="s">
        <v>3754</v>
      </c>
      <c r="G4" s="5" t="s">
        <v>3755</v>
      </c>
      <c r="H4" s="5" t="s">
        <v>1874</v>
      </c>
      <c r="I4" s="5" t="s">
        <v>1875</v>
      </c>
      <c r="J4" s="5" t="s">
        <v>3756</v>
      </c>
      <c r="K4" s="5" t="s">
        <v>656</v>
      </c>
      <c r="L4" s="4"/>
      <c r="M4" s="22" t="s">
        <v>3757</v>
      </c>
      <c r="N4" s="4" t="s">
        <v>1402</v>
      </c>
      <c r="O4" t="s">
        <v>3758</v>
      </c>
      <c r="P4" t="s">
        <v>3759</v>
      </c>
      <c r="Q4" t="s">
        <v>3760</v>
      </c>
      <c r="R4" t="s">
        <v>3761</v>
      </c>
      <c r="S4" t="s">
        <v>3762</v>
      </c>
      <c r="T4" t="s">
        <v>3763</v>
      </c>
      <c r="V4" t="s">
        <v>79</v>
      </c>
      <c r="W4" t="s">
        <v>3762</v>
      </c>
      <c r="X4" t="s">
        <v>1395</v>
      </c>
      <c r="Y4" t="s">
        <v>3756</v>
      </c>
    </row>
    <row r="5" spans="1:25" ht="29" customHeight="1">
      <c r="A5" s="23">
        <v>46148</v>
      </c>
      <c r="B5" s="47" t="s">
        <v>1633</v>
      </c>
      <c r="C5" s="6" t="s">
        <v>1647</v>
      </c>
      <c r="D5" s="48">
        <v>20</v>
      </c>
      <c r="E5" s="19"/>
      <c r="F5" s="49">
        <v>69.67</v>
      </c>
      <c r="G5" s="50">
        <v>66.86</v>
      </c>
      <c r="H5" s="19">
        <f t="shared" ref="H5:H36" si="0">IF(OR(G5="",F5=""),"",G5-F5+IF(E5="",0,E5)-IF(D5="",0,D5))</f>
        <v>-22.810000000000002</v>
      </c>
      <c r="I5" s="29">
        <f t="shared" ref="I5:I36" si="1">IFERROR(H5/MAX(1,F5+IF(D5="",0,D5)-IF(E5="",0,E5)),"")</f>
        <v>-0.25437716070034572</v>
      </c>
      <c r="J5" s="47" t="s">
        <v>1636</v>
      </c>
      <c r="K5" s="47" t="s">
        <v>3764</v>
      </c>
      <c r="L5" s="4"/>
      <c r="M5" s="4" t="s">
        <v>3765</v>
      </c>
      <c r="N5" s="24">
        <f>'10_Apertura'!$E$19</f>
        <v>101115.5</v>
      </c>
      <c r="O5" t="str">
        <f t="shared" ref="O5:O36" si="2">IF(OR(B5="TQQQ",B5="SOXX"),"USD","CLP")</f>
        <v>USD</v>
      </c>
      <c r="P5" s="65">
        <f>IF(D5="","",IF(O5="USD",D5*'10_Apertura'!$C$12,D5))</f>
        <v>19000</v>
      </c>
      <c r="Q5" s="65" t="str">
        <f>IF(E5="","",IF(O5="USD",E5*'10_Apertura'!$C$12,E5))</f>
        <v/>
      </c>
      <c r="R5" s="65">
        <f>IF(F5="","",IF(O5="USD",F5*'10_Apertura'!$C$12,F5))</f>
        <v>66186.5</v>
      </c>
      <c r="S5" s="65">
        <f>IF(G5="","",IF(O5="USD",G5*'10_Apertura'!$C$12,G5))</f>
        <v>63517</v>
      </c>
      <c r="T5" s="65">
        <f t="shared" ref="T5:T36" si="3">IF(OR(S5="",R5=""),"",S5-R5+IF(Q5="",0,Q5)-IF(P5="",0,P5))</f>
        <v>-21669.5</v>
      </c>
      <c r="V5" t="str">
        <f t="shared" ref="V5:V11" si="4">B5</f>
        <v>TQQQ</v>
      </c>
      <c r="W5" s="63">
        <f t="shared" ref="W5:W10" si="5">S5</f>
        <v>63517</v>
      </c>
      <c r="X5" t="str">
        <f t="shared" ref="X5:X10" si="6">O5</f>
        <v>USD</v>
      </c>
      <c r="Y5" t="str">
        <f t="shared" ref="Y5:Y15" si="7">J5</f>
        <v>Racional</v>
      </c>
    </row>
    <row r="6" spans="1:25" ht="29" customHeight="1">
      <c r="A6" s="23">
        <v>46148</v>
      </c>
      <c r="B6" s="47" t="s">
        <v>1642</v>
      </c>
      <c r="C6" s="6" t="s">
        <v>1647</v>
      </c>
      <c r="D6" s="48">
        <v>30</v>
      </c>
      <c r="E6" s="19"/>
      <c r="F6" s="50">
        <v>499.56</v>
      </c>
      <c r="G6" s="50">
        <v>41.27</v>
      </c>
      <c r="H6" s="19">
        <f t="shared" si="0"/>
        <v>-488.29</v>
      </c>
      <c r="I6" s="29">
        <f t="shared" si="1"/>
        <v>-0.92206737669008243</v>
      </c>
      <c r="J6" s="47" t="s">
        <v>1636</v>
      </c>
      <c r="K6" s="47" t="s">
        <v>3766</v>
      </c>
      <c r="L6" s="4"/>
      <c r="M6" s="4" t="s">
        <v>3767</v>
      </c>
      <c r="N6" s="24">
        <f>SUM(P5:P204)</f>
        <v>173500</v>
      </c>
      <c r="O6" t="str">
        <f t="shared" si="2"/>
        <v>USD</v>
      </c>
      <c r="P6" s="65">
        <f>IF(D6="","",IF(O6="USD",D6*'10_Apertura'!$C$12,D6))</f>
        <v>28500</v>
      </c>
      <c r="Q6" s="65" t="str">
        <f>IF(E6="","",IF(O6="USD",E6*'10_Apertura'!$C$12,E6))</f>
        <v/>
      </c>
      <c r="R6" s="65">
        <f>IF(F6="","",IF(O6="USD",F6*'10_Apertura'!$C$12,F6))</f>
        <v>474582</v>
      </c>
      <c r="S6" s="65">
        <f>IF(G6="","",IF(O6="USD",G6*'10_Apertura'!$C$12,G6))</f>
        <v>39206.5</v>
      </c>
      <c r="T6" s="65">
        <f t="shared" si="3"/>
        <v>-463875.5</v>
      </c>
      <c r="V6" t="str">
        <f t="shared" si="4"/>
        <v>SOXX</v>
      </c>
      <c r="W6" s="63">
        <f t="shared" si="5"/>
        <v>39206.5</v>
      </c>
      <c r="X6" t="str">
        <f t="shared" si="6"/>
        <v>USD</v>
      </c>
      <c r="Y6" t="str">
        <f t="shared" si="7"/>
        <v>Racional</v>
      </c>
    </row>
    <row r="7" spans="1:25">
      <c r="A7" s="23">
        <v>46147</v>
      </c>
      <c r="B7" s="47" t="s">
        <v>353</v>
      </c>
      <c r="C7" s="6" t="s">
        <v>1647</v>
      </c>
      <c r="D7" s="19">
        <v>40000</v>
      </c>
      <c r="E7" s="19"/>
      <c r="F7" s="50">
        <v>40000</v>
      </c>
      <c r="G7" s="50">
        <v>40000</v>
      </c>
      <c r="H7" s="19">
        <f t="shared" si="0"/>
        <v>-40000</v>
      </c>
      <c r="I7" s="29">
        <f t="shared" si="1"/>
        <v>-0.5</v>
      </c>
      <c r="J7" s="47" t="s">
        <v>3768</v>
      </c>
      <c r="K7" s="47" t="s">
        <v>3769</v>
      </c>
      <c r="L7" s="4"/>
      <c r="M7" s="4" t="s">
        <v>3770</v>
      </c>
      <c r="N7" s="24">
        <f>SUM(Q5:Q204)</f>
        <v>60000</v>
      </c>
      <c r="O7" t="str">
        <f t="shared" si="2"/>
        <v>CLP</v>
      </c>
      <c r="P7" s="65">
        <f>IF(D7="","",IF(O7="USD",D7*'10_Apertura'!$C$12,D7))</f>
        <v>40000</v>
      </c>
      <c r="Q7" s="65" t="str">
        <f>IF(E7="","",IF(O7="USD",E7*'10_Apertura'!$C$12,E7))</f>
        <v/>
      </c>
      <c r="R7" s="65">
        <f>IF(F7="","",IF(O7="USD",F7*'10_Apertura'!$C$12,F7))</f>
        <v>40000</v>
      </c>
      <c r="S7" s="65">
        <f>IF(G7="","",IF(O7="USD",G7*'10_Apertura'!$C$12,G7))</f>
        <v>40000</v>
      </c>
      <c r="T7" s="65">
        <f t="shared" si="3"/>
        <v>-40000</v>
      </c>
      <c r="V7" t="str">
        <f t="shared" si="4"/>
        <v>Caja</v>
      </c>
      <c r="W7" s="63">
        <f t="shared" si="5"/>
        <v>40000</v>
      </c>
      <c r="X7" t="str">
        <f t="shared" si="6"/>
        <v>CLP</v>
      </c>
      <c r="Y7" t="str">
        <f t="shared" si="7"/>
        <v>Cuenta banco</v>
      </c>
    </row>
    <row r="8" spans="1:25">
      <c r="A8" s="23">
        <v>46148</v>
      </c>
      <c r="B8" s="51" t="s">
        <v>1646</v>
      </c>
      <c r="C8" s="6" t="s">
        <v>1647</v>
      </c>
      <c r="D8" s="19">
        <v>8000</v>
      </c>
      <c r="E8" s="19"/>
      <c r="F8" s="19">
        <v>42403</v>
      </c>
      <c r="G8" s="19">
        <v>50403</v>
      </c>
      <c r="H8" s="19">
        <f t="shared" si="0"/>
        <v>0</v>
      </c>
      <c r="I8" s="29">
        <f t="shared" si="1"/>
        <v>0</v>
      </c>
      <c r="J8" s="51" t="s">
        <v>1636</v>
      </c>
      <c r="K8" s="51" t="s">
        <v>3771</v>
      </c>
      <c r="L8" s="4"/>
      <c r="M8" s="4" t="s">
        <v>3698</v>
      </c>
      <c r="N8" s="24">
        <f>SUM(S5:S204)</f>
        <v>278738.5</v>
      </c>
      <c r="O8" t="str">
        <f t="shared" si="2"/>
        <v>CLP</v>
      </c>
      <c r="P8" s="65">
        <f>IF(D8="","",IF(O8="USD",D8*'10_Apertura'!$C$12,D8))</f>
        <v>8000</v>
      </c>
      <c r="Q8" s="65" t="str">
        <f>IF(E8="","",IF(O8="USD",E8*'10_Apertura'!$C$12,E8))</f>
        <v/>
      </c>
      <c r="R8" s="65">
        <f>IF(F8="","",IF(O8="USD",F8*'10_Apertura'!$C$12,F8))</f>
        <v>42403</v>
      </c>
      <c r="S8" s="65">
        <f>IF(G8="","",IF(O8="USD",G8*'10_Apertura'!$C$12,G8))</f>
        <v>50403</v>
      </c>
      <c r="T8" s="65">
        <f t="shared" si="3"/>
        <v>0</v>
      </c>
      <c r="V8" t="str">
        <f t="shared" si="4"/>
        <v>Inversiones generales 2</v>
      </c>
      <c r="W8" s="63">
        <f t="shared" si="5"/>
        <v>50403</v>
      </c>
      <c r="X8" t="str">
        <f t="shared" si="6"/>
        <v>CLP</v>
      </c>
      <c r="Y8" t="str">
        <f t="shared" si="7"/>
        <v>Racional</v>
      </c>
    </row>
    <row r="9" spans="1:25">
      <c r="A9" s="23">
        <v>46148</v>
      </c>
      <c r="B9" s="51" t="s">
        <v>1656</v>
      </c>
      <c r="C9" s="6" t="s">
        <v>1651</v>
      </c>
      <c r="D9" s="19"/>
      <c r="E9" s="19">
        <v>20000</v>
      </c>
      <c r="F9" s="19">
        <v>26000</v>
      </c>
      <c r="G9" s="19">
        <v>6000</v>
      </c>
      <c r="H9" s="19">
        <f t="shared" si="0"/>
        <v>0</v>
      </c>
      <c r="I9" s="29">
        <f t="shared" si="1"/>
        <v>0</v>
      </c>
      <c r="J9" s="51" t="s">
        <v>1657</v>
      </c>
      <c r="K9" s="51" t="s">
        <v>3772</v>
      </c>
      <c r="L9" s="4"/>
      <c r="M9" s="4" t="s">
        <v>3773</v>
      </c>
      <c r="N9" s="24">
        <f>N8-N5</f>
        <v>177623</v>
      </c>
      <c r="O9" t="str">
        <f t="shared" si="2"/>
        <v>CLP</v>
      </c>
      <c r="P9" s="65" t="str">
        <f>IF(D9="","",IF(O9="USD",D9*'10_Apertura'!$C$12,D9))</f>
        <v/>
      </c>
      <c r="Q9" s="65">
        <f>IF(E9="","",IF(O9="USD",E9*'10_Apertura'!$C$12,E9))</f>
        <v>20000</v>
      </c>
      <c r="R9" s="65">
        <f>IF(F9="","",IF(O9="USD",F9*'10_Apertura'!$C$12,F9))</f>
        <v>26000</v>
      </c>
      <c r="S9" s="65">
        <f>IF(G9="","",IF(O9="USD",G9*'10_Apertura'!$C$12,G9))</f>
        <v>6000</v>
      </c>
      <c r="T9" s="65">
        <f t="shared" si="3"/>
        <v>0</v>
      </c>
      <c r="V9" t="str">
        <f t="shared" si="4"/>
        <v>APV banco estado</v>
      </c>
      <c r="W9" s="63">
        <f t="shared" si="5"/>
        <v>6000</v>
      </c>
      <c r="X9" t="str">
        <f t="shared" si="6"/>
        <v>CLP</v>
      </c>
      <c r="Y9" t="str">
        <f t="shared" si="7"/>
        <v>Banco Estado</v>
      </c>
    </row>
    <row r="10" spans="1:25" ht="29" customHeight="1">
      <c r="A10" s="23">
        <v>46148</v>
      </c>
      <c r="B10" s="51" t="s">
        <v>1656</v>
      </c>
      <c r="C10" s="6" t="s">
        <v>1647</v>
      </c>
      <c r="D10" s="19">
        <v>10000</v>
      </c>
      <c r="E10" s="19"/>
      <c r="F10" s="19">
        <v>16000</v>
      </c>
      <c r="G10" s="19">
        <v>26000</v>
      </c>
      <c r="H10" s="19">
        <f t="shared" si="0"/>
        <v>0</v>
      </c>
      <c r="I10" s="29">
        <f t="shared" si="1"/>
        <v>0</v>
      </c>
      <c r="J10" s="51" t="s">
        <v>1657</v>
      </c>
      <c r="K10" s="51" t="s">
        <v>3774</v>
      </c>
      <c r="L10" s="4"/>
      <c r="M10" s="4" t="s">
        <v>3775</v>
      </c>
      <c r="N10" s="25">
        <f>IFERROR(N9/N5,0)</f>
        <v>1.7566347394810884</v>
      </c>
      <c r="O10" t="str">
        <f t="shared" si="2"/>
        <v>CLP</v>
      </c>
      <c r="P10" s="65">
        <f>IF(D10="","",IF(O10="USD",D10*'10_Apertura'!$C$12,D10))</f>
        <v>10000</v>
      </c>
      <c r="Q10" s="65" t="str">
        <f>IF(E10="","",IF(O10="USD",E10*'10_Apertura'!$C$12,E10))</f>
        <v/>
      </c>
      <c r="R10" s="65">
        <f>IF(F10="","",IF(O10="USD",F10*'10_Apertura'!$C$12,F10))</f>
        <v>16000</v>
      </c>
      <c r="S10" s="65">
        <f>IF(G10="","",IF(O10="USD",G10*'10_Apertura'!$C$12,G10))</f>
        <v>26000</v>
      </c>
      <c r="T10" s="65">
        <f t="shared" si="3"/>
        <v>0</v>
      </c>
      <c r="V10" t="str">
        <f t="shared" si="4"/>
        <v>APV banco estado</v>
      </c>
      <c r="W10" s="63">
        <f t="shared" si="5"/>
        <v>26000</v>
      </c>
      <c r="X10" t="str">
        <f t="shared" si="6"/>
        <v>CLP</v>
      </c>
      <c r="Y10" t="str">
        <f t="shared" si="7"/>
        <v>Banco Estado</v>
      </c>
    </row>
    <row r="11" spans="1:25">
      <c r="A11" s="23">
        <v>46154</v>
      </c>
      <c r="B11" s="66" t="s">
        <v>1646</v>
      </c>
      <c r="C11" s="6" t="s">
        <v>1649</v>
      </c>
      <c r="D11" s="19">
        <v>30000</v>
      </c>
      <c r="E11" s="19"/>
      <c r="F11" s="19">
        <v>30000</v>
      </c>
      <c r="G11" s="19"/>
      <c r="H11" s="19" t="str">
        <f t="shared" si="0"/>
        <v/>
      </c>
      <c r="I11" s="29" t="str">
        <f t="shared" si="1"/>
        <v/>
      </c>
      <c r="J11" s="66" t="s">
        <v>1636</v>
      </c>
      <c r="K11" s="66" t="s">
        <v>1654</v>
      </c>
      <c r="L11" s="4"/>
      <c r="M11" s="4"/>
      <c r="N11" s="4"/>
      <c r="O11" t="str">
        <f t="shared" si="2"/>
        <v>CLP</v>
      </c>
      <c r="P11">
        <f>IF(D11="","",IF(O11="USD",D11*'10_Apertura'!$C$12,D11))</f>
        <v>30000</v>
      </c>
      <c r="Q11" t="str">
        <f>IF(E11="","",IF(O11="USD",E11*'10_Apertura'!$C$12,E11))</f>
        <v/>
      </c>
      <c r="R11">
        <f>IF(F11="","",IF(O11="USD",F11*'10_Apertura'!$C$12,F11))</f>
        <v>30000</v>
      </c>
      <c r="S11" t="str">
        <f>IF(G11="","",IF(O11="USD",G11*'10_Apertura'!$C$12,G11))</f>
        <v/>
      </c>
      <c r="T11" t="str">
        <f t="shared" si="3"/>
        <v/>
      </c>
      <c r="V11" s="62" t="str">
        <f t="shared" si="4"/>
        <v>Inversiones generales 2</v>
      </c>
      <c r="Y11" s="62" t="str">
        <f t="shared" si="7"/>
        <v>Racional</v>
      </c>
    </row>
    <row r="12" spans="1:25">
      <c r="A12" s="23">
        <v>46154</v>
      </c>
      <c r="B12" s="66" t="s">
        <v>1646</v>
      </c>
      <c r="C12" s="6" t="s">
        <v>1651</v>
      </c>
      <c r="D12" s="19"/>
      <c r="E12" s="19">
        <v>20000</v>
      </c>
      <c r="F12" s="19">
        <v>20000</v>
      </c>
      <c r="G12" s="19"/>
      <c r="H12" s="19" t="str">
        <f t="shared" si="0"/>
        <v/>
      </c>
      <c r="I12" s="29" t="str">
        <f t="shared" si="1"/>
        <v/>
      </c>
      <c r="J12" s="66" t="s">
        <v>1636</v>
      </c>
      <c r="K12" s="66" t="s">
        <v>1635</v>
      </c>
      <c r="L12" s="4"/>
      <c r="M12" s="4"/>
      <c r="N12" s="4"/>
      <c r="O12" t="str">
        <f t="shared" si="2"/>
        <v>CLP</v>
      </c>
      <c r="P12" t="str">
        <f>IF(D12="","",IF(O12="USD",D12*'10_Apertura'!$C$12,D12))</f>
        <v/>
      </c>
      <c r="Q12">
        <f>IF(E12="","",IF(O12="USD",E12*'10_Apertura'!$C$12,E12))</f>
        <v>20000</v>
      </c>
      <c r="R12">
        <f>IF(F12="","",IF(O12="USD",F12*'10_Apertura'!$C$12,F12))</f>
        <v>20000</v>
      </c>
      <c r="S12" t="str">
        <f>IF(G12="","",IF(O12="USD",G12*'10_Apertura'!$C$12,G12))</f>
        <v/>
      </c>
      <c r="T12" t="str">
        <f t="shared" si="3"/>
        <v/>
      </c>
      <c r="Y12" s="62" t="str">
        <f t="shared" si="7"/>
        <v>Racional</v>
      </c>
    </row>
    <row r="13" spans="1:25">
      <c r="A13" s="23">
        <v>46157</v>
      </c>
      <c r="B13" s="66" t="s">
        <v>1646</v>
      </c>
      <c r="C13" s="6" t="s">
        <v>1651</v>
      </c>
      <c r="D13" s="19"/>
      <c r="E13" s="19">
        <v>20000</v>
      </c>
      <c r="F13" s="19">
        <v>20000</v>
      </c>
      <c r="G13" s="19">
        <v>15612</v>
      </c>
      <c r="H13" s="19">
        <f t="shared" si="0"/>
        <v>15612</v>
      </c>
      <c r="I13" s="29">
        <f t="shared" si="1"/>
        <v>15612</v>
      </c>
      <c r="J13" s="66" t="s">
        <v>1636</v>
      </c>
      <c r="K13" s="66" t="s">
        <v>3776</v>
      </c>
      <c r="L13" s="4"/>
      <c r="M13" s="4"/>
      <c r="N13" s="4"/>
      <c r="O13" t="str">
        <f t="shared" si="2"/>
        <v>CLP</v>
      </c>
      <c r="P13" t="str">
        <f>IF(D13="","",IF(O13="USD",D13*'10_Apertura'!$C$12,D13))</f>
        <v/>
      </c>
      <c r="Q13">
        <f>IF(E13="","",IF(O13="USD",E13*'10_Apertura'!$C$12,E13))</f>
        <v>20000</v>
      </c>
      <c r="R13">
        <f>IF(F13="","",IF(O13="USD",F13*'10_Apertura'!$C$12,F13))</f>
        <v>20000</v>
      </c>
      <c r="S13">
        <f>IF(G13="","",IF(O13="USD",G13*'10_Apertura'!$C$12,G13))</f>
        <v>15612</v>
      </c>
      <c r="T13">
        <f t="shared" si="3"/>
        <v>15612</v>
      </c>
      <c r="Y13" s="62" t="str">
        <f t="shared" si="7"/>
        <v>Racional</v>
      </c>
    </row>
    <row r="14" spans="1:25">
      <c r="A14" s="23">
        <v>46157</v>
      </c>
      <c r="B14" s="66" t="s">
        <v>1654</v>
      </c>
      <c r="C14" s="6" t="s">
        <v>1647</v>
      </c>
      <c r="D14" s="19">
        <v>20000</v>
      </c>
      <c r="E14" s="19"/>
      <c r="F14" s="19">
        <v>20000</v>
      </c>
      <c r="G14" s="19">
        <v>20000</v>
      </c>
      <c r="H14" s="19">
        <f t="shared" si="0"/>
        <v>-20000</v>
      </c>
      <c r="I14" s="29">
        <f t="shared" si="1"/>
        <v>-0.5</v>
      </c>
      <c r="J14" s="66" t="s">
        <v>1636</v>
      </c>
      <c r="K14" s="66" t="s">
        <v>3777</v>
      </c>
      <c r="L14" s="4"/>
      <c r="M14" s="4"/>
      <c r="N14" s="4"/>
      <c r="O14" t="str">
        <f t="shared" si="2"/>
        <v>CLP</v>
      </c>
      <c r="P14">
        <f>IF(D14="","",IF(O14="USD",D14*'10_Apertura'!$C$12,D14))</f>
        <v>20000</v>
      </c>
      <c r="Q14" t="str">
        <f>IF(E14="","",IF(O14="USD",E14*'10_Apertura'!$C$12,E14))</f>
        <v/>
      </c>
      <c r="R14">
        <f>IF(F14="","",IF(O14="USD",F14*'10_Apertura'!$C$12,F14))</f>
        <v>20000</v>
      </c>
      <c r="S14">
        <f>IF(G14="","",IF(O14="USD",G14*'10_Apertura'!$C$12,G14))</f>
        <v>20000</v>
      </c>
      <c r="T14">
        <f t="shared" si="3"/>
        <v>-20000</v>
      </c>
      <c r="Y14" s="62" t="str">
        <f t="shared" si="7"/>
        <v>Racional</v>
      </c>
    </row>
    <row r="15" spans="1:25">
      <c r="A15" s="23">
        <v>46157</v>
      </c>
      <c r="B15" s="66" t="s">
        <v>1646</v>
      </c>
      <c r="C15" s="6" t="s">
        <v>1647</v>
      </c>
      <c r="D15" s="19">
        <v>18000</v>
      </c>
      <c r="E15" s="19"/>
      <c r="F15" s="19">
        <v>18000</v>
      </c>
      <c r="G15" s="19">
        <v>18000</v>
      </c>
      <c r="H15" s="19">
        <f t="shared" si="0"/>
        <v>-18000</v>
      </c>
      <c r="I15" s="29">
        <f t="shared" si="1"/>
        <v>-0.5</v>
      </c>
      <c r="J15" s="66" t="s">
        <v>1636</v>
      </c>
      <c r="K15" s="66" t="s">
        <v>3778</v>
      </c>
      <c r="L15" s="4"/>
      <c r="M15" s="4"/>
      <c r="N15" s="4"/>
      <c r="O15" t="str">
        <f t="shared" si="2"/>
        <v>CLP</v>
      </c>
      <c r="P15">
        <f>IF(D15="","",IF(O15="USD",D15*'10_Apertura'!$C$12,D15))</f>
        <v>18000</v>
      </c>
      <c r="Q15" t="str">
        <f>IF(E15="","",IF(O15="USD",E15*'10_Apertura'!$C$12,E15))</f>
        <v/>
      </c>
      <c r="R15">
        <f>IF(F15="","",IF(O15="USD",F15*'10_Apertura'!$C$12,F15))</f>
        <v>18000</v>
      </c>
      <c r="S15">
        <f>IF(G15="","",IF(O15="USD",G15*'10_Apertura'!$C$12,G15))</f>
        <v>18000</v>
      </c>
      <c r="T15">
        <f t="shared" si="3"/>
        <v>-18000</v>
      </c>
      <c r="Y15" s="62" t="str">
        <f t="shared" si="7"/>
        <v>Racional</v>
      </c>
    </row>
    <row r="16" spans="1:25">
      <c r="A16" s="23"/>
      <c r="B16" s="6"/>
      <c r="C16" s="6"/>
      <c r="D16" s="19"/>
      <c r="E16" s="19"/>
      <c r="F16" s="19"/>
      <c r="G16" s="19"/>
      <c r="H16" s="19" t="str">
        <f t="shared" si="0"/>
        <v/>
      </c>
      <c r="I16" s="29" t="str">
        <f t="shared" si="1"/>
        <v/>
      </c>
      <c r="J16" s="6"/>
      <c r="K16" s="6"/>
      <c r="L16" s="4"/>
      <c r="M16" s="4"/>
      <c r="N16" s="4"/>
      <c r="O16" t="str">
        <f t="shared" si="2"/>
        <v>CLP</v>
      </c>
      <c r="P16" t="str">
        <f>IF(D16="","",IF(O16="USD",D16*'10_Apertura'!$C$12,D16))</f>
        <v/>
      </c>
      <c r="Q16" t="str">
        <f>IF(E16="","",IF(O16="USD",E16*'10_Apertura'!$C$12,E16))</f>
        <v/>
      </c>
      <c r="R16" t="str">
        <f>IF(F16="","",IF(O16="USD",F16*'10_Apertura'!$C$12,F16))</f>
        <v/>
      </c>
      <c r="S16" t="str">
        <f>IF(G16="","",IF(O16="USD",G16*'10_Apertura'!$C$12,G16))</f>
        <v/>
      </c>
      <c r="T16" t="str">
        <f t="shared" si="3"/>
        <v/>
      </c>
    </row>
    <row r="17" spans="1:20">
      <c r="A17" s="23"/>
      <c r="B17" s="6"/>
      <c r="C17" s="6"/>
      <c r="D17" s="19"/>
      <c r="E17" s="19"/>
      <c r="F17" s="19"/>
      <c r="G17" s="19"/>
      <c r="H17" s="19" t="str">
        <f t="shared" si="0"/>
        <v/>
      </c>
      <c r="I17" s="29" t="str">
        <f t="shared" si="1"/>
        <v/>
      </c>
      <c r="J17" s="6"/>
      <c r="K17" s="6"/>
      <c r="L17" s="4"/>
      <c r="M17" s="4"/>
      <c r="N17" s="4"/>
      <c r="O17" t="str">
        <f t="shared" si="2"/>
        <v>CLP</v>
      </c>
      <c r="P17" t="str">
        <f>IF(D17="","",IF(O17="USD",D17*'10_Apertura'!$C$12,D17))</f>
        <v/>
      </c>
      <c r="Q17" t="str">
        <f>IF(E17="","",IF(O17="USD",E17*'10_Apertura'!$C$12,E17))</f>
        <v/>
      </c>
      <c r="R17" t="str">
        <f>IF(F17="","",IF(O17="USD",F17*'10_Apertura'!$C$12,F17))</f>
        <v/>
      </c>
      <c r="S17" t="str">
        <f>IF(G17="","",IF(O17="USD",G17*'10_Apertura'!$C$12,G17))</f>
        <v/>
      </c>
      <c r="T17" t="str">
        <f t="shared" si="3"/>
        <v/>
      </c>
    </row>
    <row r="18" spans="1:20">
      <c r="A18" s="23"/>
      <c r="B18" s="6"/>
      <c r="C18" s="6"/>
      <c r="D18" s="19"/>
      <c r="E18" s="19"/>
      <c r="F18" s="19"/>
      <c r="G18" s="19"/>
      <c r="H18" s="19" t="str">
        <f t="shared" si="0"/>
        <v/>
      </c>
      <c r="I18" s="29" t="str">
        <f t="shared" si="1"/>
        <v/>
      </c>
      <c r="J18" s="6"/>
      <c r="K18" s="6"/>
      <c r="L18" s="4"/>
      <c r="M18" s="4"/>
      <c r="N18" s="4"/>
      <c r="O18" t="str">
        <f t="shared" si="2"/>
        <v>CLP</v>
      </c>
      <c r="P18" t="str">
        <f>IF(D18="","",IF(O18="USD",D18*'10_Apertura'!$C$12,D18))</f>
        <v/>
      </c>
      <c r="Q18" t="str">
        <f>IF(E18="","",IF(O18="USD",E18*'10_Apertura'!$C$12,E18))</f>
        <v/>
      </c>
      <c r="R18" t="str">
        <f>IF(F18="","",IF(O18="USD",F18*'10_Apertura'!$C$12,F18))</f>
        <v/>
      </c>
      <c r="S18" t="str">
        <f>IF(G18="","",IF(O18="USD",G18*'10_Apertura'!$C$12,G18))</f>
        <v/>
      </c>
      <c r="T18" t="str">
        <f t="shared" si="3"/>
        <v/>
      </c>
    </row>
    <row r="19" spans="1:20" ht="1.9" customHeight="1">
      <c r="A19" s="23"/>
      <c r="B19" s="6"/>
      <c r="C19" s="6"/>
      <c r="D19" s="19"/>
      <c r="E19" s="19"/>
      <c r="F19" s="19"/>
      <c r="G19" s="19"/>
      <c r="H19" s="19" t="str">
        <f t="shared" si="0"/>
        <v/>
      </c>
      <c r="I19" s="29" t="str">
        <f t="shared" si="1"/>
        <v/>
      </c>
      <c r="J19" s="6"/>
      <c r="K19" s="6"/>
      <c r="L19" s="4"/>
      <c r="M19" s="4"/>
      <c r="N19" s="4"/>
      <c r="O19" t="str">
        <f t="shared" si="2"/>
        <v>CLP</v>
      </c>
      <c r="P19" t="str">
        <f>IF(D19="","",IF(O19="USD",D19*'10_Apertura'!$C$12,D19))</f>
        <v/>
      </c>
      <c r="Q19" t="str">
        <f>IF(E19="","",IF(O19="USD",E19*'10_Apertura'!$C$12,E19))</f>
        <v/>
      </c>
      <c r="R19" t="str">
        <f>IF(F19="","",IF(O19="USD",F19*'10_Apertura'!$C$12,F19))</f>
        <v/>
      </c>
      <c r="S19" t="str">
        <f>IF(G19="","",IF(O19="USD",G19*'10_Apertura'!$C$12,G19))</f>
        <v/>
      </c>
      <c r="T19" t="str">
        <f t="shared" si="3"/>
        <v/>
      </c>
    </row>
    <row r="20" spans="1:20" ht="1.9" customHeight="1">
      <c r="A20" s="23"/>
      <c r="B20" s="6"/>
      <c r="C20" s="6"/>
      <c r="D20" s="19"/>
      <c r="E20" s="19"/>
      <c r="F20" s="19"/>
      <c r="G20" s="19"/>
      <c r="H20" s="19" t="str">
        <f t="shared" si="0"/>
        <v/>
      </c>
      <c r="I20" s="29" t="str">
        <f t="shared" si="1"/>
        <v/>
      </c>
      <c r="J20" s="6"/>
      <c r="K20" s="6"/>
      <c r="L20" s="4"/>
      <c r="M20" s="4"/>
      <c r="N20" s="4"/>
      <c r="O20" t="str">
        <f t="shared" si="2"/>
        <v>CLP</v>
      </c>
      <c r="P20" t="str">
        <f>IF(D20="","",IF(O20="USD",D20*'10_Apertura'!$C$12,D20))</f>
        <v/>
      </c>
      <c r="Q20" t="str">
        <f>IF(E20="","",IF(O20="USD",E20*'10_Apertura'!$C$12,E20))</f>
        <v/>
      </c>
      <c r="R20" t="str">
        <f>IF(F20="","",IF(O20="USD",F20*'10_Apertura'!$C$12,F20))</f>
        <v/>
      </c>
      <c r="S20" t="str">
        <f>IF(G20="","",IF(O20="USD",G20*'10_Apertura'!$C$12,G20))</f>
        <v/>
      </c>
      <c r="T20" t="str">
        <f t="shared" si="3"/>
        <v/>
      </c>
    </row>
    <row r="21" spans="1:20" ht="1.9" customHeight="1">
      <c r="A21" s="23"/>
      <c r="B21" s="6"/>
      <c r="C21" s="6"/>
      <c r="D21" s="19"/>
      <c r="E21" s="19"/>
      <c r="F21" s="19"/>
      <c r="G21" s="19"/>
      <c r="H21" s="19" t="str">
        <f t="shared" si="0"/>
        <v/>
      </c>
      <c r="I21" s="29" t="str">
        <f t="shared" si="1"/>
        <v/>
      </c>
      <c r="J21" s="6"/>
      <c r="K21" s="6"/>
      <c r="L21" s="4"/>
      <c r="M21" s="4"/>
      <c r="N21" s="4"/>
      <c r="O21" t="str">
        <f t="shared" si="2"/>
        <v>CLP</v>
      </c>
      <c r="P21" t="str">
        <f>IF(D21="","",IF(O21="USD",D21*'10_Apertura'!$C$12,D21))</f>
        <v/>
      </c>
      <c r="Q21" t="str">
        <f>IF(E21="","",IF(O21="USD",E21*'10_Apertura'!$C$12,E21))</f>
        <v/>
      </c>
      <c r="R21" t="str">
        <f>IF(F21="","",IF(O21="USD",F21*'10_Apertura'!$C$12,F21))</f>
        <v/>
      </c>
      <c r="S21" t="str">
        <f>IF(G21="","",IF(O21="USD",G21*'10_Apertura'!$C$12,G21))</f>
        <v/>
      </c>
      <c r="T21" t="str">
        <f t="shared" si="3"/>
        <v/>
      </c>
    </row>
    <row r="22" spans="1:20" ht="1.9" customHeight="1">
      <c r="A22" s="23"/>
      <c r="B22" s="6"/>
      <c r="C22" s="6"/>
      <c r="D22" s="19"/>
      <c r="E22" s="19"/>
      <c r="F22" s="19"/>
      <c r="G22" s="19"/>
      <c r="H22" s="19" t="str">
        <f t="shared" si="0"/>
        <v/>
      </c>
      <c r="I22" s="29" t="str">
        <f t="shared" si="1"/>
        <v/>
      </c>
      <c r="J22" s="6"/>
      <c r="K22" s="6"/>
      <c r="L22" s="4"/>
      <c r="M22" s="4"/>
      <c r="N22" s="4"/>
      <c r="O22" t="str">
        <f t="shared" si="2"/>
        <v>CLP</v>
      </c>
      <c r="P22" t="str">
        <f>IF(D22="","",IF(O22="USD",D22*'10_Apertura'!$C$12,D22))</f>
        <v/>
      </c>
      <c r="Q22" t="str">
        <f>IF(E22="","",IF(O22="USD",E22*'10_Apertura'!$C$12,E22))</f>
        <v/>
      </c>
      <c r="R22" t="str">
        <f>IF(F22="","",IF(O22="USD",F22*'10_Apertura'!$C$12,F22))</f>
        <v/>
      </c>
      <c r="S22" t="str">
        <f>IF(G22="","",IF(O22="USD",G22*'10_Apertura'!$C$12,G22))</f>
        <v/>
      </c>
      <c r="T22" t="str">
        <f t="shared" si="3"/>
        <v/>
      </c>
    </row>
    <row r="23" spans="1:20" ht="1.9" customHeight="1">
      <c r="A23" s="23"/>
      <c r="B23" s="6"/>
      <c r="C23" s="6"/>
      <c r="D23" s="19"/>
      <c r="E23" s="19"/>
      <c r="F23" s="19"/>
      <c r="G23" s="19"/>
      <c r="H23" s="19" t="str">
        <f t="shared" si="0"/>
        <v/>
      </c>
      <c r="I23" s="29" t="str">
        <f t="shared" si="1"/>
        <v/>
      </c>
      <c r="J23" s="6"/>
      <c r="K23" s="6"/>
      <c r="L23" s="4"/>
      <c r="M23" s="4"/>
      <c r="N23" s="4"/>
      <c r="O23" t="str">
        <f t="shared" si="2"/>
        <v>CLP</v>
      </c>
      <c r="P23" t="str">
        <f>IF(D23="","",IF(O23="USD",D23*'10_Apertura'!$C$12,D23))</f>
        <v/>
      </c>
      <c r="Q23" t="str">
        <f>IF(E23="","",IF(O23="USD",E23*'10_Apertura'!$C$12,E23))</f>
        <v/>
      </c>
      <c r="R23" t="str">
        <f>IF(F23="","",IF(O23="USD",F23*'10_Apertura'!$C$12,F23))</f>
        <v/>
      </c>
      <c r="S23" t="str">
        <f>IF(G23="","",IF(O23="USD",G23*'10_Apertura'!$C$12,G23))</f>
        <v/>
      </c>
      <c r="T23" t="str">
        <f t="shared" si="3"/>
        <v/>
      </c>
    </row>
    <row r="24" spans="1:20" ht="1.9" customHeight="1">
      <c r="A24" s="23"/>
      <c r="B24" s="6"/>
      <c r="C24" s="6"/>
      <c r="D24" s="19"/>
      <c r="E24" s="19"/>
      <c r="F24" s="19"/>
      <c r="G24" s="19"/>
      <c r="H24" s="19" t="str">
        <f t="shared" si="0"/>
        <v/>
      </c>
      <c r="I24" s="29" t="str">
        <f t="shared" si="1"/>
        <v/>
      </c>
      <c r="J24" s="6"/>
      <c r="K24" s="6"/>
      <c r="L24" s="4"/>
      <c r="M24" s="4"/>
      <c r="N24" s="4"/>
      <c r="O24" t="str">
        <f t="shared" si="2"/>
        <v>CLP</v>
      </c>
      <c r="P24" t="str">
        <f>IF(D24="","",IF(O24="USD",D24*'10_Apertura'!$C$12,D24))</f>
        <v/>
      </c>
      <c r="Q24" t="str">
        <f>IF(E24="","",IF(O24="USD",E24*'10_Apertura'!$C$12,E24))</f>
        <v/>
      </c>
      <c r="R24" t="str">
        <f>IF(F24="","",IF(O24="USD",F24*'10_Apertura'!$C$12,F24))</f>
        <v/>
      </c>
      <c r="S24" t="str">
        <f>IF(G24="","",IF(O24="USD",G24*'10_Apertura'!$C$12,G24))</f>
        <v/>
      </c>
      <c r="T24" t="str">
        <f t="shared" si="3"/>
        <v/>
      </c>
    </row>
    <row r="25" spans="1:20" ht="1.9" customHeight="1">
      <c r="A25" s="23"/>
      <c r="B25" s="6"/>
      <c r="C25" s="6"/>
      <c r="D25" s="19"/>
      <c r="E25" s="19"/>
      <c r="F25" s="19"/>
      <c r="G25" s="19"/>
      <c r="H25" s="19" t="str">
        <f t="shared" si="0"/>
        <v/>
      </c>
      <c r="I25" s="29" t="str">
        <f t="shared" si="1"/>
        <v/>
      </c>
      <c r="J25" s="6"/>
      <c r="K25" s="6"/>
      <c r="L25" s="4"/>
      <c r="M25" s="4"/>
      <c r="N25" s="4"/>
      <c r="O25" t="str">
        <f t="shared" si="2"/>
        <v>CLP</v>
      </c>
      <c r="P25" t="str">
        <f>IF(D25="","",IF(O25="USD",D25*'10_Apertura'!$C$12,D25))</f>
        <v/>
      </c>
      <c r="Q25" t="str">
        <f>IF(E25="","",IF(O25="USD",E25*'10_Apertura'!$C$12,E25))</f>
        <v/>
      </c>
      <c r="R25" t="str">
        <f>IF(F25="","",IF(O25="USD",F25*'10_Apertura'!$C$12,F25))</f>
        <v/>
      </c>
      <c r="S25" t="str">
        <f>IF(G25="","",IF(O25="USD",G25*'10_Apertura'!$C$12,G25))</f>
        <v/>
      </c>
      <c r="T25" t="str">
        <f t="shared" si="3"/>
        <v/>
      </c>
    </row>
    <row r="26" spans="1:20" ht="1.9" customHeight="1">
      <c r="A26" s="23"/>
      <c r="B26" s="6"/>
      <c r="C26" s="6"/>
      <c r="D26" s="19"/>
      <c r="E26" s="19"/>
      <c r="F26" s="19"/>
      <c r="G26" s="19"/>
      <c r="H26" s="19" t="str">
        <f t="shared" si="0"/>
        <v/>
      </c>
      <c r="I26" s="29" t="str">
        <f t="shared" si="1"/>
        <v/>
      </c>
      <c r="J26" s="6"/>
      <c r="K26" s="6"/>
      <c r="L26" s="4"/>
      <c r="M26" s="4"/>
      <c r="N26" s="4"/>
      <c r="O26" t="str">
        <f t="shared" si="2"/>
        <v>CLP</v>
      </c>
      <c r="P26" t="str">
        <f>IF(D26="","",IF(O26="USD",D26*'10_Apertura'!$C$12,D26))</f>
        <v/>
      </c>
      <c r="Q26" t="str">
        <f>IF(E26="","",IF(O26="USD",E26*'10_Apertura'!$C$12,E26))</f>
        <v/>
      </c>
      <c r="R26" t="str">
        <f>IF(F26="","",IF(O26="USD",F26*'10_Apertura'!$C$12,F26))</f>
        <v/>
      </c>
      <c r="S26" t="str">
        <f>IF(G26="","",IF(O26="USD",G26*'10_Apertura'!$C$12,G26))</f>
        <v/>
      </c>
      <c r="T26" t="str">
        <f t="shared" si="3"/>
        <v/>
      </c>
    </row>
    <row r="27" spans="1:20" ht="1.9" customHeight="1">
      <c r="A27" s="23"/>
      <c r="B27" s="6"/>
      <c r="C27" s="6"/>
      <c r="D27" s="19"/>
      <c r="E27" s="19"/>
      <c r="F27" s="19"/>
      <c r="G27" s="19"/>
      <c r="H27" s="19" t="str">
        <f t="shared" si="0"/>
        <v/>
      </c>
      <c r="I27" s="29" t="str">
        <f t="shared" si="1"/>
        <v/>
      </c>
      <c r="J27" s="6"/>
      <c r="K27" s="6"/>
      <c r="L27" s="4"/>
      <c r="M27" s="4"/>
      <c r="N27" s="4"/>
      <c r="O27" t="str">
        <f t="shared" si="2"/>
        <v>CLP</v>
      </c>
      <c r="P27" t="str">
        <f>IF(D27="","",IF(O27="USD",D27*'10_Apertura'!$C$12,D27))</f>
        <v/>
      </c>
      <c r="Q27" t="str">
        <f>IF(E27="","",IF(O27="USD",E27*'10_Apertura'!$C$12,E27))</f>
        <v/>
      </c>
      <c r="R27" t="str">
        <f>IF(F27="","",IF(O27="USD",F27*'10_Apertura'!$C$12,F27))</f>
        <v/>
      </c>
      <c r="S27" t="str">
        <f>IF(G27="","",IF(O27="USD",G27*'10_Apertura'!$C$12,G27))</f>
        <v/>
      </c>
      <c r="T27" t="str">
        <f t="shared" si="3"/>
        <v/>
      </c>
    </row>
    <row r="28" spans="1:20" ht="1.9" customHeight="1">
      <c r="A28" s="23"/>
      <c r="B28" s="6"/>
      <c r="C28" s="6"/>
      <c r="D28" s="19"/>
      <c r="E28" s="19"/>
      <c r="F28" s="19"/>
      <c r="G28" s="19"/>
      <c r="H28" s="19" t="str">
        <f t="shared" si="0"/>
        <v/>
      </c>
      <c r="I28" s="29" t="str">
        <f t="shared" si="1"/>
        <v/>
      </c>
      <c r="J28" s="6"/>
      <c r="K28" s="6"/>
      <c r="L28" s="4"/>
      <c r="M28" s="4"/>
      <c r="N28" s="4"/>
      <c r="O28" t="str">
        <f t="shared" si="2"/>
        <v>CLP</v>
      </c>
      <c r="P28" t="str">
        <f>IF(D28="","",IF(O28="USD",D28*'10_Apertura'!$C$12,D28))</f>
        <v/>
      </c>
      <c r="Q28" t="str">
        <f>IF(E28="","",IF(O28="USD",E28*'10_Apertura'!$C$12,E28))</f>
        <v/>
      </c>
      <c r="R28" t="str">
        <f>IF(F28="","",IF(O28="USD",F28*'10_Apertura'!$C$12,F28))</f>
        <v/>
      </c>
      <c r="S28" t="str">
        <f>IF(G28="","",IF(O28="USD",G28*'10_Apertura'!$C$12,G28))</f>
        <v/>
      </c>
      <c r="T28" t="str">
        <f t="shared" si="3"/>
        <v/>
      </c>
    </row>
    <row r="29" spans="1:20" ht="1.9" customHeight="1">
      <c r="A29" s="23"/>
      <c r="B29" s="6"/>
      <c r="C29" s="6"/>
      <c r="D29" s="19"/>
      <c r="E29" s="19"/>
      <c r="F29" s="19"/>
      <c r="G29" s="19"/>
      <c r="H29" s="19" t="str">
        <f t="shared" si="0"/>
        <v/>
      </c>
      <c r="I29" s="29" t="str">
        <f t="shared" si="1"/>
        <v/>
      </c>
      <c r="J29" s="6"/>
      <c r="K29" s="6"/>
      <c r="L29" s="4"/>
      <c r="M29" s="4"/>
      <c r="N29" s="4"/>
      <c r="O29" t="str">
        <f t="shared" si="2"/>
        <v>CLP</v>
      </c>
      <c r="P29" t="str">
        <f>IF(D29="","",IF(O29="USD",D29*'10_Apertura'!$C$12,D29))</f>
        <v/>
      </c>
      <c r="Q29" t="str">
        <f>IF(E29="","",IF(O29="USD",E29*'10_Apertura'!$C$12,E29))</f>
        <v/>
      </c>
      <c r="R29" t="str">
        <f>IF(F29="","",IF(O29="USD",F29*'10_Apertura'!$C$12,F29))</f>
        <v/>
      </c>
      <c r="S29" t="str">
        <f>IF(G29="","",IF(O29="USD",G29*'10_Apertura'!$C$12,G29))</f>
        <v/>
      </c>
      <c r="T29" t="str">
        <f t="shared" si="3"/>
        <v/>
      </c>
    </row>
    <row r="30" spans="1:20" ht="1.9" customHeight="1">
      <c r="A30" s="23"/>
      <c r="B30" s="6"/>
      <c r="C30" s="6"/>
      <c r="D30" s="19"/>
      <c r="E30" s="19"/>
      <c r="F30" s="19"/>
      <c r="G30" s="19"/>
      <c r="H30" s="19" t="str">
        <f t="shared" si="0"/>
        <v/>
      </c>
      <c r="I30" s="29" t="str">
        <f t="shared" si="1"/>
        <v/>
      </c>
      <c r="J30" s="6"/>
      <c r="K30" s="6"/>
      <c r="L30" s="4"/>
      <c r="M30" s="4"/>
      <c r="N30" s="4"/>
      <c r="O30" t="str">
        <f t="shared" si="2"/>
        <v>CLP</v>
      </c>
      <c r="P30" t="str">
        <f>IF(D30="","",IF(O30="USD",D30*'10_Apertura'!$C$12,D30))</f>
        <v/>
      </c>
      <c r="Q30" t="str">
        <f>IF(E30="","",IF(O30="USD",E30*'10_Apertura'!$C$12,E30))</f>
        <v/>
      </c>
      <c r="R30" t="str">
        <f>IF(F30="","",IF(O30="USD",F30*'10_Apertura'!$C$12,F30))</f>
        <v/>
      </c>
      <c r="S30" t="str">
        <f>IF(G30="","",IF(O30="USD",G30*'10_Apertura'!$C$12,G30))</f>
        <v/>
      </c>
      <c r="T30" t="str">
        <f t="shared" si="3"/>
        <v/>
      </c>
    </row>
    <row r="31" spans="1:20" ht="1.9" customHeight="1">
      <c r="A31" s="23"/>
      <c r="B31" s="6"/>
      <c r="C31" s="6"/>
      <c r="D31" s="19"/>
      <c r="E31" s="19"/>
      <c r="F31" s="19"/>
      <c r="G31" s="19"/>
      <c r="H31" s="19" t="str">
        <f t="shared" si="0"/>
        <v/>
      </c>
      <c r="I31" s="29" t="str">
        <f t="shared" si="1"/>
        <v/>
      </c>
      <c r="J31" s="6"/>
      <c r="K31" s="6"/>
      <c r="L31" s="4"/>
      <c r="M31" s="4"/>
      <c r="N31" s="4"/>
      <c r="O31" t="str">
        <f t="shared" si="2"/>
        <v>CLP</v>
      </c>
      <c r="P31" t="str">
        <f>IF(D31="","",IF(O31="USD",D31*'10_Apertura'!$C$12,D31))</f>
        <v/>
      </c>
      <c r="Q31" t="str">
        <f>IF(E31="","",IF(O31="USD",E31*'10_Apertura'!$C$12,E31))</f>
        <v/>
      </c>
      <c r="R31" t="str">
        <f>IF(F31="","",IF(O31="USD",F31*'10_Apertura'!$C$12,F31))</f>
        <v/>
      </c>
      <c r="S31" t="str">
        <f>IF(G31="","",IF(O31="USD",G31*'10_Apertura'!$C$12,G31))</f>
        <v/>
      </c>
      <c r="T31" t="str">
        <f t="shared" si="3"/>
        <v/>
      </c>
    </row>
    <row r="32" spans="1:20" ht="1.9" customHeight="1">
      <c r="A32" s="23"/>
      <c r="B32" s="6"/>
      <c r="C32" s="6"/>
      <c r="D32" s="19"/>
      <c r="E32" s="19"/>
      <c r="F32" s="19"/>
      <c r="G32" s="19"/>
      <c r="H32" s="19" t="str">
        <f t="shared" si="0"/>
        <v/>
      </c>
      <c r="I32" s="29" t="str">
        <f t="shared" si="1"/>
        <v/>
      </c>
      <c r="J32" s="6"/>
      <c r="K32" s="6"/>
      <c r="L32" s="4"/>
      <c r="M32" s="4"/>
      <c r="N32" s="4"/>
      <c r="O32" t="str">
        <f t="shared" si="2"/>
        <v>CLP</v>
      </c>
      <c r="P32" t="str">
        <f>IF(D32="","",IF(O32="USD",D32*'10_Apertura'!$C$12,D32))</f>
        <v/>
      </c>
      <c r="Q32" t="str">
        <f>IF(E32="","",IF(O32="USD",E32*'10_Apertura'!$C$12,E32))</f>
        <v/>
      </c>
      <c r="R32" t="str">
        <f>IF(F32="","",IF(O32="USD",F32*'10_Apertura'!$C$12,F32))</f>
        <v/>
      </c>
      <c r="S32" t="str">
        <f>IF(G32="","",IF(O32="USD",G32*'10_Apertura'!$C$12,G32))</f>
        <v/>
      </c>
      <c r="T32" t="str">
        <f t="shared" si="3"/>
        <v/>
      </c>
    </row>
    <row r="33" spans="1:20" ht="1.9" customHeight="1">
      <c r="A33" s="23"/>
      <c r="B33" s="6"/>
      <c r="C33" s="6"/>
      <c r="D33" s="19"/>
      <c r="E33" s="19"/>
      <c r="F33" s="19"/>
      <c r="G33" s="19"/>
      <c r="H33" s="19" t="str">
        <f t="shared" si="0"/>
        <v/>
      </c>
      <c r="I33" s="29" t="str">
        <f t="shared" si="1"/>
        <v/>
      </c>
      <c r="J33" s="6"/>
      <c r="K33" s="6"/>
      <c r="L33" s="4"/>
      <c r="M33" s="4"/>
      <c r="N33" s="4"/>
      <c r="O33" t="str">
        <f t="shared" si="2"/>
        <v>CLP</v>
      </c>
      <c r="P33" t="str">
        <f>IF(D33="","",IF(O33="USD",D33*'10_Apertura'!$C$12,D33))</f>
        <v/>
      </c>
      <c r="Q33" t="str">
        <f>IF(E33="","",IF(O33="USD",E33*'10_Apertura'!$C$12,E33))</f>
        <v/>
      </c>
      <c r="R33" t="str">
        <f>IF(F33="","",IF(O33="USD",F33*'10_Apertura'!$C$12,F33))</f>
        <v/>
      </c>
      <c r="S33" t="str">
        <f>IF(G33="","",IF(O33="USD",G33*'10_Apertura'!$C$12,G33))</f>
        <v/>
      </c>
      <c r="T33" t="str">
        <f t="shared" si="3"/>
        <v/>
      </c>
    </row>
    <row r="34" spans="1:20" ht="1.9" customHeight="1">
      <c r="A34" s="23"/>
      <c r="B34" s="6"/>
      <c r="C34" s="6"/>
      <c r="D34" s="19"/>
      <c r="E34" s="19"/>
      <c r="F34" s="19"/>
      <c r="G34" s="19"/>
      <c r="H34" s="19" t="str">
        <f t="shared" si="0"/>
        <v/>
      </c>
      <c r="I34" s="29" t="str">
        <f t="shared" si="1"/>
        <v/>
      </c>
      <c r="J34" s="6"/>
      <c r="K34" s="6"/>
      <c r="L34" s="4"/>
      <c r="M34" s="4"/>
      <c r="N34" s="4"/>
      <c r="O34" t="str">
        <f t="shared" si="2"/>
        <v>CLP</v>
      </c>
      <c r="P34" t="str">
        <f>IF(D34="","",IF(O34="USD",D34*'10_Apertura'!$C$12,D34))</f>
        <v/>
      </c>
      <c r="Q34" t="str">
        <f>IF(E34="","",IF(O34="USD",E34*'10_Apertura'!$C$12,E34))</f>
        <v/>
      </c>
      <c r="R34" t="str">
        <f>IF(F34="","",IF(O34="USD",F34*'10_Apertura'!$C$12,F34))</f>
        <v/>
      </c>
      <c r="S34" t="str">
        <f>IF(G34="","",IF(O34="USD",G34*'10_Apertura'!$C$12,G34))</f>
        <v/>
      </c>
      <c r="T34" t="str">
        <f t="shared" si="3"/>
        <v/>
      </c>
    </row>
    <row r="35" spans="1:20" ht="1.9" customHeight="1">
      <c r="A35" s="23"/>
      <c r="B35" s="6"/>
      <c r="C35" s="6"/>
      <c r="D35" s="19"/>
      <c r="E35" s="19"/>
      <c r="F35" s="19"/>
      <c r="G35" s="19"/>
      <c r="H35" s="19" t="str">
        <f t="shared" si="0"/>
        <v/>
      </c>
      <c r="I35" s="29" t="str">
        <f t="shared" si="1"/>
        <v/>
      </c>
      <c r="J35" s="6"/>
      <c r="K35" s="6"/>
      <c r="L35" s="4"/>
      <c r="M35" s="4"/>
      <c r="N35" s="4"/>
      <c r="O35" t="str">
        <f t="shared" si="2"/>
        <v>CLP</v>
      </c>
      <c r="P35" t="str">
        <f>IF(D35="","",IF(O35="USD",D35*'10_Apertura'!$C$12,D35))</f>
        <v/>
      </c>
      <c r="Q35" t="str">
        <f>IF(E35="","",IF(O35="USD",E35*'10_Apertura'!$C$12,E35))</f>
        <v/>
      </c>
      <c r="R35" t="str">
        <f>IF(F35="","",IF(O35="USD",F35*'10_Apertura'!$C$12,F35))</f>
        <v/>
      </c>
      <c r="S35" t="str">
        <f>IF(G35="","",IF(O35="USD",G35*'10_Apertura'!$C$12,G35))</f>
        <v/>
      </c>
      <c r="T35" t="str">
        <f t="shared" si="3"/>
        <v/>
      </c>
    </row>
    <row r="36" spans="1:20" ht="1.9" customHeight="1">
      <c r="A36" s="23"/>
      <c r="B36" s="6"/>
      <c r="C36" s="6"/>
      <c r="D36" s="19"/>
      <c r="E36" s="19"/>
      <c r="F36" s="19"/>
      <c r="G36" s="19"/>
      <c r="H36" s="19" t="str">
        <f t="shared" si="0"/>
        <v/>
      </c>
      <c r="I36" s="29" t="str">
        <f t="shared" si="1"/>
        <v/>
      </c>
      <c r="J36" s="6"/>
      <c r="K36" s="6"/>
      <c r="L36" s="4"/>
      <c r="M36" s="4"/>
      <c r="N36" s="4"/>
      <c r="O36" t="str">
        <f t="shared" si="2"/>
        <v>CLP</v>
      </c>
      <c r="P36" t="str">
        <f>IF(D36="","",IF(O36="USD",D36*'10_Apertura'!$C$12,D36))</f>
        <v/>
      </c>
      <c r="Q36" t="str">
        <f>IF(E36="","",IF(O36="USD",E36*'10_Apertura'!$C$12,E36))</f>
        <v/>
      </c>
      <c r="R36" t="str">
        <f>IF(F36="","",IF(O36="USD",F36*'10_Apertura'!$C$12,F36))</f>
        <v/>
      </c>
      <c r="S36" t="str">
        <f>IF(G36="","",IF(O36="USD",G36*'10_Apertura'!$C$12,G36))</f>
        <v/>
      </c>
      <c r="T36" t="str">
        <f t="shared" si="3"/>
        <v/>
      </c>
    </row>
    <row r="37" spans="1:20" ht="1.9" customHeight="1">
      <c r="A37" s="23"/>
      <c r="B37" s="6"/>
      <c r="C37" s="6"/>
      <c r="D37" s="19"/>
      <c r="E37" s="19"/>
      <c r="F37" s="19"/>
      <c r="G37" s="19"/>
      <c r="H37" s="19" t="str">
        <f t="shared" ref="H37:H68" si="8">IF(OR(G37="",F37=""),"",G37-F37+IF(E37="",0,E37)-IF(D37="",0,D37))</f>
        <v/>
      </c>
      <c r="I37" s="29" t="str">
        <f t="shared" ref="I37:I68" si="9">IFERROR(H37/MAX(1,F37+IF(D37="",0,D37)-IF(E37="",0,E37)),"")</f>
        <v/>
      </c>
      <c r="J37" s="6"/>
      <c r="K37" s="6"/>
      <c r="L37" s="4"/>
      <c r="M37" s="4"/>
      <c r="N37" s="4"/>
      <c r="O37" t="str">
        <f t="shared" ref="O37:O68" si="10">IF(OR(B37="TQQQ",B37="SOXX"),"USD","CLP")</f>
        <v>CLP</v>
      </c>
      <c r="P37" t="str">
        <f>IF(D37="","",IF(O37="USD",D37*'10_Apertura'!$C$12,D37))</f>
        <v/>
      </c>
      <c r="Q37" t="str">
        <f>IF(E37="","",IF(O37="USD",E37*'10_Apertura'!$C$12,E37))</f>
        <v/>
      </c>
      <c r="R37" t="str">
        <f>IF(F37="","",IF(O37="USD",F37*'10_Apertura'!$C$12,F37))</f>
        <v/>
      </c>
      <c r="S37" t="str">
        <f>IF(G37="","",IF(O37="USD",G37*'10_Apertura'!$C$12,G37))</f>
        <v/>
      </c>
      <c r="T37" t="str">
        <f t="shared" ref="T37:T68" si="11">IF(OR(S37="",R37=""),"",S37-R37+IF(Q37="",0,Q37)-IF(P37="",0,P37))</f>
        <v/>
      </c>
    </row>
    <row r="38" spans="1:20" ht="1.9" customHeight="1">
      <c r="A38" s="23"/>
      <c r="B38" s="6"/>
      <c r="C38" s="6"/>
      <c r="D38" s="19"/>
      <c r="E38" s="19"/>
      <c r="F38" s="19"/>
      <c r="G38" s="19"/>
      <c r="H38" s="19" t="str">
        <f t="shared" si="8"/>
        <v/>
      </c>
      <c r="I38" s="29" t="str">
        <f t="shared" si="9"/>
        <v/>
      </c>
      <c r="J38" s="6"/>
      <c r="K38" s="6"/>
      <c r="L38" s="4"/>
      <c r="M38" s="4"/>
      <c r="N38" s="4"/>
      <c r="O38" t="str">
        <f t="shared" si="10"/>
        <v>CLP</v>
      </c>
      <c r="P38" t="str">
        <f>IF(D38="","",IF(O38="USD",D38*'10_Apertura'!$C$12,D38))</f>
        <v/>
      </c>
      <c r="Q38" t="str">
        <f>IF(E38="","",IF(O38="USD",E38*'10_Apertura'!$C$12,E38))</f>
        <v/>
      </c>
      <c r="R38" t="str">
        <f>IF(F38="","",IF(O38="USD",F38*'10_Apertura'!$C$12,F38))</f>
        <v/>
      </c>
      <c r="S38" t="str">
        <f>IF(G38="","",IF(O38="USD",G38*'10_Apertura'!$C$12,G38))</f>
        <v/>
      </c>
      <c r="T38" t="str">
        <f t="shared" si="11"/>
        <v/>
      </c>
    </row>
    <row r="39" spans="1:20" ht="1.9" customHeight="1">
      <c r="A39" s="23"/>
      <c r="B39" s="6"/>
      <c r="C39" s="6"/>
      <c r="D39" s="19"/>
      <c r="E39" s="19"/>
      <c r="F39" s="19"/>
      <c r="G39" s="19"/>
      <c r="H39" s="19" t="str">
        <f t="shared" si="8"/>
        <v/>
      </c>
      <c r="I39" s="29" t="str">
        <f t="shared" si="9"/>
        <v/>
      </c>
      <c r="J39" s="6"/>
      <c r="K39" s="6"/>
      <c r="L39" s="4"/>
      <c r="M39" s="4"/>
      <c r="N39" s="4"/>
      <c r="O39" t="str">
        <f t="shared" si="10"/>
        <v>CLP</v>
      </c>
      <c r="P39" t="str">
        <f>IF(D39="","",IF(O39="USD",D39*'10_Apertura'!$C$12,D39))</f>
        <v/>
      </c>
      <c r="Q39" t="str">
        <f>IF(E39="","",IF(O39="USD",E39*'10_Apertura'!$C$12,E39))</f>
        <v/>
      </c>
      <c r="R39" t="str">
        <f>IF(F39="","",IF(O39="USD",F39*'10_Apertura'!$C$12,F39))</f>
        <v/>
      </c>
      <c r="S39" t="str">
        <f>IF(G39="","",IF(O39="USD",G39*'10_Apertura'!$C$12,G39))</f>
        <v/>
      </c>
      <c r="T39" t="str">
        <f t="shared" si="11"/>
        <v/>
      </c>
    </row>
    <row r="40" spans="1:20" ht="1.9" customHeight="1">
      <c r="A40" s="23"/>
      <c r="B40" s="6"/>
      <c r="C40" s="6"/>
      <c r="D40" s="19"/>
      <c r="E40" s="19"/>
      <c r="F40" s="19"/>
      <c r="G40" s="19"/>
      <c r="H40" s="19" t="str">
        <f t="shared" si="8"/>
        <v/>
      </c>
      <c r="I40" s="29" t="str">
        <f t="shared" si="9"/>
        <v/>
      </c>
      <c r="J40" s="6"/>
      <c r="K40" s="6"/>
      <c r="L40" s="4"/>
      <c r="M40" s="4"/>
      <c r="N40" s="4"/>
      <c r="O40" t="str">
        <f t="shared" si="10"/>
        <v>CLP</v>
      </c>
      <c r="P40" t="str">
        <f>IF(D40="","",IF(O40="USD",D40*'10_Apertura'!$C$12,D40))</f>
        <v/>
      </c>
      <c r="Q40" t="str">
        <f>IF(E40="","",IF(O40="USD",E40*'10_Apertura'!$C$12,E40))</f>
        <v/>
      </c>
      <c r="R40" t="str">
        <f>IF(F40="","",IF(O40="USD",F40*'10_Apertura'!$C$12,F40))</f>
        <v/>
      </c>
      <c r="S40" t="str">
        <f>IF(G40="","",IF(O40="USD",G40*'10_Apertura'!$C$12,G40))</f>
        <v/>
      </c>
      <c r="T40" t="str">
        <f t="shared" si="11"/>
        <v/>
      </c>
    </row>
    <row r="41" spans="1:20" ht="1.9" customHeight="1">
      <c r="A41" s="23"/>
      <c r="B41" s="6"/>
      <c r="C41" s="6"/>
      <c r="D41" s="19"/>
      <c r="E41" s="19"/>
      <c r="F41" s="19"/>
      <c r="G41" s="19"/>
      <c r="H41" s="19" t="str">
        <f t="shared" si="8"/>
        <v/>
      </c>
      <c r="I41" s="29" t="str">
        <f t="shared" si="9"/>
        <v/>
      </c>
      <c r="J41" s="6"/>
      <c r="K41" s="6"/>
      <c r="L41" s="4"/>
      <c r="M41" s="4"/>
      <c r="N41" s="4"/>
      <c r="O41" t="str">
        <f t="shared" si="10"/>
        <v>CLP</v>
      </c>
      <c r="P41" t="str">
        <f>IF(D41="","",IF(O41="USD",D41*'10_Apertura'!$C$12,D41))</f>
        <v/>
      </c>
      <c r="Q41" t="str">
        <f>IF(E41="","",IF(O41="USD",E41*'10_Apertura'!$C$12,E41))</f>
        <v/>
      </c>
      <c r="R41" t="str">
        <f>IF(F41="","",IF(O41="USD",F41*'10_Apertura'!$C$12,F41))</f>
        <v/>
      </c>
      <c r="S41" t="str">
        <f>IF(G41="","",IF(O41="USD",G41*'10_Apertura'!$C$12,G41))</f>
        <v/>
      </c>
      <c r="T41" t="str">
        <f t="shared" si="11"/>
        <v/>
      </c>
    </row>
    <row r="42" spans="1:20" ht="1.9" customHeight="1">
      <c r="A42" s="23"/>
      <c r="B42" s="6"/>
      <c r="C42" s="6"/>
      <c r="D42" s="19"/>
      <c r="E42" s="19"/>
      <c r="F42" s="19"/>
      <c r="G42" s="19"/>
      <c r="H42" s="19" t="str">
        <f t="shared" si="8"/>
        <v/>
      </c>
      <c r="I42" s="29" t="str">
        <f t="shared" si="9"/>
        <v/>
      </c>
      <c r="J42" s="6"/>
      <c r="K42" s="6"/>
      <c r="L42" s="4"/>
      <c r="M42" s="4"/>
      <c r="N42" s="4"/>
      <c r="O42" t="str">
        <f t="shared" si="10"/>
        <v>CLP</v>
      </c>
      <c r="P42" t="str">
        <f>IF(D42="","",IF(O42="USD",D42*'10_Apertura'!$C$12,D42))</f>
        <v/>
      </c>
      <c r="Q42" t="str">
        <f>IF(E42="","",IF(O42="USD",E42*'10_Apertura'!$C$12,E42))</f>
        <v/>
      </c>
      <c r="R42" t="str">
        <f>IF(F42="","",IF(O42="USD",F42*'10_Apertura'!$C$12,F42))</f>
        <v/>
      </c>
      <c r="S42" t="str">
        <f>IF(G42="","",IF(O42="USD",G42*'10_Apertura'!$C$12,G42))</f>
        <v/>
      </c>
      <c r="T42" t="str">
        <f t="shared" si="11"/>
        <v/>
      </c>
    </row>
    <row r="43" spans="1:20" ht="1.9" customHeight="1">
      <c r="A43" s="23"/>
      <c r="B43" s="6"/>
      <c r="C43" s="6"/>
      <c r="D43" s="19"/>
      <c r="E43" s="19"/>
      <c r="F43" s="19"/>
      <c r="G43" s="19"/>
      <c r="H43" s="19" t="str">
        <f t="shared" si="8"/>
        <v/>
      </c>
      <c r="I43" s="29" t="str">
        <f t="shared" si="9"/>
        <v/>
      </c>
      <c r="J43" s="6"/>
      <c r="K43" s="6"/>
      <c r="L43" s="4"/>
      <c r="M43" s="4"/>
      <c r="N43" s="4"/>
      <c r="O43" t="str">
        <f t="shared" si="10"/>
        <v>CLP</v>
      </c>
      <c r="P43" t="str">
        <f>IF(D43="","",IF(O43="USD",D43*'10_Apertura'!$C$12,D43))</f>
        <v/>
      </c>
      <c r="Q43" t="str">
        <f>IF(E43="","",IF(O43="USD",E43*'10_Apertura'!$C$12,E43))</f>
        <v/>
      </c>
      <c r="R43" t="str">
        <f>IF(F43="","",IF(O43="USD",F43*'10_Apertura'!$C$12,F43))</f>
        <v/>
      </c>
      <c r="S43" t="str">
        <f>IF(G43="","",IF(O43="USD",G43*'10_Apertura'!$C$12,G43))</f>
        <v/>
      </c>
      <c r="T43" t="str">
        <f t="shared" si="11"/>
        <v/>
      </c>
    </row>
    <row r="44" spans="1:20" ht="1.9" customHeight="1">
      <c r="A44" s="23"/>
      <c r="B44" s="6"/>
      <c r="C44" s="6"/>
      <c r="D44" s="19"/>
      <c r="E44" s="19"/>
      <c r="F44" s="19"/>
      <c r="G44" s="19"/>
      <c r="H44" s="19" t="str">
        <f t="shared" si="8"/>
        <v/>
      </c>
      <c r="I44" s="29" t="str">
        <f t="shared" si="9"/>
        <v/>
      </c>
      <c r="J44" s="6"/>
      <c r="K44" s="6"/>
      <c r="L44" s="4"/>
      <c r="M44" s="4"/>
      <c r="N44" s="4"/>
      <c r="O44" t="str">
        <f t="shared" si="10"/>
        <v>CLP</v>
      </c>
      <c r="P44" t="str">
        <f>IF(D44="","",IF(O44="USD",D44*'10_Apertura'!$C$12,D44))</f>
        <v/>
      </c>
      <c r="Q44" t="str">
        <f>IF(E44="","",IF(O44="USD",E44*'10_Apertura'!$C$12,E44))</f>
        <v/>
      </c>
      <c r="R44" t="str">
        <f>IF(F44="","",IF(O44="USD",F44*'10_Apertura'!$C$12,F44))</f>
        <v/>
      </c>
      <c r="S44" t="str">
        <f>IF(G44="","",IF(O44="USD",G44*'10_Apertura'!$C$12,G44))</f>
        <v/>
      </c>
      <c r="T44" t="str">
        <f t="shared" si="11"/>
        <v/>
      </c>
    </row>
    <row r="45" spans="1:20" ht="1.9" customHeight="1">
      <c r="A45" s="23"/>
      <c r="B45" s="6"/>
      <c r="C45" s="6"/>
      <c r="D45" s="19"/>
      <c r="E45" s="19"/>
      <c r="F45" s="19"/>
      <c r="G45" s="19"/>
      <c r="H45" s="19" t="str">
        <f t="shared" si="8"/>
        <v/>
      </c>
      <c r="I45" s="29" t="str">
        <f t="shared" si="9"/>
        <v/>
      </c>
      <c r="J45" s="6"/>
      <c r="K45" s="6"/>
      <c r="L45" s="4"/>
      <c r="M45" s="4"/>
      <c r="N45" s="4"/>
      <c r="O45" t="str">
        <f t="shared" si="10"/>
        <v>CLP</v>
      </c>
      <c r="P45" t="str">
        <f>IF(D45="","",IF(O45="USD",D45*'10_Apertura'!$C$12,D45))</f>
        <v/>
      </c>
      <c r="Q45" t="str">
        <f>IF(E45="","",IF(O45="USD",E45*'10_Apertura'!$C$12,E45))</f>
        <v/>
      </c>
      <c r="R45" t="str">
        <f>IF(F45="","",IF(O45="USD",F45*'10_Apertura'!$C$12,F45))</f>
        <v/>
      </c>
      <c r="S45" t="str">
        <f>IF(G45="","",IF(O45="USD",G45*'10_Apertura'!$C$12,G45))</f>
        <v/>
      </c>
      <c r="T45" t="str">
        <f t="shared" si="11"/>
        <v/>
      </c>
    </row>
    <row r="46" spans="1:20" ht="1.9" customHeight="1">
      <c r="A46" s="23"/>
      <c r="B46" s="6"/>
      <c r="C46" s="6"/>
      <c r="D46" s="19"/>
      <c r="E46" s="19"/>
      <c r="F46" s="19"/>
      <c r="G46" s="19"/>
      <c r="H46" s="19" t="str">
        <f t="shared" si="8"/>
        <v/>
      </c>
      <c r="I46" s="29" t="str">
        <f t="shared" si="9"/>
        <v/>
      </c>
      <c r="J46" s="6"/>
      <c r="K46" s="6"/>
      <c r="L46" s="4"/>
      <c r="M46" s="4"/>
      <c r="N46" s="4"/>
      <c r="O46" t="str">
        <f t="shared" si="10"/>
        <v>CLP</v>
      </c>
      <c r="P46" t="str">
        <f>IF(D46="","",IF(O46="USD",D46*'10_Apertura'!$C$12,D46))</f>
        <v/>
      </c>
      <c r="Q46" t="str">
        <f>IF(E46="","",IF(O46="USD",E46*'10_Apertura'!$C$12,E46))</f>
        <v/>
      </c>
      <c r="R46" t="str">
        <f>IF(F46="","",IF(O46="USD",F46*'10_Apertura'!$C$12,F46))</f>
        <v/>
      </c>
      <c r="S46" t="str">
        <f>IF(G46="","",IF(O46="USD",G46*'10_Apertura'!$C$12,G46))</f>
        <v/>
      </c>
      <c r="T46" t="str">
        <f t="shared" si="11"/>
        <v/>
      </c>
    </row>
    <row r="47" spans="1:20" ht="1.9" customHeight="1">
      <c r="A47" s="23"/>
      <c r="B47" s="6"/>
      <c r="C47" s="6"/>
      <c r="D47" s="19"/>
      <c r="E47" s="19"/>
      <c r="F47" s="19"/>
      <c r="G47" s="19"/>
      <c r="H47" s="19" t="str">
        <f t="shared" si="8"/>
        <v/>
      </c>
      <c r="I47" s="29" t="str">
        <f t="shared" si="9"/>
        <v/>
      </c>
      <c r="J47" s="6"/>
      <c r="K47" s="6"/>
      <c r="L47" s="4"/>
      <c r="M47" s="4"/>
      <c r="N47" s="4"/>
      <c r="O47" t="str">
        <f t="shared" si="10"/>
        <v>CLP</v>
      </c>
      <c r="P47" t="str">
        <f>IF(D47="","",IF(O47="USD",D47*'10_Apertura'!$C$12,D47))</f>
        <v/>
      </c>
      <c r="Q47" t="str">
        <f>IF(E47="","",IF(O47="USD",E47*'10_Apertura'!$C$12,E47))</f>
        <v/>
      </c>
      <c r="R47" t="str">
        <f>IF(F47="","",IF(O47="USD",F47*'10_Apertura'!$C$12,F47))</f>
        <v/>
      </c>
      <c r="S47" t="str">
        <f>IF(G47="","",IF(O47="USD",G47*'10_Apertura'!$C$12,G47))</f>
        <v/>
      </c>
      <c r="T47" t="str">
        <f t="shared" si="11"/>
        <v/>
      </c>
    </row>
    <row r="48" spans="1:20" ht="1.9" customHeight="1">
      <c r="A48" s="23"/>
      <c r="B48" s="6"/>
      <c r="C48" s="6"/>
      <c r="D48" s="19"/>
      <c r="E48" s="19"/>
      <c r="F48" s="19"/>
      <c r="G48" s="19"/>
      <c r="H48" s="19" t="str">
        <f t="shared" si="8"/>
        <v/>
      </c>
      <c r="I48" s="29" t="str">
        <f t="shared" si="9"/>
        <v/>
      </c>
      <c r="J48" s="6"/>
      <c r="K48" s="6"/>
      <c r="L48" s="4"/>
      <c r="M48" s="4"/>
      <c r="N48" s="4"/>
      <c r="O48" t="str">
        <f t="shared" si="10"/>
        <v>CLP</v>
      </c>
      <c r="P48" t="str">
        <f>IF(D48="","",IF(O48="USD",D48*'10_Apertura'!$C$12,D48))</f>
        <v/>
      </c>
      <c r="Q48" t="str">
        <f>IF(E48="","",IF(O48="USD",E48*'10_Apertura'!$C$12,E48))</f>
        <v/>
      </c>
      <c r="R48" t="str">
        <f>IF(F48="","",IF(O48="USD",F48*'10_Apertura'!$C$12,F48))</f>
        <v/>
      </c>
      <c r="S48" t="str">
        <f>IF(G48="","",IF(O48="USD",G48*'10_Apertura'!$C$12,G48))</f>
        <v/>
      </c>
      <c r="T48" t="str">
        <f t="shared" si="11"/>
        <v/>
      </c>
    </row>
    <row r="49" spans="1:20" ht="1.9" customHeight="1">
      <c r="A49" s="23"/>
      <c r="B49" s="6"/>
      <c r="C49" s="6"/>
      <c r="D49" s="19"/>
      <c r="E49" s="19"/>
      <c r="F49" s="19"/>
      <c r="G49" s="19"/>
      <c r="H49" s="19" t="str">
        <f t="shared" si="8"/>
        <v/>
      </c>
      <c r="I49" s="29" t="str">
        <f t="shared" si="9"/>
        <v/>
      </c>
      <c r="J49" s="6"/>
      <c r="K49" s="6"/>
      <c r="L49" s="4"/>
      <c r="M49" s="4"/>
      <c r="N49" s="4"/>
      <c r="O49" t="str">
        <f t="shared" si="10"/>
        <v>CLP</v>
      </c>
      <c r="P49" t="str">
        <f>IF(D49="","",IF(O49="USD",D49*'10_Apertura'!$C$12,D49))</f>
        <v/>
      </c>
      <c r="Q49" t="str">
        <f>IF(E49="","",IF(O49="USD",E49*'10_Apertura'!$C$12,E49))</f>
        <v/>
      </c>
      <c r="R49" t="str">
        <f>IF(F49="","",IF(O49="USD",F49*'10_Apertura'!$C$12,F49))</f>
        <v/>
      </c>
      <c r="S49" t="str">
        <f>IF(G49="","",IF(O49="USD",G49*'10_Apertura'!$C$12,G49))</f>
        <v/>
      </c>
      <c r="T49" t="str">
        <f t="shared" si="11"/>
        <v/>
      </c>
    </row>
    <row r="50" spans="1:20" ht="1.9" customHeight="1">
      <c r="A50" s="23"/>
      <c r="B50" s="6"/>
      <c r="C50" s="6"/>
      <c r="D50" s="19"/>
      <c r="E50" s="19"/>
      <c r="F50" s="19"/>
      <c r="G50" s="19"/>
      <c r="H50" s="19" t="str">
        <f t="shared" si="8"/>
        <v/>
      </c>
      <c r="I50" s="29" t="str">
        <f t="shared" si="9"/>
        <v/>
      </c>
      <c r="J50" s="6"/>
      <c r="K50" s="6"/>
      <c r="L50" s="4"/>
      <c r="M50" s="4"/>
      <c r="N50" s="4"/>
      <c r="O50" t="str">
        <f t="shared" si="10"/>
        <v>CLP</v>
      </c>
      <c r="P50" t="str">
        <f>IF(D50="","",IF(O50="USD",D50*'10_Apertura'!$C$12,D50))</f>
        <v/>
      </c>
      <c r="Q50" t="str">
        <f>IF(E50="","",IF(O50="USD",E50*'10_Apertura'!$C$12,E50))</f>
        <v/>
      </c>
      <c r="R50" t="str">
        <f>IF(F50="","",IF(O50="USD",F50*'10_Apertura'!$C$12,F50))</f>
        <v/>
      </c>
      <c r="S50" t="str">
        <f>IF(G50="","",IF(O50="USD",G50*'10_Apertura'!$C$12,G50))</f>
        <v/>
      </c>
      <c r="T50" t="str">
        <f t="shared" si="11"/>
        <v/>
      </c>
    </row>
    <row r="51" spans="1:20" ht="1.9" customHeight="1">
      <c r="A51" s="23"/>
      <c r="B51" s="6"/>
      <c r="C51" s="6"/>
      <c r="D51" s="19"/>
      <c r="E51" s="19"/>
      <c r="F51" s="19"/>
      <c r="G51" s="19"/>
      <c r="H51" s="19" t="str">
        <f t="shared" si="8"/>
        <v/>
      </c>
      <c r="I51" s="29" t="str">
        <f t="shared" si="9"/>
        <v/>
      </c>
      <c r="J51" s="6"/>
      <c r="K51" s="6"/>
      <c r="L51" s="4"/>
      <c r="M51" s="4"/>
      <c r="N51" s="4"/>
      <c r="O51" t="str">
        <f t="shared" si="10"/>
        <v>CLP</v>
      </c>
      <c r="P51" t="str">
        <f>IF(D51="","",IF(O51="USD",D51*'10_Apertura'!$C$12,D51))</f>
        <v/>
      </c>
      <c r="Q51" t="str">
        <f>IF(E51="","",IF(O51="USD",E51*'10_Apertura'!$C$12,E51))</f>
        <v/>
      </c>
      <c r="R51" t="str">
        <f>IF(F51="","",IF(O51="USD",F51*'10_Apertura'!$C$12,F51))</f>
        <v/>
      </c>
      <c r="S51" t="str">
        <f>IF(G51="","",IF(O51="USD",G51*'10_Apertura'!$C$12,G51))</f>
        <v/>
      </c>
      <c r="T51" t="str">
        <f t="shared" si="11"/>
        <v/>
      </c>
    </row>
    <row r="52" spans="1:20" ht="1.9" customHeight="1">
      <c r="A52" s="23"/>
      <c r="B52" s="6"/>
      <c r="C52" s="6"/>
      <c r="D52" s="19"/>
      <c r="E52" s="19"/>
      <c r="F52" s="19"/>
      <c r="G52" s="19"/>
      <c r="H52" s="19" t="str">
        <f t="shared" si="8"/>
        <v/>
      </c>
      <c r="I52" s="29" t="str">
        <f t="shared" si="9"/>
        <v/>
      </c>
      <c r="J52" s="6"/>
      <c r="K52" s="6"/>
      <c r="L52" s="4"/>
      <c r="M52" s="4"/>
      <c r="N52" s="4"/>
      <c r="O52" t="str">
        <f t="shared" si="10"/>
        <v>CLP</v>
      </c>
      <c r="P52" t="str">
        <f>IF(D52="","",IF(O52="USD",D52*'10_Apertura'!$C$12,D52))</f>
        <v/>
      </c>
      <c r="Q52" t="str">
        <f>IF(E52="","",IF(O52="USD",E52*'10_Apertura'!$C$12,E52))</f>
        <v/>
      </c>
      <c r="R52" t="str">
        <f>IF(F52="","",IF(O52="USD",F52*'10_Apertura'!$C$12,F52))</f>
        <v/>
      </c>
      <c r="S52" t="str">
        <f>IF(G52="","",IF(O52="USD",G52*'10_Apertura'!$C$12,G52))</f>
        <v/>
      </c>
      <c r="T52" t="str">
        <f t="shared" si="11"/>
        <v/>
      </c>
    </row>
    <row r="53" spans="1:20" ht="1.9" customHeight="1">
      <c r="A53" s="23"/>
      <c r="B53" s="6"/>
      <c r="C53" s="6"/>
      <c r="D53" s="19"/>
      <c r="E53" s="19"/>
      <c r="F53" s="19"/>
      <c r="G53" s="19"/>
      <c r="H53" s="19" t="str">
        <f t="shared" si="8"/>
        <v/>
      </c>
      <c r="I53" s="29" t="str">
        <f t="shared" si="9"/>
        <v/>
      </c>
      <c r="J53" s="6"/>
      <c r="K53" s="6"/>
      <c r="L53" s="4"/>
      <c r="M53" s="4"/>
      <c r="N53" s="4"/>
      <c r="O53" t="str">
        <f t="shared" si="10"/>
        <v>CLP</v>
      </c>
      <c r="P53" t="str">
        <f>IF(D53="","",IF(O53="USD",D53*'10_Apertura'!$C$12,D53))</f>
        <v/>
      </c>
      <c r="Q53" t="str">
        <f>IF(E53="","",IF(O53="USD",E53*'10_Apertura'!$C$12,E53))</f>
        <v/>
      </c>
      <c r="R53" t="str">
        <f>IF(F53="","",IF(O53="USD",F53*'10_Apertura'!$C$12,F53))</f>
        <v/>
      </c>
      <c r="S53" t="str">
        <f>IF(G53="","",IF(O53="USD",G53*'10_Apertura'!$C$12,G53))</f>
        <v/>
      </c>
      <c r="T53" t="str">
        <f t="shared" si="11"/>
        <v/>
      </c>
    </row>
    <row r="54" spans="1:20" ht="1.9" customHeight="1">
      <c r="A54" s="23"/>
      <c r="B54" s="6"/>
      <c r="C54" s="6"/>
      <c r="D54" s="19"/>
      <c r="E54" s="19"/>
      <c r="F54" s="19"/>
      <c r="G54" s="19"/>
      <c r="H54" s="19" t="str">
        <f t="shared" si="8"/>
        <v/>
      </c>
      <c r="I54" s="29" t="str">
        <f t="shared" si="9"/>
        <v/>
      </c>
      <c r="J54" s="6"/>
      <c r="K54" s="6"/>
      <c r="L54" s="4"/>
      <c r="M54" s="4"/>
      <c r="N54" s="4"/>
      <c r="O54" t="str">
        <f t="shared" si="10"/>
        <v>CLP</v>
      </c>
      <c r="P54" t="str">
        <f>IF(D54="","",IF(O54="USD",D54*'10_Apertura'!$C$12,D54))</f>
        <v/>
      </c>
      <c r="Q54" t="str">
        <f>IF(E54="","",IF(O54="USD",E54*'10_Apertura'!$C$12,E54))</f>
        <v/>
      </c>
      <c r="R54" t="str">
        <f>IF(F54="","",IF(O54="USD",F54*'10_Apertura'!$C$12,F54))</f>
        <v/>
      </c>
      <c r="S54" t="str">
        <f>IF(G54="","",IF(O54="USD",G54*'10_Apertura'!$C$12,G54))</f>
        <v/>
      </c>
      <c r="T54" t="str">
        <f t="shared" si="11"/>
        <v/>
      </c>
    </row>
    <row r="55" spans="1:20" ht="1.9" customHeight="1">
      <c r="A55" s="23"/>
      <c r="B55" s="6"/>
      <c r="C55" s="6"/>
      <c r="D55" s="19"/>
      <c r="E55" s="19"/>
      <c r="F55" s="19"/>
      <c r="G55" s="19"/>
      <c r="H55" s="19" t="str">
        <f t="shared" si="8"/>
        <v/>
      </c>
      <c r="I55" s="29" t="str">
        <f t="shared" si="9"/>
        <v/>
      </c>
      <c r="J55" s="6"/>
      <c r="K55" s="6"/>
      <c r="L55" s="4"/>
      <c r="M55" s="4"/>
      <c r="N55" s="4"/>
      <c r="O55" t="str">
        <f t="shared" si="10"/>
        <v>CLP</v>
      </c>
      <c r="P55" t="str">
        <f>IF(D55="","",IF(O55="USD",D55*'10_Apertura'!$C$12,D55))</f>
        <v/>
      </c>
      <c r="Q55" t="str">
        <f>IF(E55="","",IF(O55="USD",E55*'10_Apertura'!$C$12,E55))</f>
        <v/>
      </c>
      <c r="R55" t="str">
        <f>IF(F55="","",IF(O55="USD",F55*'10_Apertura'!$C$12,F55))</f>
        <v/>
      </c>
      <c r="S55" t="str">
        <f>IF(G55="","",IF(O55="USD",G55*'10_Apertura'!$C$12,G55))</f>
        <v/>
      </c>
      <c r="T55" t="str">
        <f t="shared" si="11"/>
        <v/>
      </c>
    </row>
    <row r="56" spans="1:20" ht="1.9" customHeight="1">
      <c r="A56" s="23"/>
      <c r="B56" s="6"/>
      <c r="C56" s="6"/>
      <c r="D56" s="19"/>
      <c r="E56" s="19"/>
      <c r="F56" s="19"/>
      <c r="G56" s="19"/>
      <c r="H56" s="19" t="str">
        <f t="shared" si="8"/>
        <v/>
      </c>
      <c r="I56" s="29" t="str">
        <f t="shared" si="9"/>
        <v/>
      </c>
      <c r="J56" s="6"/>
      <c r="K56" s="6"/>
      <c r="L56" s="4"/>
      <c r="M56" s="4"/>
      <c r="N56" s="4"/>
      <c r="O56" t="str">
        <f t="shared" si="10"/>
        <v>CLP</v>
      </c>
      <c r="P56" t="str">
        <f>IF(D56="","",IF(O56="USD",D56*'10_Apertura'!$C$12,D56))</f>
        <v/>
      </c>
      <c r="Q56" t="str">
        <f>IF(E56="","",IF(O56="USD",E56*'10_Apertura'!$C$12,E56))</f>
        <v/>
      </c>
      <c r="R56" t="str">
        <f>IF(F56="","",IF(O56="USD",F56*'10_Apertura'!$C$12,F56))</f>
        <v/>
      </c>
      <c r="S56" t="str">
        <f>IF(G56="","",IF(O56="USD",G56*'10_Apertura'!$C$12,G56))</f>
        <v/>
      </c>
      <c r="T56" t="str">
        <f t="shared" si="11"/>
        <v/>
      </c>
    </row>
    <row r="57" spans="1:20" ht="1.9" customHeight="1">
      <c r="A57" s="23"/>
      <c r="B57" s="6"/>
      <c r="C57" s="6"/>
      <c r="D57" s="19"/>
      <c r="E57" s="19"/>
      <c r="F57" s="19"/>
      <c r="G57" s="19"/>
      <c r="H57" s="19" t="str">
        <f t="shared" si="8"/>
        <v/>
      </c>
      <c r="I57" s="29" t="str">
        <f t="shared" si="9"/>
        <v/>
      </c>
      <c r="J57" s="6"/>
      <c r="K57" s="6"/>
      <c r="L57" s="4"/>
      <c r="M57" s="4"/>
      <c r="N57" s="4"/>
      <c r="O57" t="str">
        <f t="shared" si="10"/>
        <v>CLP</v>
      </c>
      <c r="P57" t="str">
        <f>IF(D57="","",IF(O57="USD",D57*'10_Apertura'!$C$12,D57))</f>
        <v/>
      </c>
      <c r="Q57" t="str">
        <f>IF(E57="","",IF(O57="USD",E57*'10_Apertura'!$C$12,E57))</f>
        <v/>
      </c>
      <c r="R57" t="str">
        <f>IF(F57="","",IF(O57="USD",F57*'10_Apertura'!$C$12,F57))</f>
        <v/>
      </c>
      <c r="S57" t="str">
        <f>IF(G57="","",IF(O57="USD",G57*'10_Apertura'!$C$12,G57))</f>
        <v/>
      </c>
      <c r="T57" t="str">
        <f t="shared" si="11"/>
        <v/>
      </c>
    </row>
    <row r="58" spans="1:20" ht="1.9" customHeight="1">
      <c r="A58" s="23"/>
      <c r="B58" s="6"/>
      <c r="C58" s="6"/>
      <c r="D58" s="19"/>
      <c r="E58" s="19"/>
      <c r="F58" s="19"/>
      <c r="G58" s="19"/>
      <c r="H58" s="19" t="str">
        <f t="shared" si="8"/>
        <v/>
      </c>
      <c r="I58" s="29" t="str">
        <f t="shared" si="9"/>
        <v/>
      </c>
      <c r="J58" s="6"/>
      <c r="K58" s="6"/>
      <c r="L58" s="4"/>
      <c r="M58" s="4"/>
      <c r="N58" s="4"/>
      <c r="O58" t="str">
        <f t="shared" si="10"/>
        <v>CLP</v>
      </c>
      <c r="P58" t="str">
        <f>IF(D58="","",IF(O58="USD",D58*'10_Apertura'!$C$12,D58))</f>
        <v/>
      </c>
      <c r="Q58" t="str">
        <f>IF(E58="","",IF(O58="USD",E58*'10_Apertura'!$C$12,E58))</f>
        <v/>
      </c>
      <c r="R58" t="str">
        <f>IF(F58="","",IF(O58="USD",F58*'10_Apertura'!$C$12,F58))</f>
        <v/>
      </c>
      <c r="S58" t="str">
        <f>IF(G58="","",IF(O58="USD",G58*'10_Apertura'!$C$12,G58))</f>
        <v/>
      </c>
      <c r="T58" t="str">
        <f t="shared" si="11"/>
        <v/>
      </c>
    </row>
    <row r="59" spans="1:20" ht="1.9" customHeight="1">
      <c r="A59" s="23"/>
      <c r="B59" s="6"/>
      <c r="C59" s="6"/>
      <c r="D59" s="19"/>
      <c r="E59" s="19"/>
      <c r="F59" s="19"/>
      <c r="G59" s="19"/>
      <c r="H59" s="19" t="str">
        <f t="shared" si="8"/>
        <v/>
      </c>
      <c r="I59" s="29" t="str">
        <f t="shared" si="9"/>
        <v/>
      </c>
      <c r="J59" s="6"/>
      <c r="K59" s="6"/>
      <c r="L59" s="4"/>
      <c r="M59" s="4"/>
      <c r="N59" s="4"/>
      <c r="O59" t="str">
        <f t="shared" si="10"/>
        <v>CLP</v>
      </c>
      <c r="P59" t="str">
        <f>IF(D59="","",IF(O59="USD",D59*'10_Apertura'!$C$12,D59))</f>
        <v/>
      </c>
      <c r="Q59" t="str">
        <f>IF(E59="","",IF(O59="USD",E59*'10_Apertura'!$C$12,E59))</f>
        <v/>
      </c>
      <c r="R59" t="str">
        <f>IF(F59="","",IF(O59="USD",F59*'10_Apertura'!$C$12,F59))</f>
        <v/>
      </c>
      <c r="S59" t="str">
        <f>IF(G59="","",IF(O59="USD",G59*'10_Apertura'!$C$12,G59))</f>
        <v/>
      </c>
      <c r="T59" t="str">
        <f t="shared" si="11"/>
        <v/>
      </c>
    </row>
    <row r="60" spans="1:20" ht="1.9" customHeight="1">
      <c r="A60" s="23"/>
      <c r="B60" s="6"/>
      <c r="C60" s="6"/>
      <c r="D60" s="19"/>
      <c r="E60" s="19"/>
      <c r="F60" s="19"/>
      <c r="G60" s="19"/>
      <c r="H60" s="19" t="str">
        <f t="shared" si="8"/>
        <v/>
      </c>
      <c r="I60" s="29" t="str">
        <f t="shared" si="9"/>
        <v/>
      </c>
      <c r="J60" s="6"/>
      <c r="K60" s="6"/>
      <c r="L60" s="4"/>
      <c r="M60" s="4"/>
      <c r="N60" s="4"/>
      <c r="O60" t="str">
        <f t="shared" si="10"/>
        <v>CLP</v>
      </c>
      <c r="P60" t="str">
        <f>IF(D60="","",IF(O60="USD",D60*'10_Apertura'!$C$12,D60))</f>
        <v/>
      </c>
      <c r="Q60" t="str">
        <f>IF(E60="","",IF(O60="USD",E60*'10_Apertura'!$C$12,E60))</f>
        <v/>
      </c>
      <c r="R60" t="str">
        <f>IF(F60="","",IF(O60="USD",F60*'10_Apertura'!$C$12,F60))</f>
        <v/>
      </c>
      <c r="S60" t="str">
        <f>IF(G60="","",IF(O60="USD",G60*'10_Apertura'!$C$12,G60))</f>
        <v/>
      </c>
      <c r="T60" t="str">
        <f t="shared" si="11"/>
        <v/>
      </c>
    </row>
    <row r="61" spans="1:20" ht="1.9" customHeight="1">
      <c r="A61" s="23"/>
      <c r="B61" s="6"/>
      <c r="C61" s="6"/>
      <c r="D61" s="19"/>
      <c r="E61" s="19"/>
      <c r="F61" s="19"/>
      <c r="G61" s="19"/>
      <c r="H61" s="19" t="str">
        <f t="shared" si="8"/>
        <v/>
      </c>
      <c r="I61" s="29" t="str">
        <f t="shared" si="9"/>
        <v/>
      </c>
      <c r="J61" s="6"/>
      <c r="K61" s="6"/>
      <c r="L61" s="4"/>
      <c r="M61" s="4"/>
      <c r="N61" s="4"/>
      <c r="O61" t="str">
        <f t="shared" si="10"/>
        <v>CLP</v>
      </c>
      <c r="P61" t="str">
        <f>IF(D61="","",IF(O61="USD",D61*'10_Apertura'!$C$12,D61))</f>
        <v/>
      </c>
      <c r="Q61" t="str">
        <f>IF(E61="","",IF(O61="USD",E61*'10_Apertura'!$C$12,E61))</f>
        <v/>
      </c>
      <c r="R61" t="str">
        <f>IF(F61="","",IF(O61="USD",F61*'10_Apertura'!$C$12,F61))</f>
        <v/>
      </c>
      <c r="S61" t="str">
        <f>IF(G61="","",IF(O61="USD",G61*'10_Apertura'!$C$12,G61))</f>
        <v/>
      </c>
      <c r="T61" t="str">
        <f t="shared" si="11"/>
        <v/>
      </c>
    </row>
    <row r="62" spans="1:20" ht="1.9" customHeight="1">
      <c r="A62" s="23"/>
      <c r="B62" s="6"/>
      <c r="C62" s="6"/>
      <c r="D62" s="19"/>
      <c r="E62" s="19"/>
      <c r="F62" s="19"/>
      <c r="G62" s="19"/>
      <c r="H62" s="19" t="str">
        <f t="shared" si="8"/>
        <v/>
      </c>
      <c r="I62" s="29" t="str">
        <f t="shared" si="9"/>
        <v/>
      </c>
      <c r="J62" s="6"/>
      <c r="K62" s="6"/>
      <c r="L62" s="4"/>
      <c r="M62" s="4"/>
      <c r="N62" s="4"/>
      <c r="O62" t="str">
        <f t="shared" si="10"/>
        <v>CLP</v>
      </c>
      <c r="P62" t="str">
        <f>IF(D62="","",IF(O62="USD",D62*'10_Apertura'!$C$12,D62))</f>
        <v/>
      </c>
      <c r="Q62" t="str">
        <f>IF(E62="","",IF(O62="USD",E62*'10_Apertura'!$C$12,E62))</f>
        <v/>
      </c>
      <c r="R62" t="str">
        <f>IF(F62="","",IF(O62="USD",F62*'10_Apertura'!$C$12,F62))</f>
        <v/>
      </c>
      <c r="S62" t="str">
        <f>IF(G62="","",IF(O62="USD",G62*'10_Apertura'!$C$12,G62))</f>
        <v/>
      </c>
      <c r="T62" t="str">
        <f t="shared" si="11"/>
        <v/>
      </c>
    </row>
    <row r="63" spans="1:20" ht="1.9" customHeight="1">
      <c r="A63" s="23"/>
      <c r="B63" s="6"/>
      <c r="C63" s="6"/>
      <c r="D63" s="19"/>
      <c r="E63" s="19"/>
      <c r="F63" s="19"/>
      <c r="G63" s="19"/>
      <c r="H63" s="19" t="str">
        <f t="shared" si="8"/>
        <v/>
      </c>
      <c r="I63" s="29" t="str">
        <f t="shared" si="9"/>
        <v/>
      </c>
      <c r="J63" s="6"/>
      <c r="K63" s="6"/>
      <c r="L63" s="4"/>
      <c r="M63" s="4"/>
      <c r="N63" s="4"/>
      <c r="O63" t="str">
        <f t="shared" si="10"/>
        <v>CLP</v>
      </c>
      <c r="P63" t="str">
        <f>IF(D63="","",IF(O63="USD",D63*'10_Apertura'!$C$12,D63))</f>
        <v/>
      </c>
      <c r="Q63" t="str">
        <f>IF(E63="","",IF(O63="USD",E63*'10_Apertura'!$C$12,E63))</f>
        <v/>
      </c>
      <c r="R63" t="str">
        <f>IF(F63="","",IF(O63="USD",F63*'10_Apertura'!$C$12,F63))</f>
        <v/>
      </c>
      <c r="S63" t="str">
        <f>IF(G63="","",IF(O63="USD",G63*'10_Apertura'!$C$12,G63))</f>
        <v/>
      </c>
      <c r="T63" t="str">
        <f t="shared" si="11"/>
        <v/>
      </c>
    </row>
    <row r="64" spans="1:20" ht="1.9" customHeight="1">
      <c r="A64" s="23"/>
      <c r="B64" s="6"/>
      <c r="C64" s="6"/>
      <c r="D64" s="19"/>
      <c r="E64" s="19"/>
      <c r="F64" s="19"/>
      <c r="G64" s="19"/>
      <c r="H64" s="19" t="str">
        <f t="shared" si="8"/>
        <v/>
      </c>
      <c r="I64" s="29" t="str">
        <f t="shared" si="9"/>
        <v/>
      </c>
      <c r="J64" s="6"/>
      <c r="K64" s="6"/>
      <c r="L64" s="4"/>
      <c r="M64" s="4"/>
      <c r="N64" s="4"/>
      <c r="O64" t="str">
        <f t="shared" si="10"/>
        <v>CLP</v>
      </c>
      <c r="P64" t="str">
        <f>IF(D64="","",IF(O64="USD",D64*'10_Apertura'!$C$12,D64))</f>
        <v/>
      </c>
      <c r="Q64" t="str">
        <f>IF(E64="","",IF(O64="USD",E64*'10_Apertura'!$C$12,E64))</f>
        <v/>
      </c>
      <c r="R64" t="str">
        <f>IF(F64="","",IF(O64="USD",F64*'10_Apertura'!$C$12,F64))</f>
        <v/>
      </c>
      <c r="S64" t="str">
        <f>IF(G64="","",IF(O64="USD",G64*'10_Apertura'!$C$12,G64))</f>
        <v/>
      </c>
      <c r="T64" t="str">
        <f t="shared" si="11"/>
        <v/>
      </c>
    </row>
    <row r="65" spans="1:20" ht="1.9" customHeight="1">
      <c r="A65" s="23"/>
      <c r="B65" s="6"/>
      <c r="C65" s="6"/>
      <c r="D65" s="19"/>
      <c r="E65" s="19"/>
      <c r="F65" s="19"/>
      <c r="G65" s="19"/>
      <c r="H65" s="19" t="str">
        <f t="shared" si="8"/>
        <v/>
      </c>
      <c r="I65" s="29" t="str">
        <f t="shared" si="9"/>
        <v/>
      </c>
      <c r="J65" s="6"/>
      <c r="K65" s="6"/>
      <c r="L65" s="4"/>
      <c r="M65" s="4"/>
      <c r="N65" s="4"/>
      <c r="O65" t="str">
        <f t="shared" si="10"/>
        <v>CLP</v>
      </c>
      <c r="P65" t="str">
        <f>IF(D65="","",IF(O65="USD",D65*'10_Apertura'!$C$12,D65))</f>
        <v/>
      </c>
      <c r="Q65" t="str">
        <f>IF(E65="","",IF(O65="USD",E65*'10_Apertura'!$C$12,E65))</f>
        <v/>
      </c>
      <c r="R65" t="str">
        <f>IF(F65="","",IF(O65="USD",F65*'10_Apertura'!$C$12,F65))</f>
        <v/>
      </c>
      <c r="S65" t="str">
        <f>IF(G65="","",IF(O65="USD",G65*'10_Apertura'!$C$12,G65))</f>
        <v/>
      </c>
      <c r="T65" t="str">
        <f t="shared" si="11"/>
        <v/>
      </c>
    </row>
    <row r="66" spans="1:20" ht="1.9" customHeight="1">
      <c r="A66" s="23"/>
      <c r="B66" s="6"/>
      <c r="C66" s="6"/>
      <c r="D66" s="19"/>
      <c r="E66" s="19"/>
      <c r="F66" s="19"/>
      <c r="G66" s="19"/>
      <c r="H66" s="19" t="str">
        <f t="shared" si="8"/>
        <v/>
      </c>
      <c r="I66" s="29" t="str">
        <f t="shared" si="9"/>
        <v/>
      </c>
      <c r="J66" s="6"/>
      <c r="K66" s="6"/>
      <c r="L66" s="4"/>
      <c r="M66" s="4"/>
      <c r="N66" s="4"/>
      <c r="O66" t="str">
        <f t="shared" si="10"/>
        <v>CLP</v>
      </c>
      <c r="P66" t="str">
        <f>IF(D66="","",IF(O66="USD",D66*'10_Apertura'!$C$12,D66))</f>
        <v/>
      </c>
      <c r="Q66" t="str">
        <f>IF(E66="","",IF(O66="USD",E66*'10_Apertura'!$C$12,E66))</f>
        <v/>
      </c>
      <c r="R66" t="str">
        <f>IF(F66="","",IF(O66="USD",F66*'10_Apertura'!$C$12,F66))</f>
        <v/>
      </c>
      <c r="S66" t="str">
        <f>IF(G66="","",IF(O66="USD",G66*'10_Apertura'!$C$12,G66))</f>
        <v/>
      </c>
      <c r="T66" t="str">
        <f t="shared" si="11"/>
        <v/>
      </c>
    </row>
    <row r="67" spans="1:20" ht="1.9" customHeight="1">
      <c r="A67" s="23"/>
      <c r="B67" s="6"/>
      <c r="C67" s="6"/>
      <c r="D67" s="19"/>
      <c r="E67" s="19"/>
      <c r="F67" s="19"/>
      <c r="G67" s="19"/>
      <c r="H67" s="19" t="str">
        <f t="shared" si="8"/>
        <v/>
      </c>
      <c r="I67" s="29" t="str">
        <f t="shared" si="9"/>
        <v/>
      </c>
      <c r="J67" s="6"/>
      <c r="K67" s="6"/>
      <c r="L67" s="4"/>
      <c r="M67" s="4"/>
      <c r="N67" s="4"/>
      <c r="O67" t="str">
        <f t="shared" si="10"/>
        <v>CLP</v>
      </c>
      <c r="P67" t="str">
        <f>IF(D67="","",IF(O67="USD",D67*'10_Apertura'!$C$12,D67))</f>
        <v/>
      </c>
      <c r="Q67" t="str">
        <f>IF(E67="","",IF(O67="USD",E67*'10_Apertura'!$C$12,E67))</f>
        <v/>
      </c>
      <c r="R67" t="str">
        <f>IF(F67="","",IF(O67="USD",F67*'10_Apertura'!$C$12,F67))</f>
        <v/>
      </c>
      <c r="S67" t="str">
        <f>IF(G67="","",IF(O67="USD",G67*'10_Apertura'!$C$12,G67))</f>
        <v/>
      </c>
      <c r="T67" t="str">
        <f t="shared" si="11"/>
        <v/>
      </c>
    </row>
    <row r="68" spans="1:20" ht="1.9" customHeight="1">
      <c r="A68" s="23"/>
      <c r="B68" s="6"/>
      <c r="C68" s="6"/>
      <c r="D68" s="19"/>
      <c r="E68" s="19"/>
      <c r="F68" s="19"/>
      <c r="G68" s="19"/>
      <c r="H68" s="19" t="str">
        <f t="shared" si="8"/>
        <v/>
      </c>
      <c r="I68" s="29" t="str">
        <f t="shared" si="9"/>
        <v/>
      </c>
      <c r="J68" s="6"/>
      <c r="K68" s="6"/>
      <c r="L68" s="4"/>
      <c r="M68" s="4"/>
      <c r="N68" s="4"/>
      <c r="O68" t="str">
        <f t="shared" si="10"/>
        <v>CLP</v>
      </c>
      <c r="P68" t="str">
        <f>IF(D68="","",IF(O68="USD",D68*'10_Apertura'!$C$12,D68))</f>
        <v/>
      </c>
      <c r="Q68" t="str">
        <f>IF(E68="","",IF(O68="USD",E68*'10_Apertura'!$C$12,E68))</f>
        <v/>
      </c>
      <c r="R68" t="str">
        <f>IF(F68="","",IF(O68="USD",F68*'10_Apertura'!$C$12,F68))</f>
        <v/>
      </c>
      <c r="S68" t="str">
        <f>IF(G68="","",IF(O68="USD",G68*'10_Apertura'!$C$12,G68))</f>
        <v/>
      </c>
      <c r="T68" t="str">
        <f t="shared" si="11"/>
        <v/>
      </c>
    </row>
    <row r="69" spans="1:20" ht="1.9" customHeight="1">
      <c r="A69" s="23"/>
      <c r="B69" s="6"/>
      <c r="C69" s="6"/>
      <c r="D69" s="19"/>
      <c r="E69" s="19"/>
      <c r="F69" s="19"/>
      <c r="G69" s="19"/>
      <c r="H69" s="19" t="str">
        <f t="shared" ref="H69:H100" si="12">IF(OR(G69="",F69=""),"",G69-F69+IF(E69="",0,E69)-IF(D69="",0,D69))</f>
        <v/>
      </c>
      <c r="I69" s="29" t="str">
        <f t="shared" ref="I69:I100" si="13">IFERROR(H69/MAX(1,F69+IF(D69="",0,D69)-IF(E69="",0,E69)),"")</f>
        <v/>
      </c>
      <c r="J69" s="6"/>
      <c r="K69" s="6"/>
      <c r="L69" s="4"/>
      <c r="M69" s="4"/>
      <c r="N69" s="4"/>
      <c r="O69" t="str">
        <f t="shared" ref="O69:O100" si="14">IF(OR(B69="TQQQ",B69="SOXX"),"USD","CLP")</f>
        <v>CLP</v>
      </c>
      <c r="P69" t="str">
        <f>IF(D69="","",IF(O69="USD",D69*'10_Apertura'!$C$12,D69))</f>
        <v/>
      </c>
      <c r="Q69" t="str">
        <f>IF(E69="","",IF(O69="USD",E69*'10_Apertura'!$C$12,E69))</f>
        <v/>
      </c>
      <c r="R69" t="str">
        <f>IF(F69="","",IF(O69="USD",F69*'10_Apertura'!$C$12,F69))</f>
        <v/>
      </c>
      <c r="S69" t="str">
        <f>IF(G69="","",IF(O69="USD",G69*'10_Apertura'!$C$12,G69))</f>
        <v/>
      </c>
      <c r="T69" t="str">
        <f t="shared" ref="T69:T100" si="15">IF(OR(S69="",R69=""),"",S69-R69+IF(Q69="",0,Q69)-IF(P69="",0,P69))</f>
        <v/>
      </c>
    </row>
    <row r="70" spans="1:20" ht="1.9" customHeight="1">
      <c r="A70" s="23"/>
      <c r="B70" s="6"/>
      <c r="C70" s="6"/>
      <c r="D70" s="19"/>
      <c r="E70" s="19"/>
      <c r="F70" s="19"/>
      <c r="G70" s="19"/>
      <c r="H70" s="19" t="str">
        <f t="shared" si="12"/>
        <v/>
      </c>
      <c r="I70" s="29" t="str">
        <f t="shared" si="13"/>
        <v/>
      </c>
      <c r="J70" s="6"/>
      <c r="K70" s="6"/>
      <c r="L70" s="4"/>
      <c r="M70" s="4"/>
      <c r="N70" s="4"/>
      <c r="O70" t="str">
        <f t="shared" si="14"/>
        <v>CLP</v>
      </c>
      <c r="P70" t="str">
        <f>IF(D70="","",IF(O70="USD",D70*'10_Apertura'!$C$12,D70))</f>
        <v/>
      </c>
      <c r="Q70" t="str">
        <f>IF(E70="","",IF(O70="USD",E70*'10_Apertura'!$C$12,E70))</f>
        <v/>
      </c>
      <c r="R70" t="str">
        <f>IF(F70="","",IF(O70="USD",F70*'10_Apertura'!$C$12,F70))</f>
        <v/>
      </c>
      <c r="S70" t="str">
        <f>IF(G70="","",IF(O70="USD",G70*'10_Apertura'!$C$12,G70))</f>
        <v/>
      </c>
      <c r="T70" t="str">
        <f t="shared" si="15"/>
        <v/>
      </c>
    </row>
    <row r="71" spans="1:20" ht="1.9" customHeight="1">
      <c r="A71" s="23"/>
      <c r="B71" s="6"/>
      <c r="C71" s="6"/>
      <c r="D71" s="19"/>
      <c r="E71" s="19"/>
      <c r="F71" s="19"/>
      <c r="G71" s="19"/>
      <c r="H71" s="19" t="str">
        <f t="shared" si="12"/>
        <v/>
      </c>
      <c r="I71" s="29" t="str">
        <f t="shared" si="13"/>
        <v/>
      </c>
      <c r="J71" s="6"/>
      <c r="K71" s="6"/>
      <c r="L71" s="4"/>
      <c r="M71" s="4"/>
      <c r="N71" s="4"/>
      <c r="O71" t="str">
        <f t="shared" si="14"/>
        <v>CLP</v>
      </c>
      <c r="P71" t="str">
        <f>IF(D71="","",IF(O71="USD",D71*'10_Apertura'!$C$12,D71))</f>
        <v/>
      </c>
      <c r="Q71" t="str">
        <f>IF(E71="","",IF(O71="USD",E71*'10_Apertura'!$C$12,E71))</f>
        <v/>
      </c>
      <c r="R71" t="str">
        <f>IF(F71="","",IF(O71="USD",F71*'10_Apertura'!$C$12,F71))</f>
        <v/>
      </c>
      <c r="S71" t="str">
        <f>IF(G71="","",IF(O71="USD",G71*'10_Apertura'!$C$12,G71))</f>
        <v/>
      </c>
      <c r="T71" t="str">
        <f t="shared" si="15"/>
        <v/>
      </c>
    </row>
    <row r="72" spans="1:20" ht="1.9" customHeight="1">
      <c r="A72" s="23"/>
      <c r="B72" s="6"/>
      <c r="C72" s="6"/>
      <c r="D72" s="19"/>
      <c r="E72" s="19"/>
      <c r="F72" s="19"/>
      <c r="G72" s="19"/>
      <c r="H72" s="19" t="str">
        <f t="shared" si="12"/>
        <v/>
      </c>
      <c r="I72" s="29" t="str">
        <f t="shared" si="13"/>
        <v/>
      </c>
      <c r="J72" s="6"/>
      <c r="K72" s="6"/>
      <c r="L72" s="4"/>
      <c r="M72" s="4"/>
      <c r="N72" s="4"/>
      <c r="O72" t="str">
        <f t="shared" si="14"/>
        <v>CLP</v>
      </c>
      <c r="P72" t="str">
        <f>IF(D72="","",IF(O72="USD",D72*'10_Apertura'!$C$12,D72))</f>
        <v/>
      </c>
      <c r="Q72" t="str">
        <f>IF(E72="","",IF(O72="USD",E72*'10_Apertura'!$C$12,E72))</f>
        <v/>
      </c>
      <c r="R72" t="str">
        <f>IF(F72="","",IF(O72="USD",F72*'10_Apertura'!$C$12,F72))</f>
        <v/>
      </c>
      <c r="S72" t="str">
        <f>IF(G72="","",IF(O72="USD",G72*'10_Apertura'!$C$12,G72))</f>
        <v/>
      </c>
      <c r="T72" t="str">
        <f t="shared" si="15"/>
        <v/>
      </c>
    </row>
    <row r="73" spans="1:20" ht="1.9" customHeight="1">
      <c r="A73" s="23"/>
      <c r="B73" s="6"/>
      <c r="C73" s="6"/>
      <c r="D73" s="19"/>
      <c r="E73" s="19"/>
      <c r="F73" s="19"/>
      <c r="G73" s="19"/>
      <c r="H73" s="19" t="str">
        <f t="shared" si="12"/>
        <v/>
      </c>
      <c r="I73" s="29" t="str">
        <f t="shared" si="13"/>
        <v/>
      </c>
      <c r="J73" s="6"/>
      <c r="K73" s="6"/>
      <c r="L73" s="4"/>
      <c r="M73" s="4"/>
      <c r="N73" s="4"/>
      <c r="O73" t="str">
        <f t="shared" si="14"/>
        <v>CLP</v>
      </c>
      <c r="P73" t="str">
        <f>IF(D73="","",IF(O73="USD",D73*'10_Apertura'!$C$12,D73))</f>
        <v/>
      </c>
      <c r="Q73" t="str">
        <f>IF(E73="","",IF(O73="USD",E73*'10_Apertura'!$C$12,E73))</f>
        <v/>
      </c>
      <c r="R73" t="str">
        <f>IF(F73="","",IF(O73="USD",F73*'10_Apertura'!$C$12,F73))</f>
        <v/>
      </c>
      <c r="S73" t="str">
        <f>IF(G73="","",IF(O73="USD",G73*'10_Apertura'!$C$12,G73))</f>
        <v/>
      </c>
      <c r="T73" t="str">
        <f t="shared" si="15"/>
        <v/>
      </c>
    </row>
    <row r="74" spans="1:20" ht="1.9" customHeight="1">
      <c r="A74" s="23"/>
      <c r="B74" s="6"/>
      <c r="C74" s="6"/>
      <c r="D74" s="19"/>
      <c r="E74" s="19"/>
      <c r="F74" s="19"/>
      <c r="G74" s="19"/>
      <c r="H74" s="19" t="str">
        <f t="shared" si="12"/>
        <v/>
      </c>
      <c r="I74" s="29" t="str">
        <f t="shared" si="13"/>
        <v/>
      </c>
      <c r="J74" s="6"/>
      <c r="K74" s="6"/>
      <c r="L74" s="4"/>
      <c r="M74" s="4"/>
      <c r="N74" s="4"/>
      <c r="O74" t="str">
        <f t="shared" si="14"/>
        <v>CLP</v>
      </c>
      <c r="P74" t="str">
        <f>IF(D74="","",IF(O74="USD",D74*'10_Apertura'!$C$12,D74))</f>
        <v/>
      </c>
      <c r="Q74" t="str">
        <f>IF(E74="","",IF(O74="USD",E74*'10_Apertura'!$C$12,E74))</f>
        <v/>
      </c>
      <c r="R74" t="str">
        <f>IF(F74="","",IF(O74="USD",F74*'10_Apertura'!$C$12,F74))</f>
        <v/>
      </c>
      <c r="S74" t="str">
        <f>IF(G74="","",IF(O74="USD",G74*'10_Apertura'!$C$12,G74))</f>
        <v/>
      </c>
      <c r="T74" t="str">
        <f t="shared" si="15"/>
        <v/>
      </c>
    </row>
    <row r="75" spans="1:20" ht="1.9" customHeight="1">
      <c r="A75" s="23"/>
      <c r="B75" s="6"/>
      <c r="C75" s="6"/>
      <c r="D75" s="19"/>
      <c r="E75" s="19"/>
      <c r="F75" s="19"/>
      <c r="G75" s="19"/>
      <c r="H75" s="19" t="str">
        <f t="shared" si="12"/>
        <v/>
      </c>
      <c r="I75" s="29" t="str">
        <f t="shared" si="13"/>
        <v/>
      </c>
      <c r="J75" s="6"/>
      <c r="K75" s="6"/>
      <c r="L75" s="4"/>
      <c r="M75" s="4"/>
      <c r="N75" s="4"/>
      <c r="O75" t="str">
        <f t="shared" si="14"/>
        <v>CLP</v>
      </c>
      <c r="P75" t="str">
        <f>IF(D75="","",IF(O75="USD",D75*'10_Apertura'!$C$12,D75))</f>
        <v/>
      </c>
      <c r="Q75" t="str">
        <f>IF(E75="","",IF(O75="USD",E75*'10_Apertura'!$C$12,E75))</f>
        <v/>
      </c>
      <c r="R75" t="str">
        <f>IF(F75="","",IF(O75="USD",F75*'10_Apertura'!$C$12,F75))</f>
        <v/>
      </c>
      <c r="S75" t="str">
        <f>IF(G75="","",IF(O75="USD",G75*'10_Apertura'!$C$12,G75))</f>
        <v/>
      </c>
      <c r="T75" t="str">
        <f t="shared" si="15"/>
        <v/>
      </c>
    </row>
    <row r="76" spans="1:20" ht="1.9" customHeight="1">
      <c r="A76" s="23"/>
      <c r="B76" s="6"/>
      <c r="C76" s="6"/>
      <c r="D76" s="19"/>
      <c r="E76" s="19"/>
      <c r="F76" s="19"/>
      <c r="G76" s="19"/>
      <c r="H76" s="19" t="str">
        <f t="shared" si="12"/>
        <v/>
      </c>
      <c r="I76" s="29" t="str">
        <f t="shared" si="13"/>
        <v/>
      </c>
      <c r="J76" s="6"/>
      <c r="K76" s="6"/>
      <c r="L76" s="4"/>
      <c r="M76" s="4"/>
      <c r="N76" s="4"/>
      <c r="O76" t="str">
        <f t="shared" si="14"/>
        <v>CLP</v>
      </c>
      <c r="P76" t="str">
        <f>IF(D76="","",IF(O76="USD",D76*'10_Apertura'!$C$12,D76))</f>
        <v/>
      </c>
      <c r="Q76" t="str">
        <f>IF(E76="","",IF(O76="USD",E76*'10_Apertura'!$C$12,E76))</f>
        <v/>
      </c>
      <c r="R76" t="str">
        <f>IF(F76="","",IF(O76="USD",F76*'10_Apertura'!$C$12,F76))</f>
        <v/>
      </c>
      <c r="S76" t="str">
        <f>IF(G76="","",IF(O76="USD",G76*'10_Apertura'!$C$12,G76))</f>
        <v/>
      </c>
      <c r="T76" t="str">
        <f t="shared" si="15"/>
        <v/>
      </c>
    </row>
    <row r="77" spans="1:20" ht="1.9" customHeight="1">
      <c r="A77" s="23"/>
      <c r="B77" s="6"/>
      <c r="C77" s="6"/>
      <c r="D77" s="19"/>
      <c r="E77" s="19"/>
      <c r="F77" s="19"/>
      <c r="G77" s="19"/>
      <c r="H77" s="19" t="str">
        <f t="shared" si="12"/>
        <v/>
      </c>
      <c r="I77" s="29" t="str">
        <f t="shared" si="13"/>
        <v/>
      </c>
      <c r="J77" s="6"/>
      <c r="K77" s="6"/>
      <c r="L77" s="4"/>
      <c r="M77" s="4"/>
      <c r="N77" s="4"/>
      <c r="O77" t="str">
        <f t="shared" si="14"/>
        <v>CLP</v>
      </c>
      <c r="P77" t="str">
        <f>IF(D77="","",IF(O77="USD",D77*'10_Apertura'!$C$12,D77))</f>
        <v/>
      </c>
      <c r="Q77" t="str">
        <f>IF(E77="","",IF(O77="USD",E77*'10_Apertura'!$C$12,E77))</f>
        <v/>
      </c>
      <c r="R77" t="str">
        <f>IF(F77="","",IF(O77="USD",F77*'10_Apertura'!$C$12,F77))</f>
        <v/>
      </c>
      <c r="S77" t="str">
        <f>IF(G77="","",IF(O77="USD",G77*'10_Apertura'!$C$12,G77))</f>
        <v/>
      </c>
      <c r="T77" t="str">
        <f t="shared" si="15"/>
        <v/>
      </c>
    </row>
    <row r="78" spans="1:20" ht="1.9" customHeight="1">
      <c r="A78" s="23"/>
      <c r="B78" s="6"/>
      <c r="C78" s="6"/>
      <c r="D78" s="19"/>
      <c r="E78" s="19"/>
      <c r="F78" s="19"/>
      <c r="G78" s="19"/>
      <c r="H78" s="19" t="str">
        <f t="shared" si="12"/>
        <v/>
      </c>
      <c r="I78" s="29" t="str">
        <f t="shared" si="13"/>
        <v/>
      </c>
      <c r="J78" s="6"/>
      <c r="K78" s="6"/>
      <c r="L78" s="4"/>
      <c r="M78" s="4"/>
      <c r="N78" s="4"/>
      <c r="O78" t="str">
        <f t="shared" si="14"/>
        <v>CLP</v>
      </c>
      <c r="P78" t="str">
        <f>IF(D78="","",IF(O78="USD",D78*'10_Apertura'!$C$12,D78))</f>
        <v/>
      </c>
      <c r="Q78" t="str">
        <f>IF(E78="","",IF(O78="USD",E78*'10_Apertura'!$C$12,E78))</f>
        <v/>
      </c>
      <c r="R78" t="str">
        <f>IF(F78="","",IF(O78="USD",F78*'10_Apertura'!$C$12,F78))</f>
        <v/>
      </c>
      <c r="S78" t="str">
        <f>IF(G78="","",IF(O78="USD",G78*'10_Apertura'!$C$12,G78))</f>
        <v/>
      </c>
      <c r="T78" t="str">
        <f t="shared" si="15"/>
        <v/>
      </c>
    </row>
    <row r="79" spans="1:20" ht="1.9" customHeight="1">
      <c r="A79" s="23"/>
      <c r="B79" s="6"/>
      <c r="C79" s="6"/>
      <c r="D79" s="19"/>
      <c r="E79" s="19"/>
      <c r="F79" s="19"/>
      <c r="G79" s="19"/>
      <c r="H79" s="19" t="str">
        <f t="shared" si="12"/>
        <v/>
      </c>
      <c r="I79" s="29" t="str">
        <f t="shared" si="13"/>
        <v/>
      </c>
      <c r="J79" s="6"/>
      <c r="K79" s="6"/>
      <c r="L79" s="4"/>
      <c r="M79" s="4"/>
      <c r="N79" s="4"/>
      <c r="O79" t="str">
        <f t="shared" si="14"/>
        <v>CLP</v>
      </c>
      <c r="P79" t="str">
        <f>IF(D79="","",IF(O79="USD",D79*'10_Apertura'!$C$12,D79))</f>
        <v/>
      </c>
      <c r="Q79" t="str">
        <f>IF(E79="","",IF(O79="USD",E79*'10_Apertura'!$C$12,E79))</f>
        <v/>
      </c>
      <c r="R79" t="str">
        <f>IF(F79="","",IF(O79="USD",F79*'10_Apertura'!$C$12,F79))</f>
        <v/>
      </c>
      <c r="S79" t="str">
        <f>IF(G79="","",IF(O79="USD",G79*'10_Apertura'!$C$12,G79))</f>
        <v/>
      </c>
      <c r="T79" t="str">
        <f t="shared" si="15"/>
        <v/>
      </c>
    </row>
    <row r="80" spans="1:20" ht="1.9" customHeight="1">
      <c r="A80" s="23"/>
      <c r="B80" s="6"/>
      <c r="C80" s="6"/>
      <c r="D80" s="19"/>
      <c r="E80" s="19"/>
      <c r="F80" s="19"/>
      <c r="G80" s="19"/>
      <c r="H80" s="19" t="str">
        <f t="shared" si="12"/>
        <v/>
      </c>
      <c r="I80" s="29" t="str">
        <f t="shared" si="13"/>
        <v/>
      </c>
      <c r="J80" s="6"/>
      <c r="K80" s="6"/>
      <c r="L80" s="4"/>
      <c r="M80" s="4"/>
      <c r="N80" s="4"/>
      <c r="O80" t="str">
        <f t="shared" si="14"/>
        <v>CLP</v>
      </c>
      <c r="P80" t="str">
        <f>IF(D80="","",IF(O80="USD",D80*'10_Apertura'!$C$12,D80))</f>
        <v/>
      </c>
      <c r="Q80" t="str">
        <f>IF(E80="","",IF(O80="USD",E80*'10_Apertura'!$C$12,E80))</f>
        <v/>
      </c>
      <c r="R80" t="str">
        <f>IF(F80="","",IF(O80="USD",F80*'10_Apertura'!$C$12,F80))</f>
        <v/>
      </c>
      <c r="S80" t="str">
        <f>IF(G80="","",IF(O80="USD",G80*'10_Apertura'!$C$12,G80))</f>
        <v/>
      </c>
      <c r="T80" t="str">
        <f t="shared" si="15"/>
        <v/>
      </c>
    </row>
    <row r="81" spans="1:20" ht="1.9" customHeight="1">
      <c r="A81" s="23"/>
      <c r="B81" s="6"/>
      <c r="C81" s="6"/>
      <c r="D81" s="19"/>
      <c r="E81" s="19"/>
      <c r="F81" s="19"/>
      <c r="G81" s="19"/>
      <c r="H81" s="19" t="str">
        <f t="shared" si="12"/>
        <v/>
      </c>
      <c r="I81" s="29" t="str">
        <f t="shared" si="13"/>
        <v/>
      </c>
      <c r="J81" s="6"/>
      <c r="K81" s="6"/>
      <c r="L81" s="4"/>
      <c r="M81" s="4"/>
      <c r="N81" s="4"/>
      <c r="O81" t="str">
        <f t="shared" si="14"/>
        <v>CLP</v>
      </c>
      <c r="P81" t="str">
        <f>IF(D81="","",IF(O81="USD",D81*'10_Apertura'!$C$12,D81))</f>
        <v/>
      </c>
      <c r="Q81" t="str">
        <f>IF(E81="","",IF(O81="USD",E81*'10_Apertura'!$C$12,E81))</f>
        <v/>
      </c>
      <c r="R81" t="str">
        <f>IF(F81="","",IF(O81="USD",F81*'10_Apertura'!$C$12,F81))</f>
        <v/>
      </c>
      <c r="S81" t="str">
        <f>IF(G81="","",IF(O81="USD",G81*'10_Apertura'!$C$12,G81))</f>
        <v/>
      </c>
      <c r="T81" t="str">
        <f t="shared" si="15"/>
        <v/>
      </c>
    </row>
    <row r="82" spans="1:20" ht="1.9" customHeight="1">
      <c r="A82" s="23"/>
      <c r="B82" s="6"/>
      <c r="C82" s="6"/>
      <c r="D82" s="19"/>
      <c r="E82" s="19"/>
      <c r="F82" s="19"/>
      <c r="G82" s="19"/>
      <c r="H82" s="19" t="str">
        <f t="shared" si="12"/>
        <v/>
      </c>
      <c r="I82" s="29" t="str">
        <f t="shared" si="13"/>
        <v/>
      </c>
      <c r="J82" s="6"/>
      <c r="K82" s="6"/>
      <c r="L82" s="4"/>
      <c r="M82" s="4"/>
      <c r="N82" s="4"/>
      <c r="O82" t="str">
        <f t="shared" si="14"/>
        <v>CLP</v>
      </c>
      <c r="P82" t="str">
        <f>IF(D82="","",IF(O82="USD",D82*'10_Apertura'!$C$12,D82))</f>
        <v/>
      </c>
      <c r="Q82" t="str">
        <f>IF(E82="","",IF(O82="USD",E82*'10_Apertura'!$C$12,E82))</f>
        <v/>
      </c>
      <c r="R82" t="str">
        <f>IF(F82="","",IF(O82="USD",F82*'10_Apertura'!$C$12,F82))</f>
        <v/>
      </c>
      <c r="S82" t="str">
        <f>IF(G82="","",IF(O82="USD",G82*'10_Apertura'!$C$12,G82))</f>
        <v/>
      </c>
      <c r="T82" t="str">
        <f t="shared" si="15"/>
        <v/>
      </c>
    </row>
    <row r="83" spans="1:20" ht="1.9" customHeight="1">
      <c r="A83" s="23"/>
      <c r="B83" s="6"/>
      <c r="C83" s="6"/>
      <c r="D83" s="19"/>
      <c r="E83" s="19"/>
      <c r="F83" s="19"/>
      <c r="G83" s="19"/>
      <c r="H83" s="19" t="str">
        <f t="shared" si="12"/>
        <v/>
      </c>
      <c r="I83" s="29" t="str">
        <f t="shared" si="13"/>
        <v/>
      </c>
      <c r="J83" s="6"/>
      <c r="K83" s="6"/>
      <c r="L83" s="4"/>
      <c r="M83" s="4"/>
      <c r="N83" s="4"/>
      <c r="O83" t="str">
        <f t="shared" si="14"/>
        <v>CLP</v>
      </c>
      <c r="P83" t="str">
        <f>IF(D83="","",IF(O83="USD",D83*'10_Apertura'!$C$12,D83))</f>
        <v/>
      </c>
      <c r="Q83" t="str">
        <f>IF(E83="","",IF(O83="USD",E83*'10_Apertura'!$C$12,E83))</f>
        <v/>
      </c>
      <c r="R83" t="str">
        <f>IF(F83="","",IF(O83="USD",F83*'10_Apertura'!$C$12,F83))</f>
        <v/>
      </c>
      <c r="S83" t="str">
        <f>IF(G83="","",IF(O83="USD",G83*'10_Apertura'!$C$12,G83))</f>
        <v/>
      </c>
      <c r="T83" t="str">
        <f t="shared" si="15"/>
        <v/>
      </c>
    </row>
    <row r="84" spans="1:20" ht="1.9" customHeight="1">
      <c r="A84" s="23"/>
      <c r="B84" s="6"/>
      <c r="C84" s="6"/>
      <c r="D84" s="19"/>
      <c r="E84" s="19"/>
      <c r="F84" s="19"/>
      <c r="G84" s="19"/>
      <c r="H84" s="19" t="str">
        <f t="shared" si="12"/>
        <v/>
      </c>
      <c r="I84" s="29" t="str">
        <f t="shared" si="13"/>
        <v/>
      </c>
      <c r="J84" s="6"/>
      <c r="K84" s="6"/>
      <c r="L84" s="4"/>
      <c r="M84" s="4"/>
      <c r="N84" s="4"/>
      <c r="O84" t="str">
        <f t="shared" si="14"/>
        <v>CLP</v>
      </c>
      <c r="P84" t="str">
        <f>IF(D84="","",IF(O84="USD",D84*'10_Apertura'!$C$12,D84))</f>
        <v/>
      </c>
      <c r="Q84" t="str">
        <f>IF(E84="","",IF(O84="USD",E84*'10_Apertura'!$C$12,E84))</f>
        <v/>
      </c>
      <c r="R84" t="str">
        <f>IF(F84="","",IF(O84="USD",F84*'10_Apertura'!$C$12,F84))</f>
        <v/>
      </c>
      <c r="S84" t="str">
        <f>IF(G84="","",IF(O84="USD",G84*'10_Apertura'!$C$12,G84))</f>
        <v/>
      </c>
      <c r="T84" t="str">
        <f t="shared" si="15"/>
        <v/>
      </c>
    </row>
    <row r="85" spans="1:20" ht="1.9" customHeight="1">
      <c r="A85" s="23"/>
      <c r="B85" s="6"/>
      <c r="C85" s="6"/>
      <c r="D85" s="19"/>
      <c r="E85" s="19"/>
      <c r="F85" s="19"/>
      <c r="G85" s="19"/>
      <c r="H85" s="19" t="str">
        <f t="shared" si="12"/>
        <v/>
      </c>
      <c r="I85" s="29" t="str">
        <f t="shared" si="13"/>
        <v/>
      </c>
      <c r="J85" s="6"/>
      <c r="K85" s="6"/>
      <c r="L85" s="4"/>
      <c r="M85" s="4"/>
      <c r="N85" s="4"/>
      <c r="O85" t="str">
        <f t="shared" si="14"/>
        <v>CLP</v>
      </c>
      <c r="P85" t="str">
        <f>IF(D85="","",IF(O85="USD",D85*'10_Apertura'!$C$12,D85))</f>
        <v/>
      </c>
      <c r="Q85" t="str">
        <f>IF(E85="","",IF(O85="USD",E85*'10_Apertura'!$C$12,E85))</f>
        <v/>
      </c>
      <c r="R85" t="str">
        <f>IF(F85="","",IF(O85="USD",F85*'10_Apertura'!$C$12,F85))</f>
        <v/>
      </c>
      <c r="S85" t="str">
        <f>IF(G85="","",IF(O85="USD",G85*'10_Apertura'!$C$12,G85))</f>
        <v/>
      </c>
      <c r="T85" t="str">
        <f t="shared" si="15"/>
        <v/>
      </c>
    </row>
    <row r="86" spans="1:20" ht="1.9" customHeight="1">
      <c r="A86" s="23"/>
      <c r="B86" s="6"/>
      <c r="C86" s="6"/>
      <c r="D86" s="19"/>
      <c r="E86" s="19"/>
      <c r="F86" s="19"/>
      <c r="G86" s="19"/>
      <c r="H86" s="19" t="str">
        <f t="shared" si="12"/>
        <v/>
      </c>
      <c r="I86" s="29" t="str">
        <f t="shared" si="13"/>
        <v/>
      </c>
      <c r="J86" s="6"/>
      <c r="K86" s="6"/>
      <c r="L86" s="4"/>
      <c r="M86" s="4"/>
      <c r="N86" s="4"/>
      <c r="O86" t="str">
        <f t="shared" si="14"/>
        <v>CLP</v>
      </c>
      <c r="P86" t="str">
        <f>IF(D86="","",IF(O86="USD",D86*'10_Apertura'!$C$12,D86))</f>
        <v/>
      </c>
      <c r="Q86" t="str">
        <f>IF(E86="","",IF(O86="USD",E86*'10_Apertura'!$C$12,E86))</f>
        <v/>
      </c>
      <c r="R86" t="str">
        <f>IF(F86="","",IF(O86="USD",F86*'10_Apertura'!$C$12,F86))</f>
        <v/>
      </c>
      <c r="S86" t="str">
        <f>IF(G86="","",IF(O86="USD",G86*'10_Apertura'!$C$12,G86))</f>
        <v/>
      </c>
      <c r="T86" t="str">
        <f t="shared" si="15"/>
        <v/>
      </c>
    </row>
    <row r="87" spans="1:20" ht="1.9" customHeight="1">
      <c r="A87" s="23"/>
      <c r="B87" s="6"/>
      <c r="C87" s="6"/>
      <c r="D87" s="19"/>
      <c r="E87" s="19"/>
      <c r="F87" s="19"/>
      <c r="G87" s="19"/>
      <c r="H87" s="19" t="str">
        <f t="shared" si="12"/>
        <v/>
      </c>
      <c r="I87" s="29" t="str">
        <f t="shared" si="13"/>
        <v/>
      </c>
      <c r="J87" s="6"/>
      <c r="K87" s="6"/>
      <c r="L87" s="4"/>
      <c r="M87" s="4"/>
      <c r="N87" s="4"/>
      <c r="O87" t="str">
        <f t="shared" si="14"/>
        <v>CLP</v>
      </c>
      <c r="P87" t="str">
        <f>IF(D87="","",IF(O87="USD",D87*'10_Apertura'!$C$12,D87))</f>
        <v/>
      </c>
      <c r="Q87" t="str">
        <f>IF(E87="","",IF(O87="USD",E87*'10_Apertura'!$C$12,E87))</f>
        <v/>
      </c>
      <c r="R87" t="str">
        <f>IF(F87="","",IF(O87="USD",F87*'10_Apertura'!$C$12,F87))</f>
        <v/>
      </c>
      <c r="S87" t="str">
        <f>IF(G87="","",IF(O87="USD",G87*'10_Apertura'!$C$12,G87))</f>
        <v/>
      </c>
      <c r="T87" t="str">
        <f t="shared" si="15"/>
        <v/>
      </c>
    </row>
    <row r="88" spans="1:20" ht="1.9" customHeight="1">
      <c r="A88" s="23"/>
      <c r="B88" s="6"/>
      <c r="C88" s="6"/>
      <c r="D88" s="19"/>
      <c r="E88" s="19"/>
      <c r="F88" s="19"/>
      <c r="G88" s="19"/>
      <c r="H88" s="19" t="str">
        <f t="shared" si="12"/>
        <v/>
      </c>
      <c r="I88" s="29" t="str">
        <f t="shared" si="13"/>
        <v/>
      </c>
      <c r="J88" s="6"/>
      <c r="K88" s="6"/>
      <c r="L88" s="4"/>
      <c r="M88" s="4"/>
      <c r="N88" s="4"/>
      <c r="O88" t="str">
        <f t="shared" si="14"/>
        <v>CLP</v>
      </c>
      <c r="P88" t="str">
        <f>IF(D88="","",IF(O88="USD",D88*'10_Apertura'!$C$12,D88))</f>
        <v/>
      </c>
      <c r="Q88" t="str">
        <f>IF(E88="","",IF(O88="USD",E88*'10_Apertura'!$C$12,E88))</f>
        <v/>
      </c>
      <c r="R88" t="str">
        <f>IF(F88="","",IF(O88="USD",F88*'10_Apertura'!$C$12,F88))</f>
        <v/>
      </c>
      <c r="S88" t="str">
        <f>IF(G88="","",IF(O88="USD",G88*'10_Apertura'!$C$12,G88))</f>
        <v/>
      </c>
      <c r="T88" t="str">
        <f t="shared" si="15"/>
        <v/>
      </c>
    </row>
    <row r="89" spans="1:20" ht="1.9" customHeight="1">
      <c r="A89" s="23"/>
      <c r="B89" s="6"/>
      <c r="C89" s="6"/>
      <c r="D89" s="19"/>
      <c r="E89" s="19"/>
      <c r="F89" s="19"/>
      <c r="G89" s="19"/>
      <c r="H89" s="19" t="str">
        <f t="shared" si="12"/>
        <v/>
      </c>
      <c r="I89" s="29" t="str">
        <f t="shared" si="13"/>
        <v/>
      </c>
      <c r="J89" s="6"/>
      <c r="K89" s="6"/>
      <c r="L89" s="4"/>
      <c r="M89" s="4"/>
      <c r="N89" s="4"/>
      <c r="O89" t="str">
        <f t="shared" si="14"/>
        <v>CLP</v>
      </c>
      <c r="P89" t="str">
        <f>IF(D89="","",IF(O89="USD",D89*'10_Apertura'!$C$12,D89))</f>
        <v/>
      </c>
      <c r="Q89" t="str">
        <f>IF(E89="","",IF(O89="USD",E89*'10_Apertura'!$C$12,E89))</f>
        <v/>
      </c>
      <c r="R89" t="str">
        <f>IF(F89="","",IF(O89="USD",F89*'10_Apertura'!$C$12,F89))</f>
        <v/>
      </c>
      <c r="S89" t="str">
        <f>IF(G89="","",IF(O89="USD",G89*'10_Apertura'!$C$12,G89))</f>
        <v/>
      </c>
      <c r="T89" t="str">
        <f t="shared" si="15"/>
        <v/>
      </c>
    </row>
    <row r="90" spans="1:20" ht="1.9" customHeight="1">
      <c r="A90" s="23"/>
      <c r="B90" s="6"/>
      <c r="C90" s="6"/>
      <c r="D90" s="19"/>
      <c r="E90" s="19"/>
      <c r="F90" s="19"/>
      <c r="G90" s="19"/>
      <c r="H90" s="19" t="str">
        <f t="shared" si="12"/>
        <v/>
      </c>
      <c r="I90" s="29" t="str">
        <f t="shared" si="13"/>
        <v/>
      </c>
      <c r="J90" s="6"/>
      <c r="K90" s="6"/>
      <c r="L90" s="4"/>
      <c r="M90" s="4"/>
      <c r="N90" s="4"/>
      <c r="O90" t="str">
        <f t="shared" si="14"/>
        <v>CLP</v>
      </c>
      <c r="P90" t="str">
        <f>IF(D90="","",IF(O90="USD",D90*'10_Apertura'!$C$12,D90))</f>
        <v/>
      </c>
      <c r="Q90" t="str">
        <f>IF(E90="","",IF(O90="USD",E90*'10_Apertura'!$C$12,E90))</f>
        <v/>
      </c>
      <c r="R90" t="str">
        <f>IF(F90="","",IF(O90="USD",F90*'10_Apertura'!$C$12,F90))</f>
        <v/>
      </c>
      <c r="S90" t="str">
        <f>IF(G90="","",IF(O90="USD",G90*'10_Apertura'!$C$12,G90))</f>
        <v/>
      </c>
      <c r="T90" t="str">
        <f t="shared" si="15"/>
        <v/>
      </c>
    </row>
    <row r="91" spans="1:20" ht="1.9" customHeight="1">
      <c r="A91" s="23"/>
      <c r="B91" s="6"/>
      <c r="C91" s="6"/>
      <c r="D91" s="19"/>
      <c r="E91" s="19"/>
      <c r="F91" s="19"/>
      <c r="G91" s="19"/>
      <c r="H91" s="19" t="str">
        <f t="shared" si="12"/>
        <v/>
      </c>
      <c r="I91" s="29" t="str">
        <f t="shared" si="13"/>
        <v/>
      </c>
      <c r="J91" s="6"/>
      <c r="K91" s="6"/>
      <c r="L91" s="4"/>
      <c r="M91" s="4"/>
      <c r="N91" s="4"/>
      <c r="O91" t="str">
        <f t="shared" si="14"/>
        <v>CLP</v>
      </c>
      <c r="P91" t="str">
        <f>IF(D91="","",IF(O91="USD",D91*'10_Apertura'!$C$12,D91))</f>
        <v/>
      </c>
      <c r="Q91" t="str">
        <f>IF(E91="","",IF(O91="USD",E91*'10_Apertura'!$C$12,E91))</f>
        <v/>
      </c>
      <c r="R91" t="str">
        <f>IF(F91="","",IF(O91="USD",F91*'10_Apertura'!$C$12,F91))</f>
        <v/>
      </c>
      <c r="S91" t="str">
        <f>IF(G91="","",IF(O91="USD",G91*'10_Apertura'!$C$12,G91))</f>
        <v/>
      </c>
      <c r="T91" t="str">
        <f t="shared" si="15"/>
        <v/>
      </c>
    </row>
    <row r="92" spans="1:20" ht="1.9" customHeight="1">
      <c r="A92" s="23"/>
      <c r="B92" s="6"/>
      <c r="C92" s="6"/>
      <c r="D92" s="19"/>
      <c r="E92" s="19"/>
      <c r="F92" s="19"/>
      <c r="G92" s="19"/>
      <c r="H92" s="19" t="str">
        <f t="shared" si="12"/>
        <v/>
      </c>
      <c r="I92" s="29" t="str">
        <f t="shared" si="13"/>
        <v/>
      </c>
      <c r="J92" s="6"/>
      <c r="K92" s="6"/>
      <c r="L92" s="4"/>
      <c r="M92" s="4"/>
      <c r="N92" s="4"/>
      <c r="O92" t="str">
        <f t="shared" si="14"/>
        <v>CLP</v>
      </c>
      <c r="P92" t="str">
        <f>IF(D92="","",IF(O92="USD",D92*'10_Apertura'!$C$12,D92))</f>
        <v/>
      </c>
      <c r="Q92" t="str">
        <f>IF(E92="","",IF(O92="USD",E92*'10_Apertura'!$C$12,E92))</f>
        <v/>
      </c>
      <c r="R92" t="str">
        <f>IF(F92="","",IF(O92="USD",F92*'10_Apertura'!$C$12,F92))</f>
        <v/>
      </c>
      <c r="S92" t="str">
        <f>IF(G92="","",IF(O92="USD",G92*'10_Apertura'!$C$12,G92))</f>
        <v/>
      </c>
      <c r="T92" t="str">
        <f t="shared" si="15"/>
        <v/>
      </c>
    </row>
    <row r="93" spans="1:20" ht="1.9" customHeight="1">
      <c r="A93" s="23"/>
      <c r="B93" s="6"/>
      <c r="C93" s="6"/>
      <c r="D93" s="19"/>
      <c r="E93" s="19"/>
      <c r="F93" s="19"/>
      <c r="G93" s="19"/>
      <c r="H93" s="19" t="str">
        <f t="shared" si="12"/>
        <v/>
      </c>
      <c r="I93" s="29" t="str">
        <f t="shared" si="13"/>
        <v/>
      </c>
      <c r="J93" s="6"/>
      <c r="K93" s="6"/>
      <c r="L93" s="4"/>
      <c r="M93" s="4"/>
      <c r="N93" s="4"/>
      <c r="O93" t="str">
        <f t="shared" si="14"/>
        <v>CLP</v>
      </c>
      <c r="P93" t="str">
        <f>IF(D93="","",IF(O93="USD",D93*'10_Apertura'!$C$12,D93))</f>
        <v/>
      </c>
      <c r="Q93" t="str">
        <f>IF(E93="","",IF(O93="USD",E93*'10_Apertura'!$C$12,E93))</f>
        <v/>
      </c>
      <c r="R93" t="str">
        <f>IF(F93="","",IF(O93="USD",F93*'10_Apertura'!$C$12,F93))</f>
        <v/>
      </c>
      <c r="S93" t="str">
        <f>IF(G93="","",IF(O93="USD",G93*'10_Apertura'!$C$12,G93))</f>
        <v/>
      </c>
      <c r="T93" t="str">
        <f t="shared" si="15"/>
        <v/>
      </c>
    </row>
    <row r="94" spans="1:20" ht="1.9" customHeight="1">
      <c r="A94" s="23"/>
      <c r="B94" s="6"/>
      <c r="C94" s="6"/>
      <c r="D94" s="19"/>
      <c r="E94" s="19"/>
      <c r="F94" s="19"/>
      <c r="G94" s="19"/>
      <c r="H94" s="19" t="str">
        <f t="shared" si="12"/>
        <v/>
      </c>
      <c r="I94" s="29" t="str">
        <f t="shared" si="13"/>
        <v/>
      </c>
      <c r="J94" s="6"/>
      <c r="K94" s="6"/>
      <c r="L94" s="4"/>
      <c r="M94" s="4"/>
      <c r="N94" s="4"/>
      <c r="O94" t="str">
        <f t="shared" si="14"/>
        <v>CLP</v>
      </c>
      <c r="P94" t="str">
        <f>IF(D94="","",IF(O94="USD",D94*'10_Apertura'!$C$12,D94))</f>
        <v/>
      </c>
      <c r="Q94" t="str">
        <f>IF(E94="","",IF(O94="USD",E94*'10_Apertura'!$C$12,E94))</f>
        <v/>
      </c>
      <c r="R94" t="str">
        <f>IF(F94="","",IF(O94="USD",F94*'10_Apertura'!$C$12,F94))</f>
        <v/>
      </c>
      <c r="S94" t="str">
        <f>IF(G94="","",IF(O94="USD",G94*'10_Apertura'!$C$12,G94))</f>
        <v/>
      </c>
      <c r="T94" t="str">
        <f t="shared" si="15"/>
        <v/>
      </c>
    </row>
    <row r="95" spans="1:20" ht="1.9" customHeight="1">
      <c r="A95" s="23"/>
      <c r="B95" s="6"/>
      <c r="C95" s="6"/>
      <c r="D95" s="19"/>
      <c r="E95" s="19"/>
      <c r="F95" s="19"/>
      <c r="G95" s="19"/>
      <c r="H95" s="19" t="str">
        <f t="shared" si="12"/>
        <v/>
      </c>
      <c r="I95" s="29" t="str">
        <f t="shared" si="13"/>
        <v/>
      </c>
      <c r="J95" s="6"/>
      <c r="K95" s="6"/>
      <c r="L95" s="4"/>
      <c r="M95" s="4"/>
      <c r="N95" s="4"/>
      <c r="O95" t="str">
        <f t="shared" si="14"/>
        <v>CLP</v>
      </c>
      <c r="P95" t="str">
        <f>IF(D95="","",IF(O95="USD",D95*'10_Apertura'!$C$12,D95))</f>
        <v/>
      </c>
      <c r="Q95" t="str">
        <f>IF(E95="","",IF(O95="USD",E95*'10_Apertura'!$C$12,E95))</f>
        <v/>
      </c>
      <c r="R95" t="str">
        <f>IF(F95="","",IF(O95="USD",F95*'10_Apertura'!$C$12,F95))</f>
        <v/>
      </c>
      <c r="S95" t="str">
        <f>IF(G95="","",IF(O95="USD",G95*'10_Apertura'!$C$12,G95))</f>
        <v/>
      </c>
      <c r="T95" t="str">
        <f t="shared" si="15"/>
        <v/>
      </c>
    </row>
    <row r="96" spans="1:20" ht="1.9" customHeight="1">
      <c r="A96" s="23"/>
      <c r="B96" s="6"/>
      <c r="C96" s="6"/>
      <c r="D96" s="19"/>
      <c r="E96" s="19"/>
      <c r="F96" s="19"/>
      <c r="G96" s="19"/>
      <c r="H96" s="19" t="str">
        <f t="shared" si="12"/>
        <v/>
      </c>
      <c r="I96" s="29" t="str">
        <f t="shared" si="13"/>
        <v/>
      </c>
      <c r="J96" s="6"/>
      <c r="K96" s="6"/>
      <c r="L96" s="4"/>
      <c r="M96" s="4"/>
      <c r="N96" s="4"/>
      <c r="O96" t="str">
        <f t="shared" si="14"/>
        <v>CLP</v>
      </c>
      <c r="P96" t="str">
        <f>IF(D96="","",IF(O96="USD",D96*'10_Apertura'!$C$12,D96))</f>
        <v/>
      </c>
      <c r="Q96" t="str">
        <f>IF(E96="","",IF(O96="USD",E96*'10_Apertura'!$C$12,E96))</f>
        <v/>
      </c>
      <c r="R96" t="str">
        <f>IF(F96="","",IF(O96="USD",F96*'10_Apertura'!$C$12,F96))</f>
        <v/>
      </c>
      <c r="S96" t="str">
        <f>IF(G96="","",IF(O96="USD",G96*'10_Apertura'!$C$12,G96))</f>
        <v/>
      </c>
      <c r="T96" t="str">
        <f t="shared" si="15"/>
        <v/>
      </c>
    </row>
    <row r="97" spans="1:20" ht="1.9" customHeight="1">
      <c r="A97" s="23"/>
      <c r="B97" s="6"/>
      <c r="C97" s="6"/>
      <c r="D97" s="19"/>
      <c r="E97" s="19"/>
      <c r="F97" s="19"/>
      <c r="G97" s="19"/>
      <c r="H97" s="19" t="str">
        <f t="shared" si="12"/>
        <v/>
      </c>
      <c r="I97" s="29" t="str">
        <f t="shared" si="13"/>
        <v/>
      </c>
      <c r="J97" s="6"/>
      <c r="K97" s="6"/>
      <c r="L97" s="4"/>
      <c r="M97" s="4"/>
      <c r="N97" s="4"/>
      <c r="O97" t="str">
        <f t="shared" si="14"/>
        <v>CLP</v>
      </c>
      <c r="P97" t="str">
        <f>IF(D97="","",IF(O97="USD",D97*'10_Apertura'!$C$12,D97))</f>
        <v/>
      </c>
      <c r="Q97" t="str">
        <f>IF(E97="","",IF(O97="USD",E97*'10_Apertura'!$C$12,E97))</f>
        <v/>
      </c>
      <c r="R97" t="str">
        <f>IF(F97="","",IF(O97="USD",F97*'10_Apertura'!$C$12,F97))</f>
        <v/>
      </c>
      <c r="S97" t="str">
        <f>IF(G97="","",IF(O97="USD",G97*'10_Apertura'!$C$12,G97))</f>
        <v/>
      </c>
      <c r="T97" t="str">
        <f t="shared" si="15"/>
        <v/>
      </c>
    </row>
    <row r="98" spans="1:20" ht="1.9" customHeight="1">
      <c r="A98" s="23"/>
      <c r="B98" s="6"/>
      <c r="C98" s="6"/>
      <c r="D98" s="19"/>
      <c r="E98" s="19"/>
      <c r="F98" s="19"/>
      <c r="G98" s="19"/>
      <c r="H98" s="19" t="str">
        <f t="shared" si="12"/>
        <v/>
      </c>
      <c r="I98" s="29" t="str">
        <f t="shared" si="13"/>
        <v/>
      </c>
      <c r="J98" s="6"/>
      <c r="K98" s="6"/>
      <c r="L98" s="4"/>
      <c r="M98" s="4"/>
      <c r="N98" s="4"/>
      <c r="O98" t="str">
        <f t="shared" si="14"/>
        <v>CLP</v>
      </c>
      <c r="P98" t="str">
        <f>IF(D98="","",IF(O98="USD",D98*'10_Apertura'!$C$12,D98))</f>
        <v/>
      </c>
      <c r="Q98" t="str">
        <f>IF(E98="","",IF(O98="USD",E98*'10_Apertura'!$C$12,E98))</f>
        <v/>
      </c>
      <c r="R98" t="str">
        <f>IF(F98="","",IF(O98="USD",F98*'10_Apertura'!$C$12,F98))</f>
        <v/>
      </c>
      <c r="S98" t="str">
        <f>IF(G98="","",IF(O98="USD",G98*'10_Apertura'!$C$12,G98))</f>
        <v/>
      </c>
      <c r="T98" t="str">
        <f t="shared" si="15"/>
        <v/>
      </c>
    </row>
    <row r="99" spans="1:20" ht="1.9" customHeight="1">
      <c r="A99" s="23"/>
      <c r="B99" s="6"/>
      <c r="C99" s="6"/>
      <c r="D99" s="19"/>
      <c r="E99" s="19"/>
      <c r="F99" s="19"/>
      <c r="G99" s="19"/>
      <c r="H99" s="19" t="str">
        <f t="shared" si="12"/>
        <v/>
      </c>
      <c r="I99" s="29" t="str">
        <f t="shared" si="13"/>
        <v/>
      </c>
      <c r="J99" s="6"/>
      <c r="K99" s="6"/>
      <c r="L99" s="4"/>
      <c r="M99" s="4"/>
      <c r="N99" s="4"/>
      <c r="O99" t="str">
        <f t="shared" si="14"/>
        <v>CLP</v>
      </c>
      <c r="P99" t="str">
        <f>IF(D99="","",IF(O99="USD",D99*'10_Apertura'!$C$12,D99))</f>
        <v/>
      </c>
      <c r="Q99" t="str">
        <f>IF(E99="","",IF(O99="USD",E99*'10_Apertura'!$C$12,E99))</f>
        <v/>
      </c>
      <c r="R99" t="str">
        <f>IF(F99="","",IF(O99="USD",F99*'10_Apertura'!$C$12,F99))</f>
        <v/>
      </c>
      <c r="S99" t="str">
        <f>IF(G99="","",IF(O99="USD",G99*'10_Apertura'!$C$12,G99))</f>
        <v/>
      </c>
      <c r="T99" t="str">
        <f t="shared" si="15"/>
        <v/>
      </c>
    </row>
    <row r="100" spans="1:20" ht="1.9" customHeight="1">
      <c r="A100" s="23"/>
      <c r="B100" s="6"/>
      <c r="C100" s="6"/>
      <c r="D100" s="19"/>
      <c r="E100" s="19"/>
      <c r="F100" s="19"/>
      <c r="G100" s="19"/>
      <c r="H100" s="19" t="str">
        <f t="shared" si="12"/>
        <v/>
      </c>
      <c r="I100" s="29" t="str">
        <f t="shared" si="13"/>
        <v/>
      </c>
      <c r="J100" s="6"/>
      <c r="K100" s="6"/>
      <c r="L100" s="4"/>
      <c r="M100" s="4"/>
      <c r="N100" s="4"/>
      <c r="O100" t="str">
        <f t="shared" si="14"/>
        <v>CLP</v>
      </c>
      <c r="P100" t="str">
        <f>IF(D100="","",IF(O100="USD",D100*'10_Apertura'!$C$12,D100))</f>
        <v/>
      </c>
      <c r="Q100" t="str">
        <f>IF(E100="","",IF(O100="USD",E100*'10_Apertura'!$C$12,E100))</f>
        <v/>
      </c>
      <c r="R100" t="str">
        <f>IF(F100="","",IF(O100="USD",F100*'10_Apertura'!$C$12,F100))</f>
        <v/>
      </c>
      <c r="S100" t="str">
        <f>IF(G100="","",IF(O100="USD",G100*'10_Apertura'!$C$12,G100))</f>
        <v/>
      </c>
      <c r="T100" t="str">
        <f t="shared" si="15"/>
        <v/>
      </c>
    </row>
    <row r="101" spans="1:20" ht="1.9" customHeight="1">
      <c r="A101" s="23"/>
      <c r="B101" s="6"/>
      <c r="C101" s="6"/>
      <c r="D101" s="19"/>
      <c r="E101" s="19"/>
      <c r="F101" s="19"/>
      <c r="G101" s="19"/>
      <c r="H101" s="19" t="str">
        <f t="shared" ref="H101:H132" si="16">IF(OR(G101="",F101=""),"",G101-F101+IF(E101="",0,E101)-IF(D101="",0,D101))</f>
        <v/>
      </c>
      <c r="I101" s="29" t="str">
        <f t="shared" ref="I101:I132" si="17">IFERROR(H101/MAX(1,F101+IF(D101="",0,D101)-IF(E101="",0,E101)),"")</f>
        <v/>
      </c>
      <c r="J101" s="6"/>
      <c r="K101" s="6"/>
      <c r="L101" s="4"/>
      <c r="M101" s="4"/>
      <c r="N101" s="4"/>
      <c r="O101" t="str">
        <f t="shared" ref="O101:O132" si="18">IF(OR(B101="TQQQ",B101="SOXX"),"USD","CLP")</f>
        <v>CLP</v>
      </c>
      <c r="P101" t="str">
        <f>IF(D101="","",IF(O101="USD",D101*'10_Apertura'!$C$12,D101))</f>
        <v/>
      </c>
      <c r="Q101" t="str">
        <f>IF(E101="","",IF(O101="USD",E101*'10_Apertura'!$C$12,E101))</f>
        <v/>
      </c>
      <c r="R101" t="str">
        <f>IF(F101="","",IF(O101="USD",F101*'10_Apertura'!$C$12,F101))</f>
        <v/>
      </c>
      <c r="S101" t="str">
        <f>IF(G101="","",IF(O101="USD",G101*'10_Apertura'!$C$12,G101))</f>
        <v/>
      </c>
      <c r="T101" t="str">
        <f t="shared" ref="T101:T132" si="19">IF(OR(S101="",R101=""),"",S101-R101+IF(Q101="",0,Q101)-IF(P101="",0,P101))</f>
        <v/>
      </c>
    </row>
    <row r="102" spans="1:20" ht="1.9" customHeight="1">
      <c r="A102" s="23"/>
      <c r="B102" s="6"/>
      <c r="C102" s="6"/>
      <c r="D102" s="19"/>
      <c r="E102" s="19"/>
      <c r="F102" s="19"/>
      <c r="G102" s="19"/>
      <c r="H102" s="19" t="str">
        <f t="shared" si="16"/>
        <v/>
      </c>
      <c r="I102" s="29" t="str">
        <f t="shared" si="17"/>
        <v/>
      </c>
      <c r="J102" s="6"/>
      <c r="K102" s="6"/>
      <c r="L102" s="4"/>
      <c r="M102" s="4"/>
      <c r="N102" s="4"/>
      <c r="O102" t="str">
        <f t="shared" si="18"/>
        <v>CLP</v>
      </c>
      <c r="P102" t="str">
        <f>IF(D102="","",IF(O102="USD",D102*'10_Apertura'!$C$12,D102))</f>
        <v/>
      </c>
      <c r="Q102" t="str">
        <f>IF(E102="","",IF(O102="USD",E102*'10_Apertura'!$C$12,E102))</f>
        <v/>
      </c>
      <c r="R102" t="str">
        <f>IF(F102="","",IF(O102="USD",F102*'10_Apertura'!$C$12,F102))</f>
        <v/>
      </c>
      <c r="S102" t="str">
        <f>IF(G102="","",IF(O102="USD",G102*'10_Apertura'!$C$12,G102))</f>
        <v/>
      </c>
      <c r="T102" t="str">
        <f t="shared" si="19"/>
        <v/>
      </c>
    </row>
    <row r="103" spans="1:20" ht="1.9" customHeight="1">
      <c r="A103" s="23"/>
      <c r="B103" s="6"/>
      <c r="C103" s="6"/>
      <c r="D103" s="19"/>
      <c r="E103" s="19"/>
      <c r="F103" s="19"/>
      <c r="G103" s="19"/>
      <c r="H103" s="19" t="str">
        <f t="shared" si="16"/>
        <v/>
      </c>
      <c r="I103" s="29" t="str">
        <f t="shared" si="17"/>
        <v/>
      </c>
      <c r="J103" s="6"/>
      <c r="K103" s="6"/>
      <c r="L103" s="4"/>
      <c r="M103" s="4"/>
      <c r="N103" s="4"/>
      <c r="O103" t="str">
        <f t="shared" si="18"/>
        <v>CLP</v>
      </c>
      <c r="P103" t="str">
        <f>IF(D103="","",IF(O103="USD",D103*'10_Apertura'!$C$12,D103))</f>
        <v/>
      </c>
      <c r="Q103" t="str">
        <f>IF(E103="","",IF(O103="USD",E103*'10_Apertura'!$C$12,E103))</f>
        <v/>
      </c>
      <c r="R103" t="str">
        <f>IF(F103="","",IF(O103="USD",F103*'10_Apertura'!$C$12,F103))</f>
        <v/>
      </c>
      <c r="S103" t="str">
        <f>IF(G103="","",IF(O103="USD",G103*'10_Apertura'!$C$12,G103))</f>
        <v/>
      </c>
      <c r="T103" t="str">
        <f t="shared" si="19"/>
        <v/>
      </c>
    </row>
    <row r="104" spans="1:20" ht="1.9" customHeight="1">
      <c r="A104" s="23"/>
      <c r="B104" s="6"/>
      <c r="C104" s="6"/>
      <c r="D104" s="19"/>
      <c r="E104" s="19"/>
      <c r="F104" s="19"/>
      <c r="G104" s="19"/>
      <c r="H104" s="19" t="str">
        <f t="shared" si="16"/>
        <v/>
      </c>
      <c r="I104" s="29" t="str">
        <f t="shared" si="17"/>
        <v/>
      </c>
      <c r="J104" s="6"/>
      <c r="K104" s="6"/>
      <c r="L104" s="4"/>
      <c r="M104" s="4"/>
      <c r="N104" s="4"/>
      <c r="O104" t="str">
        <f t="shared" si="18"/>
        <v>CLP</v>
      </c>
      <c r="P104" t="str">
        <f>IF(D104="","",IF(O104="USD",D104*'10_Apertura'!$C$12,D104))</f>
        <v/>
      </c>
      <c r="Q104" t="str">
        <f>IF(E104="","",IF(O104="USD",E104*'10_Apertura'!$C$12,E104))</f>
        <v/>
      </c>
      <c r="R104" t="str">
        <f>IF(F104="","",IF(O104="USD",F104*'10_Apertura'!$C$12,F104))</f>
        <v/>
      </c>
      <c r="S104" t="str">
        <f>IF(G104="","",IF(O104="USD",G104*'10_Apertura'!$C$12,G104))</f>
        <v/>
      </c>
      <c r="T104" t="str">
        <f t="shared" si="19"/>
        <v/>
      </c>
    </row>
    <row r="105" spans="1:20">
      <c r="H105" t="str">
        <f t="shared" si="16"/>
        <v/>
      </c>
      <c r="I105" t="str">
        <f t="shared" si="17"/>
        <v/>
      </c>
      <c r="O105" t="str">
        <f t="shared" si="18"/>
        <v>CLP</v>
      </c>
      <c r="P105" t="str">
        <f>IF(D105="","",IF(O105="USD",D105*'10_Apertura'!$C$12,D105))</f>
        <v/>
      </c>
      <c r="Q105" t="str">
        <f>IF(E105="","",IF(O105="USD",E105*'10_Apertura'!$C$12,E105))</f>
        <v/>
      </c>
      <c r="R105" t="str">
        <f>IF(F105="","",IF(O105="USD",F105*'10_Apertura'!$C$12,F105))</f>
        <v/>
      </c>
      <c r="S105" t="str">
        <f>IF(G105="","",IF(O105="USD",G105*'10_Apertura'!$C$12,G105))</f>
        <v/>
      </c>
      <c r="T105" t="str">
        <f t="shared" si="19"/>
        <v/>
      </c>
    </row>
    <row r="106" spans="1:20">
      <c r="H106" t="str">
        <f t="shared" si="16"/>
        <v/>
      </c>
      <c r="I106" t="str">
        <f t="shared" si="17"/>
        <v/>
      </c>
      <c r="O106" t="str">
        <f t="shared" si="18"/>
        <v>CLP</v>
      </c>
      <c r="P106" t="str">
        <f>IF(D106="","",IF(O106="USD",D106*'10_Apertura'!$C$12,D106))</f>
        <v/>
      </c>
      <c r="Q106" t="str">
        <f>IF(E106="","",IF(O106="USD",E106*'10_Apertura'!$C$12,E106))</f>
        <v/>
      </c>
      <c r="R106" t="str">
        <f>IF(F106="","",IF(O106="USD",F106*'10_Apertura'!$C$12,F106))</f>
        <v/>
      </c>
      <c r="S106" t="str">
        <f>IF(G106="","",IF(O106="USD",G106*'10_Apertura'!$C$12,G106))</f>
        <v/>
      </c>
      <c r="T106" t="str">
        <f t="shared" si="19"/>
        <v/>
      </c>
    </row>
    <row r="107" spans="1:20">
      <c r="H107" t="str">
        <f t="shared" si="16"/>
        <v/>
      </c>
      <c r="I107" t="str">
        <f t="shared" si="17"/>
        <v/>
      </c>
      <c r="O107" t="str">
        <f t="shared" si="18"/>
        <v>CLP</v>
      </c>
      <c r="P107" t="str">
        <f>IF(D107="","",IF(O107="USD",D107*'10_Apertura'!$C$12,D107))</f>
        <v/>
      </c>
      <c r="Q107" t="str">
        <f>IF(E107="","",IF(O107="USD",E107*'10_Apertura'!$C$12,E107))</f>
        <v/>
      </c>
      <c r="R107" t="str">
        <f>IF(F107="","",IF(O107="USD",F107*'10_Apertura'!$C$12,F107))</f>
        <v/>
      </c>
      <c r="S107" t="str">
        <f>IF(G107="","",IF(O107="USD",G107*'10_Apertura'!$C$12,G107))</f>
        <v/>
      </c>
      <c r="T107" t="str">
        <f t="shared" si="19"/>
        <v/>
      </c>
    </row>
    <row r="108" spans="1:20">
      <c r="H108" t="str">
        <f t="shared" si="16"/>
        <v/>
      </c>
      <c r="I108" t="str">
        <f t="shared" si="17"/>
        <v/>
      </c>
      <c r="O108" t="str">
        <f t="shared" si="18"/>
        <v>CLP</v>
      </c>
      <c r="P108" t="str">
        <f>IF(D108="","",IF(O108="USD",D108*'10_Apertura'!$C$12,D108))</f>
        <v/>
      </c>
      <c r="Q108" t="str">
        <f>IF(E108="","",IF(O108="USD",E108*'10_Apertura'!$C$12,E108))</f>
        <v/>
      </c>
      <c r="R108" t="str">
        <f>IF(F108="","",IF(O108="USD",F108*'10_Apertura'!$C$12,F108))</f>
        <v/>
      </c>
      <c r="S108" t="str">
        <f>IF(G108="","",IF(O108="USD",G108*'10_Apertura'!$C$12,G108))</f>
        <v/>
      </c>
      <c r="T108" t="str">
        <f t="shared" si="19"/>
        <v/>
      </c>
    </row>
    <row r="109" spans="1:20">
      <c r="H109" t="str">
        <f t="shared" si="16"/>
        <v/>
      </c>
      <c r="I109" t="str">
        <f t="shared" si="17"/>
        <v/>
      </c>
      <c r="O109" t="str">
        <f t="shared" si="18"/>
        <v>CLP</v>
      </c>
      <c r="P109" t="str">
        <f>IF(D109="","",IF(O109="USD",D109*'10_Apertura'!$C$12,D109))</f>
        <v/>
      </c>
      <c r="Q109" t="str">
        <f>IF(E109="","",IF(O109="USD",E109*'10_Apertura'!$C$12,E109))</f>
        <v/>
      </c>
      <c r="R109" t="str">
        <f>IF(F109="","",IF(O109="USD",F109*'10_Apertura'!$C$12,F109))</f>
        <v/>
      </c>
      <c r="S109" t="str">
        <f>IF(G109="","",IF(O109="USD",G109*'10_Apertura'!$C$12,G109))</f>
        <v/>
      </c>
      <c r="T109" t="str">
        <f t="shared" si="19"/>
        <v/>
      </c>
    </row>
    <row r="110" spans="1:20">
      <c r="H110" t="str">
        <f t="shared" si="16"/>
        <v/>
      </c>
      <c r="I110" t="str">
        <f t="shared" si="17"/>
        <v/>
      </c>
      <c r="O110" t="str">
        <f t="shared" si="18"/>
        <v>CLP</v>
      </c>
      <c r="P110" t="str">
        <f>IF(D110="","",IF(O110="USD",D110*'10_Apertura'!$C$12,D110))</f>
        <v/>
      </c>
      <c r="Q110" t="str">
        <f>IF(E110="","",IF(O110="USD",E110*'10_Apertura'!$C$12,E110))</f>
        <v/>
      </c>
      <c r="R110" t="str">
        <f>IF(F110="","",IF(O110="USD",F110*'10_Apertura'!$C$12,F110))</f>
        <v/>
      </c>
      <c r="S110" t="str">
        <f>IF(G110="","",IF(O110="USD",G110*'10_Apertura'!$C$12,G110))</f>
        <v/>
      </c>
      <c r="T110" t="str">
        <f t="shared" si="19"/>
        <v/>
      </c>
    </row>
    <row r="111" spans="1:20">
      <c r="H111" t="str">
        <f t="shared" si="16"/>
        <v/>
      </c>
      <c r="I111" t="str">
        <f t="shared" si="17"/>
        <v/>
      </c>
      <c r="O111" t="str">
        <f t="shared" si="18"/>
        <v>CLP</v>
      </c>
      <c r="P111" t="str">
        <f>IF(D111="","",IF(O111="USD",D111*'10_Apertura'!$C$12,D111))</f>
        <v/>
      </c>
      <c r="Q111" t="str">
        <f>IF(E111="","",IF(O111="USD",E111*'10_Apertura'!$C$12,E111))</f>
        <v/>
      </c>
      <c r="R111" t="str">
        <f>IF(F111="","",IF(O111="USD",F111*'10_Apertura'!$C$12,F111))</f>
        <v/>
      </c>
      <c r="S111" t="str">
        <f>IF(G111="","",IF(O111="USD",G111*'10_Apertura'!$C$12,G111))</f>
        <v/>
      </c>
      <c r="T111" t="str">
        <f t="shared" si="19"/>
        <v/>
      </c>
    </row>
    <row r="112" spans="1:20">
      <c r="H112" t="str">
        <f t="shared" si="16"/>
        <v/>
      </c>
      <c r="I112" t="str">
        <f t="shared" si="17"/>
        <v/>
      </c>
      <c r="O112" t="str">
        <f t="shared" si="18"/>
        <v>CLP</v>
      </c>
      <c r="P112" t="str">
        <f>IF(D112="","",IF(O112="USD",D112*'10_Apertura'!$C$12,D112))</f>
        <v/>
      </c>
      <c r="Q112" t="str">
        <f>IF(E112="","",IF(O112="USD",E112*'10_Apertura'!$C$12,E112))</f>
        <v/>
      </c>
      <c r="R112" t="str">
        <f>IF(F112="","",IF(O112="USD",F112*'10_Apertura'!$C$12,F112))</f>
        <v/>
      </c>
      <c r="S112" t="str">
        <f>IF(G112="","",IF(O112="USD",G112*'10_Apertura'!$C$12,G112))</f>
        <v/>
      </c>
      <c r="T112" t="str">
        <f t="shared" si="19"/>
        <v/>
      </c>
    </row>
    <row r="113" spans="8:20">
      <c r="H113" t="str">
        <f t="shared" si="16"/>
        <v/>
      </c>
      <c r="I113" t="str">
        <f t="shared" si="17"/>
        <v/>
      </c>
      <c r="O113" t="str">
        <f t="shared" si="18"/>
        <v>CLP</v>
      </c>
      <c r="P113" t="str">
        <f>IF(D113="","",IF(O113="USD",D113*'10_Apertura'!$C$12,D113))</f>
        <v/>
      </c>
      <c r="Q113" t="str">
        <f>IF(E113="","",IF(O113="USD",E113*'10_Apertura'!$C$12,E113))</f>
        <v/>
      </c>
      <c r="R113" t="str">
        <f>IF(F113="","",IF(O113="USD",F113*'10_Apertura'!$C$12,F113))</f>
        <v/>
      </c>
      <c r="S113" t="str">
        <f>IF(G113="","",IF(O113="USD",G113*'10_Apertura'!$C$12,G113))</f>
        <v/>
      </c>
      <c r="T113" t="str">
        <f t="shared" si="19"/>
        <v/>
      </c>
    </row>
    <row r="114" spans="8:20">
      <c r="H114" t="str">
        <f t="shared" si="16"/>
        <v/>
      </c>
      <c r="I114" t="str">
        <f t="shared" si="17"/>
        <v/>
      </c>
      <c r="O114" t="str">
        <f t="shared" si="18"/>
        <v>CLP</v>
      </c>
      <c r="P114" t="str">
        <f>IF(D114="","",IF(O114="USD",D114*'10_Apertura'!$C$12,D114))</f>
        <v/>
      </c>
      <c r="Q114" t="str">
        <f>IF(E114="","",IF(O114="USD",E114*'10_Apertura'!$C$12,E114))</f>
        <v/>
      </c>
      <c r="R114" t="str">
        <f>IF(F114="","",IF(O114="USD",F114*'10_Apertura'!$C$12,F114))</f>
        <v/>
      </c>
      <c r="S114" t="str">
        <f>IF(G114="","",IF(O114="USD",G114*'10_Apertura'!$C$12,G114))</f>
        <v/>
      </c>
      <c r="T114" t="str">
        <f t="shared" si="19"/>
        <v/>
      </c>
    </row>
    <row r="115" spans="8:20">
      <c r="H115" t="str">
        <f t="shared" si="16"/>
        <v/>
      </c>
      <c r="I115" t="str">
        <f t="shared" si="17"/>
        <v/>
      </c>
      <c r="O115" t="str">
        <f t="shared" si="18"/>
        <v>CLP</v>
      </c>
      <c r="P115" t="str">
        <f>IF(D115="","",IF(O115="USD",D115*'10_Apertura'!$C$12,D115))</f>
        <v/>
      </c>
      <c r="Q115" t="str">
        <f>IF(E115="","",IF(O115="USD",E115*'10_Apertura'!$C$12,E115))</f>
        <v/>
      </c>
      <c r="R115" t="str">
        <f>IF(F115="","",IF(O115="USD",F115*'10_Apertura'!$C$12,F115))</f>
        <v/>
      </c>
      <c r="S115" t="str">
        <f>IF(G115="","",IF(O115="USD",G115*'10_Apertura'!$C$12,G115))</f>
        <v/>
      </c>
      <c r="T115" t="str">
        <f t="shared" si="19"/>
        <v/>
      </c>
    </row>
    <row r="116" spans="8:20">
      <c r="H116" t="str">
        <f t="shared" si="16"/>
        <v/>
      </c>
      <c r="I116" t="str">
        <f t="shared" si="17"/>
        <v/>
      </c>
      <c r="O116" t="str">
        <f t="shared" si="18"/>
        <v>CLP</v>
      </c>
      <c r="P116" t="str">
        <f>IF(D116="","",IF(O116="USD",D116*'10_Apertura'!$C$12,D116))</f>
        <v/>
      </c>
      <c r="Q116" t="str">
        <f>IF(E116="","",IF(O116="USD",E116*'10_Apertura'!$C$12,E116))</f>
        <v/>
      </c>
      <c r="R116" t="str">
        <f>IF(F116="","",IF(O116="USD",F116*'10_Apertura'!$C$12,F116))</f>
        <v/>
      </c>
      <c r="S116" t="str">
        <f>IF(G116="","",IF(O116="USD",G116*'10_Apertura'!$C$12,G116))</f>
        <v/>
      </c>
      <c r="T116" t="str">
        <f t="shared" si="19"/>
        <v/>
      </c>
    </row>
    <row r="117" spans="8:20">
      <c r="H117" t="str">
        <f t="shared" si="16"/>
        <v/>
      </c>
      <c r="I117" t="str">
        <f t="shared" si="17"/>
        <v/>
      </c>
      <c r="O117" t="str">
        <f t="shared" si="18"/>
        <v>CLP</v>
      </c>
      <c r="P117" t="str">
        <f>IF(D117="","",IF(O117="USD",D117*'10_Apertura'!$C$12,D117))</f>
        <v/>
      </c>
      <c r="Q117" t="str">
        <f>IF(E117="","",IF(O117="USD",E117*'10_Apertura'!$C$12,E117))</f>
        <v/>
      </c>
      <c r="R117" t="str">
        <f>IF(F117="","",IF(O117="USD",F117*'10_Apertura'!$C$12,F117))</f>
        <v/>
      </c>
      <c r="S117" t="str">
        <f>IF(G117="","",IF(O117="USD",G117*'10_Apertura'!$C$12,G117))</f>
        <v/>
      </c>
      <c r="T117" t="str">
        <f t="shared" si="19"/>
        <v/>
      </c>
    </row>
    <row r="118" spans="8:20">
      <c r="H118" t="str">
        <f t="shared" si="16"/>
        <v/>
      </c>
      <c r="I118" t="str">
        <f t="shared" si="17"/>
        <v/>
      </c>
      <c r="O118" t="str">
        <f t="shared" si="18"/>
        <v>CLP</v>
      </c>
      <c r="P118" t="str">
        <f>IF(D118="","",IF(O118="USD",D118*'10_Apertura'!$C$12,D118))</f>
        <v/>
      </c>
      <c r="Q118" t="str">
        <f>IF(E118="","",IF(O118="USD",E118*'10_Apertura'!$C$12,E118))</f>
        <v/>
      </c>
      <c r="R118" t="str">
        <f>IF(F118="","",IF(O118="USD",F118*'10_Apertura'!$C$12,F118))</f>
        <v/>
      </c>
      <c r="S118" t="str">
        <f>IF(G118="","",IF(O118="USD",G118*'10_Apertura'!$C$12,G118))</f>
        <v/>
      </c>
      <c r="T118" t="str">
        <f t="shared" si="19"/>
        <v/>
      </c>
    </row>
    <row r="119" spans="8:20">
      <c r="H119" t="str">
        <f t="shared" si="16"/>
        <v/>
      </c>
      <c r="I119" t="str">
        <f t="shared" si="17"/>
        <v/>
      </c>
      <c r="O119" t="str">
        <f t="shared" si="18"/>
        <v>CLP</v>
      </c>
      <c r="P119" t="str">
        <f>IF(D119="","",IF(O119="USD",D119*'10_Apertura'!$C$12,D119))</f>
        <v/>
      </c>
      <c r="Q119" t="str">
        <f>IF(E119="","",IF(O119="USD",E119*'10_Apertura'!$C$12,E119))</f>
        <v/>
      </c>
      <c r="R119" t="str">
        <f>IF(F119="","",IF(O119="USD",F119*'10_Apertura'!$C$12,F119))</f>
        <v/>
      </c>
      <c r="S119" t="str">
        <f>IF(G119="","",IF(O119="USD",G119*'10_Apertura'!$C$12,G119))</f>
        <v/>
      </c>
      <c r="T119" t="str">
        <f t="shared" si="19"/>
        <v/>
      </c>
    </row>
    <row r="120" spans="8:20">
      <c r="H120" t="str">
        <f t="shared" si="16"/>
        <v/>
      </c>
      <c r="I120" t="str">
        <f t="shared" si="17"/>
        <v/>
      </c>
      <c r="O120" t="str">
        <f t="shared" si="18"/>
        <v>CLP</v>
      </c>
      <c r="P120" t="str">
        <f>IF(D120="","",IF(O120="USD",D120*'10_Apertura'!$C$12,D120))</f>
        <v/>
      </c>
      <c r="Q120" t="str">
        <f>IF(E120="","",IF(O120="USD",E120*'10_Apertura'!$C$12,E120))</f>
        <v/>
      </c>
      <c r="R120" t="str">
        <f>IF(F120="","",IF(O120="USD",F120*'10_Apertura'!$C$12,F120))</f>
        <v/>
      </c>
      <c r="S120" t="str">
        <f>IF(G120="","",IF(O120="USD",G120*'10_Apertura'!$C$12,G120))</f>
        <v/>
      </c>
      <c r="T120" t="str">
        <f t="shared" si="19"/>
        <v/>
      </c>
    </row>
    <row r="121" spans="8:20">
      <c r="H121" t="str">
        <f t="shared" si="16"/>
        <v/>
      </c>
      <c r="I121" t="str">
        <f t="shared" si="17"/>
        <v/>
      </c>
      <c r="O121" t="str">
        <f t="shared" si="18"/>
        <v>CLP</v>
      </c>
      <c r="P121" t="str">
        <f>IF(D121="","",IF(O121="USD",D121*'10_Apertura'!$C$12,D121))</f>
        <v/>
      </c>
      <c r="Q121" t="str">
        <f>IF(E121="","",IF(O121="USD",E121*'10_Apertura'!$C$12,E121))</f>
        <v/>
      </c>
      <c r="R121" t="str">
        <f>IF(F121="","",IF(O121="USD",F121*'10_Apertura'!$C$12,F121))</f>
        <v/>
      </c>
      <c r="S121" t="str">
        <f>IF(G121="","",IF(O121="USD",G121*'10_Apertura'!$C$12,G121))</f>
        <v/>
      </c>
      <c r="T121" t="str">
        <f t="shared" si="19"/>
        <v/>
      </c>
    </row>
    <row r="122" spans="8:20">
      <c r="H122" t="str">
        <f t="shared" si="16"/>
        <v/>
      </c>
      <c r="I122" t="str">
        <f t="shared" si="17"/>
        <v/>
      </c>
      <c r="O122" t="str">
        <f t="shared" si="18"/>
        <v>CLP</v>
      </c>
      <c r="P122" t="str">
        <f>IF(D122="","",IF(O122="USD",D122*'10_Apertura'!$C$12,D122))</f>
        <v/>
      </c>
      <c r="Q122" t="str">
        <f>IF(E122="","",IF(O122="USD",E122*'10_Apertura'!$C$12,E122))</f>
        <v/>
      </c>
      <c r="R122" t="str">
        <f>IF(F122="","",IF(O122="USD",F122*'10_Apertura'!$C$12,F122))</f>
        <v/>
      </c>
      <c r="S122" t="str">
        <f>IF(G122="","",IF(O122="USD",G122*'10_Apertura'!$C$12,G122))</f>
        <v/>
      </c>
      <c r="T122" t="str">
        <f t="shared" si="19"/>
        <v/>
      </c>
    </row>
    <row r="123" spans="8:20">
      <c r="H123" t="str">
        <f t="shared" si="16"/>
        <v/>
      </c>
      <c r="I123" t="str">
        <f t="shared" si="17"/>
        <v/>
      </c>
      <c r="O123" t="str">
        <f t="shared" si="18"/>
        <v>CLP</v>
      </c>
      <c r="P123" t="str">
        <f>IF(D123="","",IF(O123="USD",D123*'10_Apertura'!$C$12,D123))</f>
        <v/>
      </c>
      <c r="Q123" t="str">
        <f>IF(E123="","",IF(O123="USD",E123*'10_Apertura'!$C$12,E123))</f>
        <v/>
      </c>
      <c r="R123" t="str">
        <f>IF(F123="","",IF(O123="USD",F123*'10_Apertura'!$C$12,F123))</f>
        <v/>
      </c>
      <c r="S123" t="str">
        <f>IF(G123="","",IF(O123="USD",G123*'10_Apertura'!$C$12,G123))</f>
        <v/>
      </c>
      <c r="T123" t="str">
        <f t="shared" si="19"/>
        <v/>
      </c>
    </row>
    <row r="124" spans="8:20">
      <c r="H124" t="str">
        <f t="shared" si="16"/>
        <v/>
      </c>
      <c r="I124" t="str">
        <f t="shared" si="17"/>
        <v/>
      </c>
      <c r="O124" t="str">
        <f t="shared" si="18"/>
        <v>CLP</v>
      </c>
      <c r="P124" t="str">
        <f>IF(D124="","",IF(O124="USD",D124*'10_Apertura'!$C$12,D124))</f>
        <v/>
      </c>
      <c r="Q124" t="str">
        <f>IF(E124="","",IF(O124="USD",E124*'10_Apertura'!$C$12,E124))</f>
        <v/>
      </c>
      <c r="R124" t="str">
        <f>IF(F124="","",IF(O124="USD",F124*'10_Apertura'!$C$12,F124))</f>
        <v/>
      </c>
      <c r="S124" t="str">
        <f>IF(G124="","",IF(O124="USD",G124*'10_Apertura'!$C$12,G124))</f>
        <v/>
      </c>
      <c r="T124" t="str">
        <f t="shared" si="19"/>
        <v/>
      </c>
    </row>
    <row r="125" spans="8:20">
      <c r="H125" t="str">
        <f t="shared" si="16"/>
        <v/>
      </c>
      <c r="I125" t="str">
        <f t="shared" si="17"/>
        <v/>
      </c>
      <c r="O125" t="str">
        <f t="shared" si="18"/>
        <v>CLP</v>
      </c>
      <c r="P125" t="str">
        <f>IF(D125="","",IF(O125="USD",D125*'10_Apertura'!$C$12,D125))</f>
        <v/>
      </c>
      <c r="Q125" t="str">
        <f>IF(E125="","",IF(O125="USD",E125*'10_Apertura'!$C$12,E125))</f>
        <v/>
      </c>
      <c r="R125" t="str">
        <f>IF(F125="","",IF(O125="USD",F125*'10_Apertura'!$C$12,F125))</f>
        <v/>
      </c>
      <c r="S125" t="str">
        <f>IF(G125="","",IF(O125="USD",G125*'10_Apertura'!$C$12,G125))</f>
        <v/>
      </c>
      <c r="T125" t="str">
        <f t="shared" si="19"/>
        <v/>
      </c>
    </row>
    <row r="126" spans="8:20">
      <c r="H126" t="str">
        <f t="shared" si="16"/>
        <v/>
      </c>
      <c r="I126" t="str">
        <f t="shared" si="17"/>
        <v/>
      </c>
      <c r="O126" t="str">
        <f t="shared" si="18"/>
        <v>CLP</v>
      </c>
      <c r="P126" t="str">
        <f>IF(D126="","",IF(O126="USD",D126*'10_Apertura'!$C$12,D126))</f>
        <v/>
      </c>
      <c r="Q126" t="str">
        <f>IF(E126="","",IF(O126="USD",E126*'10_Apertura'!$C$12,E126))</f>
        <v/>
      </c>
      <c r="R126" t="str">
        <f>IF(F126="","",IF(O126="USD",F126*'10_Apertura'!$C$12,F126))</f>
        <v/>
      </c>
      <c r="S126" t="str">
        <f>IF(G126="","",IF(O126="USD",G126*'10_Apertura'!$C$12,G126))</f>
        <v/>
      </c>
      <c r="T126" t="str">
        <f t="shared" si="19"/>
        <v/>
      </c>
    </row>
    <row r="127" spans="8:20">
      <c r="H127" t="str">
        <f t="shared" si="16"/>
        <v/>
      </c>
      <c r="I127" t="str">
        <f t="shared" si="17"/>
        <v/>
      </c>
      <c r="O127" t="str">
        <f t="shared" si="18"/>
        <v>CLP</v>
      </c>
      <c r="P127" t="str">
        <f>IF(D127="","",IF(O127="USD",D127*'10_Apertura'!$C$12,D127))</f>
        <v/>
      </c>
      <c r="Q127" t="str">
        <f>IF(E127="","",IF(O127="USD",E127*'10_Apertura'!$C$12,E127))</f>
        <v/>
      </c>
      <c r="R127" t="str">
        <f>IF(F127="","",IF(O127="USD",F127*'10_Apertura'!$C$12,F127))</f>
        <v/>
      </c>
      <c r="S127" t="str">
        <f>IF(G127="","",IF(O127="USD",G127*'10_Apertura'!$C$12,G127))</f>
        <v/>
      </c>
      <c r="T127" t="str">
        <f t="shared" si="19"/>
        <v/>
      </c>
    </row>
    <row r="128" spans="8:20">
      <c r="H128" t="str">
        <f t="shared" si="16"/>
        <v/>
      </c>
      <c r="I128" t="str">
        <f t="shared" si="17"/>
        <v/>
      </c>
      <c r="O128" t="str">
        <f t="shared" si="18"/>
        <v>CLP</v>
      </c>
      <c r="P128" t="str">
        <f>IF(D128="","",IF(O128="USD",D128*'10_Apertura'!$C$12,D128))</f>
        <v/>
      </c>
      <c r="Q128" t="str">
        <f>IF(E128="","",IF(O128="USD",E128*'10_Apertura'!$C$12,E128))</f>
        <v/>
      </c>
      <c r="R128" t="str">
        <f>IF(F128="","",IF(O128="USD",F128*'10_Apertura'!$C$12,F128))</f>
        <v/>
      </c>
      <c r="S128" t="str">
        <f>IF(G128="","",IF(O128="USD",G128*'10_Apertura'!$C$12,G128))</f>
        <v/>
      </c>
      <c r="T128" t="str">
        <f t="shared" si="19"/>
        <v/>
      </c>
    </row>
    <row r="129" spans="8:20">
      <c r="H129" t="str">
        <f t="shared" si="16"/>
        <v/>
      </c>
      <c r="I129" t="str">
        <f t="shared" si="17"/>
        <v/>
      </c>
      <c r="O129" t="str">
        <f t="shared" si="18"/>
        <v>CLP</v>
      </c>
      <c r="P129" t="str">
        <f>IF(D129="","",IF(O129="USD",D129*'10_Apertura'!$C$12,D129))</f>
        <v/>
      </c>
      <c r="Q129" t="str">
        <f>IF(E129="","",IF(O129="USD",E129*'10_Apertura'!$C$12,E129))</f>
        <v/>
      </c>
      <c r="R129" t="str">
        <f>IF(F129="","",IF(O129="USD",F129*'10_Apertura'!$C$12,F129))</f>
        <v/>
      </c>
      <c r="S129" t="str">
        <f>IF(G129="","",IF(O129="USD",G129*'10_Apertura'!$C$12,G129))</f>
        <v/>
      </c>
      <c r="T129" t="str">
        <f t="shared" si="19"/>
        <v/>
      </c>
    </row>
    <row r="130" spans="8:20">
      <c r="H130" t="str">
        <f t="shared" si="16"/>
        <v/>
      </c>
      <c r="I130" t="str">
        <f t="shared" si="17"/>
        <v/>
      </c>
      <c r="O130" t="str">
        <f t="shared" si="18"/>
        <v>CLP</v>
      </c>
      <c r="P130" t="str">
        <f>IF(D130="","",IF(O130="USD",D130*'10_Apertura'!$C$12,D130))</f>
        <v/>
      </c>
      <c r="Q130" t="str">
        <f>IF(E130="","",IF(O130="USD",E130*'10_Apertura'!$C$12,E130))</f>
        <v/>
      </c>
      <c r="R130" t="str">
        <f>IF(F130="","",IF(O130="USD",F130*'10_Apertura'!$C$12,F130))</f>
        <v/>
      </c>
      <c r="S130" t="str">
        <f>IF(G130="","",IF(O130="USD",G130*'10_Apertura'!$C$12,G130))</f>
        <v/>
      </c>
      <c r="T130" t="str">
        <f t="shared" si="19"/>
        <v/>
      </c>
    </row>
    <row r="131" spans="8:20">
      <c r="H131" t="str">
        <f t="shared" si="16"/>
        <v/>
      </c>
      <c r="I131" t="str">
        <f t="shared" si="17"/>
        <v/>
      </c>
      <c r="O131" t="str">
        <f t="shared" si="18"/>
        <v>CLP</v>
      </c>
      <c r="P131" t="str">
        <f>IF(D131="","",IF(O131="USD",D131*'10_Apertura'!$C$12,D131))</f>
        <v/>
      </c>
      <c r="Q131" t="str">
        <f>IF(E131="","",IF(O131="USD",E131*'10_Apertura'!$C$12,E131))</f>
        <v/>
      </c>
      <c r="R131" t="str">
        <f>IF(F131="","",IF(O131="USD",F131*'10_Apertura'!$C$12,F131))</f>
        <v/>
      </c>
      <c r="S131" t="str">
        <f>IF(G131="","",IF(O131="USD",G131*'10_Apertura'!$C$12,G131))</f>
        <v/>
      </c>
      <c r="T131" t="str">
        <f t="shared" si="19"/>
        <v/>
      </c>
    </row>
    <row r="132" spans="8:20">
      <c r="H132" t="str">
        <f t="shared" si="16"/>
        <v/>
      </c>
      <c r="I132" t="str">
        <f t="shared" si="17"/>
        <v/>
      </c>
      <c r="O132" t="str">
        <f t="shared" si="18"/>
        <v>CLP</v>
      </c>
      <c r="P132" t="str">
        <f>IF(D132="","",IF(O132="USD",D132*'10_Apertura'!$C$12,D132))</f>
        <v/>
      </c>
      <c r="Q132" t="str">
        <f>IF(E132="","",IF(O132="USD",E132*'10_Apertura'!$C$12,E132))</f>
        <v/>
      </c>
      <c r="R132" t="str">
        <f>IF(F132="","",IF(O132="USD",F132*'10_Apertura'!$C$12,F132))</f>
        <v/>
      </c>
      <c r="S132" t="str">
        <f>IF(G132="","",IF(O132="USD",G132*'10_Apertura'!$C$12,G132))</f>
        <v/>
      </c>
      <c r="T132" t="str">
        <f t="shared" si="19"/>
        <v/>
      </c>
    </row>
    <row r="133" spans="8:20">
      <c r="H133" t="str">
        <f t="shared" ref="H133:H164" si="20">IF(OR(G133="",F133=""),"",G133-F133+IF(E133="",0,E133)-IF(D133="",0,D133))</f>
        <v/>
      </c>
      <c r="I133" t="str">
        <f t="shared" ref="I133:I164" si="21">IFERROR(H133/MAX(1,F133+IF(D133="",0,D133)-IF(E133="",0,E133)),"")</f>
        <v/>
      </c>
      <c r="O133" t="str">
        <f t="shared" ref="O133:O164" si="22">IF(OR(B133="TQQQ",B133="SOXX"),"USD","CLP")</f>
        <v>CLP</v>
      </c>
      <c r="P133" t="str">
        <f>IF(D133="","",IF(O133="USD",D133*'10_Apertura'!$C$12,D133))</f>
        <v/>
      </c>
      <c r="Q133" t="str">
        <f>IF(E133="","",IF(O133="USD",E133*'10_Apertura'!$C$12,E133))</f>
        <v/>
      </c>
      <c r="R133" t="str">
        <f>IF(F133="","",IF(O133="USD",F133*'10_Apertura'!$C$12,F133))</f>
        <v/>
      </c>
      <c r="S133" t="str">
        <f>IF(G133="","",IF(O133="USD",G133*'10_Apertura'!$C$12,G133))</f>
        <v/>
      </c>
      <c r="T133" t="str">
        <f t="shared" ref="T133:T164" si="23">IF(OR(S133="",R133=""),"",S133-R133+IF(Q133="",0,Q133)-IF(P133="",0,P133))</f>
        <v/>
      </c>
    </row>
    <row r="134" spans="8:20">
      <c r="H134" t="str">
        <f t="shared" si="20"/>
        <v/>
      </c>
      <c r="I134" t="str">
        <f t="shared" si="21"/>
        <v/>
      </c>
      <c r="O134" t="str">
        <f t="shared" si="22"/>
        <v>CLP</v>
      </c>
      <c r="P134" t="str">
        <f>IF(D134="","",IF(O134="USD",D134*'10_Apertura'!$C$12,D134))</f>
        <v/>
      </c>
      <c r="Q134" t="str">
        <f>IF(E134="","",IF(O134="USD",E134*'10_Apertura'!$C$12,E134))</f>
        <v/>
      </c>
      <c r="R134" t="str">
        <f>IF(F134="","",IF(O134="USD",F134*'10_Apertura'!$C$12,F134))</f>
        <v/>
      </c>
      <c r="S134" t="str">
        <f>IF(G134="","",IF(O134="USD",G134*'10_Apertura'!$C$12,G134))</f>
        <v/>
      </c>
      <c r="T134" t="str">
        <f t="shared" si="23"/>
        <v/>
      </c>
    </row>
    <row r="135" spans="8:20">
      <c r="H135" t="str">
        <f t="shared" si="20"/>
        <v/>
      </c>
      <c r="I135" t="str">
        <f t="shared" si="21"/>
        <v/>
      </c>
      <c r="O135" t="str">
        <f t="shared" si="22"/>
        <v>CLP</v>
      </c>
      <c r="P135" t="str">
        <f>IF(D135="","",IF(O135="USD",D135*'10_Apertura'!$C$12,D135))</f>
        <v/>
      </c>
      <c r="Q135" t="str">
        <f>IF(E135="","",IF(O135="USD",E135*'10_Apertura'!$C$12,E135))</f>
        <v/>
      </c>
      <c r="R135" t="str">
        <f>IF(F135="","",IF(O135="USD",F135*'10_Apertura'!$C$12,F135))</f>
        <v/>
      </c>
      <c r="S135" t="str">
        <f>IF(G135="","",IF(O135="USD",G135*'10_Apertura'!$C$12,G135))</f>
        <v/>
      </c>
      <c r="T135" t="str">
        <f t="shared" si="23"/>
        <v/>
      </c>
    </row>
    <row r="136" spans="8:20">
      <c r="H136" t="str">
        <f t="shared" si="20"/>
        <v/>
      </c>
      <c r="I136" t="str">
        <f t="shared" si="21"/>
        <v/>
      </c>
      <c r="O136" t="str">
        <f t="shared" si="22"/>
        <v>CLP</v>
      </c>
      <c r="P136" t="str">
        <f>IF(D136="","",IF(O136="USD",D136*'10_Apertura'!$C$12,D136))</f>
        <v/>
      </c>
      <c r="Q136" t="str">
        <f>IF(E136="","",IF(O136="USD",E136*'10_Apertura'!$C$12,E136))</f>
        <v/>
      </c>
      <c r="R136" t="str">
        <f>IF(F136="","",IF(O136="USD",F136*'10_Apertura'!$C$12,F136))</f>
        <v/>
      </c>
      <c r="S136" t="str">
        <f>IF(G136="","",IF(O136="USD",G136*'10_Apertura'!$C$12,G136))</f>
        <v/>
      </c>
      <c r="T136" t="str">
        <f t="shared" si="23"/>
        <v/>
      </c>
    </row>
    <row r="137" spans="8:20">
      <c r="H137" t="str">
        <f t="shared" si="20"/>
        <v/>
      </c>
      <c r="I137" t="str">
        <f t="shared" si="21"/>
        <v/>
      </c>
      <c r="O137" t="str">
        <f t="shared" si="22"/>
        <v>CLP</v>
      </c>
      <c r="P137" t="str">
        <f>IF(D137="","",IF(O137="USD",D137*'10_Apertura'!$C$12,D137))</f>
        <v/>
      </c>
      <c r="Q137" t="str">
        <f>IF(E137="","",IF(O137="USD",E137*'10_Apertura'!$C$12,E137))</f>
        <v/>
      </c>
      <c r="R137" t="str">
        <f>IF(F137="","",IF(O137="USD",F137*'10_Apertura'!$C$12,F137))</f>
        <v/>
      </c>
      <c r="S137" t="str">
        <f>IF(G137="","",IF(O137="USD",G137*'10_Apertura'!$C$12,G137))</f>
        <v/>
      </c>
      <c r="T137" t="str">
        <f t="shared" si="23"/>
        <v/>
      </c>
    </row>
    <row r="138" spans="8:20">
      <c r="H138" t="str">
        <f t="shared" si="20"/>
        <v/>
      </c>
      <c r="I138" t="str">
        <f t="shared" si="21"/>
        <v/>
      </c>
      <c r="O138" t="str">
        <f t="shared" si="22"/>
        <v>CLP</v>
      </c>
      <c r="P138" t="str">
        <f>IF(D138="","",IF(O138="USD",D138*'10_Apertura'!$C$12,D138))</f>
        <v/>
      </c>
      <c r="Q138" t="str">
        <f>IF(E138="","",IF(O138="USD",E138*'10_Apertura'!$C$12,E138))</f>
        <v/>
      </c>
      <c r="R138" t="str">
        <f>IF(F138="","",IF(O138="USD",F138*'10_Apertura'!$C$12,F138))</f>
        <v/>
      </c>
      <c r="S138" t="str">
        <f>IF(G138="","",IF(O138="USD",G138*'10_Apertura'!$C$12,G138))</f>
        <v/>
      </c>
      <c r="T138" t="str">
        <f t="shared" si="23"/>
        <v/>
      </c>
    </row>
    <row r="139" spans="8:20">
      <c r="H139" t="str">
        <f t="shared" si="20"/>
        <v/>
      </c>
      <c r="I139" t="str">
        <f t="shared" si="21"/>
        <v/>
      </c>
      <c r="O139" t="str">
        <f t="shared" si="22"/>
        <v>CLP</v>
      </c>
      <c r="P139" t="str">
        <f>IF(D139="","",IF(O139="USD",D139*'10_Apertura'!$C$12,D139))</f>
        <v/>
      </c>
      <c r="Q139" t="str">
        <f>IF(E139="","",IF(O139="USD",E139*'10_Apertura'!$C$12,E139))</f>
        <v/>
      </c>
      <c r="R139" t="str">
        <f>IF(F139="","",IF(O139="USD",F139*'10_Apertura'!$C$12,F139))</f>
        <v/>
      </c>
      <c r="S139" t="str">
        <f>IF(G139="","",IF(O139="USD",G139*'10_Apertura'!$C$12,G139))</f>
        <v/>
      </c>
      <c r="T139" t="str">
        <f t="shared" si="23"/>
        <v/>
      </c>
    </row>
    <row r="140" spans="8:20">
      <c r="H140" t="str">
        <f t="shared" si="20"/>
        <v/>
      </c>
      <c r="I140" t="str">
        <f t="shared" si="21"/>
        <v/>
      </c>
      <c r="O140" t="str">
        <f t="shared" si="22"/>
        <v>CLP</v>
      </c>
      <c r="P140" t="str">
        <f>IF(D140="","",IF(O140="USD",D140*'10_Apertura'!$C$12,D140))</f>
        <v/>
      </c>
      <c r="Q140" t="str">
        <f>IF(E140="","",IF(O140="USD",E140*'10_Apertura'!$C$12,E140))</f>
        <v/>
      </c>
      <c r="R140" t="str">
        <f>IF(F140="","",IF(O140="USD",F140*'10_Apertura'!$C$12,F140))</f>
        <v/>
      </c>
      <c r="S140" t="str">
        <f>IF(G140="","",IF(O140="USD",G140*'10_Apertura'!$C$12,G140))</f>
        <v/>
      </c>
      <c r="T140" t="str">
        <f t="shared" si="23"/>
        <v/>
      </c>
    </row>
    <row r="141" spans="8:20">
      <c r="H141" t="str">
        <f t="shared" si="20"/>
        <v/>
      </c>
      <c r="I141" t="str">
        <f t="shared" si="21"/>
        <v/>
      </c>
      <c r="O141" t="str">
        <f t="shared" si="22"/>
        <v>CLP</v>
      </c>
      <c r="P141" t="str">
        <f>IF(D141="","",IF(O141="USD",D141*'10_Apertura'!$C$12,D141))</f>
        <v/>
      </c>
      <c r="Q141" t="str">
        <f>IF(E141="","",IF(O141="USD",E141*'10_Apertura'!$C$12,E141))</f>
        <v/>
      </c>
      <c r="R141" t="str">
        <f>IF(F141="","",IF(O141="USD",F141*'10_Apertura'!$C$12,F141))</f>
        <v/>
      </c>
      <c r="S141" t="str">
        <f>IF(G141="","",IF(O141="USD",G141*'10_Apertura'!$C$12,G141))</f>
        <v/>
      </c>
      <c r="T141" t="str">
        <f t="shared" si="23"/>
        <v/>
      </c>
    </row>
    <row r="142" spans="8:20">
      <c r="H142" t="str">
        <f t="shared" si="20"/>
        <v/>
      </c>
      <c r="I142" t="str">
        <f t="shared" si="21"/>
        <v/>
      </c>
      <c r="O142" t="str">
        <f t="shared" si="22"/>
        <v>CLP</v>
      </c>
      <c r="P142" t="str">
        <f>IF(D142="","",IF(O142="USD",D142*'10_Apertura'!$C$12,D142))</f>
        <v/>
      </c>
      <c r="Q142" t="str">
        <f>IF(E142="","",IF(O142="USD",E142*'10_Apertura'!$C$12,E142))</f>
        <v/>
      </c>
      <c r="R142" t="str">
        <f>IF(F142="","",IF(O142="USD",F142*'10_Apertura'!$C$12,F142))</f>
        <v/>
      </c>
      <c r="S142" t="str">
        <f>IF(G142="","",IF(O142="USD",G142*'10_Apertura'!$C$12,G142))</f>
        <v/>
      </c>
      <c r="T142" t="str">
        <f t="shared" si="23"/>
        <v/>
      </c>
    </row>
    <row r="143" spans="8:20">
      <c r="H143" t="str">
        <f t="shared" si="20"/>
        <v/>
      </c>
      <c r="I143" t="str">
        <f t="shared" si="21"/>
        <v/>
      </c>
      <c r="O143" t="str">
        <f t="shared" si="22"/>
        <v>CLP</v>
      </c>
      <c r="P143" t="str">
        <f>IF(D143="","",IF(O143="USD",D143*'10_Apertura'!$C$12,D143))</f>
        <v/>
      </c>
      <c r="Q143" t="str">
        <f>IF(E143="","",IF(O143="USD",E143*'10_Apertura'!$C$12,E143))</f>
        <v/>
      </c>
      <c r="R143" t="str">
        <f>IF(F143="","",IF(O143="USD",F143*'10_Apertura'!$C$12,F143))</f>
        <v/>
      </c>
      <c r="S143" t="str">
        <f>IF(G143="","",IF(O143="USD",G143*'10_Apertura'!$C$12,G143))</f>
        <v/>
      </c>
      <c r="T143" t="str">
        <f t="shared" si="23"/>
        <v/>
      </c>
    </row>
    <row r="144" spans="8:20">
      <c r="H144" t="str">
        <f t="shared" si="20"/>
        <v/>
      </c>
      <c r="I144" t="str">
        <f t="shared" si="21"/>
        <v/>
      </c>
      <c r="O144" t="str">
        <f t="shared" si="22"/>
        <v>CLP</v>
      </c>
      <c r="P144" t="str">
        <f>IF(D144="","",IF(O144="USD",D144*'10_Apertura'!$C$12,D144))</f>
        <v/>
      </c>
      <c r="Q144" t="str">
        <f>IF(E144="","",IF(O144="USD",E144*'10_Apertura'!$C$12,E144))</f>
        <v/>
      </c>
      <c r="R144" t="str">
        <f>IF(F144="","",IF(O144="USD",F144*'10_Apertura'!$C$12,F144))</f>
        <v/>
      </c>
      <c r="S144" t="str">
        <f>IF(G144="","",IF(O144="USD",G144*'10_Apertura'!$C$12,G144))</f>
        <v/>
      </c>
      <c r="T144" t="str">
        <f t="shared" si="23"/>
        <v/>
      </c>
    </row>
    <row r="145" spans="8:20">
      <c r="H145" t="str">
        <f t="shared" si="20"/>
        <v/>
      </c>
      <c r="I145" t="str">
        <f t="shared" si="21"/>
        <v/>
      </c>
      <c r="O145" t="str">
        <f t="shared" si="22"/>
        <v>CLP</v>
      </c>
      <c r="P145" t="str">
        <f>IF(D145="","",IF(O145="USD",D145*'10_Apertura'!$C$12,D145))</f>
        <v/>
      </c>
      <c r="Q145" t="str">
        <f>IF(E145="","",IF(O145="USD",E145*'10_Apertura'!$C$12,E145))</f>
        <v/>
      </c>
      <c r="R145" t="str">
        <f>IF(F145="","",IF(O145="USD",F145*'10_Apertura'!$C$12,F145))</f>
        <v/>
      </c>
      <c r="S145" t="str">
        <f>IF(G145="","",IF(O145="USD",G145*'10_Apertura'!$C$12,G145))</f>
        <v/>
      </c>
      <c r="T145" t="str">
        <f t="shared" si="23"/>
        <v/>
      </c>
    </row>
    <row r="146" spans="8:20">
      <c r="H146" t="str">
        <f t="shared" si="20"/>
        <v/>
      </c>
      <c r="I146" t="str">
        <f t="shared" si="21"/>
        <v/>
      </c>
      <c r="O146" t="str">
        <f t="shared" si="22"/>
        <v>CLP</v>
      </c>
      <c r="P146" t="str">
        <f>IF(D146="","",IF(O146="USD",D146*'10_Apertura'!$C$12,D146))</f>
        <v/>
      </c>
      <c r="Q146" t="str">
        <f>IF(E146="","",IF(O146="USD",E146*'10_Apertura'!$C$12,E146))</f>
        <v/>
      </c>
      <c r="R146" t="str">
        <f>IF(F146="","",IF(O146="USD",F146*'10_Apertura'!$C$12,F146))</f>
        <v/>
      </c>
      <c r="S146" t="str">
        <f>IF(G146="","",IF(O146="USD",G146*'10_Apertura'!$C$12,G146))</f>
        <v/>
      </c>
      <c r="T146" t="str">
        <f t="shared" si="23"/>
        <v/>
      </c>
    </row>
    <row r="147" spans="8:20">
      <c r="H147" t="str">
        <f t="shared" si="20"/>
        <v/>
      </c>
      <c r="I147" t="str">
        <f t="shared" si="21"/>
        <v/>
      </c>
      <c r="O147" t="str">
        <f t="shared" si="22"/>
        <v>CLP</v>
      </c>
      <c r="P147" t="str">
        <f>IF(D147="","",IF(O147="USD",D147*'10_Apertura'!$C$12,D147))</f>
        <v/>
      </c>
      <c r="Q147" t="str">
        <f>IF(E147="","",IF(O147="USD",E147*'10_Apertura'!$C$12,E147))</f>
        <v/>
      </c>
      <c r="R147" t="str">
        <f>IF(F147="","",IF(O147="USD",F147*'10_Apertura'!$C$12,F147))</f>
        <v/>
      </c>
      <c r="S147" t="str">
        <f>IF(G147="","",IF(O147="USD",G147*'10_Apertura'!$C$12,G147))</f>
        <v/>
      </c>
      <c r="T147" t="str">
        <f t="shared" si="23"/>
        <v/>
      </c>
    </row>
    <row r="148" spans="8:20">
      <c r="H148" t="str">
        <f t="shared" si="20"/>
        <v/>
      </c>
      <c r="I148" t="str">
        <f t="shared" si="21"/>
        <v/>
      </c>
      <c r="O148" t="str">
        <f t="shared" si="22"/>
        <v>CLP</v>
      </c>
      <c r="P148" t="str">
        <f>IF(D148="","",IF(O148="USD",D148*'10_Apertura'!$C$12,D148))</f>
        <v/>
      </c>
      <c r="Q148" t="str">
        <f>IF(E148="","",IF(O148="USD",E148*'10_Apertura'!$C$12,E148))</f>
        <v/>
      </c>
      <c r="R148" t="str">
        <f>IF(F148="","",IF(O148="USD",F148*'10_Apertura'!$C$12,F148))</f>
        <v/>
      </c>
      <c r="S148" t="str">
        <f>IF(G148="","",IF(O148="USD",G148*'10_Apertura'!$C$12,G148))</f>
        <v/>
      </c>
      <c r="T148" t="str">
        <f t="shared" si="23"/>
        <v/>
      </c>
    </row>
    <row r="149" spans="8:20">
      <c r="H149" t="str">
        <f t="shared" si="20"/>
        <v/>
      </c>
      <c r="I149" t="str">
        <f t="shared" si="21"/>
        <v/>
      </c>
      <c r="O149" t="str">
        <f t="shared" si="22"/>
        <v>CLP</v>
      </c>
      <c r="P149" t="str">
        <f>IF(D149="","",IF(O149="USD",D149*'10_Apertura'!$C$12,D149))</f>
        <v/>
      </c>
      <c r="Q149" t="str">
        <f>IF(E149="","",IF(O149="USD",E149*'10_Apertura'!$C$12,E149))</f>
        <v/>
      </c>
      <c r="R149" t="str">
        <f>IF(F149="","",IF(O149="USD",F149*'10_Apertura'!$C$12,F149))</f>
        <v/>
      </c>
      <c r="S149" t="str">
        <f>IF(G149="","",IF(O149="USD",G149*'10_Apertura'!$C$12,G149))</f>
        <v/>
      </c>
      <c r="T149" t="str">
        <f t="shared" si="23"/>
        <v/>
      </c>
    </row>
    <row r="150" spans="8:20">
      <c r="H150" t="str">
        <f t="shared" si="20"/>
        <v/>
      </c>
      <c r="I150" t="str">
        <f t="shared" si="21"/>
        <v/>
      </c>
      <c r="O150" t="str">
        <f t="shared" si="22"/>
        <v>CLP</v>
      </c>
      <c r="P150" t="str">
        <f>IF(D150="","",IF(O150="USD",D150*'10_Apertura'!$C$12,D150))</f>
        <v/>
      </c>
      <c r="Q150" t="str">
        <f>IF(E150="","",IF(O150="USD",E150*'10_Apertura'!$C$12,E150))</f>
        <v/>
      </c>
      <c r="R150" t="str">
        <f>IF(F150="","",IF(O150="USD",F150*'10_Apertura'!$C$12,F150))</f>
        <v/>
      </c>
      <c r="S150" t="str">
        <f>IF(G150="","",IF(O150="USD",G150*'10_Apertura'!$C$12,G150))</f>
        <v/>
      </c>
      <c r="T150" t="str">
        <f t="shared" si="23"/>
        <v/>
      </c>
    </row>
    <row r="151" spans="8:20">
      <c r="H151" t="str">
        <f t="shared" si="20"/>
        <v/>
      </c>
      <c r="I151" t="str">
        <f t="shared" si="21"/>
        <v/>
      </c>
      <c r="O151" t="str">
        <f t="shared" si="22"/>
        <v>CLP</v>
      </c>
      <c r="P151" t="str">
        <f>IF(D151="","",IF(O151="USD",D151*'10_Apertura'!$C$12,D151))</f>
        <v/>
      </c>
      <c r="Q151" t="str">
        <f>IF(E151="","",IF(O151="USD",E151*'10_Apertura'!$C$12,E151))</f>
        <v/>
      </c>
      <c r="R151" t="str">
        <f>IF(F151="","",IF(O151="USD",F151*'10_Apertura'!$C$12,F151))</f>
        <v/>
      </c>
      <c r="S151" t="str">
        <f>IF(G151="","",IF(O151="USD",G151*'10_Apertura'!$C$12,G151))</f>
        <v/>
      </c>
      <c r="T151" t="str">
        <f t="shared" si="23"/>
        <v/>
      </c>
    </row>
    <row r="152" spans="8:20">
      <c r="H152" t="str">
        <f t="shared" si="20"/>
        <v/>
      </c>
      <c r="I152" t="str">
        <f t="shared" si="21"/>
        <v/>
      </c>
      <c r="O152" t="str">
        <f t="shared" si="22"/>
        <v>CLP</v>
      </c>
      <c r="P152" t="str">
        <f>IF(D152="","",IF(O152="USD",D152*'10_Apertura'!$C$12,D152))</f>
        <v/>
      </c>
      <c r="Q152" t="str">
        <f>IF(E152="","",IF(O152="USD",E152*'10_Apertura'!$C$12,E152))</f>
        <v/>
      </c>
      <c r="R152" t="str">
        <f>IF(F152="","",IF(O152="USD",F152*'10_Apertura'!$C$12,F152))</f>
        <v/>
      </c>
      <c r="S152" t="str">
        <f>IF(G152="","",IF(O152="USD",G152*'10_Apertura'!$C$12,G152))</f>
        <v/>
      </c>
      <c r="T152" t="str">
        <f t="shared" si="23"/>
        <v/>
      </c>
    </row>
    <row r="153" spans="8:20">
      <c r="H153" t="str">
        <f t="shared" si="20"/>
        <v/>
      </c>
      <c r="I153" t="str">
        <f t="shared" si="21"/>
        <v/>
      </c>
      <c r="O153" t="str">
        <f t="shared" si="22"/>
        <v>CLP</v>
      </c>
      <c r="P153" t="str">
        <f>IF(D153="","",IF(O153="USD",D153*'10_Apertura'!$C$12,D153))</f>
        <v/>
      </c>
      <c r="Q153" t="str">
        <f>IF(E153="","",IF(O153="USD",E153*'10_Apertura'!$C$12,E153))</f>
        <v/>
      </c>
      <c r="R153" t="str">
        <f>IF(F153="","",IF(O153="USD",F153*'10_Apertura'!$C$12,F153))</f>
        <v/>
      </c>
      <c r="S153" t="str">
        <f>IF(G153="","",IF(O153="USD",G153*'10_Apertura'!$C$12,G153))</f>
        <v/>
      </c>
      <c r="T153" t="str">
        <f t="shared" si="23"/>
        <v/>
      </c>
    </row>
    <row r="154" spans="8:20">
      <c r="H154" t="str">
        <f t="shared" si="20"/>
        <v/>
      </c>
      <c r="I154" t="str">
        <f t="shared" si="21"/>
        <v/>
      </c>
      <c r="O154" t="str">
        <f t="shared" si="22"/>
        <v>CLP</v>
      </c>
      <c r="P154" t="str">
        <f>IF(D154="","",IF(O154="USD",D154*'10_Apertura'!$C$12,D154))</f>
        <v/>
      </c>
      <c r="Q154" t="str">
        <f>IF(E154="","",IF(O154="USD",E154*'10_Apertura'!$C$12,E154))</f>
        <v/>
      </c>
      <c r="R154" t="str">
        <f>IF(F154="","",IF(O154="USD",F154*'10_Apertura'!$C$12,F154))</f>
        <v/>
      </c>
      <c r="S154" t="str">
        <f>IF(G154="","",IF(O154="USD",G154*'10_Apertura'!$C$12,G154))</f>
        <v/>
      </c>
      <c r="T154" t="str">
        <f t="shared" si="23"/>
        <v/>
      </c>
    </row>
    <row r="155" spans="8:20">
      <c r="H155" t="str">
        <f t="shared" si="20"/>
        <v/>
      </c>
      <c r="I155" t="str">
        <f t="shared" si="21"/>
        <v/>
      </c>
      <c r="O155" t="str">
        <f t="shared" si="22"/>
        <v>CLP</v>
      </c>
      <c r="P155" t="str">
        <f>IF(D155="","",IF(O155="USD",D155*'10_Apertura'!$C$12,D155))</f>
        <v/>
      </c>
      <c r="Q155" t="str">
        <f>IF(E155="","",IF(O155="USD",E155*'10_Apertura'!$C$12,E155))</f>
        <v/>
      </c>
      <c r="R155" t="str">
        <f>IF(F155="","",IF(O155="USD",F155*'10_Apertura'!$C$12,F155))</f>
        <v/>
      </c>
      <c r="S155" t="str">
        <f>IF(G155="","",IF(O155="USD",G155*'10_Apertura'!$C$12,G155))</f>
        <v/>
      </c>
      <c r="T155" t="str">
        <f t="shared" si="23"/>
        <v/>
      </c>
    </row>
    <row r="156" spans="8:20">
      <c r="H156" t="str">
        <f t="shared" si="20"/>
        <v/>
      </c>
      <c r="I156" t="str">
        <f t="shared" si="21"/>
        <v/>
      </c>
      <c r="O156" t="str">
        <f t="shared" si="22"/>
        <v>CLP</v>
      </c>
      <c r="P156" t="str">
        <f>IF(D156="","",IF(O156="USD",D156*'10_Apertura'!$C$12,D156))</f>
        <v/>
      </c>
      <c r="Q156" t="str">
        <f>IF(E156="","",IF(O156="USD",E156*'10_Apertura'!$C$12,E156))</f>
        <v/>
      </c>
      <c r="R156" t="str">
        <f>IF(F156="","",IF(O156="USD",F156*'10_Apertura'!$C$12,F156))</f>
        <v/>
      </c>
      <c r="S156" t="str">
        <f>IF(G156="","",IF(O156="USD",G156*'10_Apertura'!$C$12,G156))</f>
        <v/>
      </c>
      <c r="T156" t="str">
        <f t="shared" si="23"/>
        <v/>
      </c>
    </row>
    <row r="157" spans="8:20">
      <c r="H157" t="str">
        <f t="shared" si="20"/>
        <v/>
      </c>
      <c r="I157" t="str">
        <f t="shared" si="21"/>
        <v/>
      </c>
      <c r="O157" t="str">
        <f t="shared" si="22"/>
        <v>CLP</v>
      </c>
      <c r="P157" t="str">
        <f>IF(D157="","",IF(O157="USD",D157*'10_Apertura'!$C$12,D157))</f>
        <v/>
      </c>
      <c r="Q157" t="str">
        <f>IF(E157="","",IF(O157="USD",E157*'10_Apertura'!$C$12,E157))</f>
        <v/>
      </c>
      <c r="R157" t="str">
        <f>IF(F157="","",IF(O157="USD",F157*'10_Apertura'!$C$12,F157))</f>
        <v/>
      </c>
      <c r="S157" t="str">
        <f>IF(G157="","",IF(O157="USD",G157*'10_Apertura'!$C$12,G157))</f>
        <v/>
      </c>
      <c r="T157" t="str">
        <f t="shared" si="23"/>
        <v/>
      </c>
    </row>
    <row r="158" spans="8:20">
      <c r="H158" t="str">
        <f t="shared" si="20"/>
        <v/>
      </c>
      <c r="I158" t="str">
        <f t="shared" si="21"/>
        <v/>
      </c>
      <c r="O158" t="str">
        <f t="shared" si="22"/>
        <v>CLP</v>
      </c>
      <c r="P158" t="str">
        <f>IF(D158="","",IF(O158="USD",D158*'10_Apertura'!$C$12,D158))</f>
        <v/>
      </c>
      <c r="Q158" t="str">
        <f>IF(E158="","",IF(O158="USD",E158*'10_Apertura'!$C$12,E158))</f>
        <v/>
      </c>
      <c r="R158" t="str">
        <f>IF(F158="","",IF(O158="USD",F158*'10_Apertura'!$C$12,F158))</f>
        <v/>
      </c>
      <c r="S158" t="str">
        <f>IF(G158="","",IF(O158="USD",G158*'10_Apertura'!$C$12,G158))</f>
        <v/>
      </c>
      <c r="T158" t="str">
        <f t="shared" si="23"/>
        <v/>
      </c>
    </row>
    <row r="159" spans="8:20">
      <c r="H159" t="str">
        <f t="shared" si="20"/>
        <v/>
      </c>
      <c r="I159" t="str">
        <f t="shared" si="21"/>
        <v/>
      </c>
      <c r="O159" t="str">
        <f t="shared" si="22"/>
        <v>CLP</v>
      </c>
      <c r="P159" t="str">
        <f>IF(D159="","",IF(O159="USD",D159*'10_Apertura'!$C$12,D159))</f>
        <v/>
      </c>
      <c r="Q159" t="str">
        <f>IF(E159="","",IF(O159="USD",E159*'10_Apertura'!$C$12,E159))</f>
        <v/>
      </c>
      <c r="R159" t="str">
        <f>IF(F159="","",IF(O159="USD",F159*'10_Apertura'!$C$12,F159))</f>
        <v/>
      </c>
      <c r="S159" t="str">
        <f>IF(G159="","",IF(O159="USD",G159*'10_Apertura'!$C$12,G159))</f>
        <v/>
      </c>
      <c r="T159" t="str">
        <f t="shared" si="23"/>
        <v/>
      </c>
    </row>
    <row r="160" spans="8:20">
      <c r="H160" t="str">
        <f t="shared" si="20"/>
        <v/>
      </c>
      <c r="I160" t="str">
        <f t="shared" si="21"/>
        <v/>
      </c>
      <c r="O160" t="str">
        <f t="shared" si="22"/>
        <v>CLP</v>
      </c>
      <c r="P160" t="str">
        <f>IF(D160="","",IF(O160="USD",D160*'10_Apertura'!$C$12,D160))</f>
        <v/>
      </c>
      <c r="Q160" t="str">
        <f>IF(E160="","",IF(O160="USD",E160*'10_Apertura'!$C$12,E160))</f>
        <v/>
      </c>
      <c r="R160" t="str">
        <f>IF(F160="","",IF(O160="USD",F160*'10_Apertura'!$C$12,F160))</f>
        <v/>
      </c>
      <c r="S160" t="str">
        <f>IF(G160="","",IF(O160="USD",G160*'10_Apertura'!$C$12,G160))</f>
        <v/>
      </c>
      <c r="T160" t="str">
        <f t="shared" si="23"/>
        <v/>
      </c>
    </row>
    <row r="161" spans="8:20">
      <c r="H161" t="str">
        <f t="shared" si="20"/>
        <v/>
      </c>
      <c r="I161" t="str">
        <f t="shared" si="21"/>
        <v/>
      </c>
      <c r="O161" t="str">
        <f t="shared" si="22"/>
        <v>CLP</v>
      </c>
      <c r="P161" t="str">
        <f>IF(D161="","",IF(O161="USD",D161*'10_Apertura'!$C$12,D161))</f>
        <v/>
      </c>
      <c r="Q161" t="str">
        <f>IF(E161="","",IF(O161="USD",E161*'10_Apertura'!$C$12,E161))</f>
        <v/>
      </c>
      <c r="R161" t="str">
        <f>IF(F161="","",IF(O161="USD",F161*'10_Apertura'!$C$12,F161))</f>
        <v/>
      </c>
      <c r="S161" t="str">
        <f>IF(G161="","",IF(O161="USD",G161*'10_Apertura'!$C$12,G161))</f>
        <v/>
      </c>
      <c r="T161" t="str">
        <f t="shared" si="23"/>
        <v/>
      </c>
    </row>
    <row r="162" spans="8:20">
      <c r="H162" t="str">
        <f t="shared" si="20"/>
        <v/>
      </c>
      <c r="I162" t="str">
        <f t="shared" si="21"/>
        <v/>
      </c>
      <c r="O162" t="str">
        <f t="shared" si="22"/>
        <v>CLP</v>
      </c>
      <c r="P162" t="str">
        <f>IF(D162="","",IF(O162="USD",D162*'10_Apertura'!$C$12,D162))</f>
        <v/>
      </c>
      <c r="Q162" t="str">
        <f>IF(E162="","",IF(O162="USD",E162*'10_Apertura'!$C$12,E162))</f>
        <v/>
      </c>
      <c r="R162" t="str">
        <f>IF(F162="","",IF(O162="USD",F162*'10_Apertura'!$C$12,F162))</f>
        <v/>
      </c>
      <c r="S162" t="str">
        <f>IF(G162="","",IF(O162="USD",G162*'10_Apertura'!$C$12,G162))</f>
        <v/>
      </c>
      <c r="T162" t="str">
        <f t="shared" si="23"/>
        <v/>
      </c>
    </row>
    <row r="163" spans="8:20">
      <c r="H163" t="str">
        <f t="shared" si="20"/>
        <v/>
      </c>
      <c r="I163" t="str">
        <f t="shared" si="21"/>
        <v/>
      </c>
      <c r="O163" t="str">
        <f t="shared" si="22"/>
        <v>CLP</v>
      </c>
      <c r="P163" t="str">
        <f>IF(D163="","",IF(O163="USD",D163*'10_Apertura'!$C$12,D163))</f>
        <v/>
      </c>
      <c r="Q163" t="str">
        <f>IF(E163="","",IF(O163="USD",E163*'10_Apertura'!$C$12,E163))</f>
        <v/>
      </c>
      <c r="R163" t="str">
        <f>IF(F163="","",IF(O163="USD",F163*'10_Apertura'!$C$12,F163))</f>
        <v/>
      </c>
      <c r="S163" t="str">
        <f>IF(G163="","",IF(O163="USD",G163*'10_Apertura'!$C$12,G163))</f>
        <v/>
      </c>
      <c r="T163" t="str">
        <f t="shared" si="23"/>
        <v/>
      </c>
    </row>
    <row r="164" spans="8:20">
      <c r="H164" t="str">
        <f t="shared" si="20"/>
        <v/>
      </c>
      <c r="I164" t="str">
        <f t="shared" si="21"/>
        <v/>
      </c>
      <c r="O164" t="str">
        <f t="shared" si="22"/>
        <v>CLP</v>
      </c>
      <c r="P164" t="str">
        <f>IF(D164="","",IF(O164="USD",D164*'10_Apertura'!$C$12,D164))</f>
        <v/>
      </c>
      <c r="Q164" t="str">
        <f>IF(E164="","",IF(O164="USD",E164*'10_Apertura'!$C$12,E164))</f>
        <v/>
      </c>
      <c r="R164" t="str">
        <f>IF(F164="","",IF(O164="USD",F164*'10_Apertura'!$C$12,F164))</f>
        <v/>
      </c>
      <c r="S164" t="str">
        <f>IF(G164="","",IF(O164="USD",G164*'10_Apertura'!$C$12,G164))</f>
        <v/>
      </c>
      <c r="T164" t="str">
        <f t="shared" si="23"/>
        <v/>
      </c>
    </row>
    <row r="165" spans="8:20">
      <c r="H165" t="str">
        <f t="shared" ref="H165:H196" si="24">IF(OR(G165="",F165=""),"",G165-F165+IF(E165="",0,E165)-IF(D165="",0,D165))</f>
        <v/>
      </c>
      <c r="I165" t="str">
        <f t="shared" ref="I165:I196" si="25">IFERROR(H165/MAX(1,F165+IF(D165="",0,D165)-IF(E165="",0,E165)),"")</f>
        <v/>
      </c>
      <c r="O165" t="str">
        <f t="shared" ref="O165:O196" si="26">IF(OR(B165="TQQQ",B165="SOXX"),"USD","CLP")</f>
        <v>CLP</v>
      </c>
      <c r="P165" t="str">
        <f>IF(D165="","",IF(O165="USD",D165*'10_Apertura'!$C$12,D165))</f>
        <v/>
      </c>
      <c r="Q165" t="str">
        <f>IF(E165="","",IF(O165="USD",E165*'10_Apertura'!$C$12,E165))</f>
        <v/>
      </c>
      <c r="R165" t="str">
        <f>IF(F165="","",IF(O165="USD",F165*'10_Apertura'!$C$12,F165))</f>
        <v/>
      </c>
      <c r="S165" t="str">
        <f>IF(G165="","",IF(O165="USD",G165*'10_Apertura'!$C$12,G165))</f>
        <v/>
      </c>
      <c r="T165" t="str">
        <f t="shared" ref="T165:T196" si="27">IF(OR(S165="",R165=""),"",S165-R165+IF(Q165="",0,Q165)-IF(P165="",0,P165))</f>
        <v/>
      </c>
    </row>
    <row r="166" spans="8:20">
      <c r="H166" t="str">
        <f t="shared" si="24"/>
        <v/>
      </c>
      <c r="I166" t="str">
        <f t="shared" si="25"/>
        <v/>
      </c>
      <c r="O166" t="str">
        <f t="shared" si="26"/>
        <v>CLP</v>
      </c>
      <c r="P166" t="str">
        <f>IF(D166="","",IF(O166="USD",D166*'10_Apertura'!$C$12,D166))</f>
        <v/>
      </c>
      <c r="Q166" t="str">
        <f>IF(E166="","",IF(O166="USD",E166*'10_Apertura'!$C$12,E166))</f>
        <v/>
      </c>
      <c r="R166" t="str">
        <f>IF(F166="","",IF(O166="USD",F166*'10_Apertura'!$C$12,F166))</f>
        <v/>
      </c>
      <c r="S166" t="str">
        <f>IF(G166="","",IF(O166="USD",G166*'10_Apertura'!$C$12,G166))</f>
        <v/>
      </c>
      <c r="T166" t="str">
        <f t="shared" si="27"/>
        <v/>
      </c>
    </row>
    <row r="167" spans="8:20">
      <c r="H167" t="str">
        <f t="shared" si="24"/>
        <v/>
      </c>
      <c r="I167" t="str">
        <f t="shared" si="25"/>
        <v/>
      </c>
      <c r="O167" t="str">
        <f t="shared" si="26"/>
        <v>CLP</v>
      </c>
      <c r="P167" t="str">
        <f>IF(D167="","",IF(O167="USD",D167*'10_Apertura'!$C$12,D167))</f>
        <v/>
      </c>
      <c r="Q167" t="str">
        <f>IF(E167="","",IF(O167="USD",E167*'10_Apertura'!$C$12,E167))</f>
        <v/>
      </c>
      <c r="R167" t="str">
        <f>IF(F167="","",IF(O167="USD",F167*'10_Apertura'!$C$12,F167))</f>
        <v/>
      </c>
      <c r="S167" t="str">
        <f>IF(G167="","",IF(O167="USD",G167*'10_Apertura'!$C$12,G167))</f>
        <v/>
      </c>
      <c r="T167" t="str">
        <f t="shared" si="27"/>
        <v/>
      </c>
    </row>
    <row r="168" spans="8:20">
      <c r="H168" t="str">
        <f t="shared" si="24"/>
        <v/>
      </c>
      <c r="I168" t="str">
        <f t="shared" si="25"/>
        <v/>
      </c>
      <c r="O168" t="str">
        <f t="shared" si="26"/>
        <v>CLP</v>
      </c>
      <c r="P168" t="str">
        <f>IF(D168="","",IF(O168="USD",D168*'10_Apertura'!$C$12,D168))</f>
        <v/>
      </c>
      <c r="Q168" t="str">
        <f>IF(E168="","",IF(O168="USD",E168*'10_Apertura'!$C$12,E168))</f>
        <v/>
      </c>
      <c r="R168" t="str">
        <f>IF(F168="","",IF(O168="USD",F168*'10_Apertura'!$C$12,F168))</f>
        <v/>
      </c>
      <c r="S168" t="str">
        <f>IF(G168="","",IF(O168="USD",G168*'10_Apertura'!$C$12,G168))</f>
        <v/>
      </c>
      <c r="T168" t="str">
        <f t="shared" si="27"/>
        <v/>
      </c>
    </row>
    <row r="169" spans="8:20">
      <c r="H169" t="str">
        <f t="shared" si="24"/>
        <v/>
      </c>
      <c r="I169" t="str">
        <f t="shared" si="25"/>
        <v/>
      </c>
      <c r="O169" t="str">
        <f t="shared" si="26"/>
        <v>CLP</v>
      </c>
      <c r="P169" t="str">
        <f>IF(D169="","",IF(O169="USD",D169*'10_Apertura'!$C$12,D169))</f>
        <v/>
      </c>
      <c r="Q169" t="str">
        <f>IF(E169="","",IF(O169="USD",E169*'10_Apertura'!$C$12,E169))</f>
        <v/>
      </c>
      <c r="R169" t="str">
        <f>IF(F169="","",IF(O169="USD",F169*'10_Apertura'!$C$12,F169))</f>
        <v/>
      </c>
      <c r="S169" t="str">
        <f>IF(G169="","",IF(O169="USD",G169*'10_Apertura'!$C$12,G169))</f>
        <v/>
      </c>
      <c r="T169" t="str">
        <f t="shared" si="27"/>
        <v/>
      </c>
    </row>
    <row r="170" spans="8:20">
      <c r="H170" t="str">
        <f t="shared" si="24"/>
        <v/>
      </c>
      <c r="I170" t="str">
        <f t="shared" si="25"/>
        <v/>
      </c>
      <c r="O170" t="str">
        <f t="shared" si="26"/>
        <v>CLP</v>
      </c>
      <c r="P170" t="str">
        <f>IF(D170="","",IF(O170="USD",D170*'10_Apertura'!$C$12,D170))</f>
        <v/>
      </c>
      <c r="Q170" t="str">
        <f>IF(E170="","",IF(O170="USD",E170*'10_Apertura'!$C$12,E170))</f>
        <v/>
      </c>
      <c r="R170" t="str">
        <f>IF(F170="","",IF(O170="USD",F170*'10_Apertura'!$C$12,F170))</f>
        <v/>
      </c>
      <c r="S170" t="str">
        <f>IF(G170="","",IF(O170="USD",G170*'10_Apertura'!$C$12,G170))</f>
        <v/>
      </c>
      <c r="T170" t="str">
        <f t="shared" si="27"/>
        <v/>
      </c>
    </row>
    <row r="171" spans="8:20">
      <c r="H171" t="str">
        <f t="shared" si="24"/>
        <v/>
      </c>
      <c r="I171" t="str">
        <f t="shared" si="25"/>
        <v/>
      </c>
      <c r="O171" t="str">
        <f t="shared" si="26"/>
        <v>CLP</v>
      </c>
      <c r="P171" t="str">
        <f>IF(D171="","",IF(O171="USD",D171*'10_Apertura'!$C$12,D171))</f>
        <v/>
      </c>
      <c r="Q171" t="str">
        <f>IF(E171="","",IF(O171="USD",E171*'10_Apertura'!$C$12,E171))</f>
        <v/>
      </c>
      <c r="R171" t="str">
        <f>IF(F171="","",IF(O171="USD",F171*'10_Apertura'!$C$12,F171))</f>
        <v/>
      </c>
      <c r="S171" t="str">
        <f>IF(G171="","",IF(O171="USD",G171*'10_Apertura'!$C$12,G171))</f>
        <v/>
      </c>
      <c r="T171" t="str">
        <f t="shared" si="27"/>
        <v/>
      </c>
    </row>
    <row r="172" spans="8:20">
      <c r="H172" t="str">
        <f t="shared" si="24"/>
        <v/>
      </c>
      <c r="I172" t="str">
        <f t="shared" si="25"/>
        <v/>
      </c>
      <c r="O172" t="str">
        <f t="shared" si="26"/>
        <v>CLP</v>
      </c>
      <c r="P172" t="str">
        <f>IF(D172="","",IF(O172="USD",D172*'10_Apertura'!$C$12,D172))</f>
        <v/>
      </c>
      <c r="Q172" t="str">
        <f>IF(E172="","",IF(O172="USD",E172*'10_Apertura'!$C$12,E172))</f>
        <v/>
      </c>
      <c r="R172" t="str">
        <f>IF(F172="","",IF(O172="USD",F172*'10_Apertura'!$C$12,F172))</f>
        <v/>
      </c>
      <c r="S172" t="str">
        <f>IF(G172="","",IF(O172="USD",G172*'10_Apertura'!$C$12,G172))</f>
        <v/>
      </c>
      <c r="T172" t="str">
        <f t="shared" si="27"/>
        <v/>
      </c>
    </row>
    <row r="173" spans="8:20">
      <c r="H173" t="str">
        <f t="shared" si="24"/>
        <v/>
      </c>
      <c r="I173" t="str">
        <f t="shared" si="25"/>
        <v/>
      </c>
      <c r="O173" t="str">
        <f t="shared" si="26"/>
        <v>CLP</v>
      </c>
      <c r="P173" t="str">
        <f>IF(D173="","",IF(O173="USD",D173*'10_Apertura'!$C$12,D173))</f>
        <v/>
      </c>
      <c r="Q173" t="str">
        <f>IF(E173="","",IF(O173="USD",E173*'10_Apertura'!$C$12,E173))</f>
        <v/>
      </c>
      <c r="R173" t="str">
        <f>IF(F173="","",IF(O173="USD",F173*'10_Apertura'!$C$12,F173))</f>
        <v/>
      </c>
      <c r="S173" t="str">
        <f>IF(G173="","",IF(O173="USD",G173*'10_Apertura'!$C$12,G173))</f>
        <v/>
      </c>
      <c r="T173" t="str">
        <f t="shared" si="27"/>
        <v/>
      </c>
    </row>
    <row r="174" spans="8:20">
      <c r="H174" t="str">
        <f t="shared" si="24"/>
        <v/>
      </c>
      <c r="I174" t="str">
        <f t="shared" si="25"/>
        <v/>
      </c>
      <c r="O174" t="str">
        <f t="shared" si="26"/>
        <v>CLP</v>
      </c>
      <c r="P174" t="str">
        <f>IF(D174="","",IF(O174="USD",D174*'10_Apertura'!$C$12,D174))</f>
        <v/>
      </c>
      <c r="Q174" t="str">
        <f>IF(E174="","",IF(O174="USD",E174*'10_Apertura'!$C$12,E174))</f>
        <v/>
      </c>
      <c r="R174" t="str">
        <f>IF(F174="","",IF(O174="USD",F174*'10_Apertura'!$C$12,F174))</f>
        <v/>
      </c>
      <c r="S174" t="str">
        <f>IF(G174="","",IF(O174="USD",G174*'10_Apertura'!$C$12,G174))</f>
        <v/>
      </c>
      <c r="T174" t="str">
        <f t="shared" si="27"/>
        <v/>
      </c>
    </row>
    <row r="175" spans="8:20">
      <c r="H175" t="str">
        <f t="shared" si="24"/>
        <v/>
      </c>
      <c r="I175" t="str">
        <f t="shared" si="25"/>
        <v/>
      </c>
      <c r="O175" t="str">
        <f t="shared" si="26"/>
        <v>CLP</v>
      </c>
      <c r="P175" t="str">
        <f>IF(D175="","",IF(O175="USD",D175*'10_Apertura'!$C$12,D175))</f>
        <v/>
      </c>
      <c r="Q175" t="str">
        <f>IF(E175="","",IF(O175="USD",E175*'10_Apertura'!$C$12,E175))</f>
        <v/>
      </c>
      <c r="R175" t="str">
        <f>IF(F175="","",IF(O175="USD",F175*'10_Apertura'!$C$12,F175))</f>
        <v/>
      </c>
      <c r="S175" t="str">
        <f>IF(G175="","",IF(O175="USD",G175*'10_Apertura'!$C$12,G175))</f>
        <v/>
      </c>
      <c r="T175" t="str">
        <f t="shared" si="27"/>
        <v/>
      </c>
    </row>
    <row r="176" spans="8:20">
      <c r="H176" t="str">
        <f t="shared" si="24"/>
        <v/>
      </c>
      <c r="I176" t="str">
        <f t="shared" si="25"/>
        <v/>
      </c>
      <c r="O176" t="str">
        <f t="shared" si="26"/>
        <v>CLP</v>
      </c>
      <c r="P176" t="str">
        <f>IF(D176="","",IF(O176="USD",D176*'10_Apertura'!$C$12,D176))</f>
        <v/>
      </c>
      <c r="Q176" t="str">
        <f>IF(E176="","",IF(O176="USD",E176*'10_Apertura'!$C$12,E176))</f>
        <v/>
      </c>
      <c r="R176" t="str">
        <f>IF(F176="","",IF(O176="USD",F176*'10_Apertura'!$C$12,F176))</f>
        <v/>
      </c>
      <c r="S176" t="str">
        <f>IF(G176="","",IF(O176="USD",G176*'10_Apertura'!$C$12,G176))</f>
        <v/>
      </c>
      <c r="T176" t="str">
        <f t="shared" si="27"/>
        <v/>
      </c>
    </row>
    <row r="177" spans="8:20">
      <c r="H177" t="str">
        <f t="shared" si="24"/>
        <v/>
      </c>
      <c r="I177" t="str">
        <f t="shared" si="25"/>
        <v/>
      </c>
      <c r="O177" t="str">
        <f t="shared" si="26"/>
        <v>CLP</v>
      </c>
      <c r="P177" t="str">
        <f>IF(D177="","",IF(O177="USD",D177*'10_Apertura'!$C$12,D177))</f>
        <v/>
      </c>
      <c r="Q177" t="str">
        <f>IF(E177="","",IF(O177="USD",E177*'10_Apertura'!$C$12,E177))</f>
        <v/>
      </c>
      <c r="R177" t="str">
        <f>IF(F177="","",IF(O177="USD",F177*'10_Apertura'!$C$12,F177))</f>
        <v/>
      </c>
      <c r="S177" t="str">
        <f>IF(G177="","",IF(O177="USD",G177*'10_Apertura'!$C$12,G177))</f>
        <v/>
      </c>
      <c r="T177" t="str">
        <f t="shared" si="27"/>
        <v/>
      </c>
    </row>
    <row r="178" spans="8:20">
      <c r="H178" t="str">
        <f t="shared" si="24"/>
        <v/>
      </c>
      <c r="I178" t="str">
        <f t="shared" si="25"/>
        <v/>
      </c>
      <c r="O178" t="str">
        <f t="shared" si="26"/>
        <v>CLP</v>
      </c>
      <c r="P178" t="str">
        <f>IF(D178="","",IF(O178="USD",D178*'10_Apertura'!$C$12,D178))</f>
        <v/>
      </c>
      <c r="Q178" t="str">
        <f>IF(E178="","",IF(O178="USD",E178*'10_Apertura'!$C$12,E178))</f>
        <v/>
      </c>
      <c r="R178" t="str">
        <f>IF(F178="","",IF(O178="USD",F178*'10_Apertura'!$C$12,F178))</f>
        <v/>
      </c>
      <c r="S178" t="str">
        <f>IF(G178="","",IF(O178="USD",G178*'10_Apertura'!$C$12,G178))</f>
        <v/>
      </c>
      <c r="T178" t="str">
        <f t="shared" si="27"/>
        <v/>
      </c>
    </row>
    <row r="179" spans="8:20">
      <c r="H179" t="str">
        <f t="shared" si="24"/>
        <v/>
      </c>
      <c r="I179" t="str">
        <f t="shared" si="25"/>
        <v/>
      </c>
      <c r="O179" t="str">
        <f t="shared" si="26"/>
        <v>CLP</v>
      </c>
      <c r="P179" t="str">
        <f>IF(D179="","",IF(O179="USD",D179*'10_Apertura'!$C$12,D179))</f>
        <v/>
      </c>
      <c r="Q179" t="str">
        <f>IF(E179="","",IF(O179="USD",E179*'10_Apertura'!$C$12,E179))</f>
        <v/>
      </c>
      <c r="R179" t="str">
        <f>IF(F179="","",IF(O179="USD",F179*'10_Apertura'!$C$12,F179))</f>
        <v/>
      </c>
      <c r="S179" t="str">
        <f>IF(G179="","",IF(O179="USD",G179*'10_Apertura'!$C$12,G179))</f>
        <v/>
      </c>
      <c r="T179" t="str">
        <f t="shared" si="27"/>
        <v/>
      </c>
    </row>
    <row r="180" spans="8:20">
      <c r="H180" t="str">
        <f t="shared" si="24"/>
        <v/>
      </c>
      <c r="I180" t="str">
        <f t="shared" si="25"/>
        <v/>
      </c>
      <c r="O180" t="str">
        <f t="shared" si="26"/>
        <v>CLP</v>
      </c>
      <c r="P180" t="str">
        <f>IF(D180="","",IF(O180="USD",D180*'10_Apertura'!$C$12,D180))</f>
        <v/>
      </c>
      <c r="Q180" t="str">
        <f>IF(E180="","",IF(O180="USD",E180*'10_Apertura'!$C$12,E180))</f>
        <v/>
      </c>
      <c r="R180" t="str">
        <f>IF(F180="","",IF(O180="USD",F180*'10_Apertura'!$C$12,F180))</f>
        <v/>
      </c>
      <c r="S180" t="str">
        <f>IF(G180="","",IF(O180="USD",G180*'10_Apertura'!$C$12,G180))</f>
        <v/>
      </c>
      <c r="T180" t="str">
        <f t="shared" si="27"/>
        <v/>
      </c>
    </row>
    <row r="181" spans="8:20">
      <c r="H181" t="str">
        <f t="shared" si="24"/>
        <v/>
      </c>
      <c r="I181" t="str">
        <f t="shared" si="25"/>
        <v/>
      </c>
      <c r="O181" t="str">
        <f t="shared" si="26"/>
        <v>CLP</v>
      </c>
      <c r="P181" t="str">
        <f>IF(D181="","",IF(O181="USD",D181*'10_Apertura'!$C$12,D181))</f>
        <v/>
      </c>
      <c r="Q181" t="str">
        <f>IF(E181="","",IF(O181="USD",E181*'10_Apertura'!$C$12,E181))</f>
        <v/>
      </c>
      <c r="R181" t="str">
        <f>IF(F181="","",IF(O181="USD",F181*'10_Apertura'!$C$12,F181))</f>
        <v/>
      </c>
      <c r="S181" t="str">
        <f>IF(G181="","",IF(O181="USD",G181*'10_Apertura'!$C$12,G181))</f>
        <v/>
      </c>
      <c r="T181" t="str">
        <f t="shared" si="27"/>
        <v/>
      </c>
    </row>
    <row r="182" spans="8:20">
      <c r="H182" t="str">
        <f t="shared" si="24"/>
        <v/>
      </c>
      <c r="I182" t="str">
        <f t="shared" si="25"/>
        <v/>
      </c>
      <c r="O182" t="str">
        <f t="shared" si="26"/>
        <v>CLP</v>
      </c>
      <c r="P182" t="str">
        <f>IF(D182="","",IF(O182="USD",D182*'10_Apertura'!$C$12,D182))</f>
        <v/>
      </c>
      <c r="Q182" t="str">
        <f>IF(E182="","",IF(O182="USD",E182*'10_Apertura'!$C$12,E182))</f>
        <v/>
      </c>
      <c r="R182" t="str">
        <f>IF(F182="","",IF(O182="USD",F182*'10_Apertura'!$C$12,F182))</f>
        <v/>
      </c>
      <c r="S182" t="str">
        <f>IF(G182="","",IF(O182="USD",G182*'10_Apertura'!$C$12,G182))</f>
        <v/>
      </c>
      <c r="T182" t="str">
        <f t="shared" si="27"/>
        <v/>
      </c>
    </row>
    <row r="183" spans="8:20">
      <c r="H183" t="str">
        <f t="shared" si="24"/>
        <v/>
      </c>
      <c r="I183" t="str">
        <f t="shared" si="25"/>
        <v/>
      </c>
      <c r="O183" t="str">
        <f t="shared" si="26"/>
        <v>CLP</v>
      </c>
      <c r="P183" t="str">
        <f>IF(D183="","",IF(O183="USD",D183*'10_Apertura'!$C$12,D183))</f>
        <v/>
      </c>
      <c r="Q183" t="str">
        <f>IF(E183="","",IF(O183="USD",E183*'10_Apertura'!$C$12,E183))</f>
        <v/>
      </c>
      <c r="R183" t="str">
        <f>IF(F183="","",IF(O183="USD",F183*'10_Apertura'!$C$12,F183))</f>
        <v/>
      </c>
      <c r="S183" t="str">
        <f>IF(G183="","",IF(O183="USD",G183*'10_Apertura'!$C$12,G183))</f>
        <v/>
      </c>
      <c r="T183" t="str">
        <f t="shared" si="27"/>
        <v/>
      </c>
    </row>
    <row r="184" spans="8:20">
      <c r="H184" t="str">
        <f t="shared" si="24"/>
        <v/>
      </c>
      <c r="I184" t="str">
        <f t="shared" si="25"/>
        <v/>
      </c>
      <c r="O184" t="str">
        <f t="shared" si="26"/>
        <v>CLP</v>
      </c>
      <c r="P184" t="str">
        <f>IF(D184="","",IF(O184="USD",D184*'10_Apertura'!$C$12,D184))</f>
        <v/>
      </c>
      <c r="Q184" t="str">
        <f>IF(E184="","",IF(O184="USD",E184*'10_Apertura'!$C$12,E184))</f>
        <v/>
      </c>
      <c r="R184" t="str">
        <f>IF(F184="","",IF(O184="USD",F184*'10_Apertura'!$C$12,F184))</f>
        <v/>
      </c>
      <c r="S184" t="str">
        <f>IF(G184="","",IF(O184="USD",G184*'10_Apertura'!$C$12,G184))</f>
        <v/>
      </c>
      <c r="T184" t="str">
        <f t="shared" si="27"/>
        <v/>
      </c>
    </row>
    <row r="185" spans="8:20">
      <c r="H185" t="str">
        <f t="shared" si="24"/>
        <v/>
      </c>
      <c r="I185" t="str">
        <f t="shared" si="25"/>
        <v/>
      </c>
      <c r="O185" t="str">
        <f t="shared" si="26"/>
        <v>CLP</v>
      </c>
      <c r="P185" t="str">
        <f>IF(D185="","",IF(O185="USD",D185*'10_Apertura'!$C$12,D185))</f>
        <v/>
      </c>
      <c r="Q185" t="str">
        <f>IF(E185="","",IF(O185="USD",E185*'10_Apertura'!$C$12,E185))</f>
        <v/>
      </c>
      <c r="R185" t="str">
        <f>IF(F185="","",IF(O185="USD",F185*'10_Apertura'!$C$12,F185))</f>
        <v/>
      </c>
      <c r="S185" t="str">
        <f>IF(G185="","",IF(O185="USD",G185*'10_Apertura'!$C$12,G185))</f>
        <v/>
      </c>
      <c r="T185" t="str">
        <f t="shared" si="27"/>
        <v/>
      </c>
    </row>
    <row r="186" spans="8:20">
      <c r="H186" t="str">
        <f t="shared" si="24"/>
        <v/>
      </c>
      <c r="I186" t="str">
        <f t="shared" si="25"/>
        <v/>
      </c>
      <c r="O186" t="str">
        <f t="shared" si="26"/>
        <v>CLP</v>
      </c>
      <c r="P186" t="str">
        <f>IF(D186="","",IF(O186="USD",D186*'10_Apertura'!$C$12,D186))</f>
        <v/>
      </c>
      <c r="Q186" t="str">
        <f>IF(E186="","",IF(O186="USD",E186*'10_Apertura'!$C$12,E186))</f>
        <v/>
      </c>
      <c r="R186" t="str">
        <f>IF(F186="","",IF(O186="USD",F186*'10_Apertura'!$C$12,F186))</f>
        <v/>
      </c>
      <c r="S186" t="str">
        <f>IF(G186="","",IF(O186="USD",G186*'10_Apertura'!$C$12,G186))</f>
        <v/>
      </c>
      <c r="T186" t="str">
        <f t="shared" si="27"/>
        <v/>
      </c>
    </row>
    <row r="187" spans="8:20">
      <c r="H187" t="str">
        <f t="shared" si="24"/>
        <v/>
      </c>
      <c r="I187" t="str">
        <f t="shared" si="25"/>
        <v/>
      </c>
      <c r="O187" t="str">
        <f t="shared" si="26"/>
        <v>CLP</v>
      </c>
      <c r="P187" t="str">
        <f>IF(D187="","",IF(O187="USD",D187*'10_Apertura'!$C$12,D187))</f>
        <v/>
      </c>
      <c r="Q187" t="str">
        <f>IF(E187="","",IF(O187="USD",E187*'10_Apertura'!$C$12,E187))</f>
        <v/>
      </c>
      <c r="R187" t="str">
        <f>IF(F187="","",IF(O187="USD",F187*'10_Apertura'!$C$12,F187))</f>
        <v/>
      </c>
      <c r="S187" t="str">
        <f>IF(G187="","",IF(O187="USD",G187*'10_Apertura'!$C$12,G187))</f>
        <v/>
      </c>
      <c r="T187" t="str">
        <f t="shared" si="27"/>
        <v/>
      </c>
    </row>
    <row r="188" spans="8:20">
      <c r="H188" t="str">
        <f t="shared" si="24"/>
        <v/>
      </c>
      <c r="I188" t="str">
        <f t="shared" si="25"/>
        <v/>
      </c>
      <c r="O188" t="str">
        <f t="shared" si="26"/>
        <v>CLP</v>
      </c>
      <c r="P188" t="str">
        <f>IF(D188="","",IF(O188="USD",D188*'10_Apertura'!$C$12,D188))</f>
        <v/>
      </c>
      <c r="Q188" t="str">
        <f>IF(E188="","",IF(O188="USD",E188*'10_Apertura'!$C$12,E188))</f>
        <v/>
      </c>
      <c r="R188" t="str">
        <f>IF(F188="","",IF(O188="USD",F188*'10_Apertura'!$C$12,F188))</f>
        <v/>
      </c>
      <c r="S188" t="str">
        <f>IF(G188="","",IF(O188="USD",G188*'10_Apertura'!$C$12,G188))</f>
        <v/>
      </c>
      <c r="T188" t="str">
        <f t="shared" si="27"/>
        <v/>
      </c>
    </row>
    <row r="189" spans="8:20">
      <c r="H189" t="str">
        <f t="shared" si="24"/>
        <v/>
      </c>
      <c r="I189" t="str">
        <f t="shared" si="25"/>
        <v/>
      </c>
      <c r="O189" t="str">
        <f t="shared" si="26"/>
        <v>CLP</v>
      </c>
      <c r="P189" t="str">
        <f>IF(D189="","",IF(O189="USD",D189*'10_Apertura'!$C$12,D189))</f>
        <v/>
      </c>
      <c r="Q189" t="str">
        <f>IF(E189="","",IF(O189="USD",E189*'10_Apertura'!$C$12,E189))</f>
        <v/>
      </c>
      <c r="R189" t="str">
        <f>IF(F189="","",IF(O189="USD",F189*'10_Apertura'!$C$12,F189))</f>
        <v/>
      </c>
      <c r="S189" t="str">
        <f>IF(G189="","",IF(O189="USD",G189*'10_Apertura'!$C$12,G189))</f>
        <v/>
      </c>
      <c r="T189" t="str">
        <f t="shared" si="27"/>
        <v/>
      </c>
    </row>
    <row r="190" spans="8:20">
      <c r="H190" t="str">
        <f t="shared" si="24"/>
        <v/>
      </c>
      <c r="I190" t="str">
        <f t="shared" si="25"/>
        <v/>
      </c>
      <c r="O190" t="str">
        <f t="shared" si="26"/>
        <v>CLP</v>
      </c>
      <c r="P190" t="str">
        <f>IF(D190="","",IF(O190="USD",D190*'10_Apertura'!$C$12,D190))</f>
        <v/>
      </c>
      <c r="Q190" t="str">
        <f>IF(E190="","",IF(O190="USD",E190*'10_Apertura'!$C$12,E190))</f>
        <v/>
      </c>
      <c r="R190" t="str">
        <f>IF(F190="","",IF(O190="USD",F190*'10_Apertura'!$C$12,F190))</f>
        <v/>
      </c>
      <c r="S190" t="str">
        <f>IF(G190="","",IF(O190="USD",G190*'10_Apertura'!$C$12,G190))</f>
        <v/>
      </c>
      <c r="T190" t="str">
        <f t="shared" si="27"/>
        <v/>
      </c>
    </row>
    <row r="191" spans="8:20">
      <c r="H191" t="str">
        <f t="shared" si="24"/>
        <v/>
      </c>
      <c r="I191" t="str">
        <f t="shared" si="25"/>
        <v/>
      </c>
      <c r="O191" t="str">
        <f t="shared" si="26"/>
        <v>CLP</v>
      </c>
      <c r="P191" t="str">
        <f>IF(D191="","",IF(O191="USD",D191*'10_Apertura'!$C$12,D191))</f>
        <v/>
      </c>
      <c r="Q191" t="str">
        <f>IF(E191="","",IF(O191="USD",E191*'10_Apertura'!$C$12,E191))</f>
        <v/>
      </c>
      <c r="R191" t="str">
        <f>IF(F191="","",IF(O191="USD",F191*'10_Apertura'!$C$12,F191))</f>
        <v/>
      </c>
      <c r="S191" t="str">
        <f>IF(G191="","",IF(O191="USD",G191*'10_Apertura'!$C$12,G191))</f>
        <v/>
      </c>
      <c r="T191" t="str">
        <f t="shared" si="27"/>
        <v/>
      </c>
    </row>
    <row r="192" spans="8:20">
      <c r="H192" t="str">
        <f t="shared" si="24"/>
        <v/>
      </c>
      <c r="I192" t="str">
        <f t="shared" si="25"/>
        <v/>
      </c>
      <c r="O192" t="str">
        <f t="shared" si="26"/>
        <v>CLP</v>
      </c>
      <c r="P192" t="str">
        <f>IF(D192="","",IF(O192="USD",D192*'10_Apertura'!$C$12,D192))</f>
        <v/>
      </c>
      <c r="Q192" t="str">
        <f>IF(E192="","",IF(O192="USD",E192*'10_Apertura'!$C$12,E192))</f>
        <v/>
      </c>
      <c r="R192" t="str">
        <f>IF(F192="","",IF(O192="USD",F192*'10_Apertura'!$C$12,F192))</f>
        <v/>
      </c>
      <c r="S192" t="str">
        <f>IF(G192="","",IF(O192="USD",G192*'10_Apertura'!$C$12,G192))</f>
        <v/>
      </c>
      <c r="T192" t="str">
        <f t="shared" si="27"/>
        <v/>
      </c>
    </row>
    <row r="193" spans="8:20">
      <c r="H193" t="str">
        <f t="shared" si="24"/>
        <v/>
      </c>
      <c r="I193" t="str">
        <f t="shared" si="25"/>
        <v/>
      </c>
      <c r="O193" t="str">
        <f t="shared" si="26"/>
        <v>CLP</v>
      </c>
      <c r="P193" t="str">
        <f>IF(D193="","",IF(O193="USD",D193*'10_Apertura'!$C$12,D193))</f>
        <v/>
      </c>
      <c r="Q193" t="str">
        <f>IF(E193="","",IF(O193="USD",E193*'10_Apertura'!$C$12,E193))</f>
        <v/>
      </c>
      <c r="R193" t="str">
        <f>IF(F193="","",IF(O193="USD",F193*'10_Apertura'!$C$12,F193))</f>
        <v/>
      </c>
      <c r="S193" t="str">
        <f>IF(G193="","",IF(O193="USD",G193*'10_Apertura'!$C$12,G193))</f>
        <v/>
      </c>
      <c r="T193" t="str">
        <f t="shared" si="27"/>
        <v/>
      </c>
    </row>
    <row r="194" spans="8:20">
      <c r="H194" t="str">
        <f t="shared" si="24"/>
        <v/>
      </c>
      <c r="I194" t="str">
        <f t="shared" si="25"/>
        <v/>
      </c>
      <c r="O194" t="str">
        <f t="shared" si="26"/>
        <v>CLP</v>
      </c>
      <c r="P194" t="str">
        <f>IF(D194="","",IF(O194="USD",D194*'10_Apertura'!$C$12,D194))</f>
        <v/>
      </c>
      <c r="Q194" t="str">
        <f>IF(E194="","",IF(O194="USD",E194*'10_Apertura'!$C$12,E194))</f>
        <v/>
      </c>
      <c r="R194" t="str">
        <f>IF(F194="","",IF(O194="USD",F194*'10_Apertura'!$C$12,F194))</f>
        <v/>
      </c>
      <c r="S194" t="str">
        <f>IF(G194="","",IF(O194="USD",G194*'10_Apertura'!$C$12,G194))</f>
        <v/>
      </c>
      <c r="T194" t="str">
        <f t="shared" si="27"/>
        <v/>
      </c>
    </row>
    <row r="195" spans="8:20">
      <c r="H195" t="str">
        <f t="shared" si="24"/>
        <v/>
      </c>
      <c r="I195" t="str">
        <f t="shared" si="25"/>
        <v/>
      </c>
      <c r="O195" t="str">
        <f t="shared" si="26"/>
        <v>CLP</v>
      </c>
      <c r="P195" t="str">
        <f>IF(D195="","",IF(O195="USD",D195*'10_Apertura'!$C$12,D195))</f>
        <v/>
      </c>
      <c r="Q195" t="str">
        <f>IF(E195="","",IF(O195="USD",E195*'10_Apertura'!$C$12,E195))</f>
        <v/>
      </c>
      <c r="R195" t="str">
        <f>IF(F195="","",IF(O195="USD",F195*'10_Apertura'!$C$12,F195))</f>
        <v/>
      </c>
      <c r="S195" t="str">
        <f>IF(G195="","",IF(O195="USD",G195*'10_Apertura'!$C$12,G195))</f>
        <v/>
      </c>
      <c r="T195" t="str">
        <f t="shared" si="27"/>
        <v/>
      </c>
    </row>
    <row r="196" spans="8:20">
      <c r="H196" t="str">
        <f t="shared" si="24"/>
        <v/>
      </c>
      <c r="I196" t="str">
        <f t="shared" si="25"/>
        <v/>
      </c>
      <c r="O196" t="str">
        <f t="shared" si="26"/>
        <v>CLP</v>
      </c>
      <c r="P196" t="str">
        <f>IF(D196="","",IF(O196="USD",D196*'10_Apertura'!$C$12,D196))</f>
        <v/>
      </c>
      <c r="Q196" t="str">
        <f>IF(E196="","",IF(O196="USD",E196*'10_Apertura'!$C$12,E196))</f>
        <v/>
      </c>
      <c r="R196" t="str">
        <f>IF(F196="","",IF(O196="USD",F196*'10_Apertura'!$C$12,F196))</f>
        <v/>
      </c>
      <c r="S196" t="str">
        <f>IF(G196="","",IF(O196="USD",G196*'10_Apertura'!$C$12,G196))</f>
        <v/>
      </c>
      <c r="T196" t="str">
        <f t="shared" si="27"/>
        <v/>
      </c>
    </row>
    <row r="197" spans="8:20">
      <c r="H197" t="str">
        <f t="shared" ref="H197:H204" si="28">IF(OR(G197="",F197=""),"",G197-F197+IF(E197="",0,E197)-IF(D197="",0,D197))</f>
        <v/>
      </c>
      <c r="I197" t="str">
        <f t="shared" ref="I197:I204" si="29">IFERROR(H197/MAX(1,F197+IF(D197="",0,D197)-IF(E197="",0,E197)),"")</f>
        <v/>
      </c>
      <c r="O197" t="str">
        <f t="shared" ref="O197:O204" si="30">IF(OR(B197="TQQQ",B197="SOXX"),"USD","CLP")</f>
        <v>CLP</v>
      </c>
      <c r="P197" t="str">
        <f>IF(D197="","",IF(O197="USD",D197*'10_Apertura'!$C$12,D197))</f>
        <v/>
      </c>
      <c r="Q197" t="str">
        <f>IF(E197="","",IF(O197="USD",E197*'10_Apertura'!$C$12,E197))</f>
        <v/>
      </c>
      <c r="R197" t="str">
        <f>IF(F197="","",IF(O197="USD",F197*'10_Apertura'!$C$12,F197))</f>
        <v/>
      </c>
      <c r="S197" t="str">
        <f>IF(G197="","",IF(O197="USD",G197*'10_Apertura'!$C$12,G197))</f>
        <v/>
      </c>
      <c r="T197" t="str">
        <f t="shared" ref="T197:T204" si="31">IF(OR(S197="",R197=""),"",S197-R197+IF(Q197="",0,Q197)-IF(P197="",0,P197))</f>
        <v/>
      </c>
    </row>
    <row r="198" spans="8:20">
      <c r="H198" t="str">
        <f t="shared" si="28"/>
        <v/>
      </c>
      <c r="I198" t="str">
        <f t="shared" si="29"/>
        <v/>
      </c>
      <c r="O198" t="str">
        <f t="shared" si="30"/>
        <v>CLP</v>
      </c>
      <c r="P198" t="str">
        <f>IF(D198="","",IF(O198="USD",D198*'10_Apertura'!$C$12,D198))</f>
        <v/>
      </c>
      <c r="Q198" t="str">
        <f>IF(E198="","",IF(O198="USD",E198*'10_Apertura'!$C$12,E198))</f>
        <v/>
      </c>
      <c r="R198" t="str">
        <f>IF(F198="","",IF(O198="USD",F198*'10_Apertura'!$C$12,F198))</f>
        <v/>
      </c>
      <c r="S198" t="str">
        <f>IF(G198="","",IF(O198="USD",G198*'10_Apertura'!$C$12,G198))</f>
        <v/>
      </c>
      <c r="T198" t="str">
        <f t="shared" si="31"/>
        <v/>
      </c>
    </row>
    <row r="199" spans="8:20">
      <c r="H199" t="str">
        <f t="shared" si="28"/>
        <v/>
      </c>
      <c r="I199" t="str">
        <f t="shared" si="29"/>
        <v/>
      </c>
      <c r="O199" t="str">
        <f t="shared" si="30"/>
        <v>CLP</v>
      </c>
      <c r="P199" t="str">
        <f>IF(D199="","",IF(O199="USD",D199*'10_Apertura'!$C$12,D199))</f>
        <v/>
      </c>
      <c r="Q199" t="str">
        <f>IF(E199="","",IF(O199="USD",E199*'10_Apertura'!$C$12,E199))</f>
        <v/>
      </c>
      <c r="R199" t="str">
        <f>IF(F199="","",IF(O199="USD",F199*'10_Apertura'!$C$12,F199))</f>
        <v/>
      </c>
      <c r="S199" t="str">
        <f>IF(G199="","",IF(O199="USD",G199*'10_Apertura'!$C$12,G199))</f>
        <v/>
      </c>
      <c r="T199" t="str">
        <f t="shared" si="31"/>
        <v/>
      </c>
    </row>
    <row r="200" spans="8:20">
      <c r="H200" t="str">
        <f t="shared" si="28"/>
        <v/>
      </c>
      <c r="I200" t="str">
        <f t="shared" si="29"/>
        <v/>
      </c>
      <c r="O200" t="str">
        <f t="shared" si="30"/>
        <v>CLP</v>
      </c>
      <c r="P200" t="str">
        <f>IF(D200="","",IF(O200="USD",D200*'10_Apertura'!$C$12,D200))</f>
        <v/>
      </c>
      <c r="Q200" t="str">
        <f>IF(E200="","",IF(O200="USD",E200*'10_Apertura'!$C$12,E200))</f>
        <v/>
      </c>
      <c r="R200" t="str">
        <f>IF(F200="","",IF(O200="USD",F200*'10_Apertura'!$C$12,F200))</f>
        <v/>
      </c>
      <c r="S200" t="str">
        <f>IF(G200="","",IF(O200="USD",G200*'10_Apertura'!$C$12,G200))</f>
        <v/>
      </c>
      <c r="T200" t="str">
        <f t="shared" si="31"/>
        <v/>
      </c>
    </row>
    <row r="201" spans="8:20">
      <c r="H201" t="str">
        <f t="shared" si="28"/>
        <v/>
      </c>
      <c r="I201" t="str">
        <f t="shared" si="29"/>
        <v/>
      </c>
      <c r="O201" t="str">
        <f t="shared" si="30"/>
        <v>CLP</v>
      </c>
      <c r="P201" t="str">
        <f>IF(D201="","",IF(O201="USD",D201*'10_Apertura'!$C$12,D201))</f>
        <v/>
      </c>
      <c r="Q201" t="str">
        <f>IF(E201="","",IF(O201="USD",E201*'10_Apertura'!$C$12,E201))</f>
        <v/>
      </c>
      <c r="R201" t="str">
        <f>IF(F201="","",IF(O201="USD",F201*'10_Apertura'!$C$12,F201))</f>
        <v/>
      </c>
      <c r="S201" t="str">
        <f>IF(G201="","",IF(O201="USD",G201*'10_Apertura'!$C$12,G201))</f>
        <v/>
      </c>
      <c r="T201" t="str">
        <f t="shared" si="31"/>
        <v/>
      </c>
    </row>
    <row r="202" spans="8:20">
      <c r="H202" t="str">
        <f t="shared" si="28"/>
        <v/>
      </c>
      <c r="I202" t="str">
        <f t="shared" si="29"/>
        <v/>
      </c>
      <c r="O202" t="str">
        <f t="shared" si="30"/>
        <v>CLP</v>
      </c>
      <c r="P202" t="str">
        <f>IF(D202="","",IF(O202="USD",D202*'10_Apertura'!$C$12,D202))</f>
        <v/>
      </c>
      <c r="Q202" t="str">
        <f>IF(E202="","",IF(O202="USD",E202*'10_Apertura'!$C$12,E202))</f>
        <v/>
      </c>
      <c r="R202" t="str">
        <f>IF(F202="","",IF(O202="USD",F202*'10_Apertura'!$C$12,F202))</f>
        <v/>
      </c>
      <c r="S202" t="str">
        <f>IF(G202="","",IF(O202="USD",G202*'10_Apertura'!$C$12,G202))</f>
        <v/>
      </c>
      <c r="T202" t="str">
        <f t="shared" si="31"/>
        <v/>
      </c>
    </row>
    <row r="203" spans="8:20">
      <c r="H203" t="str">
        <f t="shared" si="28"/>
        <v/>
      </c>
      <c r="I203" t="str">
        <f t="shared" si="29"/>
        <v/>
      </c>
      <c r="O203" t="str">
        <f t="shared" si="30"/>
        <v>CLP</v>
      </c>
      <c r="P203" t="str">
        <f>IF(D203="","",IF(O203="USD",D203*'10_Apertura'!$C$12,D203))</f>
        <v/>
      </c>
      <c r="Q203" t="str">
        <f>IF(E203="","",IF(O203="USD",E203*'10_Apertura'!$C$12,E203))</f>
        <v/>
      </c>
      <c r="R203" t="str">
        <f>IF(F203="","",IF(O203="USD",F203*'10_Apertura'!$C$12,F203))</f>
        <v/>
      </c>
      <c r="S203" t="str">
        <f>IF(G203="","",IF(O203="USD",G203*'10_Apertura'!$C$12,G203))</f>
        <v/>
      </c>
      <c r="T203" t="str">
        <f t="shared" si="31"/>
        <v/>
      </c>
    </row>
    <row r="204" spans="8:20">
      <c r="H204" t="str">
        <f t="shared" si="28"/>
        <v/>
      </c>
      <c r="I204" t="str">
        <f t="shared" si="29"/>
        <v/>
      </c>
      <c r="O204" t="str">
        <f t="shared" si="30"/>
        <v>CLP</v>
      </c>
      <c r="P204" t="str">
        <f>IF(D204="","",IF(O204="USD",D204*'10_Apertura'!$C$12,D204))</f>
        <v/>
      </c>
      <c r="Q204" t="str">
        <f>IF(E204="","",IF(O204="USD",E204*'10_Apertura'!$C$12,E204))</f>
        <v/>
      </c>
      <c r="R204" t="str">
        <f>IF(F204="","",IF(O204="USD",F204*'10_Apertura'!$C$12,F204))</f>
        <v/>
      </c>
      <c r="S204" t="str">
        <f>IF(G204="","",IF(O204="USD",G204*'10_Apertura'!$C$12,G204))</f>
        <v/>
      </c>
      <c r="T204" t="str">
        <f t="shared" si="31"/>
        <v/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BFBFBF"/>
  </sheetPr>
  <dimension ref="A1:O204"/>
  <sheetViews>
    <sheetView showGridLines="0" workbookViewId="0"/>
  </sheetViews>
  <sheetFormatPr baseColWidth="10" defaultColWidth="14.453125" defaultRowHeight="14.5"/>
  <cols>
    <col min="1" max="1" width="105.81640625" customWidth="1"/>
    <col min="2" max="2" width="30.26953125" customWidth="1"/>
    <col min="3" max="3" width="18" customWidth="1"/>
    <col min="4" max="4" width="63.54296875" customWidth="1"/>
    <col min="5" max="5" width="22" customWidth="1"/>
    <col min="6" max="6" width="67.6328125" customWidth="1"/>
    <col min="7" max="7" width="9.81640625" customWidth="1"/>
    <col min="8" max="8" width="26.7265625" customWidth="1"/>
  </cols>
  <sheetData>
    <row r="1" spans="1:15" ht="21" customHeight="1">
      <c r="A1" s="527" t="s">
        <v>3779</v>
      </c>
      <c r="B1" s="426"/>
      <c r="C1" s="426"/>
      <c r="D1" s="426"/>
      <c r="E1" s="426"/>
      <c r="F1" s="426"/>
      <c r="G1" s="99"/>
      <c r="H1" s="99"/>
      <c r="I1" s="1"/>
      <c r="J1" s="1"/>
      <c r="K1" s="1"/>
      <c r="L1" s="1"/>
      <c r="M1" s="1"/>
      <c r="N1" s="1"/>
      <c r="O1" s="1"/>
    </row>
    <row r="2" spans="1:15">
      <c r="A2" s="100" t="s">
        <v>3780</v>
      </c>
      <c r="B2" s="100"/>
      <c r="C2" s="100"/>
      <c r="D2" s="100"/>
      <c r="E2" s="100"/>
      <c r="F2" s="100"/>
      <c r="G2" s="100"/>
      <c r="H2" s="100"/>
      <c r="I2" s="1"/>
      <c r="J2" s="1"/>
      <c r="K2" s="1"/>
      <c r="L2" s="1"/>
      <c r="M2" s="1"/>
      <c r="N2" s="1"/>
      <c r="O2" s="1"/>
    </row>
    <row r="3" spans="1:15">
      <c r="A3" s="101" t="s">
        <v>1735</v>
      </c>
      <c r="B3" s="101" t="s">
        <v>1197</v>
      </c>
      <c r="C3" s="101" t="s">
        <v>1736</v>
      </c>
      <c r="D3" s="102">
        <v>1000</v>
      </c>
      <c r="E3" s="71"/>
      <c r="F3" s="71"/>
      <c r="G3" s="4"/>
      <c r="H3" s="4"/>
      <c r="I3" s="1"/>
      <c r="J3" s="1"/>
      <c r="K3" s="1"/>
      <c r="L3" s="1"/>
      <c r="M3" s="1"/>
      <c r="N3" s="1"/>
      <c r="O3" s="1"/>
    </row>
    <row r="4" spans="1:15">
      <c r="A4" s="72"/>
      <c r="B4" s="72"/>
      <c r="C4" s="72"/>
      <c r="D4" s="71"/>
      <c r="E4" s="71"/>
      <c r="F4" s="71"/>
      <c r="G4" s="4"/>
      <c r="H4" s="4"/>
      <c r="I4" s="1"/>
      <c r="J4" s="1"/>
      <c r="K4" s="1"/>
      <c r="L4" s="1"/>
      <c r="M4" s="1"/>
      <c r="N4" s="1"/>
      <c r="O4" s="1"/>
    </row>
    <row r="5" spans="1:15">
      <c r="A5" s="103" t="s">
        <v>3781</v>
      </c>
      <c r="B5" s="104"/>
      <c r="C5" s="103"/>
      <c r="D5" s="105"/>
      <c r="E5" s="71"/>
      <c r="F5" s="114" t="s">
        <v>3782</v>
      </c>
      <c r="G5" s="115"/>
      <c r="H5" s="115"/>
      <c r="I5" s="1"/>
      <c r="J5" s="1"/>
      <c r="K5" s="1"/>
      <c r="L5" s="1"/>
      <c r="M5" s="1"/>
      <c r="N5" s="1"/>
      <c r="O5" s="1"/>
    </row>
    <row r="6" spans="1:15">
      <c r="A6" s="106" t="s">
        <v>1741</v>
      </c>
      <c r="B6" s="107" t="s">
        <v>7</v>
      </c>
      <c r="C6" s="106" t="s">
        <v>1242</v>
      </c>
      <c r="D6" s="108" t="s">
        <v>3783</v>
      </c>
      <c r="E6" s="71"/>
      <c r="F6" s="108" t="s">
        <v>3784</v>
      </c>
      <c r="G6" s="108" t="s">
        <v>655</v>
      </c>
      <c r="H6" s="108" t="s">
        <v>882</v>
      </c>
      <c r="I6" s="1"/>
      <c r="J6" s="1"/>
      <c r="K6" s="1"/>
      <c r="L6" s="1"/>
      <c r="M6" s="1"/>
      <c r="N6" s="1"/>
      <c r="O6" s="1"/>
    </row>
    <row r="7" spans="1:15">
      <c r="A7" s="73" t="s">
        <v>3704</v>
      </c>
      <c r="B7" s="116">
        <f>'10_Apertura'!C9</f>
        <v>13858</v>
      </c>
      <c r="C7" s="73" t="s">
        <v>1806</v>
      </c>
      <c r="D7" s="71" t="s">
        <v>3785</v>
      </c>
      <c r="E7" s="71"/>
      <c r="F7" s="71" t="s">
        <v>3786</v>
      </c>
      <c r="G7" s="4" t="s">
        <v>49</v>
      </c>
      <c r="H7" s="4" t="s">
        <v>3787</v>
      </c>
      <c r="I7" s="1"/>
      <c r="J7" s="1"/>
      <c r="K7" s="1"/>
      <c r="L7" s="1"/>
      <c r="M7" s="1"/>
      <c r="N7" s="1"/>
      <c r="O7" s="1"/>
    </row>
    <row r="8" spans="1:15" ht="29" customHeight="1">
      <c r="A8" s="73" t="s">
        <v>3788</v>
      </c>
      <c r="B8" s="116">
        <f>SUMIF('11_Ingresos'!$K$5:$K$204,$B$3,'11_Ingresos'!$C$5:$C$204)</f>
        <v>1130484</v>
      </c>
      <c r="C8" s="73" t="s">
        <v>1806</v>
      </c>
      <c r="D8" s="71" t="s">
        <v>3789</v>
      </c>
      <c r="E8" s="71"/>
      <c r="F8" s="71" t="s">
        <v>3790</v>
      </c>
      <c r="G8" s="4" t="s">
        <v>49</v>
      </c>
      <c r="H8" s="4" t="s">
        <v>3791</v>
      </c>
      <c r="I8" s="1"/>
      <c r="J8" s="1"/>
      <c r="K8" s="1"/>
      <c r="L8" s="1"/>
      <c r="M8" s="1"/>
      <c r="N8" s="1"/>
      <c r="O8" s="1"/>
    </row>
    <row r="9" spans="1:15" ht="29" customHeight="1">
      <c r="A9" s="73" t="s">
        <v>3792</v>
      </c>
      <c r="B9" s="116">
        <f>SUMIFS('12_Gastos'!$D$5:$D$403,'12_Gastos'!$I$5:$I$403,$B$3,'12_Gastos'!$J$5:$J$403,"Gasto real")</f>
        <v>0</v>
      </c>
      <c r="C9" s="73" t="s">
        <v>1806</v>
      </c>
      <c r="D9" s="71" t="s">
        <v>3793</v>
      </c>
      <c r="E9" s="71"/>
      <c r="F9" s="71" t="s">
        <v>3794</v>
      </c>
      <c r="G9" s="4" t="s">
        <v>49</v>
      </c>
      <c r="H9" s="4" t="s">
        <v>3795</v>
      </c>
      <c r="I9" s="1"/>
      <c r="J9" s="1"/>
      <c r="K9" s="1"/>
      <c r="L9" s="1"/>
      <c r="M9" s="1"/>
      <c r="N9" s="1"/>
      <c r="O9" s="1"/>
    </row>
    <row r="10" spans="1:15">
      <c r="A10" s="73" t="s">
        <v>3796</v>
      </c>
      <c r="B10" s="116">
        <f>SUMIFS('12_Gastos'!$D$5:$D$403,'12_Gastos'!$I$5:$I$403,$B$3,'12_Gastos'!$J$5:$J$403,"Movimiento patrimonial")</f>
        <v>0</v>
      </c>
      <c r="C10" s="73" t="s">
        <v>1806</v>
      </c>
      <c r="D10" s="71" t="s">
        <v>3797</v>
      </c>
      <c r="E10" s="71"/>
      <c r="F10" s="71" t="s">
        <v>3798</v>
      </c>
      <c r="G10" s="4" t="s">
        <v>49</v>
      </c>
      <c r="H10" s="4" t="s">
        <v>3799</v>
      </c>
      <c r="I10" s="1"/>
      <c r="J10" s="1"/>
      <c r="K10" s="1"/>
      <c r="L10" s="1"/>
      <c r="M10" s="1"/>
      <c r="N10" s="1"/>
      <c r="O10" s="1"/>
    </row>
    <row r="11" spans="1:15">
      <c r="A11" s="73" t="s">
        <v>3800</v>
      </c>
      <c r="B11" s="116">
        <f>SUMIF('14_Inversiones'!$C$5:$C$203,"Retiro",'14_Inversiones'!$Q$5:$Q$203)</f>
        <v>0</v>
      </c>
      <c r="C11" s="73" t="s">
        <v>1806</v>
      </c>
      <c r="D11" s="71" t="s">
        <v>3801</v>
      </c>
      <c r="E11" s="71"/>
      <c r="F11" s="71" t="s">
        <v>3802</v>
      </c>
      <c r="G11" s="4" t="s">
        <v>49</v>
      </c>
      <c r="H11" s="4" t="s">
        <v>3803</v>
      </c>
      <c r="I11" s="1"/>
      <c r="J11" s="1"/>
      <c r="K11" s="1"/>
      <c r="L11" s="1"/>
      <c r="M11" s="1"/>
      <c r="N11" s="1"/>
      <c r="O11" s="1"/>
    </row>
    <row r="12" spans="1:15">
      <c r="A12" s="109" t="s">
        <v>1834</v>
      </c>
      <c r="B12" s="117">
        <f>B7+B8-B9-B10+B11</f>
        <v>1144342</v>
      </c>
      <c r="C12" s="109" t="s">
        <v>1806</v>
      </c>
      <c r="D12" s="110" t="s">
        <v>3804</v>
      </c>
      <c r="E12" s="71"/>
      <c r="F12" s="71" t="s">
        <v>3805</v>
      </c>
      <c r="G12" s="4" t="s">
        <v>49</v>
      </c>
      <c r="H12" s="4" t="s">
        <v>3806</v>
      </c>
      <c r="I12" s="1"/>
      <c r="J12" s="1"/>
      <c r="K12" s="1"/>
      <c r="L12" s="1"/>
      <c r="M12" s="1"/>
      <c r="N12" s="1"/>
      <c r="O12" s="1"/>
    </row>
    <row r="13" spans="1:15">
      <c r="A13" s="72"/>
      <c r="B13" s="79"/>
      <c r="C13" s="72"/>
      <c r="D13" s="71"/>
      <c r="E13" s="71"/>
      <c r="F13" s="71"/>
      <c r="G13" s="4"/>
      <c r="H13" s="4"/>
      <c r="I13" s="1"/>
      <c r="J13" s="1"/>
      <c r="K13" s="1"/>
      <c r="L13" s="1"/>
      <c r="M13" s="1"/>
      <c r="N13" s="1"/>
      <c r="O13" s="1"/>
    </row>
    <row r="14" spans="1:15">
      <c r="A14" s="111" t="s">
        <v>1836</v>
      </c>
      <c r="B14" s="112"/>
      <c r="C14" s="111"/>
      <c r="D14" s="113"/>
      <c r="E14" s="71"/>
      <c r="F14" s="71"/>
      <c r="G14" s="4"/>
      <c r="H14" s="4"/>
      <c r="I14" s="1"/>
      <c r="J14" s="1"/>
      <c r="K14" s="1"/>
      <c r="L14" s="1"/>
      <c r="M14" s="1"/>
      <c r="N14" s="1"/>
      <c r="O14" s="1"/>
    </row>
    <row r="15" spans="1:15">
      <c r="A15" s="106" t="s">
        <v>3705</v>
      </c>
      <c r="B15" s="107" t="s">
        <v>1787</v>
      </c>
      <c r="C15" s="106" t="s">
        <v>8</v>
      </c>
      <c r="D15" s="108" t="s">
        <v>656</v>
      </c>
      <c r="E15" s="71"/>
      <c r="F15" s="71"/>
      <c r="G15" s="4"/>
      <c r="H15" s="4"/>
      <c r="I15" s="1"/>
      <c r="J15" s="1"/>
      <c r="K15" s="1"/>
      <c r="L15" s="1"/>
      <c r="M15" s="1"/>
      <c r="N15" s="1"/>
      <c r="O15" s="1"/>
    </row>
    <row r="16" spans="1:15">
      <c r="A16" s="73" t="s">
        <v>3807</v>
      </c>
      <c r="B16" s="118">
        <v>90470</v>
      </c>
      <c r="C16" s="73" t="s">
        <v>1790</v>
      </c>
      <c r="D16" s="71" t="s">
        <v>3808</v>
      </c>
      <c r="E16" s="71"/>
      <c r="F16" s="7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73" t="s">
        <v>3809</v>
      </c>
      <c r="B17" s="118">
        <v>0</v>
      </c>
      <c r="C17" s="73" t="s">
        <v>1790</v>
      </c>
      <c r="D17" s="71" t="s">
        <v>1794</v>
      </c>
      <c r="E17" s="71"/>
      <c r="F17" s="7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73" t="s">
        <v>3810</v>
      </c>
      <c r="B18" s="118">
        <v>0</v>
      </c>
      <c r="C18" s="73" t="s">
        <v>1790</v>
      </c>
      <c r="D18" s="71" t="s">
        <v>1794</v>
      </c>
      <c r="E18" s="71"/>
      <c r="F18" s="7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73" t="s">
        <v>3811</v>
      </c>
      <c r="B19" s="116">
        <v>0</v>
      </c>
      <c r="C19" s="73" t="s">
        <v>1451</v>
      </c>
      <c r="D19" s="71" t="s">
        <v>1794</v>
      </c>
      <c r="E19" s="71"/>
      <c r="F19" s="7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73" t="s">
        <v>3812</v>
      </c>
      <c r="B20" s="116">
        <v>0</v>
      </c>
      <c r="C20" s="73" t="s">
        <v>1490</v>
      </c>
      <c r="D20" s="71" t="s">
        <v>1794</v>
      </c>
      <c r="E20" s="71"/>
      <c r="F20" s="7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73" t="s">
        <v>3813</v>
      </c>
      <c r="B21" s="95">
        <v>0</v>
      </c>
      <c r="C21" s="73" t="s">
        <v>764</v>
      </c>
      <c r="D21" s="71" t="s">
        <v>1794</v>
      </c>
      <c r="E21" s="71"/>
      <c r="F21" s="7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09" t="s">
        <v>1837</v>
      </c>
      <c r="B22" s="117">
        <f>SUM(B16:B21)</f>
        <v>90470</v>
      </c>
      <c r="C22" s="109" t="s">
        <v>1806</v>
      </c>
      <c r="D22" s="110" t="s">
        <v>3814</v>
      </c>
      <c r="E22" s="71"/>
      <c r="F22" s="7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71"/>
      <c r="B23" s="71"/>
      <c r="C23" s="71"/>
      <c r="D23" s="71"/>
      <c r="E23" s="71"/>
      <c r="F23" s="7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05" t="s">
        <v>3815</v>
      </c>
      <c r="B24" s="105"/>
      <c r="C24" s="105"/>
      <c r="D24" s="105"/>
      <c r="E24" s="71"/>
      <c r="F24" s="7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08" t="s">
        <v>1741</v>
      </c>
      <c r="B25" s="108" t="s">
        <v>7</v>
      </c>
      <c r="C25" s="108" t="s">
        <v>655</v>
      </c>
      <c r="D25" s="108" t="s">
        <v>1765</v>
      </c>
      <c r="E25" s="71"/>
      <c r="F25" s="7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71" t="s">
        <v>1810</v>
      </c>
      <c r="B26" s="63">
        <f>B22-B12</f>
        <v>-1053872</v>
      </c>
      <c r="C26" s="71" t="str">
        <f>B28</f>
        <v>🔴 Diferencia crítica</v>
      </c>
      <c r="D26" s="71" t="s">
        <v>1839</v>
      </c>
      <c r="E26" s="71"/>
      <c r="F26" s="7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71" t="s">
        <v>1814</v>
      </c>
      <c r="B27" s="63">
        <f>ABS(B26)</f>
        <v>1053872</v>
      </c>
      <c r="C27" s="71" t="str">
        <f>B28</f>
        <v>🔴 Diferencia crítica</v>
      </c>
      <c r="D27" s="71" t="s">
        <v>3816</v>
      </c>
      <c r="E27" s="71"/>
      <c r="F27" s="71"/>
      <c r="G27" s="1"/>
      <c r="H27" s="1"/>
      <c r="I27" s="1"/>
      <c r="J27" s="1"/>
      <c r="K27" s="1"/>
      <c r="L27" s="1"/>
      <c r="M27" s="1"/>
      <c r="N27" s="1"/>
      <c r="O27" s="1"/>
    </row>
    <row r="28" spans="1:15" ht="29" customHeight="1">
      <c r="A28" s="71" t="s">
        <v>655</v>
      </c>
      <c r="B28" s="98" t="str">
        <f>IF(B27&lt;=$D$3,"🟢 Conciliado",IF(B27&lt;=10000,"🟡 Revisar","🔴 Diferencia crítica"))</f>
        <v>🔴 Diferencia crítica</v>
      </c>
      <c r="C28" s="98" t="str">
        <f>B28</f>
        <v>🔴 Diferencia crítica</v>
      </c>
      <c r="D28" s="71" t="s">
        <v>1816</v>
      </c>
      <c r="E28" s="71"/>
      <c r="F28" s="71"/>
      <c r="G28" s="1"/>
      <c r="H28" s="1"/>
      <c r="I28" s="1"/>
      <c r="J28" s="1"/>
      <c r="K28" s="1"/>
      <c r="L28" s="1"/>
      <c r="M28" s="1"/>
      <c r="N28" s="1"/>
      <c r="O28" s="1"/>
    </row>
    <row r="29" spans="1:15" ht="29" customHeight="1">
      <c r="A29" s="71" t="s">
        <v>1817</v>
      </c>
      <c r="B29" s="98" t="str">
        <f>IF(B28="🟢 Conciliado","Cerrar mes","Revisar movimientos bancarios vs Excel")</f>
        <v>Revisar movimientos bancarios vs Excel</v>
      </c>
      <c r="C29" s="98" t="str">
        <f>B28</f>
        <v>🔴 Diferencia crítica</v>
      </c>
      <c r="D29" s="71" t="s">
        <v>3817</v>
      </c>
      <c r="E29" s="71"/>
      <c r="F29" s="7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71" t="s">
        <v>1819</v>
      </c>
      <c r="B30" s="98"/>
      <c r="C30" s="98"/>
      <c r="D30" s="71" t="s">
        <v>3818</v>
      </c>
      <c r="E30" s="71"/>
      <c r="F30" s="7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71"/>
      <c r="B31" s="71"/>
      <c r="C31" s="71"/>
      <c r="D31" s="71"/>
      <c r="E31" s="71"/>
      <c r="F31" s="71"/>
      <c r="G31" s="1"/>
      <c r="H31" s="1"/>
      <c r="I31" s="1"/>
      <c r="J31" s="1"/>
      <c r="K31" s="1"/>
      <c r="L31" s="1"/>
      <c r="M31" s="1"/>
      <c r="N31" s="1"/>
      <c r="O31" s="1"/>
    </row>
    <row r="32" spans="1:15" ht="1.9" customHeight="1">
      <c r="A32" s="71"/>
      <c r="B32" s="71"/>
      <c r="C32" s="71"/>
      <c r="D32" s="71"/>
      <c r="E32" s="71"/>
      <c r="F32" s="71"/>
      <c r="G32" s="1"/>
      <c r="H32" s="1"/>
      <c r="I32" s="1"/>
      <c r="J32" s="1"/>
      <c r="K32" s="1"/>
      <c r="L32" s="1"/>
      <c r="M32" s="1"/>
      <c r="N32" s="1"/>
      <c r="O32" s="1"/>
    </row>
    <row r="33" spans="1:15" ht="1.9" customHeight="1">
      <c r="A33" s="71"/>
      <c r="B33" s="71"/>
      <c r="C33" s="71"/>
      <c r="D33" s="71"/>
      <c r="E33" s="71"/>
      <c r="F33" s="71"/>
      <c r="G33" s="1"/>
      <c r="H33" s="1"/>
      <c r="I33" s="1"/>
      <c r="J33" s="1"/>
      <c r="K33" s="1"/>
      <c r="L33" s="1"/>
      <c r="M33" s="1"/>
      <c r="N33" s="1"/>
      <c r="O33" s="1"/>
    </row>
    <row r="34" spans="1:15" ht="1.9" customHeight="1">
      <c r="A34" s="71"/>
      <c r="B34" s="71"/>
      <c r="C34" s="71"/>
      <c r="D34" s="71"/>
      <c r="E34" s="71"/>
      <c r="F34" s="71"/>
      <c r="G34" s="1"/>
      <c r="H34" s="1"/>
      <c r="I34" s="1"/>
      <c r="J34" s="1"/>
      <c r="K34" s="1"/>
      <c r="L34" s="1"/>
      <c r="M34" s="1"/>
      <c r="N34" s="1"/>
      <c r="O34" s="1"/>
    </row>
    <row r="35" spans="1:15" ht="1.9" customHeight="1">
      <c r="A35" s="71"/>
      <c r="B35" s="71"/>
      <c r="C35" s="71"/>
      <c r="D35" s="71"/>
      <c r="E35" s="71"/>
      <c r="F35" s="71"/>
      <c r="G35" s="1"/>
      <c r="H35" s="1"/>
      <c r="I35" s="1"/>
      <c r="J35" s="1"/>
      <c r="K35" s="1"/>
      <c r="L35" s="1"/>
      <c r="M35" s="1"/>
      <c r="N35" s="1"/>
      <c r="O35" s="1"/>
    </row>
    <row r="36" spans="1:15" ht="1.9" customHeight="1">
      <c r="A36" s="71"/>
      <c r="B36" s="71"/>
      <c r="C36" s="71"/>
      <c r="D36" s="71"/>
      <c r="E36" s="71"/>
      <c r="F36" s="71"/>
      <c r="G36" s="1"/>
      <c r="H36" s="1"/>
      <c r="I36" s="1"/>
      <c r="J36" s="1"/>
      <c r="K36" s="1"/>
      <c r="L36" s="1"/>
      <c r="M36" s="1"/>
      <c r="N36" s="1"/>
      <c r="O36" s="1"/>
    </row>
    <row r="37" spans="1:15" ht="1.9" customHeight="1">
      <c r="A37" s="71"/>
      <c r="B37" s="71"/>
      <c r="C37" s="71"/>
      <c r="D37" s="71"/>
      <c r="E37" s="71"/>
      <c r="F37" s="71"/>
      <c r="G37" s="1"/>
      <c r="H37" s="1"/>
      <c r="I37" s="1"/>
      <c r="J37" s="1"/>
      <c r="K37" s="1"/>
      <c r="L37" s="1"/>
      <c r="M37" s="1"/>
      <c r="N37" s="1"/>
      <c r="O37" s="1"/>
    </row>
    <row r="38" spans="1:15" ht="1.9" customHeight="1">
      <c r="A38" s="71"/>
      <c r="B38" s="71"/>
      <c r="C38" s="71"/>
      <c r="D38" s="71"/>
      <c r="E38" s="71"/>
      <c r="F38" s="71"/>
      <c r="G38" s="1"/>
      <c r="H38" s="1"/>
      <c r="I38" s="1"/>
      <c r="J38" s="1"/>
      <c r="K38" s="1"/>
      <c r="L38" s="1"/>
      <c r="M38" s="1"/>
      <c r="N38" s="1"/>
      <c r="O38" s="1"/>
    </row>
    <row r="39" spans="1:15" ht="1.9" customHeight="1">
      <c r="A39" s="71"/>
      <c r="B39" s="71"/>
      <c r="C39" s="71"/>
      <c r="D39" s="71"/>
      <c r="E39" s="71"/>
      <c r="F39" s="71"/>
      <c r="G39" s="1"/>
      <c r="H39" s="1"/>
      <c r="I39" s="1"/>
      <c r="J39" s="1"/>
      <c r="K39" s="1"/>
      <c r="L39" s="1"/>
      <c r="M39" s="1"/>
      <c r="N39" s="1"/>
      <c r="O39" s="1"/>
    </row>
    <row r="40" spans="1:15" ht="1.9" customHeight="1">
      <c r="A40" s="71"/>
      <c r="B40" s="71"/>
      <c r="C40" s="71"/>
      <c r="D40" s="71"/>
      <c r="E40" s="71"/>
      <c r="F40" s="71"/>
      <c r="G40" s="1"/>
      <c r="H40" s="1"/>
      <c r="I40" s="1"/>
      <c r="J40" s="1"/>
      <c r="K40" s="1"/>
      <c r="L40" s="1"/>
      <c r="M40" s="1"/>
      <c r="N40" s="1"/>
      <c r="O40" s="1"/>
    </row>
    <row r="41" spans="1:15" ht="1.9" customHeight="1">
      <c r="A41" s="71"/>
      <c r="B41" s="71"/>
      <c r="C41" s="71"/>
      <c r="D41" s="71"/>
      <c r="E41" s="71"/>
      <c r="F41" s="71"/>
      <c r="G41" s="1"/>
      <c r="H41" s="1"/>
      <c r="I41" s="1"/>
      <c r="J41" s="1"/>
      <c r="K41" s="1"/>
      <c r="L41" s="1"/>
      <c r="M41" s="1"/>
      <c r="N41" s="1"/>
      <c r="O41" s="1"/>
    </row>
    <row r="42" spans="1:15" ht="1.9" customHeight="1">
      <c r="A42" s="71"/>
      <c r="B42" s="71"/>
      <c r="C42" s="71"/>
      <c r="D42" s="71"/>
      <c r="E42" s="71"/>
      <c r="F42" s="71"/>
      <c r="G42" s="1"/>
      <c r="H42" s="1"/>
      <c r="I42" s="1"/>
      <c r="J42" s="1"/>
      <c r="K42" s="1"/>
      <c r="L42" s="1"/>
      <c r="M42" s="1"/>
      <c r="N42" s="1"/>
      <c r="O42" s="1"/>
    </row>
    <row r="43" spans="1:15" ht="1.9" customHeight="1">
      <c r="A43" s="71"/>
      <c r="B43" s="71"/>
      <c r="C43" s="71"/>
      <c r="D43" s="71"/>
      <c r="E43" s="71"/>
      <c r="F43" s="71"/>
      <c r="G43" s="1"/>
      <c r="H43" s="1"/>
      <c r="I43" s="1"/>
      <c r="J43" s="1"/>
      <c r="K43" s="1"/>
      <c r="L43" s="1"/>
      <c r="M43" s="1"/>
      <c r="N43" s="1"/>
      <c r="O43" s="1"/>
    </row>
    <row r="44" spans="1:15" ht="1.9" customHeight="1">
      <c r="A44" s="71"/>
      <c r="B44" s="71"/>
      <c r="C44" s="71"/>
      <c r="D44" s="71"/>
      <c r="E44" s="71"/>
      <c r="F44" s="71"/>
      <c r="G44" s="1"/>
      <c r="H44" s="1"/>
      <c r="I44" s="1"/>
      <c r="J44" s="1"/>
      <c r="K44" s="1"/>
      <c r="L44" s="1"/>
      <c r="M44" s="1"/>
      <c r="N44" s="1"/>
      <c r="O44" s="1"/>
    </row>
    <row r="45" spans="1:15" ht="1.9" customHeight="1">
      <c r="A45" s="71"/>
      <c r="B45" s="71"/>
      <c r="C45" s="71"/>
      <c r="D45" s="71"/>
      <c r="E45" s="71"/>
      <c r="F45" s="71"/>
      <c r="G45" s="1"/>
      <c r="H45" s="1"/>
      <c r="I45" s="1"/>
      <c r="J45" s="1"/>
      <c r="K45" s="1"/>
      <c r="L45" s="1"/>
      <c r="M45" s="1"/>
      <c r="N45" s="1"/>
      <c r="O45" s="1"/>
    </row>
    <row r="46" spans="1:15" ht="1.9" customHeight="1">
      <c r="A46" s="71"/>
      <c r="B46" s="71"/>
      <c r="C46" s="71"/>
      <c r="D46" s="71"/>
      <c r="E46" s="71"/>
      <c r="F46" s="71"/>
      <c r="G46" s="1"/>
      <c r="H46" s="1"/>
      <c r="I46" s="1"/>
      <c r="J46" s="1"/>
      <c r="K46" s="1"/>
      <c r="L46" s="1"/>
      <c r="M46" s="1"/>
      <c r="N46" s="1"/>
      <c r="O46" s="1"/>
    </row>
    <row r="47" spans="1:15" ht="1.9" customHeight="1">
      <c r="A47" s="71"/>
      <c r="B47" s="71"/>
      <c r="C47" s="71"/>
      <c r="D47" s="71"/>
      <c r="E47" s="71"/>
      <c r="F47" s="71"/>
      <c r="G47" s="1"/>
      <c r="H47" s="1"/>
      <c r="I47" s="1"/>
      <c r="J47" s="1"/>
      <c r="K47" s="1"/>
      <c r="L47" s="1"/>
      <c r="M47" s="1"/>
      <c r="N47" s="1"/>
      <c r="O47" s="1"/>
    </row>
    <row r="48" spans="1:15" ht="1.9" customHeight="1">
      <c r="A48" s="71"/>
      <c r="B48" s="71"/>
      <c r="C48" s="71"/>
      <c r="D48" s="71"/>
      <c r="E48" s="71"/>
      <c r="F48" s="71"/>
      <c r="G48" s="1"/>
      <c r="H48" s="1"/>
      <c r="I48" s="1"/>
      <c r="J48" s="1"/>
      <c r="K48" s="1"/>
      <c r="L48" s="1"/>
      <c r="M48" s="1"/>
      <c r="N48" s="1"/>
      <c r="O48" s="1"/>
    </row>
    <row r="49" spans="1:15" ht="1.9" customHeight="1">
      <c r="A49" s="71"/>
      <c r="B49" s="71"/>
      <c r="C49" s="71"/>
      <c r="D49" s="71"/>
      <c r="E49" s="71"/>
      <c r="F49" s="71"/>
      <c r="G49" s="1"/>
      <c r="H49" s="1"/>
      <c r="I49" s="1"/>
      <c r="J49" s="1"/>
      <c r="K49" s="1"/>
      <c r="L49" s="1"/>
      <c r="M49" s="1"/>
      <c r="N49" s="1"/>
      <c r="O49" s="1"/>
    </row>
    <row r="50" spans="1:15" ht="1.9" customHeight="1">
      <c r="A50" s="71"/>
      <c r="B50" s="71"/>
      <c r="C50" s="71"/>
      <c r="D50" s="71"/>
      <c r="E50" s="71"/>
      <c r="F50" s="71"/>
      <c r="G50" s="1"/>
      <c r="H50" s="1"/>
      <c r="I50" s="1"/>
      <c r="J50" s="1"/>
      <c r="K50" s="1"/>
      <c r="L50" s="1"/>
      <c r="M50" s="1"/>
      <c r="N50" s="1"/>
      <c r="O50" s="1"/>
    </row>
    <row r="51" spans="1:15" ht="1.9" customHeight="1">
      <c r="A51" s="71"/>
      <c r="B51" s="71"/>
      <c r="C51" s="71"/>
      <c r="D51" s="71"/>
      <c r="E51" s="71"/>
      <c r="F51" s="71"/>
      <c r="G51" s="1"/>
      <c r="H51" s="1"/>
      <c r="I51" s="1"/>
      <c r="J51" s="1"/>
      <c r="K51" s="1"/>
      <c r="L51" s="1"/>
      <c r="M51" s="1"/>
      <c r="N51" s="1"/>
      <c r="O51" s="1"/>
    </row>
    <row r="52" spans="1:15" ht="1.9" customHeight="1">
      <c r="A52" s="71"/>
      <c r="B52" s="71"/>
      <c r="C52" s="71"/>
      <c r="D52" s="71"/>
      <c r="E52" s="71"/>
      <c r="F52" s="71"/>
      <c r="G52" s="1"/>
      <c r="H52" s="1"/>
      <c r="I52" s="1"/>
      <c r="J52" s="1"/>
      <c r="K52" s="1"/>
      <c r="L52" s="1"/>
      <c r="M52" s="1"/>
      <c r="N52" s="1"/>
      <c r="O52" s="1"/>
    </row>
    <row r="53" spans="1:15" ht="1.9" customHeight="1">
      <c r="A53" s="71"/>
      <c r="B53" s="71"/>
      <c r="C53" s="71"/>
      <c r="D53" s="71"/>
      <c r="E53" s="71"/>
      <c r="F53" s="71"/>
      <c r="G53" s="1"/>
      <c r="H53" s="1"/>
      <c r="I53" s="1"/>
      <c r="J53" s="1"/>
      <c r="K53" s="1"/>
      <c r="L53" s="1"/>
      <c r="M53" s="1"/>
      <c r="N53" s="1"/>
      <c r="O53" s="1"/>
    </row>
    <row r="54" spans="1:15" ht="1.9" customHeight="1">
      <c r="A54" s="71"/>
      <c r="B54" s="71"/>
      <c r="C54" s="71"/>
      <c r="D54" s="71"/>
      <c r="E54" s="71"/>
      <c r="F54" s="71"/>
      <c r="G54" s="1"/>
      <c r="H54" s="1"/>
      <c r="I54" s="1"/>
      <c r="J54" s="1"/>
      <c r="K54" s="1"/>
      <c r="L54" s="1"/>
      <c r="M54" s="1"/>
      <c r="N54" s="1"/>
      <c r="O54" s="1"/>
    </row>
    <row r="55" spans="1:15" ht="1.9" customHeight="1">
      <c r="A55" s="71"/>
      <c r="B55" s="71"/>
      <c r="C55" s="71"/>
      <c r="D55" s="71"/>
      <c r="E55" s="71"/>
      <c r="F55" s="71"/>
      <c r="G55" s="1"/>
      <c r="H55" s="1"/>
      <c r="I55" s="1"/>
      <c r="J55" s="1"/>
      <c r="K55" s="1"/>
      <c r="L55" s="1"/>
      <c r="M55" s="1"/>
      <c r="N55" s="1"/>
      <c r="O55" s="1"/>
    </row>
    <row r="56" spans="1:15" ht="1.9" customHeight="1">
      <c r="A56" s="71"/>
      <c r="B56" s="71"/>
      <c r="C56" s="71"/>
      <c r="D56" s="71"/>
      <c r="E56" s="71"/>
      <c r="F56" s="71"/>
      <c r="G56" s="1"/>
      <c r="H56" s="1"/>
      <c r="I56" s="1"/>
      <c r="J56" s="1"/>
      <c r="K56" s="1"/>
      <c r="L56" s="1"/>
      <c r="M56" s="1"/>
      <c r="N56" s="1"/>
      <c r="O56" s="1"/>
    </row>
    <row r="57" spans="1:15" ht="1.9" customHeight="1">
      <c r="A57" s="71"/>
      <c r="B57" s="71"/>
      <c r="C57" s="71"/>
      <c r="D57" s="71"/>
      <c r="E57" s="71"/>
      <c r="F57" s="71"/>
      <c r="G57" s="1"/>
      <c r="H57" s="1"/>
      <c r="I57" s="1"/>
      <c r="J57" s="1"/>
      <c r="K57" s="1"/>
      <c r="L57" s="1"/>
      <c r="M57" s="1"/>
      <c r="N57" s="1"/>
      <c r="O57" s="1"/>
    </row>
    <row r="58" spans="1:15" ht="1.9" customHeight="1">
      <c r="A58" s="71"/>
      <c r="B58" s="71"/>
      <c r="C58" s="71"/>
      <c r="D58" s="71"/>
      <c r="E58" s="71"/>
      <c r="F58" s="71"/>
      <c r="G58" s="1"/>
      <c r="H58" s="1"/>
      <c r="I58" s="1"/>
      <c r="J58" s="1"/>
      <c r="K58" s="1"/>
      <c r="L58" s="1"/>
      <c r="M58" s="1"/>
      <c r="N58" s="1"/>
      <c r="O58" s="1"/>
    </row>
    <row r="59" spans="1:15" ht="1.9" customHeight="1">
      <c r="A59" s="71"/>
      <c r="B59" s="71"/>
      <c r="C59" s="71"/>
      <c r="D59" s="71"/>
      <c r="E59" s="71"/>
      <c r="F59" s="71"/>
      <c r="G59" s="1"/>
      <c r="H59" s="1"/>
      <c r="I59" s="1"/>
      <c r="J59" s="1"/>
      <c r="K59" s="1"/>
      <c r="L59" s="1"/>
      <c r="M59" s="1"/>
      <c r="N59" s="1"/>
      <c r="O59" s="1"/>
    </row>
    <row r="60" spans="1:15" ht="1.9" customHeight="1">
      <c r="A60" s="71"/>
      <c r="B60" s="71"/>
      <c r="C60" s="71"/>
      <c r="D60" s="71"/>
      <c r="E60" s="71"/>
      <c r="F60" s="71"/>
      <c r="G60" s="1"/>
      <c r="H60" s="1"/>
      <c r="I60" s="1"/>
      <c r="J60" s="1"/>
      <c r="K60" s="1"/>
      <c r="L60" s="1"/>
      <c r="M60" s="1"/>
      <c r="N60" s="1"/>
      <c r="O60" s="1"/>
    </row>
    <row r="61" spans="1:15" ht="1.9" customHeight="1">
      <c r="A61" s="71"/>
      <c r="B61" s="71"/>
      <c r="C61" s="71"/>
      <c r="D61" s="71"/>
      <c r="E61" s="71"/>
      <c r="F61" s="71"/>
      <c r="G61" s="1"/>
      <c r="H61" s="1"/>
      <c r="I61" s="1"/>
      <c r="J61" s="1"/>
      <c r="K61" s="1"/>
      <c r="L61" s="1"/>
      <c r="M61" s="1"/>
      <c r="N61" s="1"/>
      <c r="O61" s="1"/>
    </row>
    <row r="62" spans="1:15" ht="1.9" customHeight="1">
      <c r="A62" s="71"/>
      <c r="B62" s="71"/>
      <c r="C62" s="71"/>
      <c r="D62" s="71"/>
      <c r="E62" s="71"/>
      <c r="F62" s="71"/>
      <c r="G62" s="1"/>
      <c r="H62" s="1"/>
      <c r="I62" s="1"/>
      <c r="J62" s="1"/>
      <c r="K62" s="1"/>
      <c r="L62" s="1"/>
      <c r="M62" s="1"/>
      <c r="N62" s="1"/>
      <c r="O62" s="1"/>
    </row>
    <row r="63" spans="1:15" ht="1.9" customHeight="1">
      <c r="A63" s="71"/>
      <c r="B63" s="71"/>
      <c r="C63" s="71"/>
      <c r="D63" s="71"/>
      <c r="E63" s="71"/>
      <c r="F63" s="71"/>
      <c r="G63" s="1"/>
      <c r="H63" s="1"/>
      <c r="I63" s="1"/>
      <c r="J63" s="1"/>
      <c r="K63" s="1"/>
      <c r="L63" s="1"/>
      <c r="M63" s="1"/>
      <c r="N63" s="1"/>
      <c r="O63" s="1"/>
    </row>
    <row r="64" spans="1:15" ht="1.9" customHeight="1">
      <c r="A64" s="71"/>
      <c r="B64" s="71"/>
      <c r="C64" s="71"/>
      <c r="D64" s="71"/>
      <c r="E64" s="71"/>
      <c r="F64" s="71"/>
      <c r="G64" s="1"/>
      <c r="H64" s="1"/>
      <c r="I64" s="1"/>
      <c r="J64" s="1"/>
      <c r="K64" s="1"/>
      <c r="L64" s="1"/>
      <c r="M64" s="1"/>
      <c r="N64" s="1"/>
      <c r="O64" s="1"/>
    </row>
    <row r="65" spans="1:15" ht="1.9" customHeight="1">
      <c r="A65" s="71"/>
      <c r="B65" s="71"/>
      <c r="C65" s="71"/>
      <c r="D65" s="71"/>
      <c r="E65" s="71"/>
      <c r="F65" s="71"/>
      <c r="G65" s="1"/>
      <c r="H65" s="1"/>
      <c r="I65" s="1"/>
      <c r="J65" s="1"/>
      <c r="K65" s="1"/>
      <c r="L65" s="1"/>
      <c r="M65" s="1"/>
      <c r="N65" s="1"/>
      <c r="O65" s="1"/>
    </row>
    <row r="66" spans="1:15" ht="1.9" customHeight="1">
      <c r="A66" s="71"/>
      <c r="B66" s="71"/>
      <c r="C66" s="71"/>
      <c r="D66" s="71"/>
      <c r="E66" s="71"/>
      <c r="F66" s="71"/>
      <c r="G66" s="1"/>
      <c r="H66" s="1"/>
      <c r="I66" s="1"/>
      <c r="J66" s="1"/>
      <c r="K66" s="1"/>
      <c r="L66" s="1"/>
      <c r="M66" s="1"/>
      <c r="N66" s="1"/>
      <c r="O66" s="1"/>
    </row>
    <row r="67" spans="1:15" ht="1.9" customHeight="1">
      <c r="A67" s="71"/>
      <c r="B67" s="71"/>
      <c r="C67" s="71"/>
      <c r="D67" s="71"/>
      <c r="E67" s="71"/>
      <c r="F67" s="71"/>
      <c r="G67" s="1"/>
      <c r="H67" s="1"/>
      <c r="I67" s="1"/>
      <c r="J67" s="1"/>
      <c r="K67" s="1"/>
      <c r="L67" s="1"/>
      <c r="M67" s="1"/>
      <c r="N67" s="1"/>
      <c r="O67" s="1"/>
    </row>
    <row r="68" spans="1:15" ht="1.9" customHeight="1">
      <c r="A68" s="71"/>
      <c r="B68" s="71"/>
      <c r="C68" s="71"/>
      <c r="D68" s="71"/>
      <c r="E68" s="71"/>
      <c r="F68" s="71"/>
      <c r="G68" s="1"/>
      <c r="H68" s="1"/>
      <c r="I68" s="1"/>
      <c r="J68" s="1"/>
      <c r="K68" s="1"/>
      <c r="L68" s="1"/>
      <c r="M68" s="1"/>
      <c r="N68" s="1"/>
      <c r="O68" s="1"/>
    </row>
    <row r="69" spans="1:15" ht="1.9" customHeight="1">
      <c r="A69" s="71"/>
      <c r="B69" s="71"/>
      <c r="C69" s="71"/>
      <c r="D69" s="71"/>
      <c r="E69" s="71"/>
      <c r="F69" s="71"/>
      <c r="G69" s="1"/>
      <c r="H69" s="1"/>
      <c r="I69" s="1"/>
      <c r="J69" s="1"/>
      <c r="K69" s="1"/>
      <c r="L69" s="1"/>
      <c r="M69" s="1"/>
      <c r="N69" s="1"/>
      <c r="O69" s="1"/>
    </row>
    <row r="70" spans="1:15" ht="1.9" customHeight="1">
      <c r="A70" s="71"/>
      <c r="B70" s="71"/>
      <c r="C70" s="71"/>
      <c r="D70" s="71"/>
      <c r="E70" s="71"/>
      <c r="F70" s="71"/>
      <c r="G70" s="1"/>
      <c r="H70" s="1"/>
      <c r="I70" s="1"/>
      <c r="J70" s="1"/>
      <c r="K70" s="1"/>
      <c r="L70" s="1"/>
      <c r="M70" s="1"/>
      <c r="N70" s="1"/>
      <c r="O70" s="1"/>
    </row>
    <row r="71" spans="1:15" ht="1.9" customHeight="1">
      <c r="A71" s="71"/>
      <c r="B71" s="71"/>
      <c r="C71" s="71"/>
      <c r="D71" s="71"/>
      <c r="E71" s="71"/>
      <c r="F71" s="71"/>
      <c r="G71" s="1"/>
      <c r="H71" s="1"/>
      <c r="I71" s="1"/>
      <c r="J71" s="1"/>
      <c r="K71" s="1"/>
      <c r="L71" s="1"/>
      <c r="M71" s="1"/>
      <c r="N71" s="1"/>
      <c r="O71" s="1"/>
    </row>
    <row r="72" spans="1:15" ht="1.9" customHeight="1">
      <c r="A72" s="71"/>
      <c r="B72" s="71"/>
      <c r="C72" s="71"/>
      <c r="D72" s="71"/>
      <c r="E72" s="71"/>
      <c r="F72" s="71"/>
      <c r="G72" s="1"/>
      <c r="H72" s="1"/>
      <c r="I72" s="1"/>
      <c r="J72" s="1"/>
      <c r="K72" s="1"/>
      <c r="L72" s="1"/>
      <c r="M72" s="1"/>
      <c r="N72" s="1"/>
      <c r="O72" s="1"/>
    </row>
    <row r="73" spans="1:15" ht="1.9" customHeight="1">
      <c r="A73" s="71"/>
      <c r="B73" s="71"/>
      <c r="C73" s="71"/>
      <c r="D73" s="71"/>
      <c r="E73" s="71"/>
      <c r="F73" s="71"/>
      <c r="G73" s="1"/>
      <c r="H73" s="1"/>
      <c r="I73" s="1"/>
      <c r="J73" s="1"/>
      <c r="K73" s="1"/>
      <c r="L73" s="1"/>
      <c r="M73" s="1"/>
      <c r="N73" s="1"/>
      <c r="O73" s="1"/>
    </row>
    <row r="74" spans="1:15" ht="1.9" customHeight="1">
      <c r="A74" s="71"/>
      <c r="B74" s="71"/>
      <c r="C74" s="71"/>
      <c r="D74" s="71"/>
      <c r="E74" s="71"/>
      <c r="F74" s="71"/>
      <c r="G74" s="1"/>
      <c r="H74" s="1"/>
      <c r="I74" s="1"/>
      <c r="J74" s="1"/>
      <c r="K74" s="1"/>
      <c r="L74" s="1"/>
      <c r="M74" s="1"/>
      <c r="N74" s="1"/>
      <c r="O74" s="1"/>
    </row>
    <row r="75" spans="1:15" ht="1.9" customHeight="1">
      <c r="A75" s="71"/>
      <c r="B75" s="71"/>
      <c r="C75" s="71"/>
      <c r="D75" s="71"/>
      <c r="E75" s="71"/>
      <c r="F75" s="71"/>
      <c r="G75" s="1"/>
      <c r="H75" s="1"/>
      <c r="I75" s="1"/>
      <c r="J75" s="1"/>
      <c r="K75" s="1"/>
      <c r="L75" s="1"/>
      <c r="M75" s="1"/>
      <c r="N75" s="1"/>
      <c r="O75" s="1"/>
    </row>
    <row r="76" spans="1:15" ht="1.9" customHeight="1">
      <c r="A76" s="71"/>
      <c r="B76" s="71"/>
      <c r="C76" s="71"/>
      <c r="D76" s="71"/>
      <c r="E76" s="71"/>
      <c r="F76" s="71"/>
      <c r="G76" s="1"/>
      <c r="H76" s="1"/>
      <c r="I76" s="1"/>
      <c r="J76" s="1"/>
      <c r="K76" s="1"/>
      <c r="L76" s="1"/>
      <c r="M76" s="1"/>
      <c r="N76" s="1"/>
      <c r="O76" s="1"/>
    </row>
    <row r="77" spans="1:15" ht="1.9" customHeight="1">
      <c r="A77" s="71"/>
      <c r="B77" s="71"/>
      <c r="C77" s="71"/>
      <c r="D77" s="71"/>
      <c r="E77" s="71"/>
      <c r="F77" s="71"/>
      <c r="G77" s="1"/>
      <c r="H77" s="1"/>
      <c r="I77" s="1"/>
      <c r="J77" s="1"/>
      <c r="K77" s="1"/>
      <c r="L77" s="1"/>
      <c r="M77" s="1"/>
      <c r="N77" s="1"/>
      <c r="O77" s="1"/>
    </row>
    <row r="78" spans="1:15" ht="1.9" customHeight="1">
      <c r="A78" s="71"/>
      <c r="B78" s="71"/>
      <c r="C78" s="71"/>
      <c r="D78" s="71"/>
      <c r="E78" s="71"/>
      <c r="F78" s="71"/>
      <c r="G78" s="1"/>
      <c r="H78" s="1"/>
      <c r="I78" s="1"/>
      <c r="J78" s="1"/>
      <c r="K78" s="1"/>
      <c r="L78" s="1"/>
      <c r="M78" s="1"/>
      <c r="N78" s="1"/>
      <c r="O78" s="1"/>
    </row>
    <row r="79" spans="1:15" ht="1.9" customHeight="1">
      <c r="A79" s="71"/>
      <c r="B79" s="71"/>
      <c r="C79" s="71"/>
      <c r="D79" s="71"/>
      <c r="E79" s="71"/>
      <c r="F79" s="71"/>
      <c r="G79" s="1"/>
      <c r="H79" s="1"/>
      <c r="I79" s="1"/>
      <c r="J79" s="1"/>
      <c r="K79" s="1"/>
      <c r="L79" s="1"/>
      <c r="M79" s="1"/>
      <c r="N79" s="1"/>
      <c r="O79" s="1"/>
    </row>
    <row r="80" spans="1:15" ht="1.9" customHeight="1">
      <c r="A80" s="71"/>
      <c r="B80" s="71"/>
      <c r="C80" s="71"/>
      <c r="D80" s="71"/>
      <c r="E80" s="71"/>
      <c r="F80" s="71"/>
      <c r="G80" s="1"/>
      <c r="H80" s="1"/>
      <c r="I80" s="1"/>
      <c r="J80" s="1"/>
      <c r="K80" s="1"/>
      <c r="L80" s="1"/>
      <c r="M80" s="1"/>
      <c r="N80" s="1"/>
      <c r="O80" s="1"/>
    </row>
    <row r="81" spans="1:15" ht="1.9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.9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.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.9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.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.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.9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.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.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.9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.9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.9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.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.9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.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.9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.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.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.9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.9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.9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.9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.9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.9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.9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.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.9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.9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.9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.9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.9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.9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.9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.9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.9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.9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.9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.9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.9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.9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.9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.9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.9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.9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.9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.9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.9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.9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.9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.9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.9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.9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.9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.9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.9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.9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.9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.9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.9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.9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.9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.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.9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.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.9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.9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.9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.9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.9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.9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.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.9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.9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.9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.9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.9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.9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.9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.9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.9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.9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.9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.9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.9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.9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.9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.9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.9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.9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.9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.9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.9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.9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.9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.9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.9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.9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.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.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.9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.9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.9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.9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.9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.9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.9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.9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.9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.9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.9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.9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.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.9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.9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.9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.9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.9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.9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.9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.9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.9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.9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.9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.9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</sheetData>
  <mergeCells count="1">
    <mergeCell ref="A1:F1"/>
  </mergeCells>
  <conditionalFormatting sqref="B21">
    <cfRule type="expression" dxfId="337" priority="1">
      <formula>ISNUMBER(SEARCH("Riesgo",B21))</formula>
    </cfRule>
    <cfRule type="expression" dxfId="336" priority="2">
      <formula>ISNUMBER(SEARCH("Crítico",B21))</formula>
    </cfRule>
    <cfRule type="expression" dxfId="335" priority="3">
      <formula>ISNUMBER(SEARCH("Pendiente",B21))</formula>
    </cfRule>
    <cfRule type="expression" dxfId="334" priority="4">
      <formula>ISNUMBER(SEARCH("En riesgo",B21))</formula>
    </cfRule>
    <cfRule type="expression" dxfId="333" priority="5">
      <formula>ISNUMBER(SEARCH("Atención",B21))</formula>
    </cfRule>
    <cfRule type="expression" dxfId="332" priority="6">
      <formula>ISNUMBER(SEARCH("En proceso",B21))</formula>
    </cfRule>
    <cfRule type="expression" dxfId="331" priority="7">
      <formula>ISNUMBER(SEARCH("Meta",B21))</formula>
    </cfRule>
    <cfRule type="expression" dxfId="330" priority="8">
      <formula>ISNUMBER(SEARCH("Cumple",B21))</formula>
    </cfRule>
    <cfRule type="expression" dxfId="329" priority="9">
      <formula>ISNUMBER(SEARCH("Cumplido",B21))</formula>
    </cfRule>
    <cfRule type="expression" dxfId="328" priority="10">
      <formula>ISNUMBER(SEARCH("Positivo",B21))</formula>
    </cfRule>
    <cfRule type="expression" dxfId="327" priority="11">
      <formula>ISNUMBER(SEARCH("Dominio",B21))</formula>
    </cfRule>
    <cfRule type="expression" dxfId="326" priority="12">
      <formula>ISNUMBER(SEARCH("Alto",B21))</formula>
    </cfRule>
    <cfRule type="expression" dxfId="325" priority="13">
      <formula>ISNUMBER(SEARCH("Superado",B21))</formula>
    </cfRule>
    <cfRule type="expression" dxfId="324" priority="14">
      <formula>ISNUMBER(SEARCH("Cuadrado",B21))</formula>
    </cfRule>
    <cfRule type="expression" dxfId="323" priority="15">
      <formula>ISNUMBER(SEARCH("Revisar",B21))</formula>
    </cfRule>
    <cfRule type="expression" dxfId="322" priority="16">
      <formula>ISNUMBER(SEARCH("Vacío",B21))</formula>
    </cfRule>
  </conditionalFormatting>
  <conditionalFormatting sqref="B28:C30">
    <cfRule type="expression" dxfId="321" priority="17">
      <formula>ISNUMBER(SEARCH("Conciliado",B28))</formula>
    </cfRule>
    <cfRule type="expression" dxfId="320" priority="18">
      <formula>ISNUMBER(SEARCH("Cuadrado",B28))</formula>
    </cfRule>
    <cfRule type="expression" dxfId="319" priority="19">
      <formula>ISNUMBER(SEARCH("Cumple",B28))</formula>
    </cfRule>
    <cfRule type="expression" dxfId="318" priority="20">
      <formula>ISNUMBER(SEARCH("Dominio",B28))</formula>
    </cfRule>
    <cfRule type="expression" dxfId="317" priority="21">
      <formula>ISNUMBER(SEARCH("Revisar",B28))</formula>
    </cfRule>
    <cfRule type="expression" dxfId="316" priority="22">
      <formula>ISNUMBER(SEARCH("En proceso",B28))</formula>
    </cfRule>
    <cfRule type="expression" dxfId="315" priority="23">
      <formula>ISNUMBER(SEARCH("Atención",B28))</formula>
    </cfRule>
    <cfRule type="expression" dxfId="314" priority="24">
      <formula>ISNUMBER(SEARCH("Diferencia crítica",B28))</formula>
    </cfRule>
    <cfRule type="expression" dxfId="313" priority="25">
      <formula>ISNUMBER(SEARCH("Crítico",B28))</formula>
    </cfRule>
    <cfRule type="expression" dxfId="312" priority="26">
      <formula>ISNUMBER(SEARCH("Riesgo",B28))</formula>
    </cfRule>
  </conditionalFormatting>
  <conditionalFormatting sqref="G7:G12">
    <cfRule type="expression" dxfId="311" priority="27">
      <formula>ISNUMBER(SEARCH("Conciliado",G7))</formula>
    </cfRule>
    <cfRule type="expression" dxfId="310" priority="28">
      <formula>ISNUMBER(SEARCH("Cuadrado",G7))</formula>
    </cfRule>
    <cfRule type="expression" dxfId="309" priority="29">
      <formula>ISNUMBER(SEARCH("Cumple",G7))</formula>
    </cfRule>
    <cfRule type="expression" dxfId="308" priority="30">
      <formula>ISNUMBER(SEARCH("Dominio",G7))</formula>
    </cfRule>
    <cfRule type="expression" dxfId="307" priority="31">
      <formula>ISNUMBER(SEARCH("Revisar",G7))</formula>
    </cfRule>
    <cfRule type="expression" dxfId="306" priority="32">
      <formula>ISNUMBER(SEARCH("En proceso",G7))</formula>
    </cfRule>
    <cfRule type="expression" dxfId="305" priority="33">
      <formula>ISNUMBER(SEARCH("Atención",G7))</formula>
    </cfRule>
    <cfRule type="expression" dxfId="304" priority="34">
      <formula>ISNUMBER(SEARCH("Diferencia crítica",G7))</formula>
    </cfRule>
    <cfRule type="expression" dxfId="303" priority="35">
      <formula>ISNUMBER(SEARCH("Crítico",G7))</formula>
    </cfRule>
    <cfRule type="expression" dxfId="302" priority="36">
      <formula>ISNUMBER(SEARCH("Riesgo",G7))</formula>
    </cfRule>
  </conditionalFormatting>
  <dataValidations count="2">
    <dataValidation type="list" sqref="B3" xr:uid="{00000000-0002-0000-6B00-000000000000}">
      <formula1>"enero,febrero,marzo,abril,mayo,junio,julio,agosto,septiembre,octubre,noviembre,diciembre"</formula1>
    </dataValidation>
    <dataValidation type="list" sqref="G7:G12" xr:uid="{00000000-0002-0000-6B00-000001000000}">
      <formula1>"Pendiente,OK,Revisar"</formula1>
    </dataValidation>
  </dataValidation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BFBFBF"/>
  </sheetPr>
  <dimension ref="A1:H16"/>
  <sheetViews>
    <sheetView showGridLines="0" workbookViewId="0"/>
  </sheetViews>
  <sheetFormatPr baseColWidth="10" defaultColWidth="8.7265625" defaultRowHeight="14.5"/>
  <cols>
    <col min="1" max="1" width="49" customWidth="1"/>
    <col min="2" max="2" width="33.08984375" customWidth="1"/>
    <col min="3" max="3" width="21.08984375" customWidth="1"/>
    <col min="4" max="4" width="42.36328125" customWidth="1"/>
  </cols>
  <sheetData>
    <row r="1" spans="1:8" ht="21" customHeight="1">
      <c r="A1" s="528" t="s">
        <v>3819</v>
      </c>
      <c r="B1" s="426"/>
      <c r="C1" s="426"/>
      <c r="D1" s="99"/>
      <c r="E1" s="99"/>
      <c r="F1" s="99"/>
      <c r="G1" s="99"/>
      <c r="H1" s="99"/>
    </row>
    <row r="3" spans="1:8">
      <c r="A3" s="108" t="s">
        <v>1904</v>
      </c>
      <c r="B3" s="108" t="s">
        <v>3820</v>
      </c>
      <c r="C3" s="108" t="s">
        <v>252</v>
      </c>
      <c r="D3" s="108" t="s">
        <v>2995</v>
      </c>
    </row>
    <row r="4" spans="1:8">
      <c r="A4" t="s">
        <v>3704</v>
      </c>
      <c r="B4" t="s">
        <v>3821</v>
      </c>
      <c r="C4" t="s">
        <v>784</v>
      </c>
      <c r="D4" t="s">
        <v>3822</v>
      </c>
    </row>
    <row r="5" spans="1:8">
      <c r="A5" t="s">
        <v>1204</v>
      </c>
      <c r="B5" t="s">
        <v>3823</v>
      </c>
      <c r="C5" t="s">
        <v>156</v>
      </c>
      <c r="D5" t="s">
        <v>3824</v>
      </c>
    </row>
    <row r="6" spans="1:8">
      <c r="A6" t="s">
        <v>1203</v>
      </c>
      <c r="B6" t="s">
        <v>3825</v>
      </c>
      <c r="C6" t="s">
        <v>164</v>
      </c>
      <c r="D6" t="s">
        <v>3826</v>
      </c>
    </row>
    <row r="7" spans="1:8">
      <c r="A7" t="s">
        <v>3827</v>
      </c>
      <c r="B7" t="s">
        <v>3828</v>
      </c>
      <c r="C7" t="s">
        <v>164</v>
      </c>
      <c r="D7" t="s">
        <v>3829</v>
      </c>
    </row>
    <row r="8" spans="1:8">
      <c r="A8" t="s">
        <v>3830</v>
      </c>
      <c r="B8" t="s">
        <v>3831</v>
      </c>
      <c r="C8" t="s">
        <v>663</v>
      </c>
      <c r="D8" t="s">
        <v>3832</v>
      </c>
    </row>
    <row r="9" spans="1:8">
      <c r="A9" t="s">
        <v>1385</v>
      </c>
      <c r="B9" t="s">
        <v>3833</v>
      </c>
      <c r="C9" t="s">
        <v>670</v>
      </c>
      <c r="D9" t="s">
        <v>1835</v>
      </c>
    </row>
    <row r="10" spans="1:8">
      <c r="A10" t="s">
        <v>3834</v>
      </c>
      <c r="B10" t="s">
        <v>3835</v>
      </c>
      <c r="C10" t="s">
        <v>671</v>
      </c>
      <c r="D10" t="s">
        <v>3836</v>
      </c>
    </row>
    <row r="11" spans="1:8">
      <c r="A11" t="s">
        <v>1810</v>
      </c>
      <c r="B11" t="s">
        <v>3837</v>
      </c>
      <c r="C11" t="s">
        <v>670</v>
      </c>
      <c r="D11" t="s">
        <v>3838</v>
      </c>
    </row>
    <row r="13" spans="1:8">
      <c r="A13" s="108" t="s">
        <v>655</v>
      </c>
      <c r="B13" s="108" t="s">
        <v>246</v>
      </c>
      <c r="C13" s="108" t="s">
        <v>696</v>
      </c>
      <c r="D13" s="108" t="s">
        <v>3839</v>
      </c>
    </row>
    <row r="14" spans="1:8">
      <c r="A14" t="s">
        <v>3840</v>
      </c>
      <c r="B14" t="s">
        <v>3841</v>
      </c>
      <c r="C14" t="s">
        <v>3842</v>
      </c>
      <c r="D14" t="s">
        <v>3843</v>
      </c>
    </row>
    <row r="15" spans="1:8">
      <c r="A15" t="s">
        <v>3844</v>
      </c>
      <c r="B15" t="s">
        <v>3845</v>
      </c>
      <c r="C15" t="s">
        <v>3846</v>
      </c>
      <c r="D15" t="s">
        <v>3847</v>
      </c>
    </row>
    <row r="16" spans="1:8">
      <c r="A16" t="s">
        <v>3848</v>
      </c>
      <c r="B16" t="s">
        <v>3849</v>
      </c>
      <c r="C16" t="s">
        <v>3850</v>
      </c>
      <c r="D16" t="s">
        <v>3851</v>
      </c>
    </row>
  </sheetData>
  <mergeCells count="1">
    <mergeCell ref="A1:C1"/>
  </mergeCells>
  <conditionalFormatting sqref="A14:A16">
    <cfRule type="expression" dxfId="301" priority="1">
      <formula>ISNUMBER(SEARCH("Conciliado",A14))</formula>
    </cfRule>
    <cfRule type="expression" dxfId="300" priority="2">
      <formula>ISNUMBER(SEARCH("Cuadrado",A14))</formula>
    </cfRule>
    <cfRule type="expression" dxfId="299" priority="3">
      <formula>ISNUMBER(SEARCH("Cumple",A14))</formula>
    </cfRule>
    <cfRule type="expression" dxfId="298" priority="4">
      <formula>ISNUMBER(SEARCH("Dominio",A14))</formula>
    </cfRule>
    <cfRule type="expression" dxfId="297" priority="5">
      <formula>ISNUMBER(SEARCH("Revisar",A14))</formula>
    </cfRule>
    <cfRule type="expression" dxfId="296" priority="6">
      <formula>ISNUMBER(SEARCH("En proceso",A14))</formula>
    </cfRule>
    <cfRule type="expression" dxfId="295" priority="7">
      <formula>ISNUMBER(SEARCH("Atención",A14))</formula>
    </cfRule>
    <cfRule type="expression" dxfId="294" priority="8">
      <formula>ISNUMBER(SEARCH("Diferencia crítica",A14))</formula>
    </cfRule>
    <cfRule type="expression" dxfId="293" priority="9">
      <formula>ISNUMBER(SEARCH("Crítico",A14))</formula>
    </cfRule>
    <cfRule type="expression" dxfId="292" priority="10">
      <formula>ISNUMBER(SEARCH("Riesgo",A14))</formula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BFBFBF"/>
  </sheetPr>
  <dimension ref="A1:F60"/>
  <sheetViews>
    <sheetView showGridLines="0" workbookViewId="0"/>
  </sheetViews>
  <sheetFormatPr baseColWidth="10" defaultColWidth="8.7265625" defaultRowHeight="14.5"/>
  <cols>
    <col min="1" max="1" width="27.90625" customWidth="1"/>
    <col min="2" max="2" width="36" customWidth="1"/>
    <col min="3" max="3" width="42" customWidth="1"/>
    <col min="4" max="4" width="34" customWidth="1"/>
    <col min="5" max="5" width="28" customWidth="1"/>
  </cols>
  <sheetData>
    <row r="1" spans="1:6" ht="28" customHeight="1">
      <c r="A1" s="446" t="s">
        <v>3852</v>
      </c>
      <c r="B1" s="426"/>
      <c r="C1" s="426"/>
      <c r="D1" s="426"/>
      <c r="E1" s="173"/>
      <c r="F1" s="173"/>
    </row>
    <row r="2" spans="1:6">
      <c r="A2" s="132"/>
      <c r="B2" s="132"/>
      <c r="C2" s="132"/>
      <c r="D2" s="132"/>
      <c r="E2" s="132"/>
      <c r="F2" s="132"/>
    </row>
    <row r="3" spans="1:6">
      <c r="A3" s="175" t="s">
        <v>3616</v>
      </c>
      <c r="B3" s="175" t="s">
        <v>3853</v>
      </c>
      <c r="C3" s="175" t="s">
        <v>3854</v>
      </c>
      <c r="D3" s="175" t="s">
        <v>3855</v>
      </c>
      <c r="E3" s="175" t="s">
        <v>1236</v>
      </c>
      <c r="F3" s="132"/>
    </row>
    <row r="4" spans="1:6" ht="29" customHeight="1">
      <c r="A4" s="132" t="s">
        <v>663</v>
      </c>
      <c r="B4" s="132" t="s">
        <v>3856</v>
      </c>
      <c r="C4" s="132" t="s">
        <v>3857</v>
      </c>
      <c r="D4" s="132" t="s">
        <v>3858</v>
      </c>
      <c r="E4" s="132" t="s">
        <v>3859</v>
      </c>
      <c r="F4" s="132"/>
    </row>
    <row r="5" spans="1:6" ht="29" customHeight="1">
      <c r="A5" s="132" t="s">
        <v>708</v>
      </c>
      <c r="B5" s="132" t="s">
        <v>3860</v>
      </c>
      <c r="C5" s="132" t="s">
        <v>3861</v>
      </c>
      <c r="D5" s="132" t="s">
        <v>3862</v>
      </c>
      <c r="E5" s="132" t="s">
        <v>3863</v>
      </c>
      <c r="F5" s="132"/>
    </row>
    <row r="6" spans="1:6" ht="29" customHeight="1">
      <c r="A6" s="132" t="s">
        <v>783</v>
      </c>
      <c r="B6" s="132" t="s">
        <v>1717</v>
      </c>
      <c r="C6" s="132" t="s">
        <v>3864</v>
      </c>
      <c r="D6" s="132" t="s">
        <v>3865</v>
      </c>
      <c r="E6" s="132" t="s">
        <v>3866</v>
      </c>
      <c r="F6" s="132"/>
    </row>
    <row r="7" spans="1:6">
      <c r="A7" s="132" t="s">
        <v>709</v>
      </c>
      <c r="B7" s="132" t="s">
        <v>3867</v>
      </c>
      <c r="C7" s="132" t="s">
        <v>3868</v>
      </c>
      <c r="D7" s="132" t="s">
        <v>3869</v>
      </c>
      <c r="E7" s="132" t="s">
        <v>3870</v>
      </c>
      <c r="F7" s="132"/>
    </row>
    <row r="8" spans="1:6" ht="29" customHeight="1">
      <c r="A8" s="132" t="s">
        <v>3871</v>
      </c>
      <c r="B8" s="132" t="s">
        <v>3872</v>
      </c>
      <c r="C8" s="132" t="s">
        <v>3873</v>
      </c>
      <c r="D8" s="132" t="s">
        <v>3874</v>
      </c>
      <c r="E8" s="132" t="s">
        <v>3875</v>
      </c>
      <c r="F8" s="132"/>
    </row>
    <row r="9" spans="1:6">
      <c r="A9" s="132"/>
      <c r="B9" s="132"/>
      <c r="C9" s="132"/>
      <c r="D9" s="132"/>
      <c r="E9" s="132"/>
      <c r="F9" s="132"/>
    </row>
    <row r="10" spans="1:6">
      <c r="A10" s="132"/>
      <c r="B10" s="132"/>
      <c r="C10" s="132"/>
      <c r="D10" s="132"/>
      <c r="E10" s="132"/>
      <c r="F10" s="132"/>
    </row>
    <row r="11" spans="1:6">
      <c r="A11" s="132"/>
      <c r="B11" s="132"/>
      <c r="C11" s="132"/>
      <c r="D11" s="132"/>
      <c r="E11" s="132"/>
      <c r="F11" s="132"/>
    </row>
    <row r="12" spans="1:6">
      <c r="A12" s="132"/>
      <c r="B12" s="132"/>
      <c r="C12" s="132"/>
      <c r="D12" s="132"/>
      <c r="E12" s="132"/>
      <c r="F12" s="132"/>
    </row>
    <row r="13" spans="1:6">
      <c r="A13" s="132"/>
      <c r="B13" s="132"/>
      <c r="C13" s="132"/>
      <c r="D13" s="132"/>
      <c r="E13" s="132"/>
      <c r="F13" s="132"/>
    </row>
    <row r="14" spans="1:6">
      <c r="A14" s="132"/>
      <c r="B14" s="132"/>
      <c r="C14" s="132"/>
      <c r="D14" s="132"/>
      <c r="E14" s="132"/>
      <c r="F14" s="132"/>
    </row>
    <row r="15" spans="1:6">
      <c r="A15" s="132"/>
      <c r="B15" s="132"/>
      <c r="C15" s="132"/>
      <c r="D15" s="132"/>
      <c r="E15" s="132"/>
      <c r="F15" s="132"/>
    </row>
    <row r="16" spans="1:6">
      <c r="A16" s="132"/>
      <c r="B16" s="132"/>
      <c r="C16" s="132"/>
      <c r="D16" s="132"/>
      <c r="E16" s="132"/>
      <c r="F16" s="132"/>
    </row>
    <row r="17" spans="1:6">
      <c r="A17" s="132"/>
      <c r="B17" s="132"/>
      <c r="C17" s="132"/>
      <c r="D17" s="132"/>
      <c r="E17" s="132"/>
      <c r="F17" s="132"/>
    </row>
    <row r="18" spans="1:6">
      <c r="A18" s="132"/>
      <c r="B18" s="132"/>
      <c r="C18" s="132"/>
      <c r="D18" s="132"/>
      <c r="E18" s="132"/>
      <c r="F18" s="132"/>
    </row>
    <row r="19" spans="1:6">
      <c r="A19" s="132"/>
      <c r="B19" s="132"/>
      <c r="C19" s="132"/>
      <c r="D19" s="132"/>
      <c r="E19" s="132"/>
      <c r="F19" s="132"/>
    </row>
    <row r="20" spans="1:6">
      <c r="A20" s="132"/>
      <c r="B20" s="132"/>
      <c r="C20" s="132"/>
      <c r="D20" s="132"/>
      <c r="E20" s="132"/>
      <c r="F20" s="132"/>
    </row>
    <row r="21" spans="1:6">
      <c r="A21" s="132"/>
      <c r="B21" s="132"/>
      <c r="C21" s="132"/>
      <c r="D21" s="132"/>
      <c r="E21" s="132"/>
      <c r="F21" s="132"/>
    </row>
    <row r="22" spans="1:6">
      <c r="A22" s="132"/>
      <c r="B22" s="132"/>
      <c r="C22" s="132"/>
      <c r="D22" s="132"/>
      <c r="E22" s="132"/>
      <c r="F22" s="132"/>
    </row>
    <row r="23" spans="1:6">
      <c r="A23" s="132"/>
      <c r="B23" s="132"/>
      <c r="C23" s="132"/>
      <c r="D23" s="132"/>
      <c r="E23" s="132"/>
      <c r="F23" s="132"/>
    </row>
    <row r="24" spans="1:6">
      <c r="A24" s="132"/>
      <c r="B24" s="132"/>
      <c r="C24" s="132"/>
      <c r="D24" s="132"/>
      <c r="E24" s="132"/>
      <c r="F24" s="132"/>
    </row>
    <row r="25" spans="1:6">
      <c r="A25" s="132"/>
      <c r="B25" s="132"/>
      <c r="C25" s="132"/>
      <c r="D25" s="132"/>
      <c r="E25" s="132"/>
      <c r="F25" s="132"/>
    </row>
    <row r="26" spans="1:6">
      <c r="A26" s="132"/>
      <c r="B26" s="132"/>
      <c r="C26" s="132"/>
      <c r="D26" s="132"/>
      <c r="E26" s="132"/>
      <c r="F26" s="132"/>
    </row>
    <row r="27" spans="1:6">
      <c r="A27" s="132"/>
      <c r="B27" s="132"/>
      <c r="C27" s="132"/>
      <c r="D27" s="132"/>
      <c r="E27" s="132"/>
      <c r="F27" s="132"/>
    </row>
    <row r="28" spans="1:6">
      <c r="A28" s="132"/>
      <c r="B28" s="132"/>
      <c r="C28" s="132"/>
      <c r="D28" s="132"/>
      <c r="E28" s="132"/>
      <c r="F28" s="132"/>
    </row>
    <row r="29" spans="1:6">
      <c r="A29" s="132"/>
      <c r="B29" s="132"/>
      <c r="C29" s="132"/>
      <c r="D29" s="132"/>
      <c r="E29" s="132"/>
      <c r="F29" s="132"/>
    </row>
    <row r="30" spans="1:6">
      <c r="A30" s="132"/>
      <c r="B30" s="132"/>
      <c r="C30" s="132"/>
      <c r="D30" s="132"/>
      <c r="E30" s="132"/>
      <c r="F30" s="132"/>
    </row>
    <row r="31" spans="1:6">
      <c r="A31" s="132"/>
      <c r="B31" s="132"/>
      <c r="C31" s="132"/>
      <c r="D31" s="132"/>
      <c r="E31" s="132"/>
      <c r="F31" s="132"/>
    </row>
    <row r="32" spans="1:6">
      <c r="A32" s="132"/>
      <c r="B32" s="132"/>
      <c r="C32" s="132"/>
      <c r="D32" s="132"/>
      <c r="E32" s="132"/>
      <c r="F32" s="132"/>
    </row>
    <row r="33" spans="1:6">
      <c r="A33" s="132"/>
      <c r="B33" s="132"/>
      <c r="C33" s="132"/>
      <c r="D33" s="132"/>
      <c r="E33" s="132"/>
      <c r="F33" s="132"/>
    </row>
    <row r="34" spans="1:6">
      <c r="A34" s="132"/>
      <c r="B34" s="132"/>
      <c r="C34" s="132"/>
      <c r="D34" s="132"/>
      <c r="E34" s="132"/>
      <c r="F34" s="132"/>
    </row>
    <row r="35" spans="1:6">
      <c r="A35" s="132"/>
      <c r="B35" s="132"/>
      <c r="C35" s="132"/>
      <c r="D35" s="132"/>
      <c r="E35" s="132"/>
      <c r="F35" s="132"/>
    </row>
    <row r="36" spans="1:6">
      <c r="A36" s="132"/>
      <c r="B36" s="132"/>
      <c r="C36" s="132"/>
      <c r="D36" s="132"/>
      <c r="E36" s="132"/>
      <c r="F36" s="132"/>
    </row>
    <row r="37" spans="1:6">
      <c r="A37" s="132"/>
      <c r="B37" s="132"/>
      <c r="C37" s="132"/>
      <c r="D37" s="132"/>
      <c r="E37" s="132"/>
      <c r="F37" s="132"/>
    </row>
    <row r="38" spans="1:6">
      <c r="A38" s="132"/>
      <c r="B38" s="132"/>
      <c r="C38" s="132"/>
      <c r="D38" s="132"/>
      <c r="E38" s="132"/>
      <c r="F38" s="132"/>
    </row>
    <row r="39" spans="1:6">
      <c r="A39" s="132"/>
      <c r="B39" s="132"/>
      <c r="C39" s="132"/>
      <c r="D39" s="132"/>
      <c r="E39" s="132"/>
      <c r="F39" s="132"/>
    </row>
    <row r="40" spans="1:6">
      <c r="A40" s="132"/>
      <c r="B40" s="132"/>
      <c r="C40" s="132"/>
      <c r="D40" s="132"/>
      <c r="E40" s="132"/>
      <c r="F40" s="132"/>
    </row>
    <row r="41" spans="1:6">
      <c r="A41" s="132"/>
      <c r="B41" s="132"/>
      <c r="C41" s="132"/>
      <c r="D41" s="132"/>
      <c r="E41" s="132"/>
      <c r="F41" s="132"/>
    </row>
    <row r="42" spans="1:6">
      <c r="A42" s="132"/>
      <c r="B42" s="132"/>
      <c r="C42" s="132"/>
      <c r="D42" s="132"/>
      <c r="E42" s="132"/>
      <c r="F42" s="132"/>
    </row>
    <row r="43" spans="1:6">
      <c r="A43" s="132"/>
      <c r="B43" s="132"/>
      <c r="C43" s="132"/>
      <c r="D43" s="132"/>
      <c r="E43" s="132"/>
      <c r="F43" s="132"/>
    </row>
    <row r="44" spans="1:6">
      <c r="A44" s="132"/>
      <c r="B44" s="132"/>
      <c r="C44" s="132"/>
      <c r="D44" s="132"/>
      <c r="E44" s="132"/>
      <c r="F44" s="132"/>
    </row>
    <row r="45" spans="1:6">
      <c r="A45" s="132"/>
      <c r="B45" s="132"/>
      <c r="C45" s="132"/>
      <c r="D45" s="132"/>
      <c r="E45" s="132"/>
      <c r="F45" s="132"/>
    </row>
    <row r="46" spans="1:6">
      <c r="A46" s="132"/>
      <c r="B46" s="132"/>
      <c r="C46" s="132"/>
      <c r="D46" s="132"/>
      <c r="E46" s="132"/>
      <c r="F46" s="132"/>
    </row>
    <row r="47" spans="1:6">
      <c r="A47" s="132"/>
      <c r="B47" s="132"/>
      <c r="C47" s="132"/>
      <c r="D47" s="132"/>
      <c r="E47" s="132"/>
      <c r="F47" s="132"/>
    </row>
    <row r="48" spans="1:6">
      <c r="A48" s="132"/>
      <c r="B48" s="132"/>
      <c r="C48" s="132"/>
      <c r="D48" s="132"/>
      <c r="E48" s="132"/>
      <c r="F48" s="132"/>
    </row>
    <row r="49" spans="1:6">
      <c r="A49" s="132"/>
      <c r="B49" s="132"/>
      <c r="C49" s="132"/>
      <c r="D49" s="132"/>
      <c r="E49" s="132"/>
      <c r="F49" s="132"/>
    </row>
    <row r="50" spans="1:6">
      <c r="A50" s="132"/>
      <c r="B50" s="132"/>
      <c r="C50" s="132"/>
      <c r="D50" s="132"/>
      <c r="E50" s="132"/>
      <c r="F50" s="132"/>
    </row>
    <row r="51" spans="1:6">
      <c r="A51" s="132"/>
      <c r="B51" s="132"/>
      <c r="C51" s="132"/>
      <c r="D51" s="132"/>
      <c r="E51" s="132"/>
      <c r="F51" s="132"/>
    </row>
    <row r="52" spans="1:6">
      <c r="A52" s="132"/>
      <c r="B52" s="132"/>
      <c r="C52" s="132"/>
      <c r="D52" s="132"/>
      <c r="E52" s="132"/>
      <c r="F52" s="132"/>
    </row>
    <row r="53" spans="1:6">
      <c r="A53" s="132"/>
      <c r="B53" s="132"/>
      <c r="C53" s="132"/>
      <c r="D53" s="132"/>
      <c r="E53" s="132"/>
      <c r="F53" s="132"/>
    </row>
    <row r="54" spans="1:6">
      <c r="A54" s="132"/>
      <c r="B54" s="132"/>
      <c r="C54" s="132"/>
      <c r="D54" s="132"/>
      <c r="E54" s="132"/>
      <c r="F54" s="132"/>
    </row>
    <row r="55" spans="1:6">
      <c r="A55" s="132"/>
      <c r="B55" s="132"/>
      <c r="C55" s="132"/>
      <c r="D55" s="132"/>
      <c r="E55" s="132"/>
      <c r="F55" s="132"/>
    </row>
    <row r="56" spans="1:6">
      <c r="A56" s="132"/>
      <c r="B56" s="132"/>
      <c r="C56" s="132"/>
      <c r="D56" s="132"/>
      <c r="E56" s="132"/>
      <c r="F56" s="132"/>
    </row>
    <row r="57" spans="1:6">
      <c r="A57" s="132"/>
      <c r="B57" s="132"/>
      <c r="C57" s="132"/>
      <c r="D57" s="132"/>
      <c r="E57" s="132"/>
      <c r="F57" s="132"/>
    </row>
    <row r="58" spans="1:6">
      <c r="A58" s="132"/>
      <c r="B58" s="132"/>
      <c r="C58" s="132"/>
      <c r="D58" s="132"/>
      <c r="E58" s="132"/>
      <c r="F58" s="132"/>
    </row>
    <row r="59" spans="1:6">
      <c r="A59" s="132"/>
      <c r="B59" s="132"/>
      <c r="C59" s="132"/>
      <c r="D59" s="132"/>
      <c r="E59" s="132"/>
      <c r="F59" s="132"/>
    </row>
    <row r="60" spans="1:6">
      <c r="A60" s="132"/>
      <c r="B60" s="132"/>
      <c r="C60" s="132"/>
      <c r="D60" s="132"/>
      <c r="E60" s="132"/>
      <c r="F60" s="132"/>
    </row>
  </sheetData>
  <mergeCells count="1">
    <mergeCell ref="A1:D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BFBFBF"/>
  </sheetPr>
  <dimension ref="A1:O204"/>
  <sheetViews>
    <sheetView showGridLines="0" workbookViewId="0"/>
  </sheetViews>
  <sheetFormatPr baseColWidth="10" defaultColWidth="14.453125" defaultRowHeight="14.5"/>
  <cols>
    <col min="1" max="1" width="42" customWidth="1"/>
    <col min="2" max="2" width="24" customWidth="1"/>
    <col min="3" max="3" width="18.26953125" customWidth="1"/>
    <col min="4" max="4" width="42" customWidth="1"/>
    <col min="6" max="6" width="18.90625" customWidth="1"/>
    <col min="7" max="7" width="7.1796875" customWidth="1"/>
    <col min="8" max="8" width="11.7265625" customWidth="1"/>
    <col min="9" max="9" width="21" customWidth="1"/>
    <col min="10" max="10" width="24.6328125" customWidth="1"/>
  </cols>
  <sheetData>
    <row r="1" spans="1:15" ht="21.4" customHeight="1">
      <c r="A1" s="450" t="s">
        <v>3876</v>
      </c>
      <c r="B1" s="426"/>
      <c r="C1" s="426"/>
      <c r="D1" s="426"/>
      <c r="E1" s="426"/>
      <c r="F1" s="426"/>
      <c r="G1" s="426"/>
      <c r="H1" s="426"/>
      <c r="I1" s="426"/>
      <c r="J1" s="426"/>
      <c r="K1" s="1"/>
      <c r="L1" s="1"/>
      <c r="M1" s="1"/>
      <c r="N1" s="1"/>
      <c r="O1" s="1"/>
    </row>
    <row r="2" spans="1:15">
      <c r="A2" s="435" t="s">
        <v>3877</v>
      </c>
      <c r="B2" s="426"/>
      <c r="C2" s="426"/>
      <c r="D2" s="426"/>
      <c r="E2" s="426"/>
      <c r="F2" s="426"/>
      <c r="G2" s="426"/>
      <c r="H2" s="426"/>
      <c r="I2" s="426"/>
      <c r="J2" s="426"/>
      <c r="K2" s="1"/>
      <c r="L2" s="1"/>
      <c r="M2" s="1"/>
      <c r="N2" s="1"/>
      <c r="O2" s="1"/>
    </row>
    <row r="3" spans="1:15" ht="1.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</row>
    <row r="4" spans="1:15" ht="29" customHeight="1">
      <c r="A4" s="529" t="s">
        <v>3878</v>
      </c>
      <c r="B4" s="495"/>
      <c r="C4" s="495"/>
      <c r="D4" s="495"/>
      <c r="E4" s="4"/>
      <c r="F4" s="135" t="s">
        <v>3879</v>
      </c>
      <c r="G4" s="135"/>
      <c r="H4" s="135"/>
      <c r="I4" s="135"/>
      <c r="J4" s="135"/>
      <c r="K4" s="1"/>
      <c r="L4" s="1"/>
      <c r="M4" s="1"/>
      <c r="N4" s="1"/>
      <c r="O4" s="1"/>
    </row>
    <row r="5" spans="1:15" ht="29" customHeight="1">
      <c r="A5" s="5" t="s">
        <v>1741</v>
      </c>
      <c r="B5" s="80">
        <f>'00_Dashboard_V4'!B6</f>
        <v>1130484</v>
      </c>
      <c r="C5" s="5" t="s">
        <v>655</v>
      </c>
      <c r="D5" s="5" t="s">
        <v>656</v>
      </c>
      <c r="E5" s="4"/>
      <c r="F5" s="119" t="s">
        <v>1300</v>
      </c>
      <c r="G5" s="119" t="s">
        <v>7</v>
      </c>
      <c r="H5" s="119" t="s">
        <v>655</v>
      </c>
      <c r="I5" s="119" t="s">
        <v>252</v>
      </c>
      <c r="J5" s="119" t="s">
        <v>656</v>
      </c>
      <c r="K5" s="1"/>
      <c r="L5" s="1"/>
      <c r="M5" s="1"/>
      <c r="N5" s="1"/>
      <c r="O5" s="1"/>
    </row>
    <row r="6" spans="1:15" ht="29" customHeight="1">
      <c r="A6" s="6" t="s">
        <v>3880</v>
      </c>
      <c r="B6" s="97">
        <f>'00_Dashboard_V4'!B7</f>
        <v>1339017</v>
      </c>
      <c r="C6" s="84" t="s">
        <v>1279</v>
      </c>
      <c r="D6" s="6"/>
      <c r="E6" s="4"/>
      <c r="F6" s="4" t="s">
        <v>1344</v>
      </c>
      <c r="G6" s="4">
        <f>COUNTA('40_Estudio_Empresas'!C3:C204)</f>
        <v>1</v>
      </c>
      <c r="H6" s="4" t="str">
        <f>IF(G6&gt;=10,"🟢 Cumple",IF(G6&gt;0,"🟡 En proceso","🔴 Riesgo"))</f>
        <v>🟡 En proceso</v>
      </c>
      <c r="I6" s="4" t="s">
        <v>675</v>
      </c>
      <c r="J6" s="4" t="s">
        <v>3881</v>
      </c>
      <c r="K6" s="1"/>
      <c r="L6" s="1"/>
      <c r="M6" s="1"/>
      <c r="N6" s="1"/>
      <c r="O6" s="1"/>
    </row>
    <row r="7" spans="1:15" ht="29" customHeight="1">
      <c r="A7" s="6" t="s">
        <v>1384</v>
      </c>
      <c r="B7" s="97">
        <f>'15_Conciliacion'!B10</f>
        <v>0</v>
      </c>
      <c r="C7" s="84" t="s">
        <v>1279</v>
      </c>
      <c r="D7" s="6"/>
      <c r="E7" s="4"/>
      <c r="F7" s="4" t="s">
        <v>3882</v>
      </c>
      <c r="G7" s="4">
        <f>COUNTIF('41_Clasificacion_Empresas'!F5:F204,"A")</f>
        <v>0</v>
      </c>
      <c r="H7" s="4" t="str">
        <f>IF(G7&gt;0,"🟢 Cumple","🟡 En proceso")</f>
        <v>🟡 En proceso</v>
      </c>
      <c r="I7" s="4" t="s">
        <v>748</v>
      </c>
      <c r="J7" s="4" t="s">
        <v>3883</v>
      </c>
      <c r="K7" s="1"/>
      <c r="L7" s="1"/>
      <c r="M7" s="1"/>
      <c r="N7" s="1"/>
      <c r="O7" s="1"/>
    </row>
    <row r="8" spans="1:15" ht="29" customHeight="1">
      <c r="A8" s="6" t="s">
        <v>3884</v>
      </c>
      <c r="B8" s="97">
        <f>'15_Conciliacion'!B12</f>
        <v>1144342</v>
      </c>
      <c r="C8" s="84" t="str">
        <f>'15_Conciliacion'!B28</f>
        <v>🔴 Diferencia crítica</v>
      </c>
      <c r="D8" s="6"/>
      <c r="E8" s="4"/>
      <c r="F8" s="4" t="s">
        <v>3885</v>
      </c>
      <c r="G8" s="4">
        <f>COUNTIF('41_Clasificacion_Empresas'!F5:F204,"B")</f>
        <v>0</v>
      </c>
      <c r="H8" s="4" t="str">
        <f>IF(G8&gt;0,"🟢 Cumple","🟡 En proceso")</f>
        <v>🟡 En proceso</v>
      </c>
      <c r="I8" s="4" t="s">
        <v>748</v>
      </c>
      <c r="J8" s="4" t="s">
        <v>3886</v>
      </c>
      <c r="K8" s="1"/>
      <c r="L8" s="1"/>
      <c r="M8" s="1"/>
      <c r="N8" s="1"/>
      <c r="O8" s="1"/>
    </row>
    <row r="9" spans="1:15" ht="29" customHeight="1">
      <c r="A9" s="6" t="s">
        <v>3693</v>
      </c>
      <c r="B9" s="97">
        <f>'15_Conciliacion'!B22</f>
        <v>90470</v>
      </c>
      <c r="C9" s="84" t="str">
        <f>'15_Conciliacion'!B28</f>
        <v>🔴 Diferencia crítica</v>
      </c>
      <c r="D9" s="6"/>
      <c r="E9" s="4"/>
      <c r="F9" s="4" t="s">
        <v>3479</v>
      </c>
      <c r="G9" s="4">
        <f>COUNTIF('32_Oportunidades'!A5:A204,"?*")</f>
        <v>0</v>
      </c>
      <c r="H9" s="4" t="str">
        <f>IF(G9&gt;=5,"🟢 Cumple",IF(G9&gt;0,"🟡 En proceso","🔴 Riesgo"))</f>
        <v>🔴 Riesgo</v>
      </c>
      <c r="I9" s="4" t="s">
        <v>747</v>
      </c>
      <c r="J9" s="4" t="s">
        <v>3887</v>
      </c>
      <c r="K9" s="1"/>
      <c r="L9" s="1"/>
      <c r="M9" s="1"/>
      <c r="N9" s="1"/>
      <c r="O9" s="1"/>
    </row>
    <row r="10" spans="1:15">
      <c r="A10" s="6" t="s">
        <v>1387</v>
      </c>
      <c r="B10" s="97">
        <f>'15_Conciliacion'!B26</f>
        <v>-1053872</v>
      </c>
      <c r="C10" s="84" t="str">
        <f>'15_Conciliacion'!B28</f>
        <v>🔴 Diferencia crítica</v>
      </c>
      <c r="D10" s="6"/>
      <c r="E10" s="4"/>
      <c r="F10" s="4" t="s">
        <v>3888</v>
      </c>
      <c r="G10" s="4">
        <f>COUNTIF('33_Seguimientos'!B5:B204,"?*")</f>
        <v>0</v>
      </c>
      <c r="H10" s="4" t="str">
        <f>IF(G10&gt;=5,"🟢 Cumple",IF(G10&gt;0,"🟡 En proceso","🔴 Riesgo"))</f>
        <v>🔴 Riesgo</v>
      </c>
      <c r="I10" s="4" t="s">
        <v>190</v>
      </c>
      <c r="J10" s="4" t="s">
        <v>3889</v>
      </c>
      <c r="K10" s="1"/>
      <c r="L10" s="1"/>
      <c r="M10" s="1"/>
      <c r="N10" s="1"/>
      <c r="O10" s="1"/>
    </row>
    <row r="11" spans="1:15">
      <c r="A11" s="6" t="s">
        <v>3890</v>
      </c>
      <c r="B11" s="97">
        <f>'00_Dashboard_V4'!B9</f>
        <v>-653763</v>
      </c>
      <c r="C11" s="84" t="s">
        <v>1279</v>
      </c>
      <c r="D11" s="6"/>
      <c r="E11" s="4"/>
      <c r="F11" s="4" t="s">
        <v>3634</v>
      </c>
      <c r="G11" s="4">
        <f>COUNTIF('30_MGC_CRM'!E5:E204,"?*")</f>
        <v>0</v>
      </c>
      <c r="H11" s="4" t="str">
        <f>IF(G11&gt;=5,"🟢 Cumple",IF(G11&gt;0,"🟡 En proceso","🔴 Riesgo"))</f>
        <v>🔴 Riesgo</v>
      </c>
      <c r="I11" s="4" t="s">
        <v>183</v>
      </c>
      <c r="J11" s="4" t="s">
        <v>3891</v>
      </c>
      <c r="K11" s="1"/>
      <c r="L11" s="1"/>
      <c r="M11" s="1"/>
      <c r="N11" s="1"/>
      <c r="O11" s="1"/>
    </row>
    <row r="12" spans="1:15" ht="29" customHeight="1">
      <c r="A12" s="6" t="s">
        <v>3892</v>
      </c>
      <c r="B12" s="97">
        <f>'00_Dashboard_V4'!B10</f>
        <v>669545.09</v>
      </c>
      <c r="C12" s="84" t="s">
        <v>1279</v>
      </c>
      <c r="D12" s="6"/>
      <c r="E12" s="4"/>
      <c r="F12" s="4" t="s">
        <v>3893</v>
      </c>
      <c r="G12" s="4">
        <f>COUNTIF('41_Clasificacion_Empresas'!F5:F204,"X")</f>
        <v>0</v>
      </c>
      <c r="H12" s="4" t="str">
        <f>IF(G12=0,"🟢 Cumple","🟡 Revisar")</f>
        <v>🟢 Cumple</v>
      </c>
      <c r="I12" s="4" t="s">
        <v>748</v>
      </c>
      <c r="J12" s="4" t="s">
        <v>3894</v>
      </c>
      <c r="K12" s="1"/>
      <c r="L12" s="1"/>
      <c r="M12" s="1"/>
      <c r="N12" s="1"/>
      <c r="O12" s="1"/>
    </row>
    <row r="13" spans="1:15">
      <c r="A13" s="6" t="s">
        <v>3895</v>
      </c>
      <c r="B13" s="97"/>
      <c r="C13" s="84" t="s">
        <v>1279</v>
      </c>
      <c r="D13" s="6"/>
      <c r="E13" s="4"/>
      <c r="F13" s="4"/>
      <c r="G13" s="4"/>
      <c r="H13" s="4"/>
      <c r="I13" s="4"/>
      <c r="J13" s="4"/>
      <c r="K13" s="1"/>
      <c r="L13" s="1"/>
      <c r="M13" s="1"/>
      <c r="N13" s="1"/>
      <c r="O13" s="1"/>
    </row>
    <row r="14" spans="1:15" ht="1.9" customHeight="1">
      <c r="A14" s="6"/>
      <c r="B14" s="6"/>
      <c r="C14" s="84"/>
      <c r="D14" s="6"/>
      <c r="E14" s="4"/>
      <c r="F14" s="4"/>
      <c r="G14" s="4"/>
      <c r="H14" s="4"/>
      <c r="I14" s="4"/>
      <c r="J14" s="4"/>
      <c r="K14" s="1"/>
      <c r="L14" s="1"/>
      <c r="M14" s="1"/>
      <c r="N14" s="1"/>
      <c r="O14" s="1"/>
    </row>
    <row r="15" spans="1:15" ht="1.9" customHeight="1">
      <c r="A15" s="6"/>
      <c r="B15" s="6"/>
      <c r="C15" s="84"/>
      <c r="D15" s="6"/>
      <c r="E15" s="4"/>
      <c r="F15" s="4"/>
      <c r="G15" s="4"/>
      <c r="H15" s="4"/>
      <c r="I15" s="4"/>
      <c r="J15" s="4"/>
      <c r="K15" s="1"/>
      <c r="L15" s="1"/>
      <c r="M15" s="1"/>
      <c r="N15" s="1"/>
      <c r="O15" s="1"/>
    </row>
    <row r="16" spans="1:15">
      <c r="A16" s="530" t="s">
        <v>3896</v>
      </c>
      <c r="B16" s="495"/>
      <c r="C16" s="495"/>
      <c r="D16" s="495"/>
      <c r="E16" s="4"/>
      <c r="F16" s="4"/>
      <c r="G16" s="4"/>
      <c r="H16" s="4"/>
      <c r="I16" s="4"/>
      <c r="J16" s="4"/>
      <c r="K16" s="1"/>
      <c r="L16" s="1"/>
      <c r="M16" s="1"/>
      <c r="N16" s="1"/>
      <c r="O16" s="1"/>
    </row>
    <row r="17" spans="1:15">
      <c r="A17" s="5" t="s">
        <v>1741</v>
      </c>
      <c r="B17" s="5" t="s">
        <v>1236</v>
      </c>
      <c r="C17" s="86" t="s">
        <v>655</v>
      </c>
      <c r="D17" s="5" t="s">
        <v>656</v>
      </c>
      <c r="E17" s="4"/>
      <c r="F17" s="4"/>
      <c r="G17" s="4"/>
      <c r="H17" s="4"/>
      <c r="I17" s="4"/>
      <c r="J17" s="4"/>
      <c r="K17" s="1"/>
      <c r="L17" s="1"/>
      <c r="M17" s="1"/>
      <c r="N17" s="1"/>
      <c r="O17" s="1"/>
    </row>
    <row r="18" spans="1:15">
      <c r="A18" s="6" t="s">
        <v>3897</v>
      </c>
      <c r="B18" s="17" t="s">
        <v>3898</v>
      </c>
      <c r="C18" s="84" t="s">
        <v>1279</v>
      </c>
      <c r="D18" s="47" t="s">
        <v>3899</v>
      </c>
      <c r="E18" s="4"/>
      <c r="F18" s="4"/>
      <c r="G18" s="4"/>
      <c r="H18" s="4"/>
      <c r="I18" s="4"/>
      <c r="J18" s="4"/>
      <c r="K18" s="1"/>
      <c r="L18" s="1"/>
      <c r="M18" s="1"/>
      <c r="N18" s="1"/>
      <c r="O18" s="1"/>
    </row>
    <row r="19" spans="1:15">
      <c r="A19" s="6" t="s">
        <v>3900</v>
      </c>
      <c r="B19" s="17"/>
      <c r="C19" s="84" t="s">
        <v>1279</v>
      </c>
      <c r="D19" s="6"/>
      <c r="E19" s="4"/>
      <c r="F19" s="4"/>
      <c r="G19" s="4"/>
      <c r="H19" s="4"/>
      <c r="I19" s="4"/>
      <c r="J19" s="4"/>
      <c r="K19" s="1"/>
      <c r="L19" s="1"/>
      <c r="M19" s="1"/>
      <c r="N19" s="1"/>
      <c r="O19" s="1"/>
    </row>
    <row r="20" spans="1:15">
      <c r="A20" s="6" t="s">
        <v>3901</v>
      </c>
      <c r="B20" s="17"/>
      <c r="C20" s="84" t="s">
        <v>1279</v>
      </c>
      <c r="D20" s="6"/>
      <c r="E20" s="4"/>
      <c r="F20" s="4"/>
      <c r="G20" s="4"/>
      <c r="H20" s="4"/>
      <c r="I20" s="4"/>
      <c r="J20" s="4"/>
      <c r="K20" s="1"/>
      <c r="L20" s="1"/>
      <c r="M20" s="1"/>
      <c r="N20" s="1"/>
      <c r="O20" s="1"/>
    </row>
    <row r="21" spans="1:15">
      <c r="A21" s="6" t="s">
        <v>3902</v>
      </c>
      <c r="B21" s="17"/>
      <c r="C21" s="84" t="s">
        <v>1279</v>
      </c>
      <c r="D21" s="6"/>
      <c r="E21" s="4"/>
      <c r="F21" s="4"/>
      <c r="G21" s="4"/>
      <c r="H21" s="4"/>
      <c r="I21" s="4"/>
      <c r="J21" s="4"/>
      <c r="K21" s="1"/>
      <c r="L21" s="1"/>
      <c r="M21" s="1"/>
      <c r="N21" s="1"/>
      <c r="O21" s="1"/>
    </row>
    <row r="22" spans="1:15">
      <c r="A22" s="6" t="s">
        <v>3903</v>
      </c>
      <c r="B22" s="17"/>
      <c r="C22" s="84" t="s">
        <v>1279</v>
      </c>
      <c r="D22" s="6"/>
      <c r="E22" s="4"/>
      <c r="F22" s="4"/>
      <c r="G22" s="4"/>
      <c r="H22" s="4"/>
      <c r="I22" s="4"/>
      <c r="J22" s="4"/>
      <c r="K22" s="1"/>
      <c r="L22" s="1"/>
      <c r="M22" s="1"/>
      <c r="N22" s="1"/>
      <c r="O22" s="1"/>
    </row>
    <row r="23" spans="1:15" ht="1.9" customHeight="1">
      <c r="A23" s="6"/>
      <c r="B23" s="6"/>
      <c r="C23" s="6"/>
      <c r="D23" s="6"/>
      <c r="E23" s="4"/>
      <c r="F23" s="4"/>
      <c r="G23" s="4"/>
      <c r="H23" s="4"/>
      <c r="I23" s="4"/>
      <c r="J23" s="4"/>
      <c r="K23" s="1"/>
      <c r="L23" s="1"/>
      <c r="M23" s="1"/>
      <c r="N23" s="1"/>
      <c r="O23" s="1"/>
    </row>
    <row r="24" spans="1:15" ht="1.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.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.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.9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.9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.9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.9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.9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.9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.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.9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.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.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.9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.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.9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.9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.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.9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.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.9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.9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.9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.9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.9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.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.9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.9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.9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.9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.9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.9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.9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.9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.9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.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.9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.9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.9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.9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.9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.9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.9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.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.9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.9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.9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.9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.9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.9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.9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.9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.9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.9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.9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.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.9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.9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.9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.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.9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.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.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.9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.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.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.9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.9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.9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.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.9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.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.9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.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.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.9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.9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.9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.9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.9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.9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.9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.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.9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.9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.9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.9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.9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.9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.9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.9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.9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.9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.9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.9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.9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.9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.9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.9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.9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.9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.9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.9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.9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.9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.9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.9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.9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.9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.9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.9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.9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.9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.9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.9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.9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.9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.9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.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.9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.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.9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.9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.9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.9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.9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.9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.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.9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.9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.9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.9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.9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.9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.9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.9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.9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.9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.9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.9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.9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.9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.9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.9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.9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.9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.9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.9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.9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.9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.9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.9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.9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.9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.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.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.9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.9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.9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.9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.9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.9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.9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.9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.9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.9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.9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.9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.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.9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.9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.9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.9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.9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.9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.9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.9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.9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.9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.9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.9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</sheetData>
  <mergeCells count="4">
    <mergeCell ref="A1:J1"/>
    <mergeCell ref="A4:D4"/>
    <mergeCell ref="A16:D16"/>
    <mergeCell ref="A2:J2"/>
  </mergeCells>
  <conditionalFormatting sqref="C5:C22">
    <cfRule type="expression" dxfId="291" priority="1">
      <formula>OR(ISNUMBER(SEARCH("Crítico",C5)),ISNUMBER(SEARCH("Controlar",C5)),ISNUMBER(SEARCH("Pendiente",C5)))</formula>
    </cfRule>
    <cfRule type="expression" dxfId="290" priority="2">
      <formula>OR(ISNUMBER(SEARCH("Atención",C5)),ISNUMBER(SEARCH("En construcción",C5)),ISNUMBER(SEARCH("Revisar",C5)),ISNUMBER(SEARCH("Manual",C5)),ISNUMBER(SEARCH("Vacío",C5)))</formula>
    </cfRule>
    <cfRule type="expression" dxfId="289" priority="3">
      <formula>OR(ISNUMBER(SEARCH("Cumple",C5)),ISNUMBER(SEARCH("Meta",C5)),ISNUMBER(SEARCH("Positivo",C5)),ISNUMBER(SEARCH("Activo",C5)),ISNUMBER(SEARCH("Fuerte",C5)),ISNUMBER(SEARCH("Cuadrado",C5)),ISNUMBER(SEARCH("OK",C5)))</formula>
    </cfRule>
    <cfRule type="expression" dxfId="288" priority="4">
      <formula>ISNUMBER(SEARCH("Dominio",C5))</formula>
    </cfRule>
  </conditionalFormatting>
  <conditionalFormatting sqref="C6:C22">
    <cfRule type="expression" dxfId="287" priority="5">
      <formula>ISNUMBER(SEARCH("Conciliado",C6))</formula>
    </cfRule>
    <cfRule type="expression" dxfId="286" priority="6">
      <formula>ISNUMBER(SEARCH("Cuadrado",C6))</formula>
    </cfRule>
    <cfRule type="expression" dxfId="285" priority="7">
      <formula>ISNUMBER(SEARCH("Cumple",C6))</formula>
    </cfRule>
    <cfRule type="expression" dxfId="284" priority="8">
      <formula>ISNUMBER(SEARCH("Dominio",C6))</formula>
    </cfRule>
    <cfRule type="expression" dxfId="283" priority="9">
      <formula>ISNUMBER(SEARCH("Revisar",C6))</formula>
    </cfRule>
    <cfRule type="expression" dxfId="282" priority="10">
      <formula>ISNUMBER(SEARCH("En proceso",C6))</formula>
    </cfRule>
    <cfRule type="expression" dxfId="281" priority="11">
      <formula>ISNUMBER(SEARCH("Atención",C6))</formula>
    </cfRule>
    <cfRule type="expression" dxfId="280" priority="12">
      <formula>ISNUMBER(SEARCH("Diferencia crítica",C6))</formula>
    </cfRule>
    <cfRule type="expression" dxfId="279" priority="13">
      <formula>ISNUMBER(SEARCH("Crítico",C6))</formula>
    </cfRule>
    <cfRule type="expression" dxfId="278" priority="14">
      <formula>ISNUMBER(SEARCH("Riesgo",C6))</formula>
    </cfRule>
  </conditionalFormatting>
  <conditionalFormatting sqref="H6:H12">
    <cfRule type="expression" dxfId="277" priority="15">
      <formula>ISNUMBER(SEARCH("A - Inmediata",H6))</formula>
    </cfRule>
    <cfRule type="expression" dxfId="276" priority="16">
      <formula>ISNUMBER(SEARCH("B - Interesante",H6))</formula>
    </cfRule>
    <cfRule type="expression" dxfId="275" priority="17">
      <formula>ISNUMBER(SEARCH("C - Observar",H6))</formula>
    </cfRule>
    <cfRule type="expression" dxfId="274" priority="18">
      <formula>ISNUMBER(SEARCH("X - Descartar",H6))</formula>
    </cfRule>
    <cfRule type="expression" dxfId="273" priority="19">
      <formula>ISNUMBER(SEARCH("🔴",H6))</formula>
    </cfRule>
    <cfRule type="expression" dxfId="272" priority="20">
      <formula>ISNUMBER(SEARCH("🟡",H6))</formula>
    </cfRule>
    <cfRule type="expression" dxfId="271" priority="21">
      <formula>ISNUMBER(SEARCH("🟢",H6))</formula>
    </cfRule>
    <cfRule type="expression" dxfId="270" priority="22">
      <formula>ISNUMBER(SEARCH("🔵",H6))</formula>
    </cfRule>
    <cfRule type="expression" dxfId="269" priority="23">
      <formula>ISNUMBER(SEARCH("⭐",H6))</formula>
    </cfRule>
    <cfRule type="expression" dxfId="268" priority="24">
      <formula>ISNUMBER(SEARCH("Riesgo",H6))</formula>
    </cfRule>
    <cfRule type="expression" dxfId="267" priority="25">
      <formula>ISNUMBER(SEARCH("En proceso",H6))</formula>
    </cfRule>
    <cfRule type="expression" dxfId="266" priority="26">
      <formula>ISNUMBER(SEARCH("Cumplido",H6))</formula>
    </cfRule>
    <cfRule type="expression" dxfId="265" priority="27">
      <formula>ISNUMBER(SEARCH("Pendiente",H6))</formula>
    </cfRule>
    <cfRule type="expression" dxfId="264" priority="28">
      <formula>ISNUMBER(SEARCH("Descartar",H6))</formula>
    </cfRule>
    <cfRule type="expression" dxfId="263" priority="29">
      <formula>ISNUMBER(SEARCH("CRM",H6))</formula>
    </cfRule>
    <cfRule type="expression" dxfId="262" priority="30">
      <formula>ISNUMBER(SEARCH("Oportunidad",H6))</formula>
    </cfRule>
    <cfRule type="expression" dxfId="261" priority="31">
      <formula>ISNUMBER(SEARCH("Seguimiento",H6))</formula>
    </cfRule>
    <cfRule type="expression" dxfId="260" priority="32">
      <formula>ISNUMBER(SEARCH("Observar",H6))</formula>
    </cfRule>
  </conditionalFormatting>
  <dataValidations count="1">
    <dataValidation type="list" allowBlank="1" sqref="C6:C15 C17:C23" xr:uid="{00000000-0002-0000-6E00-000000000000}">
      <formula1>"🔴 Riesgo,🟡 En proceso,🟢 Cumplido,🔵 Superado"</formula1>
    </dataValidation>
  </dataValidation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BFBFBF"/>
  </sheetPr>
  <dimension ref="A1:R100"/>
  <sheetViews>
    <sheetView showGridLines="0" workbookViewId="0"/>
  </sheetViews>
  <sheetFormatPr baseColWidth="10" defaultColWidth="14.453125" defaultRowHeight="14.5"/>
  <cols>
    <col min="1" max="1" width="8" customWidth="1"/>
    <col min="2" max="2" width="24" customWidth="1"/>
    <col min="3" max="3" width="18" customWidth="1"/>
    <col min="4" max="4" width="15" customWidth="1"/>
    <col min="5" max="5" width="14" customWidth="1"/>
    <col min="6" max="6" width="8.7265625" customWidth="1"/>
    <col min="7" max="7" width="10.453125" customWidth="1"/>
    <col min="8" max="8" width="13.08984375" customWidth="1"/>
    <col min="9" max="9" width="13.1796875" customWidth="1"/>
    <col min="10" max="10" width="10.36328125" customWidth="1"/>
    <col min="11" max="11" width="21.81640625" customWidth="1"/>
    <col min="12" max="12" width="12.81640625" customWidth="1"/>
    <col min="13" max="13" width="10.7265625" customWidth="1"/>
    <col min="14" max="14" width="22.08984375" customWidth="1"/>
    <col min="15" max="15" width="26.1796875" customWidth="1"/>
    <col min="16" max="16" width="8.7265625" customWidth="1"/>
    <col min="17" max="17" width="24.26953125" customWidth="1"/>
    <col min="18" max="18" width="60.08984375" customWidth="1"/>
    <col min="19" max="23" width="8.7265625" customWidth="1"/>
  </cols>
  <sheetData>
    <row r="1" spans="1:18" ht="6.4" customHeight="1">
      <c r="A1" s="531" t="s">
        <v>3904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Q1" s="7"/>
      <c r="R1" s="7"/>
    </row>
    <row r="2" spans="1:18">
      <c r="A2" s="520" t="s">
        <v>3905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Q2" s="7"/>
      <c r="R2" s="7"/>
    </row>
    <row r="3" spans="1:18" ht="1.9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Q3" s="7"/>
      <c r="R3" s="7"/>
    </row>
    <row r="4" spans="1:18">
      <c r="A4" s="30" t="s">
        <v>73</v>
      </c>
      <c r="B4" s="30" t="s">
        <v>3906</v>
      </c>
      <c r="C4" s="30" t="s">
        <v>1457</v>
      </c>
      <c r="D4" s="30" t="s">
        <v>3907</v>
      </c>
      <c r="E4" s="30" t="s">
        <v>3908</v>
      </c>
      <c r="F4" s="30" t="s">
        <v>248</v>
      </c>
      <c r="G4" s="30" t="s">
        <v>8</v>
      </c>
      <c r="H4" s="30" t="s">
        <v>655</v>
      </c>
      <c r="I4" s="30" t="s">
        <v>1591</v>
      </c>
      <c r="J4" s="30" t="s">
        <v>3909</v>
      </c>
      <c r="K4" s="30" t="s">
        <v>3910</v>
      </c>
      <c r="L4" s="30" t="s">
        <v>2625</v>
      </c>
      <c r="M4" s="30" t="s">
        <v>1303</v>
      </c>
      <c r="N4" s="30" t="s">
        <v>3911</v>
      </c>
      <c r="O4" s="30" t="s">
        <v>656</v>
      </c>
      <c r="Q4" s="31" t="s">
        <v>3912</v>
      </c>
      <c r="R4" s="31" t="s">
        <v>7</v>
      </c>
    </row>
    <row r="5" spans="1:18">
      <c r="A5" s="1" t="s">
        <v>3913</v>
      </c>
      <c r="B5" s="1" t="s">
        <v>286</v>
      </c>
      <c r="C5" s="1" t="s">
        <v>286</v>
      </c>
      <c r="D5" s="2">
        <v>211158</v>
      </c>
      <c r="E5" s="32">
        <v>46152</v>
      </c>
      <c r="F5" s="1" t="s">
        <v>332</v>
      </c>
      <c r="G5" s="1" t="s">
        <v>3914</v>
      </c>
      <c r="H5" s="1" t="s">
        <v>3915</v>
      </c>
      <c r="I5" s="2">
        <v>213692</v>
      </c>
      <c r="J5" s="32">
        <v>46171</v>
      </c>
      <c r="K5" s="1" t="s">
        <v>87</v>
      </c>
      <c r="L5" s="3">
        <f t="shared" ref="L5:L36" ca="1" si="0">IF(B5="","",IF(E5="","",E5-TODAY()))</f>
        <v>-54</v>
      </c>
      <c r="M5" s="1" t="str">
        <f t="shared" ref="M5:M36" si="1">IF(B5="","",IF(H5="Pagado","🟢 Pagado",IF(H5="Pagado parcial","🟡 Parcial",IF(E5="","⚪ Sin fecha",IF(L5&lt;0,"🔴 Vencido",IF(L5&lt;=3,"🔴 Urgente",IF(L5&lt;=7,"🟡 Próximo","🟢 Programado")))))))</f>
        <v>🟢 Pagado</v>
      </c>
      <c r="N5" s="1" t="str">
        <f t="shared" ref="N5:N36" si="2">IF(B5="","",IF(H5="Pagado","Mantener registro",IF(F5="Crítica","Resolver prioridad crítica",IF(L5&lt;=3,"Preparar pago o decisión","Monitorear"))))</f>
        <v>Mantener registro</v>
      </c>
      <c r="O5" s="83" t="s">
        <v>3916</v>
      </c>
      <c r="P5" s="83"/>
      <c r="Q5" s="83" t="s">
        <v>3917</v>
      </c>
      <c r="R5" s="33">
        <f>SUM(D5:D54)</f>
        <v>478103</v>
      </c>
    </row>
    <row r="6" spans="1:18">
      <c r="A6" s="1" t="s">
        <v>3918</v>
      </c>
      <c r="B6" s="1" t="s">
        <v>3919</v>
      </c>
      <c r="C6" s="1" t="s">
        <v>1469</v>
      </c>
      <c r="D6" s="2">
        <v>202695</v>
      </c>
      <c r="E6" s="32">
        <v>46143</v>
      </c>
      <c r="F6" s="1" t="s">
        <v>332</v>
      </c>
      <c r="G6" s="1" t="s">
        <v>3914</v>
      </c>
      <c r="H6" s="1" t="s">
        <v>3915</v>
      </c>
      <c r="I6" s="2">
        <v>202695</v>
      </c>
      <c r="J6" s="32">
        <v>46143</v>
      </c>
      <c r="K6" s="1" t="s">
        <v>87</v>
      </c>
      <c r="L6" s="3">
        <f t="shared" ca="1" si="0"/>
        <v>-63</v>
      </c>
      <c r="M6" s="1" t="str">
        <f t="shared" si="1"/>
        <v>🟢 Pagado</v>
      </c>
      <c r="N6" s="1" t="str">
        <f t="shared" si="2"/>
        <v>Mantener registro</v>
      </c>
      <c r="O6" s="83" t="s">
        <v>3920</v>
      </c>
      <c r="P6" s="83"/>
      <c r="Q6" s="83" t="s">
        <v>3921</v>
      </c>
      <c r="R6" s="33">
        <f>SUM(I5:I54)</f>
        <v>444307</v>
      </c>
    </row>
    <row r="7" spans="1:18">
      <c r="A7" s="1" t="s">
        <v>3922</v>
      </c>
      <c r="B7" s="1" t="s">
        <v>3923</v>
      </c>
      <c r="C7" s="1" t="s">
        <v>3923</v>
      </c>
      <c r="D7" s="2"/>
      <c r="E7" s="32">
        <v>46147</v>
      </c>
      <c r="F7" s="1" t="s">
        <v>332</v>
      </c>
      <c r="G7" s="1" t="s">
        <v>3914</v>
      </c>
      <c r="H7" s="1" t="s">
        <v>49</v>
      </c>
      <c r="I7" s="2"/>
      <c r="J7" s="32"/>
      <c r="K7" s="1" t="s">
        <v>58</v>
      </c>
      <c r="L7" s="3">
        <f t="shared" ca="1" si="0"/>
        <v>-59</v>
      </c>
      <c r="M7" s="1" t="str">
        <f t="shared" ca="1" si="1"/>
        <v>🔴 Vencido</v>
      </c>
      <c r="N7" s="1" t="str">
        <f t="shared" ca="1" si="2"/>
        <v>Preparar pago o decisión</v>
      </c>
      <c r="O7" s="83"/>
      <c r="P7" s="83"/>
      <c r="Q7" s="83" t="s">
        <v>3924</v>
      </c>
      <c r="R7" s="33">
        <f>R5-R6</f>
        <v>33796</v>
      </c>
    </row>
    <row r="8" spans="1:18">
      <c r="A8" s="1" t="s">
        <v>3925</v>
      </c>
      <c r="B8" s="1" t="s">
        <v>3926</v>
      </c>
      <c r="C8" s="1" t="s">
        <v>1477</v>
      </c>
      <c r="D8" s="2">
        <v>22230</v>
      </c>
      <c r="E8" s="32">
        <v>46147</v>
      </c>
      <c r="F8" s="1" t="s">
        <v>1289</v>
      </c>
      <c r="G8" s="1" t="s">
        <v>1477</v>
      </c>
      <c r="H8" s="1" t="s">
        <v>3915</v>
      </c>
      <c r="I8" s="2">
        <v>22230</v>
      </c>
      <c r="J8" s="32">
        <v>46158</v>
      </c>
      <c r="K8" s="1" t="s">
        <v>58</v>
      </c>
      <c r="L8" s="3">
        <f t="shared" ca="1" si="0"/>
        <v>-59</v>
      </c>
      <c r="M8" s="1" t="str">
        <f t="shared" si="1"/>
        <v>🟢 Pagado</v>
      </c>
      <c r="N8" s="1" t="str">
        <f t="shared" si="2"/>
        <v>Mantener registro</v>
      </c>
      <c r="O8" s="83"/>
      <c r="P8" s="83"/>
      <c r="Q8" s="83" t="s">
        <v>3927</v>
      </c>
      <c r="R8" s="34">
        <f>COUNTIF(F5:F54,"Crítica")</f>
        <v>1</v>
      </c>
    </row>
    <row r="9" spans="1:18">
      <c r="A9" s="1" t="s">
        <v>3928</v>
      </c>
      <c r="B9" s="1" t="s">
        <v>3929</v>
      </c>
      <c r="C9" s="1" t="s">
        <v>1477</v>
      </c>
      <c r="D9" s="2"/>
      <c r="E9" s="32">
        <v>46147</v>
      </c>
      <c r="F9" s="1" t="s">
        <v>1289</v>
      </c>
      <c r="G9" s="1" t="s">
        <v>1477</v>
      </c>
      <c r="H9" s="1" t="s">
        <v>49</v>
      </c>
      <c r="I9" s="2"/>
      <c r="J9" s="32"/>
      <c r="K9" s="1" t="s">
        <v>58</v>
      </c>
      <c r="L9" s="3">
        <f t="shared" ca="1" si="0"/>
        <v>-59</v>
      </c>
      <c r="M9" s="1" t="str">
        <f t="shared" ca="1" si="1"/>
        <v>🔴 Vencido</v>
      </c>
      <c r="N9" s="1" t="str">
        <f t="shared" ca="1" si="2"/>
        <v>Preparar pago o decisión</v>
      </c>
      <c r="O9" s="83"/>
      <c r="P9" s="83"/>
      <c r="Q9" s="83" t="s">
        <v>3930</v>
      </c>
      <c r="R9" s="34">
        <f>COUNTIF(F5:F54,"Alta")</f>
        <v>6</v>
      </c>
    </row>
    <row r="10" spans="1:18">
      <c r="A10" s="1" t="s">
        <v>3931</v>
      </c>
      <c r="B10" s="1" t="s">
        <v>3932</v>
      </c>
      <c r="C10" s="1" t="s">
        <v>1490</v>
      </c>
      <c r="D10" s="2"/>
      <c r="E10" s="32">
        <v>46143</v>
      </c>
      <c r="F10" s="1" t="s">
        <v>332</v>
      </c>
      <c r="G10" s="1" t="s">
        <v>3721</v>
      </c>
      <c r="H10" s="1" t="s">
        <v>49</v>
      </c>
      <c r="I10" s="2"/>
      <c r="J10" s="32"/>
      <c r="K10" s="1" t="s">
        <v>58</v>
      </c>
      <c r="L10" s="3">
        <f t="shared" ca="1" si="0"/>
        <v>-63</v>
      </c>
      <c r="M10" s="1" t="str">
        <f t="shared" ca="1" si="1"/>
        <v>🔴 Vencido</v>
      </c>
      <c r="N10" s="1" t="str">
        <f t="shared" ca="1" si="2"/>
        <v>Preparar pago o decisión</v>
      </c>
      <c r="O10" s="83" t="s">
        <v>3933</v>
      </c>
      <c r="P10" s="83"/>
      <c r="Q10" s="83" t="s">
        <v>3934</v>
      </c>
      <c r="R10" s="34">
        <f ca="1">COUNTIF(M5:M54,"🔴*")</f>
        <v>6</v>
      </c>
    </row>
    <row r="11" spans="1:18">
      <c r="A11" s="1" t="s">
        <v>3935</v>
      </c>
      <c r="B11" s="1" t="s">
        <v>3936</v>
      </c>
      <c r="C11" s="1" t="s">
        <v>1463</v>
      </c>
      <c r="D11" s="2"/>
      <c r="E11" s="32">
        <v>46143</v>
      </c>
      <c r="F11" s="1" t="s">
        <v>332</v>
      </c>
      <c r="G11" s="1" t="s">
        <v>3721</v>
      </c>
      <c r="H11" s="1" t="s">
        <v>49</v>
      </c>
      <c r="I11" s="2"/>
      <c r="J11" s="32"/>
      <c r="K11" s="1" t="s">
        <v>58</v>
      </c>
      <c r="L11" s="3">
        <f t="shared" ca="1" si="0"/>
        <v>-63</v>
      </c>
      <c r="M11" s="1" t="str">
        <f t="shared" ca="1" si="1"/>
        <v>🔴 Vencido</v>
      </c>
      <c r="N11" s="1" t="str">
        <f t="shared" ca="1" si="2"/>
        <v>Preparar pago o decisión</v>
      </c>
      <c r="O11" s="83"/>
      <c r="P11" s="83"/>
      <c r="Q11" s="83" t="s">
        <v>3937</v>
      </c>
      <c r="R11" s="34">
        <f>COUNTIF(K5:K54,"Sí")</f>
        <v>3</v>
      </c>
    </row>
    <row r="12" spans="1:18">
      <c r="A12" s="1" t="s">
        <v>3938</v>
      </c>
      <c r="B12" s="1" t="s">
        <v>1616</v>
      </c>
      <c r="C12" s="1" t="s">
        <v>1285</v>
      </c>
      <c r="D12" s="2">
        <v>36330</v>
      </c>
      <c r="E12" s="32">
        <v>46147</v>
      </c>
      <c r="F12" s="1" t="s">
        <v>332</v>
      </c>
      <c r="G12" s="1" t="s">
        <v>1285</v>
      </c>
      <c r="H12" s="1" t="s">
        <v>49</v>
      </c>
      <c r="I12" s="2"/>
      <c r="J12" s="32"/>
      <c r="K12" s="1" t="s">
        <v>58</v>
      </c>
      <c r="L12" s="3">
        <f t="shared" ca="1" si="0"/>
        <v>-59</v>
      </c>
      <c r="M12" s="1" t="str">
        <f t="shared" ca="1" si="1"/>
        <v>🔴 Vencido</v>
      </c>
      <c r="N12" s="1" t="str">
        <f t="shared" ca="1" si="2"/>
        <v>Preparar pago o decisión</v>
      </c>
      <c r="O12" s="83" t="s">
        <v>3729</v>
      </c>
      <c r="P12" s="83"/>
      <c r="Q12" s="83" t="s">
        <v>3939</v>
      </c>
      <c r="R12" s="33">
        <f>SUM('12_Gastos'!D5:D203)</f>
        <v>2331936</v>
      </c>
    </row>
    <row r="13" spans="1:18">
      <c r="A13" s="1" t="s">
        <v>3940</v>
      </c>
      <c r="B13" s="1" t="s">
        <v>3730</v>
      </c>
      <c r="C13" s="1" t="s">
        <v>1285</v>
      </c>
      <c r="D13" s="2"/>
      <c r="E13" s="32">
        <v>46147</v>
      </c>
      <c r="F13" s="1" t="s">
        <v>1907</v>
      </c>
      <c r="G13" s="1" t="s">
        <v>1285</v>
      </c>
      <c r="H13" s="1" t="s">
        <v>49</v>
      </c>
      <c r="I13" s="2"/>
      <c r="J13" s="32"/>
      <c r="K13" s="1" t="s">
        <v>58</v>
      </c>
      <c r="L13" s="3">
        <f t="shared" ca="1" si="0"/>
        <v>-59</v>
      </c>
      <c r="M13" s="1" t="str">
        <f t="shared" ca="1" si="1"/>
        <v>🔴 Vencido</v>
      </c>
      <c r="N13" s="1" t="str">
        <f t="shared" si="2"/>
        <v>Resolver prioridad crítica</v>
      </c>
      <c r="O13" s="83" t="s">
        <v>3941</v>
      </c>
      <c r="P13" s="83"/>
      <c r="Q13" s="83" t="s">
        <v>3942</v>
      </c>
      <c r="R13" s="33">
        <f>R8-R12</f>
        <v>-2331935</v>
      </c>
    </row>
    <row r="14" spans="1:18">
      <c r="A14" s="1" t="s">
        <v>3943</v>
      </c>
      <c r="B14" s="1" t="s">
        <v>3944</v>
      </c>
      <c r="C14" s="1" t="s">
        <v>1477</v>
      </c>
      <c r="D14" s="2">
        <v>5690</v>
      </c>
      <c r="E14" s="32">
        <v>46143</v>
      </c>
      <c r="F14" s="1" t="s">
        <v>1289</v>
      </c>
      <c r="G14" s="1" t="s">
        <v>3721</v>
      </c>
      <c r="H14" s="1" t="s">
        <v>3945</v>
      </c>
      <c r="I14" s="2">
        <v>5690</v>
      </c>
      <c r="J14" s="32">
        <v>46143</v>
      </c>
      <c r="K14" s="1" t="s">
        <v>87</v>
      </c>
      <c r="L14" s="3">
        <f t="shared" ca="1" si="0"/>
        <v>-63</v>
      </c>
      <c r="M14" s="1" t="str">
        <f t="shared" si="1"/>
        <v>🟡 Parcial</v>
      </c>
      <c r="N14" s="1" t="str">
        <f t="shared" ca="1" si="2"/>
        <v>Preparar pago o decisión</v>
      </c>
      <c r="O14" s="83" t="s">
        <v>3946</v>
      </c>
      <c r="P14" s="83"/>
      <c r="Q14" s="83"/>
      <c r="R14" s="7"/>
    </row>
    <row r="15" spans="1:18" ht="1.9" customHeight="1">
      <c r="A15" s="1"/>
      <c r="B15" s="1"/>
      <c r="C15" s="1"/>
      <c r="D15" s="2"/>
      <c r="E15" s="32"/>
      <c r="F15" s="1"/>
      <c r="G15" s="1"/>
      <c r="H15" s="1"/>
      <c r="I15" s="2"/>
      <c r="J15" s="32"/>
      <c r="K15" s="1"/>
      <c r="L15" s="3" t="str">
        <f t="shared" ca="1" si="0"/>
        <v/>
      </c>
      <c r="M15" s="1" t="str">
        <f t="shared" si="1"/>
        <v/>
      </c>
      <c r="N15" s="1" t="str">
        <f t="shared" si="2"/>
        <v/>
      </c>
      <c r="O15" s="83"/>
      <c r="P15" s="83"/>
      <c r="Q15" s="83"/>
      <c r="R15" s="7"/>
    </row>
    <row r="16" spans="1:18">
      <c r="A16" s="1"/>
      <c r="B16" s="1"/>
      <c r="C16" s="1"/>
      <c r="D16" s="2"/>
      <c r="E16" s="32"/>
      <c r="F16" s="1"/>
      <c r="G16" s="1"/>
      <c r="H16" s="1"/>
      <c r="I16" s="2"/>
      <c r="J16" s="32"/>
      <c r="K16" s="1"/>
      <c r="L16" s="3" t="str">
        <f t="shared" ca="1" si="0"/>
        <v/>
      </c>
      <c r="M16" s="1" t="str">
        <f t="shared" si="1"/>
        <v/>
      </c>
      <c r="N16" s="1" t="str">
        <f t="shared" si="2"/>
        <v/>
      </c>
      <c r="O16" s="83"/>
      <c r="P16" s="83"/>
      <c r="Q16" s="532" t="s">
        <v>3947</v>
      </c>
      <c r="R16" s="426"/>
    </row>
    <row r="17" spans="1:18">
      <c r="A17" s="1"/>
      <c r="B17" s="1"/>
      <c r="C17" s="1"/>
      <c r="D17" s="2"/>
      <c r="E17" s="32"/>
      <c r="F17" s="1"/>
      <c r="G17" s="1"/>
      <c r="H17" s="1"/>
      <c r="I17" s="2"/>
      <c r="J17" s="32"/>
      <c r="K17" s="1"/>
      <c r="L17" s="3" t="str">
        <f t="shared" ca="1" si="0"/>
        <v/>
      </c>
      <c r="M17" s="1" t="str">
        <f t="shared" si="1"/>
        <v/>
      </c>
      <c r="N17" s="1" t="str">
        <f t="shared" si="2"/>
        <v/>
      </c>
      <c r="O17" s="83"/>
      <c r="P17" s="83"/>
      <c r="Q17" s="83" t="s">
        <v>3620</v>
      </c>
      <c r="R17" t="s">
        <v>3948</v>
      </c>
    </row>
    <row r="18" spans="1:18">
      <c r="A18" s="1"/>
      <c r="B18" s="1"/>
      <c r="C18" s="1"/>
      <c r="D18" s="2"/>
      <c r="E18" s="32"/>
      <c r="F18" s="1"/>
      <c r="G18" s="1"/>
      <c r="H18" s="1"/>
      <c r="I18" s="2"/>
      <c r="J18" s="32"/>
      <c r="K18" s="1"/>
      <c r="L18" s="3" t="str">
        <f t="shared" ca="1" si="0"/>
        <v/>
      </c>
      <c r="M18" s="1" t="str">
        <f t="shared" si="1"/>
        <v/>
      </c>
      <c r="N18" s="1" t="str">
        <f t="shared" si="2"/>
        <v/>
      </c>
      <c r="O18" s="83"/>
      <c r="P18" s="83"/>
      <c r="Q18" s="83" t="s">
        <v>465</v>
      </c>
      <c r="R18" t="s">
        <v>3949</v>
      </c>
    </row>
    <row r="19" spans="1:18">
      <c r="A19" s="1"/>
      <c r="B19" s="1"/>
      <c r="C19" s="1"/>
      <c r="D19" s="2"/>
      <c r="E19" s="32"/>
      <c r="F19" s="1"/>
      <c r="G19" s="1"/>
      <c r="H19" s="1"/>
      <c r="I19" s="2"/>
      <c r="J19" s="32"/>
      <c r="K19" s="1"/>
      <c r="L19" s="3" t="str">
        <f t="shared" ca="1" si="0"/>
        <v/>
      </c>
      <c r="M19" s="1" t="str">
        <f t="shared" si="1"/>
        <v/>
      </c>
      <c r="N19" s="1" t="str">
        <f t="shared" si="2"/>
        <v/>
      </c>
      <c r="O19" s="83"/>
      <c r="P19" s="83"/>
      <c r="Q19" s="83" t="s">
        <v>3628</v>
      </c>
      <c r="R19" t="s">
        <v>3950</v>
      </c>
    </row>
    <row r="20" spans="1:18">
      <c r="A20" s="1"/>
      <c r="B20" s="1"/>
      <c r="C20" s="1"/>
      <c r="D20" s="2"/>
      <c r="E20" s="32"/>
      <c r="F20" s="1"/>
      <c r="G20" s="1"/>
      <c r="H20" s="1"/>
      <c r="I20" s="2"/>
      <c r="J20" s="32"/>
      <c r="K20" s="1"/>
      <c r="L20" s="3" t="str">
        <f t="shared" ca="1" si="0"/>
        <v/>
      </c>
      <c r="M20" s="1" t="str">
        <f t="shared" si="1"/>
        <v/>
      </c>
      <c r="N20" s="1" t="str">
        <f t="shared" si="2"/>
        <v/>
      </c>
      <c r="O20" s="83"/>
      <c r="P20" s="83"/>
      <c r="Q20" s="83" t="s">
        <v>339</v>
      </c>
      <c r="R20" t="s">
        <v>3951</v>
      </c>
    </row>
    <row r="21" spans="1:18" ht="1.9" customHeight="1">
      <c r="A21" s="1"/>
      <c r="B21" s="1"/>
      <c r="C21" s="1"/>
      <c r="D21" s="2"/>
      <c r="E21" s="32"/>
      <c r="F21" s="1"/>
      <c r="G21" s="1"/>
      <c r="H21" s="1"/>
      <c r="I21" s="2"/>
      <c r="J21" s="32"/>
      <c r="K21" s="1"/>
      <c r="L21" s="3" t="str">
        <f t="shared" ca="1" si="0"/>
        <v/>
      </c>
      <c r="M21" s="1" t="str">
        <f t="shared" si="1"/>
        <v/>
      </c>
      <c r="N21" s="1" t="str">
        <f t="shared" si="2"/>
        <v/>
      </c>
      <c r="O21" s="1"/>
      <c r="Q21" s="7"/>
      <c r="R21" s="7"/>
    </row>
    <row r="22" spans="1:18" ht="1.9" customHeight="1">
      <c r="A22" s="1"/>
      <c r="B22" s="1"/>
      <c r="C22" s="1"/>
      <c r="D22" s="2"/>
      <c r="E22" s="32"/>
      <c r="F22" s="1"/>
      <c r="G22" s="1"/>
      <c r="H22" s="1"/>
      <c r="I22" s="2"/>
      <c r="J22" s="32"/>
      <c r="K22" s="1"/>
      <c r="L22" s="3" t="str">
        <f t="shared" ca="1" si="0"/>
        <v/>
      </c>
      <c r="M22" s="1" t="str">
        <f t="shared" si="1"/>
        <v/>
      </c>
      <c r="N22" s="1" t="str">
        <f t="shared" si="2"/>
        <v/>
      </c>
      <c r="O22" s="1"/>
      <c r="Q22" s="7"/>
      <c r="R22" s="7"/>
    </row>
    <row r="23" spans="1:18" ht="1.9" customHeight="1">
      <c r="A23" s="1"/>
      <c r="B23" s="1"/>
      <c r="C23" s="1"/>
      <c r="D23" s="2"/>
      <c r="E23" s="32"/>
      <c r="F23" s="1"/>
      <c r="G23" s="1"/>
      <c r="H23" s="1"/>
      <c r="I23" s="2"/>
      <c r="J23" s="32"/>
      <c r="K23" s="1"/>
      <c r="L23" s="3" t="str">
        <f t="shared" ca="1" si="0"/>
        <v/>
      </c>
      <c r="M23" s="1" t="str">
        <f t="shared" si="1"/>
        <v/>
      </c>
      <c r="N23" s="1" t="str">
        <f t="shared" si="2"/>
        <v/>
      </c>
      <c r="O23" s="1"/>
      <c r="Q23" s="7"/>
      <c r="R23" s="7"/>
    </row>
    <row r="24" spans="1:18" ht="1.9" customHeight="1">
      <c r="A24" s="1"/>
      <c r="B24" s="1"/>
      <c r="C24" s="1"/>
      <c r="D24" s="2"/>
      <c r="E24" s="32"/>
      <c r="F24" s="1"/>
      <c r="G24" s="1"/>
      <c r="H24" s="1"/>
      <c r="I24" s="2"/>
      <c r="J24" s="32"/>
      <c r="K24" s="1"/>
      <c r="L24" s="3" t="str">
        <f t="shared" ca="1" si="0"/>
        <v/>
      </c>
      <c r="M24" s="1" t="str">
        <f t="shared" si="1"/>
        <v/>
      </c>
      <c r="N24" s="1" t="str">
        <f t="shared" si="2"/>
        <v/>
      </c>
      <c r="O24" s="1"/>
      <c r="Q24" s="7"/>
      <c r="R24" s="7"/>
    </row>
    <row r="25" spans="1:18" ht="1.9" customHeight="1">
      <c r="A25" s="1"/>
      <c r="B25" s="1"/>
      <c r="C25" s="1"/>
      <c r="D25" s="2"/>
      <c r="E25" s="32"/>
      <c r="F25" s="1"/>
      <c r="G25" s="1"/>
      <c r="H25" s="1"/>
      <c r="I25" s="2"/>
      <c r="J25" s="32"/>
      <c r="K25" s="1"/>
      <c r="L25" s="3" t="str">
        <f t="shared" ca="1" si="0"/>
        <v/>
      </c>
      <c r="M25" s="1" t="str">
        <f t="shared" si="1"/>
        <v/>
      </c>
      <c r="N25" s="1" t="str">
        <f t="shared" si="2"/>
        <v/>
      </c>
      <c r="O25" s="1"/>
      <c r="Q25" s="7"/>
      <c r="R25" s="7"/>
    </row>
    <row r="26" spans="1:18" ht="1.9" customHeight="1">
      <c r="A26" s="1"/>
      <c r="B26" s="1"/>
      <c r="C26" s="1"/>
      <c r="D26" s="2"/>
      <c r="E26" s="32"/>
      <c r="F26" s="1"/>
      <c r="G26" s="1"/>
      <c r="H26" s="1"/>
      <c r="I26" s="2"/>
      <c r="J26" s="32"/>
      <c r="K26" s="1"/>
      <c r="L26" s="3" t="str">
        <f t="shared" ca="1" si="0"/>
        <v/>
      </c>
      <c r="M26" s="1" t="str">
        <f t="shared" si="1"/>
        <v/>
      </c>
      <c r="N26" s="1" t="str">
        <f t="shared" si="2"/>
        <v/>
      </c>
      <c r="O26" s="1"/>
      <c r="Q26" s="7"/>
      <c r="R26" s="7"/>
    </row>
    <row r="27" spans="1:18" ht="1.9" customHeight="1">
      <c r="A27" s="1"/>
      <c r="B27" s="1"/>
      <c r="C27" s="1"/>
      <c r="D27" s="2"/>
      <c r="E27" s="32"/>
      <c r="F27" s="1"/>
      <c r="G27" s="1"/>
      <c r="H27" s="1"/>
      <c r="I27" s="2"/>
      <c r="J27" s="32"/>
      <c r="K27" s="1"/>
      <c r="L27" s="3" t="str">
        <f t="shared" ca="1" si="0"/>
        <v/>
      </c>
      <c r="M27" s="1" t="str">
        <f t="shared" si="1"/>
        <v/>
      </c>
      <c r="N27" s="1" t="str">
        <f t="shared" si="2"/>
        <v/>
      </c>
      <c r="O27" s="1"/>
      <c r="Q27" s="7"/>
      <c r="R27" s="7"/>
    </row>
    <row r="28" spans="1:18" ht="1.9" customHeight="1">
      <c r="A28" s="1"/>
      <c r="B28" s="1"/>
      <c r="C28" s="1"/>
      <c r="D28" s="2"/>
      <c r="E28" s="32"/>
      <c r="F28" s="1"/>
      <c r="G28" s="1"/>
      <c r="H28" s="1"/>
      <c r="I28" s="2"/>
      <c r="J28" s="32"/>
      <c r="K28" s="1"/>
      <c r="L28" s="3" t="str">
        <f t="shared" ca="1" si="0"/>
        <v/>
      </c>
      <c r="M28" s="1" t="str">
        <f t="shared" si="1"/>
        <v/>
      </c>
      <c r="N28" s="1" t="str">
        <f t="shared" si="2"/>
        <v/>
      </c>
      <c r="O28" s="1"/>
      <c r="Q28" s="7"/>
      <c r="R28" s="7"/>
    </row>
    <row r="29" spans="1:18" ht="1.9" customHeight="1">
      <c r="A29" s="1"/>
      <c r="B29" s="1"/>
      <c r="C29" s="1"/>
      <c r="D29" s="2"/>
      <c r="E29" s="32"/>
      <c r="F29" s="1"/>
      <c r="G29" s="1"/>
      <c r="H29" s="1"/>
      <c r="I29" s="2"/>
      <c r="J29" s="32"/>
      <c r="K29" s="1"/>
      <c r="L29" s="3" t="str">
        <f t="shared" ca="1" si="0"/>
        <v/>
      </c>
      <c r="M29" s="1" t="str">
        <f t="shared" si="1"/>
        <v/>
      </c>
      <c r="N29" s="1" t="str">
        <f t="shared" si="2"/>
        <v/>
      </c>
      <c r="O29" s="1"/>
      <c r="Q29" s="7"/>
      <c r="R29" s="7"/>
    </row>
    <row r="30" spans="1:18" ht="1.9" customHeight="1">
      <c r="A30" s="1"/>
      <c r="B30" s="1"/>
      <c r="C30" s="1"/>
      <c r="D30" s="2"/>
      <c r="E30" s="32"/>
      <c r="F30" s="1"/>
      <c r="G30" s="1"/>
      <c r="H30" s="1"/>
      <c r="I30" s="2"/>
      <c r="J30" s="32"/>
      <c r="K30" s="1"/>
      <c r="L30" s="3" t="str">
        <f t="shared" ca="1" si="0"/>
        <v/>
      </c>
      <c r="M30" s="1" t="str">
        <f t="shared" si="1"/>
        <v/>
      </c>
      <c r="N30" s="1" t="str">
        <f t="shared" si="2"/>
        <v/>
      </c>
      <c r="O30" s="1"/>
      <c r="Q30" s="7"/>
      <c r="R30" s="7"/>
    </row>
    <row r="31" spans="1:18" ht="1.9" customHeight="1">
      <c r="A31" s="1"/>
      <c r="B31" s="1"/>
      <c r="C31" s="1"/>
      <c r="D31" s="2"/>
      <c r="E31" s="32"/>
      <c r="F31" s="1"/>
      <c r="G31" s="1"/>
      <c r="H31" s="1"/>
      <c r="I31" s="2"/>
      <c r="J31" s="32"/>
      <c r="K31" s="1"/>
      <c r="L31" s="3" t="str">
        <f t="shared" ca="1" si="0"/>
        <v/>
      </c>
      <c r="M31" s="1" t="str">
        <f t="shared" si="1"/>
        <v/>
      </c>
      <c r="N31" s="1" t="str">
        <f t="shared" si="2"/>
        <v/>
      </c>
      <c r="O31" s="1"/>
      <c r="Q31" s="7"/>
      <c r="R31" s="7"/>
    </row>
    <row r="32" spans="1:18" ht="1.9" customHeight="1">
      <c r="A32" s="1"/>
      <c r="B32" s="1"/>
      <c r="C32" s="1"/>
      <c r="D32" s="2"/>
      <c r="E32" s="32"/>
      <c r="F32" s="1"/>
      <c r="G32" s="1"/>
      <c r="H32" s="1"/>
      <c r="I32" s="2"/>
      <c r="J32" s="32"/>
      <c r="K32" s="1"/>
      <c r="L32" s="3" t="str">
        <f t="shared" ca="1" si="0"/>
        <v/>
      </c>
      <c r="M32" s="1" t="str">
        <f t="shared" si="1"/>
        <v/>
      </c>
      <c r="N32" s="1" t="str">
        <f t="shared" si="2"/>
        <v/>
      </c>
      <c r="O32" s="1"/>
      <c r="Q32" s="7"/>
      <c r="R32" s="7"/>
    </row>
    <row r="33" spans="1:18" ht="1.9" customHeight="1">
      <c r="A33" s="1"/>
      <c r="B33" s="1"/>
      <c r="C33" s="1"/>
      <c r="D33" s="2"/>
      <c r="E33" s="32"/>
      <c r="F33" s="1"/>
      <c r="G33" s="1"/>
      <c r="H33" s="1"/>
      <c r="I33" s="2"/>
      <c r="J33" s="32"/>
      <c r="K33" s="1"/>
      <c r="L33" s="3" t="str">
        <f t="shared" ca="1" si="0"/>
        <v/>
      </c>
      <c r="M33" s="1" t="str">
        <f t="shared" si="1"/>
        <v/>
      </c>
      <c r="N33" s="1" t="str">
        <f t="shared" si="2"/>
        <v/>
      </c>
      <c r="O33" s="1"/>
      <c r="Q33" s="7"/>
      <c r="R33" s="7"/>
    </row>
    <row r="34" spans="1:18" ht="1.9" customHeight="1">
      <c r="A34" s="1"/>
      <c r="B34" s="1"/>
      <c r="C34" s="1"/>
      <c r="D34" s="2"/>
      <c r="E34" s="32"/>
      <c r="F34" s="1"/>
      <c r="G34" s="1"/>
      <c r="H34" s="1"/>
      <c r="I34" s="2"/>
      <c r="J34" s="32"/>
      <c r="K34" s="1"/>
      <c r="L34" s="3" t="str">
        <f t="shared" ca="1" si="0"/>
        <v/>
      </c>
      <c r="M34" s="1" t="str">
        <f t="shared" si="1"/>
        <v/>
      </c>
      <c r="N34" s="1" t="str">
        <f t="shared" si="2"/>
        <v/>
      </c>
      <c r="O34" s="1"/>
      <c r="Q34" s="7"/>
      <c r="R34" s="7"/>
    </row>
    <row r="35" spans="1:18" ht="1.9" customHeight="1">
      <c r="A35" s="1"/>
      <c r="B35" s="1"/>
      <c r="C35" s="1"/>
      <c r="D35" s="2"/>
      <c r="E35" s="32"/>
      <c r="F35" s="1"/>
      <c r="G35" s="1"/>
      <c r="H35" s="1"/>
      <c r="I35" s="2"/>
      <c r="J35" s="32"/>
      <c r="K35" s="1"/>
      <c r="L35" s="3" t="str">
        <f t="shared" ca="1" si="0"/>
        <v/>
      </c>
      <c r="M35" s="1" t="str">
        <f t="shared" si="1"/>
        <v/>
      </c>
      <c r="N35" s="1" t="str">
        <f t="shared" si="2"/>
        <v/>
      </c>
      <c r="O35" s="1"/>
      <c r="Q35" s="7"/>
      <c r="R35" s="7"/>
    </row>
    <row r="36" spans="1:18" ht="1.9" customHeight="1">
      <c r="A36" s="1"/>
      <c r="B36" s="1"/>
      <c r="C36" s="1"/>
      <c r="D36" s="2"/>
      <c r="E36" s="32"/>
      <c r="F36" s="1"/>
      <c r="G36" s="1"/>
      <c r="H36" s="1"/>
      <c r="I36" s="2"/>
      <c r="J36" s="32"/>
      <c r="K36" s="1"/>
      <c r="L36" s="3" t="str">
        <f t="shared" ca="1" si="0"/>
        <v/>
      </c>
      <c r="M36" s="1" t="str">
        <f t="shared" si="1"/>
        <v/>
      </c>
      <c r="N36" s="1" t="str">
        <f t="shared" si="2"/>
        <v/>
      </c>
      <c r="O36" s="1"/>
      <c r="Q36" s="7"/>
      <c r="R36" s="7"/>
    </row>
    <row r="37" spans="1:18" ht="1.9" customHeight="1">
      <c r="A37" s="1"/>
      <c r="B37" s="1"/>
      <c r="C37" s="1"/>
      <c r="D37" s="2"/>
      <c r="E37" s="32"/>
      <c r="F37" s="1"/>
      <c r="G37" s="1"/>
      <c r="H37" s="1"/>
      <c r="I37" s="2"/>
      <c r="J37" s="32"/>
      <c r="K37" s="1"/>
      <c r="L37" s="3" t="str">
        <f t="shared" ref="L37:L54" ca="1" si="3">IF(B37="","",IF(E37="","",E37-TODAY()))</f>
        <v/>
      </c>
      <c r="M37" s="1" t="str">
        <f t="shared" ref="M37:M54" si="4">IF(B37="","",IF(H37="Pagado","🟢 Pagado",IF(H37="Pagado parcial","🟡 Parcial",IF(E37="","⚪ Sin fecha",IF(L37&lt;0,"🔴 Vencido",IF(L37&lt;=3,"🔴 Urgente",IF(L37&lt;=7,"🟡 Próximo","🟢 Programado")))))))</f>
        <v/>
      </c>
      <c r="N37" s="1" t="str">
        <f t="shared" ref="N37:N54" si="5">IF(B37="","",IF(H37="Pagado","Mantener registro",IF(F37="Crítica","Resolver prioridad crítica",IF(L37&lt;=3,"Preparar pago o decisión","Monitorear"))))</f>
        <v/>
      </c>
      <c r="O37" s="1"/>
      <c r="Q37" s="7"/>
      <c r="R37" s="7"/>
    </row>
    <row r="38" spans="1:18" ht="1.9" customHeight="1">
      <c r="A38" s="1"/>
      <c r="B38" s="1"/>
      <c r="C38" s="1"/>
      <c r="D38" s="2"/>
      <c r="E38" s="32"/>
      <c r="F38" s="1"/>
      <c r="G38" s="1"/>
      <c r="H38" s="1"/>
      <c r="I38" s="2"/>
      <c r="J38" s="32"/>
      <c r="K38" s="1"/>
      <c r="L38" s="3" t="str">
        <f t="shared" ca="1" si="3"/>
        <v/>
      </c>
      <c r="M38" s="1" t="str">
        <f t="shared" si="4"/>
        <v/>
      </c>
      <c r="N38" s="1" t="str">
        <f t="shared" si="5"/>
        <v/>
      </c>
      <c r="O38" s="1"/>
      <c r="Q38" s="7"/>
      <c r="R38" s="7"/>
    </row>
    <row r="39" spans="1:18" ht="1.9" customHeight="1">
      <c r="A39" s="1"/>
      <c r="B39" s="1"/>
      <c r="C39" s="1"/>
      <c r="D39" s="2"/>
      <c r="E39" s="32"/>
      <c r="F39" s="1"/>
      <c r="G39" s="1"/>
      <c r="H39" s="1"/>
      <c r="I39" s="2"/>
      <c r="J39" s="32"/>
      <c r="K39" s="1"/>
      <c r="L39" s="3" t="str">
        <f t="shared" ca="1" si="3"/>
        <v/>
      </c>
      <c r="M39" s="1" t="str">
        <f t="shared" si="4"/>
        <v/>
      </c>
      <c r="N39" s="1" t="str">
        <f t="shared" si="5"/>
        <v/>
      </c>
      <c r="O39" s="1"/>
      <c r="Q39" s="7"/>
      <c r="R39" s="7"/>
    </row>
    <row r="40" spans="1:18" ht="1.9" customHeight="1">
      <c r="A40" s="1"/>
      <c r="B40" s="1"/>
      <c r="C40" s="1"/>
      <c r="D40" s="2"/>
      <c r="E40" s="32"/>
      <c r="F40" s="1"/>
      <c r="G40" s="1"/>
      <c r="H40" s="1"/>
      <c r="I40" s="2"/>
      <c r="J40" s="32"/>
      <c r="K40" s="1"/>
      <c r="L40" s="3" t="str">
        <f t="shared" ca="1" si="3"/>
        <v/>
      </c>
      <c r="M40" s="1" t="str">
        <f t="shared" si="4"/>
        <v/>
      </c>
      <c r="N40" s="1" t="str">
        <f t="shared" si="5"/>
        <v/>
      </c>
      <c r="O40" s="1"/>
      <c r="Q40" s="7"/>
      <c r="R40" s="7"/>
    </row>
    <row r="41" spans="1:18" ht="1.9" customHeight="1">
      <c r="A41" s="1"/>
      <c r="B41" s="1"/>
      <c r="C41" s="1"/>
      <c r="D41" s="2"/>
      <c r="E41" s="32"/>
      <c r="F41" s="1"/>
      <c r="G41" s="1"/>
      <c r="H41" s="1"/>
      <c r="I41" s="2"/>
      <c r="J41" s="32"/>
      <c r="K41" s="1"/>
      <c r="L41" s="3" t="str">
        <f t="shared" ca="1" si="3"/>
        <v/>
      </c>
      <c r="M41" s="1" t="str">
        <f t="shared" si="4"/>
        <v/>
      </c>
      <c r="N41" s="1" t="str">
        <f t="shared" si="5"/>
        <v/>
      </c>
      <c r="O41" s="1"/>
      <c r="Q41" s="7"/>
      <c r="R41" s="7"/>
    </row>
    <row r="42" spans="1:18" ht="1.9" customHeight="1">
      <c r="A42" s="1"/>
      <c r="B42" s="1"/>
      <c r="C42" s="1"/>
      <c r="D42" s="2"/>
      <c r="E42" s="32"/>
      <c r="F42" s="1"/>
      <c r="G42" s="1"/>
      <c r="H42" s="1"/>
      <c r="I42" s="2"/>
      <c r="J42" s="32"/>
      <c r="K42" s="1"/>
      <c r="L42" s="3" t="str">
        <f t="shared" ca="1" si="3"/>
        <v/>
      </c>
      <c r="M42" s="1" t="str">
        <f t="shared" si="4"/>
        <v/>
      </c>
      <c r="N42" s="1" t="str">
        <f t="shared" si="5"/>
        <v/>
      </c>
      <c r="O42" s="1"/>
      <c r="Q42" s="7"/>
      <c r="R42" s="7"/>
    </row>
    <row r="43" spans="1:18" ht="1.9" customHeight="1">
      <c r="A43" s="1"/>
      <c r="B43" s="1"/>
      <c r="C43" s="1"/>
      <c r="D43" s="2"/>
      <c r="E43" s="32"/>
      <c r="F43" s="1"/>
      <c r="G43" s="1"/>
      <c r="H43" s="1"/>
      <c r="I43" s="2"/>
      <c r="J43" s="32"/>
      <c r="K43" s="1"/>
      <c r="L43" s="3" t="str">
        <f t="shared" ca="1" si="3"/>
        <v/>
      </c>
      <c r="M43" s="1" t="str">
        <f t="shared" si="4"/>
        <v/>
      </c>
      <c r="N43" s="1" t="str">
        <f t="shared" si="5"/>
        <v/>
      </c>
      <c r="O43" s="1"/>
      <c r="Q43" s="7"/>
      <c r="R43" s="7"/>
    </row>
    <row r="44" spans="1:18" ht="1.9" customHeight="1">
      <c r="A44" s="1"/>
      <c r="B44" s="1"/>
      <c r="C44" s="1"/>
      <c r="D44" s="2"/>
      <c r="E44" s="32"/>
      <c r="F44" s="1"/>
      <c r="G44" s="1"/>
      <c r="H44" s="1"/>
      <c r="I44" s="2"/>
      <c r="J44" s="32"/>
      <c r="K44" s="1"/>
      <c r="L44" s="3" t="str">
        <f t="shared" ca="1" si="3"/>
        <v/>
      </c>
      <c r="M44" s="1" t="str">
        <f t="shared" si="4"/>
        <v/>
      </c>
      <c r="N44" s="1" t="str">
        <f t="shared" si="5"/>
        <v/>
      </c>
      <c r="O44" s="1"/>
      <c r="Q44" s="7"/>
      <c r="R44" s="7"/>
    </row>
    <row r="45" spans="1:18" ht="1.9" customHeight="1">
      <c r="A45" s="1"/>
      <c r="B45" s="1"/>
      <c r="C45" s="1"/>
      <c r="D45" s="2"/>
      <c r="E45" s="32"/>
      <c r="F45" s="1"/>
      <c r="G45" s="1"/>
      <c r="H45" s="1"/>
      <c r="I45" s="2"/>
      <c r="J45" s="32"/>
      <c r="K45" s="1"/>
      <c r="L45" s="3" t="str">
        <f t="shared" ca="1" si="3"/>
        <v/>
      </c>
      <c r="M45" s="1" t="str">
        <f t="shared" si="4"/>
        <v/>
      </c>
      <c r="N45" s="1" t="str">
        <f t="shared" si="5"/>
        <v/>
      </c>
      <c r="O45" s="1"/>
      <c r="Q45" s="7"/>
      <c r="R45" s="7"/>
    </row>
    <row r="46" spans="1:18" ht="1.9" customHeight="1">
      <c r="A46" s="1"/>
      <c r="B46" s="1"/>
      <c r="C46" s="1"/>
      <c r="D46" s="2"/>
      <c r="E46" s="32"/>
      <c r="F46" s="1"/>
      <c r="G46" s="1"/>
      <c r="H46" s="1"/>
      <c r="I46" s="2"/>
      <c r="J46" s="32"/>
      <c r="K46" s="1"/>
      <c r="L46" s="3" t="str">
        <f t="shared" ca="1" si="3"/>
        <v/>
      </c>
      <c r="M46" s="1" t="str">
        <f t="shared" si="4"/>
        <v/>
      </c>
      <c r="N46" s="1" t="str">
        <f t="shared" si="5"/>
        <v/>
      </c>
      <c r="O46" s="1"/>
      <c r="Q46" s="7"/>
      <c r="R46" s="7"/>
    </row>
    <row r="47" spans="1:18" ht="1.9" customHeight="1">
      <c r="A47" s="1"/>
      <c r="B47" s="1"/>
      <c r="C47" s="1"/>
      <c r="D47" s="2"/>
      <c r="E47" s="32"/>
      <c r="F47" s="1"/>
      <c r="G47" s="1"/>
      <c r="H47" s="1"/>
      <c r="I47" s="2"/>
      <c r="J47" s="32"/>
      <c r="K47" s="1"/>
      <c r="L47" s="3" t="str">
        <f t="shared" ca="1" si="3"/>
        <v/>
      </c>
      <c r="M47" s="1" t="str">
        <f t="shared" si="4"/>
        <v/>
      </c>
      <c r="N47" s="1" t="str">
        <f t="shared" si="5"/>
        <v/>
      </c>
      <c r="O47" s="1"/>
      <c r="Q47" s="7"/>
      <c r="R47" s="7"/>
    </row>
    <row r="48" spans="1:18" ht="1.9" customHeight="1">
      <c r="A48" s="1"/>
      <c r="B48" s="1"/>
      <c r="C48" s="1"/>
      <c r="D48" s="2"/>
      <c r="E48" s="32"/>
      <c r="F48" s="1"/>
      <c r="G48" s="1"/>
      <c r="H48" s="1"/>
      <c r="I48" s="2"/>
      <c r="J48" s="32"/>
      <c r="K48" s="1"/>
      <c r="L48" s="3" t="str">
        <f t="shared" ca="1" si="3"/>
        <v/>
      </c>
      <c r="M48" s="1" t="str">
        <f t="shared" si="4"/>
        <v/>
      </c>
      <c r="N48" s="1" t="str">
        <f t="shared" si="5"/>
        <v/>
      </c>
      <c r="O48" s="1"/>
      <c r="Q48" s="7"/>
      <c r="R48" s="7"/>
    </row>
    <row r="49" spans="1:18" ht="1.9" customHeight="1">
      <c r="A49" s="1"/>
      <c r="B49" s="1"/>
      <c r="C49" s="1"/>
      <c r="D49" s="2"/>
      <c r="E49" s="32"/>
      <c r="F49" s="1"/>
      <c r="G49" s="1"/>
      <c r="H49" s="1"/>
      <c r="I49" s="2"/>
      <c r="J49" s="32"/>
      <c r="K49" s="1"/>
      <c r="L49" s="3" t="str">
        <f t="shared" ca="1" si="3"/>
        <v/>
      </c>
      <c r="M49" s="1" t="str">
        <f t="shared" si="4"/>
        <v/>
      </c>
      <c r="N49" s="1" t="str">
        <f t="shared" si="5"/>
        <v/>
      </c>
      <c r="O49" s="1"/>
      <c r="Q49" s="7"/>
      <c r="R49" s="7"/>
    </row>
    <row r="50" spans="1:18" ht="1.9" customHeight="1">
      <c r="A50" s="1"/>
      <c r="B50" s="1"/>
      <c r="C50" s="1"/>
      <c r="D50" s="2"/>
      <c r="E50" s="32"/>
      <c r="F50" s="1"/>
      <c r="G50" s="1"/>
      <c r="H50" s="1"/>
      <c r="I50" s="2"/>
      <c r="J50" s="32"/>
      <c r="K50" s="1"/>
      <c r="L50" s="3" t="str">
        <f t="shared" ca="1" si="3"/>
        <v/>
      </c>
      <c r="M50" s="1" t="str">
        <f t="shared" si="4"/>
        <v/>
      </c>
      <c r="N50" s="1" t="str">
        <f t="shared" si="5"/>
        <v/>
      </c>
      <c r="O50" s="1"/>
      <c r="Q50" s="7"/>
      <c r="R50" s="7"/>
    </row>
    <row r="51" spans="1:18" ht="1.9" customHeight="1">
      <c r="A51" s="1"/>
      <c r="B51" s="1"/>
      <c r="C51" s="1"/>
      <c r="D51" s="2"/>
      <c r="E51" s="32"/>
      <c r="F51" s="1"/>
      <c r="G51" s="1"/>
      <c r="H51" s="1"/>
      <c r="I51" s="2"/>
      <c r="J51" s="32"/>
      <c r="K51" s="1"/>
      <c r="L51" s="3" t="str">
        <f t="shared" ca="1" si="3"/>
        <v/>
      </c>
      <c r="M51" s="1" t="str">
        <f t="shared" si="4"/>
        <v/>
      </c>
      <c r="N51" s="1" t="str">
        <f t="shared" si="5"/>
        <v/>
      </c>
      <c r="O51" s="1"/>
      <c r="Q51" s="7"/>
      <c r="R51" s="7"/>
    </row>
    <row r="52" spans="1:18" ht="1.9" customHeight="1">
      <c r="A52" s="1"/>
      <c r="B52" s="1"/>
      <c r="C52" s="1"/>
      <c r="D52" s="2"/>
      <c r="E52" s="32"/>
      <c r="F52" s="1"/>
      <c r="G52" s="1"/>
      <c r="H52" s="1"/>
      <c r="I52" s="2"/>
      <c r="J52" s="32"/>
      <c r="K52" s="1"/>
      <c r="L52" s="3" t="str">
        <f t="shared" ca="1" si="3"/>
        <v/>
      </c>
      <c r="M52" s="1" t="str">
        <f t="shared" si="4"/>
        <v/>
      </c>
      <c r="N52" s="1" t="str">
        <f t="shared" si="5"/>
        <v/>
      </c>
      <c r="O52" s="1"/>
      <c r="Q52" s="7"/>
      <c r="R52" s="7"/>
    </row>
    <row r="53" spans="1:18" ht="1.9" customHeight="1">
      <c r="A53" s="1"/>
      <c r="B53" s="1"/>
      <c r="C53" s="1"/>
      <c r="D53" s="2"/>
      <c r="E53" s="32"/>
      <c r="F53" s="1"/>
      <c r="G53" s="1"/>
      <c r="H53" s="1"/>
      <c r="I53" s="2"/>
      <c r="J53" s="32"/>
      <c r="K53" s="1"/>
      <c r="L53" s="3" t="str">
        <f t="shared" ca="1" si="3"/>
        <v/>
      </c>
      <c r="M53" s="1" t="str">
        <f t="shared" si="4"/>
        <v/>
      </c>
      <c r="N53" s="1" t="str">
        <f t="shared" si="5"/>
        <v/>
      </c>
      <c r="O53" s="1"/>
      <c r="Q53" s="7"/>
      <c r="R53" s="7"/>
    </row>
    <row r="54" spans="1:18" ht="1.9" customHeight="1">
      <c r="A54" s="1"/>
      <c r="B54" s="1"/>
      <c r="C54" s="1"/>
      <c r="D54" s="2"/>
      <c r="E54" s="32"/>
      <c r="F54" s="1"/>
      <c r="G54" s="1"/>
      <c r="H54" s="1"/>
      <c r="I54" s="2"/>
      <c r="J54" s="32"/>
      <c r="K54" s="1"/>
      <c r="L54" s="3" t="str">
        <f t="shared" ca="1" si="3"/>
        <v/>
      </c>
      <c r="M54" s="1" t="str">
        <f t="shared" si="4"/>
        <v/>
      </c>
      <c r="N54" s="1" t="str">
        <f t="shared" si="5"/>
        <v/>
      </c>
      <c r="O54" s="1"/>
      <c r="Q54" s="7"/>
      <c r="R54" s="7"/>
    </row>
    <row r="55" spans="1:18" ht="1.9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Q55" s="7"/>
      <c r="R55" s="7"/>
    </row>
    <row r="56" spans="1:18" ht="1.9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Q56" s="7"/>
      <c r="R56" s="7"/>
    </row>
    <row r="57" spans="1:18" ht="1.9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Q57" s="7"/>
      <c r="R57" s="7"/>
    </row>
    <row r="58" spans="1:18" ht="1.9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Q58" s="7"/>
      <c r="R58" s="7"/>
    </row>
    <row r="59" spans="1:18" ht="1.9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Q59" s="7"/>
      <c r="R59" s="7"/>
    </row>
    <row r="60" spans="1:18" ht="1.9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Q60" s="7"/>
      <c r="R60" s="7"/>
    </row>
    <row r="61" spans="1:18" ht="1.9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Q61" s="7"/>
      <c r="R61" s="7"/>
    </row>
    <row r="62" spans="1:18" ht="1.9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Q62" s="7"/>
      <c r="R62" s="7"/>
    </row>
    <row r="63" spans="1:18" ht="1.9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Q63" s="7"/>
      <c r="R63" s="7"/>
    </row>
    <row r="64" spans="1:18" ht="1.9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Q64" s="7"/>
      <c r="R64" s="7"/>
    </row>
    <row r="65" spans="1:18" ht="1.9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Q65" s="7"/>
      <c r="R65" s="7"/>
    </row>
    <row r="66" spans="1:18" ht="1.9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Q66" s="7"/>
      <c r="R66" s="7"/>
    </row>
    <row r="67" spans="1:18" ht="1.9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Q67" s="7"/>
      <c r="R67" s="7"/>
    </row>
    <row r="68" spans="1:18" ht="1.9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Q68" s="7"/>
      <c r="R68" s="7"/>
    </row>
    <row r="69" spans="1:18" ht="1.9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Q69" s="7"/>
      <c r="R69" s="7"/>
    </row>
    <row r="70" spans="1:18" ht="1.9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Q70" s="7"/>
      <c r="R70" s="7"/>
    </row>
    <row r="71" spans="1:18" ht="1.9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Q71" s="7"/>
      <c r="R71" s="7"/>
    </row>
    <row r="72" spans="1:18" ht="1.9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Q72" s="7"/>
      <c r="R72" s="7"/>
    </row>
    <row r="73" spans="1:18" ht="1.9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Q73" s="7"/>
      <c r="R73" s="7"/>
    </row>
    <row r="74" spans="1:18" ht="1.9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Q74" s="7"/>
      <c r="R74" s="7"/>
    </row>
    <row r="75" spans="1:18" ht="1.9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Q75" s="7"/>
      <c r="R75" s="7"/>
    </row>
    <row r="76" spans="1:18" ht="1.9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Q76" s="7"/>
      <c r="R76" s="7"/>
    </row>
    <row r="77" spans="1:18" ht="1.9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Q77" s="7"/>
      <c r="R77" s="7"/>
    </row>
    <row r="78" spans="1:18" ht="1.9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Q78" s="7"/>
      <c r="R78" s="7"/>
    </row>
    <row r="79" spans="1:18" ht="1.9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Q79" s="7"/>
      <c r="R79" s="7"/>
    </row>
    <row r="80" spans="1:18" ht="1.9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Q80" s="7"/>
      <c r="R80" s="7"/>
    </row>
    <row r="81" spans="1:18" ht="1.9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Q81" s="7"/>
      <c r="R81" s="7"/>
    </row>
    <row r="82" spans="1:18" ht="1.9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Q82" s="7"/>
      <c r="R82" s="7"/>
    </row>
    <row r="83" spans="1:18" ht="1.9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Q83" s="7"/>
      <c r="R83" s="7"/>
    </row>
    <row r="84" spans="1:18" ht="1.9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Q84" s="7"/>
      <c r="R84" s="7"/>
    </row>
    <row r="85" spans="1:18" ht="1.9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Q85" s="7"/>
      <c r="R85" s="7"/>
    </row>
    <row r="86" spans="1:18" ht="1.9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Q86" s="7"/>
      <c r="R86" s="7"/>
    </row>
    <row r="87" spans="1:18" ht="1.9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Q87" s="7"/>
      <c r="R87" s="7"/>
    </row>
    <row r="88" spans="1:18" ht="1.9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Q88" s="7"/>
      <c r="R88" s="7"/>
    </row>
    <row r="89" spans="1:18" ht="1.9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Q89" s="7"/>
      <c r="R89" s="7"/>
    </row>
    <row r="90" spans="1:18" ht="1.9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Q90" s="7"/>
      <c r="R90" s="7"/>
    </row>
    <row r="91" spans="1:18" ht="1.9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Q91" s="7"/>
      <c r="R91" s="7"/>
    </row>
    <row r="92" spans="1:18" ht="1.9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Q92" s="7"/>
      <c r="R92" s="7"/>
    </row>
    <row r="93" spans="1:18" ht="1.9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Q93" s="7"/>
      <c r="R93" s="7"/>
    </row>
    <row r="94" spans="1:18" ht="1.9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Q94" s="7"/>
      <c r="R94" s="7"/>
    </row>
    <row r="95" spans="1:18" ht="1.9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Q95" s="7"/>
      <c r="R95" s="7"/>
    </row>
    <row r="96" spans="1:18" ht="1.9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Q96" s="7"/>
      <c r="R96" s="7"/>
    </row>
    <row r="97" spans="1:18" ht="1.9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Q97" s="7"/>
      <c r="R97" s="7"/>
    </row>
    <row r="98" spans="1:18" ht="1.9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Q98" s="7"/>
      <c r="R98" s="7"/>
    </row>
    <row r="99" spans="1:18" ht="1.9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Q99" s="7"/>
      <c r="R99" s="7"/>
    </row>
    <row r="100" spans="1:18" ht="1.9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Q100" s="7"/>
      <c r="R100" s="7"/>
    </row>
  </sheetData>
  <mergeCells count="3">
    <mergeCell ref="A1:O1"/>
    <mergeCell ref="Q16:R16"/>
    <mergeCell ref="A2:O2"/>
  </mergeCells>
  <conditionalFormatting sqref="F5:F54">
    <cfRule type="expression" dxfId="259" priority="1">
      <formula>F5="Crítica"</formula>
    </cfRule>
    <cfRule type="expression" dxfId="258" priority="2">
      <formula>F5="Alta"</formula>
    </cfRule>
  </conditionalFormatting>
  <conditionalFormatting sqref="M5:M54">
    <cfRule type="expression" dxfId="257" priority="3">
      <formula>LEFT(M5,1)="🔴"</formula>
    </cfRule>
    <cfRule type="expression" dxfId="256" priority="4">
      <formula>LEFT(M5,1)="🟡"</formula>
    </cfRule>
    <cfRule type="expression" dxfId="255" priority="5">
      <formula>LEFT(M5,1)="🟢"</formula>
    </cfRule>
  </conditionalFormatting>
  <conditionalFormatting sqref="O5:Q20">
    <cfRule type="expression" dxfId="254" priority="6">
      <formula>ISNUMBER(SEARCH("Riesgo",O5))</formula>
    </cfRule>
    <cfRule type="expression" dxfId="253" priority="7">
      <formula>ISNUMBER(SEARCH("Crítico",O5))</formula>
    </cfRule>
    <cfRule type="expression" dxfId="252" priority="8">
      <formula>ISNUMBER(SEARCH("Pendiente",O5))</formula>
    </cfRule>
    <cfRule type="expression" dxfId="251" priority="9">
      <formula>ISNUMBER(SEARCH("En riesgo",O5))</formula>
    </cfRule>
    <cfRule type="expression" dxfId="250" priority="10">
      <formula>ISNUMBER(SEARCH("Atención",O5))</formula>
    </cfRule>
    <cfRule type="expression" dxfId="249" priority="11">
      <formula>ISNUMBER(SEARCH("En proceso",O5))</formula>
    </cfRule>
    <cfRule type="expression" dxfId="248" priority="12">
      <formula>ISNUMBER(SEARCH("Meta",O5))</formula>
    </cfRule>
    <cfRule type="expression" dxfId="247" priority="13">
      <formula>ISNUMBER(SEARCH("Cumple",O5))</formula>
    </cfRule>
    <cfRule type="expression" dxfId="246" priority="14">
      <formula>ISNUMBER(SEARCH("Cumplido",O5))</formula>
    </cfRule>
    <cfRule type="expression" dxfId="245" priority="15">
      <formula>ISNUMBER(SEARCH("Positivo",O5))</formula>
    </cfRule>
    <cfRule type="expression" dxfId="244" priority="16">
      <formula>ISNUMBER(SEARCH("Dominio",O5))</formula>
    </cfRule>
    <cfRule type="expression" dxfId="243" priority="17">
      <formula>ISNUMBER(SEARCH("Alto",O5))</formula>
    </cfRule>
    <cfRule type="expression" dxfId="242" priority="18">
      <formula>ISNUMBER(SEARCH("Superado",O5))</formula>
    </cfRule>
    <cfRule type="expression" dxfId="241" priority="19">
      <formula>ISNUMBER(SEARCH("Cuadrado",O5))</formula>
    </cfRule>
    <cfRule type="expression" dxfId="240" priority="20">
      <formula>ISNUMBER(SEARCH("Revisar",O5))</formula>
    </cfRule>
    <cfRule type="expression" dxfId="239" priority="21">
      <formula>ISNUMBER(SEARCH("Vacío",O5))</formula>
    </cfRule>
  </conditionalFormatting>
  <dataValidations count="4">
    <dataValidation type="list" allowBlank="1" sqref="H5:H54" xr:uid="{00000000-0002-0000-6F00-000000000000}">
      <formula1>"Pendiente,Pagado,Pagado parcial,Revisar,No pagar"</formula1>
    </dataValidation>
    <dataValidation type="list" allowBlank="1" sqref="F5:F54" xr:uid="{00000000-0002-0000-6F00-000001000000}">
      <formula1>"Crítica,Alta,Media,Baja"</formula1>
    </dataValidation>
    <dataValidation type="list" allowBlank="1" sqref="K5:K54" xr:uid="{00000000-0002-0000-6F00-000002000000}">
      <formula1>"Sí,No"</formula1>
    </dataValidation>
    <dataValidation type="list" allowBlank="1" sqref="G5:G54" xr:uid="{00000000-0002-0000-6F00-000003000000}">
      <formula1>"Fijo,Variable,Deuda,Suscripción"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BFBFBF"/>
  </sheetPr>
  <dimension ref="A1:J35"/>
  <sheetViews>
    <sheetView showGridLines="0" workbookViewId="0"/>
  </sheetViews>
  <sheetFormatPr baseColWidth="10" defaultColWidth="8.7265625" defaultRowHeight="14.5"/>
  <cols>
    <col min="1" max="1" width="97.26953125" customWidth="1"/>
    <col min="2" max="2" width="35.6328125" customWidth="1"/>
    <col min="3" max="3" width="45.453125" customWidth="1"/>
    <col min="4" max="4" width="32.26953125" customWidth="1"/>
    <col min="5" max="5" width="9.81640625" customWidth="1"/>
    <col min="6" max="6" width="10.08984375" customWidth="1"/>
    <col min="7" max="7" width="11.7265625" customWidth="1"/>
    <col min="8" max="8" width="10.08984375" customWidth="1"/>
    <col min="9" max="9" width="12.54296875" customWidth="1"/>
    <col min="10" max="10" width="11.26953125" customWidth="1"/>
  </cols>
  <sheetData>
    <row r="1" spans="1:10" ht="21" customHeight="1">
      <c r="A1" s="145" t="s">
        <v>3952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9" customHeight="1">
      <c r="A2" s="146" t="s">
        <v>3953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>
      <c r="A3" s="147" t="s">
        <v>1061</v>
      </c>
      <c r="B3" s="147" t="s">
        <v>1188</v>
      </c>
      <c r="C3" s="147" t="s">
        <v>655</v>
      </c>
      <c r="D3" s="147" t="s">
        <v>79</v>
      </c>
      <c r="E3" s="98"/>
      <c r="F3" s="98"/>
      <c r="G3" s="98"/>
      <c r="H3" s="98"/>
      <c r="I3" s="98"/>
      <c r="J3" s="98"/>
    </row>
    <row r="4" spans="1:10">
      <c r="A4" s="98"/>
      <c r="B4" s="98"/>
      <c r="C4" s="98"/>
      <c r="D4" s="98"/>
      <c r="E4" s="98"/>
      <c r="F4" s="98"/>
      <c r="G4" s="98"/>
      <c r="H4" s="98"/>
      <c r="I4" s="98"/>
      <c r="J4" s="98"/>
    </row>
    <row r="5" spans="1:10" ht="29" customHeight="1">
      <c r="A5" s="138" t="s">
        <v>66</v>
      </c>
      <c r="B5" s="138" t="s">
        <v>3954</v>
      </c>
      <c r="C5" s="138" t="s">
        <v>3955</v>
      </c>
      <c r="D5" s="138" t="s">
        <v>1277</v>
      </c>
      <c r="E5" s="138" t="s">
        <v>1278</v>
      </c>
      <c r="F5" s="138" t="s">
        <v>248</v>
      </c>
      <c r="G5" s="138" t="s">
        <v>655</v>
      </c>
      <c r="H5" s="138" t="s">
        <v>11</v>
      </c>
      <c r="I5" s="138" t="s">
        <v>3956</v>
      </c>
      <c r="J5" s="138" t="s">
        <v>1242</v>
      </c>
    </row>
    <row r="6" spans="1:10" ht="29" customHeight="1">
      <c r="A6" s="98" t="s">
        <v>1109</v>
      </c>
      <c r="B6" s="123">
        <f>'17_Cierre_Mayo'!B6</f>
        <v>1339017</v>
      </c>
      <c r="C6" s="123"/>
      <c r="D6" s="98" t="s">
        <v>3957</v>
      </c>
      <c r="E6" s="98"/>
      <c r="F6" s="98" t="s">
        <v>332</v>
      </c>
      <c r="G6" s="98" t="s">
        <v>1279</v>
      </c>
      <c r="H6" s="98"/>
      <c r="I6" s="149" t="str">
        <f>IF(C6="","",MIN(B6/C6,1)*100)</f>
        <v/>
      </c>
      <c r="J6" s="98" t="s">
        <v>3958</v>
      </c>
    </row>
    <row r="7" spans="1:10" ht="29" customHeight="1">
      <c r="A7" s="98" t="s">
        <v>353</v>
      </c>
      <c r="B7" s="123">
        <f>'17_Cierre_Mayo'!B9</f>
        <v>90470</v>
      </c>
      <c r="C7" s="123"/>
      <c r="D7" s="98" t="s">
        <v>3959</v>
      </c>
      <c r="E7" s="98"/>
      <c r="F7" s="98" t="s">
        <v>332</v>
      </c>
      <c r="G7" s="98" t="s">
        <v>1279</v>
      </c>
      <c r="H7" s="98"/>
      <c r="I7" s="149" t="str">
        <f>IF(C7="","",MIN(B7/C7,1)*100)</f>
        <v/>
      </c>
      <c r="J7" s="98" t="s">
        <v>3958</v>
      </c>
    </row>
    <row r="8" spans="1:10" ht="29" customHeight="1">
      <c r="A8" s="98" t="s">
        <v>1282</v>
      </c>
      <c r="B8" s="123">
        <f>'17_Cierre_Mayo'!B11</f>
        <v>-653763</v>
      </c>
      <c r="C8" s="123"/>
      <c r="D8" s="98" t="s">
        <v>3960</v>
      </c>
      <c r="E8" s="98"/>
      <c r="F8" s="98" t="s">
        <v>332</v>
      </c>
      <c r="G8" s="98" t="s">
        <v>1279</v>
      </c>
      <c r="H8" s="98"/>
      <c r="I8" s="149" t="str">
        <f>IF(C8="","",MIN(B8/C8,1)*100)</f>
        <v/>
      </c>
      <c r="J8" s="98" t="s">
        <v>3958</v>
      </c>
    </row>
    <row r="9" spans="1:10" ht="29" customHeight="1">
      <c r="A9" s="98" t="s">
        <v>1285</v>
      </c>
      <c r="B9" s="123">
        <f>'17_Cierre_Mayo'!B12</f>
        <v>669545.09</v>
      </c>
      <c r="C9" s="123"/>
      <c r="D9" s="98" t="s">
        <v>3961</v>
      </c>
      <c r="E9" s="98"/>
      <c r="F9" s="98" t="s">
        <v>332</v>
      </c>
      <c r="G9" s="98" t="s">
        <v>1279</v>
      </c>
      <c r="H9" s="98"/>
      <c r="I9" s="149" t="str">
        <f>IF(C9="","",IF(C9=0,100,MAX(0,100-(B9/C9*100))))</f>
        <v/>
      </c>
      <c r="J9" s="98" t="s">
        <v>3958</v>
      </c>
    </row>
    <row r="10" spans="1:10" ht="29" customHeight="1">
      <c r="A10" s="98" t="s">
        <v>286</v>
      </c>
      <c r="B10" s="150">
        <f>'01_Score_Mayo'!B5</f>
        <v>0</v>
      </c>
      <c r="C10" s="150"/>
      <c r="D10" s="98" t="s">
        <v>3962</v>
      </c>
      <c r="E10" s="98"/>
      <c r="F10" s="98" t="s">
        <v>1289</v>
      </c>
      <c r="G10" s="98" t="s">
        <v>1279</v>
      </c>
      <c r="H10" s="98"/>
      <c r="I10" s="149" t="str">
        <f>IF(C10="","",MIN(B10/C10,1)*100)</f>
        <v/>
      </c>
      <c r="J10" s="98" t="s">
        <v>1248</v>
      </c>
    </row>
    <row r="11" spans="1:10" ht="29" customHeight="1">
      <c r="A11" s="98" t="s">
        <v>1291</v>
      </c>
      <c r="B11" s="150">
        <f>'01_Score_Mayo'!B7</f>
        <v>0</v>
      </c>
      <c r="C11" s="150"/>
      <c r="D11" s="98" t="s">
        <v>3963</v>
      </c>
      <c r="E11" s="98"/>
      <c r="F11" s="98" t="s">
        <v>1289</v>
      </c>
      <c r="G11" s="98" t="s">
        <v>1279</v>
      </c>
      <c r="H11" s="98"/>
      <c r="I11" s="149" t="str">
        <f>IF(C11="","",MIN(B11/C11,1)*100)</f>
        <v/>
      </c>
      <c r="J11" s="98" t="s">
        <v>1248</v>
      </c>
    </row>
    <row r="12" spans="1:10" ht="29" customHeight="1">
      <c r="A12" s="98" t="s">
        <v>1258</v>
      </c>
      <c r="B12" s="150">
        <f>'01_Score_Mayo'!B8</f>
        <v>0</v>
      </c>
      <c r="C12" s="150"/>
      <c r="D12" s="98" t="s">
        <v>3964</v>
      </c>
      <c r="E12" s="98"/>
      <c r="F12" s="98" t="s">
        <v>1289</v>
      </c>
      <c r="G12" s="98" t="s">
        <v>1279</v>
      </c>
      <c r="H12" s="98"/>
      <c r="I12" s="149" t="str">
        <f>IF(C12="","",MIN(B12/C12,1)*100)</f>
        <v/>
      </c>
      <c r="J12" s="98" t="s">
        <v>1245</v>
      </c>
    </row>
    <row r="13" spans="1:10" ht="29" customHeight="1">
      <c r="A13" s="98" t="s">
        <v>1110</v>
      </c>
      <c r="B13" s="98"/>
      <c r="C13" s="98"/>
      <c r="D13" s="98" t="s">
        <v>3965</v>
      </c>
      <c r="E13" s="98"/>
      <c r="F13" s="98" t="s">
        <v>1289</v>
      </c>
      <c r="G13" s="98" t="s">
        <v>1279</v>
      </c>
      <c r="H13" s="98"/>
      <c r="I13" s="98"/>
      <c r="J13" s="98" t="s">
        <v>3966</v>
      </c>
    </row>
    <row r="14" spans="1:10">
      <c r="A14" s="98"/>
      <c r="B14" s="98"/>
      <c r="C14" s="98"/>
      <c r="D14" s="98"/>
      <c r="E14" s="98"/>
      <c r="F14" s="98"/>
      <c r="G14" s="98"/>
      <c r="H14" s="98"/>
      <c r="I14" s="98"/>
      <c r="J14" s="98"/>
    </row>
    <row r="15" spans="1:10">
      <c r="A15" s="98"/>
      <c r="B15" s="98"/>
      <c r="C15" s="98"/>
      <c r="D15" s="98"/>
      <c r="E15" s="98"/>
      <c r="F15" s="98"/>
      <c r="G15" s="98"/>
      <c r="H15" s="98"/>
      <c r="I15" s="98"/>
      <c r="J15" s="98"/>
    </row>
    <row r="16" spans="1:10" ht="29" customHeight="1">
      <c r="A16" s="138" t="s">
        <v>3967</v>
      </c>
      <c r="B16" s="138" t="s">
        <v>3968</v>
      </c>
      <c r="C16" s="138" t="s">
        <v>3969</v>
      </c>
      <c r="D16" s="138" t="s">
        <v>1307</v>
      </c>
      <c r="E16" s="138" t="s">
        <v>655</v>
      </c>
      <c r="F16" s="138" t="s">
        <v>11</v>
      </c>
      <c r="G16" s="98"/>
      <c r="H16" s="98"/>
      <c r="I16" s="98"/>
      <c r="J16" s="98"/>
    </row>
    <row r="17" spans="1:10">
      <c r="A17" s="98" t="s">
        <v>1062</v>
      </c>
      <c r="B17" s="98" t="s">
        <v>3970</v>
      </c>
      <c r="C17" s="98" t="s">
        <v>3971</v>
      </c>
      <c r="D17" s="98" t="s">
        <v>3457</v>
      </c>
      <c r="E17" s="98" t="s">
        <v>49</v>
      </c>
      <c r="F17" s="98"/>
      <c r="G17" s="98"/>
      <c r="H17" s="98"/>
      <c r="I17" s="98"/>
      <c r="J17" s="98"/>
    </row>
    <row r="18" spans="1:10" ht="29" customHeight="1">
      <c r="A18" s="98" t="s">
        <v>1245</v>
      </c>
      <c r="B18" s="98" t="s">
        <v>3972</v>
      </c>
      <c r="C18" s="98" t="s">
        <v>3973</v>
      </c>
      <c r="D18" s="98" t="s">
        <v>3457</v>
      </c>
      <c r="E18" s="98" t="s">
        <v>49</v>
      </c>
      <c r="F18" s="98"/>
      <c r="G18" s="98"/>
      <c r="H18" s="98"/>
      <c r="I18" s="98"/>
      <c r="J18" s="98"/>
    </row>
    <row r="19" spans="1:10" ht="29" customHeight="1">
      <c r="A19" s="98" t="s">
        <v>157</v>
      </c>
      <c r="B19" s="98" t="s">
        <v>3974</v>
      </c>
      <c r="C19" s="98" t="s">
        <v>3975</v>
      </c>
      <c r="D19" s="98" t="s">
        <v>3976</v>
      </c>
      <c r="E19" s="98" t="s">
        <v>49</v>
      </c>
      <c r="F19" s="98"/>
      <c r="G19" s="98"/>
      <c r="H19" s="98"/>
      <c r="I19" s="98"/>
      <c r="J19" s="98"/>
    </row>
    <row r="20" spans="1:10">
      <c r="A20" s="98" t="s">
        <v>215</v>
      </c>
      <c r="B20" s="98" t="s">
        <v>962</v>
      </c>
      <c r="C20" s="98" t="s">
        <v>3977</v>
      </c>
      <c r="D20" s="98" t="s">
        <v>3978</v>
      </c>
      <c r="E20" s="98" t="s">
        <v>49</v>
      </c>
      <c r="F20" s="98"/>
      <c r="G20" s="98"/>
      <c r="H20" s="98"/>
      <c r="I20" s="98"/>
      <c r="J20" s="98"/>
    </row>
    <row r="21" spans="1:10">
      <c r="A21" s="98" t="s">
        <v>286</v>
      </c>
      <c r="B21" s="98" t="s">
        <v>965</v>
      </c>
      <c r="C21" s="98" t="s">
        <v>3979</v>
      </c>
      <c r="D21" s="98" t="s">
        <v>2670</v>
      </c>
      <c r="E21" s="98" t="s">
        <v>49</v>
      </c>
      <c r="F21" s="98"/>
      <c r="G21" s="98"/>
      <c r="H21" s="98"/>
      <c r="I21" s="98"/>
      <c r="J21" s="98"/>
    </row>
    <row r="22" spans="1:10">
      <c r="A22" s="98" t="s">
        <v>1064</v>
      </c>
      <c r="B22" s="98" t="s">
        <v>3980</v>
      </c>
      <c r="C22" s="98" t="s">
        <v>3981</v>
      </c>
      <c r="D22" s="98" t="s">
        <v>3457</v>
      </c>
      <c r="E22" s="98" t="s">
        <v>49</v>
      </c>
      <c r="F22" s="98"/>
      <c r="G22" s="98"/>
      <c r="H22" s="98"/>
      <c r="I22" s="98"/>
      <c r="J22" s="98"/>
    </row>
    <row r="23" spans="1:10">
      <c r="A23" s="98" t="s">
        <v>389</v>
      </c>
      <c r="B23" s="98" t="s">
        <v>3982</v>
      </c>
      <c r="C23" s="98" t="s">
        <v>3983</v>
      </c>
      <c r="D23" s="98" t="s">
        <v>3457</v>
      </c>
      <c r="E23" s="98" t="s">
        <v>49</v>
      </c>
      <c r="F23" s="98"/>
      <c r="G23" s="98"/>
      <c r="H23" s="98"/>
      <c r="I23" s="98"/>
      <c r="J23" s="98"/>
    </row>
    <row r="24" spans="1:10">
      <c r="A24" s="98"/>
      <c r="B24" s="98"/>
      <c r="C24" s="98"/>
      <c r="D24" s="98"/>
      <c r="E24" s="98"/>
      <c r="F24" s="98"/>
      <c r="G24" s="98"/>
      <c r="H24" s="98"/>
      <c r="I24" s="98"/>
      <c r="J24" s="98"/>
    </row>
    <row r="25" spans="1:10">
      <c r="A25" s="98"/>
      <c r="B25" s="98"/>
      <c r="C25" s="98"/>
      <c r="D25" s="98"/>
      <c r="E25" s="98"/>
      <c r="F25" s="98"/>
      <c r="G25" s="98"/>
      <c r="H25" s="98"/>
      <c r="I25" s="98"/>
      <c r="J25" s="98"/>
    </row>
    <row r="26" spans="1:10" ht="29" customHeight="1">
      <c r="A26" s="138" t="s">
        <v>3984</v>
      </c>
      <c r="B26" s="138" t="s">
        <v>7</v>
      </c>
      <c r="C26" s="138" t="s">
        <v>655</v>
      </c>
      <c r="D26" s="138" t="s">
        <v>252</v>
      </c>
      <c r="E26" s="138" t="s">
        <v>656</v>
      </c>
      <c r="F26" s="138" t="s">
        <v>696</v>
      </c>
      <c r="G26" s="98"/>
      <c r="H26" s="98"/>
      <c r="I26" s="98"/>
      <c r="J26" s="98"/>
    </row>
    <row r="27" spans="1:10">
      <c r="A27" s="98" t="s">
        <v>1229</v>
      </c>
      <c r="B27" s="123">
        <f>SUMIF('11_Ingresos'!$K$5:$K$204,$B$3,'11_Ingresos'!$C$5:$C$204)</f>
        <v>1930028</v>
      </c>
      <c r="C27" s="98" t="str">
        <f t="shared" ref="C27:C32" si="0">IF(B27="","🟡 En proceso",IF(ISNUMBER(B27),IF(B27&gt;0,"🟢 Cumple","🔴 Riesgo"),"🟡 En proceso"))</f>
        <v>🟢 Cumple</v>
      </c>
      <c r="D27" s="98" t="s">
        <v>156</v>
      </c>
      <c r="E27" s="98"/>
      <c r="F27" s="98"/>
      <c r="G27" s="98"/>
      <c r="H27" s="98"/>
      <c r="I27" s="98"/>
      <c r="J27" s="98"/>
    </row>
    <row r="28" spans="1:10">
      <c r="A28" s="98" t="s">
        <v>1227</v>
      </c>
      <c r="B28" s="123">
        <f>SUMIFS('12_Gastos'!$D$5:$D$403,'12_Gastos'!$I$5:$I$403,$B$3,'12_Gastos'!$J$5:$J$403,"Gasto real")</f>
        <v>525069</v>
      </c>
      <c r="C28" s="98" t="str">
        <f t="shared" si="0"/>
        <v>🟢 Cumple</v>
      </c>
      <c r="D28" s="98" t="s">
        <v>164</v>
      </c>
      <c r="E28" s="98"/>
      <c r="F28" s="98"/>
      <c r="G28" s="98"/>
      <c r="H28" s="98"/>
      <c r="I28" s="98"/>
      <c r="J28" s="98"/>
    </row>
    <row r="29" spans="1:10">
      <c r="A29" s="98" t="s">
        <v>1387</v>
      </c>
      <c r="B29" s="123">
        <f>IF($B$3='18_Conciliacion_Bancaria_V2'!$B$3,'18_Conciliacion_Bancaria_V2'!B26,"Seleccionar mes en conciliación")</f>
        <v>-1401919</v>
      </c>
      <c r="C29" s="98" t="str">
        <f t="shared" si="0"/>
        <v>🔴 Riesgo</v>
      </c>
      <c r="D29" s="98" t="s">
        <v>770</v>
      </c>
      <c r="E29" s="98"/>
      <c r="F29" s="98"/>
      <c r="G29" s="98"/>
      <c r="H29" s="98"/>
      <c r="I29" s="98"/>
      <c r="J29" s="98"/>
    </row>
    <row r="30" spans="1:10">
      <c r="A30" s="98" t="s">
        <v>1344</v>
      </c>
      <c r="B30" s="149">
        <f>COUNTA('40_Estudio_Empresas'!C3:C204)</f>
        <v>1</v>
      </c>
      <c r="C30" s="98" t="str">
        <f t="shared" si="0"/>
        <v>🟢 Cumple</v>
      </c>
      <c r="D30" s="98" t="s">
        <v>675</v>
      </c>
      <c r="E30" s="98"/>
      <c r="F30" s="98"/>
      <c r="G30" s="98"/>
      <c r="H30" s="98"/>
      <c r="I30" s="98"/>
      <c r="J30" s="98"/>
    </row>
    <row r="31" spans="1:10">
      <c r="A31" s="98" t="s">
        <v>3479</v>
      </c>
      <c r="B31" s="149">
        <f>COUNTIF('32_Oportunidades'!A5:A204,"?*")</f>
        <v>0</v>
      </c>
      <c r="C31" s="98" t="str">
        <f t="shared" si="0"/>
        <v>🔴 Riesgo</v>
      </c>
      <c r="D31" s="98" t="s">
        <v>747</v>
      </c>
      <c r="E31" s="98"/>
      <c r="F31" s="98"/>
      <c r="G31" s="98"/>
      <c r="H31" s="98"/>
      <c r="I31" s="98"/>
      <c r="J31" s="98"/>
    </row>
    <row r="32" spans="1:10">
      <c r="A32" s="98" t="s">
        <v>3985</v>
      </c>
      <c r="B32" s="149">
        <f>IFERROR(INDEX('04_Score_Ejecutivo_Consolidado'!$J$5:$J$12,MATCH($B$3,'04_Score_Ejecutivo_Consolidado'!$A$5:$A$12,0)),0)</f>
        <v>0</v>
      </c>
      <c r="C32" s="98" t="str">
        <f t="shared" si="0"/>
        <v>🔴 Riesgo</v>
      </c>
      <c r="D32" s="98" t="s">
        <v>706</v>
      </c>
      <c r="E32" s="98"/>
      <c r="F32" s="98"/>
      <c r="G32" s="98"/>
      <c r="H32" s="98"/>
      <c r="I32" s="98"/>
      <c r="J32" s="98"/>
    </row>
    <row r="33" spans="1:10">
      <c r="A33" s="98"/>
      <c r="B33" s="98"/>
      <c r="C33" s="98"/>
      <c r="D33" s="98"/>
      <c r="E33" s="98"/>
      <c r="F33" s="98"/>
      <c r="G33" s="98"/>
      <c r="H33" s="98"/>
      <c r="I33" s="98"/>
      <c r="J33" s="98"/>
    </row>
    <row r="34" spans="1:10">
      <c r="A34" s="98"/>
      <c r="B34" s="98"/>
      <c r="C34" s="98"/>
      <c r="D34" s="98"/>
      <c r="E34" s="98"/>
      <c r="F34" s="98"/>
      <c r="G34" s="98"/>
      <c r="H34" s="98"/>
      <c r="I34" s="98"/>
      <c r="J34" s="98"/>
    </row>
    <row r="35" spans="1:10">
      <c r="A35" s="98"/>
      <c r="B35" s="98"/>
      <c r="C35" s="98"/>
      <c r="D35" s="98"/>
      <c r="E35" s="98"/>
      <c r="F35" s="98"/>
      <c r="G35" s="98"/>
      <c r="H35" s="98"/>
      <c r="I35" s="98"/>
      <c r="J35" s="98"/>
    </row>
  </sheetData>
  <conditionalFormatting sqref="C27:C32">
    <cfRule type="expression" dxfId="238" priority="39">
      <formula>ISNUMBER(SEARCH("No iniciado",C27))</formula>
    </cfRule>
    <cfRule type="expression" dxfId="237" priority="38">
      <formula>ISNUMBER(SEARCH("Riesgo",C27))</formula>
    </cfRule>
    <cfRule type="expression" dxfId="236" priority="37">
      <formula>ISNUMBER(SEARCH("Crítico",C27))</formula>
    </cfRule>
    <cfRule type="expression" dxfId="235" priority="36">
      <formula>ISNUMBER(SEARCH("Diferencia crítica",C27))</formula>
    </cfRule>
    <cfRule type="expression" dxfId="234" priority="35">
      <formula>ISNUMBER(SEARCH("Pendiente",C27))</formula>
    </cfRule>
    <cfRule type="expression" dxfId="233" priority="34">
      <formula>ISNUMBER(SEARCH("Revisar",C27))</formula>
    </cfRule>
    <cfRule type="expression" dxfId="232" priority="33">
      <formula>ISNUMBER(SEARCH("Atención",C27))</formula>
    </cfRule>
    <cfRule type="expression" dxfId="231" priority="32">
      <formula>ISNUMBER(SEARCH("En proceso",C27))</formula>
    </cfRule>
    <cfRule type="expression" dxfId="230" priority="31">
      <formula>ISNUMBER(SEARCH("Activo",C27))</formula>
    </cfRule>
    <cfRule type="expression" dxfId="229" priority="30">
      <formula>ISNUMBER(SEARCH("Cerrado",C27))</formula>
    </cfRule>
    <cfRule type="expression" dxfId="228" priority="29">
      <formula>ISNUMBER(SEARCH("Dominio",C27))</formula>
    </cfRule>
    <cfRule type="expression" dxfId="227" priority="28">
      <formula>ISNUMBER(SEARCH("Cumple",C27))</formula>
    </cfRule>
    <cfRule type="expression" dxfId="226" priority="27">
      <formula>ISNUMBER(SEARCH("Conciliado",C27))</formula>
    </cfRule>
  </conditionalFormatting>
  <conditionalFormatting sqref="E17:E23">
    <cfRule type="expression" dxfId="225" priority="14">
      <formula>ISNUMBER(SEARCH("Conciliado",E17))</formula>
    </cfRule>
    <cfRule type="expression" dxfId="224" priority="15">
      <formula>ISNUMBER(SEARCH("Cumple",E17))</formula>
    </cfRule>
    <cfRule type="expression" dxfId="223" priority="16">
      <formula>ISNUMBER(SEARCH("Dominio",E17))</formula>
    </cfRule>
    <cfRule type="expression" dxfId="222" priority="17">
      <formula>ISNUMBER(SEARCH("Cerrado",E17))</formula>
    </cfRule>
    <cfRule type="expression" dxfId="221" priority="18">
      <formula>ISNUMBER(SEARCH("Activo",E17))</formula>
    </cfRule>
    <cfRule type="expression" dxfId="220" priority="19">
      <formula>ISNUMBER(SEARCH("En proceso",E17))</formula>
    </cfRule>
    <cfRule type="expression" dxfId="219" priority="20">
      <formula>ISNUMBER(SEARCH("Atención",E17))</formula>
    </cfRule>
    <cfRule type="expression" dxfId="218" priority="21">
      <formula>ISNUMBER(SEARCH("Revisar",E17))</formula>
    </cfRule>
    <cfRule type="expression" dxfId="217" priority="22">
      <formula>ISNUMBER(SEARCH("Pendiente",E17))</formula>
    </cfRule>
    <cfRule type="expression" dxfId="216" priority="23">
      <formula>ISNUMBER(SEARCH("Diferencia crítica",E17))</formula>
    </cfRule>
    <cfRule type="expression" dxfId="215" priority="24">
      <formula>ISNUMBER(SEARCH("Crítico",E17))</formula>
    </cfRule>
    <cfRule type="expression" dxfId="214" priority="25">
      <formula>ISNUMBER(SEARCH("Riesgo",E17))</formula>
    </cfRule>
    <cfRule type="expression" dxfId="213" priority="26">
      <formula>ISNUMBER(SEARCH("No iniciado",E17))</formula>
    </cfRule>
  </conditionalFormatting>
  <conditionalFormatting sqref="G6:G13">
    <cfRule type="expression" dxfId="212" priority="13">
      <formula>ISNUMBER(SEARCH("No iniciado",G6))</formula>
    </cfRule>
    <cfRule type="expression" dxfId="211" priority="12">
      <formula>ISNUMBER(SEARCH("Riesgo",G6))</formula>
    </cfRule>
    <cfRule type="expression" dxfId="210" priority="11">
      <formula>ISNUMBER(SEARCH("Crítico",G6))</formula>
    </cfRule>
    <cfRule type="expression" dxfId="209" priority="10">
      <formula>ISNUMBER(SEARCH("Diferencia crítica",G6))</formula>
    </cfRule>
    <cfRule type="expression" dxfId="208" priority="9">
      <formula>ISNUMBER(SEARCH("Pendiente",G6))</formula>
    </cfRule>
    <cfRule type="expression" dxfId="207" priority="8">
      <formula>ISNUMBER(SEARCH("Revisar",G6))</formula>
    </cfRule>
    <cfRule type="expression" dxfId="206" priority="7">
      <formula>ISNUMBER(SEARCH("Atención",G6))</formula>
    </cfRule>
    <cfRule type="expression" dxfId="205" priority="6">
      <formula>ISNUMBER(SEARCH("En proceso",G6))</formula>
    </cfRule>
    <cfRule type="expression" dxfId="204" priority="5">
      <formula>ISNUMBER(SEARCH("Activo",G6))</formula>
    </cfRule>
    <cfRule type="expression" dxfId="203" priority="4">
      <formula>ISNUMBER(SEARCH("Cerrado",G6))</formula>
    </cfRule>
    <cfRule type="expression" dxfId="202" priority="3">
      <formula>ISNUMBER(SEARCH("Dominio",G6))</formula>
    </cfRule>
    <cfRule type="expression" dxfId="201" priority="2">
      <formula>ISNUMBER(SEARCH("Cumple",G6))</formula>
    </cfRule>
    <cfRule type="expression" dxfId="200" priority="1">
      <formula>ISNUMBER(SEARCH("Conciliado",G6))</formula>
    </cfRule>
  </conditionalFormatting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BFBFBF"/>
  </sheetPr>
  <dimension ref="A1:J35"/>
  <sheetViews>
    <sheetView showGridLines="0" workbookViewId="0"/>
  </sheetViews>
  <sheetFormatPr baseColWidth="10" defaultColWidth="8.7265625" defaultRowHeight="14.5"/>
  <cols>
    <col min="1" max="1" width="96.6328125" customWidth="1"/>
    <col min="2" max="2" width="35.6328125" customWidth="1"/>
    <col min="3" max="3" width="45.453125" customWidth="1"/>
    <col min="4" max="4" width="32.26953125" customWidth="1"/>
    <col min="5" max="5" width="9.81640625" customWidth="1"/>
    <col min="6" max="6" width="10.08984375" customWidth="1"/>
    <col min="7" max="7" width="11.7265625" customWidth="1"/>
    <col min="8" max="8" width="10.08984375" customWidth="1"/>
    <col min="9" max="9" width="12.54296875" customWidth="1"/>
    <col min="10" max="10" width="11.26953125" customWidth="1"/>
  </cols>
  <sheetData>
    <row r="1" spans="1:10" ht="21" customHeight="1">
      <c r="A1" s="145" t="s">
        <v>3986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9" customHeight="1">
      <c r="A2" s="146" t="s">
        <v>3987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>
      <c r="A3" s="147" t="s">
        <v>1061</v>
      </c>
      <c r="B3" s="147" t="s">
        <v>1208</v>
      </c>
      <c r="C3" s="147" t="s">
        <v>655</v>
      </c>
      <c r="D3" s="147" t="s">
        <v>959</v>
      </c>
      <c r="E3" s="98"/>
      <c r="F3" s="98"/>
      <c r="G3" s="98"/>
      <c r="H3" s="98"/>
      <c r="I3" s="98"/>
      <c r="J3" s="98"/>
    </row>
    <row r="4" spans="1:10">
      <c r="A4" s="98"/>
      <c r="B4" s="98"/>
      <c r="C4" s="98"/>
      <c r="D4" s="98"/>
      <c r="E4" s="98"/>
      <c r="F4" s="98"/>
      <c r="G4" s="98"/>
      <c r="H4" s="98"/>
      <c r="I4" s="98"/>
      <c r="J4" s="98"/>
    </row>
    <row r="5" spans="1:10" ht="29" customHeight="1">
      <c r="A5" s="138" t="s">
        <v>66</v>
      </c>
      <c r="B5" s="138" t="s">
        <v>3954</v>
      </c>
      <c r="C5" s="138" t="s">
        <v>3955</v>
      </c>
      <c r="D5" s="138" t="s">
        <v>1277</v>
      </c>
      <c r="E5" s="138" t="s">
        <v>1278</v>
      </c>
      <c r="F5" s="138" t="s">
        <v>248</v>
      </c>
      <c r="G5" s="138" t="s">
        <v>655</v>
      </c>
      <c r="H5" s="138" t="s">
        <v>11</v>
      </c>
      <c r="I5" s="138" t="s">
        <v>3956</v>
      </c>
      <c r="J5" s="138" t="s">
        <v>1242</v>
      </c>
    </row>
    <row r="6" spans="1:10" ht="29" customHeight="1">
      <c r="A6" s="98" t="s">
        <v>1109</v>
      </c>
      <c r="B6" s="123">
        <f>'17_Cierre_Mayo'!B6</f>
        <v>1339017</v>
      </c>
      <c r="C6" s="123"/>
      <c r="D6" s="98" t="s">
        <v>3957</v>
      </c>
      <c r="E6" s="98"/>
      <c r="F6" s="98" t="s">
        <v>332</v>
      </c>
      <c r="G6" s="98" t="s">
        <v>1279</v>
      </c>
      <c r="H6" s="98"/>
      <c r="I6" s="149" t="str">
        <f>IF(C6="","",MIN(B6/C6,1)*100)</f>
        <v/>
      </c>
      <c r="J6" s="98" t="s">
        <v>3958</v>
      </c>
    </row>
    <row r="7" spans="1:10" ht="29" customHeight="1">
      <c r="A7" s="98" t="s">
        <v>353</v>
      </c>
      <c r="B7" s="123">
        <f>'17_Cierre_Mayo'!B9</f>
        <v>90470</v>
      </c>
      <c r="C7" s="123"/>
      <c r="D7" s="98" t="s">
        <v>3959</v>
      </c>
      <c r="E7" s="98"/>
      <c r="F7" s="98" t="s">
        <v>332</v>
      </c>
      <c r="G7" s="98" t="s">
        <v>1279</v>
      </c>
      <c r="H7" s="98"/>
      <c r="I7" s="149" t="str">
        <f>IF(C7="","",MIN(B7/C7,1)*100)</f>
        <v/>
      </c>
      <c r="J7" s="98" t="s">
        <v>3958</v>
      </c>
    </row>
    <row r="8" spans="1:10" ht="29" customHeight="1">
      <c r="A8" s="98" t="s">
        <v>1282</v>
      </c>
      <c r="B8" s="123">
        <f>'17_Cierre_Mayo'!B11</f>
        <v>-653763</v>
      </c>
      <c r="C8" s="123"/>
      <c r="D8" s="98" t="s">
        <v>3960</v>
      </c>
      <c r="E8" s="98"/>
      <c r="F8" s="98" t="s">
        <v>332</v>
      </c>
      <c r="G8" s="98" t="s">
        <v>1279</v>
      </c>
      <c r="H8" s="98"/>
      <c r="I8" s="149" t="str">
        <f>IF(C8="","",MIN(B8/C8,1)*100)</f>
        <v/>
      </c>
      <c r="J8" s="98" t="s">
        <v>3958</v>
      </c>
    </row>
    <row r="9" spans="1:10" ht="29" customHeight="1">
      <c r="A9" s="98" t="s">
        <v>1285</v>
      </c>
      <c r="B9" s="123">
        <f>'17_Cierre_Mayo'!B12</f>
        <v>669545.09</v>
      </c>
      <c r="C9" s="123"/>
      <c r="D9" s="98" t="s">
        <v>3961</v>
      </c>
      <c r="E9" s="98"/>
      <c r="F9" s="98" t="s">
        <v>332</v>
      </c>
      <c r="G9" s="98" t="s">
        <v>1279</v>
      </c>
      <c r="H9" s="98"/>
      <c r="I9" s="149" t="str">
        <f>IF(C9="","",IF(C9=0,100,MAX(0,100-(B9/C9*100))))</f>
        <v/>
      </c>
      <c r="J9" s="98" t="s">
        <v>3958</v>
      </c>
    </row>
    <row r="10" spans="1:10" ht="29" customHeight="1">
      <c r="A10" s="98" t="s">
        <v>286</v>
      </c>
      <c r="B10" s="150">
        <f>'01_Score_Mayo'!B5</f>
        <v>0</v>
      </c>
      <c r="C10" s="150"/>
      <c r="D10" s="98" t="s">
        <v>3962</v>
      </c>
      <c r="E10" s="98"/>
      <c r="F10" s="98" t="s">
        <v>1289</v>
      </c>
      <c r="G10" s="98" t="s">
        <v>1279</v>
      </c>
      <c r="H10" s="98"/>
      <c r="I10" s="149" t="str">
        <f>IF(C10="","",MIN(B10/C10,1)*100)</f>
        <v/>
      </c>
      <c r="J10" s="98" t="s">
        <v>1248</v>
      </c>
    </row>
    <row r="11" spans="1:10" ht="29" customHeight="1">
      <c r="A11" s="98" t="s">
        <v>1291</v>
      </c>
      <c r="B11" s="150">
        <f>'01_Score_Mayo'!B7</f>
        <v>0</v>
      </c>
      <c r="C11" s="150"/>
      <c r="D11" s="98" t="s">
        <v>3963</v>
      </c>
      <c r="E11" s="98"/>
      <c r="F11" s="98" t="s">
        <v>1289</v>
      </c>
      <c r="G11" s="98" t="s">
        <v>1279</v>
      </c>
      <c r="H11" s="98"/>
      <c r="I11" s="149" t="str">
        <f>IF(C11="","",MIN(B11/C11,1)*100)</f>
        <v/>
      </c>
      <c r="J11" s="98" t="s">
        <v>1248</v>
      </c>
    </row>
    <row r="12" spans="1:10" ht="29" customHeight="1">
      <c r="A12" s="98" t="s">
        <v>1258</v>
      </c>
      <c r="B12" s="150">
        <f>'01_Score_Mayo'!B8</f>
        <v>0</v>
      </c>
      <c r="C12" s="150"/>
      <c r="D12" s="98" t="s">
        <v>3964</v>
      </c>
      <c r="E12" s="98"/>
      <c r="F12" s="98" t="s">
        <v>1289</v>
      </c>
      <c r="G12" s="98" t="s">
        <v>1279</v>
      </c>
      <c r="H12" s="98"/>
      <c r="I12" s="149" t="str">
        <f>IF(C12="","",MIN(B12/C12,1)*100)</f>
        <v/>
      </c>
      <c r="J12" s="98" t="s">
        <v>1245</v>
      </c>
    </row>
    <row r="13" spans="1:10" ht="29" customHeight="1">
      <c r="A13" s="98" t="s">
        <v>1110</v>
      </c>
      <c r="B13" s="98"/>
      <c r="C13" s="98"/>
      <c r="D13" s="98" t="s">
        <v>3965</v>
      </c>
      <c r="E13" s="98"/>
      <c r="F13" s="98" t="s">
        <v>1289</v>
      </c>
      <c r="G13" s="98" t="s">
        <v>1279</v>
      </c>
      <c r="H13" s="98"/>
      <c r="I13" s="98"/>
      <c r="J13" s="98" t="s">
        <v>3966</v>
      </c>
    </row>
    <row r="14" spans="1:10">
      <c r="A14" s="98"/>
      <c r="B14" s="98"/>
      <c r="C14" s="98"/>
      <c r="D14" s="98"/>
      <c r="E14" s="98"/>
      <c r="F14" s="98"/>
      <c r="G14" s="98"/>
      <c r="H14" s="98"/>
      <c r="I14" s="98"/>
      <c r="J14" s="98"/>
    </row>
    <row r="15" spans="1:10">
      <c r="A15" s="98"/>
      <c r="B15" s="98"/>
      <c r="C15" s="98"/>
      <c r="D15" s="98"/>
      <c r="E15" s="98"/>
      <c r="F15" s="98"/>
      <c r="G15" s="98"/>
      <c r="H15" s="98"/>
      <c r="I15" s="98"/>
      <c r="J15" s="98"/>
    </row>
    <row r="16" spans="1:10" ht="29" customHeight="1">
      <c r="A16" s="138" t="s">
        <v>3967</v>
      </c>
      <c r="B16" s="138" t="s">
        <v>3968</v>
      </c>
      <c r="C16" s="138" t="s">
        <v>3969</v>
      </c>
      <c r="D16" s="138" t="s">
        <v>1307</v>
      </c>
      <c r="E16" s="138" t="s">
        <v>655</v>
      </c>
      <c r="F16" s="138" t="s">
        <v>11</v>
      </c>
      <c r="G16" s="98"/>
      <c r="H16" s="98"/>
      <c r="I16" s="98"/>
      <c r="J16" s="98"/>
    </row>
    <row r="17" spans="1:10">
      <c r="A17" s="98" t="s">
        <v>1062</v>
      </c>
      <c r="B17" s="98" t="s">
        <v>3970</v>
      </c>
      <c r="C17" s="98" t="s">
        <v>3971</v>
      </c>
      <c r="D17" s="98" t="s">
        <v>3457</v>
      </c>
      <c r="E17" s="98" t="s">
        <v>49</v>
      </c>
      <c r="F17" s="98"/>
      <c r="G17" s="98"/>
      <c r="H17" s="98"/>
      <c r="I17" s="98"/>
      <c r="J17" s="98"/>
    </row>
    <row r="18" spans="1:10" ht="29" customHeight="1">
      <c r="A18" s="98" t="s">
        <v>1245</v>
      </c>
      <c r="B18" s="98" t="s">
        <v>3972</v>
      </c>
      <c r="C18" s="98" t="s">
        <v>3973</v>
      </c>
      <c r="D18" s="98" t="s">
        <v>3457</v>
      </c>
      <c r="E18" s="98" t="s">
        <v>49</v>
      </c>
      <c r="F18" s="98"/>
      <c r="G18" s="98"/>
      <c r="H18" s="98"/>
      <c r="I18" s="98"/>
      <c r="J18" s="98"/>
    </row>
    <row r="19" spans="1:10" ht="29" customHeight="1">
      <c r="A19" s="98" t="s">
        <v>157</v>
      </c>
      <c r="B19" s="98" t="s">
        <v>3974</v>
      </c>
      <c r="C19" s="98" t="s">
        <v>3975</v>
      </c>
      <c r="D19" s="98" t="s">
        <v>3976</v>
      </c>
      <c r="E19" s="98" t="s">
        <v>49</v>
      </c>
      <c r="F19" s="98"/>
      <c r="G19" s="98"/>
      <c r="H19" s="98"/>
      <c r="I19" s="98"/>
      <c r="J19" s="98"/>
    </row>
    <row r="20" spans="1:10">
      <c r="A20" s="98" t="s">
        <v>215</v>
      </c>
      <c r="B20" s="98" t="s">
        <v>962</v>
      </c>
      <c r="C20" s="98" t="s">
        <v>3977</v>
      </c>
      <c r="D20" s="98" t="s">
        <v>3978</v>
      </c>
      <c r="E20" s="98" t="s">
        <v>49</v>
      </c>
      <c r="F20" s="98"/>
      <c r="G20" s="98"/>
      <c r="H20" s="98"/>
      <c r="I20" s="98"/>
      <c r="J20" s="98"/>
    </row>
    <row r="21" spans="1:10">
      <c r="A21" s="98" t="s">
        <v>286</v>
      </c>
      <c r="B21" s="98" t="s">
        <v>965</v>
      </c>
      <c r="C21" s="98" t="s">
        <v>3979</v>
      </c>
      <c r="D21" s="98" t="s">
        <v>2670</v>
      </c>
      <c r="E21" s="98" t="s">
        <v>49</v>
      </c>
      <c r="F21" s="98"/>
      <c r="G21" s="98"/>
      <c r="H21" s="98"/>
      <c r="I21" s="98"/>
      <c r="J21" s="98"/>
    </row>
    <row r="22" spans="1:10">
      <c r="A22" s="98" t="s">
        <v>1064</v>
      </c>
      <c r="B22" s="98" t="s">
        <v>3980</v>
      </c>
      <c r="C22" s="98" t="s">
        <v>3981</v>
      </c>
      <c r="D22" s="98" t="s">
        <v>3457</v>
      </c>
      <c r="E22" s="98" t="s">
        <v>49</v>
      </c>
      <c r="F22" s="98"/>
      <c r="G22" s="98"/>
      <c r="H22" s="98"/>
      <c r="I22" s="98"/>
      <c r="J22" s="98"/>
    </row>
    <row r="23" spans="1:10">
      <c r="A23" s="98" t="s">
        <v>389</v>
      </c>
      <c r="B23" s="98" t="s">
        <v>3982</v>
      </c>
      <c r="C23" s="98" t="s">
        <v>3983</v>
      </c>
      <c r="D23" s="98" t="s">
        <v>3457</v>
      </c>
      <c r="E23" s="98" t="s">
        <v>49</v>
      </c>
      <c r="F23" s="98"/>
      <c r="G23" s="98"/>
      <c r="H23" s="98"/>
      <c r="I23" s="98"/>
      <c r="J23" s="98"/>
    </row>
    <row r="24" spans="1:10">
      <c r="A24" s="98"/>
      <c r="B24" s="98"/>
      <c r="C24" s="98"/>
      <c r="D24" s="98"/>
      <c r="E24" s="98"/>
      <c r="F24" s="98"/>
      <c r="G24" s="98"/>
      <c r="H24" s="98"/>
      <c r="I24" s="98"/>
      <c r="J24" s="98"/>
    </row>
    <row r="25" spans="1:10">
      <c r="A25" s="98"/>
      <c r="B25" s="98"/>
      <c r="C25" s="98"/>
      <c r="D25" s="98"/>
      <c r="E25" s="98"/>
      <c r="F25" s="98"/>
      <c r="G25" s="98"/>
      <c r="H25" s="98"/>
      <c r="I25" s="98"/>
      <c r="J25" s="98"/>
    </row>
    <row r="26" spans="1:10" ht="29" customHeight="1">
      <c r="A26" s="138" t="s">
        <v>3984</v>
      </c>
      <c r="B26" s="138" t="s">
        <v>7</v>
      </c>
      <c r="C26" s="138" t="s">
        <v>655</v>
      </c>
      <c r="D26" s="138" t="s">
        <v>252</v>
      </c>
      <c r="E26" s="138" t="s">
        <v>656</v>
      </c>
      <c r="F26" s="138" t="s">
        <v>696</v>
      </c>
      <c r="G26" s="98"/>
      <c r="H26" s="98"/>
      <c r="I26" s="98"/>
      <c r="J26" s="98"/>
    </row>
    <row r="27" spans="1:10">
      <c r="A27" s="98" t="s">
        <v>1229</v>
      </c>
      <c r="B27" s="123">
        <f>SUMIF('11_Ingresos'!$K$5:$K$204,$B$3,'11_Ingresos'!$C$5:$C$204)</f>
        <v>0</v>
      </c>
      <c r="C27" s="98" t="str">
        <f t="shared" ref="C27:C32" si="0">IF(B27="","🟡 En proceso",IF(ISNUMBER(B27),IF(B27&gt;0,"🟢 Cumple","🔴 Riesgo"),"🟡 En proceso"))</f>
        <v>🔴 Riesgo</v>
      </c>
      <c r="D27" s="98" t="s">
        <v>156</v>
      </c>
      <c r="E27" s="98"/>
      <c r="F27" s="98"/>
      <c r="G27" s="98"/>
      <c r="H27" s="98"/>
      <c r="I27" s="98"/>
      <c r="J27" s="98"/>
    </row>
    <row r="28" spans="1:10">
      <c r="A28" s="98" t="s">
        <v>1227</v>
      </c>
      <c r="B28" s="123">
        <f>SUMIFS('12_Gastos'!$D$5:$D$403,'12_Gastos'!$I$5:$I$403,$B$3,'12_Gastos'!$J$5:$J$403,"Gasto real")</f>
        <v>0</v>
      </c>
      <c r="C28" s="98" t="str">
        <f t="shared" si="0"/>
        <v>🔴 Riesgo</v>
      </c>
      <c r="D28" s="98" t="s">
        <v>164</v>
      </c>
      <c r="E28" s="98"/>
      <c r="F28" s="98"/>
      <c r="G28" s="98"/>
      <c r="H28" s="98"/>
      <c r="I28" s="98"/>
      <c r="J28" s="98"/>
    </row>
    <row r="29" spans="1:10">
      <c r="A29" s="98" t="s">
        <v>1387</v>
      </c>
      <c r="B29" s="123" t="str">
        <f>IF($B$3='18_Conciliacion_Bancaria_V2'!$B$3,'18_Conciliacion_Bancaria_V2'!B26,"Seleccionar mes en conciliación")</f>
        <v>Seleccionar mes en conciliación</v>
      </c>
      <c r="C29" s="98" t="str">
        <f t="shared" si="0"/>
        <v>🟡 En proceso</v>
      </c>
      <c r="D29" s="98" t="s">
        <v>770</v>
      </c>
      <c r="E29" s="98"/>
      <c r="F29" s="98"/>
      <c r="G29" s="98"/>
      <c r="H29" s="98"/>
      <c r="I29" s="98"/>
      <c r="J29" s="98"/>
    </row>
    <row r="30" spans="1:10">
      <c r="A30" s="98" t="s">
        <v>1344</v>
      </c>
      <c r="B30" s="149">
        <f>COUNTA('40_Estudio_Empresas'!C3:C204)</f>
        <v>1</v>
      </c>
      <c r="C30" s="98" t="str">
        <f t="shared" si="0"/>
        <v>🟢 Cumple</v>
      </c>
      <c r="D30" s="98" t="s">
        <v>675</v>
      </c>
      <c r="E30" s="98"/>
      <c r="F30" s="98"/>
      <c r="G30" s="98"/>
      <c r="H30" s="98"/>
      <c r="I30" s="98"/>
      <c r="J30" s="98"/>
    </row>
    <row r="31" spans="1:10">
      <c r="A31" s="98" t="s">
        <v>3479</v>
      </c>
      <c r="B31" s="149">
        <f>COUNTIF('32_Oportunidades'!A5:A204,"?*")</f>
        <v>0</v>
      </c>
      <c r="C31" s="98" t="str">
        <f t="shared" si="0"/>
        <v>🔴 Riesgo</v>
      </c>
      <c r="D31" s="98" t="s">
        <v>747</v>
      </c>
      <c r="E31" s="98"/>
      <c r="F31" s="98"/>
      <c r="G31" s="98"/>
      <c r="H31" s="98"/>
      <c r="I31" s="98"/>
      <c r="J31" s="98"/>
    </row>
    <row r="32" spans="1:10">
      <c r="A32" s="98" t="s">
        <v>3985</v>
      </c>
      <c r="B32" s="149">
        <f>IFERROR(INDEX('04_Score_Ejecutivo_Consolidado'!$J$5:$J$12,MATCH($B$3,'04_Score_Ejecutivo_Consolidado'!$A$5:$A$12,0)),0)</f>
        <v>0</v>
      </c>
      <c r="C32" s="98" t="str">
        <f t="shared" si="0"/>
        <v>🔴 Riesgo</v>
      </c>
      <c r="D32" s="98" t="s">
        <v>706</v>
      </c>
      <c r="E32" s="98"/>
      <c r="F32" s="98"/>
      <c r="G32" s="98"/>
      <c r="H32" s="98"/>
      <c r="I32" s="98"/>
      <c r="J32" s="98"/>
    </row>
    <row r="33" spans="1:10">
      <c r="A33" s="98"/>
      <c r="B33" s="98"/>
      <c r="C33" s="98"/>
      <c r="D33" s="98"/>
      <c r="E33" s="98"/>
      <c r="F33" s="98"/>
      <c r="G33" s="98"/>
      <c r="H33" s="98"/>
      <c r="I33" s="98"/>
      <c r="J33" s="98"/>
    </row>
    <row r="34" spans="1:10">
      <c r="A34" s="98"/>
      <c r="B34" s="98"/>
      <c r="C34" s="98"/>
      <c r="D34" s="98"/>
      <c r="E34" s="98"/>
      <c r="F34" s="98"/>
      <c r="G34" s="98"/>
      <c r="H34" s="98"/>
      <c r="I34" s="98"/>
      <c r="J34" s="98"/>
    </row>
    <row r="35" spans="1:10">
      <c r="A35" s="98"/>
      <c r="B35" s="98"/>
      <c r="C35" s="98"/>
      <c r="D35" s="98"/>
      <c r="E35" s="98"/>
      <c r="F35" s="98"/>
      <c r="G35" s="98"/>
      <c r="H35" s="98"/>
      <c r="I35" s="98"/>
      <c r="J35" s="98"/>
    </row>
  </sheetData>
  <conditionalFormatting sqref="C27:C32">
    <cfRule type="expression" dxfId="199" priority="39">
      <formula>ISNUMBER(SEARCH("No iniciado",C27))</formula>
    </cfRule>
    <cfRule type="expression" dxfId="198" priority="38">
      <formula>ISNUMBER(SEARCH("Riesgo",C27))</formula>
    </cfRule>
    <cfRule type="expression" dxfId="197" priority="37">
      <formula>ISNUMBER(SEARCH("Crítico",C27))</formula>
    </cfRule>
    <cfRule type="expression" dxfId="196" priority="36">
      <formula>ISNUMBER(SEARCH("Diferencia crítica",C27))</formula>
    </cfRule>
    <cfRule type="expression" dxfId="195" priority="35">
      <formula>ISNUMBER(SEARCH("Pendiente",C27))</formula>
    </cfRule>
    <cfRule type="expression" dxfId="194" priority="34">
      <formula>ISNUMBER(SEARCH("Revisar",C27))</formula>
    </cfRule>
    <cfRule type="expression" dxfId="193" priority="33">
      <formula>ISNUMBER(SEARCH("Atención",C27))</formula>
    </cfRule>
    <cfRule type="expression" dxfId="192" priority="32">
      <formula>ISNUMBER(SEARCH("En proceso",C27))</formula>
    </cfRule>
    <cfRule type="expression" dxfId="191" priority="31">
      <formula>ISNUMBER(SEARCH("Activo",C27))</formula>
    </cfRule>
    <cfRule type="expression" dxfId="190" priority="30">
      <formula>ISNUMBER(SEARCH("Cerrado",C27))</formula>
    </cfRule>
    <cfRule type="expression" dxfId="189" priority="29">
      <formula>ISNUMBER(SEARCH("Dominio",C27))</formula>
    </cfRule>
    <cfRule type="expression" dxfId="188" priority="28">
      <formula>ISNUMBER(SEARCH("Cumple",C27))</formula>
    </cfRule>
    <cfRule type="expression" dxfId="187" priority="27">
      <formula>ISNUMBER(SEARCH("Conciliado",C27))</formula>
    </cfRule>
  </conditionalFormatting>
  <conditionalFormatting sqref="E17:E23">
    <cfRule type="expression" dxfId="186" priority="14">
      <formula>ISNUMBER(SEARCH("Conciliado",E17))</formula>
    </cfRule>
    <cfRule type="expression" dxfId="185" priority="15">
      <formula>ISNUMBER(SEARCH("Cumple",E17))</formula>
    </cfRule>
    <cfRule type="expression" dxfId="184" priority="16">
      <formula>ISNUMBER(SEARCH("Dominio",E17))</formula>
    </cfRule>
    <cfRule type="expression" dxfId="183" priority="17">
      <formula>ISNUMBER(SEARCH("Cerrado",E17))</formula>
    </cfRule>
    <cfRule type="expression" dxfId="182" priority="18">
      <formula>ISNUMBER(SEARCH("Activo",E17))</formula>
    </cfRule>
    <cfRule type="expression" dxfId="181" priority="19">
      <formula>ISNUMBER(SEARCH("En proceso",E17))</formula>
    </cfRule>
    <cfRule type="expression" dxfId="180" priority="20">
      <formula>ISNUMBER(SEARCH("Atención",E17))</formula>
    </cfRule>
    <cfRule type="expression" dxfId="179" priority="21">
      <formula>ISNUMBER(SEARCH("Revisar",E17))</formula>
    </cfRule>
    <cfRule type="expression" dxfId="178" priority="22">
      <formula>ISNUMBER(SEARCH("Pendiente",E17))</formula>
    </cfRule>
    <cfRule type="expression" dxfId="177" priority="23">
      <formula>ISNUMBER(SEARCH("Diferencia crítica",E17))</formula>
    </cfRule>
    <cfRule type="expression" dxfId="176" priority="24">
      <formula>ISNUMBER(SEARCH("Crítico",E17))</formula>
    </cfRule>
    <cfRule type="expression" dxfId="175" priority="25">
      <formula>ISNUMBER(SEARCH("Riesgo",E17))</formula>
    </cfRule>
    <cfRule type="expression" dxfId="174" priority="26">
      <formula>ISNUMBER(SEARCH("No iniciado",E17))</formula>
    </cfRule>
  </conditionalFormatting>
  <conditionalFormatting sqref="G6:G13">
    <cfRule type="expression" dxfId="173" priority="13">
      <formula>ISNUMBER(SEARCH("No iniciado",G6))</formula>
    </cfRule>
    <cfRule type="expression" dxfId="172" priority="12">
      <formula>ISNUMBER(SEARCH("Riesgo",G6))</formula>
    </cfRule>
    <cfRule type="expression" dxfId="171" priority="11">
      <formula>ISNUMBER(SEARCH("Crítico",G6))</formula>
    </cfRule>
    <cfRule type="expression" dxfId="170" priority="10">
      <formula>ISNUMBER(SEARCH("Diferencia crítica",G6))</formula>
    </cfRule>
    <cfRule type="expression" dxfId="169" priority="9">
      <formula>ISNUMBER(SEARCH("Pendiente",G6))</formula>
    </cfRule>
    <cfRule type="expression" dxfId="168" priority="8">
      <formula>ISNUMBER(SEARCH("Revisar",G6))</formula>
    </cfRule>
    <cfRule type="expression" dxfId="167" priority="7">
      <formula>ISNUMBER(SEARCH("Atención",G6))</formula>
    </cfRule>
    <cfRule type="expression" dxfId="166" priority="6">
      <formula>ISNUMBER(SEARCH("En proceso",G6))</formula>
    </cfRule>
    <cfRule type="expression" dxfId="165" priority="5">
      <formula>ISNUMBER(SEARCH("Activo",G6))</formula>
    </cfRule>
    <cfRule type="expression" dxfId="164" priority="4">
      <formula>ISNUMBER(SEARCH("Cerrado",G6))</formula>
    </cfRule>
    <cfRule type="expression" dxfId="163" priority="3">
      <formula>ISNUMBER(SEARCH("Dominio",G6))</formula>
    </cfRule>
    <cfRule type="expression" dxfId="162" priority="2">
      <formula>ISNUMBER(SEARCH("Cumple",G6))</formula>
    </cfRule>
    <cfRule type="expression" dxfId="161" priority="1">
      <formula>ISNUMBER(SEARCH("Conciliado",G6))</formula>
    </cfRule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BFBFBF"/>
  </sheetPr>
  <dimension ref="A1:J35"/>
  <sheetViews>
    <sheetView showGridLines="0" workbookViewId="0"/>
  </sheetViews>
  <sheetFormatPr baseColWidth="10" defaultColWidth="8.7265625" defaultRowHeight="14.5"/>
  <cols>
    <col min="1" max="1" width="98.81640625" customWidth="1"/>
    <col min="2" max="2" width="35.6328125" customWidth="1"/>
    <col min="3" max="3" width="45.453125" customWidth="1"/>
    <col min="4" max="4" width="32.26953125" customWidth="1"/>
    <col min="5" max="5" width="9.81640625" customWidth="1"/>
    <col min="6" max="6" width="10.08984375" customWidth="1"/>
    <col min="7" max="7" width="11.7265625" customWidth="1"/>
    <col min="8" max="8" width="10.08984375" customWidth="1"/>
    <col min="9" max="9" width="12.54296875" customWidth="1"/>
    <col min="10" max="10" width="11.26953125" customWidth="1"/>
  </cols>
  <sheetData>
    <row r="1" spans="1:10" ht="21" customHeight="1">
      <c r="A1" s="145" t="s">
        <v>3988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9" customHeight="1">
      <c r="A2" s="146" t="s">
        <v>3989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>
      <c r="A3" s="147" t="s">
        <v>1061</v>
      </c>
      <c r="B3" s="147" t="s">
        <v>1210</v>
      </c>
      <c r="C3" s="147" t="s">
        <v>655</v>
      </c>
      <c r="D3" s="147" t="s">
        <v>959</v>
      </c>
      <c r="E3" s="98"/>
      <c r="F3" s="98"/>
      <c r="G3" s="98"/>
      <c r="H3" s="98"/>
      <c r="I3" s="98"/>
      <c r="J3" s="98"/>
    </row>
    <row r="4" spans="1:10">
      <c r="A4" s="98"/>
      <c r="B4" s="98"/>
      <c r="C4" s="98"/>
      <c r="D4" s="98"/>
      <c r="E4" s="98"/>
      <c r="F4" s="98"/>
      <c r="G4" s="98"/>
      <c r="H4" s="98"/>
      <c r="I4" s="98"/>
      <c r="J4" s="98"/>
    </row>
    <row r="5" spans="1:10" ht="29" customHeight="1">
      <c r="A5" s="138" t="s">
        <v>66</v>
      </c>
      <c r="B5" s="138" t="s">
        <v>3954</v>
      </c>
      <c r="C5" s="138" t="s">
        <v>3955</v>
      </c>
      <c r="D5" s="138" t="s">
        <v>1277</v>
      </c>
      <c r="E5" s="138" t="s">
        <v>1278</v>
      </c>
      <c r="F5" s="138" t="s">
        <v>248</v>
      </c>
      <c r="G5" s="138" t="s">
        <v>655</v>
      </c>
      <c r="H5" s="138" t="s">
        <v>11</v>
      </c>
      <c r="I5" s="138" t="s">
        <v>3956</v>
      </c>
      <c r="J5" s="138" t="s">
        <v>1242</v>
      </c>
    </row>
    <row r="6" spans="1:10" ht="29" customHeight="1">
      <c r="A6" s="98" t="s">
        <v>1109</v>
      </c>
      <c r="B6" s="123">
        <f>'17_Cierre_Mayo'!B6</f>
        <v>1339017</v>
      </c>
      <c r="C6" s="123"/>
      <c r="D6" s="98" t="s">
        <v>3957</v>
      </c>
      <c r="E6" s="98"/>
      <c r="F6" s="98" t="s">
        <v>332</v>
      </c>
      <c r="G6" s="98" t="s">
        <v>1279</v>
      </c>
      <c r="H6" s="98"/>
      <c r="I6" s="149" t="str">
        <f>IF(C6="","",MIN(B6/C6,1)*100)</f>
        <v/>
      </c>
      <c r="J6" s="98" t="s">
        <v>3958</v>
      </c>
    </row>
    <row r="7" spans="1:10" ht="29" customHeight="1">
      <c r="A7" s="98" t="s">
        <v>353</v>
      </c>
      <c r="B7" s="123">
        <f>'17_Cierre_Mayo'!B9</f>
        <v>90470</v>
      </c>
      <c r="C7" s="123"/>
      <c r="D7" s="98" t="s">
        <v>3959</v>
      </c>
      <c r="E7" s="98"/>
      <c r="F7" s="98" t="s">
        <v>332</v>
      </c>
      <c r="G7" s="98" t="s">
        <v>1279</v>
      </c>
      <c r="H7" s="98"/>
      <c r="I7" s="149" t="str">
        <f>IF(C7="","",MIN(B7/C7,1)*100)</f>
        <v/>
      </c>
      <c r="J7" s="98" t="s">
        <v>3958</v>
      </c>
    </row>
    <row r="8" spans="1:10" ht="29" customHeight="1">
      <c r="A8" s="98" t="s">
        <v>1282</v>
      </c>
      <c r="B8" s="123">
        <f>'17_Cierre_Mayo'!B11</f>
        <v>-653763</v>
      </c>
      <c r="C8" s="123"/>
      <c r="D8" s="98" t="s">
        <v>3960</v>
      </c>
      <c r="E8" s="98"/>
      <c r="F8" s="98" t="s">
        <v>332</v>
      </c>
      <c r="G8" s="98" t="s">
        <v>1279</v>
      </c>
      <c r="H8" s="98"/>
      <c r="I8" s="149" t="str">
        <f>IF(C8="","",MIN(B8/C8,1)*100)</f>
        <v/>
      </c>
      <c r="J8" s="98" t="s">
        <v>3958</v>
      </c>
    </row>
    <row r="9" spans="1:10" ht="29" customHeight="1">
      <c r="A9" s="98" t="s">
        <v>1285</v>
      </c>
      <c r="B9" s="123">
        <f>'17_Cierre_Mayo'!B12</f>
        <v>669545.09</v>
      </c>
      <c r="C9" s="123"/>
      <c r="D9" s="98" t="s">
        <v>3961</v>
      </c>
      <c r="E9" s="98"/>
      <c r="F9" s="98" t="s">
        <v>332</v>
      </c>
      <c r="G9" s="98" t="s">
        <v>1279</v>
      </c>
      <c r="H9" s="98"/>
      <c r="I9" s="149" t="str">
        <f>IF(C9="","",IF(C9=0,100,MAX(0,100-(B9/C9*100))))</f>
        <v/>
      </c>
      <c r="J9" s="98" t="s">
        <v>3958</v>
      </c>
    </row>
    <row r="10" spans="1:10" ht="29" customHeight="1">
      <c r="A10" s="98" t="s">
        <v>286</v>
      </c>
      <c r="B10" s="150">
        <f>'01_Score_Mayo'!B5</f>
        <v>0</v>
      </c>
      <c r="C10" s="150"/>
      <c r="D10" s="98" t="s">
        <v>3962</v>
      </c>
      <c r="E10" s="98"/>
      <c r="F10" s="98" t="s">
        <v>1289</v>
      </c>
      <c r="G10" s="98" t="s">
        <v>1279</v>
      </c>
      <c r="H10" s="98"/>
      <c r="I10" s="149" t="str">
        <f>IF(C10="","",MIN(B10/C10,1)*100)</f>
        <v/>
      </c>
      <c r="J10" s="98" t="s">
        <v>1248</v>
      </c>
    </row>
    <row r="11" spans="1:10" ht="29" customHeight="1">
      <c r="A11" s="98" t="s">
        <v>1291</v>
      </c>
      <c r="B11" s="150">
        <f>'01_Score_Mayo'!B7</f>
        <v>0</v>
      </c>
      <c r="C11" s="150"/>
      <c r="D11" s="98" t="s">
        <v>3963</v>
      </c>
      <c r="E11" s="98"/>
      <c r="F11" s="98" t="s">
        <v>1289</v>
      </c>
      <c r="G11" s="98" t="s">
        <v>1279</v>
      </c>
      <c r="H11" s="98"/>
      <c r="I11" s="149" t="str">
        <f>IF(C11="","",MIN(B11/C11,1)*100)</f>
        <v/>
      </c>
      <c r="J11" s="98" t="s">
        <v>1248</v>
      </c>
    </row>
    <row r="12" spans="1:10" ht="29" customHeight="1">
      <c r="A12" s="98" t="s">
        <v>1258</v>
      </c>
      <c r="B12" s="150">
        <f>'01_Score_Mayo'!B8</f>
        <v>0</v>
      </c>
      <c r="C12" s="150"/>
      <c r="D12" s="98" t="s">
        <v>3964</v>
      </c>
      <c r="E12" s="98"/>
      <c r="F12" s="98" t="s">
        <v>1289</v>
      </c>
      <c r="G12" s="98" t="s">
        <v>1279</v>
      </c>
      <c r="H12" s="98"/>
      <c r="I12" s="149" t="str">
        <f>IF(C12="","",MIN(B12/C12,1)*100)</f>
        <v/>
      </c>
      <c r="J12" s="98" t="s">
        <v>1245</v>
      </c>
    </row>
    <row r="13" spans="1:10" ht="29" customHeight="1">
      <c r="A13" s="98" t="s">
        <v>1110</v>
      </c>
      <c r="B13" s="98"/>
      <c r="C13" s="98"/>
      <c r="D13" s="98" t="s">
        <v>3965</v>
      </c>
      <c r="E13" s="98"/>
      <c r="F13" s="98" t="s">
        <v>1289</v>
      </c>
      <c r="G13" s="98" t="s">
        <v>1279</v>
      </c>
      <c r="H13" s="98"/>
      <c r="I13" s="98"/>
      <c r="J13" s="98" t="s">
        <v>3966</v>
      </c>
    </row>
    <row r="14" spans="1:10">
      <c r="A14" s="98"/>
      <c r="B14" s="98"/>
      <c r="C14" s="98"/>
      <c r="D14" s="98"/>
      <c r="E14" s="98"/>
      <c r="F14" s="98"/>
      <c r="G14" s="98"/>
      <c r="H14" s="98"/>
      <c r="I14" s="98"/>
      <c r="J14" s="98"/>
    </row>
    <row r="15" spans="1:10">
      <c r="A15" s="98"/>
      <c r="B15" s="98"/>
      <c r="C15" s="98"/>
      <c r="D15" s="98"/>
      <c r="E15" s="98"/>
      <c r="F15" s="98"/>
      <c r="G15" s="98"/>
      <c r="H15" s="98"/>
      <c r="I15" s="98"/>
      <c r="J15" s="98"/>
    </row>
    <row r="16" spans="1:10" ht="29" customHeight="1">
      <c r="A16" s="138" t="s">
        <v>3967</v>
      </c>
      <c r="B16" s="138" t="s">
        <v>3968</v>
      </c>
      <c r="C16" s="138" t="s">
        <v>3969</v>
      </c>
      <c r="D16" s="138" t="s">
        <v>1307</v>
      </c>
      <c r="E16" s="138" t="s">
        <v>655</v>
      </c>
      <c r="F16" s="138" t="s">
        <v>11</v>
      </c>
      <c r="G16" s="98"/>
      <c r="H16" s="98"/>
      <c r="I16" s="98"/>
      <c r="J16" s="98"/>
    </row>
    <row r="17" spans="1:10">
      <c r="A17" s="98" t="s">
        <v>1062</v>
      </c>
      <c r="B17" s="98" t="s">
        <v>3970</v>
      </c>
      <c r="C17" s="98" t="s">
        <v>3971</v>
      </c>
      <c r="D17" s="98" t="s">
        <v>3457</v>
      </c>
      <c r="E17" s="98" t="s">
        <v>49</v>
      </c>
      <c r="F17" s="98"/>
      <c r="G17" s="98"/>
      <c r="H17" s="98"/>
      <c r="I17" s="98"/>
      <c r="J17" s="98"/>
    </row>
    <row r="18" spans="1:10" ht="29" customHeight="1">
      <c r="A18" s="98" t="s">
        <v>1245</v>
      </c>
      <c r="B18" s="98" t="s">
        <v>3972</v>
      </c>
      <c r="C18" s="98" t="s">
        <v>3973</v>
      </c>
      <c r="D18" s="98" t="s">
        <v>3457</v>
      </c>
      <c r="E18" s="98" t="s">
        <v>49</v>
      </c>
      <c r="F18" s="98"/>
      <c r="G18" s="98"/>
      <c r="H18" s="98"/>
      <c r="I18" s="98"/>
      <c r="J18" s="98"/>
    </row>
    <row r="19" spans="1:10" ht="29" customHeight="1">
      <c r="A19" s="98" t="s">
        <v>157</v>
      </c>
      <c r="B19" s="98" t="s">
        <v>3974</v>
      </c>
      <c r="C19" s="98" t="s">
        <v>3975</v>
      </c>
      <c r="D19" s="98" t="s">
        <v>3976</v>
      </c>
      <c r="E19" s="98" t="s">
        <v>49</v>
      </c>
      <c r="F19" s="98"/>
      <c r="G19" s="98"/>
      <c r="H19" s="98"/>
      <c r="I19" s="98"/>
      <c r="J19" s="98"/>
    </row>
    <row r="20" spans="1:10">
      <c r="A20" s="98" t="s">
        <v>215</v>
      </c>
      <c r="B20" s="98" t="s">
        <v>962</v>
      </c>
      <c r="C20" s="98" t="s">
        <v>3977</v>
      </c>
      <c r="D20" s="98" t="s">
        <v>3978</v>
      </c>
      <c r="E20" s="98" t="s">
        <v>49</v>
      </c>
      <c r="F20" s="98"/>
      <c r="G20" s="98"/>
      <c r="H20" s="98"/>
      <c r="I20" s="98"/>
      <c r="J20" s="98"/>
    </row>
    <row r="21" spans="1:10">
      <c r="A21" s="98" t="s">
        <v>286</v>
      </c>
      <c r="B21" s="98" t="s">
        <v>965</v>
      </c>
      <c r="C21" s="98" t="s">
        <v>3979</v>
      </c>
      <c r="D21" s="98" t="s">
        <v>2670</v>
      </c>
      <c r="E21" s="98" t="s">
        <v>49</v>
      </c>
      <c r="F21" s="98"/>
      <c r="G21" s="98"/>
      <c r="H21" s="98"/>
      <c r="I21" s="98"/>
      <c r="J21" s="98"/>
    </row>
    <row r="22" spans="1:10">
      <c r="A22" s="98" t="s">
        <v>1064</v>
      </c>
      <c r="B22" s="98" t="s">
        <v>3980</v>
      </c>
      <c r="C22" s="98" t="s">
        <v>3981</v>
      </c>
      <c r="D22" s="98" t="s">
        <v>3457</v>
      </c>
      <c r="E22" s="98" t="s">
        <v>49</v>
      </c>
      <c r="F22" s="98"/>
      <c r="G22" s="98"/>
      <c r="H22" s="98"/>
      <c r="I22" s="98"/>
      <c r="J22" s="98"/>
    </row>
    <row r="23" spans="1:10">
      <c r="A23" s="98" t="s">
        <v>389</v>
      </c>
      <c r="B23" s="98" t="s">
        <v>3982</v>
      </c>
      <c r="C23" s="98" t="s">
        <v>3983</v>
      </c>
      <c r="D23" s="98" t="s">
        <v>3457</v>
      </c>
      <c r="E23" s="98" t="s">
        <v>49</v>
      </c>
      <c r="F23" s="98"/>
      <c r="G23" s="98"/>
      <c r="H23" s="98"/>
      <c r="I23" s="98"/>
      <c r="J23" s="98"/>
    </row>
    <row r="24" spans="1:10">
      <c r="A24" s="98"/>
      <c r="B24" s="98"/>
      <c r="C24" s="98"/>
      <c r="D24" s="98"/>
      <c r="E24" s="98"/>
      <c r="F24" s="98"/>
      <c r="G24" s="98"/>
      <c r="H24" s="98"/>
      <c r="I24" s="98"/>
      <c r="J24" s="98"/>
    </row>
    <row r="25" spans="1:10">
      <c r="A25" s="98"/>
      <c r="B25" s="98"/>
      <c r="C25" s="98"/>
      <c r="D25" s="98"/>
      <c r="E25" s="98"/>
      <c r="F25" s="98"/>
      <c r="G25" s="98"/>
      <c r="H25" s="98"/>
      <c r="I25" s="98"/>
      <c r="J25" s="98"/>
    </row>
    <row r="26" spans="1:10" ht="29" customHeight="1">
      <c r="A26" s="138" t="s">
        <v>3984</v>
      </c>
      <c r="B26" s="138" t="s">
        <v>7</v>
      </c>
      <c r="C26" s="138" t="s">
        <v>655</v>
      </c>
      <c r="D26" s="138" t="s">
        <v>252</v>
      </c>
      <c r="E26" s="138" t="s">
        <v>656</v>
      </c>
      <c r="F26" s="138" t="s">
        <v>696</v>
      </c>
      <c r="G26" s="98"/>
      <c r="H26" s="98"/>
      <c r="I26" s="98"/>
      <c r="J26" s="98"/>
    </row>
    <row r="27" spans="1:10">
      <c r="A27" s="98" t="s">
        <v>1229</v>
      </c>
      <c r="B27" s="123">
        <f>SUMIF('11_Ingresos'!$K$5:$K$204,$B$3,'11_Ingresos'!$C$5:$C$204)</f>
        <v>0</v>
      </c>
      <c r="C27" s="98" t="str">
        <f t="shared" ref="C27:C32" si="0">IF(B27="","🟡 En proceso",IF(ISNUMBER(B27),IF(B27&gt;0,"🟢 Cumple","🔴 Riesgo"),"🟡 En proceso"))</f>
        <v>🔴 Riesgo</v>
      </c>
      <c r="D27" s="98" t="s">
        <v>156</v>
      </c>
      <c r="E27" s="98"/>
      <c r="F27" s="98"/>
      <c r="G27" s="98"/>
      <c r="H27" s="98"/>
      <c r="I27" s="98"/>
      <c r="J27" s="98"/>
    </row>
    <row r="28" spans="1:10">
      <c r="A28" s="98" t="s">
        <v>1227</v>
      </c>
      <c r="B28" s="123">
        <f>SUMIFS('12_Gastos'!$D$5:$D$403,'12_Gastos'!$I$5:$I$403,$B$3,'12_Gastos'!$J$5:$J$403,"Gasto real")</f>
        <v>0</v>
      </c>
      <c r="C28" s="98" t="str">
        <f t="shared" si="0"/>
        <v>🔴 Riesgo</v>
      </c>
      <c r="D28" s="98" t="s">
        <v>164</v>
      </c>
      <c r="E28" s="98"/>
      <c r="F28" s="98"/>
      <c r="G28" s="98"/>
      <c r="H28" s="98"/>
      <c r="I28" s="98"/>
      <c r="J28" s="98"/>
    </row>
    <row r="29" spans="1:10">
      <c r="A29" s="98" t="s">
        <v>1387</v>
      </c>
      <c r="B29" s="123" t="str">
        <f>IF($B$3='18_Conciliacion_Bancaria_V2'!$B$3,'18_Conciliacion_Bancaria_V2'!B26,"Seleccionar mes en conciliación")</f>
        <v>Seleccionar mes en conciliación</v>
      </c>
      <c r="C29" s="98" t="str">
        <f t="shared" si="0"/>
        <v>🟡 En proceso</v>
      </c>
      <c r="D29" s="98" t="s">
        <v>770</v>
      </c>
      <c r="E29" s="98"/>
      <c r="F29" s="98"/>
      <c r="G29" s="98"/>
      <c r="H29" s="98"/>
      <c r="I29" s="98"/>
      <c r="J29" s="98"/>
    </row>
    <row r="30" spans="1:10">
      <c r="A30" s="98" t="s">
        <v>1344</v>
      </c>
      <c r="B30" s="149">
        <f>COUNTA('40_Estudio_Empresas'!C3:C204)</f>
        <v>1</v>
      </c>
      <c r="C30" s="98" t="str">
        <f t="shared" si="0"/>
        <v>🟢 Cumple</v>
      </c>
      <c r="D30" s="98" t="s">
        <v>675</v>
      </c>
      <c r="E30" s="98"/>
      <c r="F30" s="98"/>
      <c r="G30" s="98"/>
      <c r="H30" s="98"/>
      <c r="I30" s="98"/>
      <c r="J30" s="98"/>
    </row>
    <row r="31" spans="1:10">
      <c r="A31" s="98" t="s">
        <v>3479</v>
      </c>
      <c r="B31" s="149">
        <f>COUNTIF('32_Oportunidades'!A5:A204,"?*")</f>
        <v>0</v>
      </c>
      <c r="C31" s="98" t="str">
        <f t="shared" si="0"/>
        <v>🔴 Riesgo</v>
      </c>
      <c r="D31" s="98" t="s">
        <v>747</v>
      </c>
      <c r="E31" s="98"/>
      <c r="F31" s="98"/>
      <c r="G31" s="98"/>
      <c r="H31" s="98"/>
      <c r="I31" s="98"/>
      <c r="J31" s="98"/>
    </row>
    <row r="32" spans="1:10">
      <c r="A32" s="98" t="s">
        <v>3985</v>
      </c>
      <c r="B32" s="149">
        <f>IFERROR(INDEX('04_Score_Ejecutivo_Consolidado'!$J$5:$J$12,MATCH($B$3,'04_Score_Ejecutivo_Consolidado'!$A$5:$A$12,0)),0)</f>
        <v>0</v>
      </c>
      <c r="C32" s="98" t="str">
        <f t="shared" si="0"/>
        <v>🔴 Riesgo</v>
      </c>
      <c r="D32" s="98" t="s">
        <v>706</v>
      </c>
      <c r="E32" s="98"/>
      <c r="F32" s="98"/>
      <c r="G32" s="98"/>
      <c r="H32" s="98"/>
      <c r="I32" s="98"/>
      <c r="J32" s="98"/>
    </row>
    <row r="33" spans="1:10">
      <c r="A33" s="98"/>
      <c r="B33" s="98"/>
      <c r="C33" s="98"/>
      <c r="D33" s="98"/>
      <c r="E33" s="98"/>
      <c r="F33" s="98"/>
      <c r="G33" s="98"/>
      <c r="H33" s="98"/>
      <c r="I33" s="98"/>
      <c r="J33" s="98"/>
    </row>
    <row r="34" spans="1:10">
      <c r="A34" s="98"/>
      <c r="B34" s="98"/>
      <c r="C34" s="98"/>
      <c r="D34" s="98"/>
      <c r="E34" s="98"/>
      <c r="F34" s="98"/>
      <c r="G34" s="98"/>
      <c r="H34" s="98"/>
      <c r="I34" s="98"/>
      <c r="J34" s="98"/>
    </row>
    <row r="35" spans="1:10">
      <c r="A35" s="98"/>
      <c r="B35" s="98"/>
      <c r="C35" s="98"/>
      <c r="D35" s="98"/>
      <c r="E35" s="98"/>
      <c r="F35" s="98"/>
      <c r="G35" s="98"/>
      <c r="H35" s="98"/>
      <c r="I35" s="98"/>
      <c r="J35" s="98"/>
    </row>
  </sheetData>
  <conditionalFormatting sqref="C27:C32">
    <cfRule type="expression" dxfId="160" priority="39">
      <formula>ISNUMBER(SEARCH("No iniciado",C27))</formula>
    </cfRule>
    <cfRule type="expression" dxfId="159" priority="38">
      <formula>ISNUMBER(SEARCH("Riesgo",C27))</formula>
    </cfRule>
    <cfRule type="expression" dxfId="158" priority="37">
      <formula>ISNUMBER(SEARCH("Crítico",C27))</formula>
    </cfRule>
    <cfRule type="expression" dxfId="157" priority="36">
      <formula>ISNUMBER(SEARCH("Diferencia crítica",C27))</formula>
    </cfRule>
    <cfRule type="expression" dxfId="156" priority="35">
      <formula>ISNUMBER(SEARCH("Pendiente",C27))</formula>
    </cfRule>
    <cfRule type="expression" dxfId="155" priority="34">
      <formula>ISNUMBER(SEARCH("Revisar",C27))</formula>
    </cfRule>
    <cfRule type="expression" dxfId="154" priority="33">
      <formula>ISNUMBER(SEARCH("Atención",C27))</formula>
    </cfRule>
    <cfRule type="expression" dxfId="153" priority="32">
      <formula>ISNUMBER(SEARCH("En proceso",C27))</formula>
    </cfRule>
    <cfRule type="expression" dxfId="152" priority="31">
      <formula>ISNUMBER(SEARCH("Activo",C27))</formula>
    </cfRule>
    <cfRule type="expression" dxfId="151" priority="30">
      <formula>ISNUMBER(SEARCH("Cerrado",C27))</formula>
    </cfRule>
    <cfRule type="expression" dxfId="150" priority="29">
      <formula>ISNUMBER(SEARCH("Dominio",C27))</formula>
    </cfRule>
    <cfRule type="expression" dxfId="149" priority="28">
      <formula>ISNUMBER(SEARCH("Cumple",C27))</formula>
    </cfRule>
    <cfRule type="expression" dxfId="148" priority="27">
      <formula>ISNUMBER(SEARCH("Conciliado",C27))</formula>
    </cfRule>
  </conditionalFormatting>
  <conditionalFormatting sqref="E17:E23">
    <cfRule type="expression" dxfId="147" priority="14">
      <formula>ISNUMBER(SEARCH("Conciliado",E17))</formula>
    </cfRule>
    <cfRule type="expression" dxfId="146" priority="15">
      <formula>ISNUMBER(SEARCH("Cumple",E17))</formula>
    </cfRule>
    <cfRule type="expression" dxfId="145" priority="16">
      <formula>ISNUMBER(SEARCH("Dominio",E17))</formula>
    </cfRule>
    <cfRule type="expression" dxfId="144" priority="17">
      <formula>ISNUMBER(SEARCH("Cerrado",E17))</formula>
    </cfRule>
    <cfRule type="expression" dxfId="143" priority="18">
      <formula>ISNUMBER(SEARCH("Activo",E17))</formula>
    </cfRule>
    <cfRule type="expression" dxfId="142" priority="19">
      <formula>ISNUMBER(SEARCH("En proceso",E17))</formula>
    </cfRule>
    <cfRule type="expression" dxfId="141" priority="20">
      <formula>ISNUMBER(SEARCH("Atención",E17))</formula>
    </cfRule>
    <cfRule type="expression" dxfId="140" priority="21">
      <formula>ISNUMBER(SEARCH("Revisar",E17))</formula>
    </cfRule>
    <cfRule type="expression" dxfId="139" priority="22">
      <formula>ISNUMBER(SEARCH("Pendiente",E17))</formula>
    </cfRule>
    <cfRule type="expression" dxfId="138" priority="23">
      <formula>ISNUMBER(SEARCH("Diferencia crítica",E17))</formula>
    </cfRule>
    <cfRule type="expression" dxfId="137" priority="24">
      <formula>ISNUMBER(SEARCH("Crítico",E17))</formula>
    </cfRule>
    <cfRule type="expression" dxfId="136" priority="25">
      <formula>ISNUMBER(SEARCH("Riesgo",E17))</formula>
    </cfRule>
    <cfRule type="expression" dxfId="135" priority="26">
      <formula>ISNUMBER(SEARCH("No iniciado",E17))</formula>
    </cfRule>
  </conditionalFormatting>
  <conditionalFormatting sqref="G6:G13">
    <cfRule type="expression" dxfId="134" priority="13">
      <formula>ISNUMBER(SEARCH("No iniciado",G6))</formula>
    </cfRule>
    <cfRule type="expression" dxfId="133" priority="12">
      <formula>ISNUMBER(SEARCH("Riesgo",G6))</formula>
    </cfRule>
    <cfRule type="expression" dxfId="132" priority="11">
      <formula>ISNUMBER(SEARCH("Crítico",G6))</formula>
    </cfRule>
    <cfRule type="expression" dxfId="131" priority="10">
      <formula>ISNUMBER(SEARCH("Diferencia crítica",G6))</formula>
    </cfRule>
    <cfRule type="expression" dxfId="130" priority="9">
      <formula>ISNUMBER(SEARCH("Pendiente",G6))</formula>
    </cfRule>
    <cfRule type="expression" dxfId="129" priority="8">
      <formula>ISNUMBER(SEARCH("Revisar",G6))</formula>
    </cfRule>
    <cfRule type="expression" dxfId="128" priority="7">
      <formula>ISNUMBER(SEARCH("Atención",G6))</formula>
    </cfRule>
    <cfRule type="expression" dxfId="127" priority="6">
      <formula>ISNUMBER(SEARCH("En proceso",G6))</formula>
    </cfRule>
    <cfRule type="expression" dxfId="126" priority="5">
      <formula>ISNUMBER(SEARCH("Activo",G6))</formula>
    </cfRule>
    <cfRule type="expression" dxfId="125" priority="4">
      <formula>ISNUMBER(SEARCH("Cerrado",G6))</formula>
    </cfRule>
    <cfRule type="expression" dxfId="124" priority="3">
      <formula>ISNUMBER(SEARCH("Dominio",G6))</formula>
    </cfRule>
    <cfRule type="expression" dxfId="123" priority="2">
      <formula>ISNUMBER(SEARCH("Cumple",G6))</formula>
    </cfRule>
    <cfRule type="expression" dxfId="122" priority="1">
      <formula>ISNUMBER(SEARCH("Conciliado",G6))</formula>
    </cfRule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BFBFBF"/>
  </sheetPr>
  <dimension ref="A1:V100"/>
  <sheetViews>
    <sheetView showGridLines="0" workbookViewId="0"/>
  </sheetViews>
  <sheetFormatPr baseColWidth="10" defaultColWidth="14.453125" defaultRowHeight="14.5"/>
  <cols>
    <col min="1" max="6" width="24" customWidth="1"/>
    <col min="8" max="8" width="17.453125" customWidth="1"/>
    <col min="9" max="9" width="14.6328125" customWidth="1"/>
    <col min="10" max="10" width="16.7265625" customWidth="1"/>
    <col min="11" max="11" width="12.81640625" customWidth="1"/>
    <col min="13" max="13" width="9" customWidth="1"/>
    <col min="14" max="14" width="5.08984375" customWidth="1"/>
    <col min="15" max="22" width="20" customWidth="1"/>
  </cols>
  <sheetData>
    <row r="1" spans="1:22" ht="21.5" customHeight="1">
      <c r="A1" s="450" t="s">
        <v>3990</v>
      </c>
      <c r="B1" s="426"/>
      <c r="C1" s="426"/>
      <c r="D1" s="426"/>
      <c r="E1" s="426"/>
      <c r="F1" s="426"/>
      <c r="G1" s="426"/>
      <c r="H1" s="426"/>
    </row>
    <row r="2" spans="1:22">
      <c r="A2" s="435" t="s">
        <v>3991</v>
      </c>
      <c r="B2" s="426"/>
      <c r="C2" s="426"/>
      <c r="D2" s="426"/>
      <c r="E2" s="426"/>
      <c r="F2" s="426"/>
      <c r="G2" s="426"/>
      <c r="H2" s="426"/>
    </row>
    <row r="3" spans="1:22">
      <c r="A3" s="4"/>
      <c r="B3" s="4"/>
      <c r="C3" s="4"/>
      <c r="D3" s="4"/>
      <c r="E3" s="4"/>
      <c r="F3" s="4"/>
      <c r="G3" s="4"/>
      <c r="H3" s="4"/>
    </row>
    <row r="4" spans="1:22" ht="29" customHeight="1">
      <c r="A4" s="46" t="s">
        <v>3992</v>
      </c>
      <c r="B4" s="46" t="s">
        <v>3993</v>
      </c>
      <c r="C4" s="46" t="s">
        <v>3994</v>
      </c>
      <c r="D4" s="46" t="s">
        <v>3995</v>
      </c>
      <c r="E4" s="46" t="s">
        <v>655</v>
      </c>
      <c r="F4" s="46" t="s">
        <v>248</v>
      </c>
      <c r="G4" s="4"/>
      <c r="H4" s="119" t="s">
        <v>3996</v>
      </c>
      <c r="I4" s="119" t="s">
        <v>3997</v>
      </c>
      <c r="J4" s="119" t="s">
        <v>3998</v>
      </c>
      <c r="K4" s="119" t="s">
        <v>3999</v>
      </c>
      <c r="M4" s="138" t="s">
        <v>1061</v>
      </c>
      <c r="N4" s="138" t="s">
        <v>63</v>
      </c>
      <c r="O4" s="169" t="s">
        <v>4000</v>
      </c>
      <c r="P4" s="169" t="s">
        <v>1631</v>
      </c>
      <c r="Q4" s="169" t="s">
        <v>4001</v>
      </c>
      <c r="R4" s="169" t="s">
        <v>4002</v>
      </c>
      <c r="S4" s="169" t="s">
        <v>2182</v>
      </c>
      <c r="T4" s="169" t="s">
        <v>4003</v>
      </c>
      <c r="U4" s="169" t="s">
        <v>4004</v>
      </c>
      <c r="V4" s="169" t="s">
        <v>1395</v>
      </c>
    </row>
    <row r="5" spans="1:22">
      <c r="A5" s="4" t="s">
        <v>1425</v>
      </c>
      <c r="B5" s="4" t="s">
        <v>1463</v>
      </c>
      <c r="C5" s="4" t="s">
        <v>1465</v>
      </c>
      <c r="D5" s="4" t="s">
        <v>87</v>
      </c>
      <c r="E5" s="83" t="s">
        <v>1614</v>
      </c>
      <c r="F5" s="4" t="s">
        <v>332</v>
      </c>
      <c r="G5" s="4"/>
      <c r="H5" s="4" t="s">
        <v>3647</v>
      </c>
      <c r="I5" t="s">
        <v>4005</v>
      </c>
      <c r="J5" t="s">
        <v>49</v>
      </c>
      <c r="K5" t="s">
        <v>4006</v>
      </c>
      <c r="M5" t="s">
        <v>1197</v>
      </c>
      <c r="N5">
        <v>5</v>
      </c>
      <c r="O5" t="s">
        <v>4007</v>
      </c>
      <c r="P5" t="s">
        <v>4008</v>
      </c>
      <c r="Q5" t="s">
        <v>4009</v>
      </c>
      <c r="R5" t="s">
        <v>959</v>
      </c>
      <c r="S5" t="s">
        <v>4010</v>
      </c>
      <c r="T5" t="s">
        <v>1907</v>
      </c>
      <c r="U5" t="s">
        <v>4011</v>
      </c>
      <c r="V5" t="s">
        <v>1402</v>
      </c>
    </row>
    <row r="6" spans="1:22">
      <c r="A6" s="4" t="s">
        <v>1433</v>
      </c>
      <c r="B6" s="4" t="s">
        <v>1490</v>
      </c>
      <c r="C6" s="4" t="s">
        <v>353</v>
      </c>
      <c r="D6" s="4" t="s">
        <v>58</v>
      </c>
      <c r="E6" s="83" t="s">
        <v>1279</v>
      </c>
      <c r="F6" s="4" t="s">
        <v>1289</v>
      </c>
      <c r="G6" s="4"/>
      <c r="H6" s="4" t="s">
        <v>3651</v>
      </c>
      <c r="I6" t="s">
        <v>4012</v>
      </c>
      <c r="J6" t="s">
        <v>2190</v>
      </c>
      <c r="K6" t="s">
        <v>4013</v>
      </c>
      <c r="M6" t="s">
        <v>1188</v>
      </c>
      <c r="N6">
        <v>6</v>
      </c>
      <c r="O6" t="s">
        <v>4014</v>
      </c>
      <c r="P6" t="s">
        <v>4015</v>
      </c>
      <c r="Q6" t="s">
        <v>4016</v>
      </c>
      <c r="R6" t="s">
        <v>4017</v>
      </c>
      <c r="S6" t="s">
        <v>1110</v>
      </c>
      <c r="T6" t="s">
        <v>332</v>
      </c>
      <c r="U6" t="s">
        <v>4018</v>
      </c>
      <c r="V6" t="s">
        <v>1635</v>
      </c>
    </row>
    <row r="7" spans="1:22">
      <c r="A7" s="4" t="s">
        <v>1429</v>
      </c>
      <c r="B7" s="4" t="s">
        <v>286</v>
      </c>
      <c r="C7" s="4" t="s">
        <v>1282</v>
      </c>
      <c r="D7" s="4"/>
      <c r="E7" s="83" t="s">
        <v>1621</v>
      </c>
      <c r="F7" s="4" t="s">
        <v>2006</v>
      </c>
      <c r="G7" s="4"/>
      <c r="H7" s="4" t="s">
        <v>2928</v>
      </c>
      <c r="I7" t="s">
        <v>2929</v>
      </c>
      <c r="J7" t="s">
        <v>4019</v>
      </c>
      <c r="K7" t="s">
        <v>4020</v>
      </c>
      <c r="M7" t="s">
        <v>1208</v>
      </c>
      <c r="N7">
        <v>7</v>
      </c>
      <c r="O7" t="s">
        <v>4021</v>
      </c>
      <c r="P7" t="s">
        <v>4022</v>
      </c>
      <c r="Q7" t="s">
        <v>4023</v>
      </c>
      <c r="R7" t="s">
        <v>4024</v>
      </c>
      <c r="S7" t="s">
        <v>1764</v>
      </c>
      <c r="T7" t="s">
        <v>1289</v>
      </c>
      <c r="U7" t="s">
        <v>4025</v>
      </c>
    </row>
    <row r="8" spans="1:22">
      <c r="A8" s="4" t="s">
        <v>1442</v>
      </c>
      <c r="B8" s="4" t="s">
        <v>1469</v>
      </c>
      <c r="C8" s="4" t="s">
        <v>1285</v>
      </c>
      <c r="D8" s="4"/>
      <c r="E8" s="83" t="s">
        <v>4026</v>
      </c>
      <c r="F8" s="4"/>
      <c r="G8" s="4"/>
      <c r="H8" s="4" t="s">
        <v>3657</v>
      </c>
      <c r="I8" t="s">
        <v>3654</v>
      </c>
      <c r="J8" t="s">
        <v>4027</v>
      </c>
      <c r="K8" t="s">
        <v>4028</v>
      </c>
      <c r="M8" t="s">
        <v>1210</v>
      </c>
      <c r="N8">
        <v>8</v>
      </c>
      <c r="O8" t="s">
        <v>4029</v>
      </c>
      <c r="Q8" t="s">
        <v>4030</v>
      </c>
      <c r="R8" t="s">
        <v>4031</v>
      </c>
      <c r="S8" t="s">
        <v>2206</v>
      </c>
      <c r="T8" t="s">
        <v>2006</v>
      </c>
      <c r="U8" t="s">
        <v>2436</v>
      </c>
    </row>
    <row r="9" spans="1:22">
      <c r="A9" s="4" t="s">
        <v>1450</v>
      </c>
      <c r="B9" s="4" t="s">
        <v>4032</v>
      </c>
      <c r="C9" s="4" t="s">
        <v>1493</v>
      </c>
      <c r="D9" s="4"/>
      <c r="E9" s="83" t="s">
        <v>4033</v>
      </c>
      <c r="F9" s="4"/>
      <c r="G9" s="4"/>
      <c r="H9" s="4"/>
      <c r="I9" t="s">
        <v>4034</v>
      </c>
      <c r="J9" t="s">
        <v>2196</v>
      </c>
      <c r="K9" t="s">
        <v>3545</v>
      </c>
      <c r="M9" t="s">
        <v>1212</v>
      </c>
      <c r="N9">
        <v>9</v>
      </c>
      <c r="R9" t="s">
        <v>4035</v>
      </c>
      <c r="S9" t="s">
        <v>2209</v>
      </c>
      <c r="U9" t="s">
        <v>4036</v>
      </c>
    </row>
    <row r="10" spans="1:22">
      <c r="A10" s="4" t="s">
        <v>764</v>
      </c>
      <c r="B10" s="4" t="s">
        <v>322</v>
      </c>
      <c r="C10" s="4" t="s">
        <v>286</v>
      </c>
      <c r="D10" s="4"/>
      <c r="E10" s="83" t="s">
        <v>4037</v>
      </c>
      <c r="F10" s="4"/>
      <c r="G10" s="4"/>
      <c r="H10" s="4"/>
      <c r="I10" t="s">
        <v>3658</v>
      </c>
      <c r="J10" t="s">
        <v>4038</v>
      </c>
      <c r="K10" t="s">
        <v>4038</v>
      </c>
      <c r="M10" t="s">
        <v>1214</v>
      </c>
      <c r="N10">
        <v>10</v>
      </c>
      <c r="R10" t="s">
        <v>2196</v>
      </c>
      <c r="S10" t="s">
        <v>2203</v>
      </c>
      <c r="U10" t="s">
        <v>1669</v>
      </c>
    </row>
    <row r="11" spans="1:22">
      <c r="A11" s="4"/>
      <c r="B11" s="4" t="s">
        <v>1110</v>
      </c>
      <c r="C11" s="4" t="s">
        <v>322</v>
      </c>
      <c r="D11" s="4"/>
      <c r="E11" s="4"/>
      <c r="F11" s="4"/>
      <c r="G11" s="4"/>
      <c r="H11" s="4"/>
      <c r="I11" t="s">
        <v>4039</v>
      </c>
      <c r="M11" t="s">
        <v>1215</v>
      </c>
      <c r="N11">
        <v>11</v>
      </c>
      <c r="S11" t="s">
        <v>1964</v>
      </c>
      <c r="U11" t="s">
        <v>1844</v>
      </c>
    </row>
    <row r="12" spans="1:22">
      <c r="A12" s="4"/>
      <c r="B12" s="4" t="s">
        <v>1500</v>
      </c>
      <c r="C12" s="4" t="s">
        <v>1110</v>
      </c>
      <c r="D12" s="4"/>
      <c r="E12" s="4"/>
      <c r="F12" s="4"/>
      <c r="G12" s="4"/>
      <c r="H12" s="4"/>
      <c r="I12" t="s">
        <v>4040</v>
      </c>
      <c r="M12" t="s">
        <v>1217</v>
      </c>
      <c r="N12">
        <v>12</v>
      </c>
      <c r="S12" t="s">
        <v>2470</v>
      </c>
      <c r="U12" t="s">
        <v>2205</v>
      </c>
    </row>
    <row r="13" spans="1:22">
      <c r="A13" s="4"/>
      <c r="B13" s="4" t="s">
        <v>4041</v>
      </c>
      <c r="C13" s="4" t="s">
        <v>1291</v>
      </c>
      <c r="D13" s="4"/>
      <c r="E13" s="4"/>
      <c r="F13" s="4"/>
      <c r="G13" s="4"/>
      <c r="H13" s="4"/>
      <c r="S13" t="s">
        <v>4042</v>
      </c>
    </row>
    <row r="14" spans="1:22">
      <c r="A14" s="4"/>
      <c r="B14" s="4" t="s">
        <v>1477</v>
      </c>
      <c r="C14" s="4"/>
      <c r="D14" s="4"/>
      <c r="E14" s="4"/>
      <c r="F14" s="4"/>
      <c r="G14" s="4"/>
      <c r="H14" s="4"/>
    </row>
    <row r="15" spans="1:22">
      <c r="A15" s="4"/>
      <c r="B15" s="4" t="s">
        <v>1285</v>
      </c>
      <c r="C15" s="4"/>
      <c r="D15" s="4"/>
      <c r="E15" s="4"/>
      <c r="F15" s="4"/>
      <c r="G15" s="4"/>
      <c r="H15" s="4"/>
    </row>
    <row r="16" spans="1:22">
      <c r="A16" s="4"/>
      <c r="B16" s="4" t="s">
        <v>1282</v>
      </c>
      <c r="C16" s="4"/>
      <c r="D16" s="4"/>
      <c r="E16" s="4"/>
      <c r="F16" s="4"/>
      <c r="G16" s="4"/>
      <c r="H16" s="4"/>
    </row>
    <row r="17" spans="1:8">
      <c r="A17" s="4"/>
      <c r="B17" s="4" t="s">
        <v>1488</v>
      </c>
      <c r="C17" s="4"/>
      <c r="D17" s="4"/>
      <c r="E17" s="4"/>
      <c r="F17" s="4"/>
      <c r="G17" s="4"/>
      <c r="H17" s="4"/>
    </row>
    <row r="18" spans="1:8">
      <c r="A18" s="7"/>
      <c r="B18" s="7"/>
      <c r="C18" s="7"/>
      <c r="D18" s="7"/>
      <c r="E18" s="7"/>
      <c r="F18" s="7"/>
    </row>
    <row r="19" spans="1:8" ht="1.9" customHeight="1">
      <c r="A19" s="7"/>
      <c r="B19" s="7"/>
      <c r="C19" s="7"/>
      <c r="D19" s="7"/>
      <c r="E19" s="7"/>
      <c r="F19" s="7"/>
    </row>
    <row r="20" spans="1:8">
      <c r="A20" s="7"/>
      <c r="B20" s="7"/>
      <c r="C20" s="7"/>
      <c r="D20" s="7"/>
      <c r="E20" s="7"/>
      <c r="F20" s="7"/>
    </row>
    <row r="21" spans="1:8">
      <c r="A21" s="7"/>
      <c r="B21" s="7"/>
      <c r="C21" s="7"/>
      <c r="D21" s="7"/>
      <c r="E21" s="7"/>
      <c r="F21" s="7"/>
    </row>
    <row r="22" spans="1:8">
      <c r="A22" s="7"/>
      <c r="B22" s="7"/>
      <c r="C22" s="7"/>
      <c r="D22" s="7"/>
      <c r="E22" s="7"/>
      <c r="F22" s="7"/>
    </row>
    <row r="23" spans="1:8">
      <c r="A23" s="7"/>
      <c r="B23" s="7"/>
      <c r="C23" s="7"/>
      <c r="D23" s="7"/>
      <c r="E23" s="7"/>
      <c r="F23" s="7"/>
    </row>
    <row r="24" spans="1:8" ht="1.9" customHeight="1">
      <c r="A24" s="7"/>
      <c r="B24" s="7"/>
      <c r="C24" s="7"/>
      <c r="D24" s="7"/>
      <c r="E24" s="7"/>
      <c r="F24" s="7"/>
    </row>
    <row r="25" spans="1:8" ht="1.9" customHeight="1">
      <c r="A25" s="7"/>
      <c r="B25" s="7"/>
      <c r="C25" s="7"/>
      <c r="D25" s="7"/>
      <c r="E25" s="7"/>
      <c r="F25" s="7"/>
    </row>
    <row r="26" spans="1:8" ht="1.9" customHeight="1">
      <c r="A26" s="7"/>
      <c r="B26" s="7"/>
      <c r="C26" s="7"/>
      <c r="D26" s="7"/>
      <c r="E26" s="7"/>
      <c r="F26" s="7"/>
    </row>
    <row r="27" spans="1:8" ht="1.9" customHeight="1">
      <c r="A27" s="7"/>
      <c r="B27" s="7"/>
      <c r="C27" s="7"/>
      <c r="D27" s="7"/>
      <c r="E27" s="7"/>
      <c r="F27" s="7"/>
    </row>
    <row r="28" spans="1:8">
      <c r="A28" s="7"/>
      <c r="B28" s="7"/>
      <c r="C28" s="7"/>
      <c r="D28" s="7"/>
      <c r="E28" s="7"/>
      <c r="F28" s="7"/>
    </row>
    <row r="29" spans="1:8" ht="1.9" customHeight="1">
      <c r="A29" s="7"/>
      <c r="B29" s="7"/>
      <c r="C29" s="7"/>
      <c r="D29" s="7"/>
      <c r="E29" s="7"/>
      <c r="F29" s="7"/>
    </row>
    <row r="30" spans="1:8" ht="1.9" customHeight="1">
      <c r="A30" s="7"/>
      <c r="B30" s="7"/>
      <c r="C30" s="7"/>
      <c r="D30" s="7"/>
      <c r="E30" s="7"/>
      <c r="F30" s="7"/>
    </row>
    <row r="31" spans="1:8" ht="1.9" customHeight="1">
      <c r="A31" s="7"/>
      <c r="B31" s="7"/>
      <c r="C31" s="7"/>
      <c r="D31" s="7"/>
      <c r="E31" s="7"/>
      <c r="F31" s="7"/>
    </row>
    <row r="32" spans="1:8">
      <c r="A32" s="7"/>
      <c r="B32" s="7"/>
      <c r="C32" s="7"/>
      <c r="D32" s="7"/>
      <c r="E32" s="7"/>
      <c r="F32" s="7"/>
    </row>
    <row r="33" spans="1:6" ht="1.9" customHeight="1">
      <c r="A33" s="7"/>
      <c r="B33" s="7"/>
      <c r="C33" s="7"/>
      <c r="D33" s="7"/>
      <c r="E33" s="7"/>
      <c r="F33" s="7"/>
    </row>
    <row r="34" spans="1:6" ht="1.9" customHeight="1">
      <c r="A34" s="7"/>
      <c r="B34" s="7"/>
      <c r="C34" s="7"/>
      <c r="D34" s="7"/>
      <c r="E34" s="7"/>
      <c r="F34" s="7"/>
    </row>
    <row r="35" spans="1:6" ht="1.9" customHeight="1">
      <c r="A35" s="7"/>
      <c r="B35" s="7"/>
      <c r="C35" s="7"/>
      <c r="D35" s="7"/>
      <c r="E35" s="7"/>
      <c r="F35" s="7"/>
    </row>
    <row r="36" spans="1:6" ht="1.9" customHeight="1">
      <c r="A36" s="7"/>
      <c r="B36" s="7"/>
      <c r="C36" s="7"/>
      <c r="D36" s="7"/>
      <c r="E36" s="7"/>
      <c r="F36" s="7"/>
    </row>
    <row r="37" spans="1:6" ht="1.9" customHeight="1">
      <c r="A37" s="7"/>
      <c r="B37" s="7"/>
      <c r="C37" s="7"/>
      <c r="D37" s="7"/>
      <c r="E37" s="7"/>
      <c r="F37" s="7"/>
    </row>
    <row r="38" spans="1:6" ht="1.9" customHeight="1">
      <c r="A38" s="7"/>
      <c r="B38" s="7"/>
      <c r="C38" s="7"/>
      <c r="D38" s="7"/>
      <c r="E38" s="7"/>
      <c r="F38" s="7"/>
    </row>
    <row r="39" spans="1:6" ht="1.9" customHeight="1">
      <c r="A39" s="7"/>
      <c r="B39" s="7"/>
      <c r="C39" s="7"/>
      <c r="D39" s="7"/>
      <c r="E39" s="7"/>
      <c r="F39" s="7"/>
    </row>
    <row r="40" spans="1:6" ht="1.9" customHeight="1">
      <c r="A40" s="7"/>
      <c r="B40" s="7"/>
      <c r="C40" s="7"/>
      <c r="D40" s="7"/>
      <c r="E40" s="7"/>
      <c r="F40" s="7"/>
    </row>
    <row r="41" spans="1:6" ht="1.9" customHeight="1">
      <c r="A41" s="7"/>
      <c r="B41" s="7"/>
      <c r="C41" s="7"/>
      <c r="D41" s="7"/>
      <c r="E41" s="7"/>
      <c r="F41" s="7"/>
    </row>
    <row r="42" spans="1:6" ht="1.9" customHeight="1">
      <c r="A42" s="7"/>
      <c r="B42" s="7"/>
      <c r="C42" s="7"/>
      <c r="D42" s="7"/>
      <c r="E42" s="7"/>
      <c r="F42" s="7"/>
    </row>
    <row r="43" spans="1:6" ht="1.9" customHeight="1">
      <c r="A43" s="7"/>
      <c r="B43" s="7"/>
      <c r="C43" s="7"/>
      <c r="D43" s="7"/>
      <c r="E43" s="7"/>
      <c r="F43" s="7"/>
    </row>
    <row r="44" spans="1:6" ht="1.9" customHeight="1">
      <c r="A44" s="7"/>
      <c r="B44" s="7"/>
      <c r="C44" s="7"/>
      <c r="D44" s="7"/>
      <c r="E44" s="7"/>
      <c r="F44" s="7"/>
    </row>
    <row r="45" spans="1:6" ht="1.9" customHeight="1">
      <c r="A45" s="7"/>
      <c r="B45" s="7"/>
      <c r="C45" s="7"/>
      <c r="D45" s="7"/>
      <c r="E45" s="7"/>
      <c r="F45" s="7"/>
    </row>
    <row r="46" spans="1:6" ht="1.9" customHeight="1">
      <c r="A46" s="7"/>
      <c r="B46" s="7"/>
      <c r="C46" s="7"/>
      <c r="D46" s="7"/>
      <c r="E46" s="7"/>
      <c r="F46" s="7"/>
    </row>
    <row r="47" spans="1:6" ht="1.9" customHeight="1">
      <c r="A47" s="7"/>
      <c r="B47" s="7"/>
      <c r="C47" s="7"/>
      <c r="D47" s="7"/>
      <c r="E47" s="7"/>
      <c r="F47" s="7"/>
    </row>
    <row r="48" spans="1:6" ht="1.9" customHeight="1">
      <c r="A48" s="7"/>
      <c r="B48" s="7"/>
      <c r="C48" s="7"/>
      <c r="D48" s="7"/>
      <c r="E48" s="7"/>
      <c r="F48" s="7"/>
    </row>
    <row r="49" spans="1:6" ht="1.9" customHeight="1">
      <c r="A49" s="7"/>
      <c r="B49" s="7"/>
      <c r="C49" s="7"/>
      <c r="D49" s="7"/>
      <c r="E49" s="7"/>
      <c r="F49" s="7"/>
    </row>
    <row r="50" spans="1:6" ht="1.9" customHeight="1">
      <c r="A50" s="7"/>
      <c r="B50" s="7"/>
      <c r="C50" s="7"/>
      <c r="D50" s="7"/>
      <c r="E50" s="7"/>
      <c r="F50" s="7"/>
    </row>
    <row r="51" spans="1:6" ht="1.9" customHeight="1">
      <c r="A51" s="7"/>
      <c r="B51" s="7"/>
      <c r="C51" s="7"/>
      <c r="D51" s="7"/>
      <c r="E51" s="7"/>
      <c r="F51" s="7"/>
    </row>
    <row r="52" spans="1:6" ht="1.9" customHeight="1">
      <c r="A52" s="7"/>
      <c r="B52" s="7"/>
      <c r="C52" s="7"/>
      <c r="D52" s="7"/>
      <c r="E52" s="7"/>
      <c r="F52" s="7"/>
    </row>
    <row r="53" spans="1:6" ht="1.9" customHeight="1">
      <c r="A53" s="7"/>
      <c r="B53" s="7"/>
      <c r="C53" s="7"/>
      <c r="D53" s="7"/>
      <c r="E53" s="7"/>
      <c r="F53" s="7"/>
    </row>
    <row r="54" spans="1:6" ht="1.9" customHeight="1">
      <c r="A54" s="7"/>
      <c r="B54" s="7"/>
      <c r="C54" s="7"/>
      <c r="D54" s="7"/>
      <c r="E54" s="7"/>
      <c r="F54" s="7"/>
    </row>
    <row r="55" spans="1:6" ht="1.9" customHeight="1">
      <c r="A55" s="7"/>
      <c r="B55" s="7"/>
      <c r="C55" s="7"/>
      <c r="D55" s="7"/>
      <c r="E55" s="7"/>
      <c r="F55" s="7"/>
    </row>
    <row r="56" spans="1:6" ht="1.9" customHeight="1">
      <c r="A56" s="7"/>
      <c r="B56" s="7"/>
      <c r="C56" s="7"/>
      <c r="D56" s="7"/>
      <c r="E56" s="7"/>
      <c r="F56" s="7"/>
    </row>
    <row r="57" spans="1:6" ht="1.9" customHeight="1">
      <c r="A57" s="7"/>
      <c r="B57" s="7"/>
      <c r="C57" s="7"/>
      <c r="D57" s="7"/>
      <c r="E57" s="7"/>
      <c r="F57" s="7"/>
    </row>
    <row r="58" spans="1:6" ht="1.9" customHeight="1">
      <c r="A58" s="7"/>
      <c r="B58" s="7"/>
      <c r="C58" s="7"/>
      <c r="D58" s="7"/>
      <c r="E58" s="7"/>
      <c r="F58" s="7"/>
    </row>
    <row r="59" spans="1:6" ht="1.9" customHeight="1">
      <c r="A59" s="7"/>
      <c r="B59" s="7"/>
      <c r="C59" s="7"/>
      <c r="D59" s="7"/>
      <c r="E59" s="7"/>
      <c r="F59" s="7"/>
    </row>
    <row r="60" spans="1:6" ht="1.9" customHeight="1">
      <c r="A60" s="7"/>
      <c r="B60" s="7"/>
      <c r="C60" s="7"/>
      <c r="D60" s="7"/>
      <c r="E60" s="7"/>
      <c r="F60" s="7"/>
    </row>
    <row r="61" spans="1:6" ht="1.9" customHeight="1">
      <c r="A61" s="7"/>
      <c r="B61" s="7"/>
      <c r="C61" s="7"/>
      <c r="D61" s="7"/>
      <c r="E61" s="7"/>
      <c r="F61" s="7"/>
    </row>
    <row r="62" spans="1:6" ht="1.9" customHeight="1">
      <c r="A62" s="7"/>
      <c r="B62" s="7"/>
      <c r="C62" s="7"/>
      <c r="D62" s="7"/>
      <c r="E62" s="7"/>
      <c r="F62" s="7"/>
    </row>
    <row r="63" spans="1:6" ht="1.9" customHeight="1">
      <c r="A63" s="7"/>
      <c r="B63" s="7"/>
      <c r="C63" s="7"/>
      <c r="D63" s="7"/>
      <c r="E63" s="7"/>
      <c r="F63" s="7"/>
    </row>
    <row r="64" spans="1:6" ht="1.9" customHeight="1">
      <c r="A64" s="7"/>
      <c r="B64" s="7"/>
      <c r="C64" s="7"/>
      <c r="D64" s="7"/>
      <c r="E64" s="7"/>
      <c r="F64" s="7"/>
    </row>
    <row r="65" spans="1:6" ht="1.9" customHeight="1">
      <c r="A65" s="7"/>
      <c r="B65" s="7"/>
      <c r="C65" s="7"/>
      <c r="D65" s="7"/>
      <c r="E65" s="7"/>
      <c r="F65" s="7"/>
    </row>
    <row r="66" spans="1:6" ht="1.9" customHeight="1">
      <c r="A66" s="7"/>
      <c r="B66" s="7"/>
      <c r="C66" s="7"/>
      <c r="D66" s="7"/>
      <c r="E66" s="7"/>
      <c r="F66" s="7"/>
    </row>
    <row r="67" spans="1:6" ht="1.9" customHeight="1">
      <c r="A67" s="7"/>
      <c r="B67" s="7"/>
      <c r="C67" s="7"/>
      <c r="D67" s="7"/>
      <c r="E67" s="7"/>
      <c r="F67" s="7"/>
    </row>
    <row r="68" spans="1:6" ht="1.9" customHeight="1">
      <c r="A68" s="7"/>
      <c r="B68" s="7"/>
      <c r="C68" s="7"/>
      <c r="D68" s="7"/>
      <c r="E68" s="7"/>
      <c r="F68" s="7"/>
    </row>
    <row r="69" spans="1:6" ht="1.9" customHeight="1">
      <c r="A69" s="7"/>
      <c r="B69" s="7"/>
      <c r="C69" s="7"/>
      <c r="D69" s="7"/>
      <c r="E69" s="7"/>
      <c r="F69" s="7"/>
    </row>
    <row r="70" spans="1:6" ht="1.9" customHeight="1">
      <c r="A70" s="7"/>
      <c r="B70" s="7"/>
      <c r="C70" s="7"/>
      <c r="D70" s="7"/>
      <c r="E70" s="7"/>
      <c r="F70" s="7"/>
    </row>
    <row r="71" spans="1:6" ht="1.9" customHeight="1">
      <c r="A71" s="7"/>
      <c r="B71" s="7"/>
      <c r="C71" s="7"/>
      <c r="D71" s="7"/>
      <c r="E71" s="7"/>
      <c r="F71" s="7"/>
    </row>
    <row r="72" spans="1:6" ht="1.9" customHeight="1">
      <c r="A72" s="7"/>
      <c r="B72" s="7"/>
      <c r="C72" s="7"/>
      <c r="D72" s="7"/>
      <c r="E72" s="7"/>
      <c r="F72" s="7"/>
    </row>
    <row r="73" spans="1:6" ht="1.9" customHeight="1">
      <c r="A73" s="7"/>
      <c r="B73" s="7"/>
      <c r="C73" s="7"/>
      <c r="D73" s="7"/>
      <c r="E73" s="7"/>
      <c r="F73" s="7"/>
    </row>
    <row r="74" spans="1:6" ht="1.9" customHeight="1">
      <c r="A74" s="7"/>
      <c r="B74" s="7"/>
      <c r="C74" s="7"/>
      <c r="D74" s="7"/>
      <c r="E74" s="7"/>
      <c r="F74" s="7"/>
    </row>
    <row r="75" spans="1:6" ht="1.9" customHeight="1">
      <c r="A75" s="7"/>
      <c r="B75" s="7"/>
      <c r="C75" s="7"/>
      <c r="D75" s="7"/>
      <c r="E75" s="7"/>
      <c r="F75" s="7"/>
    </row>
    <row r="76" spans="1:6" ht="1.9" customHeight="1">
      <c r="A76" s="7"/>
      <c r="B76" s="7"/>
      <c r="C76" s="7"/>
      <c r="D76" s="7"/>
      <c r="E76" s="7"/>
      <c r="F76" s="7"/>
    </row>
    <row r="77" spans="1:6" ht="1.9" customHeight="1">
      <c r="A77" s="7"/>
      <c r="B77" s="7"/>
      <c r="C77" s="7"/>
      <c r="D77" s="7"/>
      <c r="E77" s="7"/>
      <c r="F77" s="7"/>
    </row>
    <row r="78" spans="1:6" ht="1.9" customHeight="1">
      <c r="A78" s="7"/>
      <c r="B78" s="7"/>
      <c r="C78" s="7"/>
      <c r="D78" s="7"/>
      <c r="E78" s="7"/>
      <c r="F78" s="7"/>
    </row>
    <row r="79" spans="1:6" ht="1.9" customHeight="1">
      <c r="A79" s="7"/>
      <c r="B79" s="7"/>
      <c r="C79" s="7"/>
      <c r="D79" s="7"/>
      <c r="E79" s="7"/>
      <c r="F79" s="7"/>
    </row>
    <row r="80" spans="1:6" ht="1.9" customHeight="1">
      <c r="A80" s="7"/>
      <c r="B80" s="7"/>
      <c r="C80" s="7"/>
      <c r="D80" s="7"/>
      <c r="E80" s="7"/>
      <c r="F80" s="7"/>
    </row>
    <row r="81" spans="1:6" ht="1.9" customHeight="1">
      <c r="A81" s="7"/>
      <c r="B81" s="7"/>
      <c r="C81" s="7"/>
      <c r="D81" s="7"/>
      <c r="E81" s="7"/>
      <c r="F81" s="7"/>
    </row>
    <row r="82" spans="1:6" ht="1.9" customHeight="1">
      <c r="A82" s="7"/>
      <c r="B82" s="7"/>
      <c r="C82" s="7"/>
      <c r="D82" s="7"/>
      <c r="E82" s="7"/>
      <c r="F82" s="7"/>
    </row>
    <row r="83" spans="1:6" ht="1.9" customHeight="1">
      <c r="A83" s="7"/>
      <c r="B83" s="7"/>
      <c r="C83" s="7"/>
      <c r="D83" s="7"/>
      <c r="E83" s="7"/>
      <c r="F83" s="7"/>
    </row>
    <row r="84" spans="1:6" ht="1.9" customHeight="1">
      <c r="A84" s="7"/>
      <c r="B84" s="7"/>
      <c r="C84" s="7"/>
      <c r="D84" s="7"/>
      <c r="E84" s="7"/>
      <c r="F84" s="7"/>
    </row>
    <row r="85" spans="1:6" ht="1.9" customHeight="1">
      <c r="A85" s="7"/>
      <c r="B85" s="7"/>
      <c r="C85" s="7"/>
      <c r="D85" s="7"/>
      <c r="E85" s="7"/>
      <c r="F85" s="7"/>
    </row>
    <row r="86" spans="1:6" ht="1.9" customHeight="1">
      <c r="A86" s="7"/>
      <c r="B86" s="7"/>
      <c r="C86" s="7"/>
      <c r="D86" s="7"/>
      <c r="E86" s="7"/>
      <c r="F86" s="7"/>
    </row>
    <row r="87" spans="1:6" ht="1.9" customHeight="1">
      <c r="A87" s="7"/>
      <c r="B87" s="7"/>
      <c r="C87" s="7"/>
      <c r="D87" s="7"/>
      <c r="E87" s="7"/>
      <c r="F87" s="7"/>
    </row>
    <row r="88" spans="1:6" ht="1.9" customHeight="1">
      <c r="A88" s="7"/>
      <c r="B88" s="7"/>
      <c r="C88" s="7"/>
      <c r="D88" s="7"/>
      <c r="E88" s="7"/>
      <c r="F88" s="7"/>
    </row>
    <row r="89" spans="1:6" ht="1.9" customHeight="1">
      <c r="A89" s="7"/>
      <c r="B89" s="7"/>
      <c r="C89" s="7"/>
      <c r="D89" s="7"/>
      <c r="E89" s="7"/>
      <c r="F89" s="7"/>
    </row>
    <row r="90" spans="1:6" ht="1.9" customHeight="1">
      <c r="A90" s="7"/>
      <c r="B90" s="7"/>
      <c r="C90" s="7"/>
      <c r="D90" s="7"/>
      <c r="E90" s="7"/>
      <c r="F90" s="7"/>
    </row>
    <row r="91" spans="1:6" ht="1.9" customHeight="1">
      <c r="A91" s="7"/>
      <c r="B91" s="7"/>
      <c r="C91" s="7"/>
      <c r="D91" s="7"/>
      <c r="E91" s="7"/>
      <c r="F91" s="7"/>
    </row>
    <row r="92" spans="1:6" ht="1.9" customHeight="1">
      <c r="A92" s="7"/>
      <c r="B92" s="7"/>
      <c r="C92" s="7"/>
      <c r="D92" s="7"/>
      <c r="E92" s="7"/>
      <c r="F92" s="7"/>
    </row>
    <row r="93" spans="1:6" ht="1.9" customHeight="1">
      <c r="A93" s="7"/>
      <c r="B93" s="7"/>
      <c r="C93" s="7"/>
      <c r="D93" s="7"/>
      <c r="E93" s="7"/>
      <c r="F93" s="7"/>
    </row>
    <row r="94" spans="1:6" ht="1.9" customHeight="1">
      <c r="A94" s="7"/>
      <c r="B94" s="7"/>
      <c r="C94" s="7"/>
      <c r="D94" s="7"/>
      <c r="E94" s="7"/>
      <c r="F94" s="7"/>
    </row>
    <row r="95" spans="1:6" ht="1.9" customHeight="1">
      <c r="A95" s="7"/>
      <c r="B95" s="7"/>
      <c r="C95" s="7"/>
      <c r="D95" s="7"/>
      <c r="E95" s="7"/>
      <c r="F95" s="7"/>
    </row>
    <row r="96" spans="1:6" ht="1.9" customHeight="1">
      <c r="A96" s="7"/>
      <c r="B96" s="7"/>
      <c r="C96" s="7"/>
      <c r="D96" s="7"/>
      <c r="E96" s="7"/>
      <c r="F96" s="7"/>
    </row>
    <row r="97" spans="1:6" ht="1.9" customHeight="1">
      <c r="A97" s="7"/>
      <c r="B97" s="7"/>
      <c r="C97" s="7"/>
      <c r="D97" s="7"/>
      <c r="E97" s="7"/>
      <c r="F97" s="7"/>
    </row>
    <row r="98" spans="1:6" ht="1.9" customHeight="1">
      <c r="A98" s="7"/>
      <c r="B98" s="7"/>
      <c r="C98" s="7"/>
      <c r="D98" s="7"/>
      <c r="E98" s="7"/>
      <c r="F98" s="7"/>
    </row>
    <row r="99" spans="1:6" ht="1.9" customHeight="1">
      <c r="A99" s="7"/>
      <c r="B99" s="7"/>
      <c r="C99" s="7"/>
      <c r="D99" s="7"/>
      <c r="E99" s="7"/>
      <c r="F99" s="7"/>
    </row>
    <row r="100" spans="1:6" ht="1.9" customHeight="1">
      <c r="A100" s="7"/>
      <c r="B100" s="7"/>
      <c r="C100" s="7"/>
      <c r="D100" s="7"/>
      <c r="E100" s="7"/>
      <c r="F100" s="7"/>
    </row>
  </sheetData>
  <mergeCells count="2">
    <mergeCell ref="A2:H2"/>
    <mergeCell ref="A1:H1"/>
  </mergeCells>
  <conditionalFormatting sqref="E5:E10">
    <cfRule type="expression" dxfId="121" priority="1">
      <formula>ISNUMBER(SEARCH("Riesgo",E5))</formula>
    </cfRule>
    <cfRule type="expression" dxfId="120" priority="2">
      <formula>ISNUMBER(SEARCH("Crítico",E5))</formula>
    </cfRule>
    <cfRule type="expression" dxfId="119" priority="3">
      <formula>ISNUMBER(SEARCH("Pendiente",E5))</formula>
    </cfRule>
    <cfRule type="expression" dxfId="118" priority="4">
      <formula>ISNUMBER(SEARCH("En riesgo",E5))</formula>
    </cfRule>
    <cfRule type="expression" dxfId="117" priority="5">
      <formula>ISNUMBER(SEARCH("Atención",E5))</formula>
    </cfRule>
    <cfRule type="expression" dxfId="116" priority="6">
      <formula>ISNUMBER(SEARCH("En proceso",E5))</formula>
    </cfRule>
    <cfRule type="expression" dxfId="115" priority="7">
      <formula>ISNUMBER(SEARCH("Meta",E5))</formula>
    </cfRule>
    <cfRule type="expression" dxfId="114" priority="8">
      <formula>ISNUMBER(SEARCH("Cumple",E5))</formula>
    </cfRule>
    <cfRule type="expression" dxfId="113" priority="9">
      <formula>ISNUMBER(SEARCH("Cumplido",E5))</formula>
    </cfRule>
    <cfRule type="expression" dxfId="112" priority="10">
      <formula>ISNUMBER(SEARCH("Positivo",E5))</formula>
    </cfRule>
    <cfRule type="expression" dxfId="111" priority="11">
      <formula>ISNUMBER(SEARCH("Dominio",E5))</formula>
    </cfRule>
    <cfRule type="expression" dxfId="110" priority="12">
      <formula>ISNUMBER(SEARCH("Alto",E5))</formula>
    </cfRule>
    <cfRule type="expression" dxfId="109" priority="13">
      <formula>ISNUMBER(SEARCH("Superado",E5))</formula>
    </cfRule>
    <cfRule type="expression" dxfId="108" priority="14">
      <formula>ISNUMBER(SEARCH("Cuadrado",E5))</formula>
    </cfRule>
    <cfRule type="expression" dxfId="107" priority="15">
      <formula>ISNUMBER(SEARCH("Revisar",E5))</formula>
    </cfRule>
    <cfRule type="expression" dxfId="106" priority="16">
      <formula>ISNUMBER(SEARCH("Vacío",E5))</formula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BFBFBF"/>
  </sheetPr>
  <dimension ref="A1:H12"/>
  <sheetViews>
    <sheetView showGridLines="0" workbookViewId="0"/>
  </sheetViews>
  <sheetFormatPr baseColWidth="10" defaultColWidth="8.7265625" defaultRowHeight="14.5"/>
  <cols>
    <col min="1" max="1" width="8" customWidth="1"/>
    <col min="2" max="2" width="28" customWidth="1"/>
    <col min="3" max="4" width="45" customWidth="1"/>
    <col min="5" max="5" width="20" customWidth="1"/>
  </cols>
  <sheetData>
    <row r="1" spans="1:8" ht="28" customHeight="1">
      <c r="A1" s="533" t="s">
        <v>4043</v>
      </c>
      <c r="B1" s="426"/>
      <c r="C1" s="426"/>
      <c r="D1" s="426"/>
      <c r="E1" s="426"/>
      <c r="F1" s="426"/>
      <c r="G1" s="426"/>
      <c r="H1" s="426"/>
    </row>
    <row r="2" spans="1:8">
      <c r="A2" s="491" t="s">
        <v>4044</v>
      </c>
      <c r="B2" s="426"/>
      <c r="C2" s="426"/>
      <c r="D2" s="426"/>
      <c r="E2" s="426"/>
      <c r="F2" s="426"/>
      <c r="G2" s="426"/>
      <c r="H2" s="426"/>
    </row>
    <row r="3" spans="1:8">
      <c r="A3" s="132"/>
      <c r="B3" s="132"/>
      <c r="C3" s="132"/>
      <c r="D3" s="132"/>
      <c r="E3" s="132"/>
      <c r="F3" s="132"/>
      <c r="G3" s="132"/>
      <c r="H3" s="132"/>
    </row>
    <row r="4" spans="1:8">
      <c r="A4" s="170" t="s">
        <v>4045</v>
      </c>
      <c r="B4" s="170" t="s">
        <v>3616</v>
      </c>
      <c r="C4" s="170" t="s">
        <v>4046</v>
      </c>
      <c r="D4" s="170" t="s">
        <v>4047</v>
      </c>
      <c r="E4" s="170" t="s">
        <v>1306</v>
      </c>
      <c r="F4" s="132"/>
      <c r="G4" s="132"/>
      <c r="H4" s="132"/>
    </row>
    <row r="5" spans="1:8" ht="29" customHeight="1">
      <c r="A5" s="132">
        <v>1</v>
      </c>
      <c r="B5" s="132" t="s">
        <v>734</v>
      </c>
      <c r="C5" s="132" t="s">
        <v>4048</v>
      </c>
      <c r="D5" s="132" t="s">
        <v>4049</v>
      </c>
      <c r="E5" s="132" t="s">
        <v>4050</v>
      </c>
      <c r="F5" s="132"/>
      <c r="G5" s="132"/>
      <c r="H5" s="132"/>
    </row>
    <row r="6" spans="1:8" ht="29" customHeight="1">
      <c r="A6" s="132">
        <v>2</v>
      </c>
      <c r="B6" s="132" t="s">
        <v>735</v>
      </c>
      <c r="C6" s="132" t="s">
        <v>4051</v>
      </c>
      <c r="D6" s="132" t="s">
        <v>4052</v>
      </c>
      <c r="E6" s="132" t="s">
        <v>4053</v>
      </c>
      <c r="F6" s="132"/>
      <c r="G6" s="132"/>
      <c r="H6" s="132"/>
    </row>
    <row r="7" spans="1:8">
      <c r="A7" s="132">
        <v>3</v>
      </c>
      <c r="B7" s="132" t="s">
        <v>681</v>
      </c>
      <c r="C7" s="132" t="s">
        <v>4054</v>
      </c>
      <c r="D7" s="132" t="s">
        <v>4055</v>
      </c>
      <c r="E7" s="132" t="s">
        <v>1012</v>
      </c>
      <c r="F7" s="132"/>
      <c r="G7" s="132"/>
      <c r="H7" s="132"/>
    </row>
    <row r="8" spans="1:8" ht="29" customHeight="1">
      <c r="A8" s="132">
        <v>4</v>
      </c>
      <c r="B8" s="132" t="s">
        <v>733</v>
      </c>
      <c r="C8" s="132" t="s">
        <v>4056</v>
      </c>
      <c r="D8" s="132" t="s">
        <v>4057</v>
      </c>
      <c r="E8" s="132" t="s">
        <v>4058</v>
      </c>
      <c r="F8" s="132"/>
      <c r="G8" s="132"/>
      <c r="H8" s="132"/>
    </row>
    <row r="9" spans="1:8">
      <c r="A9" s="132">
        <v>5</v>
      </c>
      <c r="B9" s="132" t="s">
        <v>736</v>
      </c>
      <c r="C9" s="132" t="s">
        <v>4059</v>
      </c>
      <c r="D9" s="132" t="s">
        <v>4060</v>
      </c>
      <c r="E9" s="132" t="s">
        <v>933</v>
      </c>
      <c r="F9" s="132"/>
      <c r="G9" s="132"/>
      <c r="H9" s="132"/>
    </row>
    <row r="10" spans="1:8">
      <c r="A10" s="132">
        <v>6</v>
      </c>
      <c r="B10" s="132" t="s">
        <v>738</v>
      </c>
      <c r="C10" s="132" t="s">
        <v>4061</v>
      </c>
      <c r="D10" s="132" t="s">
        <v>4062</v>
      </c>
      <c r="E10" s="132" t="s">
        <v>933</v>
      </c>
      <c r="F10" s="132"/>
      <c r="G10" s="132"/>
      <c r="H10" s="132"/>
    </row>
    <row r="11" spans="1:8">
      <c r="A11" s="132">
        <v>7</v>
      </c>
      <c r="B11" s="132" t="s">
        <v>739</v>
      </c>
      <c r="C11" s="132" t="s">
        <v>4063</v>
      </c>
      <c r="D11" s="132" t="s">
        <v>4064</v>
      </c>
      <c r="E11" s="132" t="s">
        <v>1012</v>
      </c>
      <c r="F11" s="132"/>
      <c r="G11" s="132"/>
      <c r="H11" s="132"/>
    </row>
    <row r="12" spans="1:8">
      <c r="A12" s="132">
        <v>8</v>
      </c>
      <c r="B12" s="132" t="s">
        <v>740</v>
      </c>
      <c r="C12" s="132" t="s">
        <v>4065</v>
      </c>
      <c r="D12" s="132" t="s">
        <v>4066</v>
      </c>
      <c r="E12" s="132" t="s">
        <v>4067</v>
      </c>
      <c r="F12" s="132"/>
      <c r="G12" s="132"/>
      <c r="H12" s="132"/>
    </row>
  </sheetData>
  <mergeCells count="2">
    <mergeCell ref="A2:H2"/>
    <mergeCell ref="A1:H1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BFBFBF"/>
  </sheetPr>
  <dimension ref="A1:L100"/>
  <sheetViews>
    <sheetView showGridLines="0" workbookViewId="0"/>
  </sheetViews>
  <sheetFormatPr baseColWidth="10" defaultColWidth="14.453125" defaultRowHeight="14.5"/>
  <cols>
    <col min="1" max="1" width="22" customWidth="1"/>
    <col min="2" max="2" width="13" customWidth="1"/>
    <col min="3" max="3" width="38" customWidth="1"/>
    <col min="4" max="4" width="42" customWidth="1"/>
    <col min="5" max="6" width="34" customWidth="1"/>
    <col min="7" max="9" width="16" customWidth="1"/>
    <col min="10" max="11" width="18" customWidth="1"/>
    <col min="12" max="12" width="40" customWidth="1"/>
  </cols>
  <sheetData>
    <row r="1" spans="1:12" ht="26.5" customHeight="1">
      <c r="A1" s="493" t="s">
        <v>4068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</row>
    <row r="2" spans="1:12">
      <c r="A2" s="435" t="s">
        <v>4069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9" customHeight="1">
      <c r="A4" s="41" t="s">
        <v>2230</v>
      </c>
      <c r="B4" s="41" t="s">
        <v>1115</v>
      </c>
      <c r="C4" s="41" t="s">
        <v>421</v>
      </c>
      <c r="D4" s="41" t="s">
        <v>80</v>
      </c>
      <c r="E4" s="41" t="s">
        <v>4070</v>
      </c>
      <c r="F4" s="41" t="s">
        <v>4071</v>
      </c>
      <c r="G4" s="41" t="s">
        <v>4072</v>
      </c>
      <c r="H4" s="136" t="s">
        <v>4073</v>
      </c>
      <c r="I4" s="136" t="s">
        <v>2878</v>
      </c>
      <c r="J4" s="136" t="s">
        <v>655</v>
      </c>
      <c r="K4" s="41" t="s">
        <v>4074</v>
      </c>
      <c r="L4" s="41" t="s">
        <v>2252</v>
      </c>
    </row>
    <row r="5" spans="1:12" ht="29" customHeight="1">
      <c r="A5" s="6" t="s">
        <v>2830</v>
      </c>
      <c r="B5" s="6" t="s">
        <v>2832</v>
      </c>
      <c r="C5" s="6" t="s">
        <v>4075</v>
      </c>
      <c r="D5" s="6" t="s">
        <v>4076</v>
      </c>
      <c r="E5" s="6" t="s">
        <v>4077</v>
      </c>
      <c r="F5" s="6" t="s">
        <v>4078</v>
      </c>
      <c r="G5" s="17">
        <v>4</v>
      </c>
      <c r="H5" s="137">
        <f>IF(A5="","",COUNTIFS('51_Bloques_Estudio'!$B$5:$B$204,A5,'51_Bloques_Estudio'!$J$5:$J$204,B5,'51_Bloques_Estudio'!$E$5:$E$204,"Sí"))</f>
        <v>0</v>
      </c>
      <c r="I5" s="38">
        <f t="shared" ref="I5:I20" si="0">IF(A5="","",IFERROR(H5/G5,0))</f>
        <v>0</v>
      </c>
      <c r="J5" s="84" t="str">
        <f t="shared" ref="J5:J20" si="1">IF(A5="","",IF(I5&gt;=0.9,"⭐ Dominio",IF(I5&gt;=0.7,"🟢 Cumple",IF(I5&gt;=0.4,"🟡 En proceso","🔴 Riesgo"))))</f>
        <v>🔴 Riesgo</v>
      </c>
      <c r="K5" s="6" t="s">
        <v>2193</v>
      </c>
      <c r="L5" s="6" t="s">
        <v>4079</v>
      </c>
    </row>
    <row r="6" spans="1:12">
      <c r="A6" s="6" t="s">
        <v>2830</v>
      </c>
      <c r="B6" s="6" t="s">
        <v>2837</v>
      </c>
      <c r="C6" s="6" t="s">
        <v>4080</v>
      </c>
      <c r="D6" s="6" t="s">
        <v>4081</v>
      </c>
      <c r="E6" s="6" t="s">
        <v>4082</v>
      </c>
      <c r="F6" s="6" t="s">
        <v>4083</v>
      </c>
      <c r="G6" s="17">
        <v>4</v>
      </c>
      <c r="H6" s="137">
        <f>IF(A6="","",COUNTIFS('51_Bloques_Estudio'!$B$5:$B$204,A6,'51_Bloques_Estudio'!$J$5:$J$204,B6,'51_Bloques_Estudio'!$E$5:$E$204,"Sí"))</f>
        <v>0</v>
      </c>
      <c r="I6" s="38">
        <f t="shared" si="0"/>
        <v>0</v>
      </c>
      <c r="J6" s="84" t="str">
        <f t="shared" si="1"/>
        <v>🔴 Riesgo</v>
      </c>
      <c r="K6" s="6" t="s">
        <v>2193</v>
      </c>
      <c r="L6" s="6" t="s">
        <v>4084</v>
      </c>
    </row>
    <row r="7" spans="1:12" ht="29" customHeight="1">
      <c r="A7" s="6" t="s">
        <v>2830</v>
      </c>
      <c r="B7" s="6" t="s">
        <v>2839</v>
      </c>
      <c r="C7" s="6" t="s">
        <v>4085</v>
      </c>
      <c r="D7" s="6" t="s">
        <v>4086</v>
      </c>
      <c r="E7" s="6" t="s">
        <v>4087</v>
      </c>
      <c r="F7" s="6" t="s">
        <v>4088</v>
      </c>
      <c r="G7" s="17">
        <v>4</v>
      </c>
      <c r="H7" s="137">
        <f>IF(A7="","",COUNTIFS('51_Bloques_Estudio'!$B$5:$B$204,A7,'51_Bloques_Estudio'!$J$5:$J$204,B7,'51_Bloques_Estudio'!$E$5:$E$204,"Sí"))</f>
        <v>0</v>
      </c>
      <c r="I7" s="38">
        <f t="shared" si="0"/>
        <v>0</v>
      </c>
      <c r="J7" s="84" t="str">
        <f t="shared" si="1"/>
        <v>🔴 Riesgo</v>
      </c>
      <c r="K7" s="6" t="s">
        <v>2186</v>
      </c>
      <c r="L7" s="6" t="s">
        <v>4089</v>
      </c>
    </row>
    <row r="8" spans="1:12">
      <c r="A8" s="6" t="s">
        <v>2830</v>
      </c>
      <c r="B8" s="6" t="s">
        <v>2841</v>
      </c>
      <c r="C8" s="6" t="s">
        <v>4090</v>
      </c>
      <c r="D8" s="6" t="s">
        <v>4091</v>
      </c>
      <c r="E8" s="6" t="s">
        <v>4092</v>
      </c>
      <c r="F8" s="6" t="s">
        <v>4093</v>
      </c>
      <c r="G8" s="17">
        <v>5</v>
      </c>
      <c r="H8" s="137">
        <f>IF(A8="","",COUNTIFS('51_Bloques_Estudio'!$B$5:$B$204,A8,'51_Bloques_Estudio'!$J$5:$J$204,B8,'51_Bloques_Estudio'!$E$5:$E$204,"Sí"))</f>
        <v>0</v>
      </c>
      <c r="I8" s="38">
        <f t="shared" si="0"/>
        <v>0</v>
      </c>
      <c r="J8" s="84" t="str">
        <f t="shared" si="1"/>
        <v>🔴 Riesgo</v>
      </c>
      <c r="K8" s="6" t="s">
        <v>2186</v>
      </c>
      <c r="L8" s="6" t="s">
        <v>4094</v>
      </c>
    </row>
    <row r="9" spans="1:12" ht="29" customHeight="1">
      <c r="A9" s="6" t="s">
        <v>2842</v>
      </c>
      <c r="B9" s="6" t="s">
        <v>2832</v>
      </c>
      <c r="C9" s="6" t="s">
        <v>4095</v>
      </c>
      <c r="D9" s="6" t="s">
        <v>4096</v>
      </c>
      <c r="E9" s="6" t="s">
        <v>4097</v>
      </c>
      <c r="F9" s="6" t="s">
        <v>4098</v>
      </c>
      <c r="G9" s="17">
        <v>3</v>
      </c>
      <c r="H9" s="137">
        <f>IF(A9="","",COUNTIFS('51_Bloques_Estudio'!$B$5:$B$204,A9,'51_Bloques_Estudio'!$J$5:$J$204,B9,'51_Bloques_Estudio'!$E$5:$E$204,"Sí"))</f>
        <v>0</v>
      </c>
      <c r="I9" s="38">
        <f t="shared" si="0"/>
        <v>0</v>
      </c>
      <c r="J9" s="84" t="str">
        <f t="shared" si="1"/>
        <v>🔴 Riesgo</v>
      </c>
      <c r="K9" s="6" t="s">
        <v>2193</v>
      </c>
      <c r="L9" s="6" t="s">
        <v>4099</v>
      </c>
    </row>
    <row r="10" spans="1:12" ht="29" customHeight="1">
      <c r="A10" s="6" t="s">
        <v>2842</v>
      </c>
      <c r="B10" s="6" t="s">
        <v>2837</v>
      </c>
      <c r="C10" s="6" t="s">
        <v>4100</v>
      </c>
      <c r="D10" s="6" t="s">
        <v>4101</v>
      </c>
      <c r="E10" s="6" t="s">
        <v>4102</v>
      </c>
      <c r="F10" s="6" t="s">
        <v>4103</v>
      </c>
      <c r="G10" s="17">
        <v>3</v>
      </c>
      <c r="H10" s="137">
        <f>IF(A10="","",COUNTIFS('51_Bloques_Estudio'!$B$5:$B$204,A10,'51_Bloques_Estudio'!$J$5:$J$204,B10,'51_Bloques_Estudio'!$E$5:$E$204,"Sí"))</f>
        <v>0</v>
      </c>
      <c r="I10" s="38">
        <f t="shared" si="0"/>
        <v>0</v>
      </c>
      <c r="J10" s="84" t="str">
        <f t="shared" si="1"/>
        <v>🔴 Riesgo</v>
      </c>
      <c r="K10" s="6" t="s">
        <v>2193</v>
      </c>
      <c r="L10" s="6" t="s">
        <v>4104</v>
      </c>
    </row>
    <row r="11" spans="1:12" ht="29" customHeight="1">
      <c r="A11" s="6" t="s">
        <v>2842</v>
      </c>
      <c r="B11" s="6" t="s">
        <v>2839</v>
      </c>
      <c r="C11" s="6" t="s">
        <v>4105</v>
      </c>
      <c r="D11" s="6" t="s">
        <v>4106</v>
      </c>
      <c r="E11" s="6" t="s">
        <v>4107</v>
      </c>
      <c r="F11" s="6" t="s">
        <v>4108</v>
      </c>
      <c r="G11" s="17">
        <v>3</v>
      </c>
      <c r="H11" s="137">
        <f>IF(A11="","",COUNTIFS('51_Bloques_Estudio'!$B$5:$B$204,A11,'51_Bloques_Estudio'!$J$5:$J$204,B11,'51_Bloques_Estudio'!$E$5:$E$204,"Sí"))</f>
        <v>0</v>
      </c>
      <c r="I11" s="38">
        <f t="shared" si="0"/>
        <v>0</v>
      </c>
      <c r="J11" s="84" t="str">
        <f t="shared" si="1"/>
        <v>🔴 Riesgo</v>
      </c>
      <c r="K11" s="6" t="s">
        <v>2186</v>
      </c>
      <c r="L11" s="6" t="s">
        <v>4109</v>
      </c>
    </row>
    <row r="12" spans="1:12" ht="29" customHeight="1">
      <c r="A12" s="6" t="s">
        <v>2842</v>
      </c>
      <c r="B12" s="6" t="s">
        <v>2841</v>
      </c>
      <c r="C12" s="6" t="s">
        <v>4110</v>
      </c>
      <c r="D12" s="6" t="s">
        <v>4111</v>
      </c>
      <c r="E12" s="6" t="s">
        <v>4112</v>
      </c>
      <c r="F12" s="6" t="s">
        <v>4113</v>
      </c>
      <c r="G12" s="17">
        <v>4</v>
      </c>
      <c r="H12" s="137">
        <f>IF(A12="","",COUNTIFS('51_Bloques_Estudio'!$B$5:$B$204,A12,'51_Bloques_Estudio'!$J$5:$J$204,B12,'51_Bloques_Estudio'!$E$5:$E$204,"Sí"))</f>
        <v>0</v>
      </c>
      <c r="I12" s="38">
        <f t="shared" si="0"/>
        <v>0</v>
      </c>
      <c r="J12" s="84" t="str">
        <f t="shared" si="1"/>
        <v>🔴 Riesgo</v>
      </c>
      <c r="K12" s="6" t="s">
        <v>2186</v>
      </c>
      <c r="L12" s="6" t="s">
        <v>4114</v>
      </c>
    </row>
    <row r="13" spans="1:12" ht="29" customHeight="1">
      <c r="A13" s="6" t="s">
        <v>2773</v>
      </c>
      <c r="B13" s="6" t="s">
        <v>2832</v>
      </c>
      <c r="C13" s="6" t="s">
        <v>4115</v>
      </c>
      <c r="D13" s="6" t="s">
        <v>4116</v>
      </c>
      <c r="E13" s="6" t="s">
        <v>4117</v>
      </c>
      <c r="F13" s="6" t="s">
        <v>4118</v>
      </c>
      <c r="G13" s="17">
        <v>2</v>
      </c>
      <c r="H13" s="137">
        <f>IF(A13="","",COUNTIFS('51_Bloques_Estudio'!$B$5:$B$204,A13,'51_Bloques_Estudio'!$J$5:$J$204,B13,'51_Bloques_Estudio'!$E$5:$E$204,"Sí"))</f>
        <v>0</v>
      </c>
      <c r="I13" s="38">
        <f t="shared" si="0"/>
        <v>0</v>
      </c>
      <c r="J13" s="84" t="str">
        <f t="shared" si="1"/>
        <v>🔴 Riesgo</v>
      </c>
      <c r="K13" s="6" t="s">
        <v>2193</v>
      </c>
      <c r="L13" s="6" t="s">
        <v>4119</v>
      </c>
    </row>
    <row r="14" spans="1:12">
      <c r="A14" s="6" t="s">
        <v>2773</v>
      </c>
      <c r="B14" s="6" t="s">
        <v>2837</v>
      </c>
      <c r="C14" s="6" t="s">
        <v>4120</v>
      </c>
      <c r="D14" s="6" t="s">
        <v>4121</v>
      </c>
      <c r="E14" s="6" t="s">
        <v>4122</v>
      </c>
      <c r="F14" s="6" t="s">
        <v>4123</v>
      </c>
      <c r="G14" s="17">
        <v>2</v>
      </c>
      <c r="H14" s="137">
        <f>IF(A14="","",COUNTIFS('51_Bloques_Estudio'!$B$5:$B$204,A14,'51_Bloques_Estudio'!$J$5:$J$204,B14,'51_Bloques_Estudio'!$E$5:$E$204,"Sí"))</f>
        <v>0</v>
      </c>
      <c r="I14" s="38">
        <f t="shared" si="0"/>
        <v>0</v>
      </c>
      <c r="J14" s="84" t="str">
        <f t="shared" si="1"/>
        <v>🔴 Riesgo</v>
      </c>
      <c r="K14" s="6" t="s">
        <v>2193</v>
      </c>
      <c r="L14" s="6" t="s">
        <v>4124</v>
      </c>
    </row>
    <row r="15" spans="1:12">
      <c r="A15" s="6" t="s">
        <v>2773</v>
      </c>
      <c r="B15" s="6" t="s">
        <v>2839</v>
      </c>
      <c r="C15" s="6" t="s">
        <v>4125</v>
      </c>
      <c r="D15" s="6" t="s">
        <v>4126</v>
      </c>
      <c r="E15" s="6" t="s">
        <v>4127</v>
      </c>
      <c r="F15" s="6" t="s">
        <v>4128</v>
      </c>
      <c r="G15" s="17">
        <v>3</v>
      </c>
      <c r="H15" s="137">
        <f>IF(A15="","",COUNTIFS('51_Bloques_Estudio'!$B$5:$B$204,A15,'51_Bloques_Estudio'!$J$5:$J$204,B15,'51_Bloques_Estudio'!$E$5:$E$204,"Sí"))</f>
        <v>0</v>
      </c>
      <c r="I15" s="38">
        <f t="shared" si="0"/>
        <v>0</v>
      </c>
      <c r="J15" s="84" t="str">
        <f t="shared" si="1"/>
        <v>🔴 Riesgo</v>
      </c>
      <c r="K15" s="6" t="s">
        <v>2186</v>
      </c>
      <c r="L15" s="6" t="s">
        <v>4129</v>
      </c>
    </row>
    <row r="16" spans="1:12" ht="29" customHeight="1">
      <c r="A16" s="6" t="s">
        <v>2773</v>
      </c>
      <c r="B16" s="6" t="s">
        <v>2841</v>
      </c>
      <c r="C16" s="6" t="s">
        <v>4130</v>
      </c>
      <c r="D16" s="6" t="s">
        <v>4131</v>
      </c>
      <c r="E16" s="6" t="s">
        <v>4132</v>
      </c>
      <c r="F16" s="6" t="s">
        <v>4133</v>
      </c>
      <c r="G16" s="17">
        <v>4</v>
      </c>
      <c r="H16" s="137">
        <f>IF(A16="","",COUNTIFS('51_Bloques_Estudio'!$B$5:$B$204,A16,'51_Bloques_Estudio'!$J$5:$J$204,B16,'51_Bloques_Estudio'!$E$5:$E$204,"Sí"))</f>
        <v>0</v>
      </c>
      <c r="I16" s="38">
        <f t="shared" si="0"/>
        <v>0</v>
      </c>
      <c r="J16" s="84" t="str">
        <f t="shared" si="1"/>
        <v>🔴 Riesgo</v>
      </c>
      <c r="K16" s="6" t="s">
        <v>2186</v>
      </c>
      <c r="L16" s="6" t="s">
        <v>4134</v>
      </c>
    </row>
    <row r="17" spans="1:12">
      <c r="A17" s="6" t="s">
        <v>2851</v>
      </c>
      <c r="B17" s="6" t="s">
        <v>2832</v>
      </c>
      <c r="C17" s="6" t="s">
        <v>4135</v>
      </c>
      <c r="D17" s="6" t="s">
        <v>4136</v>
      </c>
      <c r="E17" s="6" t="s">
        <v>4137</v>
      </c>
      <c r="F17" s="6" t="s">
        <v>4138</v>
      </c>
      <c r="G17" s="17">
        <v>2</v>
      </c>
      <c r="H17" s="137">
        <f>IF(A17="","",COUNTIFS('51_Bloques_Estudio'!$B$5:$B$204,A17,'51_Bloques_Estudio'!$J$5:$J$204,B17,'51_Bloques_Estudio'!$E$5:$E$204,"Sí"))</f>
        <v>0</v>
      </c>
      <c r="I17" s="38">
        <f t="shared" si="0"/>
        <v>0</v>
      </c>
      <c r="J17" s="84" t="str">
        <f t="shared" si="1"/>
        <v>🔴 Riesgo</v>
      </c>
      <c r="K17" s="6" t="s">
        <v>2193</v>
      </c>
      <c r="L17" s="6" t="s">
        <v>4139</v>
      </c>
    </row>
    <row r="18" spans="1:12">
      <c r="A18" s="6" t="s">
        <v>2851</v>
      </c>
      <c r="B18" s="6" t="s">
        <v>2837</v>
      </c>
      <c r="C18" s="6" t="s">
        <v>4140</v>
      </c>
      <c r="D18" s="6" t="s">
        <v>4141</v>
      </c>
      <c r="E18" s="6" t="s">
        <v>4127</v>
      </c>
      <c r="F18" s="6" t="s">
        <v>4142</v>
      </c>
      <c r="G18" s="17">
        <v>3</v>
      </c>
      <c r="H18" s="137">
        <f>IF(A18="","",COUNTIFS('51_Bloques_Estudio'!$B$5:$B$204,A18,'51_Bloques_Estudio'!$J$5:$J$204,B18,'51_Bloques_Estudio'!$E$5:$E$204,"Sí"))</f>
        <v>0</v>
      </c>
      <c r="I18" s="38">
        <f t="shared" si="0"/>
        <v>0</v>
      </c>
      <c r="J18" s="84" t="str">
        <f t="shared" si="1"/>
        <v>🔴 Riesgo</v>
      </c>
      <c r="K18" s="6" t="s">
        <v>2193</v>
      </c>
      <c r="L18" s="6" t="s">
        <v>4143</v>
      </c>
    </row>
    <row r="19" spans="1:12">
      <c r="A19" s="6" t="s">
        <v>2851</v>
      </c>
      <c r="B19" s="6" t="s">
        <v>2839</v>
      </c>
      <c r="C19" s="6" t="s">
        <v>4144</v>
      </c>
      <c r="D19" s="6" t="s">
        <v>4145</v>
      </c>
      <c r="E19" s="6" t="s">
        <v>4146</v>
      </c>
      <c r="F19" s="6" t="s">
        <v>4147</v>
      </c>
      <c r="G19" s="17">
        <v>3</v>
      </c>
      <c r="H19" s="137">
        <f>IF(A19="","",COUNTIFS('51_Bloques_Estudio'!$B$5:$B$204,A19,'51_Bloques_Estudio'!$J$5:$J$204,B19,'51_Bloques_Estudio'!$E$5:$E$204,"Sí"))</f>
        <v>0</v>
      </c>
      <c r="I19" s="38">
        <f t="shared" si="0"/>
        <v>0</v>
      </c>
      <c r="J19" s="84" t="str">
        <f t="shared" si="1"/>
        <v>🔴 Riesgo</v>
      </c>
      <c r="K19" s="6" t="s">
        <v>2186</v>
      </c>
      <c r="L19" s="6" t="s">
        <v>4148</v>
      </c>
    </row>
    <row r="20" spans="1:12" ht="29" customHeight="1">
      <c r="A20" s="6" t="s">
        <v>2851</v>
      </c>
      <c r="B20" s="6" t="s">
        <v>2841</v>
      </c>
      <c r="C20" s="6" t="s">
        <v>4149</v>
      </c>
      <c r="D20" s="6" t="s">
        <v>4150</v>
      </c>
      <c r="E20" s="6" t="s">
        <v>4151</v>
      </c>
      <c r="F20" s="6" t="s">
        <v>4152</v>
      </c>
      <c r="G20" s="17">
        <v>4</v>
      </c>
      <c r="H20" s="137">
        <f>IF(A20="","",COUNTIFS('51_Bloques_Estudio'!$B$5:$B$204,A20,'51_Bloques_Estudio'!$J$5:$J$204,B20,'51_Bloques_Estudio'!$E$5:$E$204,"Sí"))</f>
        <v>0</v>
      </c>
      <c r="I20" s="38">
        <f t="shared" si="0"/>
        <v>0</v>
      </c>
      <c r="J20" s="84" t="str">
        <f t="shared" si="1"/>
        <v>🔴 Riesgo</v>
      </c>
      <c r="K20" s="6" t="s">
        <v>2186</v>
      </c>
      <c r="L20" s="6" t="s">
        <v>4153</v>
      </c>
    </row>
    <row r="21" spans="1:12" ht="1.9" customHeight="1">
      <c r="A21" s="6"/>
      <c r="B21" s="6"/>
      <c r="C21" s="6"/>
      <c r="D21" s="6"/>
      <c r="E21" s="6"/>
      <c r="F21" s="6"/>
      <c r="G21" s="17"/>
      <c r="H21" s="37"/>
      <c r="I21" s="37"/>
      <c r="J21" s="6"/>
      <c r="K21" s="6"/>
      <c r="L21" s="6"/>
    </row>
    <row r="22" spans="1:12" ht="1.9" customHeight="1">
      <c r="A22" s="6"/>
      <c r="B22" s="6"/>
      <c r="C22" s="6"/>
      <c r="D22" s="6"/>
      <c r="E22" s="6"/>
      <c r="F22" s="6"/>
      <c r="G22" s="17"/>
      <c r="H22" s="37"/>
      <c r="I22" s="37"/>
      <c r="J22" s="6"/>
      <c r="K22" s="6"/>
      <c r="L22" s="6"/>
    </row>
    <row r="23" spans="1:12" ht="1.9" customHeight="1">
      <c r="A23" s="6"/>
      <c r="B23" s="6"/>
      <c r="C23" s="6"/>
      <c r="D23" s="6"/>
      <c r="E23" s="6"/>
      <c r="F23" s="6"/>
      <c r="G23" s="17"/>
      <c r="H23" s="37"/>
      <c r="I23" s="37"/>
      <c r="J23" s="6"/>
      <c r="K23" s="6"/>
      <c r="L23" s="6"/>
    </row>
    <row r="24" spans="1:12" ht="1.9" customHeight="1">
      <c r="A24" s="6"/>
      <c r="B24" s="6"/>
      <c r="C24" s="6"/>
      <c r="D24" s="6"/>
      <c r="E24" s="6"/>
      <c r="F24" s="6"/>
      <c r="G24" s="17"/>
      <c r="H24" s="37"/>
      <c r="I24" s="37"/>
      <c r="J24" s="6"/>
      <c r="K24" s="6"/>
      <c r="L24" s="6"/>
    </row>
    <row r="25" spans="1:12" ht="1.9" customHeight="1">
      <c r="A25" s="6"/>
      <c r="B25" s="6"/>
      <c r="C25" s="6"/>
      <c r="D25" s="6"/>
      <c r="E25" s="6"/>
      <c r="F25" s="6"/>
      <c r="G25" s="17"/>
      <c r="H25" s="37"/>
      <c r="I25" s="37"/>
      <c r="J25" s="6"/>
      <c r="K25" s="6"/>
      <c r="L25" s="6"/>
    </row>
    <row r="26" spans="1:12" ht="1.9" customHeight="1">
      <c r="A26" s="6"/>
      <c r="B26" s="6"/>
      <c r="C26" s="6"/>
      <c r="D26" s="6"/>
      <c r="E26" s="6"/>
      <c r="F26" s="6"/>
      <c r="G26" s="17"/>
      <c r="H26" s="37"/>
      <c r="I26" s="37"/>
      <c r="J26" s="6"/>
      <c r="K26" s="6"/>
      <c r="L26" s="6"/>
    </row>
    <row r="27" spans="1:12" ht="1.9" customHeight="1">
      <c r="A27" s="6"/>
      <c r="B27" s="6"/>
      <c r="C27" s="6"/>
      <c r="D27" s="6"/>
      <c r="E27" s="6"/>
      <c r="F27" s="6"/>
      <c r="G27" s="17"/>
      <c r="H27" s="37"/>
      <c r="I27" s="37"/>
      <c r="J27" s="6"/>
      <c r="K27" s="6"/>
      <c r="L27" s="6"/>
    </row>
    <row r="28" spans="1:12" ht="1.9" customHeight="1">
      <c r="A28" s="6"/>
      <c r="B28" s="6"/>
      <c r="C28" s="6"/>
      <c r="D28" s="6"/>
      <c r="E28" s="6"/>
      <c r="F28" s="6"/>
      <c r="G28" s="17"/>
      <c r="H28" s="37"/>
      <c r="I28" s="37"/>
      <c r="J28" s="6"/>
      <c r="K28" s="6"/>
      <c r="L28" s="6"/>
    </row>
    <row r="29" spans="1:12" ht="1.9" customHeight="1">
      <c r="A29" s="6"/>
      <c r="B29" s="6"/>
      <c r="C29" s="6"/>
      <c r="D29" s="6"/>
      <c r="E29" s="6"/>
      <c r="F29" s="6"/>
      <c r="G29" s="17"/>
      <c r="H29" s="37"/>
      <c r="I29" s="37"/>
      <c r="J29" s="6"/>
      <c r="K29" s="6"/>
      <c r="L29" s="6"/>
    </row>
    <row r="30" spans="1:12" ht="1.9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.9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.9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.9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1.9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.9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1.9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1.9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1.9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.9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1.9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1.9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1.9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1.9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1.9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.9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1.9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1.9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1.9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1.9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.9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.9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.9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.9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.9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.9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.9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.9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.9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.9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.9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.9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.9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.9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.9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.9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1.9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1.9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1.9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1.9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ht="1.9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.9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ht="1.9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ht="1.9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ht="1.9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ht="1.9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ht="1.9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ht="1.9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ht="1.9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ht="1.9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 ht="1.9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ht="1.9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1:12" ht="1.9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ht="1.9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ht="1.9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ht="1.9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ht="1.9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.9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.9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ht="1.9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ht="1.9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ht="1.9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ht="1.9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ht="1.9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ht="1.9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ht="1.9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ht="1.9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1:12" ht="1.9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1:12" ht="1.9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ht="1.9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1:12" ht="1.9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</sheetData>
  <mergeCells count="2">
    <mergeCell ref="A2:L2"/>
    <mergeCell ref="A1:L1"/>
  </mergeCells>
  <conditionalFormatting sqref="A1:L30">
    <cfRule type="expression" dxfId="105" priority="3">
      <formula>ISNUMBER(SEARCH("🔴",A1))</formula>
    </cfRule>
    <cfRule type="expression" dxfId="104" priority="4">
      <formula>ISNUMBER(SEARCH("🟡",A1))</formula>
    </cfRule>
    <cfRule type="expression" dxfId="103" priority="5">
      <formula>ISNUMBER(SEARCH("🟢",A1))</formula>
    </cfRule>
  </conditionalFormatting>
  <conditionalFormatting sqref="I5:I30">
    <cfRule type="cellIs" dxfId="102" priority="1" operator="lessThan">
      <formula>0.5</formula>
    </cfRule>
    <cfRule type="cellIs" dxfId="101" priority="2" operator="greaterThanOrEqual">
      <formula>0.75</formula>
    </cfRule>
  </conditionalFormatting>
  <conditionalFormatting sqref="J5:J20">
    <cfRule type="expression" dxfId="100" priority="6">
      <formula>ISNUMBER(SEARCH("A - Inmediata",J5))</formula>
    </cfRule>
    <cfRule type="expression" dxfId="99" priority="7">
      <formula>ISNUMBER(SEARCH("B - Interesante",J5))</formula>
    </cfRule>
    <cfRule type="expression" dxfId="98" priority="8">
      <formula>ISNUMBER(SEARCH("C - Observar",J5))</formula>
    </cfRule>
    <cfRule type="expression" dxfId="97" priority="9">
      <formula>ISNUMBER(SEARCH("X - Descartar",J5))</formula>
    </cfRule>
    <cfRule type="expression" dxfId="96" priority="10">
      <formula>ISNUMBER(SEARCH("🔴",J5))</formula>
    </cfRule>
    <cfRule type="expression" dxfId="95" priority="11">
      <formula>ISNUMBER(SEARCH("🟡",J5))</formula>
    </cfRule>
    <cfRule type="expression" dxfId="94" priority="12">
      <formula>ISNUMBER(SEARCH("🟢",J5))</formula>
    </cfRule>
    <cfRule type="expression" dxfId="93" priority="13">
      <formula>ISNUMBER(SEARCH("🔵",J5))</formula>
    </cfRule>
    <cfRule type="expression" dxfId="92" priority="14">
      <formula>ISNUMBER(SEARCH("⭐",J5))</formula>
    </cfRule>
    <cfRule type="expression" dxfId="91" priority="15">
      <formula>ISNUMBER(SEARCH("Riesgo",J5))</formula>
    </cfRule>
    <cfRule type="expression" dxfId="90" priority="16">
      <formula>ISNUMBER(SEARCH("En proceso",J5))</formula>
    </cfRule>
    <cfRule type="expression" dxfId="89" priority="17">
      <formula>ISNUMBER(SEARCH("Cumplido",J5))</formula>
    </cfRule>
    <cfRule type="expression" dxfId="88" priority="18">
      <formula>ISNUMBER(SEARCH("Pendiente",J5))</formula>
    </cfRule>
    <cfRule type="expression" dxfId="87" priority="19">
      <formula>ISNUMBER(SEARCH("Descartar",J5))</formula>
    </cfRule>
    <cfRule type="expression" dxfId="86" priority="20">
      <formula>ISNUMBER(SEARCH("CRM",J5))</formula>
    </cfRule>
    <cfRule type="expression" dxfId="85" priority="21">
      <formula>ISNUMBER(SEARCH("Oportunidad",J5))</formula>
    </cfRule>
    <cfRule type="expression" dxfId="84" priority="22">
      <formula>ISNUMBER(SEARCH("Seguimiento",J5))</formula>
    </cfRule>
    <cfRule type="expression" dxfId="83" priority="23">
      <formula>ISNUMBER(SEARCH("Observar",J5))</formula>
    </cfRule>
  </conditionalFormatting>
  <dataValidations count="2">
    <dataValidation type="list" allowBlank="1" sqref="L5:L30" xr:uid="{00000000-0002-0000-7500-000000000000}">
      <formula1>"Alta,Media,Baja"</formula1>
    </dataValidation>
    <dataValidation type="list" allowBlank="1" sqref="J5:J30" xr:uid="{00000000-0002-0000-7500-000001000000}">
      <formula1>"🔴 Riesgo,🟡 En proceso,🟢 Cumplido,🔵 Superado"</formula1>
    </dataValidation>
  </dataValidation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BFBFBF"/>
  </sheetPr>
  <dimension ref="A1:Q100"/>
  <sheetViews>
    <sheetView showGridLines="0" workbookViewId="0"/>
  </sheetViews>
  <sheetFormatPr baseColWidth="10" defaultColWidth="14.453125" defaultRowHeight="14.5"/>
  <cols>
    <col min="1" max="5" width="42" customWidth="1"/>
    <col min="6" max="6" width="35" customWidth="1"/>
    <col min="7" max="12" width="12" customWidth="1"/>
    <col min="13" max="13" width="7.90625" customWidth="1"/>
    <col min="14" max="14" width="11.453125" customWidth="1"/>
  </cols>
  <sheetData>
    <row r="1" spans="1:17" ht="30.5" customHeight="1">
      <c r="A1" s="486" t="s">
        <v>4154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</row>
    <row r="2" spans="1:17">
      <c r="A2" s="485" t="s">
        <v>2575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</row>
    <row r="3" spans="1:17">
      <c r="A3" s="207" t="s">
        <v>1300</v>
      </c>
      <c r="B3" s="207" t="s">
        <v>7</v>
      </c>
      <c r="C3" s="207" t="s">
        <v>1765</v>
      </c>
      <c r="D3" s="207" t="s">
        <v>696</v>
      </c>
      <c r="E3" s="208"/>
      <c r="F3" s="208"/>
      <c r="G3" s="208"/>
      <c r="H3" s="208"/>
      <c r="I3" s="208"/>
      <c r="J3" s="208"/>
      <c r="K3" s="208"/>
      <c r="L3" s="208"/>
    </row>
    <row r="4" spans="1:17" ht="29" customHeight="1">
      <c r="A4" s="209" t="s">
        <v>2576</v>
      </c>
      <c r="B4" s="209">
        <f>COUNTA('61_T2_Ramos'!A4:A20)</f>
        <v>5</v>
      </c>
      <c r="C4" s="209" t="s">
        <v>4155</v>
      </c>
      <c r="D4" s="209" t="s">
        <v>4156</v>
      </c>
    </row>
    <row r="5" spans="1:17" ht="18.5" customHeight="1">
      <c r="A5" s="209" t="s">
        <v>2577</v>
      </c>
      <c r="B5" s="209">
        <f>COUNTA('62_T2_Evaluaciones'!A4:A200)</f>
        <v>21</v>
      </c>
      <c r="C5" s="209" t="s">
        <v>2578</v>
      </c>
      <c r="D5" s="209" t="s">
        <v>2579</v>
      </c>
    </row>
    <row r="6" spans="1:17">
      <c r="A6" s="209" t="s">
        <v>2580</v>
      </c>
      <c r="B6" s="209">
        <f>SUM('62_T2_Evaluaciones'!F4:F200)</f>
        <v>400</v>
      </c>
      <c r="C6" s="209" t="s">
        <v>2581</v>
      </c>
      <c r="D6" s="209" t="s">
        <v>2582</v>
      </c>
    </row>
    <row r="7" spans="1:17">
      <c r="A7" s="209" t="s">
        <v>2583</v>
      </c>
      <c r="B7" s="209">
        <f>COUNTA('63_T2_Bloques'!A4:A500)</f>
        <v>97</v>
      </c>
      <c r="C7" s="209" t="s">
        <v>2584</v>
      </c>
      <c r="D7" s="209" t="s">
        <v>2585</v>
      </c>
    </row>
    <row r="8" spans="1:17" ht="29" customHeight="1">
      <c r="A8" s="209" t="s">
        <v>2586</v>
      </c>
      <c r="B8" s="209">
        <f>COUNTIF('63_T2_Bloques'!H4:H500,"Completado")</f>
        <v>16</v>
      </c>
      <c r="C8" s="209" t="s">
        <v>2587</v>
      </c>
      <c r="D8" s="209" t="s">
        <v>2588</v>
      </c>
    </row>
    <row r="9" spans="1:17" ht="18.5" customHeight="1">
      <c r="A9" s="209" t="s">
        <v>2589</v>
      </c>
      <c r="B9" s="209">
        <f>IF(B7=0,0,B8/B7)</f>
        <v>0.16494845360824742</v>
      </c>
      <c r="C9" s="209" t="s">
        <v>2590</v>
      </c>
      <c r="D9" s="209" t="s">
        <v>2591</v>
      </c>
    </row>
    <row r="10" spans="1:17">
      <c r="A10" s="209" t="s">
        <v>2592</v>
      </c>
      <c r="B10" s="209">
        <f ca="1">COUNTIF('62_T2_Evaluaciones'!M4:M200,"Crítico")</f>
        <v>0</v>
      </c>
      <c r="C10" s="209" t="s">
        <v>2593</v>
      </c>
      <c r="D10" s="209" t="s">
        <v>2594</v>
      </c>
    </row>
    <row r="11" spans="1:17">
      <c r="A11" s="209" t="s">
        <v>2595</v>
      </c>
      <c r="B11" s="209">
        <f ca="1">COUNTIF('62_T2_Evaluaciones'!M4:M200,"Vencido")</f>
        <v>6</v>
      </c>
      <c r="C11" s="209" t="s">
        <v>2596</v>
      </c>
      <c r="D11" s="209" t="s">
        <v>2597</v>
      </c>
    </row>
    <row r="12" spans="1:17">
      <c r="A12" s="209" t="s">
        <v>2598</v>
      </c>
      <c r="B12" s="209">
        <f>AVERAGE('56_Notas'!C4:C7)</f>
        <v>0</v>
      </c>
      <c r="C12" s="209" t="s">
        <v>2599</v>
      </c>
      <c r="D12" s="209" t="s">
        <v>2600</v>
      </c>
    </row>
    <row r="13" spans="1:17" ht="20.5" customHeight="1">
      <c r="A13" s="421"/>
      <c r="B13" s="426"/>
      <c r="C13" s="426"/>
      <c r="D13" s="426"/>
      <c r="E13" s="426"/>
      <c r="F13" s="426"/>
      <c r="G13" s="426"/>
      <c r="H13" s="426"/>
      <c r="I13" s="426"/>
      <c r="J13" s="426"/>
      <c r="K13" s="426"/>
    </row>
    <row r="14" spans="1:17" ht="29" customHeight="1"/>
    <row r="15" spans="1:17" ht="29" customHeight="1"/>
    <row r="16" spans="1:17" ht="29" customHeight="1">
      <c r="A16" s="207" t="s">
        <v>2230</v>
      </c>
      <c r="B16" s="207" t="s">
        <v>118</v>
      </c>
      <c r="C16" s="207" t="s">
        <v>2601</v>
      </c>
      <c r="D16" s="207" t="s">
        <v>2524</v>
      </c>
      <c r="E16" s="207" t="s">
        <v>2181</v>
      </c>
      <c r="F16" s="207" t="s">
        <v>696</v>
      </c>
    </row>
    <row r="17" spans="1:11" ht="29" customHeight="1">
      <c r="A17" s="209" t="s">
        <v>2184</v>
      </c>
      <c r="B17" s="209">
        <f>COUNTIF('62_T2_Evaluaciones'!B:B,A17)</f>
        <v>4</v>
      </c>
      <c r="C17" s="209">
        <f>SUMIF('62_T2_Evaluaciones'!B:B,A17,'62_T2_Evaluaciones'!F:F)</f>
        <v>100</v>
      </c>
      <c r="D17" s="209">
        <f>SUMIF('62_T2_Evaluaciones'!B:B,A17,'62_T2_Evaluaciones'!K:K)</f>
        <v>0</v>
      </c>
      <c r="E17" s="209" t="str">
        <f>IF(D17&lt;2,"Crítico",IF(D17&lt;4,"Alto","Controlado"))</f>
        <v>Crítico</v>
      </c>
      <c r="F17" s="209" t="s">
        <v>2602</v>
      </c>
    </row>
    <row r="18" spans="1:11" ht="29" customHeight="1">
      <c r="A18" s="209" t="s">
        <v>2189</v>
      </c>
      <c r="B18" s="209">
        <f>COUNTIF('62_T2_Evaluaciones'!B:B,A18)</f>
        <v>5</v>
      </c>
      <c r="C18" s="209">
        <f>SUMIF('62_T2_Evaluaciones'!B:B,A18,'62_T2_Evaluaciones'!F:F)</f>
        <v>100</v>
      </c>
      <c r="D18" s="209">
        <f>SUMIF('62_T2_Evaluaciones'!B:B,A18,'62_T2_Evaluaciones'!K:K)</f>
        <v>0</v>
      </c>
      <c r="E18" s="209" t="str">
        <f>IF(D18&lt;2,"Crítico",IF(D18&lt;4,"Alto","Controlado"))</f>
        <v>Crítico</v>
      </c>
      <c r="F18" s="209" t="s">
        <v>2602</v>
      </c>
    </row>
    <row r="19" spans="1:11">
      <c r="A19" s="209" t="s">
        <v>35</v>
      </c>
      <c r="B19" s="209">
        <f>COUNTIF('62_T2_Evaluaciones'!B:B,A19)</f>
        <v>4</v>
      </c>
      <c r="C19" s="209">
        <f>SUMIF('62_T2_Evaluaciones'!B:B,A19,'62_T2_Evaluaciones'!F:F)</f>
        <v>100</v>
      </c>
      <c r="D19" s="209">
        <f>SUMIF('62_T2_Evaluaciones'!B:B,A19,'62_T2_Evaluaciones'!K:K)</f>
        <v>0</v>
      </c>
      <c r="E19" s="209" t="str">
        <f>IF(D19&lt;2,"Crítico",IF(D19&lt;4,"Alto","Controlado"))</f>
        <v>Crítico</v>
      </c>
      <c r="F19" s="209" t="s">
        <v>2602</v>
      </c>
    </row>
    <row r="20" spans="1:11">
      <c r="A20" s="209" t="s">
        <v>2199</v>
      </c>
      <c r="B20" s="209">
        <f>COUNTIF('62_T2_Evaluaciones'!B:B,A20)</f>
        <v>7</v>
      </c>
      <c r="C20" s="209">
        <f>SUMIF('62_T2_Evaluaciones'!B:B,A20,'62_T2_Evaluaciones'!F:F)</f>
        <v>100</v>
      </c>
      <c r="D20" s="209">
        <f>SUMIF('62_T2_Evaluaciones'!B:B,A20,'62_T2_Evaluaciones'!K:K)</f>
        <v>0</v>
      </c>
      <c r="E20" s="209" t="str">
        <f>IF(D20&lt;2,"Crítico",IF(D20&lt;4,"Alto","Controlado"))</f>
        <v>Crítico</v>
      </c>
      <c r="F20" s="209" t="s">
        <v>2602</v>
      </c>
    </row>
    <row r="22" spans="1:11" ht="20.5" customHeight="1">
      <c r="A22" s="421"/>
      <c r="B22" s="426"/>
      <c r="C22" s="426"/>
      <c r="D22" s="426"/>
      <c r="E22" s="426"/>
      <c r="F22" s="426"/>
      <c r="G22" s="426"/>
      <c r="H22" s="426"/>
      <c r="I22" s="426"/>
      <c r="J22" s="426"/>
      <c r="K22" s="426"/>
    </row>
    <row r="39" spans="1:11">
      <c r="A39" s="421"/>
      <c r="B39" s="426"/>
      <c r="C39" s="426"/>
      <c r="D39" s="426"/>
      <c r="E39" s="426"/>
      <c r="F39" s="426"/>
      <c r="G39" s="426"/>
      <c r="H39" s="426"/>
      <c r="I39" s="426"/>
      <c r="J39" s="426"/>
      <c r="K39" s="426"/>
    </row>
    <row r="41" spans="1:11" ht="29" customHeight="1"/>
    <row r="45" spans="1:11" ht="29" customHeight="1"/>
    <row r="47" spans="1:11" ht="3.15" customHeight="1"/>
    <row r="48" spans="1:11" ht="3.15" customHeight="1"/>
    <row r="49" ht="3.15" customHeight="1"/>
    <row r="50" ht="3.15" customHeight="1"/>
    <row r="51" ht="3.15" customHeight="1"/>
    <row r="52" ht="3.15" customHeight="1"/>
    <row r="53" ht="3.15" customHeight="1"/>
    <row r="54" ht="3.15" customHeight="1"/>
    <row r="55" ht="3.15" customHeight="1"/>
    <row r="56" ht="3.15" customHeight="1"/>
    <row r="57" ht="3.15" customHeight="1"/>
    <row r="58" ht="3.15" customHeight="1"/>
    <row r="59" ht="3.15" customHeight="1"/>
    <row r="60" ht="3.15" customHeight="1"/>
    <row r="61" ht="3.15" customHeight="1"/>
    <row r="62" ht="3.15" customHeight="1"/>
    <row r="63" ht="3.15" customHeight="1"/>
    <row r="64" ht="3.15" customHeight="1"/>
    <row r="65" ht="3.15" customHeight="1"/>
    <row r="66" ht="3.15" customHeight="1"/>
    <row r="67" ht="3.15" customHeight="1"/>
    <row r="68" ht="3.15" customHeight="1"/>
    <row r="69" ht="3.15" customHeight="1"/>
    <row r="70" ht="2.15" customHeight="1"/>
    <row r="71" ht="2.15" customHeight="1"/>
    <row r="72" ht="2.15" customHeight="1"/>
    <row r="73" ht="2.15" customHeight="1"/>
    <row r="74" ht="2.15" customHeight="1"/>
    <row r="75" ht="2.15" customHeight="1"/>
    <row r="76" ht="2.15" customHeight="1"/>
    <row r="77" ht="2.15" customHeight="1"/>
    <row r="78" ht="2.15" customHeight="1"/>
    <row r="79" ht="2.15" customHeight="1"/>
    <row r="80" ht="2.15" customHeight="1"/>
    <row r="81" ht="2.15" customHeight="1"/>
    <row r="82" ht="2.15" customHeight="1"/>
    <row r="83" ht="2.15" customHeight="1"/>
    <row r="84" ht="2.15" customHeight="1"/>
    <row r="85" ht="2.15" customHeight="1"/>
    <row r="86" ht="2.15" customHeight="1"/>
    <row r="87" ht="2.15" customHeight="1"/>
    <row r="88" ht="2.15" customHeight="1"/>
    <row r="89" ht="2.15" customHeight="1"/>
    <row r="90" ht="2.15" customHeight="1"/>
    <row r="91" ht="2.15" customHeight="1"/>
    <row r="92" ht="2.15" customHeight="1"/>
    <row r="93" ht="2.15" customHeight="1"/>
    <row r="94" ht="2.15" customHeight="1"/>
    <row r="95" ht="2.15" customHeight="1"/>
    <row r="96" ht="2.15" customHeight="1"/>
    <row r="97" ht="2.15" customHeight="1"/>
    <row r="98" ht="2.15" customHeight="1"/>
    <row r="99" ht="2.15" customHeight="1"/>
    <row r="100" ht="2.15" customHeight="1"/>
  </sheetData>
  <mergeCells count="5">
    <mergeCell ref="A22:K22"/>
    <mergeCell ref="A39:K39"/>
    <mergeCell ref="A2:Q2"/>
    <mergeCell ref="A13:K13"/>
    <mergeCell ref="A1:Q1"/>
  </mergeCells>
  <conditionalFormatting sqref="G15:G18">
    <cfRule type="cellIs" dxfId="82" priority="1" operator="lessThan">
      <formula>0.5</formula>
    </cfRule>
    <cfRule type="cellIs" dxfId="81" priority="2" operator="between">
      <formula>0.5</formula>
      <formula>0.79</formula>
    </cfRule>
    <cfRule type="cellIs" dxfId="80" priority="3" operator="greaterThanOrEqual">
      <formula>0.8</formula>
    </cfRule>
  </conditionalFormatting>
  <conditionalFormatting sqref="H15:H18">
    <cfRule type="expression" dxfId="79" priority="22">
      <formula>ISNUMBER(SEARCH("C - Observar",H15))</formula>
    </cfRule>
    <cfRule type="expression" dxfId="78" priority="23">
      <formula>ISNUMBER(SEARCH("X - Descartar",H15))</formula>
    </cfRule>
    <cfRule type="expression" dxfId="77" priority="24">
      <formula>ISNUMBER(SEARCH("🔴",H15))</formula>
    </cfRule>
    <cfRule type="expression" dxfId="76" priority="25">
      <formula>ISNUMBER(SEARCH("🟡",H15))</formula>
    </cfRule>
    <cfRule type="expression" dxfId="75" priority="26">
      <formula>ISNUMBER(SEARCH("🟢",H15))</formula>
    </cfRule>
    <cfRule type="expression" dxfId="74" priority="27">
      <formula>ISNUMBER(SEARCH("🔵",H15))</formula>
    </cfRule>
    <cfRule type="expression" dxfId="73" priority="28">
      <formula>ISNUMBER(SEARCH("⭐",H15))</formula>
    </cfRule>
    <cfRule type="expression" dxfId="72" priority="29">
      <formula>ISNUMBER(SEARCH("Riesgo",H15))</formula>
    </cfRule>
    <cfRule type="expression" dxfId="71" priority="30">
      <formula>ISNUMBER(SEARCH("En proceso",H15))</formula>
    </cfRule>
    <cfRule type="expression" dxfId="70" priority="31">
      <formula>ISNUMBER(SEARCH("Cumplido",H15))</formula>
    </cfRule>
    <cfRule type="expression" dxfId="69" priority="32">
      <formula>ISNUMBER(SEARCH("Pendiente",H15))</formula>
    </cfRule>
    <cfRule type="expression" dxfId="68" priority="33">
      <formula>ISNUMBER(SEARCH("Descartar",H15))</formula>
    </cfRule>
    <cfRule type="expression" dxfId="67" priority="34">
      <formula>ISNUMBER(SEARCH("CRM",H15))</formula>
    </cfRule>
    <cfRule type="expression" dxfId="66" priority="35">
      <formula>ISNUMBER(SEARCH("Oportunidad",H15))</formula>
    </cfRule>
    <cfRule type="expression" dxfId="65" priority="36">
      <formula>ISNUMBER(SEARCH("Seguimiento",H15))</formula>
    </cfRule>
    <cfRule type="expression" dxfId="64" priority="37">
      <formula>ISNUMBER(SEARCH("Observar",H15))</formula>
    </cfRule>
    <cfRule type="expression" dxfId="63" priority="20">
      <formula>ISNUMBER(SEARCH("A - Inmediata",H15))</formula>
    </cfRule>
    <cfRule type="expression" dxfId="62" priority="21">
      <formula>ISNUMBER(SEARCH("B - Interesante",H15))</formula>
    </cfRule>
  </conditionalFormatting>
  <conditionalFormatting sqref="H15:H45">
    <cfRule type="expression" dxfId="61" priority="4">
      <formula>ISNUMBER(SEARCH("Riesgo",H15))</formula>
    </cfRule>
    <cfRule type="expression" dxfId="60" priority="5">
      <formula>ISNUMBER(SEARCH("Crítico",H15))</formula>
    </cfRule>
    <cfRule type="expression" dxfId="59" priority="6">
      <formula>ISNUMBER(SEARCH("Pendiente",H15))</formula>
    </cfRule>
    <cfRule type="expression" dxfId="58" priority="7">
      <formula>ISNUMBER(SEARCH("En riesgo",H15))</formula>
    </cfRule>
    <cfRule type="expression" dxfId="57" priority="8">
      <formula>ISNUMBER(SEARCH("Atención",H15))</formula>
    </cfRule>
    <cfRule type="expression" dxfId="56" priority="9">
      <formula>ISNUMBER(SEARCH("En proceso",H15))</formula>
    </cfRule>
    <cfRule type="expression" dxfId="55" priority="10">
      <formula>ISNUMBER(SEARCH("Meta",H15))</formula>
    </cfRule>
    <cfRule type="expression" dxfId="54" priority="11">
      <formula>ISNUMBER(SEARCH("Cumple",H15))</formula>
    </cfRule>
    <cfRule type="expression" dxfId="53" priority="12">
      <formula>ISNUMBER(SEARCH("Cumplido",H15))</formula>
    </cfRule>
    <cfRule type="expression" dxfId="52" priority="13">
      <formula>ISNUMBER(SEARCH("Positivo",H15))</formula>
    </cfRule>
    <cfRule type="expression" dxfId="51" priority="14">
      <formula>ISNUMBER(SEARCH("Dominio",H15))</formula>
    </cfRule>
    <cfRule type="expression" dxfId="50" priority="15">
      <formula>ISNUMBER(SEARCH("Alto",H15))</formula>
    </cfRule>
    <cfRule type="expression" dxfId="49" priority="16">
      <formula>ISNUMBER(SEARCH("Superado",H15))</formula>
    </cfRule>
    <cfRule type="expression" dxfId="48" priority="17">
      <formula>ISNUMBER(SEARCH("Cuadrado",H15))</formula>
    </cfRule>
    <cfRule type="expression" dxfId="47" priority="18">
      <formula>ISNUMBER(SEARCH("Revisar",H15))</formula>
    </cfRule>
    <cfRule type="expression" dxfId="46" priority="19">
      <formula>ISNUMBER(SEARCH("Vacío",H15))</formula>
    </cfRule>
  </conditionalFormatting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BFBFBF"/>
  </sheetPr>
  <dimension ref="A1:N100"/>
  <sheetViews>
    <sheetView showGridLines="0" workbookViewId="0"/>
  </sheetViews>
  <sheetFormatPr baseColWidth="10" defaultColWidth="14.453125" defaultRowHeight="14.5"/>
  <cols>
    <col min="1" max="1" width="22" customWidth="1"/>
    <col min="2" max="2" width="12" customWidth="1"/>
    <col min="3" max="3" width="40" customWidth="1"/>
    <col min="4" max="4" width="18" customWidth="1"/>
    <col min="5" max="5" width="10" customWidth="1"/>
    <col min="6" max="6" width="18" customWidth="1"/>
    <col min="7" max="7" width="16" customWidth="1"/>
    <col min="8" max="9" width="14" customWidth="1"/>
    <col min="10" max="10" width="36" customWidth="1"/>
    <col min="11" max="11" width="18" customWidth="1"/>
    <col min="12" max="12" width="16" customWidth="1"/>
    <col min="13" max="13" width="36" customWidth="1"/>
    <col min="14" max="14" width="18" customWidth="1"/>
  </cols>
  <sheetData>
    <row r="1" spans="1:14" ht="23.5" customHeight="1">
      <c r="A1" s="534" t="s">
        <v>4157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>
      <c r="A2" s="535" t="s">
        <v>4158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39" t="s">
        <v>4159</v>
      </c>
      <c r="B4" s="426"/>
      <c r="C4" s="539" t="s">
        <v>4160</v>
      </c>
      <c r="D4" s="426"/>
      <c r="E4" s="539" t="s">
        <v>4161</v>
      </c>
      <c r="F4" s="426"/>
      <c r="G4" s="539" t="s">
        <v>4162</v>
      </c>
      <c r="H4" s="426"/>
      <c r="I4" s="539" t="s">
        <v>4163</v>
      </c>
      <c r="J4" s="426"/>
      <c r="K4" s="539" t="s">
        <v>4164</v>
      </c>
      <c r="L4" s="426"/>
      <c r="M4" s="4"/>
      <c r="N4" s="4"/>
    </row>
    <row r="5" spans="1:14" ht="20.5" customHeight="1">
      <c r="A5" s="540">
        <f>'54_Dashboard_Universidad'!H5</f>
        <v>0</v>
      </c>
      <c r="B5" s="426"/>
      <c r="C5" s="537">
        <f>'54_Dashboard_Universidad'!K5</f>
        <v>0</v>
      </c>
      <c r="D5" s="426"/>
      <c r="E5" s="538">
        <f>'54_Dashboard_Universidad'!B9</f>
        <v>0.16494845360824742</v>
      </c>
      <c r="F5" s="426"/>
      <c r="G5" s="538">
        <f>'54_Dashboard_Universidad'!E9</f>
        <v>0</v>
      </c>
      <c r="H5" s="426"/>
      <c r="I5" s="538">
        <f>'54_Dashboard_Universidad'!H9</f>
        <v>0</v>
      </c>
      <c r="J5" s="426"/>
      <c r="K5" s="538">
        <f>'54_Dashboard_Universidad'!B5</f>
        <v>21</v>
      </c>
      <c r="L5" s="426"/>
      <c r="M5" s="4"/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26" customHeight="1">
      <c r="A8" s="536" t="s">
        <v>4165</v>
      </c>
      <c r="B8" s="426"/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6"/>
    </row>
    <row r="9" spans="1:14" ht="58" customHeight="1">
      <c r="A9" s="41" t="s">
        <v>2230</v>
      </c>
      <c r="B9" s="41" t="s">
        <v>2217</v>
      </c>
      <c r="C9" s="41" t="s">
        <v>2440</v>
      </c>
      <c r="D9" s="41" t="s">
        <v>4166</v>
      </c>
      <c r="E9" s="41" t="s">
        <v>2536</v>
      </c>
      <c r="F9" s="41" t="s">
        <v>1248</v>
      </c>
      <c r="G9" s="41" t="s">
        <v>655</v>
      </c>
      <c r="H9" s="41" t="s">
        <v>2626</v>
      </c>
      <c r="I9" s="41" t="s">
        <v>2829</v>
      </c>
      <c r="J9" s="41" t="s">
        <v>4167</v>
      </c>
      <c r="K9" s="41" t="s">
        <v>4168</v>
      </c>
      <c r="L9" s="41" t="s">
        <v>2181</v>
      </c>
      <c r="M9" s="41" t="s">
        <v>656</v>
      </c>
      <c r="N9" s="41" t="s">
        <v>381</v>
      </c>
    </row>
    <row r="10" spans="1:14" ht="29" customHeight="1">
      <c r="A10" s="4" t="s">
        <v>2830</v>
      </c>
      <c r="B10" s="4">
        <f>IFERROR('54_Dashboard_Universidad'!B15,0)</f>
        <v>0</v>
      </c>
      <c r="C10" s="4">
        <f>IFERROR('54_Dashboard_Universidad'!C15,0)</f>
        <v>0</v>
      </c>
      <c r="D10" s="4">
        <f>'54_Dashboard_Universidad'!D15</f>
        <v>0</v>
      </c>
      <c r="E10" s="4">
        <f>IFERROR('54_Dashboard_Universidad'!F15,0)</f>
        <v>0</v>
      </c>
      <c r="F10" s="42">
        <f>'54_Dashboard_Universidad'!G15</f>
        <v>0</v>
      </c>
      <c r="G10" s="4">
        <f>'54_Dashboard_Universidad'!H15</f>
        <v>0</v>
      </c>
      <c r="H10" s="4">
        <f>'54_Dashboard_Universidad'!I15</f>
        <v>0</v>
      </c>
      <c r="I10" s="4">
        <f>'54_Dashboard_Universidad'!J15</f>
        <v>0</v>
      </c>
      <c r="J10" s="4" t="s">
        <v>2841</v>
      </c>
      <c r="K10" s="4" t="s">
        <v>4169</v>
      </c>
      <c r="L10" s="4" t="str">
        <f>IF(F10&lt;0.5,"Alto",IF(F10&lt;0.8,"Medio","Bajo"))</f>
        <v>Alto</v>
      </c>
      <c r="M10" s="4" t="s">
        <v>4170</v>
      </c>
      <c r="N10" s="4" t="s">
        <v>4171</v>
      </c>
    </row>
    <row r="11" spans="1:14" ht="29" customHeight="1">
      <c r="A11" s="4" t="s">
        <v>2842</v>
      </c>
      <c r="B11" s="4" t="str">
        <f>IFERROR('54_Dashboard_Universidad'!B16,0)</f>
        <v>Evaluaciones</v>
      </c>
      <c r="C11" s="4" t="str">
        <f>IFERROR('54_Dashboard_Universidad'!C16,0)</f>
        <v>Ponderación</v>
      </c>
      <c r="D11" s="4" t="str">
        <f>'54_Dashboard_Universidad'!D16</f>
        <v>Nota actual</v>
      </c>
      <c r="E11" s="4" t="str">
        <f>IFERROR('54_Dashboard_Universidad'!F16,0)</f>
        <v>Acción</v>
      </c>
      <c r="F11" s="42">
        <f>'54_Dashboard_Universidad'!G16</f>
        <v>0</v>
      </c>
      <c r="G11" s="4">
        <f>'54_Dashboard_Universidad'!H16</f>
        <v>0</v>
      </c>
      <c r="H11" s="4">
        <f>'54_Dashboard_Universidad'!I16</f>
        <v>0</v>
      </c>
      <c r="I11" s="4">
        <f>'54_Dashboard_Universidad'!J16</f>
        <v>0</v>
      </c>
      <c r="J11" s="4" t="s">
        <v>2841</v>
      </c>
      <c r="K11" s="4" t="s">
        <v>4169</v>
      </c>
      <c r="L11" s="4" t="str">
        <f>IF(F11&lt;0.5,"Alto",IF(F11&lt;0.8,"Medio","Bajo"))</f>
        <v>Alto</v>
      </c>
      <c r="M11" s="4" t="s">
        <v>4170</v>
      </c>
      <c r="N11" s="4" t="s">
        <v>4171</v>
      </c>
    </row>
    <row r="12" spans="1:14" ht="29" customHeight="1">
      <c r="A12" s="4" t="s">
        <v>2773</v>
      </c>
      <c r="B12" s="4">
        <f>IFERROR('54_Dashboard_Universidad'!B17,0)</f>
        <v>4</v>
      </c>
      <c r="C12" s="4">
        <f>IFERROR('54_Dashboard_Universidad'!C17,0)</f>
        <v>100</v>
      </c>
      <c r="D12" s="4">
        <f>'54_Dashboard_Universidad'!D17</f>
        <v>0</v>
      </c>
      <c r="E12" s="4" t="str">
        <f>IFERROR('54_Dashboard_Universidad'!F17,0)</f>
        <v>Ejecutar bloques y revisar Canvas</v>
      </c>
      <c r="F12" s="42">
        <f>'54_Dashboard_Universidad'!G17</f>
        <v>0</v>
      </c>
      <c r="G12" s="4">
        <f>'54_Dashboard_Universidad'!H17</f>
        <v>0</v>
      </c>
      <c r="H12" s="4">
        <f>'54_Dashboard_Universidad'!I17</f>
        <v>0</v>
      </c>
      <c r="I12" s="4">
        <f>'54_Dashboard_Universidad'!J17</f>
        <v>0</v>
      </c>
      <c r="J12" s="4" t="s">
        <v>2841</v>
      </c>
      <c r="K12" s="4" t="s">
        <v>4169</v>
      </c>
      <c r="L12" s="4" t="str">
        <f>IF(F12&lt;0.5,"Alto",IF(F12&lt;0.8,"Medio","Bajo"))</f>
        <v>Alto</v>
      </c>
      <c r="M12" s="4" t="s">
        <v>4170</v>
      </c>
      <c r="N12" s="4" t="s">
        <v>4171</v>
      </c>
    </row>
    <row r="13" spans="1:14" ht="29" customHeight="1">
      <c r="A13" s="4" t="s">
        <v>2851</v>
      </c>
      <c r="B13" s="4">
        <f>IFERROR('54_Dashboard_Universidad'!B18,0)</f>
        <v>5</v>
      </c>
      <c r="C13" s="4">
        <f>IFERROR('54_Dashboard_Universidad'!C18,0)</f>
        <v>100</v>
      </c>
      <c r="D13" s="4">
        <f>'54_Dashboard_Universidad'!D18</f>
        <v>0</v>
      </c>
      <c r="E13" s="4" t="str">
        <f>IFERROR('54_Dashboard_Universidad'!F18,0)</f>
        <v>Ejecutar bloques y revisar Canvas</v>
      </c>
      <c r="F13" s="42">
        <f>'54_Dashboard_Universidad'!G18</f>
        <v>0</v>
      </c>
      <c r="G13" s="4">
        <f>'54_Dashboard_Universidad'!H18</f>
        <v>0</v>
      </c>
      <c r="H13" s="4">
        <f>'54_Dashboard_Universidad'!I18</f>
        <v>0</v>
      </c>
      <c r="I13" s="4">
        <f>'54_Dashboard_Universidad'!J18</f>
        <v>0</v>
      </c>
      <c r="J13" s="4" t="s">
        <v>4172</v>
      </c>
      <c r="K13" s="4" t="s">
        <v>4169</v>
      </c>
      <c r="L13" s="4" t="str">
        <f>IF(F13&lt;0.5,"Alto",IF(F13&lt;0.8,"Medio","Bajo"))</f>
        <v>Alto</v>
      </c>
      <c r="M13" s="4" t="s">
        <v>4170</v>
      </c>
      <c r="N13" s="4" t="s">
        <v>4171</v>
      </c>
    </row>
    <row r="14" spans="1:14">
      <c r="A14" s="4"/>
      <c r="B14" s="4"/>
      <c r="C14" s="4"/>
      <c r="D14" s="4"/>
      <c r="E14" s="4"/>
      <c r="F14" s="4"/>
      <c r="G14" s="4"/>
      <c r="H14" s="83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83"/>
      <c r="I15" s="4"/>
      <c r="J15" s="4"/>
      <c r="K15" s="4"/>
      <c r="L15" s="4"/>
      <c r="M15" s="4"/>
      <c r="N15" s="4"/>
    </row>
    <row r="16" spans="1:14">
      <c r="A16" s="536" t="s">
        <v>4173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</row>
    <row r="17" spans="1:14" ht="29" customHeight="1">
      <c r="A17" s="41" t="s">
        <v>4045</v>
      </c>
      <c r="B17" s="41" t="s">
        <v>696</v>
      </c>
      <c r="C17" s="41" t="s">
        <v>3616</v>
      </c>
      <c r="D17" s="41" t="s">
        <v>253</v>
      </c>
      <c r="E17" s="41" t="s">
        <v>4174</v>
      </c>
      <c r="F17" s="4"/>
      <c r="G17" s="4"/>
      <c r="H17" s="83"/>
      <c r="I17" s="4"/>
      <c r="J17" s="4"/>
      <c r="K17" s="4"/>
      <c r="L17" s="4"/>
      <c r="M17" s="4"/>
      <c r="N17" s="4"/>
    </row>
    <row r="18" spans="1:14" ht="58" customHeight="1">
      <c r="A18" s="4" t="s">
        <v>3620</v>
      </c>
      <c r="B18" s="4" t="s">
        <v>4175</v>
      </c>
      <c r="C18" s="4" t="s">
        <v>82</v>
      </c>
      <c r="D18" s="4" t="s">
        <v>4176</v>
      </c>
      <c r="E18" s="4" t="s">
        <v>4177</v>
      </c>
      <c r="F18" s="4"/>
      <c r="G18" s="4"/>
      <c r="H18" s="83"/>
      <c r="I18" s="4"/>
      <c r="J18" s="4"/>
      <c r="K18" s="4"/>
      <c r="L18" s="4"/>
      <c r="M18" s="4"/>
      <c r="N18" s="4"/>
    </row>
    <row r="19" spans="1:14" ht="58" customHeight="1">
      <c r="A19" s="4" t="s">
        <v>465</v>
      </c>
      <c r="B19" s="4" t="s">
        <v>4178</v>
      </c>
      <c r="C19" s="4" t="s">
        <v>681</v>
      </c>
      <c r="D19" s="4" t="s">
        <v>4179</v>
      </c>
      <c r="E19" s="4" t="s">
        <v>4180</v>
      </c>
      <c r="F19" s="4"/>
      <c r="G19" s="4"/>
      <c r="H19" s="83"/>
      <c r="I19" s="4"/>
      <c r="J19" s="4"/>
      <c r="K19" s="4"/>
      <c r="L19" s="4"/>
      <c r="M19" s="4"/>
      <c r="N19" s="4"/>
    </row>
    <row r="20" spans="1:14" ht="43.5" customHeight="1">
      <c r="A20" s="4" t="s">
        <v>3628</v>
      </c>
      <c r="B20" s="4" t="s">
        <v>4181</v>
      </c>
      <c r="C20" s="4" t="s">
        <v>735</v>
      </c>
      <c r="D20" s="4" t="s">
        <v>4182</v>
      </c>
      <c r="E20" s="4" t="s">
        <v>4183</v>
      </c>
      <c r="F20" s="4"/>
      <c r="G20" s="4"/>
      <c r="H20" s="83"/>
      <c r="I20" s="4"/>
      <c r="J20" s="4"/>
      <c r="K20" s="4"/>
      <c r="L20" s="4"/>
      <c r="M20" s="4"/>
      <c r="N20" s="4"/>
    </row>
    <row r="21" spans="1:14" ht="58" customHeight="1">
      <c r="A21" s="4" t="s">
        <v>339</v>
      </c>
      <c r="B21" s="4" t="s">
        <v>4184</v>
      </c>
      <c r="C21" s="4" t="s">
        <v>733</v>
      </c>
      <c r="D21" s="4" t="s">
        <v>4185</v>
      </c>
      <c r="E21" s="4" t="s">
        <v>4186</v>
      </c>
      <c r="F21" s="4"/>
      <c r="G21" s="4"/>
      <c r="H21" s="83"/>
      <c r="I21" s="4"/>
      <c r="J21" s="4"/>
      <c r="K21" s="4"/>
      <c r="L21" s="4"/>
      <c r="M21" s="4"/>
      <c r="N21" s="4"/>
    </row>
    <row r="22" spans="1:14" ht="72.5" customHeight="1">
      <c r="A22" s="4" t="s">
        <v>3636</v>
      </c>
      <c r="B22" s="4" t="s">
        <v>4187</v>
      </c>
      <c r="C22" s="4" t="s">
        <v>3556</v>
      </c>
      <c r="D22" s="4" t="s">
        <v>4188</v>
      </c>
      <c r="E22" s="4" t="s">
        <v>4189</v>
      </c>
      <c r="F22" s="4"/>
      <c r="G22" s="4"/>
      <c r="H22" s="83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83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83"/>
      <c r="I24" s="4"/>
      <c r="J24" s="4"/>
      <c r="K24" s="4"/>
      <c r="L24" s="4"/>
      <c r="M24" s="4"/>
      <c r="N24" s="4"/>
    </row>
    <row r="25" spans="1:14" ht="26.5" customHeight="1">
      <c r="A25" s="536" t="s">
        <v>4190</v>
      </c>
      <c r="B25" s="426"/>
      <c r="C25" s="426"/>
      <c r="D25" s="426"/>
      <c r="E25" s="426"/>
      <c r="F25" s="426"/>
      <c r="G25" s="426"/>
      <c r="H25" s="426"/>
      <c r="I25" s="426"/>
      <c r="J25" s="426"/>
      <c r="K25" s="426"/>
      <c r="L25" s="426"/>
      <c r="M25" s="426"/>
      <c r="N25" s="426"/>
    </row>
    <row r="26" spans="1:14">
      <c r="A26" s="41" t="s">
        <v>2230</v>
      </c>
      <c r="B26" s="41" t="s">
        <v>1115</v>
      </c>
      <c r="C26" s="41" t="s">
        <v>2208</v>
      </c>
      <c r="D26" s="41" t="s">
        <v>1278</v>
      </c>
      <c r="E26" s="41" t="s">
        <v>1238</v>
      </c>
      <c r="F26" s="41" t="s">
        <v>4191</v>
      </c>
      <c r="G26" s="41" t="s">
        <v>655</v>
      </c>
      <c r="H26" s="87" t="s">
        <v>248</v>
      </c>
      <c r="I26" s="41" t="s">
        <v>2625</v>
      </c>
      <c r="J26" s="41" t="s">
        <v>696</v>
      </c>
      <c r="K26" s="4"/>
      <c r="L26" s="4"/>
      <c r="M26" s="4"/>
      <c r="N26" s="4"/>
    </row>
    <row r="27" spans="1:14" ht="29" customHeight="1">
      <c r="A27" s="4" t="str">
        <f>'55_Evaluaciones'!A5</f>
        <v>EV-002</v>
      </c>
      <c r="B27" s="4" t="str">
        <f>'55_Evaluaciones'!B5</f>
        <v>Física Mecánica</v>
      </c>
      <c r="C27" s="4">
        <f>'55_Evaluaciones'!C5</f>
        <v>2</v>
      </c>
      <c r="D27" s="43" t="str">
        <f>'55_Evaluaciones'!D5</f>
        <v>Tarea</v>
      </c>
      <c r="E27" s="42">
        <f>'55_Evaluaciones'!E5</f>
        <v>0</v>
      </c>
      <c r="F27" s="4">
        <f>'55_Evaluaciones'!F5</f>
        <v>46187</v>
      </c>
      <c r="G27" s="4" t="str">
        <f>'55_Evaluaciones'!G5</f>
        <v>Pendiente</v>
      </c>
      <c r="H27" s="83">
        <f>'55_Evaluaciones'!H5</f>
        <v>0</v>
      </c>
      <c r="I27" s="4" t="str">
        <f ca="1">'55_Evaluaciones'!I5</f>
        <v>Crítico</v>
      </c>
      <c r="J27" s="4" t="str">
        <f>'55_Evaluaciones'!J5</f>
        <v>Guía Semana 2: velocidad/aceleración</v>
      </c>
      <c r="K27" s="4"/>
      <c r="L27" s="4"/>
      <c r="M27" s="4"/>
      <c r="N27" s="4"/>
    </row>
    <row r="28" spans="1:14" ht="29" customHeight="1">
      <c r="A28" s="4" t="str">
        <f>'55_Evaluaciones'!A6</f>
        <v>EV-003</v>
      </c>
      <c r="B28" s="4" t="str">
        <f>'55_Evaluaciones'!B6</f>
        <v>Física Mecánica</v>
      </c>
      <c r="C28" s="4">
        <f>'55_Evaluaciones'!C6</f>
        <v>3</v>
      </c>
      <c r="D28" s="43" t="str">
        <f>'55_Evaluaciones'!D6</f>
        <v>Tarea</v>
      </c>
      <c r="E28" s="42">
        <f>'55_Evaluaciones'!E6</f>
        <v>6</v>
      </c>
      <c r="F28" s="4">
        <f>'55_Evaluaciones'!F6</f>
        <v>46194</v>
      </c>
      <c r="G28" s="4" t="str">
        <f>'55_Evaluaciones'!G6</f>
        <v>Pendiente</v>
      </c>
      <c r="H28" s="83">
        <f>'55_Evaluaciones'!H6</f>
        <v>0</v>
      </c>
      <c r="I28" s="4" t="str">
        <f ca="1">'55_Evaluaciones'!I6</f>
        <v>Crítico</v>
      </c>
      <c r="J28" s="4" t="str">
        <f>'55_Evaluaciones'!J6</f>
        <v>Cinemática MRU/MRUA/Caída libre</v>
      </c>
      <c r="K28" s="4"/>
      <c r="L28" s="4"/>
      <c r="M28" s="4"/>
      <c r="N28" s="4"/>
    </row>
    <row r="29" spans="1:14" ht="29" customHeight="1">
      <c r="A29" s="4" t="str">
        <f>'55_Evaluaciones'!A7</f>
        <v>EV-004</v>
      </c>
      <c r="B29" s="4" t="str">
        <f>'55_Evaluaciones'!B7</f>
        <v>Física Mecánica</v>
      </c>
      <c r="C29" s="4">
        <f>'55_Evaluaciones'!C7</f>
        <v>4</v>
      </c>
      <c r="D29" s="43" t="str">
        <f>'55_Evaluaciones'!D7</f>
        <v>Cuestionario</v>
      </c>
      <c r="E29" s="42">
        <f>'55_Evaluaciones'!E7</f>
        <v>35</v>
      </c>
      <c r="F29" s="4">
        <f>'55_Evaluaciones'!F7</f>
        <v>46201</v>
      </c>
      <c r="G29" s="4" t="str">
        <f>'55_Evaluaciones'!G7</f>
        <v>Pendiente</v>
      </c>
      <c r="H29" s="83">
        <f>'55_Evaluaciones'!H7</f>
        <v>0</v>
      </c>
      <c r="I29" s="4" t="str">
        <f ca="1">'55_Evaluaciones'!I7</f>
        <v>Crítico</v>
      </c>
      <c r="J29" s="4" t="str">
        <f>'55_Evaluaciones'!J7</f>
        <v>Cierre Unidad 1 Cinemática</v>
      </c>
      <c r="K29" s="4"/>
      <c r="L29" s="4"/>
      <c r="M29" s="4"/>
      <c r="N29" s="4"/>
    </row>
    <row r="30" spans="1:14" ht="29" customHeight="1">
      <c r="A30" s="4" t="str">
        <f>'55_Evaluaciones'!A8</f>
        <v>EV-005</v>
      </c>
      <c r="B30" s="4" t="str">
        <f>'55_Evaluaciones'!B8</f>
        <v>Física Mecánica</v>
      </c>
      <c r="C30" s="4">
        <f>'55_Evaluaciones'!C8</f>
        <v>5</v>
      </c>
      <c r="D30" s="43" t="str">
        <f>'55_Evaluaciones'!D8</f>
        <v>Tarea</v>
      </c>
      <c r="E30" s="42">
        <f>'55_Evaluaciones'!E8</f>
        <v>0</v>
      </c>
      <c r="F30" s="4">
        <f>'55_Evaluaciones'!F8</f>
        <v>46208</v>
      </c>
      <c r="G30" s="4" t="str">
        <f>'55_Evaluaciones'!G8</f>
        <v>Pendiente</v>
      </c>
      <c r="H30" s="83">
        <f>'55_Evaluaciones'!H8</f>
        <v>0</v>
      </c>
      <c r="I30" s="4" t="str">
        <f ca="1">'55_Evaluaciones'!I8</f>
        <v>Crítico</v>
      </c>
      <c r="J30" s="4" t="str">
        <f>'55_Evaluaciones'!J8</f>
        <v>Dinámica: fuerza/DCL</v>
      </c>
      <c r="K30" s="4"/>
      <c r="L30" s="4"/>
      <c r="M30" s="4"/>
      <c r="N30" s="4"/>
    </row>
    <row r="31" spans="1:14" ht="29" customHeight="1">
      <c r="A31" s="4" t="str">
        <f>'55_Evaluaciones'!A9</f>
        <v>EV-006</v>
      </c>
      <c r="B31" s="4" t="str">
        <f>'55_Evaluaciones'!B9</f>
        <v>Física Mecánica</v>
      </c>
      <c r="C31" s="4">
        <f>'55_Evaluaciones'!C9</f>
        <v>6</v>
      </c>
      <c r="D31" s="43" t="str">
        <f>'55_Evaluaciones'!D9</f>
        <v>Tarea</v>
      </c>
      <c r="E31" s="42">
        <f>'55_Evaluaciones'!E9</f>
        <v>0</v>
      </c>
      <c r="F31" s="4">
        <f>'55_Evaluaciones'!F9</f>
        <v>46215</v>
      </c>
      <c r="G31" s="4" t="str">
        <f>'55_Evaluaciones'!G9</f>
        <v>Pendiente</v>
      </c>
      <c r="H31" s="83">
        <f>'55_Evaluaciones'!H9</f>
        <v>0</v>
      </c>
      <c r="I31" s="4" t="str">
        <f ca="1">'55_Evaluaciones'!I9</f>
        <v>Controlado</v>
      </c>
      <c r="J31" s="4" t="str">
        <f>'55_Evaluaciones'!J9</f>
        <v>Dinámica: Newton/roce</v>
      </c>
      <c r="K31" s="4"/>
      <c r="L31" s="4"/>
      <c r="M31" s="4"/>
      <c r="N31" s="4"/>
    </row>
    <row r="32" spans="1:14" ht="29" customHeight="1">
      <c r="A32" s="4" t="str">
        <f>'55_Evaluaciones'!A10</f>
        <v>EV-007</v>
      </c>
      <c r="B32" s="4" t="str">
        <f>'55_Evaluaciones'!B10</f>
        <v>Física Mecánica</v>
      </c>
      <c r="C32" s="4">
        <f>'55_Evaluaciones'!C10</f>
        <v>7</v>
      </c>
      <c r="D32" s="43" t="str">
        <f>'55_Evaluaciones'!D10</f>
        <v>Tarea</v>
      </c>
      <c r="E32" s="42">
        <f>'55_Evaluaciones'!E10</f>
        <v>35</v>
      </c>
      <c r="F32" s="4">
        <f>'55_Evaluaciones'!F10</f>
        <v>46222</v>
      </c>
      <c r="G32" s="4" t="str">
        <f>'55_Evaluaciones'!G10</f>
        <v>Pendiente</v>
      </c>
      <c r="H32" s="83">
        <f>'55_Evaluaciones'!H10</f>
        <v>0</v>
      </c>
      <c r="I32" s="4" t="str">
        <f ca="1">'55_Evaluaciones'!I10</f>
        <v>Controlado</v>
      </c>
      <c r="J32" s="4" t="str">
        <f>'55_Evaluaciones'!J10</f>
        <v>Cierre Unidad 2 Dinámica</v>
      </c>
      <c r="K32" s="4"/>
      <c r="L32" s="4"/>
      <c r="M32" s="4"/>
      <c r="N32" s="4"/>
    </row>
    <row r="33" spans="1:14" ht="29" customHeight="1">
      <c r="A33" s="4" t="str">
        <f>'55_Evaluaciones'!A11</f>
        <v>EV-008</v>
      </c>
      <c r="B33" s="4" t="str">
        <f>'55_Evaluaciones'!B11</f>
        <v>Física Mecánica</v>
      </c>
      <c r="C33" s="4">
        <f>'55_Evaluaciones'!C11</f>
        <v>8</v>
      </c>
      <c r="D33" s="43" t="str">
        <f>'55_Evaluaciones'!D11</f>
        <v>Tarea</v>
      </c>
      <c r="E33" s="42">
        <f>'55_Evaluaciones'!E11</f>
        <v>6</v>
      </c>
      <c r="F33" s="4">
        <f>'55_Evaluaciones'!F11</f>
        <v>46229</v>
      </c>
      <c r="G33" s="4" t="str">
        <f>'55_Evaluaciones'!G11</f>
        <v>Pendiente</v>
      </c>
      <c r="H33" s="83">
        <f>'55_Evaluaciones'!H11</f>
        <v>0</v>
      </c>
      <c r="I33" s="4" t="str">
        <f ca="1">'55_Evaluaciones'!I11</f>
        <v>Controlado</v>
      </c>
      <c r="J33" s="4" t="str">
        <f>'55_Evaluaciones'!J11</f>
        <v>Aplicación dinámica</v>
      </c>
      <c r="K33" s="4"/>
      <c r="L33" s="4"/>
      <c r="M33" s="4"/>
      <c r="N33" s="4"/>
    </row>
    <row r="34" spans="1:14" ht="29" customHeight="1">
      <c r="A34" s="4" t="str">
        <f>'55_Evaluaciones'!A12</f>
        <v>EV-009</v>
      </c>
      <c r="B34" s="4" t="str">
        <f>'55_Evaluaciones'!B12</f>
        <v>Física Mecánica</v>
      </c>
      <c r="C34" s="4">
        <f>'55_Evaluaciones'!C12</f>
        <v>10</v>
      </c>
      <c r="D34" s="43" t="str">
        <f>'55_Evaluaciones'!D12</f>
        <v>Tarea</v>
      </c>
      <c r="E34" s="42">
        <f>'55_Evaluaciones'!E12</f>
        <v>6</v>
      </c>
      <c r="F34" s="4">
        <f>'55_Evaluaciones'!F12</f>
        <v>46243</v>
      </c>
      <c r="G34" s="4" t="str">
        <f>'55_Evaluaciones'!G12</f>
        <v>Pendiente</v>
      </c>
      <c r="H34" s="83">
        <f>'55_Evaluaciones'!H12</f>
        <v>0</v>
      </c>
      <c r="I34" s="4" t="str">
        <f ca="1">'55_Evaluaciones'!I12</f>
        <v>Controlado</v>
      </c>
      <c r="J34" s="4" t="str">
        <f>'55_Evaluaciones'!J12</f>
        <v>Trabajo y energía</v>
      </c>
      <c r="K34" s="4"/>
      <c r="L34" s="4"/>
      <c r="M34" s="4"/>
      <c r="N34" s="4"/>
    </row>
    <row r="35" spans="1:14" ht="29" customHeight="1">
      <c r="A35" s="4" t="str">
        <f>'55_Evaluaciones'!A13</f>
        <v>EV-010</v>
      </c>
      <c r="B35" s="4" t="str">
        <f>'55_Evaluaciones'!B13</f>
        <v>Física Mecánica</v>
      </c>
      <c r="C35" s="4">
        <f>'55_Evaluaciones'!C13</f>
        <v>11</v>
      </c>
      <c r="D35" s="43" t="str">
        <f>'55_Evaluaciones'!D13</f>
        <v>Tarea</v>
      </c>
      <c r="E35" s="42">
        <f>'55_Evaluaciones'!E13</f>
        <v>6</v>
      </c>
      <c r="F35" s="4">
        <f>'55_Evaluaciones'!F13</f>
        <v>46250</v>
      </c>
      <c r="G35" s="4" t="str">
        <f>'55_Evaluaciones'!G13</f>
        <v>Pendiente</v>
      </c>
      <c r="H35" s="83">
        <f>'55_Evaluaciones'!H13</f>
        <v>0</v>
      </c>
      <c r="I35" s="4" t="str">
        <f ca="1">'55_Evaluaciones'!I13</f>
        <v>Controlado</v>
      </c>
      <c r="J35" s="4" t="str">
        <f>'55_Evaluaciones'!J13</f>
        <v>Rotación I</v>
      </c>
      <c r="K35" s="4"/>
      <c r="L35" s="4"/>
      <c r="M35" s="4"/>
      <c r="N35" s="4"/>
    </row>
    <row r="36" spans="1:14" ht="29" customHeight="1">
      <c r="A36" s="4" t="str">
        <f>'55_Evaluaciones'!A14</f>
        <v>EV-011</v>
      </c>
      <c r="B36" s="4" t="str">
        <f>'55_Evaluaciones'!B14</f>
        <v>Física Mecánica</v>
      </c>
      <c r="C36" s="4">
        <f>'55_Evaluaciones'!C14</f>
        <v>12</v>
      </c>
      <c r="D36" s="43" t="str">
        <f>'55_Evaluaciones'!D14</f>
        <v>Tarea</v>
      </c>
      <c r="E36" s="42">
        <f>'55_Evaluaciones'!E14</f>
        <v>6</v>
      </c>
      <c r="F36" s="4">
        <f>'55_Evaluaciones'!F14</f>
        <v>46257</v>
      </c>
      <c r="G36" s="4" t="str">
        <f>'55_Evaluaciones'!G14</f>
        <v>Pendiente</v>
      </c>
      <c r="H36" s="83">
        <f>'55_Evaluaciones'!H14</f>
        <v>0</v>
      </c>
      <c r="I36" s="4" t="str">
        <f ca="1">'55_Evaluaciones'!I14</f>
        <v>Controlado</v>
      </c>
      <c r="J36" s="4" t="str">
        <f>'55_Evaluaciones'!J14</f>
        <v>Rotación II</v>
      </c>
      <c r="K36" s="4"/>
      <c r="L36" s="4"/>
      <c r="M36" s="4"/>
      <c r="N36" s="4"/>
    </row>
    <row r="37" spans="1:14" ht="29" customHeight="1">
      <c r="A37" s="4" t="str">
        <f>'55_Evaluaciones'!A15</f>
        <v>EV-012</v>
      </c>
      <c r="B37" s="4" t="str">
        <f>'55_Evaluaciones'!B15</f>
        <v>Probabilidad y Estadística</v>
      </c>
      <c r="C37" s="4">
        <f>'55_Evaluaciones'!C15</f>
        <v>4</v>
      </c>
      <c r="D37" s="43" t="str">
        <f>'55_Evaluaciones'!D15</f>
        <v>Prueba escrita Unidad I</v>
      </c>
      <c r="E37" s="42">
        <f>'55_Evaluaciones'!E15</f>
        <v>30</v>
      </c>
      <c r="F37" s="4">
        <f>'55_Evaluaciones'!F15</f>
        <v>46201</v>
      </c>
      <c r="G37" s="4" t="str">
        <f>'55_Evaluaciones'!G15</f>
        <v>Pendiente</v>
      </c>
      <c r="H37" s="83">
        <f>'55_Evaluaciones'!H15</f>
        <v>0</v>
      </c>
      <c r="I37" s="4" t="str">
        <f ca="1">'55_Evaluaciones'!I15</f>
        <v>Crítico</v>
      </c>
      <c r="J37" s="4" t="str">
        <f>'55_Evaluaciones'!J15</f>
        <v>Fundamentos, condicional, combinaciones, Bayes</v>
      </c>
      <c r="K37" s="4"/>
      <c r="L37" s="4"/>
      <c r="M37" s="4"/>
      <c r="N37" s="4"/>
    </row>
    <row r="38" spans="1:14" ht="29" customHeight="1">
      <c r="A38" s="4" t="str">
        <f>'55_Evaluaciones'!A16</f>
        <v>EV-013</v>
      </c>
      <c r="B38" s="4" t="str">
        <f>'55_Evaluaciones'!B16</f>
        <v>Probabilidad y Estadística</v>
      </c>
      <c r="C38" s="4">
        <f>'55_Evaluaciones'!C16</f>
        <v>8</v>
      </c>
      <c r="D38" s="43" t="str">
        <f>'55_Evaluaciones'!D16</f>
        <v>Prueba escrita Unidad II</v>
      </c>
      <c r="E38" s="42">
        <f>'55_Evaluaciones'!E16</f>
        <v>30</v>
      </c>
      <c r="F38" s="4">
        <f>'55_Evaluaciones'!F16</f>
        <v>46229</v>
      </c>
      <c r="G38" s="4" t="str">
        <f>'55_Evaluaciones'!G16</f>
        <v>Pendiente</v>
      </c>
      <c r="H38" s="83">
        <f>'55_Evaluaciones'!H16</f>
        <v>0</v>
      </c>
      <c r="I38" s="4" t="str">
        <f ca="1">'55_Evaluaciones'!I16</f>
        <v>Controlado</v>
      </c>
      <c r="J38" s="4" t="str">
        <f>'55_Evaluaciones'!J16</f>
        <v>Estadística descriptiva/distribuciones</v>
      </c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3.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3.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3.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3.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3.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3.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3.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3.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3.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3.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3.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3.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3.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3.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3.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3.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3.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3.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.1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ht="2.1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2.1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ht="2.1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ht="2.1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ht="2.1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2.1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ht="2.1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2.1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ht="2.1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ht="2.1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ht="2.1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ht="2.1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2.1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2.1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ht="2.1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ht="2.1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2.1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ht="2.1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ht="2.1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2.1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ht="2.1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ht="2.1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2.1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ht="2.1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2.1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ht="2.1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ht="2.1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ht="2.1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2.1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2.1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ht="2.1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ht="2.1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ht="2.1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2.1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ht="2.1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ht="2.1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ht="2.1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ht="2.1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ht="2.1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ht="2.1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</sheetData>
  <mergeCells count="17">
    <mergeCell ref="A25:N25"/>
    <mergeCell ref="E5:F5"/>
    <mergeCell ref="K5:L5"/>
    <mergeCell ref="I5:J5"/>
    <mergeCell ref="A5:B5"/>
    <mergeCell ref="A1:N1"/>
    <mergeCell ref="A2:N2"/>
    <mergeCell ref="A16:N16"/>
    <mergeCell ref="C5:D5"/>
    <mergeCell ref="G5:H5"/>
    <mergeCell ref="K4:L4"/>
    <mergeCell ref="C4:D4"/>
    <mergeCell ref="A4:B4"/>
    <mergeCell ref="G4:H4"/>
    <mergeCell ref="E4:F4"/>
    <mergeCell ref="A8:N8"/>
    <mergeCell ref="I4:J4"/>
  </mergeCells>
  <conditionalFormatting sqref="A1:N59">
    <cfRule type="expression" dxfId="45" priority="1">
      <formula>ISNUMBER(SEARCH("🔴",A1))</formula>
    </cfRule>
    <cfRule type="expression" dxfId="44" priority="2">
      <formula>ISNUMBER(SEARCH("🟡",A1))</formula>
    </cfRule>
    <cfRule type="expression" dxfId="43" priority="3">
      <formula>ISNUMBER(SEARCH("🟢",A1))</formula>
    </cfRule>
  </conditionalFormatting>
  <conditionalFormatting sqref="H14:H38">
    <cfRule type="expression" dxfId="42" priority="4">
      <formula>ISNUMBER(SEARCH("Riesgo",H14))</formula>
    </cfRule>
    <cfRule type="expression" dxfId="41" priority="5">
      <formula>ISNUMBER(SEARCH("Crítico",H14))</formula>
    </cfRule>
    <cfRule type="expression" dxfId="40" priority="6">
      <formula>ISNUMBER(SEARCH("Pendiente",H14))</formula>
    </cfRule>
    <cfRule type="expression" dxfId="39" priority="7">
      <formula>ISNUMBER(SEARCH("En riesgo",H14))</formula>
    </cfRule>
    <cfRule type="expression" dxfId="38" priority="8">
      <formula>ISNUMBER(SEARCH("Atención",H14))</formula>
    </cfRule>
    <cfRule type="expression" dxfId="37" priority="9">
      <formula>ISNUMBER(SEARCH("En proceso",H14))</formula>
    </cfRule>
    <cfRule type="expression" dxfId="36" priority="10">
      <formula>ISNUMBER(SEARCH("Meta",H14))</formula>
    </cfRule>
    <cfRule type="expression" dxfId="35" priority="11">
      <formula>ISNUMBER(SEARCH("Cumple",H14))</formula>
    </cfRule>
    <cfRule type="expression" dxfId="34" priority="12">
      <formula>ISNUMBER(SEARCH("Cumplido",H14))</formula>
    </cfRule>
    <cfRule type="expression" dxfId="33" priority="13">
      <formula>ISNUMBER(SEARCH("Positivo",H14))</formula>
    </cfRule>
    <cfRule type="expression" dxfId="32" priority="14">
      <formula>ISNUMBER(SEARCH("Dominio",H14))</formula>
    </cfRule>
    <cfRule type="expression" dxfId="31" priority="15">
      <formula>ISNUMBER(SEARCH("Alto",H14))</formula>
    </cfRule>
    <cfRule type="expression" dxfId="30" priority="16">
      <formula>ISNUMBER(SEARCH("Superado",H14))</formula>
    </cfRule>
    <cfRule type="expression" dxfId="29" priority="17">
      <formula>ISNUMBER(SEARCH("Cuadrado",H14))</formula>
    </cfRule>
    <cfRule type="expression" dxfId="28" priority="18">
      <formula>ISNUMBER(SEARCH("Revisar",H14))</formula>
    </cfRule>
    <cfRule type="expression" dxfId="27" priority="19">
      <formula>ISNUMBER(SEARCH("Vacío",H14))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BFBFBF"/>
  </sheetPr>
  <dimension ref="A1:Q100"/>
  <sheetViews>
    <sheetView showGridLines="0" workbookViewId="0"/>
  </sheetViews>
  <sheetFormatPr baseColWidth="10" defaultColWidth="8.7265625" defaultRowHeight="14.5"/>
  <cols>
    <col min="1" max="1" width="22" customWidth="1"/>
    <col min="2" max="2" width="18" customWidth="1"/>
    <col min="3" max="3" width="15" customWidth="1"/>
    <col min="4" max="4" width="18" customWidth="1"/>
    <col min="6" max="6" width="20" customWidth="1"/>
    <col min="7" max="7" width="18" customWidth="1"/>
    <col min="9" max="9" width="24" customWidth="1"/>
    <col min="10" max="10" width="22" customWidth="1"/>
    <col min="11" max="11" width="36" customWidth="1"/>
    <col min="12" max="12" width="14" customWidth="1"/>
  </cols>
  <sheetData>
    <row r="1" spans="1:17" ht="25" customHeight="1">
      <c r="A1" s="541" t="s">
        <v>4192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</row>
    <row r="2" spans="1:17" ht="16" customHeight="1">
      <c r="A2" s="535" t="s">
        <v>4193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</row>
    <row r="3" spans="1:17" ht="16" customHeigh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</row>
    <row r="4" spans="1:17" ht="16" customHeight="1">
      <c r="A4" s="159" t="s">
        <v>4194</v>
      </c>
      <c r="B4" s="157"/>
      <c r="C4" s="157"/>
      <c r="D4" s="159" t="s">
        <v>2583</v>
      </c>
      <c r="E4" s="157"/>
      <c r="F4" s="157"/>
      <c r="G4" s="159" t="s">
        <v>2878</v>
      </c>
      <c r="H4" s="157"/>
      <c r="I4" s="157"/>
      <c r="J4" s="159" t="s">
        <v>4195</v>
      </c>
      <c r="K4" s="157"/>
      <c r="L4" s="157"/>
      <c r="M4" s="157"/>
      <c r="N4" s="157"/>
      <c r="O4" s="157"/>
      <c r="P4" s="157"/>
      <c r="Q4" s="157"/>
    </row>
    <row r="5" spans="1:17" ht="16" customHeight="1">
      <c r="A5" s="157"/>
      <c r="B5" s="160">
        <f>COUNTIF('51_Bloques_Estudio'!E:E,"Sí")</f>
        <v>0</v>
      </c>
      <c r="C5" s="157"/>
      <c r="D5" s="157"/>
      <c r="E5" s="160">
        <f>SUM('50_Universidad_PLAN'!G5:G20)</f>
        <v>53</v>
      </c>
      <c r="F5" s="157"/>
      <c r="G5" s="157"/>
      <c r="H5" s="161">
        <f>IFERROR(B5/D5,0)</f>
        <v>0</v>
      </c>
      <c r="I5" s="157"/>
      <c r="J5" s="157"/>
      <c r="K5" s="160">
        <f>SUM('51_Bloques_Estudio'!F5:F204)/60</f>
        <v>0</v>
      </c>
      <c r="L5" s="157"/>
      <c r="M5" s="157"/>
      <c r="N5" s="157"/>
      <c r="O5" s="157"/>
      <c r="P5" s="157"/>
      <c r="Q5" s="157"/>
    </row>
    <row r="6" spans="1:17" ht="16" customHeight="1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ht="16" customHeight="1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6" customHeight="1">
      <c r="A8" s="159" t="s">
        <v>4196</v>
      </c>
      <c r="B8" s="157"/>
      <c r="C8" s="157"/>
      <c r="D8" s="159" t="s">
        <v>4197</v>
      </c>
      <c r="E8" s="157"/>
      <c r="F8" s="157"/>
      <c r="G8" s="159" t="s">
        <v>4198</v>
      </c>
      <c r="H8" s="157"/>
      <c r="I8" s="157"/>
      <c r="J8" s="159" t="s">
        <v>4199</v>
      </c>
      <c r="K8" s="157"/>
      <c r="L8" s="157"/>
      <c r="M8" s="157"/>
      <c r="N8" s="157"/>
      <c r="O8" s="157"/>
      <c r="P8" s="157"/>
      <c r="Q8" s="157"/>
    </row>
    <row r="9" spans="1:17" ht="16" customHeight="1">
      <c r="A9" s="157"/>
      <c r="B9" s="160">
        <f>COUNTIF('55_Evaluaciones'!H:H,"🔴 Riesgo")</f>
        <v>0</v>
      </c>
      <c r="C9" s="157"/>
      <c r="D9" s="157"/>
      <c r="E9" s="160">
        <f ca="1">COUNTIF('56_Repaso_Inteligente'!H:H,"🔴 Riesgo")</f>
        <v>17</v>
      </c>
      <c r="F9" s="157"/>
      <c r="G9" s="157"/>
      <c r="H9" s="160">
        <f>COUNTA('53_Errores_Aprendizaje'!D5:D204)</f>
        <v>0</v>
      </c>
      <c r="I9" s="157"/>
      <c r="J9" s="157"/>
      <c r="K9" s="160">
        <f>COUNTIF('53_Errores_Aprendizaje'!F:F,"Sí")</f>
        <v>0</v>
      </c>
      <c r="L9" s="157"/>
      <c r="M9" s="157"/>
      <c r="N9" s="157"/>
      <c r="O9" s="157"/>
      <c r="P9" s="157"/>
      <c r="Q9" s="157"/>
    </row>
    <row r="10" spans="1:17" ht="16" customHeight="1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16" customHeight="1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</row>
    <row r="12" spans="1:17" ht="16" customHeight="1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6" customHeight="1">
      <c r="A13" s="536" t="s">
        <v>4200</v>
      </c>
      <c r="B13" s="426"/>
      <c r="C13" s="426"/>
      <c r="D13" s="426"/>
      <c r="E13" s="426"/>
      <c r="F13" s="426"/>
      <c r="G13" s="426"/>
      <c r="H13" s="426"/>
      <c r="I13" s="426"/>
      <c r="J13" s="426"/>
      <c r="K13" s="426"/>
      <c r="L13" s="157"/>
      <c r="M13" s="157"/>
      <c r="N13" s="157"/>
      <c r="O13" s="157"/>
      <c r="P13" s="157"/>
      <c r="Q13" s="157"/>
    </row>
    <row r="14" spans="1:17" ht="29" customHeight="1">
      <c r="A14" s="158" t="s">
        <v>2230</v>
      </c>
      <c r="B14" s="158" t="s">
        <v>4164</v>
      </c>
      <c r="C14" s="158" t="s">
        <v>2440</v>
      </c>
      <c r="D14" s="158" t="s">
        <v>4166</v>
      </c>
      <c r="E14" s="158" t="s">
        <v>4162</v>
      </c>
      <c r="F14" s="158" t="s">
        <v>4201</v>
      </c>
      <c r="G14" s="158" t="s">
        <v>4202</v>
      </c>
      <c r="H14" s="158" t="s">
        <v>655</v>
      </c>
      <c r="I14" s="158" t="s">
        <v>2252</v>
      </c>
      <c r="J14" s="158" t="s">
        <v>4074</v>
      </c>
      <c r="K14" s="158" t="s">
        <v>656</v>
      </c>
      <c r="L14" s="157"/>
      <c r="M14" s="157"/>
      <c r="N14" s="157"/>
      <c r="O14" s="157"/>
      <c r="P14" s="157"/>
      <c r="Q14" s="157"/>
    </row>
    <row r="15" spans="1:17" ht="16" customHeight="1">
      <c r="A15" s="157" t="s">
        <v>2830</v>
      </c>
      <c r="B15" s="157">
        <f>COUNTIFS('51_Bloques_Estudio'!B:B,A15,'51_Bloques_Estudio'!E:E,"Sí")</f>
        <v>0</v>
      </c>
      <c r="C15" s="157">
        <f>SUMIFS('51_Bloques_Estudio'!F:F,'51_Bloques_Estudio'!B:B,A15,'51_Bloques_Estudio'!E:E,"Sí")/60</f>
        <v>0</v>
      </c>
      <c r="D15" s="157">
        <f>COUNTIF('53_Errores_Aprendizaje'!B:B,A15)</f>
        <v>0</v>
      </c>
      <c r="E15" s="157">
        <f ca="1">COUNTIFS('56_Repaso_Inteligente'!B:B,A15,'56_Repaso_Inteligente'!H:H,"🔴 Riesgo")</f>
        <v>5</v>
      </c>
      <c r="F15" s="157">
        <f>COUNTIFS('55_Evaluaciones'!A:A,A15,'55_Evaluaciones'!F:F,"&lt;&gt;Lista")</f>
        <v>0</v>
      </c>
      <c r="G15" s="162">
        <f>IFERROR(AVERAGEIF('50_Universidad_PLAN'!A:A,A15,'50_Universidad_PLAN'!I:I),0)</f>
        <v>0</v>
      </c>
      <c r="H15" s="157" t="str">
        <f>IF(G15&gt;=0.8,"🟢 Controlado",IF(G15&gt;=0.5,"🟡 En proceso","🔴 Riesgo"))</f>
        <v>🔴 Riesgo</v>
      </c>
      <c r="I15" s="157" t="str">
        <f>IF(H15="🔴 Riesgo","Bloque hoy + repaso",IF(F15&gt;0,"Preparar evaluación","Mantener"))</f>
        <v>Bloque hoy + repaso</v>
      </c>
      <c r="J15" s="157" t="str">
        <f>IF(A15="Cálculo I","Alto",IF(A15="Industria y Desarrollo","Alto","Medio"))</f>
        <v>Alto</v>
      </c>
      <c r="K15" s="157" t="s">
        <v>4203</v>
      </c>
      <c r="L15" s="157"/>
      <c r="M15" s="157"/>
      <c r="N15" s="157"/>
      <c r="O15" s="157"/>
      <c r="P15" s="157"/>
      <c r="Q15" s="157"/>
    </row>
    <row r="16" spans="1:17" ht="16" customHeight="1">
      <c r="A16" s="157" t="s">
        <v>2842</v>
      </c>
      <c r="B16" s="157">
        <f>COUNTIFS('51_Bloques_Estudio'!B:B,A16,'51_Bloques_Estudio'!E:E,"Sí")</f>
        <v>0</v>
      </c>
      <c r="C16" s="157">
        <f>SUMIFS('51_Bloques_Estudio'!F:F,'51_Bloques_Estudio'!B:B,A16,'51_Bloques_Estudio'!E:E,"Sí")/60</f>
        <v>0</v>
      </c>
      <c r="D16" s="157">
        <f>COUNTIF('53_Errores_Aprendizaje'!B:B,A16)</f>
        <v>0</v>
      </c>
      <c r="E16" s="157">
        <f ca="1">COUNTIFS('56_Repaso_Inteligente'!B:B,A16,'56_Repaso_Inteligente'!H:H,"🔴 Riesgo")</f>
        <v>5</v>
      </c>
      <c r="F16" s="157">
        <f>COUNTIFS('55_Evaluaciones'!A:A,A16,'55_Evaluaciones'!F:F,"&lt;&gt;Lista")</f>
        <v>0</v>
      </c>
      <c r="G16" s="162">
        <f>IFERROR(AVERAGEIF('50_Universidad_PLAN'!A:A,A16,'50_Universidad_PLAN'!I:I),0)</f>
        <v>0</v>
      </c>
      <c r="H16" s="157" t="str">
        <f>IF(G16&gt;=0.8,"🟢 Controlado",IF(G16&gt;=0.5,"🟡 En proceso","🔴 Riesgo"))</f>
        <v>🔴 Riesgo</v>
      </c>
      <c r="I16" s="157" t="str">
        <f>IF(H16="🔴 Riesgo","Bloque hoy + repaso",IF(F16&gt;0,"Preparar evaluación","Mantener"))</f>
        <v>Bloque hoy + repaso</v>
      </c>
      <c r="J16" s="157" t="str">
        <f>IF(A16="Cálculo I","Alto",IF(A16="Industria y Desarrollo","Alto","Medio"))</f>
        <v>Medio</v>
      </c>
      <c r="K16" s="157" t="s">
        <v>4203</v>
      </c>
      <c r="L16" s="157"/>
      <c r="M16" s="157"/>
      <c r="N16" s="157"/>
      <c r="O16" s="157"/>
      <c r="P16" s="157"/>
      <c r="Q16" s="157"/>
    </row>
    <row r="17" spans="1:17" ht="16" customHeight="1">
      <c r="A17" s="157" t="s">
        <v>2773</v>
      </c>
      <c r="B17" s="157">
        <f>COUNTIFS('51_Bloques_Estudio'!B:B,A17,'51_Bloques_Estudio'!E:E,"Sí")</f>
        <v>0</v>
      </c>
      <c r="C17" s="157">
        <f>SUMIFS('51_Bloques_Estudio'!F:F,'51_Bloques_Estudio'!B:B,A17,'51_Bloques_Estudio'!E:E,"Sí")/60</f>
        <v>0</v>
      </c>
      <c r="D17" s="157">
        <f>COUNTIF('53_Errores_Aprendizaje'!B:B,A17)</f>
        <v>0</v>
      </c>
      <c r="E17" s="157">
        <f ca="1">COUNTIFS('56_Repaso_Inteligente'!B:B,A17,'56_Repaso_Inteligente'!H:H,"🔴 Riesgo")</f>
        <v>4</v>
      </c>
      <c r="F17" s="157">
        <f>COUNTIFS('55_Evaluaciones'!A:A,A17,'55_Evaluaciones'!F:F,"&lt;&gt;Lista")</f>
        <v>0</v>
      </c>
      <c r="G17" s="162">
        <f>IFERROR(AVERAGEIF('50_Universidad_PLAN'!A:A,A17,'50_Universidad_PLAN'!I:I),0)</f>
        <v>0</v>
      </c>
      <c r="H17" s="157" t="str">
        <f>IF(G17&gt;=0.8,"🟢 Controlado",IF(G17&gt;=0.5,"🟡 En proceso","🔴 Riesgo"))</f>
        <v>🔴 Riesgo</v>
      </c>
      <c r="I17" s="157" t="str">
        <f>IF(H17="🔴 Riesgo","Bloque hoy + repaso",IF(F17&gt;0,"Preparar evaluación","Mantener"))</f>
        <v>Bloque hoy + repaso</v>
      </c>
      <c r="J17" s="157" t="str">
        <f>IF(A17="Cálculo I","Alto",IF(A17="Industria y Desarrollo","Alto","Medio"))</f>
        <v>Medio</v>
      </c>
      <c r="K17" s="157" t="s">
        <v>4203</v>
      </c>
      <c r="L17" s="157"/>
      <c r="M17" s="157"/>
      <c r="N17" s="157"/>
      <c r="O17" s="157"/>
      <c r="P17" s="157"/>
      <c r="Q17" s="157"/>
    </row>
    <row r="18" spans="1:17" ht="16" customHeight="1">
      <c r="A18" s="157" t="s">
        <v>2851</v>
      </c>
      <c r="B18" s="157">
        <f>COUNTIFS('51_Bloques_Estudio'!B:B,A18,'51_Bloques_Estudio'!E:E,"Sí")</f>
        <v>0</v>
      </c>
      <c r="C18" s="157">
        <f>SUMIFS('51_Bloques_Estudio'!F:F,'51_Bloques_Estudio'!B:B,A18,'51_Bloques_Estudio'!E:E,"Sí")/60</f>
        <v>0</v>
      </c>
      <c r="D18" s="157">
        <f>COUNTIF('53_Errores_Aprendizaje'!B:B,A18)</f>
        <v>0</v>
      </c>
      <c r="E18" s="157">
        <f ca="1">COUNTIFS('56_Repaso_Inteligente'!B:B,A18,'56_Repaso_Inteligente'!H:H,"🔴 Riesgo")</f>
        <v>3</v>
      </c>
      <c r="F18" s="157">
        <f>COUNTIFS('55_Evaluaciones'!A:A,A18,'55_Evaluaciones'!F:F,"&lt;&gt;Lista")</f>
        <v>0</v>
      </c>
      <c r="G18" s="162">
        <f>IFERROR(AVERAGEIF('50_Universidad_PLAN'!A:A,A18,'50_Universidad_PLAN'!I:I),0)</f>
        <v>0</v>
      </c>
      <c r="H18" s="157" t="str">
        <f>IF(G18&gt;=0.8,"🟢 Controlado",IF(G18&gt;=0.5,"🟡 En proceso","🔴 Riesgo"))</f>
        <v>🔴 Riesgo</v>
      </c>
      <c r="I18" s="157" t="str">
        <f>IF(H18="🔴 Riesgo","Bloque hoy + repaso",IF(F18&gt;0,"Preparar evaluación","Mantener"))</f>
        <v>Bloque hoy + repaso</v>
      </c>
      <c r="J18" s="157" t="str">
        <f>IF(A18="Cálculo I","Alto",IF(A18="Industria y Desarrollo","Alto","Medio"))</f>
        <v>Alto</v>
      </c>
      <c r="K18" s="157" t="s">
        <v>4203</v>
      </c>
      <c r="L18" s="157"/>
      <c r="M18" s="157"/>
      <c r="N18" s="157"/>
      <c r="O18" s="157"/>
      <c r="P18" s="157"/>
      <c r="Q18" s="157"/>
    </row>
    <row r="19" spans="1:17" ht="16" customHeight="1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</row>
    <row r="20" spans="1:17" ht="16" customHeight="1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</row>
    <row r="21" spans="1:17" ht="16" customHeight="1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</row>
    <row r="22" spans="1:17" ht="16" customHeight="1">
      <c r="A22" s="536" t="s">
        <v>4204</v>
      </c>
      <c r="B22" s="426"/>
      <c r="C22" s="426"/>
      <c r="D22" s="426"/>
      <c r="E22" s="426"/>
      <c r="F22" s="426"/>
      <c r="G22" s="426"/>
      <c r="H22" s="426"/>
      <c r="I22" s="426"/>
      <c r="J22" s="426"/>
      <c r="K22" s="426"/>
      <c r="L22" s="157"/>
      <c r="M22" s="157"/>
      <c r="N22" s="157"/>
      <c r="O22" s="157"/>
      <c r="P22" s="157"/>
      <c r="Q22" s="157"/>
    </row>
    <row r="23" spans="1:17" ht="16" customHeight="1">
      <c r="A23" s="158" t="s">
        <v>2230</v>
      </c>
      <c r="B23" s="158" t="s">
        <v>1115</v>
      </c>
      <c r="C23" s="158" t="s">
        <v>2208</v>
      </c>
      <c r="D23" s="158" t="s">
        <v>1278</v>
      </c>
      <c r="E23" s="158" t="s">
        <v>1238</v>
      </c>
      <c r="F23" s="158" t="s">
        <v>4191</v>
      </c>
      <c r="G23" s="158" t="s">
        <v>655</v>
      </c>
      <c r="H23" s="158" t="s">
        <v>248</v>
      </c>
      <c r="I23" s="158" t="s">
        <v>2625</v>
      </c>
      <c r="J23" s="158" t="s">
        <v>696</v>
      </c>
      <c r="K23" s="158" t="s">
        <v>2723</v>
      </c>
      <c r="L23" s="157"/>
      <c r="M23" s="157"/>
      <c r="N23" s="157"/>
      <c r="O23" s="157"/>
      <c r="P23" s="157"/>
      <c r="Q23" s="157"/>
    </row>
    <row r="24" spans="1:17" ht="43.5" customHeight="1">
      <c r="A24" s="157" t="str">
        <f>'55_Evaluaciones'!A5</f>
        <v>EV-002</v>
      </c>
      <c r="B24" s="157" t="str">
        <f>'55_Evaluaciones'!B5</f>
        <v>Física Mecánica</v>
      </c>
      <c r="C24" s="157">
        <f>'55_Evaluaciones'!C5</f>
        <v>2</v>
      </c>
      <c r="D24" s="163" t="str">
        <f>'55_Evaluaciones'!D5</f>
        <v>Tarea</v>
      </c>
      <c r="E24" s="162">
        <f>'55_Evaluaciones'!E5</f>
        <v>0</v>
      </c>
      <c r="F24" s="157">
        <f>'55_Evaluaciones'!F5</f>
        <v>46187</v>
      </c>
      <c r="G24" s="157" t="str">
        <f>'55_Evaluaciones'!G5</f>
        <v>Pendiente</v>
      </c>
      <c r="H24" s="157">
        <f>'55_Evaluaciones'!H5</f>
        <v>0</v>
      </c>
      <c r="I24" s="157" t="str">
        <f ca="1">'55_Evaluaciones'!I5</f>
        <v>Crítico</v>
      </c>
      <c r="J24" s="157" t="str">
        <f>'55_Evaluaciones'!J5</f>
        <v>Guía Semana 2: velocidad/aceleración</v>
      </c>
      <c r="K24" s="157">
        <f>'55_Evaluaciones'!L5</f>
        <v>0</v>
      </c>
      <c r="L24" s="157"/>
      <c r="M24" s="157"/>
      <c r="N24" s="157"/>
      <c r="O24" s="157"/>
      <c r="P24" s="157"/>
      <c r="Q24" s="157"/>
    </row>
    <row r="25" spans="1:17" ht="16" customHeight="1">
      <c r="A25" s="157" t="str">
        <f>'55_Evaluaciones'!A6</f>
        <v>EV-003</v>
      </c>
      <c r="B25" s="157" t="str">
        <f>'55_Evaluaciones'!B6</f>
        <v>Física Mecánica</v>
      </c>
      <c r="C25" s="157">
        <f>'55_Evaluaciones'!C6</f>
        <v>3</v>
      </c>
      <c r="D25" s="163" t="str">
        <f>'55_Evaluaciones'!D6</f>
        <v>Tarea</v>
      </c>
      <c r="E25" s="162">
        <f>'55_Evaluaciones'!E6</f>
        <v>6</v>
      </c>
      <c r="F25" s="157">
        <f>'55_Evaluaciones'!F6</f>
        <v>46194</v>
      </c>
      <c r="G25" s="157" t="str">
        <f>'55_Evaluaciones'!G6</f>
        <v>Pendiente</v>
      </c>
      <c r="H25" s="157">
        <f>'55_Evaluaciones'!H6</f>
        <v>0</v>
      </c>
      <c r="I25" s="157" t="str">
        <f ca="1">'55_Evaluaciones'!I6</f>
        <v>Crítico</v>
      </c>
      <c r="J25" s="157" t="str">
        <f>'55_Evaluaciones'!J6</f>
        <v>Cinemática MRU/MRUA/Caída libre</v>
      </c>
      <c r="K25" s="157">
        <f>'55_Evaluaciones'!L6</f>
        <v>0</v>
      </c>
      <c r="L25" s="157"/>
      <c r="M25" s="157"/>
      <c r="N25" s="157"/>
      <c r="O25" s="157"/>
      <c r="P25" s="157"/>
      <c r="Q25" s="157"/>
    </row>
    <row r="26" spans="1:17" ht="16" customHeight="1">
      <c r="A26" s="157" t="str">
        <f>'55_Evaluaciones'!A7</f>
        <v>EV-004</v>
      </c>
      <c r="B26" s="157" t="str">
        <f>'55_Evaluaciones'!B7</f>
        <v>Física Mecánica</v>
      </c>
      <c r="C26" s="157">
        <f>'55_Evaluaciones'!C7</f>
        <v>4</v>
      </c>
      <c r="D26" s="163" t="str">
        <f>'55_Evaluaciones'!D7</f>
        <v>Cuestionario</v>
      </c>
      <c r="E26" s="162">
        <f>'55_Evaluaciones'!E7</f>
        <v>35</v>
      </c>
      <c r="F26" s="157">
        <f>'55_Evaluaciones'!F7</f>
        <v>46201</v>
      </c>
      <c r="G26" s="157" t="str">
        <f>'55_Evaluaciones'!G7</f>
        <v>Pendiente</v>
      </c>
      <c r="H26" s="157">
        <f>'55_Evaluaciones'!H7</f>
        <v>0</v>
      </c>
      <c r="I26" s="157" t="str">
        <f ca="1">'55_Evaluaciones'!I7</f>
        <v>Crítico</v>
      </c>
      <c r="J26" s="157" t="str">
        <f>'55_Evaluaciones'!J7</f>
        <v>Cierre Unidad 1 Cinemática</v>
      </c>
      <c r="K26" s="157">
        <f>'55_Evaluaciones'!L7</f>
        <v>0</v>
      </c>
      <c r="L26" s="157"/>
      <c r="M26" s="157"/>
      <c r="N26" s="157"/>
      <c r="O26" s="157"/>
      <c r="P26" s="157"/>
      <c r="Q26" s="157"/>
    </row>
    <row r="27" spans="1:17" ht="29" customHeight="1">
      <c r="A27" s="157" t="str">
        <f>'55_Evaluaciones'!A8</f>
        <v>EV-005</v>
      </c>
      <c r="B27" s="157" t="str">
        <f>'55_Evaluaciones'!B8</f>
        <v>Física Mecánica</v>
      </c>
      <c r="C27" s="157">
        <f>'55_Evaluaciones'!C8</f>
        <v>5</v>
      </c>
      <c r="D27" s="163" t="str">
        <f>'55_Evaluaciones'!D8</f>
        <v>Tarea</v>
      </c>
      <c r="E27" s="162">
        <f>'55_Evaluaciones'!E8</f>
        <v>0</v>
      </c>
      <c r="F27" s="157">
        <f>'55_Evaluaciones'!F8</f>
        <v>46208</v>
      </c>
      <c r="G27" s="157" t="str">
        <f>'55_Evaluaciones'!G8</f>
        <v>Pendiente</v>
      </c>
      <c r="H27" s="157">
        <f>'55_Evaluaciones'!H8</f>
        <v>0</v>
      </c>
      <c r="I27" s="157" t="str">
        <f ca="1">'55_Evaluaciones'!I8</f>
        <v>Crítico</v>
      </c>
      <c r="J27" s="157" t="str">
        <f>'55_Evaluaciones'!J8</f>
        <v>Dinámica: fuerza/DCL</v>
      </c>
      <c r="K27" s="157">
        <f>'55_Evaluaciones'!L8</f>
        <v>0</v>
      </c>
      <c r="L27" s="157"/>
      <c r="M27" s="157"/>
      <c r="N27" s="157"/>
      <c r="O27" s="157"/>
      <c r="P27" s="157"/>
      <c r="Q27" s="157"/>
    </row>
    <row r="28" spans="1:17" ht="16" customHeight="1">
      <c r="A28" s="157" t="str">
        <f>'55_Evaluaciones'!A9</f>
        <v>EV-006</v>
      </c>
      <c r="B28" s="157" t="str">
        <f>'55_Evaluaciones'!B9</f>
        <v>Física Mecánica</v>
      </c>
      <c r="C28" s="157">
        <f>'55_Evaluaciones'!C9</f>
        <v>6</v>
      </c>
      <c r="D28" s="163" t="str">
        <f>'55_Evaluaciones'!D9</f>
        <v>Tarea</v>
      </c>
      <c r="E28" s="162">
        <f>'55_Evaluaciones'!E9</f>
        <v>0</v>
      </c>
      <c r="F28" s="157">
        <f>'55_Evaluaciones'!F9</f>
        <v>46215</v>
      </c>
      <c r="G28" s="157" t="str">
        <f>'55_Evaluaciones'!G9</f>
        <v>Pendiente</v>
      </c>
      <c r="H28" s="157">
        <f>'55_Evaluaciones'!H9</f>
        <v>0</v>
      </c>
      <c r="I28" s="157" t="str">
        <f ca="1">'55_Evaluaciones'!I9</f>
        <v>Controlado</v>
      </c>
      <c r="J28" s="157" t="str">
        <f>'55_Evaluaciones'!J9</f>
        <v>Dinámica: Newton/roce</v>
      </c>
      <c r="K28" s="157">
        <f>'55_Evaluaciones'!L9</f>
        <v>0</v>
      </c>
      <c r="L28" s="157"/>
      <c r="M28" s="157"/>
      <c r="N28" s="157"/>
      <c r="O28" s="157"/>
      <c r="P28" s="157"/>
      <c r="Q28" s="157"/>
    </row>
    <row r="29" spans="1:17" ht="16" customHeight="1">
      <c r="A29" s="157" t="str">
        <f>'55_Evaluaciones'!A10</f>
        <v>EV-007</v>
      </c>
      <c r="B29" s="157" t="str">
        <f>'55_Evaluaciones'!B10</f>
        <v>Física Mecánica</v>
      </c>
      <c r="C29" s="157">
        <f>'55_Evaluaciones'!C10</f>
        <v>7</v>
      </c>
      <c r="D29" s="163" t="str">
        <f>'55_Evaluaciones'!D10</f>
        <v>Tarea</v>
      </c>
      <c r="E29" s="162">
        <f>'55_Evaluaciones'!E10</f>
        <v>35</v>
      </c>
      <c r="F29" s="157">
        <f>'55_Evaluaciones'!F10</f>
        <v>46222</v>
      </c>
      <c r="G29" s="157" t="str">
        <f>'55_Evaluaciones'!G10</f>
        <v>Pendiente</v>
      </c>
      <c r="H29" s="157">
        <f>'55_Evaluaciones'!H10</f>
        <v>0</v>
      </c>
      <c r="I29" s="157" t="str">
        <f ca="1">'55_Evaluaciones'!I10</f>
        <v>Controlado</v>
      </c>
      <c r="J29" s="157" t="str">
        <f>'55_Evaluaciones'!J10</f>
        <v>Cierre Unidad 2 Dinámica</v>
      </c>
      <c r="K29" s="157">
        <f>'55_Evaluaciones'!L10</f>
        <v>0</v>
      </c>
      <c r="L29" s="157"/>
      <c r="M29" s="157"/>
      <c r="N29" s="157"/>
      <c r="O29" s="157"/>
      <c r="P29" s="157"/>
      <c r="Q29" s="157"/>
    </row>
    <row r="30" spans="1:17" ht="43.5" customHeight="1">
      <c r="A30" s="157" t="str">
        <f>'55_Evaluaciones'!A11</f>
        <v>EV-008</v>
      </c>
      <c r="B30" s="157" t="str">
        <f>'55_Evaluaciones'!B11</f>
        <v>Física Mecánica</v>
      </c>
      <c r="C30" s="157">
        <f>'55_Evaluaciones'!C11</f>
        <v>8</v>
      </c>
      <c r="D30" s="163" t="str">
        <f>'55_Evaluaciones'!D11</f>
        <v>Tarea</v>
      </c>
      <c r="E30" s="162">
        <f>'55_Evaluaciones'!E11</f>
        <v>6</v>
      </c>
      <c r="F30" s="157">
        <f>'55_Evaluaciones'!F11</f>
        <v>46229</v>
      </c>
      <c r="G30" s="157" t="str">
        <f>'55_Evaluaciones'!G11</f>
        <v>Pendiente</v>
      </c>
      <c r="H30" s="157">
        <f>'55_Evaluaciones'!H11</f>
        <v>0</v>
      </c>
      <c r="I30" s="157" t="str">
        <f ca="1">'55_Evaluaciones'!I11</f>
        <v>Controlado</v>
      </c>
      <c r="J30" s="157" t="str">
        <f>'55_Evaluaciones'!J11</f>
        <v>Aplicación dinámica</v>
      </c>
      <c r="K30" s="157">
        <f>'55_Evaluaciones'!L11</f>
        <v>0</v>
      </c>
      <c r="L30" s="157"/>
      <c r="M30" s="157"/>
      <c r="N30" s="157"/>
      <c r="O30" s="157"/>
      <c r="P30" s="157"/>
      <c r="Q30" s="157"/>
    </row>
    <row r="31" spans="1:17" ht="16" customHeight="1">
      <c r="A31" s="157" t="str">
        <f>'55_Evaluaciones'!A12</f>
        <v>EV-009</v>
      </c>
      <c r="B31" s="157" t="str">
        <f>'55_Evaluaciones'!B12</f>
        <v>Física Mecánica</v>
      </c>
      <c r="C31" s="157">
        <f>'55_Evaluaciones'!C12</f>
        <v>10</v>
      </c>
      <c r="D31" s="163" t="str">
        <f>'55_Evaluaciones'!D12</f>
        <v>Tarea</v>
      </c>
      <c r="E31" s="162">
        <f>'55_Evaluaciones'!E12</f>
        <v>6</v>
      </c>
      <c r="F31" s="157">
        <f>'55_Evaluaciones'!F12</f>
        <v>46243</v>
      </c>
      <c r="G31" s="157" t="str">
        <f>'55_Evaluaciones'!G12</f>
        <v>Pendiente</v>
      </c>
      <c r="H31" s="157">
        <f>'55_Evaluaciones'!H12</f>
        <v>0</v>
      </c>
      <c r="I31" s="157" t="str">
        <f ca="1">'55_Evaluaciones'!I12</f>
        <v>Controlado</v>
      </c>
      <c r="J31" s="157" t="str">
        <f>'55_Evaluaciones'!J12</f>
        <v>Trabajo y energía</v>
      </c>
      <c r="K31" s="157">
        <f>'55_Evaluaciones'!L12</f>
        <v>0</v>
      </c>
      <c r="L31" s="157"/>
      <c r="M31" s="157"/>
      <c r="N31" s="157"/>
      <c r="O31" s="157"/>
      <c r="P31" s="157"/>
      <c r="Q31" s="157"/>
    </row>
    <row r="32" spans="1:17" ht="16" customHeight="1">
      <c r="A32" s="157" t="str">
        <f>'55_Evaluaciones'!A13</f>
        <v>EV-010</v>
      </c>
      <c r="B32" s="157" t="str">
        <f>'55_Evaluaciones'!B13</f>
        <v>Física Mecánica</v>
      </c>
      <c r="C32" s="157">
        <f>'55_Evaluaciones'!C13</f>
        <v>11</v>
      </c>
      <c r="D32" s="163" t="str">
        <f>'55_Evaluaciones'!D13</f>
        <v>Tarea</v>
      </c>
      <c r="E32" s="162">
        <f>'55_Evaluaciones'!E13</f>
        <v>6</v>
      </c>
      <c r="F32" s="157">
        <f>'55_Evaluaciones'!F13</f>
        <v>46250</v>
      </c>
      <c r="G32" s="157" t="str">
        <f>'55_Evaluaciones'!G13</f>
        <v>Pendiente</v>
      </c>
      <c r="H32" s="157">
        <f>'55_Evaluaciones'!H13</f>
        <v>0</v>
      </c>
      <c r="I32" s="157" t="str">
        <f ca="1">'55_Evaluaciones'!I13</f>
        <v>Controlado</v>
      </c>
      <c r="J32" s="157" t="str">
        <f>'55_Evaluaciones'!J13</f>
        <v>Rotación I</v>
      </c>
      <c r="K32" s="157">
        <f>'55_Evaluaciones'!L13</f>
        <v>0</v>
      </c>
      <c r="L32" s="157"/>
      <c r="M32" s="157"/>
      <c r="N32" s="157"/>
      <c r="O32" s="157"/>
      <c r="P32" s="157"/>
      <c r="Q32" s="157"/>
    </row>
    <row r="33" spans="1:17" ht="16" customHeight="1">
      <c r="A33" s="157" t="str">
        <f>'55_Evaluaciones'!A14</f>
        <v>EV-011</v>
      </c>
      <c r="B33" s="157" t="str">
        <f>'55_Evaluaciones'!B14</f>
        <v>Física Mecánica</v>
      </c>
      <c r="C33" s="157">
        <f>'55_Evaluaciones'!C14</f>
        <v>12</v>
      </c>
      <c r="D33" s="163" t="str">
        <f>'55_Evaluaciones'!D14</f>
        <v>Tarea</v>
      </c>
      <c r="E33" s="162">
        <f>'55_Evaluaciones'!E14</f>
        <v>6</v>
      </c>
      <c r="F33" s="157">
        <f>'55_Evaluaciones'!F14</f>
        <v>46257</v>
      </c>
      <c r="G33" s="157" t="str">
        <f>'55_Evaluaciones'!G14</f>
        <v>Pendiente</v>
      </c>
      <c r="H33" s="157">
        <f>'55_Evaluaciones'!H14</f>
        <v>0</v>
      </c>
      <c r="I33" s="157" t="str">
        <f ca="1">'55_Evaluaciones'!I14</f>
        <v>Controlado</v>
      </c>
      <c r="J33" s="157" t="str">
        <f>'55_Evaluaciones'!J14</f>
        <v>Rotación II</v>
      </c>
      <c r="K33" s="157">
        <f>'55_Evaluaciones'!L14</f>
        <v>0</v>
      </c>
      <c r="L33" s="157"/>
      <c r="M33" s="157"/>
      <c r="N33" s="157"/>
      <c r="O33" s="157"/>
      <c r="P33" s="157"/>
      <c r="Q33" s="157"/>
    </row>
    <row r="34" spans="1:17" ht="16" customHeight="1">
      <c r="A34" s="157" t="str">
        <f>'55_Evaluaciones'!A15</f>
        <v>EV-012</v>
      </c>
      <c r="B34" s="157" t="str">
        <f>'55_Evaluaciones'!B15</f>
        <v>Probabilidad y Estadística</v>
      </c>
      <c r="C34" s="157">
        <f>'55_Evaluaciones'!C15</f>
        <v>4</v>
      </c>
      <c r="D34" s="163" t="str">
        <f>'55_Evaluaciones'!D15</f>
        <v>Prueba escrita Unidad I</v>
      </c>
      <c r="E34" s="162">
        <f>'55_Evaluaciones'!E15</f>
        <v>30</v>
      </c>
      <c r="F34" s="157">
        <f>'55_Evaluaciones'!F15</f>
        <v>46201</v>
      </c>
      <c r="G34" s="157" t="str">
        <f>'55_Evaluaciones'!G15</f>
        <v>Pendiente</v>
      </c>
      <c r="H34" s="157">
        <f>'55_Evaluaciones'!H15</f>
        <v>0</v>
      </c>
      <c r="I34" s="157" t="str">
        <f ca="1">'55_Evaluaciones'!I15</f>
        <v>Crítico</v>
      </c>
      <c r="J34" s="157" t="str">
        <f>'55_Evaluaciones'!J15</f>
        <v>Fundamentos, condicional, combinaciones, Bayes</v>
      </c>
      <c r="K34" s="157">
        <f>'55_Evaluaciones'!L15</f>
        <v>0</v>
      </c>
      <c r="L34" s="157"/>
      <c r="M34" s="157"/>
      <c r="N34" s="157"/>
      <c r="O34" s="157"/>
      <c r="P34" s="157"/>
      <c r="Q34" s="157"/>
    </row>
    <row r="35" spans="1:17" ht="16" customHeight="1">
      <c r="A35" s="157" t="str">
        <f>'55_Evaluaciones'!A16</f>
        <v>EV-013</v>
      </c>
      <c r="B35" s="157" t="str">
        <f>'55_Evaluaciones'!B16</f>
        <v>Probabilidad y Estadística</v>
      </c>
      <c r="C35" s="157">
        <f>'55_Evaluaciones'!C16</f>
        <v>8</v>
      </c>
      <c r="D35" s="163" t="str">
        <f>'55_Evaluaciones'!D16</f>
        <v>Prueba escrita Unidad II</v>
      </c>
      <c r="E35" s="162">
        <f>'55_Evaluaciones'!E16</f>
        <v>30</v>
      </c>
      <c r="F35" s="157">
        <f>'55_Evaluaciones'!F16</f>
        <v>46229</v>
      </c>
      <c r="G35" s="157" t="str">
        <f>'55_Evaluaciones'!G16</f>
        <v>Pendiente</v>
      </c>
      <c r="H35" s="157">
        <f>'55_Evaluaciones'!H16</f>
        <v>0</v>
      </c>
      <c r="I35" s="157" t="str">
        <f ca="1">'55_Evaluaciones'!I16</f>
        <v>Controlado</v>
      </c>
      <c r="J35" s="157" t="str">
        <f>'55_Evaluaciones'!J16</f>
        <v>Estadística descriptiva/distribuciones</v>
      </c>
      <c r="K35" s="157">
        <f>'55_Evaluaciones'!L16</f>
        <v>0</v>
      </c>
      <c r="L35" s="157"/>
      <c r="M35" s="157"/>
      <c r="N35" s="157"/>
      <c r="O35" s="157"/>
      <c r="P35" s="157"/>
      <c r="Q35" s="157"/>
    </row>
    <row r="36" spans="1:17" ht="16" customHeight="1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</row>
    <row r="37" spans="1:17" ht="16" customHeight="1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</row>
    <row r="38" spans="1:17" ht="16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</row>
    <row r="39" spans="1:17" ht="16" customHeight="1">
      <c r="A39" s="536" t="s">
        <v>4205</v>
      </c>
      <c r="B39" s="426"/>
      <c r="C39" s="426"/>
      <c r="D39" s="426"/>
      <c r="E39" s="426"/>
      <c r="F39" s="426"/>
      <c r="G39" s="426"/>
      <c r="H39" s="426"/>
      <c r="I39" s="426"/>
      <c r="J39" s="426"/>
      <c r="K39" s="426"/>
      <c r="L39" s="157"/>
      <c r="M39" s="157"/>
      <c r="N39" s="157"/>
      <c r="O39" s="157"/>
      <c r="P39" s="157"/>
      <c r="Q39" s="157"/>
    </row>
    <row r="40" spans="1:17" ht="16" customHeight="1">
      <c r="A40" s="158" t="s">
        <v>4045</v>
      </c>
      <c r="B40" s="158" t="s">
        <v>3969</v>
      </c>
      <c r="C40" s="158" t="s">
        <v>4206</v>
      </c>
      <c r="D40" s="158" t="s">
        <v>4207</v>
      </c>
      <c r="E40" s="158" t="s">
        <v>4208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</row>
    <row r="41" spans="1:17" ht="43.5" customHeight="1">
      <c r="A41" s="157" t="s">
        <v>3620</v>
      </c>
      <c r="B41" s="157" t="s">
        <v>4209</v>
      </c>
      <c r="C41" s="157" t="s">
        <v>4210</v>
      </c>
      <c r="D41" s="157" t="s">
        <v>4211</v>
      </c>
      <c r="E41" s="157" t="s">
        <v>4212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</row>
    <row r="42" spans="1:17" ht="29" customHeight="1">
      <c r="A42" s="157" t="s">
        <v>465</v>
      </c>
      <c r="B42" s="157" t="s">
        <v>4213</v>
      </c>
      <c r="C42" s="157" t="s">
        <v>381</v>
      </c>
      <c r="D42" s="157" t="s">
        <v>4214</v>
      </c>
      <c r="E42" s="157" t="s">
        <v>4215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</row>
    <row r="43" spans="1:17" ht="29" customHeight="1">
      <c r="A43" s="157" t="s">
        <v>3628</v>
      </c>
      <c r="B43" s="157" t="s">
        <v>4216</v>
      </c>
      <c r="C43" s="157" t="s">
        <v>681</v>
      </c>
      <c r="D43" s="157" t="s">
        <v>4217</v>
      </c>
      <c r="E43" s="157" t="s">
        <v>4218</v>
      </c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</row>
    <row r="44" spans="1:17" ht="29" customHeight="1">
      <c r="A44" s="157" t="s">
        <v>339</v>
      </c>
      <c r="B44" s="157" t="s">
        <v>4219</v>
      </c>
      <c r="C44" s="157" t="s">
        <v>733</v>
      </c>
      <c r="D44" s="157" t="s">
        <v>4220</v>
      </c>
      <c r="E44" s="157" t="s">
        <v>4221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</row>
    <row r="45" spans="1:17" ht="29" customHeight="1">
      <c r="A45" s="157" t="s">
        <v>3636</v>
      </c>
      <c r="B45" s="157" t="s">
        <v>4222</v>
      </c>
      <c r="C45" s="157" t="s">
        <v>737</v>
      </c>
      <c r="D45" s="157" t="s">
        <v>4223</v>
      </c>
      <c r="E45" s="157" t="s">
        <v>4224</v>
      </c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</row>
    <row r="46" spans="1:17" ht="16" customHeight="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</row>
    <row r="47" spans="1:17" ht="16" customHeight="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</row>
    <row r="48" spans="1:17" ht="16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</row>
    <row r="49" spans="1:17" ht="16" customHeight="1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</row>
    <row r="50" spans="1:17" ht="16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</row>
    <row r="51" spans="1:17" ht="16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</row>
    <row r="52" spans="1:17" ht="16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</row>
    <row r="53" spans="1:17" ht="16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</row>
    <row r="54" spans="1:17" ht="16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</row>
    <row r="55" spans="1:17" ht="16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</row>
    <row r="56" spans="1:17" ht="16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</row>
    <row r="57" spans="1:17" ht="16" customHeight="1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</row>
    <row r="58" spans="1:17" ht="16" customHeight="1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</row>
    <row r="59" spans="1:17" ht="16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</row>
    <row r="60" spans="1:17" ht="16" customHeight="1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</row>
    <row r="61" spans="1:17" ht="16" customHeight="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</row>
    <row r="62" spans="1:17" ht="16" customHeight="1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</row>
    <row r="63" spans="1:17" ht="16" customHeight="1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</row>
    <row r="64" spans="1:17" ht="16" customHeight="1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</row>
    <row r="65" spans="1:17" ht="16" customHeight="1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</row>
    <row r="66" spans="1:17" ht="16" customHeight="1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</row>
    <row r="67" spans="1:17" ht="16" customHeight="1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</row>
    <row r="68" spans="1:17" ht="16" customHeight="1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</row>
    <row r="69" spans="1:17" ht="16" customHeight="1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</row>
    <row r="70" spans="1:17" ht="10.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</row>
    <row r="71" spans="1:17" ht="10.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</row>
    <row r="72" spans="1:17" ht="10.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</row>
    <row r="73" spans="1:17" ht="10.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</row>
    <row r="74" spans="1:17" ht="10.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</row>
    <row r="75" spans="1:17" ht="10.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</row>
    <row r="76" spans="1:17" ht="10.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</row>
    <row r="77" spans="1:17" ht="10.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</row>
    <row r="78" spans="1:17" ht="10.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</row>
    <row r="79" spans="1:17" ht="10.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</row>
    <row r="80" spans="1:17" ht="10.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</row>
    <row r="81" spans="1:17" ht="10.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</row>
    <row r="82" spans="1:17" ht="10.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</row>
    <row r="83" spans="1:17" ht="10.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</row>
    <row r="84" spans="1:17" ht="10.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</row>
    <row r="85" spans="1:17" ht="10.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</row>
    <row r="86" spans="1:17" ht="10.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</row>
    <row r="87" spans="1:17" ht="10.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</row>
    <row r="88" spans="1:17" ht="10.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</row>
    <row r="89" spans="1:17" ht="10.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</row>
    <row r="90" spans="1:17" ht="10.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</row>
    <row r="91" spans="1:17" ht="10.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</row>
    <row r="92" spans="1:17" ht="10.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</row>
    <row r="93" spans="1:17" ht="10.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</row>
    <row r="94" spans="1:17" ht="10.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</row>
    <row r="95" spans="1:17" ht="10.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</row>
    <row r="96" spans="1:17" ht="10.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</row>
    <row r="97" spans="1:17" ht="10.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</row>
    <row r="98" spans="1:17" ht="10.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</row>
    <row r="99" spans="1:17" ht="10.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</row>
    <row r="100" spans="1:17" ht="10.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</row>
  </sheetData>
  <mergeCells count="5">
    <mergeCell ref="A22:K22"/>
    <mergeCell ref="A39:K39"/>
    <mergeCell ref="A2:Q2"/>
    <mergeCell ref="A13:K13"/>
    <mergeCell ref="A1:Q1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BFBFBF"/>
  </sheetPr>
  <dimension ref="A1:N100"/>
  <sheetViews>
    <sheetView showGridLines="0" workbookViewId="0"/>
  </sheetViews>
  <sheetFormatPr baseColWidth="10" defaultColWidth="8.7265625" defaultRowHeight="14.5"/>
  <cols>
    <col min="1" max="1" width="22" customWidth="1"/>
    <col min="2" max="2" width="12" customWidth="1"/>
    <col min="3" max="3" width="40" customWidth="1"/>
    <col min="4" max="4" width="18" customWidth="1"/>
    <col min="5" max="5" width="10" customWidth="1"/>
    <col min="6" max="6" width="18" customWidth="1"/>
    <col min="7" max="7" width="16" customWidth="1"/>
    <col min="8" max="8" width="14" customWidth="1"/>
    <col min="10" max="10" width="36" customWidth="1"/>
    <col min="11" max="11" width="18" customWidth="1"/>
    <col min="12" max="12" width="16" customWidth="1"/>
    <col min="13" max="13" width="36" customWidth="1"/>
    <col min="14" max="14" width="18" customWidth="1"/>
  </cols>
  <sheetData>
    <row r="1" spans="1:14" ht="16" customHeight="1">
      <c r="A1" s="534" t="s">
        <v>4157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spans="1:14" ht="16" customHeight="1">
      <c r="A2" s="535" t="s">
        <v>4158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</row>
    <row r="3" spans="1:14" ht="16" customHeigh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</row>
    <row r="4" spans="1:14" ht="16" customHeight="1">
      <c r="A4" s="542" t="s">
        <v>4159</v>
      </c>
      <c r="B4" s="426"/>
      <c r="C4" s="542" t="s">
        <v>4160</v>
      </c>
      <c r="D4" s="426"/>
      <c r="E4" s="542" t="s">
        <v>4161</v>
      </c>
      <c r="F4" s="426"/>
      <c r="G4" s="542" t="s">
        <v>4162</v>
      </c>
      <c r="H4" s="426"/>
      <c r="I4" s="542" t="s">
        <v>4163</v>
      </c>
      <c r="J4" s="426"/>
      <c r="K4" s="542" t="s">
        <v>4164</v>
      </c>
      <c r="L4" s="426"/>
      <c r="M4" s="157"/>
      <c r="N4" s="157"/>
    </row>
    <row r="5" spans="1:14" ht="16" customHeight="1">
      <c r="A5" s="540">
        <f>'54_Dashboard_Universidad'!H5</f>
        <v>0</v>
      </c>
      <c r="B5" s="426"/>
      <c r="C5" s="537">
        <f>'54_Dashboard_Universidad'!K5</f>
        <v>0</v>
      </c>
      <c r="D5" s="426"/>
      <c r="E5" s="538">
        <f>'54_Dashboard_Universidad'!B9</f>
        <v>0.16494845360824742</v>
      </c>
      <c r="F5" s="426"/>
      <c r="G5" s="538">
        <f>'54_Dashboard_Universidad'!E9</f>
        <v>0</v>
      </c>
      <c r="H5" s="426"/>
      <c r="I5" s="538">
        <f>'54_Dashboard_Universidad'!H9</f>
        <v>0</v>
      </c>
      <c r="J5" s="426"/>
      <c r="K5" s="538">
        <f>'54_Dashboard_Universidad'!B5</f>
        <v>21</v>
      </c>
      <c r="L5" s="426"/>
      <c r="M5" s="157"/>
      <c r="N5" s="157"/>
    </row>
    <row r="6" spans="1:14" ht="16" customHeight="1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</row>
    <row r="7" spans="1:14" ht="16" customHeight="1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</row>
    <row r="8" spans="1:14" ht="16" customHeight="1">
      <c r="A8" s="536" t="s">
        <v>4165</v>
      </c>
      <c r="B8" s="426"/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6"/>
    </row>
    <row r="9" spans="1:14" ht="16" customHeight="1">
      <c r="A9" s="158" t="s">
        <v>2230</v>
      </c>
      <c r="B9" s="158" t="s">
        <v>2217</v>
      </c>
      <c r="C9" s="158" t="s">
        <v>2440</v>
      </c>
      <c r="D9" s="158" t="s">
        <v>4166</v>
      </c>
      <c r="E9" s="158" t="s">
        <v>2536</v>
      </c>
      <c r="F9" s="158" t="s">
        <v>1248</v>
      </c>
      <c r="G9" s="158" t="s">
        <v>655</v>
      </c>
      <c r="H9" s="158" t="s">
        <v>2626</v>
      </c>
      <c r="I9" s="158" t="s">
        <v>2829</v>
      </c>
      <c r="J9" s="158" t="s">
        <v>4167</v>
      </c>
      <c r="K9" s="158" t="s">
        <v>4168</v>
      </c>
      <c r="L9" s="158" t="s">
        <v>2181</v>
      </c>
      <c r="M9" s="158" t="s">
        <v>656</v>
      </c>
      <c r="N9" s="158" t="s">
        <v>381</v>
      </c>
    </row>
    <row r="10" spans="1:14" ht="16" customHeight="1">
      <c r="A10" s="157" t="s">
        <v>2830</v>
      </c>
      <c r="B10" s="157">
        <f>'54_Dashboard_Universidad'!B15</f>
        <v>0</v>
      </c>
      <c r="C10" s="157">
        <f>'54_Dashboard_Universidad'!C15</f>
        <v>0</v>
      </c>
      <c r="D10" s="157">
        <f>'54_Dashboard_Universidad'!D15</f>
        <v>0</v>
      </c>
      <c r="E10" s="157">
        <f>'54_Dashboard_Universidad'!F15</f>
        <v>0</v>
      </c>
      <c r="F10" s="162">
        <f>'54_Dashboard_Universidad'!G15</f>
        <v>0</v>
      </c>
      <c r="G10" s="157">
        <f>'54_Dashboard_Universidad'!H15</f>
        <v>0</v>
      </c>
      <c r="H10" s="157">
        <f>'54_Dashboard_Universidad'!I15</f>
        <v>0</v>
      </c>
      <c r="I10" s="157">
        <f>'54_Dashboard_Universidad'!J15</f>
        <v>0</v>
      </c>
      <c r="J10" s="157" t="s">
        <v>2841</v>
      </c>
      <c r="K10" s="157" t="s">
        <v>4169</v>
      </c>
      <c r="L10" s="157" t="str">
        <f>IF(F10&lt;0.5,"Alto",IF(F10&lt;0.8,"Medio","Bajo"))</f>
        <v>Alto</v>
      </c>
      <c r="M10" s="157" t="s">
        <v>4170</v>
      </c>
      <c r="N10" s="157" t="s">
        <v>4171</v>
      </c>
    </row>
    <row r="11" spans="1:14" ht="16" customHeight="1">
      <c r="A11" s="157" t="s">
        <v>2842</v>
      </c>
      <c r="B11" s="157" t="str">
        <f>'54_Dashboard_Universidad'!B16</f>
        <v>Evaluaciones</v>
      </c>
      <c r="C11" s="157" t="str">
        <f>'54_Dashboard_Universidad'!C16</f>
        <v>Ponderación</v>
      </c>
      <c r="D11" s="157" t="str">
        <f>'54_Dashboard_Universidad'!D16</f>
        <v>Nota actual</v>
      </c>
      <c r="E11" s="157" t="str">
        <f>'54_Dashboard_Universidad'!F16</f>
        <v>Acción</v>
      </c>
      <c r="F11" s="162">
        <f>'54_Dashboard_Universidad'!G16</f>
        <v>0</v>
      </c>
      <c r="G11" s="157">
        <f>'54_Dashboard_Universidad'!H16</f>
        <v>0</v>
      </c>
      <c r="H11" s="157">
        <f>'54_Dashboard_Universidad'!I16</f>
        <v>0</v>
      </c>
      <c r="I11" s="157">
        <f>'54_Dashboard_Universidad'!J16</f>
        <v>0</v>
      </c>
      <c r="J11" s="157" t="s">
        <v>2841</v>
      </c>
      <c r="K11" s="157" t="s">
        <v>4169</v>
      </c>
      <c r="L11" s="157" t="str">
        <f>IF(F11&lt;0.5,"Alto",IF(F11&lt;0.8,"Medio","Bajo"))</f>
        <v>Alto</v>
      </c>
      <c r="M11" s="157" t="s">
        <v>4170</v>
      </c>
      <c r="N11" s="157" t="s">
        <v>4171</v>
      </c>
    </row>
    <row r="12" spans="1:14" ht="16" customHeight="1">
      <c r="A12" s="157" t="s">
        <v>2773</v>
      </c>
      <c r="B12" s="157">
        <f>'54_Dashboard_Universidad'!B17</f>
        <v>4</v>
      </c>
      <c r="C12" s="157">
        <f>'54_Dashboard_Universidad'!C17</f>
        <v>100</v>
      </c>
      <c r="D12" s="157">
        <f>'54_Dashboard_Universidad'!D17</f>
        <v>0</v>
      </c>
      <c r="E12" s="157" t="str">
        <f>'54_Dashboard_Universidad'!F17</f>
        <v>Ejecutar bloques y revisar Canvas</v>
      </c>
      <c r="F12" s="162">
        <f>'54_Dashboard_Universidad'!G17</f>
        <v>0</v>
      </c>
      <c r="G12" s="157">
        <f>'54_Dashboard_Universidad'!H17</f>
        <v>0</v>
      </c>
      <c r="H12" s="157">
        <f>'54_Dashboard_Universidad'!I17</f>
        <v>0</v>
      </c>
      <c r="I12" s="157">
        <f>'54_Dashboard_Universidad'!J17</f>
        <v>0</v>
      </c>
      <c r="J12" s="157" t="s">
        <v>2841</v>
      </c>
      <c r="K12" s="157" t="s">
        <v>4169</v>
      </c>
      <c r="L12" s="157" t="str">
        <f>IF(F12&lt;0.5,"Alto",IF(F12&lt;0.8,"Medio","Bajo"))</f>
        <v>Alto</v>
      </c>
      <c r="M12" s="157" t="s">
        <v>4170</v>
      </c>
      <c r="N12" s="157" t="s">
        <v>4171</v>
      </c>
    </row>
    <row r="13" spans="1:14" ht="16" customHeight="1">
      <c r="A13" s="157" t="s">
        <v>2851</v>
      </c>
      <c r="B13" s="157">
        <f>'54_Dashboard_Universidad'!B18</f>
        <v>5</v>
      </c>
      <c r="C13" s="157">
        <f>'54_Dashboard_Universidad'!C18</f>
        <v>100</v>
      </c>
      <c r="D13" s="157">
        <f>'54_Dashboard_Universidad'!D18</f>
        <v>0</v>
      </c>
      <c r="E13" s="157" t="str">
        <f>'54_Dashboard_Universidad'!F18</f>
        <v>Ejecutar bloques y revisar Canvas</v>
      </c>
      <c r="F13" s="162">
        <f>'54_Dashboard_Universidad'!G18</f>
        <v>0</v>
      </c>
      <c r="G13" s="157">
        <f>'54_Dashboard_Universidad'!H18</f>
        <v>0</v>
      </c>
      <c r="H13" s="157">
        <f>'54_Dashboard_Universidad'!I18</f>
        <v>0</v>
      </c>
      <c r="I13" s="157">
        <f>'54_Dashboard_Universidad'!J18</f>
        <v>0</v>
      </c>
      <c r="J13" s="157" t="s">
        <v>4172</v>
      </c>
      <c r="K13" s="157" t="s">
        <v>4169</v>
      </c>
      <c r="L13" s="157" t="str">
        <f>IF(F13&lt;0.5,"Alto",IF(F13&lt;0.8,"Medio","Bajo"))</f>
        <v>Alto</v>
      </c>
      <c r="M13" s="157" t="s">
        <v>4170</v>
      </c>
      <c r="N13" s="157" t="s">
        <v>4171</v>
      </c>
    </row>
    <row r="14" spans="1:14" ht="16" customHeight="1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</row>
    <row r="15" spans="1:14" ht="16" customHeight="1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</row>
    <row r="16" spans="1:14" ht="16" customHeight="1">
      <c r="A16" s="536" t="s">
        <v>4173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</row>
    <row r="17" spans="1:14" ht="16" customHeight="1">
      <c r="A17" s="158" t="s">
        <v>4045</v>
      </c>
      <c r="B17" s="158" t="s">
        <v>696</v>
      </c>
      <c r="C17" s="158" t="s">
        <v>3616</v>
      </c>
      <c r="D17" s="158" t="s">
        <v>253</v>
      </c>
      <c r="E17" s="158" t="s">
        <v>4174</v>
      </c>
      <c r="F17" s="157"/>
      <c r="G17" s="157"/>
      <c r="H17" s="157"/>
      <c r="I17" s="157"/>
      <c r="J17" s="157"/>
      <c r="K17" s="157"/>
      <c r="L17" s="157"/>
      <c r="M17" s="157"/>
      <c r="N17" s="157"/>
    </row>
    <row r="18" spans="1:14" ht="16" customHeight="1">
      <c r="A18" s="157" t="s">
        <v>3620</v>
      </c>
      <c r="B18" s="157" t="s">
        <v>4175</v>
      </c>
      <c r="C18" s="157" t="s">
        <v>82</v>
      </c>
      <c r="D18" s="157" t="s">
        <v>4176</v>
      </c>
      <c r="E18" s="157" t="s">
        <v>4177</v>
      </c>
      <c r="F18" s="157"/>
      <c r="G18" s="157"/>
      <c r="H18" s="157"/>
      <c r="I18" s="157"/>
      <c r="J18" s="157"/>
      <c r="K18" s="157"/>
      <c r="L18" s="157"/>
      <c r="M18" s="157"/>
      <c r="N18" s="157"/>
    </row>
    <row r="19" spans="1:14" ht="16" customHeight="1">
      <c r="A19" s="157" t="s">
        <v>465</v>
      </c>
      <c r="B19" s="157" t="s">
        <v>4178</v>
      </c>
      <c r="C19" s="157" t="s">
        <v>681</v>
      </c>
      <c r="D19" s="157" t="s">
        <v>4179</v>
      </c>
      <c r="E19" s="157" t="s">
        <v>4180</v>
      </c>
      <c r="F19" s="157"/>
      <c r="G19" s="157"/>
      <c r="H19" s="157"/>
      <c r="I19" s="157"/>
      <c r="J19" s="157"/>
      <c r="K19" s="157"/>
      <c r="L19" s="157"/>
      <c r="M19" s="157"/>
      <c r="N19" s="157"/>
    </row>
    <row r="20" spans="1:14" ht="16" customHeight="1">
      <c r="A20" s="157" t="s">
        <v>3628</v>
      </c>
      <c r="B20" s="157" t="s">
        <v>4181</v>
      </c>
      <c r="C20" s="157" t="s">
        <v>735</v>
      </c>
      <c r="D20" s="157" t="s">
        <v>4182</v>
      </c>
      <c r="E20" s="157" t="s">
        <v>4183</v>
      </c>
      <c r="F20" s="157"/>
      <c r="G20" s="157"/>
      <c r="H20" s="157"/>
      <c r="I20" s="157"/>
      <c r="J20" s="157"/>
      <c r="K20" s="157"/>
      <c r="L20" s="157"/>
      <c r="M20" s="157"/>
      <c r="N20" s="157"/>
    </row>
    <row r="21" spans="1:14" ht="16" customHeight="1">
      <c r="A21" s="157" t="s">
        <v>339</v>
      </c>
      <c r="B21" s="157" t="s">
        <v>4184</v>
      </c>
      <c r="C21" s="157" t="s">
        <v>733</v>
      </c>
      <c r="D21" s="157" t="s">
        <v>4185</v>
      </c>
      <c r="E21" s="157" t="s">
        <v>4186</v>
      </c>
      <c r="F21" s="157"/>
      <c r="G21" s="157"/>
      <c r="H21" s="157"/>
      <c r="I21" s="157"/>
      <c r="J21" s="157"/>
      <c r="K21" s="157"/>
      <c r="L21" s="157"/>
      <c r="M21" s="157"/>
      <c r="N21" s="157"/>
    </row>
    <row r="22" spans="1:14" ht="16" customHeight="1">
      <c r="A22" s="157" t="s">
        <v>3636</v>
      </c>
      <c r="B22" s="157" t="s">
        <v>4187</v>
      </c>
      <c r="C22" s="157" t="s">
        <v>3556</v>
      </c>
      <c r="D22" s="157" t="s">
        <v>4188</v>
      </c>
      <c r="E22" s="157" t="s">
        <v>4189</v>
      </c>
      <c r="F22" s="157"/>
      <c r="G22" s="157"/>
      <c r="H22" s="157"/>
      <c r="I22" s="157"/>
      <c r="J22" s="157"/>
      <c r="K22" s="157"/>
      <c r="L22" s="157"/>
      <c r="M22" s="157"/>
      <c r="N22" s="157"/>
    </row>
    <row r="23" spans="1:14" ht="16" customHeight="1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</row>
    <row r="24" spans="1:14" ht="16" customHeight="1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</row>
    <row r="25" spans="1:14" ht="16" customHeight="1">
      <c r="A25" s="536" t="s">
        <v>4190</v>
      </c>
      <c r="B25" s="426"/>
      <c r="C25" s="426"/>
      <c r="D25" s="426"/>
      <c r="E25" s="426"/>
      <c r="F25" s="426"/>
      <c r="G25" s="426"/>
      <c r="H25" s="426"/>
      <c r="I25" s="426"/>
      <c r="J25" s="426"/>
      <c r="K25" s="426"/>
      <c r="L25" s="426"/>
      <c r="M25" s="426"/>
      <c r="N25" s="426"/>
    </row>
    <row r="26" spans="1:14" ht="16" customHeight="1">
      <c r="A26" s="158" t="s">
        <v>2230</v>
      </c>
      <c r="B26" s="158" t="s">
        <v>1115</v>
      </c>
      <c r="C26" s="158" t="s">
        <v>2208</v>
      </c>
      <c r="D26" s="158" t="s">
        <v>1278</v>
      </c>
      <c r="E26" s="158" t="s">
        <v>1238</v>
      </c>
      <c r="F26" s="158" t="s">
        <v>4191</v>
      </c>
      <c r="G26" s="158" t="s">
        <v>655</v>
      </c>
      <c r="H26" s="158" t="s">
        <v>248</v>
      </c>
      <c r="I26" s="158" t="s">
        <v>2625</v>
      </c>
      <c r="J26" s="158" t="s">
        <v>696</v>
      </c>
      <c r="K26" s="157"/>
      <c r="L26" s="157"/>
      <c r="M26" s="157"/>
      <c r="N26" s="157"/>
    </row>
    <row r="27" spans="1:14" ht="16" customHeight="1">
      <c r="A27" s="157" t="str">
        <f>'55_Evaluaciones'!A5</f>
        <v>EV-002</v>
      </c>
      <c r="B27" s="157" t="str">
        <f>'55_Evaluaciones'!B5</f>
        <v>Física Mecánica</v>
      </c>
      <c r="C27" s="157">
        <f>'55_Evaluaciones'!C5</f>
        <v>2</v>
      </c>
      <c r="D27" s="163" t="str">
        <f>'55_Evaluaciones'!D5</f>
        <v>Tarea</v>
      </c>
      <c r="E27" s="162">
        <f>'55_Evaluaciones'!E5</f>
        <v>0</v>
      </c>
      <c r="F27" s="157">
        <f>'55_Evaluaciones'!F5</f>
        <v>46187</v>
      </c>
      <c r="G27" s="157" t="str">
        <f>'55_Evaluaciones'!G5</f>
        <v>Pendiente</v>
      </c>
      <c r="H27" s="157">
        <f>'55_Evaluaciones'!H5</f>
        <v>0</v>
      </c>
      <c r="I27" s="157" t="str">
        <f ca="1">'55_Evaluaciones'!I5</f>
        <v>Crítico</v>
      </c>
      <c r="J27" s="157" t="str">
        <f>'55_Evaluaciones'!J5</f>
        <v>Guía Semana 2: velocidad/aceleración</v>
      </c>
      <c r="K27" s="157"/>
      <c r="L27" s="157"/>
      <c r="M27" s="157"/>
      <c r="N27" s="157"/>
    </row>
    <row r="28" spans="1:14" ht="16" customHeight="1">
      <c r="A28" s="157" t="str">
        <f>'55_Evaluaciones'!A6</f>
        <v>EV-003</v>
      </c>
      <c r="B28" s="157" t="str">
        <f>'55_Evaluaciones'!B6</f>
        <v>Física Mecánica</v>
      </c>
      <c r="C28" s="157">
        <f>'55_Evaluaciones'!C6</f>
        <v>3</v>
      </c>
      <c r="D28" s="163" t="str">
        <f>'55_Evaluaciones'!D6</f>
        <v>Tarea</v>
      </c>
      <c r="E28" s="162">
        <f>'55_Evaluaciones'!E6</f>
        <v>6</v>
      </c>
      <c r="F28" s="157">
        <f>'55_Evaluaciones'!F6</f>
        <v>46194</v>
      </c>
      <c r="G28" s="157" t="str">
        <f>'55_Evaluaciones'!G6</f>
        <v>Pendiente</v>
      </c>
      <c r="H28" s="157">
        <f>'55_Evaluaciones'!H6</f>
        <v>0</v>
      </c>
      <c r="I28" s="157" t="str">
        <f ca="1">'55_Evaluaciones'!I6</f>
        <v>Crítico</v>
      </c>
      <c r="J28" s="157" t="str">
        <f>'55_Evaluaciones'!J6</f>
        <v>Cinemática MRU/MRUA/Caída libre</v>
      </c>
      <c r="K28" s="157"/>
      <c r="L28" s="157"/>
      <c r="M28" s="157"/>
      <c r="N28" s="157"/>
    </row>
    <row r="29" spans="1:14" ht="16" customHeight="1">
      <c r="A29" s="157" t="str">
        <f>'55_Evaluaciones'!A7</f>
        <v>EV-004</v>
      </c>
      <c r="B29" s="157" t="str">
        <f>'55_Evaluaciones'!B7</f>
        <v>Física Mecánica</v>
      </c>
      <c r="C29" s="157">
        <f>'55_Evaluaciones'!C7</f>
        <v>4</v>
      </c>
      <c r="D29" s="163" t="str">
        <f>'55_Evaluaciones'!D7</f>
        <v>Cuestionario</v>
      </c>
      <c r="E29" s="162">
        <f>'55_Evaluaciones'!E7</f>
        <v>35</v>
      </c>
      <c r="F29" s="157">
        <f>'55_Evaluaciones'!F7</f>
        <v>46201</v>
      </c>
      <c r="G29" s="157" t="str">
        <f>'55_Evaluaciones'!G7</f>
        <v>Pendiente</v>
      </c>
      <c r="H29" s="157">
        <f>'55_Evaluaciones'!H7</f>
        <v>0</v>
      </c>
      <c r="I29" s="157" t="str">
        <f ca="1">'55_Evaluaciones'!I7</f>
        <v>Crítico</v>
      </c>
      <c r="J29" s="157" t="str">
        <f>'55_Evaluaciones'!J7</f>
        <v>Cierre Unidad 1 Cinemática</v>
      </c>
      <c r="K29" s="157"/>
      <c r="L29" s="157"/>
      <c r="M29" s="157"/>
      <c r="N29" s="157"/>
    </row>
    <row r="30" spans="1:14" ht="16" customHeight="1">
      <c r="A30" s="157" t="str">
        <f>'55_Evaluaciones'!A8</f>
        <v>EV-005</v>
      </c>
      <c r="B30" s="157" t="str">
        <f>'55_Evaluaciones'!B8</f>
        <v>Física Mecánica</v>
      </c>
      <c r="C30" s="157">
        <f>'55_Evaluaciones'!C8</f>
        <v>5</v>
      </c>
      <c r="D30" s="163" t="str">
        <f>'55_Evaluaciones'!D8</f>
        <v>Tarea</v>
      </c>
      <c r="E30" s="162">
        <f>'55_Evaluaciones'!E8</f>
        <v>0</v>
      </c>
      <c r="F30" s="157">
        <f>'55_Evaluaciones'!F8</f>
        <v>46208</v>
      </c>
      <c r="G30" s="157" t="str">
        <f>'55_Evaluaciones'!G8</f>
        <v>Pendiente</v>
      </c>
      <c r="H30" s="157">
        <f>'55_Evaluaciones'!H8</f>
        <v>0</v>
      </c>
      <c r="I30" s="157" t="str">
        <f ca="1">'55_Evaluaciones'!I8</f>
        <v>Crítico</v>
      </c>
      <c r="J30" s="157" t="str">
        <f>'55_Evaluaciones'!J8</f>
        <v>Dinámica: fuerza/DCL</v>
      </c>
      <c r="K30" s="157"/>
      <c r="L30" s="157"/>
      <c r="M30" s="157"/>
      <c r="N30" s="157"/>
    </row>
    <row r="31" spans="1:14" ht="16" customHeight="1">
      <c r="A31" s="157" t="str">
        <f>'55_Evaluaciones'!A9</f>
        <v>EV-006</v>
      </c>
      <c r="B31" s="157" t="str">
        <f>'55_Evaluaciones'!B9</f>
        <v>Física Mecánica</v>
      </c>
      <c r="C31" s="157">
        <f>'55_Evaluaciones'!C9</f>
        <v>6</v>
      </c>
      <c r="D31" s="163" t="str">
        <f>'55_Evaluaciones'!D9</f>
        <v>Tarea</v>
      </c>
      <c r="E31" s="162">
        <f>'55_Evaluaciones'!E9</f>
        <v>0</v>
      </c>
      <c r="F31" s="157">
        <f>'55_Evaluaciones'!F9</f>
        <v>46215</v>
      </c>
      <c r="G31" s="157" t="str">
        <f>'55_Evaluaciones'!G9</f>
        <v>Pendiente</v>
      </c>
      <c r="H31" s="157">
        <f>'55_Evaluaciones'!H9</f>
        <v>0</v>
      </c>
      <c r="I31" s="157" t="str">
        <f ca="1">'55_Evaluaciones'!I9</f>
        <v>Controlado</v>
      </c>
      <c r="J31" s="157" t="str">
        <f>'55_Evaluaciones'!J9</f>
        <v>Dinámica: Newton/roce</v>
      </c>
      <c r="K31" s="157"/>
      <c r="L31" s="157"/>
      <c r="M31" s="157"/>
      <c r="N31" s="157"/>
    </row>
    <row r="32" spans="1:14" ht="16" customHeight="1">
      <c r="A32" s="157" t="str">
        <f>'55_Evaluaciones'!A10</f>
        <v>EV-007</v>
      </c>
      <c r="B32" s="157" t="str">
        <f>'55_Evaluaciones'!B10</f>
        <v>Física Mecánica</v>
      </c>
      <c r="C32" s="157">
        <f>'55_Evaluaciones'!C10</f>
        <v>7</v>
      </c>
      <c r="D32" s="163" t="str">
        <f>'55_Evaluaciones'!D10</f>
        <v>Tarea</v>
      </c>
      <c r="E32" s="162">
        <f>'55_Evaluaciones'!E10</f>
        <v>35</v>
      </c>
      <c r="F32" s="157">
        <f>'55_Evaluaciones'!F10</f>
        <v>46222</v>
      </c>
      <c r="G32" s="157" t="str">
        <f>'55_Evaluaciones'!G10</f>
        <v>Pendiente</v>
      </c>
      <c r="H32" s="157">
        <f>'55_Evaluaciones'!H10</f>
        <v>0</v>
      </c>
      <c r="I32" s="157" t="str">
        <f ca="1">'55_Evaluaciones'!I10</f>
        <v>Controlado</v>
      </c>
      <c r="J32" s="157" t="str">
        <f>'55_Evaluaciones'!J10</f>
        <v>Cierre Unidad 2 Dinámica</v>
      </c>
      <c r="K32" s="157"/>
      <c r="L32" s="157"/>
      <c r="M32" s="157"/>
      <c r="N32" s="157"/>
    </row>
    <row r="33" spans="1:14" ht="16" customHeight="1">
      <c r="A33" s="157" t="str">
        <f>'55_Evaluaciones'!A11</f>
        <v>EV-008</v>
      </c>
      <c r="B33" s="157" t="str">
        <f>'55_Evaluaciones'!B11</f>
        <v>Física Mecánica</v>
      </c>
      <c r="C33" s="157">
        <f>'55_Evaluaciones'!C11</f>
        <v>8</v>
      </c>
      <c r="D33" s="163" t="str">
        <f>'55_Evaluaciones'!D11</f>
        <v>Tarea</v>
      </c>
      <c r="E33" s="162">
        <f>'55_Evaluaciones'!E11</f>
        <v>6</v>
      </c>
      <c r="F33" s="157">
        <f>'55_Evaluaciones'!F11</f>
        <v>46229</v>
      </c>
      <c r="G33" s="157" t="str">
        <f>'55_Evaluaciones'!G11</f>
        <v>Pendiente</v>
      </c>
      <c r="H33" s="157">
        <f>'55_Evaluaciones'!H11</f>
        <v>0</v>
      </c>
      <c r="I33" s="157" t="str">
        <f ca="1">'55_Evaluaciones'!I11</f>
        <v>Controlado</v>
      </c>
      <c r="J33" s="157" t="str">
        <f>'55_Evaluaciones'!J11</f>
        <v>Aplicación dinámica</v>
      </c>
      <c r="K33" s="157"/>
      <c r="L33" s="157"/>
      <c r="M33" s="157"/>
      <c r="N33" s="157"/>
    </row>
    <row r="34" spans="1:14" ht="16" customHeight="1">
      <c r="A34" s="157" t="str">
        <f>'55_Evaluaciones'!A12</f>
        <v>EV-009</v>
      </c>
      <c r="B34" s="157" t="str">
        <f>'55_Evaluaciones'!B12</f>
        <v>Física Mecánica</v>
      </c>
      <c r="C34" s="157">
        <f>'55_Evaluaciones'!C12</f>
        <v>10</v>
      </c>
      <c r="D34" s="163" t="str">
        <f>'55_Evaluaciones'!D12</f>
        <v>Tarea</v>
      </c>
      <c r="E34" s="162">
        <f>'55_Evaluaciones'!E12</f>
        <v>6</v>
      </c>
      <c r="F34" s="157">
        <f>'55_Evaluaciones'!F12</f>
        <v>46243</v>
      </c>
      <c r="G34" s="157" t="str">
        <f>'55_Evaluaciones'!G12</f>
        <v>Pendiente</v>
      </c>
      <c r="H34" s="157">
        <f>'55_Evaluaciones'!H12</f>
        <v>0</v>
      </c>
      <c r="I34" s="157" t="str">
        <f ca="1">'55_Evaluaciones'!I12</f>
        <v>Controlado</v>
      </c>
      <c r="J34" s="157" t="str">
        <f>'55_Evaluaciones'!J12</f>
        <v>Trabajo y energía</v>
      </c>
      <c r="K34" s="157"/>
      <c r="L34" s="157"/>
      <c r="M34" s="157"/>
      <c r="N34" s="157"/>
    </row>
    <row r="35" spans="1:14" ht="16" customHeight="1">
      <c r="A35" s="157" t="str">
        <f>'55_Evaluaciones'!A13</f>
        <v>EV-010</v>
      </c>
      <c r="B35" s="157" t="str">
        <f>'55_Evaluaciones'!B13</f>
        <v>Física Mecánica</v>
      </c>
      <c r="C35" s="157">
        <f>'55_Evaluaciones'!C13</f>
        <v>11</v>
      </c>
      <c r="D35" s="163" t="str">
        <f>'55_Evaluaciones'!D13</f>
        <v>Tarea</v>
      </c>
      <c r="E35" s="162">
        <f>'55_Evaluaciones'!E13</f>
        <v>6</v>
      </c>
      <c r="F35" s="157">
        <f>'55_Evaluaciones'!F13</f>
        <v>46250</v>
      </c>
      <c r="G35" s="157" t="str">
        <f>'55_Evaluaciones'!G13</f>
        <v>Pendiente</v>
      </c>
      <c r="H35" s="157">
        <f>'55_Evaluaciones'!H13</f>
        <v>0</v>
      </c>
      <c r="I35" s="157" t="str">
        <f ca="1">'55_Evaluaciones'!I13</f>
        <v>Controlado</v>
      </c>
      <c r="J35" s="157" t="str">
        <f>'55_Evaluaciones'!J13</f>
        <v>Rotación I</v>
      </c>
      <c r="K35" s="157"/>
      <c r="L35" s="157"/>
      <c r="M35" s="157"/>
      <c r="N35" s="157"/>
    </row>
    <row r="36" spans="1:14" ht="16" customHeight="1">
      <c r="A36" s="157" t="str">
        <f>'55_Evaluaciones'!A14</f>
        <v>EV-011</v>
      </c>
      <c r="B36" s="157" t="str">
        <f>'55_Evaluaciones'!B14</f>
        <v>Física Mecánica</v>
      </c>
      <c r="C36" s="157">
        <f>'55_Evaluaciones'!C14</f>
        <v>12</v>
      </c>
      <c r="D36" s="163" t="str">
        <f>'55_Evaluaciones'!D14</f>
        <v>Tarea</v>
      </c>
      <c r="E36" s="162">
        <f>'55_Evaluaciones'!E14</f>
        <v>6</v>
      </c>
      <c r="F36" s="157">
        <f>'55_Evaluaciones'!F14</f>
        <v>46257</v>
      </c>
      <c r="G36" s="157" t="str">
        <f>'55_Evaluaciones'!G14</f>
        <v>Pendiente</v>
      </c>
      <c r="H36" s="157">
        <f>'55_Evaluaciones'!H14</f>
        <v>0</v>
      </c>
      <c r="I36" s="157" t="str">
        <f ca="1">'55_Evaluaciones'!I14</f>
        <v>Controlado</v>
      </c>
      <c r="J36" s="157" t="str">
        <f>'55_Evaluaciones'!J14</f>
        <v>Rotación II</v>
      </c>
      <c r="K36" s="157"/>
      <c r="L36" s="157"/>
      <c r="M36" s="157"/>
      <c r="N36" s="157"/>
    </row>
    <row r="37" spans="1:14" ht="16" customHeight="1">
      <c r="A37" s="157" t="str">
        <f>'55_Evaluaciones'!A15</f>
        <v>EV-012</v>
      </c>
      <c r="B37" s="157" t="str">
        <f>'55_Evaluaciones'!B15</f>
        <v>Probabilidad y Estadística</v>
      </c>
      <c r="C37" s="157">
        <f>'55_Evaluaciones'!C15</f>
        <v>4</v>
      </c>
      <c r="D37" s="163" t="str">
        <f>'55_Evaluaciones'!D15</f>
        <v>Prueba escrita Unidad I</v>
      </c>
      <c r="E37" s="162">
        <f>'55_Evaluaciones'!E15</f>
        <v>30</v>
      </c>
      <c r="F37" s="157">
        <f>'55_Evaluaciones'!F15</f>
        <v>46201</v>
      </c>
      <c r="G37" s="157" t="str">
        <f>'55_Evaluaciones'!G15</f>
        <v>Pendiente</v>
      </c>
      <c r="H37" s="157">
        <f>'55_Evaluaciones'!H15</f>
        <v>0</v>
      </c>
      <c r="I37" s="157" t="str">
        <f ca="1">'55_Evaluaciones'!I15</f>
        <v>Crítico</v>
      </c>
      <c r="J37" s="157" t="str">
        <f>'55_Evaluaciones'!J15</f>
        <v>Fundamentos, condicional, combinaciones, Bayes</v>
      </c>
      <c r="K37" s="157"/>
      <c r="L37" s="157"/>
      <c r="M37" s="157"/>
      <c r="N37" s="157"/>
    </row>
    <row r="38" spans="1:14" ht="16" customHeight="1">
      <c r="A38" s="157" t="str">
        <f>'55_Evaluaciones'!A16</f>
        <v>EV-013</v>
      </c>
      <c r="B38" s="157" t="str">
        <f>'55_Evaluaciones'!B16</f>
        <v>Probabilidad y Estadística</v>
      </c>
      <c r="C38" s="157">
        <f>'55_Evaluaciones'!C16</f>
        <v>8</v>
      </c>
      <c r="D38" s="163" t="str">
        <f>'55_Evaluaciones'!D16</f>
        <v>Prueba escrita Unidad II</v>
      </c>
      <c r="E38" s="162">
        <f>'55_Evaluaciones'!E16</f>
        <v>30</v>
      </c>
      <c r="F38" s="157">
        <f>'55_Evaluaciones'!F16</f>
        <v>46229</v>
      </c>
      <c r="G38" s="157" t="str">
        <f>'55_Evaluaciones'!G16</f>
        <v>Pendiente</v>
      </c>
      <c r="H38" s="157">
        <f>'55_Evaluaciones'!H16</f>
        <v>0</v>
      </c>
      <c r="I38" s="157" t="str">
        <f ca="1">'55_Evaluaciones'!I16</f>
        <v>Controlado</v>
      </c>
      <c r="J38" s="157" t="str">
        <f>'55_Evaluaciones'!J16</f>
        <v>Estadística descriptiva/distribuciones</v>
      </c>
      <c r="K38" s="157"/>
      <c r="L38" s="157"/>
      <c r="M38" s="157"/>
      <c r="N38" s="157"/>
    </row>
    <row r="39" spans="1:14" ht="16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</row>
    <row r="40" spans="1:14" ht="16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</row>
    <row r="41" spans="1:14" ht="16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</row>
    <row r="42" spans="1:14" ht="16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 ht="16" customHeight="1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 ht="16" customHeight="1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 ht="16" customHeight="1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</row>
    <row r="46" spans="1:14" ht="16" customHeight="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</row>
    <row r="47" spans="1:14" ht="16" customHeight="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</row>
    <row r="48" spans="1:14" ht="16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</row>
    <row r="49" spans="1:14" ht="16" customHeight="1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</row>
    <row r="50" spans="1:14" ht="16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</row>
    <row r="51" spans="1:14" ht="16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</row>
    <row r="52" spans="1:14" ht="16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</row>
    <row r="53" spans="1:14" ht="16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</row>
    <row r="54" spans="1:14" ht="16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</row>
    <row r="55" spans="1:14" ht="16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</row>
    <row r="56" spans="1:14" ht="16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</row>
    <row r="57" spans="1:14" ht="16" customHeight="1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</row>
    <row r="58" spans="1:14" ht="16" customHeight="1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</row>
    <row r="59" spans="1:14" ht="16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</row>
    <row r="60" spans="1:14" ht="10.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</row>
    <row r="61" spans="1:14" ht="10.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</row>
    <row r="62" spans="1:14" ht="10.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</row>
    <row r="63" spans="1:14" ht="10.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</row>
    <row r="64" spans="1:14" ht="10.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</row>
    <row r="65" spans="1:14" ht="10.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</row>
    <row r="66" spans="1:14" ht="10.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</row>
    <row r="67" spans="1:14" ht="10.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</row>
    <row r="68" spans="1:14" ht="10.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</row>
    <row r="69" spans="1:14" ht="10.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</row>
    <row r="70" spans="1:14" ht="10.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</row>
    <row r="71" spans="1:14" ht="10.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</row>
    <row r="72" spans="1:14" ht="10.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</row>
    <row r="73" spans="1:14" ht="10.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</row>
    <row r="74" spans="1:14" ht="10.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</row>
    <row r="75" spans="1:14" ht="10.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</row>
    <row r="76" spans="1:14" ht="10.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</row>
    <row r="77" spans="1:14" ht="10.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</row>
    <row r="78" spans="1:14" ht="10.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</row>
    <row r="79" spans="1:14" ht="10.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</row>
    <row r="80" spans="1:14" ht="10.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</row>
    <row r="81" spans="1:14" ht="10.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</row>
    <row r="82" spans="1:14" ht="10.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</row>
    <row r="83" spans="1:14" ht="10.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</row>
    <row r="84" spans="1:14" ht="10.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</row>
    <row r="85" spans="1:14" ht="10.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</row>
    <row r="86" spans="1:14" ht="10.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</row>
    <row r="87" spans="1:14" ht="10.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</row>
    <row r="88" spans="1:14" ht="10.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</row>
    <row r="89" spans="1:14" ht="10.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</row>
    <row r="90" spans="1:14" ht="10.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</row>
    <row r="91" spans="1:14" ht="10.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</row>
    <row r="92" spans="1:14" ht="10.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</row>
    <row r="93" spans="1:14" ht="10.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</row>
    <row r="94" spans="1:14" ht="10.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</row>
    <row r="95" spans="1:14" ht="10.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</row>
    <row r="96" spans="1:14" ht="10.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</row>
    <row r="97" spans="1:14" ht="10.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</row>
    <row r="98" spans="1:14" ht="10.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</row>
    <row r="99" spans="1:14" ht="10.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</row>
    <row r="100" spans="1:14" ht="10.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</row>
  </sheetData>
  <mergeCells count="17">
    <mergeCell ref="A25:N25"/>
    <mergeCell ref="E5:F5"/>
    <mergeCell ref="K5:L5"/>
    <mergeCell ref="I5:J5"/>
    <mergeCell ref="A2:N2"/>
    <mergeCell ref="K4:L4"/>
    <mergeCell ref="C4:D4"/>
    <mergeCell ref="A1:N1"/>
    <mergeCell ref="A16:N16"/>
    <mergeCell ref="C5:D5"/>
    <mergeCell ref="A5:B5"/>
    <mergeCell ref="G5:H5"/>
    <mergeCell ref="A4:B4"/>
    <mergeCell ref="G4:H4"/>
    <mergeCell ref="E4:F4"/>
    <mergeCell ref="A8:N8"/>
    <mergeCell ref="I4:J4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BFBFBF"/>
  </sheetPr>
  <dimension ref="A1:H18"/>
  <sheetViews>
    <sheetView showGridLines="0" workbookViewId="0"/>
  </sheetViews>
  <sheetFormatPr baseColWidth="10" defaultColWidth="8.7265625" defaultRowHeight="14.5"/>
  <cols>
    <col min="1" max="2" width="38" customWidth="1"/>
    <col min="3" max="3" width="23" customWidth="1"/>
    <col min="4" max="4" width="38" customWidth="1"/>
    <col min="5" max="5" width="27" customWidth="1"/>
    <col min="6" max="6" width="24" customWidth="1"/>
    <col min="7" max="7" width="14" customWidth="1"/>
    <col min="8" max="8" width="27" customWidth="1"/>
  </cols>
  <sheetData>
    <row r="1" spans="1:8" ht="37" customHeight="1">
      <c r="A1" s="152" t="s">
        <v>4225</v>
      </c>
      <c r="B1" s="152"/>
      <c r="C1" s="152"/>
      <c r="D1" s="152"/>
      <c r="E1" s="152"/>
      <c r="F1" s="152"/>
      <c r="G1" s="152"/>
      <c r="H1" s="152"/>
    </row>
    <row r="2" spans="1:8">
      <c r="A2" s="506" t="s">
        <v>4226</v>
      </c>
      <c r="B2" s="426"/>
      <c r="C2" s="426"/>
      <c r="D2" s="426"/>
      <c r="E2" s="426"/>
      <c r="F2" s="426"/>
      <c r="G2" s="426"/>
      <c r="H2" s="426"/>
    </row>
    <row r="4" spans="1:8">
      <c r="A4" s="153" t="s">
        <v>4227</v>
      </c>
      <c r="B4" s="153" t="s">
        <v>4228</v>
      </c>
      <c r="C4" s="153" t="s">
        <v>4229</v>
      </c>
      <c r="D4" s="153" t="s">
        <v>4230</v>
      </c>
      <c r="E4" s="153" t="s">
        <v>655</v>
      </c>
      <c r="F4" s="153" t="s">
        <v>4231</v>
      </c>
      <c r="G4" s="153" t="s">
        <v>4232</v>
      </c>
      <c r="H4" s="153" t="s">
        <v>11</v>
      </c>
    </row>
    <row r="5" spans="1:8" ht="29" customHeight="1">
      <c r="A5" s="154" t="s">
        <v>4233</v>
      </c>
      <c r="B5" s="154" t="s">
        <v>681</v>
      </c>
      <c r="C5" s="154" t="s">
        <v>803</v>
      </c>
      <c r="D5" s="154" t="s">
        <v>4234</v>
      </c>
      <c r="E5" s="154" t="s">
        <v>4235</v>
      </c>
      <c r="F5" s="154" t="s">
        <v>4236</v>
      </c>
      <c r="G5" s="154" t="s">
        <v>87</v>
      </c>
      <c r="H5" s="154" t="s">
        <v>4237</v>
      </c>
    </row>
    <row r="6" spans="1:8">
      <c r="A6" s="154" t="s">
        <v>4238</v>
      </c>
      <c r="B6" s="154" t="s">
        <v>733</v>
      </c>
      <c r="C6" s="154" t="s">
        <v>804</v>
      </c>
      <c r="D6" s="154" t="s">
        <v>4239</v>
      </c>
      <c r="E6" s="154" t="s">
        <v>4235</v>
      </c>
      <c r="F6" s="154" t="s">
        <v>4240</v>
      </c>
      <c r="G6" s="154" t="s">
        <v>87</v>
      </c>
      <c r="H6" s="154" t="s">
        <v>4241</v>
      </c>
    </row>
    <row r="7" spans="1:8">
      <c r="A7" s="154" t="s">
        <v>4242</v>
      </c>
      <c r="B7" s="154" t="s">
        <v>735</v>
      </c>
      <c r="C7" s="154" t="s">
        <v>805</v>
      </c>
      <c r="D7" s="154" t="s">
        <v>4243</v>
      </c>
      <c r="E7" s="154" t="s">
        <v>4235</v>
      </c>
      <c r="F7" s="154" t="s">
        <v>4244</v>
      </c>
      <c r="G7" s="154" t="s">
        <v>87</v>
      </c>
      <c r="H7" s="154" t="s">
        <v>4245</v>
      </c>
    </row>
    <row r="8" spans="1:8">
      <c r="A8" s="154" t="s">
        <v>4246</v>
      </c>
      <c r="B8" s="154" t="s">
        <v>801</v>
      </c>
      <c r="C8" s="154" t="s">
        <v>806</v>
      </c>
      <c r="D8" s="154" t="s">
        <v>4247</v>
      </c>
      <c r="E8" s="154" t="s">
        <v>4235</v>
      </c>
      <c r="F8" s="154" t="s">
        <v>4248</v>
      </c>
      <c r="G8" s="154" t="s">
        <v>87</v>
      </c>
      <c r="H8" s="154" t="s">
        <v>4249</v>
      </c>
    </row>
    <row r="9" spans="1:8">
      <c r="A9" s="154" t="s">
        <v>4250</v>
      </c>
      <c r="B9" s="154" t="s">
        <v>738</v>
      </c>
      <c r="C9" s="154" t="s">
        <v>807</v>
      </c>
      <c r="D9" s="154" t="s">
        <v>4251</v>
      </c>
      <c r="E9" s="154" t="s">
        <v>4235</v>
      </c>
      <c r="F9" s="154" t="s">
        <v>4252</v>
      </c>
      <c r="G9" s="154" t="s">
        <v>87</v>
      </c>
      <c r="H9" s="154" t="s">
        <v>4253</v>
      </c>
    </row>
    <row r="10" spans="1:8">
      <c r="A10" s="154" t="s">
        <v>4254</v>
      </c>
      <c r="B10" s="154" t="s">
        <v>802</v>
      </c>
      <c r="C10" s="154" t="s">
        <v>808</v>
      </c>
      <c r="D10" s="154" t="s">
        <v>4255</v>
      </c>
      <c r="E10" s="154" t="s">
        <v>4235</v>
      </c>
      <c r="F10" s="154" t="s">
        <v>4256</v>
      </c>
      <c r="G10" s="154" t="s">
        <v>87</v>
      </c>
      <c r="H10" s="154" t="s">
        <v>4257</v>
      </c>
    </row>
    <row r="11" spans="1:8">
      <c r="A11" s="154"/>
      <c r="B11" s="154"/>
      <c r="C11" s="154"/>
      <c r="D11" s="154"/>
      <c r="E11" s="154"/>
      <c r="F11" s="154"/>
      <c r="G11" s="154"/>
      <c r="H11" s="154"/>
    </row>
    <row r="12" spans="1:8">
      <c r="A12" s="155" t="s">
        <v>4258</v>
      </c>
      <c r="B12" s="155"/>
      <c r="C12" s="155"/>
      <c r="D12" s="155"/>
      <c r="E12" s="155"/>
      <c r="F12" s="155"/>
      <c r="G12" s="155"/>
      <c r="H12" s="155"/>
    </row>
    <row r="13" spans="1:8">
      <c r="A13" s="156" t="s">
        <v>1300</v>
      </c>
      <c r="B13" s="156" t="s">
        <v>7</v>
      </c>
      <c r="C13" s="156" t="s">
        <v>252</v>
      </c>
      <c r="D13" s="156" t="s">
        <v>1844</v>
      </c>
      <c r="E13" s="156" t="s">
        <v>4259</v>
      </c>
      <c r="F13" s="154"/>
      <c r="G13" s="154"/>
      <c r="H13" s="154"/>
    </row>
    <row r="14" spans="1:8">
      <c r="A14" s="154" t="s">
        <v>2577</v>
      </c>
      <c r="B14" s="154">
        <f>COUNTA(#REF!)</f>
        <v>1</v>
      </c>
      <c r="C14" s="154" t="s">
        <v>805</v>
      </c>
      <c r="D14" s="154" t="s">
        <v>4260</v>
      </c>
      <c r="E14" s="154" t="s">
        <v>4261</v>
      </c>
      <c r="F14" s="154"/>
      <c r="G14" s="154"/>
      <c r="H14" s="154"/>
    </row>
    <row r="15" spans="1:8">
      <c r="A15" s="154" t="s">
        <v>4262</v>
      </c>
      <c r="B15" s="154">
        <f>COUNTA(#REF!)</f>
        <v>1</v>
      </c>
      <c r="C15" s="154" t="s">
        <v>803</v>
      </c>
      <c r="D15" s="154" t="s">
        <v>4263</v>
      </c>
      <c r="E15" s="154" t="s">
        <v>4264</v>
      </c>
      <c r="F15" s="154"/>
      <c r="G15" s="154"/>
      <c r="H15" s="154"/>
    </row>
    <row r="16" spans="1:8">
      <c r="A16" s="154" t="s">
        <v>2692</v>
      </c>
      <c r="B16" s="154">
        <f>COUNTA(#REF!)</f>
        <v>1</v>
      </c>
      <c r="C16" s="154" t="s">
        <v>804</v>
      </c>
      <c r="D16" s="154" t="s">
        <v>4265</v>
      </c>
      <c r="E16" s="154" t="s">
        <v>4266</v>
      </c>
      <c r="F16" s="154"/>
      <c r="G16" s="154"/>
      <c r="H16" s="154"/>
    </row>
    <row r="17" spans="1:8">
      <c r="A17" s="154" t="s">
        <v>4267</v>
      </c>
      <c r="B17" s="154">
        <f>COUNTA(#REF!)</f>
        <v>1</v>
      </c>
      <c r="C17" s="154" t="s">
        <v>807</v>
      </c>
      <c r="D17" s="154" t="s">
        <v>4268</v>
      </c>
      <c r="E17" s="154" t="s">
        <v>4269</v>
      </c>
      <c r="F17" s="154"/>
      <c r="G17" s="154"/>
      <c r="H17" s="154"/>
    </row>
    <row r="18" spans="1:8">
      <c r="A18" s="154" t="s">
        <v>4270</v>
      </c>
      <c r="B18" s="154" t="s">
        <v>4235</v>
      </c>
      <c r="C18" s="154" t="s">
        <v>4271</v>
      </c>
      <c r="D18" s="154" t="s">
        <v>4272</v>
      </c>
      <c r="E18" s="154" t="s">
        <v>4273</v>
      </c>
      <c r="F18" s="154"/>
      <c r="G18" s="154"/>
      <c r="H18" s="154"/>
    </row>
  </sheetData>
  <mergeCells count="1">
    <mergeCell ref="A2:H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BFBFBF"/>
  </sheetPr>
  <dimension ref="A1:A11"/>
  <sheetViews>
    <sheetView showGridLines="0" workbookViewId="0"/>
  </sheetViews>
  <sheetFormatPr baseColWidth="10" defaultColWidth="8.7265625" defaultRowHeight="14.5"/>
  <sheetData>
    <row r="1" spans="1:1">
      <c r="A1" t="s">
        <v>4274</v>
      </c>
    </row>
    <row r="3" spans="1:1">
      <c r="A3" t="s">
        <v>812</v>
      </c>
    </row>
    <row r="4" spans="1:1">
      <c r="A4" t="s">
        <v>813</v>
      </c>
    </row>
    <row r="5" spans="1:1">
      <c r="A5" t="s">
        <v>814</v>
      </c>
    </row>
    <row r="6" spans="1:1">
      <c r="A6" t="s">
        <v>815</v>
      </c>
    </row>
    <row r="7" spans="1:1">
      <c r="A7" t="s">
        <v>816</v>
      </c>
    </row>
    <row r="8" spans="1:1">
      <c r="A8" t="s">
        <v>817</v>
      </c>
    </row>
    <row r="9" spans="1:1">
      <c r="A9" t="s">
        <v>868</v>
      </c>
    </row>
    <row r="10" spans="1:1">
      <c r="A10" t="s">
        <v>819</v>
      </c>
    </row>
    <row r="11" spans="1:1">
      <c r="A11" t="s">
        <v>820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BFBFBF"/>
  </sheetPr>
  <dimension ref="A1:J120"/>
  <sheetViews>
    <sheetView showGridLines="0" workbookViewId="0"/>
  </sheetViews>
  <sheetFormatPr baseColWidth="10" defaultColWidth="8.7265625" defaultRowHeight="14.5"/>
  <cols>
    <col min="1" max="1" width="32" customWidth="1"/>
    <col min="2" max="2" width="28" customWidth="1"/>
    <col min="3" max="3" width="20" customWidth="1"/>
    <col min="4" max="4" width="24" customWidth="1"/>
    <col min="5" max="5" width="28" customWidth="1"/>
    <col min="6" max="7" width="12" customWidth="1"/>
    <col min="8" max="8" width="16" customWidth="1"/>
    <col min="9" max="10" width="12" customWidth="1"/>
  </cols>
  <sheetData>
    <row r="1" spans="1:6" ht="28" customHeight="1">
      <c r="A1" s="192" t="s">
        <v>4275</v>
      </c>
    </row>
    <row r="2" spans="1:6" ht="28" customHeight="1">
      <c r="A2" s="193" t="s">
        <v>4276</v>
      </c>
    </row>
    <row r="3" spans="1:6" ht="28" customHeight="1"/>
    <row r="4" spans="1:6" ht="28" customHeight="1">
      <c r="A4" s="194" t="s">
        <v>67</v>
      </c>
      <c r="B4" s="194" t="s">
        <v>655</v>
      </c>
      <c r="C4" s="194" t="s">
        <v>4070</v>
      </c>
      <c r="D4" s="194" t="s">
        <v>1368</v>
      </c>
      <c r="E4" s="194" t="s">
        <v>4277</v>
      </c>
      <c r="F4" s="194" t="s">
        <v>1369</v>
      </c>
    </row>
    <row r="5" spans="1:6" ht="28" customHeight="1">
      <c r="A5" s="132" t="s">
        <v>4278</v>
      </c>
      <c r="B5" s="132" t="s">
        <v>4279</v>
      </c>
      <c r="C5" s="132" t="s">
        <v>4280</v>
      </c>
      <c r="D5" s="132" t="s">
        <v>4281</v>
      </c>
      <c r="E5" s="132" t="s">
        <v>4282</v>
      </c>
      <c r="F5" s="132" t="s">
        <v>4283</v>
      </c>
    </row>
    <row r="6" spans="1:6" ht="28" customHeight="1">
      <c r="A6" s="132" t="s">
        <v>286</v>
      </c>
      <c r="B6" s="132" t="s">
        <v>4284</v>
      </c>
      <c r="C6" s="132" t="s">
        <v>2153</v>
      </c>
      <c r="D6" s="132" t="s">
        <v>4285</v>
      </c>
      <c r="E6" s="132" t="s">
        <v>4286</v>
      </c>
      <c r="F6" s="132" t="s">
        <v>4287</v>
      </c>
    </row>
    <row r="7" spans="1:6" ht="28" customHeight="1">
      <c r="A7" s="132" t="s">
        <v>4288</v>
      </c>
      <c r="B7" s="132" t="s">
        <v>4289</v>
      </c>
      <c r="C7" s="132" t="s">
        <v>4290</v>
      </c>
      <c r="D7" s="132" t="s">
        <v>4291</v>
      </c>
      <c r="E7" s="132" t="s">
        <v>4292</v>
      </c>
      <c r="F7" s="132" t="s">
        <v>4293</v>
      </c>
    </row>
    <row r="8" spans="1:6" ht="28" customHeight="1">
      <c r="A8" s="132" t="s">
        <v>4294</v>
      </c>
      <c r="B8" s="132" t="s">
        <v>4295</v>
      </c>
      <c r="C8" s="132" t="s">
        <v>4296</v>
      </c>
      <c r="D8" s="132" t="s">
        <v>4297</v>
      </c>
      <c r="E8" s="132" t="s">
        <v>4298</v>
      </c>
      <c r="F8" s="132" t="s">
        <v>4299</v>
      </c>
    </row>
    <row r="9" spans="1:6" ht="28" customHeight="1">
      <c r="A9" s="132" t="s">
        <v>4300</v>
      </c>
      <c r="B9" s="132" t="s">
        <v>4301</v>
      </c>
      <c r="C9" s="132" t="s">
        <v>2153</v>
      </c>
      <c r="D9" s="132" t="s">
        <v>4302</v>
      </c>
      <c r="E9" s="132" t="s">
        <v>4303</v>
      </c>
      <c r="F9" s="132" t="s">
        <v>4304</v>
      </c>
    </row>
    <row r="10" spans="1:6" ht="28" customHeight="1">
      <c r="A10" s="132" t="s">
        <v>207</v>
      </c>
      <c r="B10" s="132" t="s">
        <v>4305</v>
      </c>
      <c r="C10" s="132" t="s">
        <v>4306</v>
      </c>
      <c r="D10" s="132" t="s">
        <v>4307</v>
      </c>
      <c r="E10" s="132" t="s">
        <v>4308</v>
      </c>
      <c r="F10" s="132" t="s">
        <v>4309</v>
      </c>
    </row>
    <row r="11" spans="1:6" ht="28" customHeight="1">
      <c r="A11" s="132" t="s">
        <v>3627</v>
      </c>
      <c r="B11" s="132" t="s">
        <v>4305</v>
      </c>
      <c r="C11" s="132" t="s">
        <v>4310</v>
      </c>
      <c r="D11" s="132" t="s">
        <v>4311</v>
      </c>
      <c r="E11" s="132" t="s">
        <v>4312</v>
      </c>
      <c r="F11" s="132" t="s">
        <v>4313</v>
      </c>
    </row>
    <row r="12" spans="1:6" ht="28" customHeight="1"/>
    <row r="13" spans="1:6" ht="28" customHeight="1"/>
    <row r="14" spans="1:6" ht="28" customHeight="1">
      <c r="A14" s="195" t="s">
        <v>1300</v>
      </c>
      <c r="B14" s="195" t="s">
        <v>1236</v>
      </c>
    </row>
    <row r="15" spans="1:6" ht="28" customHeight="1">
      <c r="A15" s="98" t="s">
        <v>4314</v>
      </c>
      <c r="B15" s="98">
        <v>93</v>
      </c>
    </row>
    <row r="16" spans="1:6" ht="28" customHeight="1">
      <c r="A16" s="98" t="s">
        <v>4315</v>
      </c>
      <c r="B16" s="98">
        <v>47</v>
      </c>
    </row>
    <row r="17" spans="1:10" ht="28" customHeight="1">
      <c r="A17" s="98" t="s">
        <v>4316</v>
      </c>
      <c r="B17" s="98">
        <v>46</v>
      </c>
    </row>
    <row r="18" spans="1:10" ht="28" customHeight="1">
      <c r="A18" s="98" t="s">
        <v>4317</v>
      </c>
      <c r="B18" s="98">
        <v>0</v>
      </c>
    </row>
    <row r="19" spans="1:10" ht="28" customHeight="1">
      <c r="A19" s="98" t="s">
        <v>4318</v>
      </c>
      <c r="B19" s="98" t="s">
        <v>4319</v>
      </c>
    </row>
    <row r="20" spans="1:10" ht="28" customHeight="1"/>
    <row r="21" spans="1:10" ht="28" customHeight="1"/>
    <row r="22" spans="1:10" ht="28" customHeight="1"/>
    <row r="23" spans="1:10" ht="28" customHeight="1">
      <c r="A23" s="194" t="s">
        <v>3616</v>
      </c>
      <c r="B23" s="194" t="s">
        <v>67</v>
      </c>
      <c r="C23" s="194" t="s">
        <v>4320</v>
      </c>
      <c r="D23" s="194" t="s">
        <v>655</v>
      </c>
      <c r="E23" s="194" t="s">
        <v>696</v>
      </c>
      <c r="F23" s="194" t="s">
        <v>4321</v>
      </c>
      <c r="G23" s="194" t="s">
        <v>4322</v>
      </c>
      <c r="H23" s="194" t="s">
        <v>4323</v>
      </c>
      <c r="I23" s="194" t="s">
        <v>4324</v>
      </c>
      <c r="J23" s="194" t="s">
        <v>4166</v>
      </c>
    </row>
    <row r="24" spans="1:10" ht="28" customHeight="1">
      <c r="A24" s="132" t="s">
        <v>812</v>
      </c>
      <c r="B24" s="132" t="s">
        <v>4325</v>
      </c>
      <c r="C24" s="132" t="s">
        <v>839</v>
      </c>
      <c r="D24" s="196" t="s">
        <v>4326</v>
      </c>
      <c r="E24" s="132" t="s">
        <v>4327</v>
      </c>
      <c r="F24" s="132">
        <v>1</v>
      </c>
      <c r="G24" s="132">
        <v>1</v>
      </c>
      <c r="H24" s="132">
        <v>0</v>
      </c>
      <c r="I24" s="132">
        <v>0</v>
      </c>
      <c r="J24" s="132">
        <v>0</v>
      </c>
    </row>
    <row r="25" spans="1:10" ht="28" customHeight="1">
      <c r="A25" s="132" t="s">
        <v>703</v>
      </c>
      <c r="B25" s="132" t="s">
        <v>4328</v>
      </c>
      <c r="C25" s="132" t="s">
        <v>839</v>
      </c>
      <c r="D25" s="196" t="s">
        <v>4326</v>
      </c>
      <c r="E25" s="132" t="s">
        <v>4327</v>
      </c>
      <c r="F25" s="132">
        <v>44</v>
      </c>
      <c r="G25" s="132">
        <v>2</v>
      </c>
      <c r="H25" s="132">
        <v>39</v>
      </c>
      <c r="I25" s="132">
        <v>0</v>
      </c>
      <c r="J25" s="132">
        <v>0</v>
      </c>
    </row>
    <row r="26" spans="1:10" ht="28" customHeight="1">
      <c r="A26" s="132" t="s">
        <v>20</v>
      </c>
      <c r="B26" s="132" t="s">
        <v>4328</v>
      </c>
      <c r="C26" s="132" t="s">
        <v>839</v>
      </c>
      <c r="D26" s="196" t="s">
        <v>4326</v>
      </c>
      <c r="E26" s="132" t="s">
        <v>4327</v>
      </c>
      <c r="F26" s="132">
        <v>204</v>
      </c>
      <c r="G26" s="132">
        <v>12</v>
      </c>
      <c r="H26" s="132">
        <v>672</v>
      </c>
      <c r="I26" s="132">
        <v>376</v>
      </c>
      <c r="J26" s="132">
        <v>0</v>
      </c>
    </row>
    <row r="27" spans="1:10" ht="28" customHeight="1">
      <c r="A27" s="132" t="s">
        <v>91</v>
      </c>
      <c r="B27" s="132" t="s">
        <v>4328</v>
      </c>
      <c r="C27" s="132" t="s">
        <v>839</v>
      </c>
      <c r="D27" s="196" t="s">
        <v>4326</v>
      </c>
      <c r="E27" s="132" t="s">
        <v>4327</v>
      </c>
      <c r="F27" s="132">
        <v>204</v>
      </c>
      <c r="G27" s="132">
        <v>14</v>
      </c>
      <c r="H27" s="132">
        <v>2816</v>
      </c>
      <c r="I27" s="132">
        <v>2800</v>
      </c>
      <c r="J27" s="132">
        <v>0</v>
      </c>
    </row>
    <row r="28" spans="1:10" ht="28" customHeight="1">
      <c r="A28" s="132" t="s">
        <v>712</v>
      </c>
      <c r="B28" s="132" t="s">
        <v>4328</v>
      </c>
      <c r="C28" s="132" t="s">
        <v>839</v>
      </c>
      <c r="D28" s="196" t="s">
        <v>4326</v>
      </c>
      <c r="E28" s="132" t="s">
        <v>4327</v>
      </c>
      <c r="F28" s="132">
        <v>40</v>
      </c>
      <c r="G28" s="132">
        <v>11</v>
      </c>
      <c r="H28" s="132">
        <v>62</v>
      </c>
      <c r="I28" s="132">
        <v>45</v>
      </c>
      <c r="J28" s="132">
        <v>0</v>
      </c>
    </row>
    <row r="29" spans="1:10" ht="28" customHeight="1">
      <c r="A29" s="132" t="s">
        <v>714</v>
      </c>
      <c r="B29" s="132" t="s">
        <v>4328</v>
      </c>
      <c r="C29" s="132" t="s">
        <v>839</v>
      </c>
      <c r="D29" s="196" t="s">
        <v>4326</v>
      </c>
      <c r="E29" s="132" t="s">
        <v>4327</v>
      </c>
      <c r="F29" s="132">
        <v>60</v>
      </c>
      <c r="G29" s="132">
        <v>13</v>
      </c>
      <c r="H29" s="132">
        <v>109</v>
      </c>
      <c r="I29" s="132">
        <v>66</v>
      </c>
      <c r="J29" s="132">
        <v>0</v>
      </c>
    </row>
    <row r="30" spans="1:10" ht="28" customHeight="1">
      <c r="A30" s="132" t="s">
        <v>708</v>
      </c>
      <c r="B30" s="132" t="s">
        <v>4278</v>
      </c>
      <c r="C30" s="132" t="s">
        <v>839</v>
      </c>
      <c r="D30" s="196" t="s">
        <v>4326</v>
      </c>
      <c r="E30" s="132" t="s">
        <v>4327</v>
      </c>
      <c r="F30" s="132">
        <v>220</v>
      </c>
      <c r="G30" s="132">
        <v>17</v>
      </c>
      <c r="H30" s="132">
        <v>482</v>
      </c>
      <c r="I30" s="132">
        <v>400</v>
      </c>
      <c r="J30" s="132">
        <v>0</v>
      </c>
    </row>
    <row r="31" spans="1:10" ht="28" customHeight="1">
      <c r="A31" s="132" t="s">
        <v>709</v>
      </c>
      <c r="B31" s="132" t="s">
        <v>4278</v>
      </c>
      <c r="C31" s="132" t="s">
        <v>839</v>
      </c>
      <c r="D31" s="196" t="s">
        <v>4326</v>
      </c>
      <c r="E31" s="132" t="s">
        <v>4327</v>
      </c>
      <c r="F31" s="132">
        <v>80</v>
      </c>
      <c r="G31" s="132">
        <v>9</v>
      </c>
      <c r="H31" s="132">
        <v>65</v>
      </c>
      <c r="I31" s="132">
        <v>17</v>
      </c>
      <c r="J31" s="132">
        <v>0</v>
      </c>
    </row>
    <row r="32" spans="1:10" ht="28" customHeight="1">
      <c r="A32" s="132" t="s">
        <v>156</v>
      </c>
      <c r="B32" s="132" t="s">
        <v>4278</v>
      </c>
      <c r="C32" s="132" t="s">
        <v>839</v>
      </c>
      <c r="D32" s="196" t="s">
        <v>4326</v>
      </c>
      <c r="E32" s="132" t="s">
        <v>4327</v>
      </c>
      <c r="F32" s="132">
        <v>204</v>
      </c>
      <c r="G32" s="132">
        <v>15</v>
      </c>
      <c r="H32" s="132">
        <v>1321</v>
      </c>
      <c r="I32" s="132">
        <v>1220</v>
      </c>
      <c r="J32" s="132">
        <v>0</v>
      </c>
    </row>
    <row r="33" spans="1:10" ht="28" customHeight="1">
      <c r="A33" s="132" t="s">
        <v>164</v>
      </c>
      <c r="B33" s="132" t="s">
        <v>4278</v>
      </c>
      <c r="C33" s="132" t="s">
        <v>839</v>
      </c>
      <c r="D33" s="196" t="s">
        <v>4326</v>
      </c>
      <c r="E33" s="132" t="s">
        <v>4327</v>
      </c>
      <c r="F33" s="132">
        <v>404</v>
      </c>
      <c r="G33" s="132">
        <v>15</v>
      </c>
      <c r="H33" s="132">
        <v>1783</v>
      </c>
      <c r="I33" s="132">
        <v>1221</v>
      </c>
      <c r="J33" s="132">
        <v>0</v>
      </c>
    </row>
    <row r="34" spans="1:10" ht="28" customHeight="1">
      <c r="A34" s="132" t="s">
        <v>170</v>
      </c>
      <c r="B34" s="132" t="s">
        <v>4278</v>
      </c>
      <c r="C34" s="132" t="s">
        <v>839</v>
      </c>
      <c r="D34" s="196" t="s">
        <v>4326</v>
      </c>
      <c r="E34" s="132" t="s">
        <v>4327</v>
      </c>
      <c r="F34" s="132">
        <v>220</v>
      </c>
      <c r="G34" s="132">
        <v>15</v>
      </c>
      <c r="H34" s="132">
        <v>489</v>
      </c>
      <c r="I34" s="132">
        <v>451</v>
      </c>
      <c r="J34" s="132">
        <v>0</v>
      </c>
    </row>
    <row r="35" spans="1:10" ht="28" customHeight="1">
      <c r="A35" s="132" t="s">
        <v>663</v>
      </c>
      <c r="B35" s="132" t="s">
        <v>4278</v>
      </c>
      <c r="C35" s="132" t="s">
        <v>839</v>
      </c>
      <c r="D35" s="196" t="s">
        <v>4326</v>
      </c>
      <c r="E35" s="132" t="s">
        <v>4327</v>
      </c>
      <c r="F35" s="132">
        <v>220</v>
      </c>
      <c r="G35" s="132">
        <v>18</v>
      </c>
      <c r="H35" s="132">
        <v>1174</v>
      </c>
      <c r="I35" s="132">
        <v>1000</v>
      </c>
      <c r="J35" s="132">
        <v>0</v>
      </c>
    </row>
    <row r="36" spans="1:10" ht="28" customHeight="1">
      <c r="A36" s="132" t="s">
        <v>770</v>
      </c>
      <c r="B36" s="132" t="s">
        <v>4278</v>
      </c>
      <c r="C36" s="132" t="s">
        <v>839</v>
      </c>
      <c r="D36" s="196" t="s">
        <v>4326</v>
      </c>
      <c r="E36" s="132" t="s">
        <v>4327</v>
      </c>
      <c r="F36" s="132">
        <v>30</v>
      </c>
      <c r="G36" s="132">
        <v>8</v>
      </c>
      <c r="H36" s="132">
        <v>91</v>
      </c>
      <c r="I36" s="132">
        <v>15</v>
      </c>
      <c r="J36" s="132">
        <v>0</v>
      </c>
    </row>
    <row r="37" spans="1:10" ht="28" customHeight="1">
      <c r="A37" s="132" t="s">
        <v>104</v>
      </c>
      <c r="B37" s="132" t="s">
        <v>4329</v>
      </c>
      <c r="C37" s="132" t="s">
        <v>839</v>
      </c>
      <c r="D37" s="196" t="s">
        <v>4326</v>
      </c>
      <c r="E37" s="132" t="s">
        <v>4327</v>
      </c>
      <c r="F37" s="132">
        <v>40</v>
      </c>
      <c r="G37" s="132">
        <v>12</v>
      </c>
      <c r="H37" s="132">
        <v>182</v>
      </c>
      <c r="I37" s="132">
        <v>35</v>
      </c>
      <c r="J37" s="132">
        <v>0</v>
      </c>
    </row>
    <row r="38" spans="1:10" ht="28" customHeight="1">
      <c r="A38" s="132" t="s">
        <v>183</v>
      </c>
      <c r="B38" s="132" t="s">
        <v>4330</v>
      </c>
      <c r="C38" s="132" t="s">
        <v>839</v>
      </c>
      <c r="D38" s="196" t="s">
        <v>4326</v>
      </c>
      <c r="E38" s="132" t="s">
        <v>4327</v>
      </c>
      <c r="F38" s="132">
        <v>213</v>
      </c>
      <c r="G38" s="132">
        <v>16</v>
      </c>
      <c r="H38" s="132">
        <v>3030</v>
      </c>
      <c r="I38" s="132">
        <v>3006</v>
      </c>
      <c r="J38" s="132">
        <v>0</v>
      </c>
    </row>
    <row r="39" spans="1:10" ht="28" customHeight="1">
      <c r="A39" s="132" t="s">
        <v>746</v>
      </c>
      <c r="B39" s="132" t="s">
        <v>4330</v>
      </c>
      <c r="C39" s="132" t="s">
        <v>839</v>
      </c>
      <c r="D39" s="196" t="s">
        <v>4326</v>
      </c>
      <c r="E39" s="132" t="s">
        <v>4327</v>
      </c>
      <c r="F39" s="132">
        <v>100</v>
      </c>
      <c r="G39" s="132">
        <v>9</v>
      </c>
      <c r="H39" s="132">
        <v>59</v>
      </c>
      <c r="I39" s="132">
        <v>36</v>
      </c>
      <c r="J39" s="132">
        <v>0</v>
      </c>
    </row>
    <row r="40" spans="1:10" ht="28" customHeight="1">
      <c r="A40" s="132" t="s">
        <v>747</v>
      </c>
      <c r="B40" s="132" t="s">
        <v>4330</v>
      </c>
      <c r="C40" s="132" t="s">
        <v>839</v>
      </c>
      <c r="D40" s="196" t="s">
        <v>4326</v>
      </c>
      <c r="E40" s="132" t="s">
        <v>4327</v>
      </c>
      <c r="F40" s="132">
        <v>220</v>
      </c>
      <c r="G40" s="132">
        <v>13</v>
      </c>
      <c r="H40" s="132">
        <v>2315</v>
      </c>
      <c r="I40" s="132">
        <v>2300</v>
      </c>
      <c r="J40" s="132">
        <v>0</v>
      </c>
    </row>
    <row r="41" spans="1:10" ht="28" customHeight="1">
      <c r="A41" s="132" t="s">
        <v>190</v>
      </c>
      <c r="B41" s="132" t="s">
        <v>4330</v>
      </c>
      <c r="C41" s="132" t="s">
        <v>839</v>
      </c>
      <c r="D41" s="196" t="s">
        <v>4326</v>
      </c>
      <c r="E41" s="132" t="s">
        <v>4327</v>
      </c>
      <c r="F41" s="132">
        <v>204</v>
      </c>
      <c r="G41" s="132">
        <v>11</v>
      </c>
      <c r="H41" s="132">
        <v>2213</v>
      </c>
      <c r="I41" s="132">
        <v>2200</v>
      </c>
      <c r="J41" s="132">
        <v>0</v>
      </c>
    </row>
    <row r="42" spans="1:10" ht="28" customHeight="1">
      <c r="A42" s="132" t="s">
        <v>675</v>
      </c>
      <c r="B42" s="132" t="s">
        <v>4330</v>
      </c>
      <c r="C42" s="132" t="s">
        <v>839</v>
      </c>
      <c r="D42" s="196" t="s">
        <v>4326</v>
      </c>
      <c r="E42" s="132" t="s">
        <v>4327</v>
      </c>
      <c r="F42" s="132">
        <v>202</v>
      </c>
      <c r="G42" s="132">
        <v>24</v>
      </c>
      <c r="H42" s="132">
        <v>446</v>
      </c>
      <c r="I42" s="132">
        <v>399</v>
      </c>
      <c r="J42" s="132">
        <v>0</v>
      </c>
    </row>
    <row r="43" spans="1:10" ht="28" customHeight="1">
      <c r="A43" s="132" t="s">
        <v>748</v>
      </c>
      <c r="B43" s="132" t="s">
        <v>4330</v>
      </c>
      <c r="C43" s="132" t="s">
        <v>839</v>
      </c>
      <c r="D43" s="196" t="s">
        <v>4326</v>
      </c>
      <c r="E43" s="132" t="s">
        <v>4327</v>
      </c>
      <c r="F43" s="132">
        <v>204</v>
      </c>
      <c r="G43" s="132">
        <v>14</v>
      </c>
      <c r="H43" s="132">
        <v>2816</v>
      </c>
      <c r="I43" s="132">
        <v>2800</v>
      </c>
      <c r="J43" s="132">
        <v>0</v>
      </c>
    </row>
    <row r="44" spans="1:10" ht="28" customHeight="1">
      <c r="A44" s="132" t="s">
        <v>749</v>
      </c>
      <c r="B44" s="132" t="s">
        <v>4330</v>
      </c>
      <c r="C44" s="132" t="s">
        <v>839</v>
      </c>
      <c r="D44" s="196" t="s">
        <v>4326</v>
      </c>
      <c r="E44" s="132" t="s">
        <v>4327</v>
      </c>
      <c r="F44" s="132">
        <v>10</v>
      </c>
      <c r="G44" s="132">
        <v>10</v>
      </c>
      <c r="H44" s="132">
        <v>71</v>
      </c>
      <c r="I44" s="132">
        <v>0</v>
      </c>
      <c r="J44" s="132">
        <v>0</v>
      </c>
    </row>
    <row r="45" spans="1:10" ht="28" customHeight="1">
      <c r="A45" s="132" t="s">
        <v>750</v>
      </c>
      <c r="B45" s="132" t="s">
        <v>4330</v>
      </c>
      <c r="C45" s="132" t="s">
        <v>839</v>
      </c>
      <c r="D45" s="196" t="s">
        <v>4326</v>
      </c>
      <c r="E45" s="132" t="s">
        <v>4327</v>
      </c>
      <c r="F45" s="132">
        <v>10</v>
      </c>
      <c r="G45" s="132">
        <v>5</v>
      </c>
      <c r="H45" s="132">
        <v>36</v>
      </c>
      <c r="I45" s="132">
        <v>0</v>
      </c>
      <c r="J45" s="132">
        <v>0</v>
      </c>
    </row>
    <row r="46" spans="1:10" ht="28" customHeight="1">
      <c r="A46" s="132" t="s">
        <v>731</v>
      </c>
      <c r="B46" s="132" t="s">
        <v>286</v>
      </c>
      <c r="C46" s="132" t="s">
        <v>839</v>
      </c>
      <c r="D46" s="196" t="s">
        <v>4326</v>
      </c>
      <c r="E46" s="132" t="s">
        <v>4327</v>
      </c>
      <c r="F46" s="132">
        <v>67</v>
      </c>
      <c r="G46" s="132">
        <v>12</v>
      </c>
      <c r="H46" s="132">
        <v>456</v>
      </c>
      <c r="I46" s="132">
        <v>253</v>
      </c>
      <c r="J46" s="132">
        <v>0</v>
      </c>
    </row>
    <row r="47" spans="1:10" ht="28" customHeight="1">
      <c r="A47" s="132" t="s">
        <v>681</v>
      </c>
      <c r="B47" s="132" t="s">
        <v>286</v>
      </c>
      <c r="C47" s="132" t="s">
        <v>839</v>
      </c>
      <c r="D47" s="196" t="s">
        <v>4326</v>
      </c>
      <c r="E47" s="132" t="s">
        <v>4327</v>
      </c>
      <c r="F47" s="132">
        <v>4</v>
      </c>
      <c r="G47" s="132">
        <v>14</v>
      </c>
      <c r="H47" s="132">
        <v>16</v>
      </c>
      <c r="I47" s="132">
        <v>0</v>
      </c>
      <c r="J47" s="132">
        <v>0</v>
      </c>
    </row>
    <row r="48" spans="1:10" ht="28" customHeight="1">
      <c r="A48" s="132" t="s">
        <v>732</v>
      </c>
      <c r="B48" s="132" t="s">
        <v>286</v>
      </c>
      <c r="C48" s="132" t="s">
        <v>839</v>
      </c>
      <c r="D48" s="196" t="s">
        <v>4326</v>
      </c>
      <c r="E48" s="132" t="s">
        <v>4327</v>
      </c>
      <c r="F48" s="132">
        <v>64</v>
      </c>
      <c r="G48" s="132">
        <v>12</v>
      </c>
      <c r="H48" s="132">
        <v>133</v>
      </c>
      <c r="I48" s="132">
        <v>0</v>
      </c>
      <c r="J48" s="132">
        <v>0</v>
      </c>
    </row>
    <row r="49" spans="1:10" ht="28" customHeight="1">
      <c r="A49" s="132" t="s">
        <v>733</v>
      </c>
      <c r="B49" s="132" t="s">
        <v>286</v>
      </c>
      <c r="C49" s="132" t="s">
        <v>839</v>
      </c>
      <c r="D49" s="196" t="s">
        <v>4326</v>
      </c>
      <c r="E49" s="132" t="s">
        <v>4327</v>
      </c>
      <c r="F49" s="132">
        <v>4</v>
      </c>
      <c r="G49" s="132">
        <v>14</v>
      </c>
      <c r="H49" s="132">
        <v>16</v>
      </c>
      <c r="I49" s="132">
        <v>0</v>
      </c>
      <c r="J49" s="132">
        <v>0</v>
      </c>
    </row>
    <row r="50" spans="1:10" ht="28" customHeight="1">
      <c r="A50" s="132" t="s">
        <v>734</v>
      </c>
      <c r="B50" s="132" t="s">
        <v>286</v>
      </c>
      <c r="C50" s="132" t="s">
        <v>839</v>
      </c>
      <c r="D50" s="196" t="s">
        <v>4326</v>
      </c>
      <c r="E50" s="132" t="s">
        <v>4327</v>
      </c>
      <c r="F50" s="132">
        <v>52</v>
      </c>
      <c r="G50" s="132">
        <v>19</v>
      </c>
      <c r="H50" s="132">
        <v>796</v>
      </c>
      <c r="I50" s="132">
        <v>519</v>
      </c>
      <c r="J50" s="132">
        <v>0</v>
      </c>
    </row>
    <row r="51" spans="1:10" ht="28" customHeight="1">
      <c r="A51" s="132" t="s">
        <v>735</v>
      </c>
      <c r="B51" s="132" t="s">
        <v>286</v>
      </c>
      <c r="C51" s="132" t="s">
        <v>839</v>
      </c>
      <c r="D51" s="196" t="s">
        <v>4326</v>
      </c>
      <c r="E51" s="132" t="s">
        <v>4327</v>
      </c>
      <c r="F51" s="132">
        <v>204</v>
      </c>
      <c r="G51" s="132">
        <v>16</v>
      </c>
      <c r="H51" s="132">
        <v>1418</v>
      </c>
      <c r="I51" s="132">
        <v>1200</v>
      </c>
      <c r="J51" s="132">
        <v>0</v>
      </c>
    </row>
    <row r="52" spans="1:10" ht="28" customHeight="1">
      <c r="A52" s="132" t="s">
        <v>736</v>
      </c>
      <c r="B52" s="132" t="s">
        <v>286</v>
      </c>
      <c r="C52" s="132" t="s">
        <v>839</v>
      </c>
      <c r="D52" s="196" t="s">
        <v>4326</v>
      </c>
      <c r="E52" s="132" t="s">
        <v>4327</v>
      </c>
      <c r="F52" s="132">
        <v>204</v>
      </c>
      <c r="G52" s="132">
        <v>12</v>
      </c>
      <c r="H52" s="132">
        <v>2013</v>
      </c>
      <c r="I52" s="132">
        <v>2000</v>
      </c>
      <c r="J52" s="132">
        <v>0</v>
      </c>
    </row>
    <row r="53" spans="1:10" ht="28" customHeight="1">
      <c r="A53" s="132" t="s">
        <v>737</v>
      </c>
      <c r="B53" s="132" t="s">
        <v>286</v>
      </c>
      <c r="C53" s="132" t="s">
        <v>839</v>
      </c>
      <c r="D53" s="196" t="s">
        <v>4326</v>
      </c>
      <c r="E53" s="132" t="s">
        <v>4327</v>
      </c>
      <c r="F53" s="132">
        <v>204</v>
      </c>
      <c r="G53" s="132">
        <v>12</v>
      </c>
      <c r="H53" s="132">
        <v>201</v>
      </c>
      <c r="I53" s="132">
        <v>34</v>
      </c>
      <c r="J53" s="132">
        <v>0</v>
      </c>
    </row>
    <row r="54" spans="1:10" ht="28" customHeight="1">
      <c r="A54" s="132" t="s">
        <v>738</v>
      </c>
      <c r="B54" s="132" t="s">
        <v>286</v>
      </c>
      <c r="C54" s="132" t="s">
        <v>839</v>
      </c>
      <c r="D54" s="196" t="s">
        <v>4326</v>
      </c>
      <c r="E54" s="132" t="s">
        <v>4327</v>
      </c>
      <c r="F54" s="132">
        <v>204</v>
      </c>
      <c r="G54" s="132">
        <v>14</v>
      </c>
      <c r="H54" s="132">
        <v>2816</v>
      </c>
      <c r="I54" s="132">
        <v>2800</v>
      </c>
      <c r="J54" s="132">
        <v>0</v>
      </c>
    </row>
    <row r="55" spans="1:10" ht="28" customHeight="1">
      <c r="A55" s="132" t="s">
        <v>739</v>
      </c>
      <c r="B55" s="132" t="s">
        <v>286</v>
      </c>
      <c r="C55" s="132" t="s">
        <v>839</v>
      </c>
      <c r="D55" s="196" t="s">
        <v>4326</v>
      </c>
      <c r="E55" s="132" t="s">
        <v>4327</v>
      </c>
      <c r="F55" s="132">
        <v>37</v>
      </c>
      <c r="G55" s="132">
        <v>14</v>
      </c>
      <c r="H55" s="132">
        <v>188</v>
      </c>
      <c r="I55" s="132">
        <v>132</v>
      </c>
      <c r="J55" s="132">
        <v>0</v>
      </c>
    </row>
    <row r="56" spans="1:10" ht="28" customHeight="1">
      <c r="A56" s="132" t="s">
        <v>740</v>
      </c>
      <c r="B56" s="132" t="s">
        <v>286</v>
      </c>
      <c r="C56" s="132" t="s">
        <v>839</v>
      </c>
      <c r="D56" s="196" t="s">
        <v>4326</v>
      </c>
      <c r="E56" s="132" t="s">
        <v>4327</v>
      </c>
      <c r="F56" s="132">
        <v>16</v>
      </c>
      <c r="G56" s="132">
        <v>12</v>
      </c>
      <c r="H56" s="132">
        <v>108</v>
      </c>
      <c r="I56" s="132">
        <v>72</v>
      </c>
      <c r="J56" s="132">
        <v>0</v>
      </c>
    </row>
    <row r="57" spans="1:10" ht="28" customHeight="1">
      <c r="A57" s="132" t="s">
        <v>741</v>
      </c>
      <c r="B57" s="132" t="s">
        <v>286</v>
      </c>
      <c r="C57" s="132" t="s">
        <v>839</v>
      </c>
      <c r="D57" s="196" t="s">
        <v>4326</v>
      </c>
      <c r="E57" s="132" t="s">
        <v>4327</v>
      </c>
      <c r="F57" s="132">
        <v>8</v>
      </c>
      <c r="G57" s="132">
        <v>12</v>
      </c>
      <c r="H57" s="132">
        <v>26</v>
      </c>
      <c r="I57" s="132">
        <v>0</v>
      </c>
      <c r="J57" s="132">
        <v>0</v>
      </c>
    </row>
    <row r="58" spans="1:10" ht="28" customHeight="1">
      <c r="A58" s="132" t="s">
        <v>36</v>
      </c>
      <c r="B58" s="132" t="s">
        <v>286</v>
      </c>
      <c r="C58" s="132" t="s">
        <v>839</v>
      </c>
      <c r="D58" s="196" t="s">
        <v>4326</v>
      </c>
      <c r="E58" s="132" t="s">
        <v>4327</v>
      </c>
      <c r="F58" s="132">
        <v>44</v>
      </c>
      <c r="G58" s="132">
        <v>14</v>
      </c>
      <c r="H58" s="132">
        <v>96</v>
      </c>
      <c r="I58" s="132">
        <v>0</v>
      </c>
      <c r="J58" s="132">
        <v>0</v>
      </c>
    </row>
    <row r="59" spans="1:10" ht="28" customHeight="1">
      <c r="A59" s="132" t="s">
        <v>311</v>
      </c>
      <c r="B59" s="132" t="s">
        <v>286</v>
      </c>
      <c r="C59" s="132" t="s">
        <v>839</v>
      </c>
      <c r="D59" s="196" t="s">
        <v>4326</v>
      </c>
      <c r="E59" s="132" t="s">
        <v>4327</v>
      </c>
      <c r="F59" s="132">
        <v>204</v>
      </c>
      <c r="G59" s="132">
        <v>14</v>
      </c>
      <c r="H59" s="132">
        <v>16</v>
      </c>
      <c r="I59" s="132">
        <v>0</v>
      </c>
      <c r="J59" s="132">
        <v>0</v>
      </c>
    </row>
    <row r="60" spans="1:10" ht="28" customHeight="1">
      <c r="A60" s="132" t="s">
        <v>318</v>
      </c>
      <c r="B60" s="132" t="s">
        <v>286</v>
      </c>
      <c r="C60" s="132" t="s">
        <v>839</v>
      </c>
      <c r="D60" s="196" t="s">
        <v>4326</v>
      </c>
      <c r="E60" s="132" t="s">
        <v>4327</v>
      </c>
      <c r="F60" s="132">
        <v>154</v>
      </c>
      <c r="G60" s="132">
        <v>13</v>
      </c>
      <c r="H60" s="132">
        <v>15</v>
      </c>
      <c r="I60" s="132">
        <v>0</v>
      </c>
      <c r="J60" s="132">
        <v>0</v>
      </c>
    </row>
    <row r="61" spans="1:10" ht="28" customHeight="1">
      <c r="A61" s="132" t="s">
        <v>742</v>
      </c>
      <c r="B61" s="132" t="s">
        <v>286</v>
      </c>
      <c r="C61" s="132" t="s">
        <v>839</v>
      </c>
      <c r="D61" s="196" t="s">
        <v>4326</v>
      </c>
      <c r="E61" s="132" t="s">
        <v>4327</v>
      </c>
      <c r="F61" s="132">
        <v>17</v>
      </c>
      <c r="G61" s="132">
        <v>12</v>
      </c>
      <c r="H61" s="132">
        <v>71</v>
      </c>
      <c r="I61" s="132">
        <v>50</v>
      </c>
      <c r="J61" s="132">
        <v>0</v>
      </c>
    </row>
    <row r="62" spans="1:10" ht="28" customHeight="1">
      <c r="A62" s="132" t="s">
        <v>31</v>
      </c>
      <c r="B62" s="132" t="s">
        <v>286</v>
      </c>
      <c r="C62" s="132" t="s">
        <v>839</v>
      </c>
      <c r="D62" s="196" t="s">
        <v>4326</v>
      </c>
      <c r="E62" s="132" t="s">
        <v>4327</v>
      </c>
      <c r="F62" s="132">
        <v>16</v>
      </c>
      <c r="G62" s="132">
        <v>12</v>
      </c>
      <c r="H62" s="132">
        <v>38</v>
      </c>
      <c r="I62" s="132">
        <v>0</v>
      </c>
      <c r="J62" s="132">
        <v>0</v>
      </c>
    </row>
    <row r="63" spans="1:10" ht="28" customHeight="1">
      <c r="A63" s="132" t="s">
        <v>196</v>
      </c>
      <c r="B63" s="132" t="s">
        <v>4294</v>
      </c>
      <c r="C63" s="132" t="s">
        <v>839</v>
      </c>
      <c r="D63" s="196" t="s">
        <v>4326</v>
      </c>
      <c r="E63" s="132" t="s">
        <v>4327</v>
      </c>
      <c r="F63" s="132">
        <v>4</v>
      </c>
      <c r="G63" s="132">
        <v>18</v>
      </c>
      <c r="H63" s="132">
        <v>20</v>
      </c>
      <c r="I63" s="132">
        <v>0</v>
      </c>
      <c r="J63" s="132">
        <v>0</v>
      </c>
    </row>
    <row r="64" spans="1:10" ht="28" customHeight="1">
      <c r="A64" s="132" t="s">
        <v>202</v>
      </c>
      <c r="B64" s="132" t="s">
        <v>4294</v>
      </c>
      <c r="C64" s="132" t="s">
        <v>839</v>
      </c>
      <c r="D64" s="196" t="s">
        <v>4326</v>
      </c>
      <c r="E64" s="132" t="s">
        <v>4327</v>
      </c>
      <c r="F64" s="132">
        <v>4</v>
      </c>
      <c r="G64" s="132">
        <v>18</v>
      </c>
      <c r="H64" s="132">
        <v>20</v>
      </c>
      <c r="I64" s="132">
        <v>0</v>
      </c>
      <c r="J64" s="132">
        <v>0</v>
      </c>
    </row>
    <row r="65" spans="1:10" ht="28" customHeight="1">
      <c r="A65" s="132" t="s">
        <v>752</v>
      </c>
      <c r="B65" s="132" t="s">
        <v>4294</v>
      </c>
      <c r="C65" s="132" t="s">
        <v>839</v>
      </c>
      <c r="D65" s="196" t="s">
        <v>4326</v>
      </c>
      <c r="E65" s="132" t="s">
        <v>4327</v>
      </c>
      <c r="F65" s="132">
        <v>4</v>
      </c>
      <c r="G65" s="132">
        <v>20</v>
      </c>
      <c r="H65" s="132">
        <v>22</v>
      </c>
      <c r="I65" s="132">
        <v>0</v>
      </c>
      <c r="J65" s="132">
        <v>0</v>
      </c>
    </row>
    <row r="66" spans="1:10" ht="28" customHeight="1">
      <c r="A66" s="132" t="s">
        <v>753</v>
      </c>
      <c r="B66" s="132" t="s">
        <v>4294</v>
      </c>
      <c r="C66" s="132" t="s">
        <v>839</v>
      </c>
      <c r="D66" s="196" t="s">
        <v>4326</v>
      </c>
      <c r="E66" s="132" t="s">
        <v>4327</v>
      </c>
      <c r="F66" s="132">
        <v>104</v>
      </c>
      <c r="G66" s="132">
        <v>17</v>
      </c>
      <c r="H66" s="132">
        <v>219</v>
      </c>
      <c r="I66" s="132">
        <v>200</v>
      </c>
      <c r="J66" s="132">
        <v>0</v>
      </c>
    </row>
    <row r="67" spans="1:10" ht="28" customHeight="1">
      <c r="A67" s="132" t="s">
        <v>754</v>
      </c>
      <c r="B67" s="132" t="s">
        <v>4294</v>
      </c>
      <c r="C67" s="132" t="s">
        <v>839</v>
      </c>
      <c r="D67" s="196" t="s">
        <v>4326</v>
      </c>
      <c r="E67" s="132" t="s">
        <v>4327</v>
      </c>
      <c r="F67" s="132">
        <v>4</v>
      </c>
      <c r="G67" s="132">
        <v>18</v>
      </c>
      <c r="H67" s="132">
        <v>20</v>
      </c>
      <c r="I67" s="132">
        <v>0</v>
      </c>
      <c r="J67" s="132">
        <v>0</v>
      </c>
    </row>
    <row r="68" spans="1:10" ht="28" customHeight="1">
      <c r="A68" s="132" t="s">
        <v>755</v>
      </c>
      <c r="B68" s="132" t="s">
        <v>4294</v>
      </c>
      <c r="C68" s="132" t="s">
        <v>839</v>
      </c>
      <c r="D68" s="196" t="s">
        <v>4326</v>
      </c>
      <c r="E68" s="132" t="s">
        <v>4327</v>
      </c>
      <c r="F68" s="132">
        <v>4</v>
      </c>
      <c r="G68" s="132">
        <v>18</v>
      </c>
      <c r="H68" s="132">
        <v>20</v>
      </c>
      <c r="I68" s="132">
        <v>0</v>
      </c>
      <c r="J68" s="132">
        <v>0</v>
      </c>
    </row>
    <row r="69" spans="1:10" ht="28" customHeight="1">
      <c r="A69" s="132" t="s">
        <v>208</v>
      </c>
      <c r="B69" s="132" t="s">
        <v>4294</v>
      </c>
      <c r="C69" s="132" t="s">
        <v>839</v>
      </c>
      <c r="D69" s="196" t="s">
        <v>4326</v>
      </c>
      <c r="E69" s="132" t="s">
        <v>4327</v>
      </c>
      <c r="F69" s="132">
        <v>11</v>
      </c>
      <c r="G69" s="132">
        <v>17</v>
      </c>
      <c r="H69" s="132">
        <v>117</v>
      </c>
      <c r="I69" s="132">
        <v>0</v>
      </c>
      <c r="J69" s="132">
        <v>0</v>
      </c>
    </row>
    <row r="70" spans="1:10" ht="28" customHeight="1">
      <c r="A70" s="132" t="s">
        <v>773</v>
      </c>
      <c r="B70" s="132" t="s">
        <v>4325</v>
      </c>
      <c r="C70" s="132" t="s">
        <v>839</v>
      </c>
      <c r="D70" s="132" t="s">
        <v>4331</v>
      </c>
      <c r="E70" s="132" t="s">
        <v>4332</v>
      </c>
      <c r="F70" s="132">
        <v>12</v>
      </c>
      <c r="G70" s="132">
        <v>1</v>
      </c>
      <c r="H70" s="132">
        <v>10</v>
      </c>
      <c r="I70" s="132">
        <v>0</v>
      </c>
      <c r="J70" s="132">
        <v>0</v>
      </c>
    </row>
    <row r="71" spans="1:10" ht="28" customHeight="1">
      <c r="A71" s="132" t="s">
        <v>771</v>
      </c>
      <c r="B71" s="132" t="s">
        <v>4325</v>
      </c>
      <c r="C71" s="132" t="s">
        <v>839</v>
      </c>
      <c r="D71" s="132" t="s">
        <v>4331</v>
      </c>
      <c r="E71" s="132" t="s">
        <v>4332</v>
      </c>
      <c r="F71" s="132">
        <v>9</v>
      </c>
      <c r="G71" s="132">
        <v>1</v>
      </c>
      <c r="H71" s="132">
        <v>8</v>
      </c>
      <c r="I71" s="132">
        <v>0</v>
      </c>
      <c r="J71" s="132">
        <v>0</v>
      </c>
    </row>
    <row r="72" spans="1:10" ht="28" customHeight="1">
      <c r="A72" s="132" t="s">
        <v>772</v>
      </c>
      <c r="B72" s="132" t="s">
        <v>4328</v>
      </c>
      <c r="C72" s="132" t="s">
        <v>839</v>
      </c>
      <c r="D72" s="197" t="s">
        <v>4333</v>
      </c>
      <c r="E72" s="132" t="s">
        <v>4334</v>
      </c>
      <c r="F72" s="132">
        <v>80</v>
      </c>
      <c r="G72" s="132">
        <v>8</v>
      </c>
      <c r="H72" s="132">
        <v>86</v>
      </c>
      <c r="I72" s="132">
        <v>22</v>
      </c>
      <c r="J72" s="132">
        <v>0</v>
      </c>
    </row>
    <row r="73" spans="1:10" ht="28" customHeight="1">
      <c r="A73" s="132" t="s">
        <v>706</v>
      </c>
      <c r="B73" s="132" t="s">
        <v>4328</v>
      </c>
      <c r="C73" s="132" t="s">
        <v>839</v>
      </c>
      <c r="D73" s="197" t="s">
        <v>4333</v>
      </c>
      <c r="E73" s="132" t="s">
        <v>4334</v>
      </c>
      <c r="F73" s="132">
        <v>14</v>
      </c>
      <c r="G73" s="132">
        <v>14</v>
      </c>
      <c r="H73" s="132">
        <v>128</v>
      </c>
      <c r="I73" s="132">
        <v>104</v>
      </c>
      <c r="J73" s="132">
        <v>0</v>
      </c>
    </row>
    <row r="74" spans="1:10" ht="28" customHeight="1">
      <c r="A74" s="132" t="s">
        <v>784</v>
      </c>
      <c r="B74" s="132" t="s">
        <v>4278</v>
      </c>
      <c r="C74" s="132" t="s">
        <v>839</v>
      </c>
      <c r="D74" s="197" t="s">
        <v>4333</v>
      </c>
      <c r="E74" s="132" t="s">
        <v>4334</v>
      </c>
      <c r="F74" s="132">
        <v>100</v>
      </c>
      <c r="G74" s="132">
        <v>7</v>
      </c>
      <c r="H74" s="132">
        <v>152</v>
      </c>
      <c r="I74" s="132">
        <v>13</v>
      </c>
      <c r="J74" s="132">
        <v>0</v>
      </c>
    </row>
    <row r="75" spans="1:10" ht="28" customHeight="1">
      <c r="A75" s="132" t="s">
        <v>670</v>
      </c>
      <c r="B75" s="132" t="s">
        <v>4278</v>
      </c>
      <c r="C75" s="132" t="s">
        <v>839</v>
      </c>
      <c r="D75" s="197" t="s">
        <v>4333</v>
      </c>
      <c r="E75" s="132" t="s">
        <v>4334</v>
      </c>
      <c r="F75" s="132">
        <v>204</v>
      </c>
      <c r="G75" s="132">
        <v>15</v>
      </c>
      <c r="H75" s="132">
        <v>113</v>
      </c>
      <c r="I75" s="132">
        <v>15</v>
      </c>
      <c r="J75" s="132">
        <v>0</v>
      </c>
    </row>
    <row r="76" spans="1:10" ht="28" customHeight="1">
      <c r="A76" s="132" t="s">
        <v>781</v>
      </c>
      <c r="B76" s="132" t="s">
        <v>4278</v>
      </c>
      <c r="C76" s="132" t="s">
        <v>839</v>
      </c>
      <c r="D76" s="197" t="s">
        <v>4333</v>
      </c>
      <c r="E76" s="132" t="s">
        <v>4334</v>
      </c>
      <c r="F76" s="132">
        <v>12</v>
      </c>
      <c r="G76" s="132">
        <v>8</v>
      </c>
      <c r="H76" s="132">
        <v>52</v>
      </c>
      <c r="I76" s="132">
        <v>5</v>
      </c>
      <c r="J76" s="132">
        <v>0</v>
      </c>
    </row>
    <row r="77" spans="1:10" ht="28" customHeight="1">
      <c r="A77" s="132" t="s">
        <v>782</v>
      </c>
      <c r="B77" s="132" t="s">
        <v>4278</v>
      </c>
      <c r="C77" s="132" t="s">
        <v>839</v>
      </c>
      <c r="D77" s="197" t="s">
        <v>4333</v>
      </c>
      <c r="E77" s="132" t="s">
        <v>4334</v>
      </c>
      <c r="F77" s="132">
        <v>80</v>
      </c>
      <c r="G77" s="132">
        <v>11</v>
      </c>
      <c r="H77" s="132">
        <v>59</v>
      </c>
      <c r="I77" s="132">
        <v>36</v>
      </c>
      <c r="J77" s="132">
        <v>0</v>
      </c>
    </row>
    <row r="78" spans="1:10" ht="28" customHeight="1">
      <c r="A78" s="132" t="s">
        <v>783</v>
      </c>
      <c r="B78" s="132" t="s">
        <v>4278</v>
      </c>
      <c r="C78" s="132" t="s">
        <v>839</v>
      </c>
      <c r="D78" s="197" t="s">
        <v>4333</v>
      </c>
      <c r="E78" s="132" t="s">
        <v>4334</v>
      </c>
      <c r="F78" s="132">
        <v>220</v>
      </c>
      <c r="G78" s="132">
        <v>24</v>
      </c>
      <c r="H78" s="132">
        <v>3070</v>
      </c>
      <c r="I78" s="132">
        <v>3012</v>
      </c>
      <c r="J78" s="132">
        <v>0</v>
      </c>
    </row>
    <row r="79" spans="1:10" ht="28" customHeight="1">
      <c r="A79" s="132" t="s">
        <v>785</v>
      </c>
      <c r="B79" s="132" t="s">
        <v>4278</v>
      </c>
      <c r="C79" s="132" t="s">
        <v>839</v>
      </c>
      <c r="D79" s="198" t="s">
        <v>4335</v>
      </c>
      <c r="E79" s="132" t="s">
        <v>4336</v>
      </c>
      <c r="F79" s="132">
        <v>80</v>
      </c>
      <c r="G79" s="132">
        <v>11</v>
      </c>
      <c r="H79" s="132">
        <v>59</v>
      </c>
      <c r="I79" s="132">
        <v>36</v>
      </c>
      <c r="J79" s="132">
        <v>0</v>
      </c>
    </row>
    <row r="80" spans="1:10" ht="28" customHeight="1">
      <c r="A80" s="132" t="s">
        <v>786</v>
      </c>
      <c r="B80" s="132" t="s">
        <v>4278</v>
      </c>
      <c r="C80" s="132" t="s">
        <v>839</v>
      </c>
      <c r="D80" s="198" t="s">
        <v>4335</v>
      </c>
      <c r="E80" s="132" t="s">
        <v>4336</v>
      </c>
      <c r="F80" s="132">
        <v>80</v>
      </c>
      <c r="G80" s="132">
        <v>9</v>
      </c>
      <c r="H80" s="132">
        <v>51</v>
      </c>
      <c r="I80" s="132">
        <v>32</v>
      </c>
      <c r="J80" s="132">
        <v>0</v>
      </c>
    </row>
    <row r="81" spans="1:10" ht="28" customHeight="1">
      <c r="A81" s="132" t="s">
        <v>779</v>
      </c>
      <c r="B81" s="132" t="s">
        <v>4330</v>
      </c>
      <c r="C81" s="132" t="s">
        <v>839</v>
      </c>
      <c r="D81" s="197" t="s">
        <v>4333</v>
      </c>
      <c r="E81" s="132" t="s">
        <v>4334</v>
      </c>
      <c r="F81" s="132">
        <v>15</v>
      </c>
      <c r="G81" s="132">
        <v>8</v>
      </c>
      <c r="H81" s="132">
        <v>68</v>
      </c>
      <c r="I81" s="132">
        <v>0</v>
      </c>
      <c r="J81" s="132">
        <v>0</v>
      </c>
    </row>
    <row r="82" spans="1:10" ht="28" customHeight="1">
      <c r="A82" s="132" t="s">
        <v>800</v>
      </c>
      <c r="B82" s="132" t="s">
        <v>286</v>
      </c>
      <c r="C82" s="132" t="s">
        <v>839</v>
      </c>
      <c r="D82" s="197" t="s">
        <v>4333</v>
      </c>
      <c r="E82" s="132" t="s">
        <v>4334</v>
      </c>
      <c r="F82" s="132">
        <v>100</v>
      </c>
      <c r="G82" s="132">
        <v>12</v>
      </c>
      <c r="H82" s="132">
        <v>206</v>
      </c>
      <c r="I82" s="132">
        <v>48</v>
      </c>
      <c r="J82" s="132">
        <v>0</v>
      </c>
    </row>
    <row r="83" spans="1:10" ht="28" customHeight="1">
      <c r="A83" s="132" t="s">
        <v>801</v>
      </c>
      <c r="B83" s="132" t="s">
        <v>286</v>
      </c>
      <c r="C83" s="132" t="s">
        <v>839</v>
      </c>
      <c r="D83" s="197" t="s">
        <v>4333</v>
      </c>
      <c r="E83" s="132" t="s">
        <v>4334</v>
      </c>
      <c r="F83" s="132">
        <v>100</v>
      </c>
      <c r="G83" s="132">
        <v>17</v>
      </c>
      <c r="H83" s="132">
        <v>264</v>
      </c>
      <c r="I83" s="132">
        <v>188</v>
      </c>
      <c r="J83" s="132">
        <v>0</v>
      </c>
    </row>
    <row r="84" spans="1:10" ht="28" customHeight="1">
      <c r="A84" s="132" t="s">
        <v>802</v>
      </c>
      <c r="B84" s="132" t="s">
        <v>286</v>
      </c>
      <c r="C84" s="132" t="s">
        <v>839</v>
      </c>
      <c r="D84" s="197" t="s">
        <v>4333</v>
      </c>
      <c r="E84" s="132" t="s">
        <v>4334</v>
      </c>
      <c r="F84" s="132">
        <v>100</v>
      </c>
      <c r="G84" s="132">
        <v>14</v>
      </c>
      <c r="H84" s="132">
        <v>247</v>
      </c>
      <c r="I84" s="132">
        <v>162</v>
      </c>
      <c r="J84" s="132">
        <v>0</v>
      </c>
    </row>
    <row r="85" spans="1:10" ht="28" customHeight="1">
      <c r="A85" s="132" t="s">
        <v>809</v>
      </c>
      <c r="B85" s="132" t="s">
        <v>286</v>
      </c>
      <c r="C85" s="132" t="s">
        <v>839</v>
      </c>
      <c r="D85" s="197" t="s">
        <v>4337</v>
      </c>
      <c r="E85" s="132" t="s">
        <v>4332</v>
      </c>
      <c r="F85" s="132">
        <v>18</v>
      </c>
      <c r="G85" s="132">
        <v>8</v>
      </c>
      <c r="H85" s="132">
        <v>89</v>
      </c>
      <c r="I85" s="132">
        <v>4</v>
      </c>
      <c r="J85" s="132">
        <v>0</v>
      </c>
    </row>
    <row r="86" spans="1:10" ht="28" customHeight="1">
      <c r="A86" s="132" t="s">
        <v>803</v>
      </c>
      <c r="B86" s="132" t="s">
        <v>286</v>
      </c>
      <c r="C86" s="132" t="s">
        <v>839</v>
      </c>
      <c r="D86" s="197" t="s">
        <v>4337</v>
      </c>
      <c r="E86" s="132" t="s">
        <v>4332</v>
      </c>
      <c r="F86" s="132">
        <v>204</v>
      </c>
      <c r="G86" s="132">
        <v>14</v>
      </c>
      <c r="H86" s="132">
        <v>627</v>
      </c>
      <c r="I86" s="132">
        <v>600</v>
      </c>
      <c r="J86" s="132">
        <v>0</v>
      </c>
    </row>
    <row r="87" spans="1:10" ht="28" customHeight="1">
      <c r="A87" s="132" t="s">
        <v>804</v>
      </c>
      <c r="B87" s="132" t="s">
        <v>286</v>
      </c>
      <c r="C87" s="132" t="s">
        <v>839</v>
      </c>
      <c r="D87" s="197" t="s">
        <v>4337</v>
      </c>
      <c r="E87" s="132" t="s">
        <v>4332</v>
      </c>
      <c r="F87" s="132">
        <v>204</v>
      </c>
      <c r="G87" s="132">
        <v>12</v>
      </c>
      <c r="H87" s="132">
        <v>614</v>
      </c>
      <c r="I87" s="132">
        <v>600</v>
      </c>
      <c r="J87" s="132">
        <v>0</v>
      </c>
    </row>
    <row r="88" spans="1:10" ht="28" customHeight="1">
      <c r="A88" s="132" t="s">
        <v>805</v>
      </c>
      <c r="B88" s="132" t="s">
        <v>286</v>
      </c>
      <c r="C88" s="132" t="s">
        <v>839</v>
      </c>
      <c r="D88" s="197" t="s">
        <v>4337</v>
      </c>
      <c r="E88" s="132" t="s">
        <v>4332</v>
      </c>
      <c r="F88" s="132">
        <v>105</v>
      </c>
      <c r="G88" s="132">
        <v>14</v>
      </c>
      <c r="H88" s="132">
        <v>184</v>
      </c>
      <c r="I88" s="132">
        <v>48</v>
      </c>
      <c r="J88" s="132">
        <v>0</v>
      </c>
    </row>
    <row r="89" spans="1:10" ht="28" customHeight="1">
      <c r="A89" s="132" t="s">
        <v>814</v>
      </c>
      <c r="B89" s="132" t="s">
        <v>4325</v>
      </c>
      <c r="C89" s="132" t="s">
        <v>839</v>
      </c>
      <c r="D89" s="132" t="s">
        <v>4331</v>
      </c>
      <c r="E89" s="132" t="s">
        <v>4332</v>
      </c>
      <c r="F89" s="132">
        <v>123</v>
      </c>
      <c r="G89" s="132">
        <v>11</v>
      </c>
      <c r="H89" s="132">
        <v>749</v>
      </c>
      <c r="I89" s="132">
        <v>0</v>
      </c>
      <c r="J89" s="132">
        <v>0</v>
      </c>
    </row>
    <row r="90" spans="1:10" ht="28" customHeight="1">
      <c r="A90" s="132" t="s">
        <v>815</v>
      </c>
      <c r="B90" s="132" t="s">
        <v>4325</v>
      </c>
      <c r="C90" s="132" t="s">
        <v>839</v>
      </c>
      <c r="D90" s="197" t="s">
        <v>4333</v>
      </c>
      <c r="E90" s="132" t="s">
        <v>4334</v>
      </c>
      <c r="F90" s="132">
        <v>13</v>
      </c>
      <c r="G90" s="132">
        <v>7</v>
      </c>
      <c r="H90" s="132">
        <v>78</v>
      </c>
      <c r="I90" s="132">
        <v>0</v>
      </c>
      <c r="J90" s="132">
        <v>0</v>
      </c>
    </row>
    <row r="91" spans="1:10" ht="28" customHeight="1">
      <c r="A91" s="132" t="s">
        <v>775</v>
      </c>
      <c r="B91" s="132" t="s">
        <v>4328</v>
      </c>
      <c r="C91" s="132" t="s">
        <v>839</v>
      </c>
      <c r="D91" s="197" t="s">
        <v>4333</v>
      </c>
      <c r="E91" s="132" t="s">
        <v>4334</v>
      </c>
      <c r="F91" s="132">
        <v>100</v>
      </c>
      <c r="G91" s="132">
        <v>10</v>
      </c>
      <c r="H91" s="132">
        <v>90</v>
      </c>
      <c r="I91" s="132">
        <v>32</v>
      </c>
      <c r="J91" s="132">
        <v>0</v>
      </c>
    </row>
    <row r="92" spans="1:10" ht="28" customHeight="1">
      <c r="A92" s="132" t="s">
        <v>776</v>
      </c>
      <c r="B92" s="132" t="s">
        <v>4328</v>
      </c>
      <c r="C92" s="132" t="s">
        <v>839</v>
      </c>
      <c r="D92" s="197" t="s">
        <v>4333</v>
      </c>
      <c r="E92" s="132" t="s">
        <v>4334</v>
      </c>
      <c r="F92" s="132">
        <v>13</v>
      </c>
      <c r="G92" s="132">
        <v>8</v>
      </c>
      <c r="H92" s="132">
        <v>73</v>
      </c>
      <c r="I92" s="132">
        <v>21</v>
      </c>
      <c r="J92" s="132">
        <v>0</v>
      </c>
    </row>
    <row r="93" spans="1:10" ht="28" customHeight="1">
      <c r="A93" s="132" t="s">
        <v>685</v>
      </c>
      <c r="B93" s="132" t="s">
        <v>4328</v>
      </c>
      <c r="C93" s="132" t="s">
        <v>839</v>
      </c>
      <c r="D93" s="197" t="s">
        <v>4333</v>
      </c>
      <c r="E93" s="132" t="s">
        <v>4334</v>
      </c>
      <c r="F93" s="132">
        <v>34</v>
      </c>
      <c r="G93" s="132">
        <v>15</v>
      </c>
      <c r="H93" s="132">
        <v>443</v>
      </c>
      <c r="I93" s="132">
        <v>90</v>
      </c>
      <c r="J93" s="132">
        <v>0</v>
      </c>
    </row>
    <row r="94" spans="1:10" ht="28" customHeight="1">
      <c r="A94" s="132" t="s">
        <v>778</v>
      </c>
      <c r="B94" s="132" t="s">
        <v>4328</v>
      </c>
      <c r="C94" s="132" t="s">
        <v>839</v>
      </c>
      <c r="D94" s="197" t="s">
        <v>4333</v>
      </c>
      <c r="E94" s="132" t="s">
        <v>4334</v>
      </c>
      <c r="F94" s="132">
        <v>15</v>
      </c>
      <c r="G94" s="132">
        <v>11</v>
      </c>
      <c r="H94" s="132">
        <v>58</v>
      </c>
      <c r="I94" s="132">
        <v>0</v>
      </c>
      <c r="J94" s="132">
        <v>0</v>
      </c>
    </row>
    <row r="95" spans="1:10" ht="28" customHeight="1">
      <c r="A95" s="132" t="s">
        <v>787</v>
      </c>
      <c r="B95" s="132" t="s">
        <v>4278</v>
      </c>
      <c r="C95" s="132" t="s">
        <v>839</v>
      </c>
      <c r="D95" s="197" t="s">
        <v>4333</v>
      </c>
      <c r="E95" s="132" t="s">
        <v>4334</v>
      </c>
      <c r="F95" s="132">
        <v>204</v>
      </c>
      <c r="G95" s="132">
        <v>25</v>
      </c>
      <c r="H95" s="132">
        <v>1753</v>
      </c>
      <c r="I95" s="132">
        <v>1636</v>
      </c>
      <c r="J95" s="132">
        <v>0</v>
      </c>
    </row>
    <row r="96" spans="1:10" ht="28" customHeight="1">
      <c r="A96" s="132" t="s">
        <v>788</v>
      </c>
      <c r="B96" s="132" t="s">
        <v>4278</v>
      </c>
      <c r="C96" s="132" t="s">
        <v>839</v>
      </c>
      <c r="D96" s="197" t="s">
        <v>4333</v>
      </c>
      <c r="E96" s="132" t="s">
        <v>4334</v>
      </c>
      <c r="F96" s="132">
        <v>60</v>
      </c>
      <c r="G96" s="132">
        <v>9</v>
      </c>
      <c r="H96" s="132">
        <v>48</v>
      </c>
      <c r="I96" s="132">
        <v>31</v>
      </c>
      <c r="J96" s="132">
        <v>0</v>
      </c>
    </row>
    <row r="97" spans="1:10" ht="28" customHeight="1">
      <c r="A97" s="132" t="s">
        <v>789</v>
      </c>
      <c r="B97" s="132" t="s">
        <v>4278</v>
      </c>
      <c r="C97" s="132" t="s">
        <v>839</v>
      </c>
      <c r="D97" s="197" t="s">
        <v>4333</v>
      </c>
      <c r="E97" s="132" t="s">
        <v>4334</v>
      </c>
      <c r="F97" s="132">
        <v>16</v>
      </c>
      <c r="G97" s="132">
        <v>8</v>
      </c>
      <c r="H97" s="132">
        <v>53</v>
      </c>
      <c r="I97" s="132">
        <v>0</v>
      </c>
      <c r="J97" s="132">
        <v>0</v>
      </c>
    </row>
    <row r="98" spans="1:10" ht="28" customHeight="1">
      <c r="A98" s="132" t="s">
        <v>715</v>
      </c>
      <c r="B98" s="132" t="s">
        <v>1258</v>
      </c>
      <c r="C98" s="132" t="s">
        <v>839</v>
      </c>
      <c r="D98" s="198" t="s">
        <v>4335</v>
      </c>
      <c r="E98" s="132" t="s">
        <v>4336</v>
      </c>
      <c r="F98" s="132">
        <v>106</v>
      </c>
      <c r="G98" s="132">
        <v>10</v>
      </c>
      <c r="H98" s="132">
        <v>40</v>
      </c>
      <c r="I98" s="132">
        <v>9</v>
      </c>
      <c r="J98" s="132">
        <v>0</v>
      </c>
    </row>
    <row r="99" spans="1:10" ht="28" customHeight="1">
      <c r="A99" s="132" t="s">
        <v>777</v>
      </c>
      <c r="B99" s="132" t="s">
        <v>4328</v>
      </c>
      <c r="C99" s="132" t="s">
        <v>839</v>
      </c>
      <c r="D99" s="198" t="s">
        <v>4335</v>
      </c>
      <c r="E99" s="132" t="s">
        <v>4336</v>
      </c>
      <c r="F99" s="132">
        <v>14</v>
      </c>
      <c r="G99" s="132">
        <v>6</v>
      </c>
      <c r="H99" s="132">
        <v>73</v>
      </c>
      <c r="I99" s="132">
        <v>0</v>
      </c>
      <c r="J99" s="132">
        <v>0</v>
      </c>
    </row>
    <row r="100" spans="1:10" ht="28" customHeight="1">
      <c r="A100" s="132" t="s">
        <v>799</v>
      </c>
      <c r="B100" s="132" t="s">
        <v>286</v>
      </c>
      <c r="C100" s="132" t="s">
        <v>839</v>
      </c>
      <c r="D100" s="198" t="s">
        <v>4335</v>
      </c>
      <c r="E100" s="132" t="s">
        <v>4336</v>
      </c>
      <c r="F100" s="132">
        <v>12</v>
      </c>
      <c r="G100" s="132">
        <v>8</v>
      </c>
      <c r="H100" s="132">
        <v>47</v>
      </c>
      <c r="I100" s="132">
        <v>0</v>
      </c>
      <c r="J100" s="132">
        <v>0</v>
      </c>
    </row>
    <row r="101" spans="1:10" ht="28" customHeight="1">
      <c r="A101" s="132" t="s">
        <v>806</v>
      </c>
      <c r="B101" s="132" t="s">
        <v>286</v>
      </c>
      <c r="C101" s="132" t="s">
        <v>839</v>
      </c>
      <c r="D101" s="197" t="s">
        <v>4337</v>
      </c>
      <c r="E101" s="132" t="s">
        <v>4332</v>
      </c>
      <c r="F101" s="132">
        <v>100</v>
      </c>
      <c r="G101" s="132">
        <v>17</v>
      </c>
      <c r="H101" s="132">
        <v>249</v>
      </c>
      <c r="I101" s="132">
        <v>176</v>
      </c>
      <c r="J101" s="132">
        <v>0</v>
      </c>
    </row>
    <row r="102" spans="1:10" ht="28" customHeight="1">
      <c r="A102" s="132" t="s">
        <v>807</v>
      </c>
      <c r="B102" s="132" t="s">
        <v>286</v>
      </c>
      <c r="C102" s="132" t="s">
        <v>839</v>
      </c>
      <c r="D102" s="197" t="s">
        <v>4337</v>
      </c>
      <c r="E102" s="132" t="s">
        <v>4332</v>
      </c>
      <c r="F102" s="132">
        <v>105</v>
      </c>
      <c r="G102" s="132">
        <v>12</v>
      </c>
      <c r="H102" s="132">
        <v>110</v>
      </c>
      <c r="I102" s="132">
        <v>24</v>
      </c>
      <c r="J102" s="132">
        <v>0</v>
      </c>
    </row>
    <row r="103" spans="1:10" ht="28" customHeight="1">
      <c r="A103" s="132" t="s">
        <v>808</v>
      </c>
      <c r="B103" s="132" t="s">
        <v>286</v>
      </c>
      <c r="C103" s="132" t="s">
        <v>839</v>
      </c>
      <c r="D103" s="197" t="s">
        <v>4337</v>
      </c>
      <c r="E103" s="132" t="s">
        <v>4332</v>
      </c>
      <c r="F103" s="132">
        <v>100</v>
      </c>
      <c r="G103" s="132">
        <v>14</v>
      </c>
      <c r="H103" s="132">
        <v>247</v>
      </c>
      <c r="I103" s="132">
        <v>162</v>
      </c>
      <c r="J103" s="132">
        <v>0</v>
      </c>
    </row>
    <row r="104" spans="1:10" ht="28" customHeight="1">
      <c r="A104" s="132" t="s">
        <v>774</v>
      </c>
      <c r="B104" s="132" t="s">
        <v>4328</v>
      </c>
      <c r="C104" s="132" t="s">
        <v>839</v>
      </c>
      <c r="D104" s="197" t="s">
        <v>4333</v>
      </c>
      <c r="E104" s="132" t="s">
        <v>4334</v>
      </c>
      <c r="F104" s="132">
        <v>116</v>
      </c>
      <c r="G104" s="132">
        <v>8</v>
      </c>
      <c r="H104" s="132">
        <v>350</v>
      </c>
      <c r="I104" s="132">
        <v>0</v>
      </c>
      <c r="J104" s="132">
        <v>0</v>
      </c>
    </row>
    <row r="105" spans="1:10" ht="28" customHeight="1">
      <c r="A105" s="132" t="s">
        <v>790</v>
      </c>
      <c r="B105" s="132" t="s">
        <v>4329</v>
      </c>
      <c r="C105" s="132" t="s">
        <v>839</v>
      </c>
      <c r="D105" s="198" t="s">
        <v>4335</v>
      </c>
      <c r="E105" s="132" t="s">
        <v>4336</v>
      </c>
      <c r="F105" s="132">
        <v>100</v>
      </c>
      <c r="G105" s="132">
        <v>8</v>
      </c>
      <c r="H105" s="132">
        <v>42</v>
      </c>
      <c r="I105" s="132">
        <v>8</v>
      </c>
      <c r="J105" s="132">
        <v>0</v>
      </c>
    </row>
    <row r="106" spans="1:10" ht="28" customHeight="1">
      <c r="A106" s="132" t="s">
        <v>791</v>
      </c>
      <c r="B106" s="132" t="s">
        <v>4329</v>
      </c>
      <c r="C106" s="132" t="s">
        <v>839</v>
      </c>
      <c r="D106" s="198" t="s">
        <v>4335</v>
      </c>
      <c r="E106" s="132" t="s">
        <v>4336</v>
      </c>
      <c r="F106" s="132">
        <v>12</v>
      </c>
      <c r="G106" s="132">
        <v>11</v>
      </c>
      <c r="H106" s="132">
        <v>101</v>
      </c>
      <c r="I106" s="132">
        <v>0</v>
      </c>
      <c r="J106" s="132">
        <v>0</v>
      </c>
    </row>
    <row r="107" spans="1:10" ht="28" customHeight="1">
      <c r="A107" s="132" t="s">
        <v>792</v>
      </c>
      <c r="B107" s="132" t="s">
        <v>4329</v>
      </c>
      <c r="C107" s="132" t="s">
        <v>839</v>
      </c>
      <c r="D107" s="198" t="s">
        <v>4335</v>
      </c>
      <c r="E107" s="132" t="s">
        <v>4336</v>
      </c>
      <c r="F107" s="132">
        <v>60</v>
      </c>
      <c r="G107" s="132">
        <v>6</v>
      </c>
      <c r="H107" s="132">
        <v>31</v>
      </c>
      <c r="I107" s="132">
        <v>0</v>
      </c>
      <c r="J107" s="132">
        <v>0</v>
      </c>
    </row>
    <row r="108" spans="1:10" ht="28" customHeight="1">
      <c r="A108" s="132" t="s">
        <v>793</v>
      </c>
      <c r="B108" s="132" t="s">
        <v>4329</v>
      </c>
      <c r="C108" s="132" t="s">
        <v>839</v>
      </c>
      <c r="D108" s="198" t="s">
        <v>4335</v>
      </c>
      <c r="E108" s="132" t="s">
        <v>4336</v>
      </c>
      <c r="F108" s="132">
        <v>204</v>
      </c>
      <c r="G108" s="132">
        <v>15</v>
      </c>
      <c r="H108" s="132">
        <v>88</v>
      </c>
      <c r="I108" s="132">
        <v>25</v>
      </c>
      <c r="J108" s="132">
        <v>0</v>
      </c>
    </row>
    <row r="109" spans="1:10" ht="28" customHeight="1">
      <c r="A109" s="132" t="s">
        <v>794</v>
      </c>
      <c r="B109" s="132" t="s">
        <v>4329</v>
      </c>
      <c r="C109" s="132" t="s">
        <v>839</v>
      </c>
      <c r="D109" s="198" t="s">
        <v>4335</v>
      </c>
      <c r="E109" s="132" t="s">
        <v>4336</v>
      </c>
      <c r="F109" s="132">
        <v>100</v>
      </c>
      <c r="G109" s="132">
        <v>18</v>
      </c>
      <c r="H109" s="132">
        <v>295</v>
      </c>
      <c r="I109" s="132">
        <v>159</v>
      </c>
      <c r="J109" s="132">
        <v>0</v>
      </c>
    </row>
    <row r="110" spans="1:10" ht="28" customHeight="1">
      <c r="A110" s="132" t="s">
        <v>713</v>
      </c>
      <c r="B110" s="132" t="s">
        <v>4329</v>
      </c>
      <c r="C110" s="132" t="s">
        <v>839</v>
      </c>
      <c r="D110" s="198" t="s">
        <v>4335</v>
      </c>
      <c r="E110" s="132" t="s">
        <v>4336</v>
      </c>
      <c r="F110" s="132">
        <v>100</v>
      </c>
      <c r="G110" s="132">
        <v>8</v>
      </c>
      <c r="H110" s="132">
        <v>14</v>
      </c>
      <c r="I110" s="132">
        <v>0</v>
      </c>
      <c r="J110" s="132">
        <v>0</v>
      </c>
    </row>
    <row r="111" spans="1:10" ht="28" customHeight="1">
      <c r="A111" s="132" t="s">
        <v>795</v>
      </c>
      <c r="B111" s="132" t="s">
        <v>4329</v>
      </c>
      <c r="C111" s="132" t="s">
        <v>839</v>
      </c>
      <c r="D111" s="198" t="s">
        <v>4335</v>
      </c>
      <c r="E111" s="132" t="s">
        <v>4336</v>
      </c>
      <c r="F111" s="132">
        <v>35</v>
      </c>
      <c r="G111" s="132">
        <v>10</v>
      </c>
      <c r="H111" s="132">
        <v>141</v>
      </c>
      <c r="I111" s="132">
        <v>26</v>
      </c>
      <c r="J111" s="132">
        <v>0</v>
      </c>
    </row>
    <row r="112" spans="1:10" ht="28" customHeight="1">
      <c r="A112" s="132" t="s">
        <v>796</v>
      </c>
      <c r="B112" s="132" t="s">
        <v>4329</v>
      </c>
      <c r="C112" s="132" t="s">
        <v>839</v>
      </c>
      <c r="D112" s="198" t="s">
        <v>4335</v>
      </c>
      <c r="E112" s="132" t="s">
        <v>4336</v>
      </c>
      <c r="F112" s="132">
        <v>35</v>
      </c>
      <c r="G112" s="132">
        <v>10</v>
      </c>
      <c r="H112" s="132">
        <v>141</v>
      </c>
      <c r="I112" s="132">
        <v>26</v>
      </c>
      <c r="J112" s="132">
        <v>0</v>
      </c>
    </row>
    <row r="113" spans="1:10" ht="28" customHeight="1">
      <c r="A113" s="132" t="s">
        <v>797</v>
      </c>
      <c r="B113" s="132" t="s">
        <v>4329</v>
      </c>
      <c r="C113" s="132" t="s">
        <v>839</v>
      </c>
      <c r="D113" s="198" t="s">
        <v>4335</v>
      </c>
      <c r="E113" s="132" t="s">
        <v>4336</v>
      </c>
      <c r="F113" s="132">
        <v>35</v>
      </c>
      <c r="G113" s="132">
        <v>10</v>
      </c>
      <c r="H113" s="132">
        <v>141</v>
      </c>
      <c r="I113" s="132">
        <v>26</v>
      </c>
      <c r="J113" s="132">
        <v>0</v>
      </c>
    </row>
    <row r="114" spans="1:10" ht="28" customHeight="1">
      <c r="A114" s="132" t="s">
        <v>780</v>
      </c>
      <c r="B114" s="132" t="s">
        <v>4330</v>
      </c>
      <c r="C114" s="132" t="s">
        <v>839</v>
      </c>
      <c r="D114" s="198" t="s">
        <v>4335</v>
      </c>
      <c r="E114" s="132" t="s">
        <v>4336</v>
      </c>
      <c r="F114" s="132">
        <v>18</v>
      </c>
      <c r="G114" s="132">
        <v>4</v>
      </c>
      <c r="H114" s="132">
        <v>33</v>
      </c>
      <c r="I114" s="132">
        <v>0</v>
      </c>
      <c r="J114" s="132">
        <v>0</v>
      </c>
    </row>
    <row r="115" spans="1:10" ht="28" customHeight="1">
      <c r="A115" s="132" t="s">
        <v>798</v>
      </c>
      <c r="B115" s="132" t="s">
        <v>4329</v>
      </c>
      <c r="C115" s="132" t="s">
        <v>839</v>
      </c>
      <c r="D115" s="198" t="s">
        <v>4335</v>
      </c>
      <c r="E115" s="132" t="s">
        <v>4336</v>
      </c>
      <c r="F115" s="132">
        <v>100</v>
      </c>
      <c r="G115" s="132">
        <v>22</v>
      </c>
      <c r="H115" s="132">
        <v>141</v>
      </c>
      <c r="I115" s="132">
        <v>0</v>
      </c>
      <c r="J115" s="132">
        <v>0</v>
      </c>
    </row>
    <row r="116" spans="1:10" ht="28" customHeight="1">
      <c r="A116" s="132" t="s">
        <v>813</v>
      </c>
      <c r="B116" s="132" t="s">
        <v>4325</v>
      </c>
      <c r="C116" s="132" t="s">
        <v>839</v>
      </c>
      <c r="D116" s="196" t="s">
        <v>4326</v>
      </c>
      <c r="E116" s="132" t="s">
        <v>4327</v>
      </c>
      <c r="F116" s="132">
        <v>130</v>
      </c>
      <c r="G116" s="132">
        <v>13</v>
      </c>
      <c r="H116" s="132">
        <v>329</v>
      </c>
      <c r="I116" s="132">
        <v>0</v>
      </c>
      <c r="J116" s="132">
        <v>0</v>
      </c>
    </row>
    <row r="117" spans="1:10" ht="28" customHeight="1"/>
    <row r="118" spans="1:10" ht="28" customHeight="1"/>
    <row r="119" spans="1:10" ht="28" customHeight="1"/>
    <row r="120" spans="1:10" ht="28" customHeight="1"/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BFBFBF"/>
  </sheetPr>
  <dimension ref="A1:M130"/>
  <sheetViews>
    <sheetView showGridLines="0" workbookViewId="0"/>
  </sheetViews>
  <sheetFormatPr baseColWidth="10" defaultColWidth="8.7265625" defaultRowHeight="14.5"/>
  <cols>
    <col min="1" max="1" width="26" customWidth="1"/>
    <col min="2" max="2" width="24" customWidth="1"/>
    <col min="3" max="3" width="34" customWidth="1"/>
    <col min="4" max="4" width="42" customWidth="1"/>
    <col min="5" max="6" width="30" customWidth="1"/>
    <col min="7" max="7" width="28" customWidth="1"/>
    <col min="8" max="10" width="18" customWidth="1"/>
    <col min="11" max="11" width="24" customWidth="1"/>
    <col min="12" max="12" width="18" customWidth="1"/>
    <col min="13" max="13" width="24" customWidth="1"/>
  </cols>
  <sheetData>
    <row r="1" spans="1:13" ht="55" customHeight="1">
      <c r="A1" s="544" t="s">
        <v>4338</v>
      </c>
      <c r="B1" s="426"/>
      <c r="C1" s="426"/>
      <c r="D1" s="426"/>
      <c r="E1" s="426"/>
      <c r="F1" s="426"/>
      <c r="G1" s="426"/>
      <c r="H1" s="190"/>
      <c r="I1" s="190"/>
      <c r="J1" s="190"/>
      <c r="K1" s="190"/>
      <c r="L1" s="190"/>
      <c r="M1" s="190"/>
    </row>
    <row r="2" spans="1:13">
      <c r="A2" s="543" t="s">
        <v>4339</v>
      </c>
      <c r="B2" s="426"/>
      <c r="C2" s="426"/>
      <c r="D2" s="426"/>
      <c r="E2" s="426"/>
      <c r="F2" s="426"/>
      <c r="G2" s="426"/>
      <c r="H2" s="191"/>
      <c r="I2" s="191"/>
      <c r="J2" s="191"/>
      <c r="K2" s="191"/>
      <c r="L2" s="191"/>
      <c r="M2" s="191"/>
    </row>
    <row r="3" spans="1:1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</row>
    <row r="4" spans="1:13">
      <c r="A4" s="188" t="s">
        <v>4340</v>
      </c>
      <c r="B4" s="188" t="s">
        <v>655</v>
      </c>
      <c r="C4" s="188" t="s">
        <v>4341</v>
      </c>
      <c r="D4" s="188" t="s">
        <v>1368</v>
      </c>
      <c r="E4" s="188" t="s">
        <v>4342</v>
      </c>
      <c r="F4" s="188" t="s">
        <v>1369</v>
      </c>
      <c r="G4" s="98"/>
      <c r="H4" s="98"/>
      <c r="I4" s="98"/>
      <c r="J4" s="98"/>
      <c r="K4" s="98"/>
      <c r="L4" s="98"/>
      <c r="M4" s="98"/>
    </row>
    <row r="5" spans="1:13" ht="43.5" customHeight="1">
      <c r="A5" s="98" t="s">
        <v>202</v>
      </c>
      <c r="B5" s="98" t="s">
        <v>4343</v>
      </c>
      <c r="C5" s="98" t="s">
        <v>4344</v>
      </c>
      <c r="D5" s="98" t="s">
        <v>4345</v>
      </c>
      <c r="E5" s="98" t="s">
        <v>4346</v>
      </c>
      <c r="F5" s="98" t="s">
        <v>4347</v>
      </c>
      <c r="G5" s="98"/>
      <c r="H5" s="98"/>
      <c r="I5" s="98"/>
      <c r="J5" s="98"/>
      <c r="K5" s="98"/>
      <c r="L5" s="98"/>
      <c r="M5" s="98"/>
    </row>
    <row r="6" spans="1:13" ht="58" customHeight="1">
      <c r="A6" s="98" t="s">
        <v>752</v>
      </c>
      <c r="B6" s="98" t="s">
        <v>4343</v>
      </c>
      <c r="C6" s="98" t="s">
        <v>4348</v>
      </c>
      <c r="D6" s="98" t="s">
        <v>4349</v>
      </c>
      <c r="E6" s="98" t="s">
        <v>4350</v>
      </c>
      <c r="F6" s="98" t="s">
        <v>4351</v>
      </c>
      <c r="G6" s="98"/>
      <c r="H6" s="98"/>
      <c r="I6" s="98"/>
      <c r="J6" s="98"/>
      <c r="K6" s="98"/>
      <c r="L6" s="98"/>
      <c r="M6" s="98"/>
    </row>
    <row r="7" spans="1:13" ht="43.5" customHeight="1">
      <c r="A7" s="98" t="s">
        <v>753</v>
      </c>
      <c r="B7" s="98" t="s">
        <v>4343</v>
      </c>
      <c r="C7" s="98" t="s">
        <v>4348</v>
      </c>
      <c r="D7" s="98" t="s">
        <v>4352</v>
      </c>
      <c r="E7" s="98" t="s">
        <v>4353</v>
      </c>
      <c r="F7" s="98" t="s">
        <v>4354</v>
      </c>
      <c r="G7" s="98"/>
      <c r="H7" s="98"/>
      <c r="I7" s="98"/>
      <c r="J7" s="98"/>
      <c r="K7" s="98"/>
      <c r="L7" s="98"/>
      <c r="M7" s="98"/>
    </row>
    <row r="8" spans="1:13" ht="58" customHeight="1">
      <c r="A8" s="98" t="s">
        <v>754</v>
      </c>
      <c r="B8" s="98" t="s">
        <v>4343</v>
      </c>
      <c r="C8" s="98" t="s">
        <v>4355</v>
      </c>
      <c r="D8" s="98" t="s">
        <v>4356</v>
      </c>
      <c r="E8" s="98" t="s">
        <v>4357</v>
      </c>
      <c r="F8" s="98" t="s">
        <v>4358</v>
      </c>
      <c r="G8" s="98"/>
      <c r="H8" s="98"/>
      <c r="I8" s="98"/>
      <c r="J8" s="98"/>
      <c r="K8" s="98"/>
      <c r="L8" s="98"/>
      <c r="M8" s="98"/>
    </row>
    <row r="9" spans="1:13" ht="58" customHeight="1">
      <c r="A9" s="98" t="s">
        <v>755</v>
      </c>
      <c r="B9" s="98" t="s">
        <v>4343</v>
      </c>
      <c r="C9" s="98" t="s">
        <v>4348</v>
      </c>
      <c r="D9" s="98" t="s">
        <v>4359</v>
      </c>
      <c r="E9" s="98" t="s">
        <v>4360</v>
      </c>
      <c r="F9" s="98" t="s">
        <v>4361</v>
      </c>
      <c r="G9" s="98"/>
      <c r="H9" s="98"/>
      <c r="I9" s="98"/>
      <c r="J9" s="98"/>
      <c r="K9" s="98"/>
      <c r="L9" s="98"/>
      <c r="M9" s="98"/>
    </row>
    <row r="10" spans="1:13" ht="58" customHeight="1">
      <c r="A10" s="98" t="s">
        <v>208</v>
      </c>
      <c r="B10" s="98" t="s">
        <v>4362</v>
      </c>
      <c r="C10" s="98" t="s">
        <v>4306</v>
      </c>
      <c r="D10" s="98" t="s">
        <v>4363</v>
      </c>
      <c r="E10" s="98" t="s">
        <v>4364</v>
      </c>
      <c r="F10" s="98" t="s">
        <v>4365</v>
      </c>
      <c r="G10" s="98"/>
      <c r="H10" s="98"/>
      <c r="I10" s="98"/>
      <c r="J10" s="98"/>
      <c r="K10" s="98"/>
      <c r="L10" s="98"/>
      <c r="M10" s="98"/>
    </row>
    <row r="11" spans="1:13" ht="43.5" customHeight="1">
      <c r="A11" s="98" t="s">
        <v>104</v>
      </c>
      <c r="B11" s="98" t="s">
        <v>4366</v>
      </c>
      <c r="C11" s="98" t="s">
        <v>2154</v>
      </c>
      <c r="D11" s="98" t="s">
        <v>4367</v>
      </c>
      <c r="E11" s="98" t="s">
        <v>4368</v>
      </c>
      <c r="F11" s="98" t="s">
        <v>4369</v>
      </c>
      <c r="G11" s="98"/>
      <c r="H11" s="98"/>
      <c r="I11" s="98"/>
      <c r="J11" s="98"/>
      <c r="K11" s="98"/>
      <c r="L11" s="98"/>
      <c r="M11" s="98"/>
    </row>
    <row r="12" spans="1:13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</row>
    <row r="13" spans="1:13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</row>
    <row r="14" spans="1:13">
      <c r="A14" s="188" t="s">
        <v>4370</v>
      </c>
      <c r="B14" s="188" t="s">
        <v>4371</v>
      </c>
      <c r="C14" s="188" t="s">
        <v>4372</v>
      </c>
      <c r="D14" s="188" t="s">
        <v>4373</v>
      </c>
      <c r="E14" s="188" t="s">
        <v>1306</v>
      </c>
      <c r="F14" s="188" t="s">
        <v>253</v>
      </c>
      <c r="G14" s="188" t="s">
        <v>3370</v>
      </c>
      <c r="H14" s="188" t="s">
        <v>248</v>
      </c>
      <c r="I14" s="98"/>
      <c r="J14" s="98"/>
      <c r="K14" s="98"/>
      <c r="L14" s="98"/>
      <c r="M14" s="98"/>
    </row>
    <row r="15" spans="1:13" ht="43.5" customHeight="1">
      <c r="A15" s="98" t="s">
        <v>4374</v>
      </c>
      <c r="B15" s="98" t="s">
        <v>4375</v>
      </c>
      <c r="C15" s="98" t="s">
        <v>202</v>
      </c>
      <c r="D15" s="98" t="s">
        <v>4376</v>
      </c>
      <c r="E15" s="98" t="s">
        <v>1009</v>
      </c>
      <c r="F15" s="98" t="s">
        <v>4377</v>
      </c>
      <c r="G15" s="98" t="s">
        <v>4378</v>
      </c>
      <c r="H15" s="98" t="s">
        <v>332</v>
      </c>
      <c r="I15" s="98"/>
      <c r="J15" s="98"/>
      <c r="K15" s="98"/>
      <c r="L15" s="98"/>
      <c r="M15" s="98"/>
    </row>
    <row r="16" spans="1:13" ht="72.5" customHeight="1">
      <c r="A16" s="98" t="s">
        <v>4379</v>
      </c>
      <c r="B16" s="98" t="s">
        <v>4380</v>
      </c>
      <c r="C16" s="98" t="s">
        <v>202</v>
      </c>
      <c r="D16" s="98" t="s">
        <v>4381</v>
      </c>
      <c r="E16" s="98" t="s">
        <v>1009</v>
      </c>
      <c r="F16" s="98" t="s">
        <v>4382</v>
      </c>
      <c r="G16" s="98" t="s">
        <v>4378</v>
      </c>
      <c r="H16" s="98" t="s">
        <v>332</v>
      </c>
      <c r="I16" s="98"/>
      <c r="J16" s="98"/>
      <c r="K16" s="98"/>
      <c r="L16" s="98"/>
      <c r="M16" s="98"/>
    </row>
    <row r="17" spans="1:13" ht="29" customHeight="1">
      <c r="A17" s="98" t="s">
        <v>4383</v>
      </c>
      <c r="B17" s="98" t="s">
        <v>4384</v>
      </c>
      <c r="C17" s="98" t="s">
        <v>752</v>
      </c>
      <c r="D17" s="98" t="s">
        <v>4385</v>
      </c>
      <c r="E17" s="98" t="s">
        <v>1009</v>
      </c>
      <c r="F17" s="98" t="s">
        <v>4386</v>
      </c>
      <c r="G17" s="98" t="s">
        <v>4378</v>
      </c>
      <c r="H17" s="98" t="s">
        <v>332</v>
      </c>
      <c r="I17" s="98"/>
      <c r="J17" s="98"/>
      <c r="K17" s="98"/>
      <c r="L17" s="98"/>
      <c r="M17" s="98"/>
    </row>
    <row r="18" spans="1:13" ht="58" customHeight="1">
      <c r="A18" s="98" t="s">
        <v>4387</v>
      </c>
      <c r="B18" s="98" t="s">
        <v>4388</v>
      </c>
      <c r="C18" s="98" t="s">
        <v>752</v>
      </c>
      <c r="D18" s="98" t="s">
        <v>4389</v>
      </c>
      <c r="E18" s="98" t="s">
        <v>4390</v>
      </c>
      <c r="F18" s="98" t="s">
        <v>4391</v>
      </c>
      <c r="G18" s="98" t="s">
        <v>4378</v>
      </c>
      <c r="H18" s="98" t="s">
        <v>332</v>
      </c>
      <c r="I18" s="98"/>
      <c r="J18" s="98"/>
      <c r="K18" s="98"/>
      <c r="L18" s="98"/>
      <c r="M18" s="98"/>
    </row>
    <row r="19" spans="1:13" ht="72.5" customHeight="1">
      <c r="A19" s="98" t="s">
        <v>4392</v>
      </c>
      <c r="B19" s="98" t="s">
        <v>4393</v>
      </c>
      <c r="C19" s="98" t="s">
        <v>4394</v>
      </c>
      <c r="D19" s="98" t="s">
        <v>4395</v>
      </c>
      <c r="E19" s="98" t="s">
        <v>1009</v>
      </c>
      <c r="F19" s="98" t="s">
        <v>4396</v>
      </c>
      <c r="G19" s="98" t="s">
        <v>4378</v>
      </c>
      <c r="H19" s="98" t="s">
        <v>332</v>
      </c>
      <c r="I19" s="98"/>
      <c r="J19" s="98"/>
      <c r="K19" s="98"/>
      <c r="L19" s="98"/>
      <c r="M19" s="98"/>
    </row>
    <row r="20" spans="1:13" ht="58" customHeight="1">
      <c r="A20" s="98" t="s">
        <v>4397</v>
      </c>
      <c r="B20" s="98" t="s">
        <v>4398</v>
      </c>
      <c r="C20" s="98" t="s">
        <v>753</v>
      </c>
      <c r="D20" s="98" t="s">
        <v>4399</v>
      </c>
      <c r="E20" s="98" t="s">
        <v>1009</v>
      </c>
      <c r="F20" s="98" t="s">
        <v>4400</v>
      </c>
      <c r="G20" s="98" t="s">
        <v>4378</v>
      </c>
      <c r="H20" s="98" t="s">
        <v>332</v>
      </c>
      <c r="I20" s="98"/>
      <c r="J20" s="98"/>
      <c r="K20" s="98"/>
      <c r="L20" s="98"/>
      <c r="M20" s="98"/>
    </row>
    <row r="21" spans="1:13" ht="43.5" customHeight="1">
      <c r="A21" s="98" t="s">
        <v>4401</v>
      </c>
      <c r="B21" s="98" t="s">
        <v>4402</v>
      </c>
      <c r="C21" s="98" t="s">
        <v>754</v>
      </c>
      <c r="D21" s="98" t="s">
        <v>4403</v>
      </c>
      <c r="E21" s="98" t="s">
        <v>1009</v>
      </c>
      <c r="F21" s="98" t="s">
        <v>4404</v>
      </c>
      <c r="G21" s="98" t="s">
        <v>4378</v>
      </c>
      <c r="H21" s="98" t="s">
        <v>3185</v>
      </c>
      <c r="I21" s="98"/>
      <c r="J21" s="98"/>
      <c r="K21" s="98"/>
      <c r="L21" s="98"/>
      <c r="M21" s="98"/>
    </row>
    <row r="22" spans="1:13" ht="43.5" customHeight="1">
      <c r="A22" s="98" t="s">
        <v>4405</v>
      </c>
      <c r="B22" s="98" t="s">
        <v>4406</v>
      </c>
      <c r="C22" s="98" t="s">
        <v>755</v>
      </c>
      <c r="D22" s="98" t="s">
        <v>4407</v>
      </c>
      <c r="E22" s="98" t="s">
        <v>1009</v>
      </c>
      <c r="F22" s="98" t="s">
        <v>4408</v>
      </c>
      <c r="G22" s="98" t="s">
        <v>4378</v>
      </c>
      <c r="H22" s="98" t="s">
        <v>3185</v>
      </c>
      <c r="I22" s="98"/>
      <c r="J22" s="98"/>
      <c r="K22" s="98"/>
      <c r="L22" s="98"/>
      <c r="M22" s="98"/>
    </row>
    <row r="23" spans="1:13" ht="58" customHeight="1">
      <c r="A23" s="98" t="s">
        <v>4409</v>
      </c>
      <c r="B23" s="98" t="s">
        <v>4410</v>
      </c>
      <c r="C23" s="98" t="s">
        <v>4411</v>
      </c>
      <c r="D23" s="98" t="s">
        <v>4412</v>
      </c>
      <c r="E23" s="98" t="s">
        <v>4390</v>
      </c>
      <c r="F23" s="98" t="s">
        <v>4413</v>
      </c>
      <c r="G23" s="98" t="s">
        <v>4414</v>
      </c>
      <c r="H23" s="98" t="s">
        <v>332</v>
      </c>
      <c r="I23" s="98"/>
      <c r="J23" s="98"/>
      <c r="K23" s="98"/>
      <c r="L23" s="98"/>
      <c r="M23" s="98"/>
    </row>
    <row r="24" spans="1:13" ht="72.5" customHeight="1">
      <c r="A24" s="98" t="s">
        <v>4415</v>
      </c>
      <c r="B24" s="98" t="s">
        <v>4416</v>
      </c>
      <c r="C24" s="98" t="s">
        <v>202</v>
      </c>
      <c r="D24" s="98" t="s">
        <v>4417</v>
      </c>
      <c r="E24" s="98" t="s">
        <v>1006</v>
      </c>
      <c r="F24" s="98" t="s">
        <v>4418</v>
      </c>
      <c r="G24" s="98" t="s">
        <v>4378</v>
      </c>
      <c r="H24" s="98" t="s">
        <v>332</v>
      </c>
      <c r="I24" s="98"/>
      <c r="J24" s="98"/>
      <c r="K24" s="98"/>
      <c r="L24" s="98"/>
      <c r="M24" s="98"/>
    </row>
    <row r="25" spans="1:13" ht="72.5" customHeight="1">
      <c r="A25" s="98" t="s">
        <v>4419</v>
      </c>
      <c r="B25" s="98" t="s">
        <v>4420</v>
      </c>
      <c r="C25" s="98" t="s">
        <v>202</v>
      </c>
      <c r="D25" s="98" t="s">
        <v>4421</v>
      </c>
      <c r="E25" s="98" t="s">
        <v>1009</v>
      </c>
      <c r="F25" s="98" t="s">
        <v>4422</v>
      </c>
      <c r="G25" s="98" t="s">
        <v>4378</v>
      </c>
      <c r="H25" s="98" t="s">
        <v>332</v>
      </c>
      <c r="I25" s="98"/>
      <c r="J25" s="98"/>
      <c r="K25" s="98"/>
      <c r="L25" s="98"/>
      <c r="M25" s="98"/>
    </row>
    <row r="26" spans="1:13" ht="29" customHeight="1">
      <c r="A26" s="98" t="s">
        <v>4423</v>
      </c>
      <c r="B26" s="98" t="s">
        <v>4424</v>
      </c>
      <c r="C26" s="98" t="s">
        <v>4425</v>
      </c>
      <c r="D26" s="98" t="s">
        <v>4426</v>
      </c>
      <c r="E26" s="98" t="s">
        <v>1009</v>
      </c>
      <c r="F26" s="98" t="s">
        <v>4427</v>
      </c>
      <c r="G26" s="98" t="s">
        <v>4378</v>
      </c>
      <c r="H26" s="98" t="s">
        <v>332</v>
      </c>
      <c r="I26" s="98"/>
      <c r="J26" s="98"/>
      <c r="K26" s="98"/>
      <c r="L26" s="98"/>
      <c r="M26" s="98"/>
    </row>
    <row r="27" spans="1:13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</row>
    <row r="28" spans="1:13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</row>
    <row r="29" spans="1:13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</row>
    <row r="30" spans="1:13" ht="29" customHeight="1">
      <c r="A30" s="188" t="s">
        <v>3616</v>
      </c>
      <c r="B30" s="188" t="s">
        <v>4428</v>
      </c>
      <c r="C30" s="188" t="s">
        <v>4429</v>
      </c>
      <c r="D30" s="188" t="s">
        <v>4430</v>
      </c>
      <c r="E30" s="188" t="s">
        <v>4431</v>
      </c>
      <c r="F30" s="188" t="s">
        <v>4432</v>
      </c>
      <c r="G30" s="188" t="s">
        <v>4433</v>
      </c>
      <c r="H30" s="188" t="s">
        <v>4434</v>
      </c>
      <c r="I30" s="188" t="s">
        <v>4435</v>
      </c>
      <c r="J30" s="188" t="s">
        <v>4436</v>
      </c>
      <c r="K30" s="188" t="s">
        <v>4437</v>
      </c>
      <c r="L30" s="188" t="s">
        <v>655</v>
      </c>
      <c r="M30" s="188" t="s">
        <v>696</v>
      </c>
    </row>
    <row r="31" spans="1:13" ht="43.5" customHeight="1">
      <c r="A31" s="98" t="s">
        <v>202</v>
      </c>
      <c r="B31" s="98" t="s">
        <v>4438</v>
      </c>
      <c r="C31" s="98" t="s">
        <v>4439</v>
      </c>
      <c r="D31" s="98" t="s">
        <v>4440</v>
      </c>
      <c r="E31" s="98" t="s">
        <v>4441</v>
      </c>
      <c r="F31" s="98" t="s">
        <v>4442</v>
      </c>
      <c r="G31" s="98" t="s">
        <v>4443</v>
      </c>
      <c r="H31" s="98" t="s">
        <v>4444</v>
      </c>
      <c r="I31" s="98" t="s">
        <v>4445</v>
      </c>
      <c r="J31" s="98" t="s">
        <v>4446</v>
      </c>
      <c r="K31" s="98" t="s">
        <v>4447</v>
      </c>
      <c r="L31" s="98" t="s">
        <v>4448</v>
      </c>
      <c r="M31" s="98" t="s">
        <v>4449</v>
      </c>
    </row>
    <row r="32" spans="1:13" ht="43.5" customHeight="1">
      <c r="A32" s="98" t="s">
        <v>752</v>
      </c>
      <c r="B32" s="98" t="s">
        <v>4450</v>
      </c>
      <c r="C32" s="98" t="s">
        <v>4451</v>
      </c>
      <c r="D32" s="98" t="s">
        <v>4452</v>
      </c>
      <c r="E32" s="98" t="s">
        <v>4453</v>
      </c>
      <c r="F32" s="98" t="s">
        <v>4454</v>
      </c>
      <c r="G32" s="98" t="s">
        <v>4455</v>
      </c>
      <c r="H32" s="98" t="s">
        <v>4456</v>
      </c>
      <c r="I32" s="98" t="s">
        <v>4457</v>
      </c>
      <c r="J32" s="98" t="s">
        <v>4458</v>
      </c>
      <c r="K32" s="98" t="s">
        <v>4459</v>
      </c>
      <c r="L32" s="98" t="s">
        <v>4448</v>
      </c>
      <c r="M32" s="98" t="s">
        <v>4460</v>
      </c>
    </row>
    <row r="33" spans="1:13" ht="43.5" customHeight="1">
      <c r="A33" s="98" t="s">
        <v>753</v>
      </c>
      <c r="B33" s="98" t="s">
        <v>4461</v>
      </c>
      <c r="C33" s="98" t="s">
        <v>4462</v>
      </c>
      <c r="D33" s="98" t="s">
        <v>4463</v>
      </c>
      <c r="E33" s="98" t="s">
        <v>4464</v>
      </c>
      <c r="F33" s="98" t="s">
        <v>4465</v>
      </c>
      <c r="G33" s="98" t="s">
        <v>4466</v>
      </c>
      <c r="H33" s="98" t="s">
        <v>4467</v>
      </c>
      <c r="I33" s="98" t="s">
        <v>4468</v>
      </c>
      <c r="J33" s="98" t="s">
        <v>4469</v>
      </c>
      <c r="K33" s="98" t="s">
        <v>4470</v>
      </c>
      <c r="L33" s="98" t="s">
        <v>4448</v>
      </c>
      <c r="M33" s="98" t="s">
        <v>4471</v>
      </c>
    </row>
    <row r="34" spans="1:13" ht="43.5" customHeight="1">
      <c r="A34" s="98" t="s">
        <v>754</v>
      </c>
      <c r="B34" s="98" t="s">
        <v>4472</v>
      </c>
      <c r="C34" s="98" t="s">
        <v>4473</v>
      </c>
      <c r="D34" s="98" t="s">
        <v>4474</v>
      </c>
      <c r="E34" s="98" t="s">
        <v>4475</v>
      </c>
      <c r="F34" s="98" t="s">
        <v>4476</v>
      </c>
      <c r="G34" s="98" t="s">
        <v>4477</v>
      </c>
      <c r="H34" s="98" t="s">
        <v>4478</v>
      </c>
      <c r="I34" s="98" t="s">
        <v>4479</v>
      </c>
      <c r="J34" s="98" t="s">
        <v>4480</v>
      </c>
      <c r="K34" s="98" t="s">
        <v>4481</v>
      </c>
      <c r="L34" s="98" t="s">
        <v>4448</v>
      </c>
      <c r="M34" s="98" t="s">
        <v>4482</v>
      </c>
    </row>
    <row r="35" spans="1:13" ht="43.5" customHeight="1">
      <c r="A35" s="98" t="s">
        <v>755</v>
      </c>
      <c r="B35" s="98" t="s">
        <v>4483</v>
      </c>
      <c r="C35" s="98" t="s">
        <v>4484</v>
      </c>
      <c r="D35" s="98" t="s">
        <v>4485</v>
      </c>
      <c r="E35" s="98" t="s">
        <v>4486</v>
      </c>
      <c r="F35" s="98" t="s">
        <v>4487</v>
      </c>
      <c r="G35" s="98" t="s">
        <v>4488</v>
      </c>
      <c r="H35" s="98" t="s">
        <v>4489</v>
      </c>
      <c r="I35" s="98" t="s">
        <v>4479</v>
      </c>
      <c r="J35" s="98" t="s">
        <v>4480</v>
      </c>
      <c r="K35" s="98" t="s">
        <v>4490</v>
      </c>
      <c r="L35" s="98" t="s">
        <v>4448</v>
      </c>
      <c r="M35" s="98" t="s">
        <v>4491</v>
      </c>
    </row>
    <row r="36" spans="1:13" ht="43.5" customHeight="1">
      <c r="A36" s="98" t="s">
        <v>208</v>
      </c>
      <c r="B36" s="98" t="s">
        <v>4492</v>
      </c>
      <c r="C36" s="98" t="s">
        <v>4493</v>
      </c>
      <c r="D36" s="98" t="s">
        <v>4494</v>
      </c>
      <c r="E36" s="98" t="s">
        <v>4495</v>
      </c>
      <c r="F36" s="98" t="s">
        <v>4496</v>
      </c>
      <c r="G36" s="98" t="s">
        <v>4497</v>
      </c>
      <c r="H36" s="98" t="s">
        <v>4498</v>
      </c>
      <c r="I36" s="98" t="s">
        <v>4499</v>
      </c>
      <c r="J36" s="98" t="s">
        <v>4500</v>
      </c>
      <c r="K36" s="98" t="s">
        <v>4501</v>
      </c>
      <c r="L36" s="98" t="s">
        <v>4502</v>
      </c>
      <c r="M36" s="98" t="s">
        <v>4503</v>
      </c>
    </row>
    <row r="37" spans="1:13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</row>
    <row r="38" spans="1:13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</row>
    <row r="39" spans="1:13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</row>
    <row r="40" spans="1:13">
      <c r="A40" s="189" t="s">
        <v>4504</v>
      </c>
      <c r="B40" s="189" t="s">
        <v>2220</v>
      </c>
      <c r="C40" s="189" t="s">
        <v>2221</v>
      </c>
      <c r="D40" s="189" t="s">
        <v>2222</v>
      </c>
      <c r="E40" s="189" t="s">
        <v>2223</v>
      </c>
      <c r="F40" s="189" t="s">
        <v>2224</v>
      </c>
      <c r="G40" s="189" t="s">
        <v>4505</v>
      </c>
      <c r="H40" s="98"/>
      <c r="I40" s="98"/>
      <c r="J40" s="98"/>
      <c r="K40" s="98"/>
      <c r="L40" s="98"/>
      <c r="M40" s="98"/>
    </row>
    <row r="41" spans="1:13" ht="29" customHeight="1">
      <c r="A41" s="98" t="s">
        <v>4506</v>
      </c>
      <c r="B41" s="98" t="s">
        <v>4507</v>
      </c>
      <c r="C41" s="98" t="s">
        <v>4508</v>
      </c>
      <c r="D41" s="98" t="s">
        <v>4509</v>
      </c>
      <c r="E41" s="98" t="s">
        <v>4510</v>
      </c>
      <c r="F41" s="98" t="s">
        <v>4511</v>
      </c>
      <c r="G41" s="98" t="s">
        <v>4512</v>
      </c>
      <c r="H41" s="98"/>
      <c r="I41" s="98"/>
      <c r="J41" s="98"/>
      <c r="K41" s="98"/>
      <c r="L41" s="98"/>
      <c r="M41" s="98"/>
    </row>
    <row r="42" spans="1:13" ht="29" customHeight="1">
      <c r="A42" s="98" t="s">
        <v>4513</v>
      </c>
      <c r="B42" s="98" t="s">
        <v>4514</v>
      </c>
      <c r="C42" s="98" t="s">
        <v>4515</v>
      </c>
      <c r="D42" s="98" t="s">
        <v>4516</v>
      </c>
      <c r="E42" s="98" t="s">
        <v>4517</v>
      </c>
      <c r="F42" s="98" t="s">
        <v>4518</v>
      </c>
      <c r="G42" s="98" t="s">
        <v>4519</v>
      </c>
      <c r="H42" s="98"/>
      <c r="I42" s="98"/>
      <c r="J42" s="98"/>
      <c r="K42" s="98"/>
      <c r="L42" s="98"/>
      <c r="M42" s="98"/>
    </row>
    <row r="43" spans="1:13" ht="29" customHeight="1">
      <c r="A43" s="98" t="s">
        <v>4520</v>
      </c>
      <c r="B43" s="98" t="s">
        <v>4521</v>
      </c>
      <c r="C43" s="98" t="s">
        <v>4522</v>
      </c>
      <c r="D43" s="98" t="s">
        <v>4523</v>
      </c>
      <c r="E43" s="98" t="s">
        <v>4524</v>
      </c>
      <c r="F43" s="98" t="s">
        <v>4525</v>
      </c>
      <c r="G43" s="98" t="s">
        <v>4526</v>
      </c>
      <c r="H43" s="98"/>
      <c r="I43" s="98"/>
      <c r="J43" s="98"/>
      <c r="K43" s="98"/>
      <c r="L43" s="98"/>
      <c r="M43" s="98"/>
    </row>
    <row r="44" spans="1:13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</row>
    <row r="45" spans="1:13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</row>
    <row r="46" spans="1:1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</row>
    <row r="47" spans="1:13">
      <c r="A47" s="189" t="s">
        <v>4527</v>
      </c>
      <c r="B47" s="189" t="s">
        <v>4528</v>
      </c>
      <c r="C47" s="189" t="s">
        <v>252</v>
      </c>
      <c r="D47" s="189" t="s">
        <v>4529</v>
      </c>
      <c r="E47" s="189" t="s">
        <v>4530</v>
      </c>
      <c r="F47" s="189" t="s">
        <v>4531</v>
      </c>
      <c r="G47" s="189" t="s">
        <v>4532</v>
      </c>
      <c r="H47" s="189" t="s">
        <v>656</v>
      </c>
      <c r="I47" s="98"/>
      <c r="J47" s="98"/>
      <c r="K47" s="98"/>
      <c r="L47" s="98"/>
      <c r="M47" s="98"/>
    </row>
    <row r="48" spans="1:13" ht="29" customHeight="1">
      <c r="A48" s="98" t="s">
        <v>4533</v>
      </c>
      <c r="B48" s="98">
        <v>3</v>
      </c>
      <c r="C48" s="98" t="s">
        <v>202</v>
      </c>
      <c r="D48" s="98" t="s">
        <v>4534</v>
      </c>
      <c r="E48" s="98" t="s">
        <v>4535</v>
      </c>
      <c r="F48" s="98" t="s">
        <v>4536</v>
      </c>
      <c r="G48" s="98" t="s">
        <v>3382</v>
      </c>
      <c r="H48" s="98" t="s">
        <v>4537</v>
      </c>
      <c r="I48" s="98"/>
      <c r="J48" s="98"/>
      <c r="K48" s="98"/>
      <c r="L48" s="98"/>
      <c r="M48" s="98"/>
    </row>
    <row r="49" spans="1:13">
      <c r="A49" s="98" t="s">
        <v>4385</v>
      </c>
      <c r="B49" s="98">
        <v>2</v>
      </c>
      <c r="C49" s="98" t="s">
        <v>752</v>
      </c>
      <c r="D49" s="98" t="s">
        <v>4538</v>
      </c>
      <c r="E49" s="98" t="s">
        <v>4539</v>
      </c>
      <c r="F49" s="98" t="s">
        <v>3620</v>
      </c>
      <c r="G49" s="98" t="s">
        <v>3382</v>
      </c>
      <c r="H49" s="98" t="s">
        <v>4540</v>
      </c>
      <c r="I49" s="98"/>
      <c r="J49" s="98"/>
      <c r="K49" s="98"/>
      <c r="L49" s="98"/>
      <c r="M49" s="98"/>
    </row>
    <row r="50" spans="1:13" ht="29" customHeight="1">
      <c r="A50" s="98" t="s">
        <v>4541</v>
      </c>
      <c r="B50" s="98">
        <v>1</v>
      </c>
      <c r="C50" s="98" t="s">
        <v>753</v>
      </c>
      <c r="D50" s="98" t="s">
        <v>4542</v>
      </c>
      <c r="E50" s="98" t="s">
        <v>4543</v>
      </c>
      <c r="F50" s="98" t="s">
        <v>4544</v>
      </c>
      <c r="G50" s="98" t="s">
        <v>3382</v>
      </c>
      <c r="H50" s="98" t="s">
        <v>4545</v>
      </c>
      <c r="I50" s="98"/>
      <c r="J50" s="98"/>
      <c r="K50" s="98"/>
      <c r="L50" s="98"/>
      <c r="M50" s="98"/>
    </row>
    <row r="51" spans="1:13">
      <c r="A51" s="98" t="s">
        <v>4546</v>
      </c>
      <c r="B51" s="98">
        <v>2</v>
      </c>
      <c r="C51" s="98" t="s">
        <v>754</v>
      </c>
      <c r="D51" s="98" t="s">
        <v>4547</v>
      </c>
      <c r="E51" s="98" t="s">
        <v>4539</v>
      </c>
      <c r="F51" s="98" t="s">
        <v>3620</v>
      </c>
      <c r="G51" s="98" t="s">
        <v>3382</v>
      </c>
      <c r="H51" s="98" t="s">
        <v>4548</v>
      </c>
      <c r="I51" s="98"/>
      <c r="J51" s="98"/>
      <c r="K51" s="98"/>
      <c r="L51" s="98"/>
      <c r="M51" s="98"/>
    </row>
    <row r="52" spans="1:13" ht="29" customHeight="1">
      <c r="A52" s="98" t="s">
        <v>4549</v>
      </c>
      <c r="B52" s="98">
        <v>2</v>
      </c>
      <c r="C52" s="98" t="s">
        <v>755</v>
      </c>
      <c r="D52" s="98" t="s">
        <v>4550</v>
      </c>
      <c r="E52" s="98" t="s">
        <v>4539</v>
      </c>
      <c r="F52" s="98" t="s">
        <v>3620</v>
      </c>
      <c r="G52" s="98" t="s">
        <v>3382</v>
      </c>
      <c r="H52" s="98" t="s">
        <v>4551</v>
      </c>
      <c r="I52" s="98"/>
      <c r="J52" s="98"/>
      <c r="K52" s="98"/>
      <c r="L52" s="98"/>
      <c r="M52" s="98"/>
    </row>
    <row r="53" spans="1:13" ht="29" customHeight="1">
      <c r="A53" s="98" t="s">
        <v>4552</v>
      </c>
      <c r="B53" s="98">
        <v>3</v>
      </c>
      <c r="C53" s="98" t="s">
        <v>4425</v>
      </c>
      <c r="D53" s="98" t="s">
        <v>4553</v>
      </c>
      <c r="E53" s="98" t="s">
        <v>4535</v>
      </c>
      <c r="F53" s="98" t="s">
        <v>4536</v>
      </c>
      <c r="G53" s="98" t="s">
        <v>3382</v>
      </c>
      <c r="H53" s="98" t="s">
        <v>4554</v>
      </c>
      <c r="I53" s="98"/>
      <c r="J53" s="98"/>
      <c r="K53" s="98"/>
      <c r="L53" s="98"/>
      <c r="M53" s="98"/>
    </row>
    <row r="54" spans="1:1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</row>
    <row r="55" spans="1:1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</row>
    <row r="56" spans="1:13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</row>
    <row r="57" spans="1:13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</row>
    <row r="58" spans="1:13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</row>
    <row r="59" spans="1:1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</row>
    <row r="60" spans="1:13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</row>
    <row r="61" spans="1:13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</row>
    <row r="62" spans="1:13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</row>
    <row r="63" spans="1:13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</row>
    <row r="64" spans="1:13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</row>
    <row r="65" spans="1:13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</row>
    <row r="66" spans="1:13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</row>
    <row r="67" spans="1:13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</row>
    <row r="68" spans="1:13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</row>
    <row r="69" spans="1:13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</row>
    <row r="70" spans="1:13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</row>
    <row r="71" spans="1:13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</row>
    <row r="72" spans="1:13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</row>
    <row r="73" spans="1:1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</row>
    <row r="74" spans="1:13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</row>
    <row r="75" spans="1:13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</row>
    <row r="76" spans="1:13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</row>
    <row r="77" spans="1:13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</row>
    <row r="78" spans="1:13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</row>
    <row r="79" spans="1:13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</row>
    <row r="80" spans="1:13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</row>
    <row r="81" spans="1:13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</row>
    <row r="82" spans="1:13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</row>
    <row r="83" spans="1:1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</row>
    <row r="84" spans="1:13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</row>
    <row r="85" spans="1:13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</row>
    <row r="86" spans="1:13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</row>
    <row r="87" spans="1:13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</row>
    <row r="88" spans="1:13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</row>
    <row r="89" spans="1:13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</row>
    <row r="90" spans="1:13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</row>
    <row r="91" spans="1:13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</row>
    <row r="92" spans="1:13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</row>
    <row r="93" spans="1:1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</row>
    <row r="94" spans="1:13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</row>
    <row r="95" spans="1:13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</row>
    <row r="96" spans="1:13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</row>
    <row r="97" spans="1:1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</row>
    <row r="98" spans="1:13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</row>
    <row r="99" spans="1:13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</row>
    <row r="100" spans="1:13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</row>
    <row r="101" spans="1:13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</row>
    <row r="102" spans="1:13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</row>
    <row r="103" spans="1:1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</row>
    <row r="104" spans="1:13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</row>
    <row r="105" spans="1:13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</row>
    <row r="106" spans="1:13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</row>
    <row r="107" spans="1:13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</row>
    <row r="108" spans="1:1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</row>
    <row r="109" spans="1:13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</row>
    <row r="110" spans="1:13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</row>
    <row r="111" spans="1:13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</row>
    <row r="112" spans="1:13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</row>
    <row r="113" spans="1:1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</row>
    <row r="114" spans="1:13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</row>
    <row r="115" spans="1:13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</row>
    <row r="116" spans="1:13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</row>
    <row r="117" spans="1:13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</row>
    <row r="118" spans="1:13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</row>
    <row r="119" spans="1:13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</row>
    <row r="120" spans="1:13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</row>
    <row r="121" spans="1:13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</row>
    <row r="122" spans="1:13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</row>
    <row r="123" spans="1:1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</row>
    <row r="124" spans="1:1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</row>
    <row r="125" spans="1:1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</row>
    <row r="126" spans="1:13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</row>
    <row r="127" spans="1:13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</row>
    <row r="128" spans="1:1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</row>
    <row r="129" spans="1:13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</row>
    <row r="130" spans="1:13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</row>
  </sheetData>
  <mergeCells count="2">
    <mergeCell ref="A2:G2"/>
    <mergeCell ref="A1:G1"/>
  </mergeCells>
  <conditionalFormatting sqref="B5:B11">
    <cfRule type="expression" dxfId="26" priority="1">
      <formula>ISNUMBER(SEARCH("🟢",B5))</formula>
    </cfRule>
    <cfRule type="expression" dxfId="25" priority="2">
      <formula>ISNUMBER(SEARCH("🟡",B5))</formula>
    </cfRule>
    <cfRule type="expression" dxfId="24" priority="3">
      <formula>ISNUMBER(SEARCH("🔴",B5))</formula>
    </cfRule>
  </conditionalFormatting>
  <conditionalFormatting sqref="L31:L36">
    <cfRule type="expression" dxfId="23" priority="4">
      <formula>ISNUMBER(SEARCH("🟢",L31))</formula>
    </cfRule>
    <cfRule type="expression" dxfId="22" priority="5">
      <formula>ISNUMBER(SEARCH("🟡",L31))</formula>
    </cfRule>
    <cfRule type="expression" dxfId="21" priority="6">
      <formula>ISNUMBER(SEARCH("🔴",L31))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BFBFBF"/>
  </sheetPr>
  <dimension ref="A1:K123"/>
  <sheetViews>
    <sheetView showGridLines="0" workbookViewId="0"/>
  </sheetViews>
  <sheetFormatPr baseColWidth="10" defaultColWidth="8.7265625" defaultRowHeight="14.5"/>
  <cols>
    <col min="1" max="1" width="14" customWidth="1"/>
    <col min="2" max="2" width="28" customWidth="1"/>
    <col min="3" max="3" width="24" customWidth="1"/>
    <col min="4" max="4" width="20" customWidth="1"/>
    <col min="5" max="5" width="28" customWidth="1"/>
    <col min="6" max="7" width="48" customWidth="1"/>
    <col min="8" max="11" width="20" customWidth="1"/>
  </cols>
  <sheetData>
    <row r="1" spans="1:11" ht="136.5" customHeight="1">
      <c r="A1" s="184" t="s">
        <v>4555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348" customHeight="1">
      <c r="A2" s="182" t="s">
        <v>4556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</row>
    <row r="4" spans="1:11">
      <c r="A4" s="183" t="s">
        <v>67</v>
      </c>
      <c r="B4" s="183" t="s">
        <v>655</v>
      </c>
      <c r="C4" s="183" t="s">
        <v>4070</v>
      </c>
      <c r="D4" s="183" t="s">
        <v>1368</v>
      </c>
      <c r="E4" s="183" t="s">
        <v>4342</v>
      </c>
      <c r="F4" s="183" t="s">
        <v>1369</v>
      </c>
      <c r="H4" s="183" t="s">
        <v>4557</v>
      </c>
      <c r="I4" s="183" t="s">
        <v>1236</v>
      </c>
      <c r="J4" s="183" t="s">
        <v>11</v>
      </c>
      <c r="K4" s="183" t="s">
        <v>696</v>
      </c>
    </row>
    <row r="5" spans="1:11">
      <c r="A5" t="s">
        <v>4278</v>
      </c>
      <c r="B5" t="s">
        <v>4289</v>
      </c>
      <c r="C5" t="s">
        <v>4558</v>
      </c>
      <c r="D5" t="s">
        <v>4559</v>
      </c>
      <c r="E5" t="s">
        <v>4560</v>
      </c>
      <c r="F5" t="s">
        <v>4561</v>
      </c>
      <c r="H5" t="s">
        <v>4562</v>
      </c>
      <c r="I5" t="s">
        <v>4563</v>
      </c>
      <c r="J5" t="s">
        <v>4564</v>
      </c>
      <c r="K5" t="s">
        <v>4565</v>
      </c>
    </row>
    <row r="6" spans="1:11">
      <c r="A6" t="s">
        <v>286</v>
      </c>
      <c r="B6" t="s">
        <v>4566</v>
      </c>
      <c r="C6" t="s">
        <v>4567</v>
      </c>
      <c r="D6" t="s">
        <v>4568</v>
      </c>
      <c r="E6" t="s">
        <v>4569</v>
      </c>
      <c r="F6" t="s">
        <v>4570</v>
      </c>
      <c r="H6" t="s">
        <v>4571</v>
      </c>
      <c r="I6">
        <v>86</v>
      </c>
      <c r="J6" t="s">
        <v>4572</v>
      </c>
      <c r="K6" t="s">
        <v>4573</v>
      </c>
    </row>
    <row r="7" spans="1:11">
      <c r="A7" t="s">
        <v>4574</v>
      </c>
      <c r="B7" t="s">
        <v>4289</v>
      </c>
      <c r="C7" t="s">
        <v>4290</v>
      </c>
      <c r="D7" t="s">
        <v>4575</v>
      </c>
      <c r="E7" t="s">
        <v>4576</v>
      </c>
      <c r="F7" t="s">
        <v>4293</v>
      </c>
      <c r="H7" t="s">
        <v>1348</v>
      </c>
      <c r="I7" t="s">
        <v>4448</v>
      </c>
      <c r="J7" t="s">
        <v>4577</v>
      </c>
      <c r="K7" t="s">
        <v>4578</v>
      </c>
    </row>
    <row r="8" spans="1:11">
      <c r="A8" t="s">
        <v>1348</v>
      </c>
      <c r="B8" t="s">
        <v>4579</v>
      </c>
      <c r="C8" t="s">
        <v>4580</v>
      </c>
      <c r="D8" t="s">
        <v>4581</v>
      </c>
      <c r="E8" t="s">
        <v>4582</v>
      </c>
      <c r="F8" t="s">
        <v>4583</v>
      </c>
      <c r="H8" t="s">
        <v>4584</v>
      </c>
      <c r="I8" t="s">
        <v>4585</v>
      </c>
      <c r="J8" t="s">
        <v>4586</v>
      </c>
      <c r="K8" t="s">
        <v>4587</v>
      </c>
    </row>
    <row r="9" spans="1:11">
      <c r="A9" t="s">
        <v>201</v>
      </c>
      <c r="B9" t="s">
        <v>4588</v>
      </c>
      <c r="C9" t="s">
        <v>2141</v>
      </c>
      <c r="D9" t="s">
        <v>4589</v>
      </c>
      <c r="E9" t="s">
        <v>4590</v>
      </c>
      <c r="F9" t="s">
        <v>4591</v>
      </c>
    </row>
    <row r="10" spans="1:11">
      <c r="A10" t="s">
        <v>207</v>
      </c>
      <c r="B10" t="s">
        <v>4502</v>
      </c>
      <c r="C10" t="s">
        <v>4592</v>
      </c>
      <c r="D10" t="s">
        <v>4593</v>
      </c>
      <c r="E10" t="s">
        <v>4594</v>
      </c>
      <c r="F10" t="s">
        <v>4595</v>
      </c>
    </row>
    <row r="11" spans="1:11">
      <c r="A11" t="s">
        <v>4596</v>
      </c>
      <c r="B11" t="s">
        <v>4597</v>
      </c>
      <c r="C11" t="s">
        <v>2139</v>
      </c>
      <c r="D11" t="s">
        <v>4598</v>
      </c>
      <c r="E11" t="s">
        <v>4599</v>
      </c>
      <c r="F11" t="s">
        <v>4600</v>
      </c>
    </row>
    <row r="12" spans="1:11">
      <c r="A12" t="s">
        <v>4601</v>
      </c>
      <c r="B12" t="s">
        <v>4602</v>
      </c>
      <c r="C12" t="s">
        <v>4603</v>
      </c>
      <c r="D12" t="s">
        <v>4604</v>
      </c>
      <c r="E12" t="s">
        <v>4605</v>
      </c>
      <c r="F12" t="s">
        <v>4606</v>
      </c>
    </row>
    <row r="16" spans="1:11">
      <c r="A16" s="183" t="s">
        <v>4607</v>
      </c>
      <c r="B16" s="183" t="s">
        <v>3616</v>
      </c>
      <c r="C16" s="183" t="s">
        <v>67</v>
      </c>
      <c r="D16" s="183" t="s">
        <v>4608</v>
      </c>
      <c r="E16" s="183" t="s">
        <v>4609</v>
      </c>
      <c r="F16" s="183" t="s">
        <v>4610</v>
      </c>
      <c r="G16" s="183" t="s">
        <v>1369</v>
      </c>
    </row>
    <row r="17" spans="1:7">
      <c r="A17">
        <v>1</v>
      </c>
      <c r="B17" t="s">
        <v>815</v>
      </c>
      <c r="C17" t="s">
        <v>4325</v>
      </c>
      <c r="D17" t="s">
        <v>4611</v>
      </c>
      <c r="E17" t="s">
        <v>4612</v>
      </c>
      <c r="F17" t="s">
        <v>4613</v>
      </c>
      <c r="G17" t="s">
        <v>4614</v>
      </c>
    </row>
    <row r="18" spans="1:7">
      <c r="A18">
        <v>2</v>
      </c>
      <c r="B18" t="s">
        <v>774</v>
      </c>
      <c r="C18" t="s">
        <v>4615</v>
      </c>
      <c r="D18" t="s">
        <v>4616</v>
      </c>
      <c r="E18" t="s">
        <v>4612</v>
      </c>
      <c r="F18" t="s">
        <v>4613</v>
      </c>
      <c r="G18" t="s">
        <v>4293</v>
      </c>
    </row>
    <row r="19" spans="1:7">
      <c r="A19">
        <v>3</v>
      </c>
      <c r="B19" t="s">
        <v>772</v>
      </c>
      <c r="C19" t="s">
        <v>4615</v>
      </c>
      <c r="D19" t="s">
        <v>4617</v>
      </c>
      <c r="E19" t="s">
        <v>4612</v>
      </c>
      <c r="F19" t="s">
        <v>4613</v>
      </c>
      <c r="G19" t="s">
        <v>4293</v>
      </c>
    </row>
    <row r="20" spans="1:7">
      <c r="A20">
        <v>4</v>
      </c>
      <c r="B20" t="s">
        <v>776</v>
      </c>
      <c r="C20" t="s">
        <v>4615</v>
      </c>
      <c r="D20" t="s">
        <v>4618</v>
      </c>
      <c r="E20" t="s">
        <v>4612</v>
      </c>
      <c r="F20" t="s">
        <v>4613</v>
      </c>
      <c r="G20" t="s">
        <v>4293</v>
      </c>
    </row>
    <row r="21" spans="1:7">
      <c r="A21">
        <v>5</v>
      </c>
      <c r="B21" t="s">
        <v>777</v>
      </c>
      <c r="C21" t="s">
        <v>4615</v>
      </c>
      <c r="D21" t="s">
        <v>4619</v>
      </c>
      <c r="E21" t="s">
        <v>4612</v>
      </c>
      <c r="F21" t="s">
        <v>4613</v>
      </c>
      <c r="G21" t="s">
        <v>4293</v>
      </c>
    </row>
    <row r="22" spans="1:7">
      <c r="A22">
        <v>6</v>
      </c>
      <c r="B22" t="s">
        <v>685</v>
      </c>
      <c r="C22" t="s">
        <v>4615</v>
      </c>
      <c r="D22" t="s">
        <v>4620</v>
      </c>
      <c r="E22" t="s">
        <v>4612</v>
      </c>
      <c r="F22" t="s">
        <v>4613</v>
      </c>
      <c r="G22" t="s">
        <v>4293</v>
      </c>
    </row>
    <row r="23" spans="1:7">
      <c r="A23">
        <v>7</v>
      </c>
      <c r="B23" t="s">
        <v>20</v>
      </c>
      <c r="C23" t="s">
        <v>4615</v>
      </c>
      <c r="D23" t="s">
        <v>4621</v>
      </c>
      <c r="E23" t="s">
        <v>4622</v>
      </c>
      <c r="F23" t="s">
        <v>4623</v>
      </c>
      <c r="G23" t="s">
        <v>4293</v>
      </c>
    </row>
    <row r="24" spans="1:7">
      <c r="A24">
        <v>8</v>
      </c>
      <c r="B24" t="s">
        <v>712</v>
      </c>
      <c r="C24" t="s">
        <v>4615</v>
      </c>
      <c r="D24" t="s">
        <v>4624</v>
      </c>
      <c r="E24" t="s">
        <v>4622</v>
      </c>
      <c r="F24" t="s">
        <v>4625</v>
      </c>
      <c r="G24" t="s">
        <v>4293</v>
      </c>
    </row>
    <row r="25" spans="1:7">
      <c r="A25">
        <v>9</v>
      </c>
      <c r="B25" t="s">
        <v>714</v>
      </c>
      <c r="C25" t="s">
        <v>4615</v>
      </c>
      <c r="D25" t="s">
        <v>4626</v>
      </c>
      <c r="E25" t="s">
        <v>4622</v>
      </c>
      <c r="F25" t="s">
        <v>4627</v>
      </c>
      <c r="G25" t="s">
        <v>4293</v>
      </c>
    </row>
    <row r="26" spans="1:7">
      <c r="A26">
        <v>10</v>
      </c>
      <c r="B26" t="s">
        <v>788</v>
      </c>
      <c r="C26" t="s">
        <v>4278</v>
      </c>
      <c r="D26" t="s">
        <v>4628</v>
      </c>
      <c r="E26" t="s">
        <v>4612</v>
      </c>
      <c r="F26" t="s">
        <v>4613</v>
      </c>
      <c r="G26" t="s">
        <v>4293</v>
      </c>
    </row>
    <row r="27" spans="1:7">
      <c r="A27">
        <v>11</v>
      </c>
      <c r="B27" t="s">
        <v>775</v>
      </c>
      <c r="C27" t="s">
        <v>4615</v>
      </c>
      <c r="D27" t="s">
        <v>4629</v>
      </c>
      <c r="E27" t="s">
        <v>4612</v>
      </c>
      <c r="F27" t="s">
        <v>4613</v>
      </c>
      <c r="G27" t="s">
        <v>4293</v>
      </c>
    </row>
    <row r="28" spans="1:7">
      <c r="A28">
        <v>12</v>
      </c>
      <c r="B28" t="s">
        <v>790</v>
      </c>
      <c r="C28" t="s">
        <v>1488</v>
      </c>
      <c r="D28" t="s">
        <v>4630</v>
      </c>
      <c r="E28" t="s">
        <v>4612</v>
      </c>
      <c r="F28" t="s">
        <v>4613</v>
      </c>
      <c r="G28" t="s">
        <v>4293</v>
      </c>
    </row>
    <row r="29" spans="1:7">
      <c r="A29">
        <v>13</v>
      </c>
      <c r="B29" t="s">
        <v>784</v>
      </c>
      <c r="C29" t="s">
        <v>4278</v>
      </c>
      <c r="D29" t="s">
        <v>4631</v>
      </c>
      <c r="E29" t="s">
        <v>4622</v>
      </c>
      <c r="F29" t="s">
        <v>4632</v>
      </c>
      <c r="G29" t="s">
        <v>4293</v>
      </c>
    </row>
    <row r="30" spans="1:7">
      <c r="A30">
        <v>14</v>
      </c>
      <c r="B30" t="s">
        <v>156</v>
      </c>
      <c r="C30" t="s">
        <v>4278</v>
      </c>
      <c r="D30" t="s">
        <v>4633</v>
      </c>
      <c r="E30" t="s">
        <v>4622</v>
      </c>
      <c r="F30" t="s">
        <v>4634</v>
      </c>
      <c r="G30" t="s">
        <v>4293</v>
      </c>
    </row>
    <row r="31" spans="1:7">
      <c r="A31">
        <v>15</v>
      </c>
      <c r="B31" t="s">
        <v>164</v>
      </c>
      <c r="C31" t="s">
        <v>4278</v>
      </c>
      <c r="D31" t="s">
        <v>4635</v>
      </c>
      <c r="E31" t="s">
        <v>4622</v>
      </c>
      <c r="F31" t="s">
        <v>4636</v>
      </c>
      <c r="G31" t="s">
        <v>4293</v>
      </c>
    </row>
    <row r="32" spans="1:7">
      <c r="A32">
        <v>16</v>
      </c>
      <c r="B32" t="s">
        <v>170</v>
      </c>
      <c r="C32" t="s">
        <v>4278</v>
      </c>
      <c r="D32" t="s">
        <v>4637</v>
      </c>
      <c r="E32" t="s">
        <v>4622</v>
      </c>
      <c r="F32" t="s">
        <v>4638</v>
      </c>
      <c r="G32" t="s">
        <v>4293</v>
      </c>
    </row>
    <row r="33" spans="1:7">
      <c r="A33">
        <v>17</v>
      </c>
      <c r="B33" t="s">
        <v>663</v>
      </c>
      <c r="C33" t="s">
        <v>4278</v>
      </c>
      <c r="D33" t="s">
        <v>4639</v>
      </c>
      <c r="E33" t="s">
        <v>4622</v>
      </c>
      <c r="F33" t="s">
        <v>4640</v>
      </c>
      <c r="G33" t="s">
        <v>4293</v>
      </c>
    </row>
    <row r="34" spans="1:7">
      <c r="A34">
        <v>18</v>
      </c>
      <c r="B34" t="s">
        <v>670</v>
      </c>
      <c r="C34" t="s">
        <v>4278</v>
      </c>
      <c r="D34" t="s">
        <v>4641</v>
      </c>
      <c r="E34" t="s">
        <v>4622</v>
      </c>
      <c r="F34" t="s">
        <v>4642</v>
      </c>
      <c r="G34" t="s">
        <v>4293</v>
      </c>
    </row>
    <row r="35" spans="1:7">
      <c r="A35">
        <v>19</v>
      </c>
      <c r="B35" t="s">
        <v>793</v>
      </c>
      <c r="C35" t="s">
        <v>4278</v>
      </c>
      <c r="D35" t="s">
        <v>4643</v>
      </c>
      <c r="E35" t="s">
        <v>4612</v>
      </c>
      <c r="F35" t="s">
        <v>4613</v>
      </c>
      <c r="G35" t="s">
        <v>4293</v>
      </c>
    </row>
    <row r="36" spans="1:7">
      <c r="A36">
        <v>20</v>
      </c>
      <c r="B36" t="s">
        <v>794</v>
      </c>
      <c r="C36" t="s">
        <v>4278</v>
      </c>
      <c r="D36" t="s">
        <v>4644</v>
      </c>
      <c r="E36" t="s">
        <v>4612</v>
      </c>
      <c r="F36" t="s">
        <v>4613</v>
      </c>
      <c r="G36" t="s">
        <v>4293</v>
      </c>
    </row>
    <row r="37" spans="1:7">
      <c r="A37">
        <v>21</v>
      </c>
      <c r="B37" t="s">
        <v>91</v>
      </c>
      <c r="C37" t="s">
        <v>4615</v>
      </c>
      <c r="D37" t="s">
        <v>4645</v>
      </c>
      <c r="E37" t="s">
        <v>4622</v>
      </c>
      <c r="F37" t="s">
        <v>4646</v>
      </c>
      <c r="G37" t="s">
        <v>4293</v>
      </c>
    </row>
    <row r="38" spans="1:7">
      <c r="A38">
        <v>22</v>
      </c>
      <c r="B38" t="s">
        <v>713</v>
      </c>
      <c r="C38" t="s">
        <v>1488</v>
      </c>
      <c r="D38" t="s">
        <v>4647</v>
      </c>
      <c r="E38" t="s">
        <v>4612</v>
      </c>
      <c r="F38" t="s">
        <v>4613</v>
      </c>
      <c r="G38" t="s">
        <v>4293</v>
      </c>
    </row>
    <row r="39" spans="1:7">
      <c r="A39">
        <v>23</v>
      </c>
      <c r="B39" t="s">
        <v>749</v>
      </c>
      <c r="C39" t="s">
        <v>4648</v>
      </c>
      <c r="D39" t="s">
        <v>4649</v>
      </c>
      <c r="E39" t="s">
        <v>4612</v>
      </c>
      <c r="F39" t="s">
        <v>4613</v>
      </c>
      <c r="G39" t="s">
        <v>4293</v>
      </c>
    </row>
    <row r="40" spans="1:7">
      <c r="A40">
        <v>24</v>
      </c>
      <c r="B40" t="s">
        <v>750</v>
      </c>
      <c r="C40" t="s">
        <v>4650</v>
      </c>
      <c r="D40" t="s">
        <v>4651</v>
      </c>
      <c r="E40" t="s">
        <v>4652</v>
      </c>
      <c r="F40" t="s">
        <v>4613</v>
      </c>
      <c r="G40" t="s">
        <v>4293</v>
      </c>
    </row>
    <row r="41" spans="1:7">
      <c r="A41">
        <v>25</v>
      </c>
      <c r="B41" t="s">
        <v>779</v>
      </c>
      <c r="C41" t="s">
        <v>4648</v>
      </c>
      <c r="D41" t="s">
        <v>4653</v>
      </c>
      <c r="E41" t="s">
        <v>4612</v>
      </c>
      <c r="F41" t="s">
        <v>4613</v>
      </c>
      <c r="G41" t="s">
        <v>4293</v>
      </c>
    </row>
    <row r="42" spans="1:7">
      <c r="A42">
        <v>26</v>
      </c>
      <c r="B42" t="s">
        <v>748</v>
      </c>
      <c r="C42" t="s">
        <v>4648</v>
      </c>
      <c r="D42" t="s">
        <v>4654</v>
      </c>
      <c r="E42" t="s">
        <v>4622</v>
      </c>
      <c r="F42" t="s">
        <v>4655</v>
      </c>
      <c r="G42" t="s">
        <v>4293</v>
      </c>
    </row>
    <row r="43" spans="1:7">
      <c r="A43">
        <v>27</v>
      </c>
      <c r="B43" t="s">
        <v>675</v>
      </c>
      <c r="C43" t="s">
        <v>4648</v>
      </c>
      <c r="D43" t="s">
        <v>4656</v>
      </c>
      <c r="E43" t="s">
        <v>4622</v>
      </c>
      <c r="F43" t="s">
        <v>4657</v>
      </c>
      <c r="G43" t="s">
        <v>4293</v>
      </c>
    </row>
    <row r="44" spans="1:7">
      <c r="A44">
        <v>28</v>
      </c>
      <c r="B44" t="s">
        <v>183</v>
      </c>
      <c r="C44" t="s">
        <v>4648</v>
      </c>
      <c r="D44" t="s">
        <v>4658</v>
      </c>
      <c r="E44" t="s">
        <v>4622</v>
      </c>
      <c r="F44" t="s">
        <v>4659</v>
      </c>
      <c r="G44" t="s">
        <v>4293</v>
      </c>
    </row>
    <row r="45" spans="1:7">
      <c r="A45">
        <v>29</v>
      </c>
      <c r="B45" t="s">
        <v>746</v>
      </c>
      <c r="C45" t="s">
        <v>4648</v>
      </c>
      <c r="D45" t="s">
        <v>4660</v>
      </c>
      <c r="E45" t="s">
        <v>4612</v>
      </c>
      <c r="F45" t="s">
        <v>4613</v>
      </c>
      <c r="G45" t="s">
        <v>4293</v>
      </c>
    </row>
    <row r="46" spans="1:7">
      <c r="A46">
        <v>30</v>
      </c>
      <c r="B46" t="s">
        <v>747</v>
      </c>
      <c r="C46" t="s">
        <v>4648</v>
      </c>
      <c r="D46" t="s">
        <v>4661</v>
      </c>
      <c r="E46" t="s">
        <v>4612</v>
      </c>
      <c r="F46" t="s">
        <v>4613</v>
      </c>
      <c r="G46" t="s">
        <v>4293</v>
      </c>
    </row>
    <row r="47" spans="1:7">
      <c r="A47">
        <v>31</v>
      </c>
      <c r="B47" t="s">
        <v>190</v>
      </c>
      <c r="C47" t="s">
        <v>4648</v>
      </c>
      <c r="D47" t="s">
        <v>4662</v>
      </c>
      <c r="E47" t="s">
        <v>4612</v>
      </c>
      <c r="F47" t="s">
        <v>4613</v>
      </c>
      <c r="G47" t="s">
        <v>4293</v>
      </c>
    </row>
    <row r="48" spans="1:7">
      <c r="A48">
        <v>32</v>
      </c>
      <c r="B48" t="s">
        <v>780</v>
      </c>
      <c r="C48" t="s">
        <v>4648</v>
      </c>
      <c r="D48" t="s">
        <v>4663</v>
      </c>
      <c r="E48" t="s">
        <v>4652</v>
      </c>
      <c r="F48" t="s">
        <v>4613</v>
      </c>
      <c r="G48" t="s">
        <v>4293</v>
      </c>
    </row>
    <row r="49" spans="1:7">
      <c r="A49">
        <v>33</v>
      </c>
      <c r="B49" t="s">
        <v>715</v>
      </c>
      <c r="C49" t="s">
        <v>322</v>
      </c>
      <c r="D49" t="s">
        <v>4664</v>
      </c>
      <c r="E49" t="s">
        <v>4612</v>
      </c>
      <c r="F49" t="s">
        <v>4613</v>
      </c>
      <c r="G49" t="s">
        <v>4293</v>
      </c>
    </row>
    <row r="50" spans="1:7">
      <c r="A50">
        <v>34</v>
      </c>
      <c r="B50" t="s">
        <v>800</v>
      </c>
      <c r="C50" t="s">
        <v>4665</v>
      </c>
      <c r="D50" t="s">
        <v>4666</v>
      </c>
      <c r="E50" t="s">
        <v>4612</v>
      </c>
      <c r="F50" t="s">
        <v>4613</v>
      </c>
      <c r="G50" t="s">
        <v>4293</v>
      </c>
    </row>
    <row r="51" spans="1:7">
      <c r="A51">
        <v>35</v>
      </c>
      <c r="B51" t="s">
        <v>681</v>
      </c>
      <c r="C51" t="s">
        <v>4665</v>
      </c>
      <c r="D51" t="s">
        <v>4667</v>
      </c>
      <c r="E51" t="s">
        <v>4668</v>
      </c>
      <c r="F51" t="s">
        <v>4613</v>
      </c>
      <c r="G51" t="s">
        <v>4669</v>
      </c>
    </row>
    <row r="52" spans="1:7">
      <c r="A52">
        <v>36</v>
      </c>
      <c r="B52" t="s">
        <v>733</v>
      </c>
      <c r="C52" t="s">
        <v>4665</v>
      </c>
      <c r="D52" t="s">
        <v>4667</v>
      </c>
      <c r="E52" t="s">
        <v>4668</v>
      </c>
      <c r="F52" t="s">
        <v>4613</v>
      </c>
      <c r="G52" t="s">
        <v>4669</v>
      </c>
    </row>
    <row r="53" spans="1:7">
      <c r="A53">
        <v>37</v>
      </c>
      <c r="B53" t="s">
        <v>801</v>
      </c>
      <c r="C53" t="s">
        <v>4615</v>
      </c>
      <c r="D53" t="s">
        <v>4670</v>
      </c>
      <c r="E53" t="s">
        <v>4612</v>
      </c>
      <c r="F53" t="s">
        <v>4613</v>
      </c>
      <c r="G53" t="s">
        <v>4293</v>
      </c>
    </row>
    <row r="54" spans="1:7">
      <c r="A54">
        <v>38</v>
      </c>
      <c r="B54" t="s">
        <v>735</v>
      </c>
      <c r="C54" t="s">
        <v>4665</v>
      </c>
      <c r="D54" t="s">
        <v>4671</v>
      </c>
      <c r="E54" t="s">
        <v>4672</v>
      </c>
      <c r="F54" t="s">
        <v>4673</v>
      </c>
      <c r="G54" t="s">
        <v>4669</v>
      </c>
    </row>
    <row r="55" spans="1:7">
      <c r="A55">
        <v>39</v>
      </c>
      <c r="B55" t="s">
        <v>802</v>
      </c>
      <c r="C55" t="s">
        <v>4615</v>
      </c>
      <c r="D55" t="s">
        <v>4674</v>
      </c>
      <c r="E55" t="s">
        <v>4612</v>
      </c>
      <c r="F55" t="s">
        <v>4613</v>
      </c>
      <c r="G55" t="s">
        <v>4293</v>
      </c>
    </row>
    <row r="56" spans="1:7">
      <c r="A56">
        <v>40</v>
      </c>
      <c r="B56" t="s">
        <v>737</v>
      </c>
      <c r="C56" t="s">
        <v>4665</v>
      </c>
      <c r="D56" t="s">
        <v>4675</v>
      </c>
      <c r="E56" t="s">
        <v>4612</v>
      </c>
      <c r="F56" t="s">
        <v>4613</v>
      </c>
      <c r="G56" t="s">
        <v>4293</v>
      </c>
    </row>
    <row r="57" spans="1:7">
      <c r="A57">
        <v>41</v>
      </c>
      <c r="B57" t="s">
        <v>738</v>
      </c>
      <c r="C57" t="s">
        <v>4665</v>
      </c>
      <c r="D57" t="s">
        <v>4667</v>
      </c>
      <c r="E57" t="s">
        <v>4668</v>
      </c>
      <c r="F57" t="s">
        <v>4676</v>
      </c>
      <c r="G57" t="s">
        <v>4669</v>
      </c>
    </row>
    <row r="58" spans="1:7">
      <c r="A58">
        <v>42</v>
      </c>
      <c r="B58" t="s">
        <v>798</v>
      </c>
      <c r="C58" t="s">
        <v>4650</v>
      </c>
      <c r="D58" t="s">
        <v>4677</v>
      </c>
      <c r="E58" t="s">
        <v>4652</v>
      </c>
      <c r="F58" t="s">
        <v>4613</v>
      </c>
      <c r="G58" t="s">
        <v>4293</v>
      </c>
    </row>
    <row r="59" spans="1:7">
      <c r="A59">
        <v>43</v>
      </c>
      <c r="B59" t="s">
        <v>778</v>
      </c>
      <c r="C59" t="s">
        <v>4615</v>
      </c>
      <c r="D59" t="s">
        <v>4653</v>
      </c>
      <c r="E59" t="s">
        <v>4652</v>
      </c>
      <c r="F59" t="s">
        <v>4613</v>
      </c>
      <c r="G59" t="s">
        <v>4293</v>
      </c>
    </row>
    <row r="60" spans="1:7">
      <c r="A60">
        <v>44</v>
      </c>
      <c r="B60" t="s">
        <v>789</v>
      </c>
      <c r="C60" t="s">
        <v>4278</v>
      </c>
      <c r="D60" t="s">
        <v>4678</v>
      </c>
      <c r="E60" t="s">
        <v>4652</v>
      </c>
      <c r="F60" t="s">
        <v>4613</v>
      </c>
      <c r="G60" t="s">
        <v>4293</v>
      </c>
    </row>
    <row r="61" spans="1:7">
      <c r="A61">
        <v>45</v>
      </c>
      <c r="B61" t="s">
        <v>791</v>
      </c>
      <c r="C61" t="s">
        <v>1488</v>
      </c>
      <c r="D61" t="s">
        <v>4679</v>
      </c>
      <c r="E61" t="s">
        <v>4612</v>
      </c>
      <c r="F61" t="s">
        <v>4613</v>
      </c>
      <c r="G61" t="s">
        <v>4293</v>
      </c>
    </row>
    <row r="62" spans="1:7">
      <c r="A62">
        <v>46</v>
      </c>
      <c r="B62" t="s">
        <v>770</v>
      </c>
      <c r="C62" t="s">
        <v>4278</v>
      </c>
      <c r="D62" t="s">
        <v>4680</v>
      </c>
      <c r="E62" t="s">
        <v>4622</v>
      </c>
      <c r="F62" t="s">
        <v>4681</v>
      </c>
      <c r="G62" t="s">
        <v>4293</v>
      </c>
    </row>
    <row r="63" spans="1:7">
      <c r="A63">
        <v>47</v>
      </c>
      <c r="B63" t="s">
        <v>795</v>
      </c>
      <c r="C63" t="s">
        <v>1488</v>
      </c>
      <c r="D63" t="s">
        <v>4682</v>
      </c>
      <c r="E63" t="s">
        <v>4612</v>
      </c>
      <c r="F63" t="s">
        <v>4613</v>
      </c>
      <c r="G63" t="s">
        <v>4293</v>
      </c>
    </row>
    <row r="64" spans="1:7">
      <c r="A64">
        <v>48</v>
      </c>
      <c r="B64" t="s">
        <v>796</v>
      </c>
      <c r="C64" t="s">
        <v>1488</v>
      </c>
      <c r="D64" t="s">
        <v>4682</v>
      </c>
      <c r="E64" t="s">
        <v>4612</v>
      </c>
      <c r="F64" t="s">
        <v>4613</v>
      </c>
      <c r="G64" t="s">
        <v>4293</v>
      </c>
    </row>
    <row r="65" spans="1:7">
      <c r="A65">
        <v>49</v>
      </c>
      <c r="B65" t="s">
        <v>797</v>
      </c>
      <c r="C65" t="s">
        <v>1488</v>
      </c>
      <c r="D65" t="s">
        <v>4682</v>
      </c>
      <c r="E65" t="s">
        <v>4612</v>
      </c>
      <c r="F65" t="s">
        <v>4613</v>
      </c>
      <c r="G65" t="s">
        <v>4293</v>
      </c>
    </row>
    <row r="66" spans="1:7">
      <c r="A66">
        <v>50</v>
      </c>
      <c r="B66" t="s">
        <v>706</v>
      </c>
      <c r="C66" t="s">
        <v>4615</v>
      </c>
      <c r="D66" t="s">
        <v>4683</v>
      </c>
      <c r="E66" t="s">
        <v>4612</v>
      </c>
      <c r="F66" t="s">
        <v>4613</v>
      </c>
      <c r="G66" t="s">
        <v>4293</v>
      </c>
    </row>
    <row r="67" spans="1:7">
      <c r="A67">
        <v>51</v>
      </c>
      <c r="B67" t="s">
        <v>809</v>
      </c>
      <c r="C67" t="s">
        <v>4665</v>
      </c>
      <c r="D67" t="s">
        <v>4684</v>
      </c>
      <c r="E67" t="s">
        <v>4622</v>
      </c>
      <c r="F67" t="s">
        <v>4613</v>
      </c>
      <c r="G67" t="s">
        <v>4293</v>
      </c>
    </row>
    <row r="68" spans="1:7">
      <c r="A68">
        <v>52</v>
      </c>
      <c r="B68" t="s">
        <v>803</v>
      </c>
      <c r="C68" t="s">
        <v>4665</v>
      </c>
      <c r="D68" t="s">
        <v>4685</v>
      </c>
      <c r="E68" t="s">
        <v>4686</v>
      </c>
      <c r="F68" t="s">
        <v>4613</v>
      </c>
      <c r="G68" t="s">
        <v>4293</v>
      </c>
    </row>
    <row r="69" spans="1:7">
      <c r="A69">
        <v>53</v>
      </c>
      <c r="B69" t="s">
        <v>804</v>
      </c>
      <c r="C69" t="s">
        <v>4665</v>
      </c>
      <c r="D69" t="s">
        <v>4687</v>
      </c>
      <c r="E69" t="s">
        <v>4686</v>
      </c>
      <c r="F69" t="s">
        <v>4613</v>
      </c>
      <c r="G69" t="s">
        <v>4293</v>
      </c>
    </row>
    <row r="70" spans="1:7">
      <c r="A70">
        <v>54</v>
      </c>
      <c r="B70" t="s">
        <v>805</v>
      </c>
      <c r="C70" t="s">
        <v>4665</v>
      </c>
      <c r="D70" t="s">
        <v>4688</v>
      </c>
      <c r="E70" t="s">
        <v>4686</v>
      </c>
      <c r="F70" t="s">
        <v>4613</v>
      </c>
      <c r="G70" t="s">
        <v>4293</v>
      </c>
    </row>
    <row r="71" spans="1:7">
      <c r="A71">
        <v>55</v>
      </c>
      <c r="B71" t="s">
        <v>806</v>
      </c>
      <c r="C71" t="s">
        <v>4665</v>
      </c>
      <c r="D71" t="s">
        <v>4689</v>
      </c>
      <c r="E71" t="s">
        <v>4686</v>
      </c>
      <c r="F71" t="s">
        <v>4613</v>
      </c>
      <c r="G71" t="s">
        <v>4293</v>
      </c>
    </row>
    <row r="72" spans="1:7">
      <c r="A72">
        <v>56</v>
      </c>
      <c r="B72" t="s">
        <v>807</v>
      </c>
      <c r="C72" t="s">
        <v>4665</v>
      </c>
      <c r="D72" t="s">
        <v>4690</v>
      </c>
      <c r="E72" t="s">
        <v>4686</v>
      </c>
      <c r="F72" t="s">
        <v>4613</v>
      </c>
      <c r="G72" t="s">
        <v>4293</v>
      </c>
    </row>
    <row r="73" spans="1:7">
      <c r="A73">
        <v>57</v>
      </c>
      <c r="B73" t="s">
        <v>808</v>
      </c>
      <c r="C73" t="s">
        <v>4665</v>
      </c>
      <c r="D73" t="s">
        <v>4674</v>
      </c>
      <c r="E73" t="s">
        <v>4686</v>
      </c>
      <c r="F73" t="s">
        <v>4613</v>
      </c>
      <c r="G73" t="s">
        <v>4293</v>
      </c>
    </row>
    <row r="74" spans="1:7">
      <c r="A74">
        <v>58</v>
      </c>
      <c r="B74" t="s">
        <v>741</v>
      </c>
      <c r="C74" t="s">
        <v>4665</v>
      </c>
      <c r="D74" t="s">
        <v>4691</v>
      </c>
      <c r="E74" t="s">
        <v>4668</v>
      </c>
      <c r="F74" t="s">
        <v>4692</v>
      </c>
      <c r="G74" t="s">
        <v>4669</v>
      </c>
    </row>
    <row r="75" spans="1:7">
      <c r="A75">
        <v>59</v>
      </c>
      <c r="B75" t="s">
        <v>36</v>
      </c>
      <c r="C75" t="s">
        <v>4665</v>
      </c>
      <c r="D75" t="s">
        <v>4693</v>
      </c>
      <c r="E75" t="s">
        <v>4668</v>
      </c>
      <c r="F75" t="s">
        <v>4694</v>
      </c>
      <c r="G75" t="s">
        <v>4669</v>
      </c>
    </row>
    <row r="76" spans="1:7">
      <c r="A76">
        <v>60</v>
      </c>
      <c r="B76" t="s">
        <v>311</v>
      </c>
      <c r="C76" t="s">
        <v>4665</v>
      </c>
      <c r="D76" t="s">
        <v>4667</v>
      </c>
      <c r="E76" t="s">
        <v>4668</v>
      </c>
      <c r="F76" t="s">
        <v>4695</v>
      </c>
      <c r="G76" t="s">
        <v>4669</v>
      </c>
    </row>
    <row r="77" spans="1:7">
      <c r="A77">
        <v>61</v>
      </c>
      <c r="B77" t="s">
        <v>318</v>
      </c>
      <c r="C77" t="s">
        <v>4665</v>
      </c>
      <c r="D77" t="s">
        <v>4661</v>
      </c>
      <c r="E77" t="s">
        <v>4668</v>
      </c>
      <c r="F77" t="s">
        <v>4696</v>
      </c>
      <c r="G77" t="s">
        <v>4669</v>
      </c>
    </row>
    <row r="78" spans="1:7">
      <c r="A78">
        <v>62</v>
      </c>
      <c r="B78" t="s">
        <v>31</v>
      </c>
      <c r="C78" t="s">
        <v>4665</v>
      </c>
      <c r="D78" t="s">
        <v>4697</v>
      </c>
      <c r="E78" t="s">
        <v>4668</v>
      </c>
      <c r="F78" t="s">
        <v>4613</v>
      </c>
      <c r="G78" t="s">
        <v>4293</v>
      </c>
    </row>
    <row r="79" spans="1:7">
      <c r="A79">
        <v>63</v>
      </c>
      <c r="B79" t="s">
        <v>742</v>
      </c>
      <c r="C79" t="s">
        <v>4615</v>
      </c>
      <c r="D79" t="s">
        <v>4698</v>
      </c>
      <c r="E79" t="s">
        <v>4672</v>
      </c>
      <c r="F79" t="s">
        <v>4699</v>
      </c>
      <c r="G79" t="s">
        <v>4669</v>
      </c>
    </row>
    <row r="80" spans="1:7">
      <c r="A80">
        <v>64</v>
      </c>
      <c r="B80" t="s">
        <v>196</v>
      </c>
      <c r="C80" t="s">
        <v>4648</v>
      </c>
      <c r="D80" t="s">
        <v>4700</v>
      </c>
      <c r="E80" t="s">
        <v>4668</v>
      </c>
      <c r="F80" t="s">
        <v>4701</v>
      </c>
      <c r="G80" t="s">
        <v>4702</v>
      </c>
    </row>
    <row r="81" spans="1:7">
      <c r="A81">
        <v>65</v>
      </c>
      <c r="B81" t="s">
        <v>202</v>
      </c>
      <c r="C81" t="s">
        <v>4648</v>
      </c>
      <c r="D81" t="s">
        <v>4700</v>
      </c>
      <c r="E81" t="s">
        <v>4668</v>
      </c>
      <c r="F81" t="s">
        <v>4703</v>
      </c>
      <c r="G81" t="s">
        <v>4702</v>
      </c>
    </row>
    <row r="82" spans="1:7">
      <c r="A82">
        <v>66</v>
      </c>
      <c r="B82" t="s">
        <v>752</v>
      </c>
      <c r="C82" t="s">
        <v>4648</v>
      </c>
      <c r="D82" t="s">
        <v>4704</v>
      </c>
      <c r="E82" t="s">
        <v>4668</v>
      </c>
      <c r="F82" t="s">
        <v>4705</v>
      </c>
      <c r="G82" t="s">
        <v>4702</v>
      </c>
    </row>
    <row r="83" spans="1:7">
      <c r="A83">
        <v>67</v>
      </c>
      <c r="B83" t="s">
        <v>753</v>
      </c>
      <c r="C83" t="s">
        <v>4648</v>
      </c>
      <c r="D83" t="s">
        <v>4706</v>
      </c>
      <c r="E83" t="s">
        <v>4672</v>
      </c>
      <c r="F83" t="s">
        <v>4707</v>
      </c>
      <c r="G83" t="s">
        <v>4702</v>
      </c>
    </row>
    <row r="84" spans="1:7">
      <c r="A84">
        <v>68</v>
      </c>
      <c r="B84" t="s">
        <v>754</v>
      </c>
      <c r="C84" t="s">
        <v>4648</v>
      </c>
      <c r="D84" t="s">
        <v>4700</v>
      </c>
      <c r="E84" t="s">
        <v>4668</v>
      </c>
      <c r="F84" t="s">
        <v>4708</v>
      </c>
      <c r="G84" t="s">
        <v>4702</v>
      </c>
    </row>
    <row r="85" spans="1:7">
      <c r="A85">
        <v>69</v>
      </c>
      <c r="B85" t="s">
        <v>755</v>
      </c>
      <c r="C85" t="s">
        <v>4648</v>
      </c>
      <c r="D85" t="s">
        <v>4700</v>
      </c>
      <c r="E85" t="s">
        <v>4668</v>
      </c>
      <c r="F85" t="s">
        <v>4709</v>
      </c>
      <c r="G85" t="s">
        <v>4702</v>
      </c>
    </row>
    <row r="86" spans="1:7">
      <c r="A86">
        <v>70</v>
      </c>
      <c r="B86" t="s">
        <v>208</v>
      </c>
      <c r="C86" t="s">
        <v>4648</v>
      </c>
      <c r="D86" t="s">
        <v>4710</v>
      </c>
      <c r="E86" t="s">
        <v>4622</v>
      </c>
      <c r="F86" t="s">
        <v>4711</v>
      </c>
      <c r="G86" t="s">
        <v>4712</v>
      </c>
    </row>
    <row r="87" spans="1:7">
      <c r="A87">
        <v>71</v>
      </c>
      <c r="B87" t="s">
        <v>781</v>
      </c>
      <c r="C87" t="s">
        <v>4278</v>
      </c>
      <c r="D87" t="s">
        <v>4630</v>
      </c>
      <c r="E87" t="s">
        <v>4612</v>
      </c>
      <c r="F87" t="s">
        <v>4613</v>
      </c>
      <c r="G87" t="s">
        <v>4713</v>
      </c>
    </row>
    <row r="88" spans="1:7">
      <c r="A88">
        <v>72</v>
      </c>
      <c r="B88" t="s">
        <v>782</v>
      </c>
      <c r="C88" t="s">
        <v>1488</v>
      </c>
      <c r="D88" t="s">
        <v>4679</v>
      </c>
      <c r="E88" t="s">
        <v>4612</v>
      </c>
      <c r="F88" t="s">
        <v>4613</v>
      </c>
      <c r="G88" t="s">
        <v>4713</v>
      </c>
    </row>
    <row r="89" spans="1:7">
      <c r="A89">
        <v>73</v>
      </c>
      <c r="B89" t="s">
        <v>783</v>
      </c>
      <c r="C89" t="s">
        <v>4278</v>
      </c>
      <c r="D89" t="s">
        <v>4714</v>
      </c>
      <c r="E89" t="s">
        <v>4622</v>
      </c>
      <c r="F89" t="s">
        <v>4715</v>
      </c>
      <c r="G89" t="s">
        <v>4293</v>
      </c>
    </row>
    <row r="90" spans="1:7">
      <c r="A90">
        <v>74</v>
      </c>
      <c r="B90" t="s">
        <v>731</v>
      </c>
      <c r="C90" t="s">
        <v>4665</v>
      </c>
      <c r="D90" t="s">
        <v>4716</v>
      </c>
      <c r="E90" t="s">
        <v>4622</v>
      </c>
      <c r="F90" t="s">
        <v>4717</v>
      </c>
      <c r="G90" t="s">
        <v>4293</v>
      </c>
    </row>
    <row r="91" spans="1:7">
      <c r="A91">
        <v>75</v>
      </c>
      <c r="B91" t="s">
        <v>734</v>
      </c>
      <c r="C91" t="s">
        <v>4665</v>
      </c>
      <c r="D91" t="s">
        <v>4718</v>
      </c>
      <c r="E91" t="s">
        <v>4672</v>
      </c>
      <c r="F91" t="s">
        <v>4719</v>
      </c>
      <c r="G91" t="s">
        <v>4293</v>
      </c>
    </row>
    <row r="92" spans="1:7">
      <c r="A92">
        <v>76</v>
      </c>
      <c r="B92" t="s">
        <v>732</v>
      </c>
      <c r="C92" t="s">
        <v>4665</v>
      </c>
      <c r="D92" t="s">
        <v>4720</v>
      </c>
      <c r="E92" t="s">
        <v>4672</v>
      </c>
      <c r="F92" t="s">
        <v>4613</v>
      </c>
      <c r="G92" t="s">
        <v>4293</v>
      </c>
    </row>
    <row r="93" spans="1:7">
      <c r="A93">
        <v>77</v>
      </c>
      <c r="B93" t="s">
        <v>736</v>
      </c>
      <c r="C93" t="s">
        <v>4665</v>
      </c>
      <c r="D93" t="s">
        <v>4662</v>
      </c>
      <c r="E93" t="s">
        <v>4668</v>
      </c>
      <c r="F93" t="s">
        <v>4721</v>
      </c>
      <c r="G93" t="s">
        <v>4669</v>
      </c>
    </row>
    <row r="94" spans="1:7">
      <c r="A94">
        <v>78</v>
      </c>
      <c r="B94" t="s">
        <v>739</v>
      </c>
      <c r="C94" t="s">
        <v>4615</v>
      </c>
      <c r="D94" t="s">
        <v>4722</v>
      </c>
      <c r="E94" t="s">
        <v>4622</v>
      </c>
      <c r="F94" t="s">
        <v>4723</v>
      </c>
      <c r="G94" t="s">
        <v>4293</v>
      </c>
    </row>
    <row r="95" spans="1:7">
      <c r="A95">
        <v>79</v>
      </c>
      <c r="B95" t="s">
        <v>740</v>
      </c>
      <c r="C95" t="s">
        <v>4665</v>
      </c>
      <c r="D95" t="s">
        <v>4724</v>
      </c>
      <c r="E95" t="s">
        <v>4622</v>
      </c>
      <c r="F95" t="s">
        <v>4725</v>
      </c>
      <c r="G95" t="s">
        <v>4293</v>
      </c>
    </row>
    <row r="96" spans="1:7">
      <c r="A96">
        <v>80</v>
      </c>
      <c r="B96" t="s">
        <v>799</v>
      </c>
      <c r="C96" t="s">
        <v>4665</v>
      </c>
      <c r="D96" t="s">
        <v>4726</v>
      </c>
      <c r="E96" t="s">
        <v>4652</v>
      </c>
      <c r="F96" t="s">
        <v>4613</v>
      </c>
      <c r="G96" t="s">
        <v>4293</v>
      </c>
    </row>
    <row r="97" spans="1:7">
      <c r="A97">
        <v>81</v>
      </c>
      <c r="B97" t="s">
        <v>787</v>
      </c>
      <c r="C97" t="s">
        <v>4278</v>
      </c>
      <c r="D97" t="s">
        <v>4727</v>
      </c>
      <c r="E97" t="s">
        <v>4686</v>
      </c>
      <c r="F97" t="s">
        <v>4613</v>
      </c>
      <c r="G97" t="s">
        <v>4728</v>
      </c>
    </row>
    <row r="98" spans="1:7">
      <c r="A98">
        <v>82</v>
      </c>
      <c r="B98" t="s">
        <v>708</v>
      </c>
      <c r="C98" t="s">
        <v>1488</v>
      </c>
      <c r="D98" t="s">
        <v>4729</v>
      </c>
      <c r="E98" t="s">
        <v>4622</v>
      </c>
      <c r="F98" t="s">
        <v>4730</v>
      </c>
      <c r="G98" t="s">
        <v>4293</v>
      </c>
    </row>
    <row r="99" spans="1:7">
      <c r="A99">
        <v>83</v>
      </c>
      <c r="B99" t="s">
        <v>709</v>
      </c>
      <c r="C99" t="s">
        <v>4278</v>
      </c>
      <c r="D99" t="s">
        <v>4731</v>
      </c>
      <c r="E99" t="s">
        <v>4622</v>
      </c>
      <c r="F99" t="s">
        <v>4732</v>
      </c>
      <c r="G99" t="s">
        <v>4293</v>
      </c>
    </row>
    <row r="100" spans="1:7">
      <c r="A100">
        <v>84</v>
      </c>
      <c r="B100" t="s">
        <v>785</v>
      </c>
      <c r="C100" t="s">
        <v>1488</v>
      </c>
      <c r="D100" t="s">
        <v>4679</v>
      </c>
      <c r="E100" t="s">
        <v>4612</v>
      </c>
      <c r="F100" t="s">
        <v>4613</v>
      </c>
      <c r="G100" t="s">
        <v>4713</v>
      </c>
    </row>
    <row r="101" spans="1:7">
      <c r="A101">
        <v>85</v>
      </c>
      <c r="B101" t="s">
        <v>786</v>
      </c>
      <c r="C101" t="s">
        <v>4278</v>
      </c>
      <c r="D101" t="s">
        <v>4733</v>
      </c>
      <c r="E101" t="s">
        <v>4612</v>
      </c>
      <c r="F101" t="s">
        <v>4613</v>
      </c>
      <c r="G101" t="s">
        <v>4293</v>
      </c>
    </row>
    <row r="102" spans="1:7">
      <c r="A102">
        <v>86</v>
      </c>
      <c r="B102" t="s">
        <v>792</v>
      </c>
      <c r="C102" t="s">
        <v>4650</v>
      </c>
      <c r="D102" t="s">
        <v>4734</v>
      </c>
      <c r="E102" t="s">
        <v>4652</v>
      </c>
      <c r="F102" t="s">
        <v>4613</v>
      </c>
      <c r="G102" t="s">
        <v>4293</v>
      </c>
    </row>
    <row r="105" spans="1:7">
      <c r="A105" s="183" t="s">
        <v>4735</v>
      </c>
      <c r="B105" s="183" t="s">
        <v>1458</v>
      </c>
      <c r="C105" s="183" t="s">
        <v>2723</v>
      </c>
      <c r="D105" s="183" t="s">
        <v>4736</v>
      </c>
    </row>
    <row r="106" spans="1:7">
      <c r="A106" t="s">
        <v>4737</v>
      </c>
      <c r="B106" t="s">
        <v>4738</v>
      </c>
      <c r="C106" t="s">
        <v>4739</v>
      </c>
      <c r="D106" t="s">
        <v>4740</v>
      </c>
    </row>
    <row r="107" spans="1:7">
      <c r="A107" t="s">
        <v>4741</v>
      </c>
      <c r="B107" t="s">
        <v>4742</v>
      </c>
      <c r="C107" t="s">
        <v>4743</v>
      </c>
      <c r="D107" t="s">
        <v>4744</v>
      </c>
    </row>
    <row r="108" spans="1:7">
      <c r="A108" t="s">
        <v>4745</v>
      </c>
      <c r="B108" t="s">
        <v>4746</v>
      </c>
      <c r="C108" t="s">
        <v>4747</v>
      </c>
      <c r="D108" t="s">
        <v>4748</v>
      </c>
    </row>
    <row r="109" spans="1:7">
      <c r="A109" t="s">
        <v>4749</v>
      </c>
      <c r="B109" t="s">
        <v>4750</v>
      </c>
      <c r="C109" t="s">
        <v>4751</v>
      </c>
      <c r="D109" t="s">
        <v>4752</v>
      </c>
    </row>
    <row r="110" spans="1:7">
      <c r="A110" t="s">
        <v>4753</v>
      </c>
      <c r="B110" t="s">
        <v>4754</v>
      </c>
      <c r="C110" t="s">
        <v>4755</v>
      </c>
      <c r="D110" t="s">
        <v>4756</v>
      </c>
    </row>
    <row r="111" spans="1:7">
      <c r="A111" t="s">
        <v>4757</v>
      </c>
      <c r="B111" t="s">
        <v>4758</v>
      </c>
      <c r="C111" t="s">
        <v>4759</v>
      </c>
      <c r="D111" t="s">
        <v>4760</v>
      </c>
    </row>
    <row r="112" spans="1:7">
      <c r="A112" t="s">
        <v>4761</v>
      </c>
      <c r="B112" t="s">
        <v>4762</v>
      </c>
      <c r="C112" t="s">
        <v>4763</v>
      </c>
      <c r="D112" t="s">
        <v>4764</v>
      </c>
    </row>
    <row r="113" spans="1:4">
      <c r="A113" t="s">
        <v>4765</v>
      </c>
      <c r="B113" t="s">
        <v>4766</v>
      </c>
      <c r="C113" t="s">
        <v>4767</v>
      </c>
      <c r="D113" t="s">
        <v>4768</v>
      </c>
    </row>
    <row r="114" spans="1:4">
      <c r="A114" t="s">
        <v>4769</v>
      </c>
      <c r="B114" t="s">
        <v>4770</v>
      </c>
      <c r="C114" t="s">
        <v>4771</v>
      </c>
      <c r="D114" t="s">
        <v>4565</v>
      </c>
    </row>
    <row r="118" spans="1:4">
      <c r="A118" s="183" t="s">
        <v>248</v>
      </c>
      <c r="B118" s="183" t="s">
        <v>696</v>
      </c>
      <c r="C118" s="183" t="s">
        <v>3513</v>
      </c>
      <c r="D118" s="183" t="s">
        <v>253</v>
      </c>
    </row>
    <row r="119" spans="1:4">
      <c r="A119">
        <v>1</v>
      </c>
      <c r="B119" t="s">
        <v>4772</v>
      </c>
      <c r="C119" t="s">
        <v>4773</v>
      </c>
      <c r="D119" t="s">
        <v>4774</v>
      </c>
    </row>
    <row r="120" spans="1:4">
      <c r="A120">
        <v>2</v>
      </c>
      <c r="B120" t="s">
        <v>4775</v>
      </c>
      <c r="C120" t="s">
        <v>4776</v>
      </c>
      <c r="D120" t="s">
        <v>4777</v>
      </c>
    </row>
    <row r="121" spans="1:4">
      <c r="A121">
        <v>3</v>
      </c>
      <c r="B121" t="s">
        <v>4778</v>
      </c>
      <c r="C121" t="s">
        <v>4779</v>
      </c>
      <c r="D121" t="s">
        <v>4780</v>
      </c>
    </row>
    <row r="122" spans="1:4">
      <c r="A122">
        <v>4</v>
      </c>
      <c r="B122" t="s">
        <v>4781</v>
      </c>
      <c r="C122" t="s">
        <v>4782</v>
      </c>
      <c r="D122" t="s">
        <v>4783</v>
      </c>
    </row>
    <row r="123" spans="1:4">
      <c r="A123">
        <v>5</v>
      </c>
      <c r="B123" t="s">
        <v>4784</v>
      </c>
      <c r="C123" t="s">
        <v>4785</v>
      </c>
      <c r="D123" t="s">
        <v>4786</v>
      </c>
    </row>
  </sheetData>
  <conditionalFormatting sqref="B5:B12">
    <cfRule type="expression" dxfId="20" priority="6">
      <formula>ISNUMBER(SEARCH("🟢",B5))</formula>
    </cfRule>
    <cfRule type="expression" dxfId="19" priority="7">
      <formula>ISNUMBER(SEARCH("🟡",B5))</formula>
    </cfRule>
    <cfRule type="expression" dxfId="18" priority="8">
      <formula>ISNUMBER(SEARCH("🔴",B5))</formula>
    </cfRule>
    <cfRule type="expression" dxfId="17" priority="9">
      <formula>ISNUMBER(SEARCH("Operativa",B5))</formula>
    </cfRule>
    <cfRule type="expression" dxfId="16" priority="10">
      <formula>ISNUMBER(SEARCH("falta data",B5))</formula>
    </cfRule>
  </conditionalFormatting>
  <conditionalFormatting sqref="E17:E102">
    <cfRule type="expression" dxfId="15" priority="1">
      <formula>ISNUMBER(SEARCH("🟢",E17))</formula>
    </cfRule>
    <cfRule type="expression" dxfId="14" priority="2">
      <formula>ISNUMBER(SEARCH("🟡",E17))</formula>
    </cfRule>
    <cfRule type="expression" dxfId="13" priority="3">
      <formula>ISNUMBER(SEARCH("🔴",E17))</formula>
    </cfRule>
    <cfRule type="expression" dxfId="12" priority="4">
      <formula>ISNUMBER(SEARCH("Operativa",E17))</formula>
    </cfRule>
    <cfRule type="expression" dxfId="11" priority="5">
      <formula>ISNUMBER(SEARCH("falta data",E17))</formula>
    </cfRule>
  </conditionalFormatting>
  <conditionalFormatting sqref="I5:I8">
    <cfRule type="expression" dxfId="10" priority="11">
      <formula>ISNUMBER(SEARCH("🟢",I5))</formula>
    </cfRule>
    <cfRule type="expression" dxfId="9" priority="12">
      <formula>ISNUMBER(SEARCH("🟡",I5))</formula>
    </cfRule>
    <cfRule type="expression" dxfId="8" priority="13">
      <formula>ISNUMBER(SEARCH("🔴",I5))</formula>
    </cfRule>
    <cfRule type="expression" dxfId="7" priority="14">
      <formula>ISNUMBER(SEARCH("Operativa",I5))</formula>
    </cfRule>
    <cfRule type="expression" dxfId="6" priority="15">
      <formula>ISNUMBER(SEARCH("falta data",I5))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BFBFBF"/>
  </sheetPr>
  <dimension ref="A1:G13"/>
  <sheetViews>
    <sheetView showGridLines="0" workbookViewId="0"/>
  </sheetViews>
  <sheetFormatPr baseColWidth="10" defaultColWidth="8.7265625" defaultRowHeight="14.5"/>
  <cols>
    <col min="1" max="1" width="38" customWidth="1"/>
    <col min="2" max="2" width="22" customWidth="1"/>
    <col min="3" max="3" width="10" customWidth="1"/>
    <col min="4" max="4" width="32" customWidth="1"/>
    <col min="5" max="5" width="23" customWidth="1"/>
    <col min="6" max="6" width="10" customWidth="1"/>
    <col min="7" max="7" width="30" customWidth="1"/>
  </cols>
  <sheetData>
    <row r="1" spans="1:7" ht="37" customHeight="1">
      <c r="A1" s="503" t="s">
        <v>4787</v>
      </c>
      <c r="B1" s="504"/>
      <c r="C1" s="504"/>
      <c r="D1" s="504"/>
      <c r="E1" s="504"/>
      <c r="F1" s="504"/>
      <c r="G1" s="505"/>
    </row>
    <row r="3" spans="1:7">
      <c r="A3" s="153" t="s">
        <v>67</v>
      </c>
      <c r="B3" s="153" t="s">
        <v>3616</v>
      </c>
      <c r="C3" s="153" t="s">
        <v>655</v>
      </c>
      <c r="D3" s="153" t="s">
        <v>4788</v>
      </c>
      <c r="E3" s="153" t="s">
        <v>252</v>
      </c>
      <c r="F3" s="153" t="s">
        <v>2181</v>
      </c>
      <c r="G3" s="153" t="s">
        <v>11</v>
      </c>
    </row>
    <row r="4" spans="1:7">
      <c r="A4" s="154" t="s">
        <v>4789</v>
      </c>
      <c r="B4" s="154" t="s">
        <v>809</v>
      </c>
      <c r="C4" s="154" t="s">
        <v>4790</v>
      </c>
      <c r="D4" s="154" t="s">
        <v>4791</v>
      </c>
      <c r="E4" s="154" t="s">
        <v>4792</v>
      </c>
      <c r="F4" s="154" t="s">
        <v>2197</v>
      </c>
      <c r="G4" s="154" t="s">
        <v>4793</v>
      </c>
    </row>
    <row r="5" spans="1:7">
      <c r="A5" s="154" t="s">
        <v>4789</v>
      </c>
      <c r="B5" s="154" t="s">
        <v>803</v>
      </c>
      <c r="C5" s="154" t="s">
        <v>4790</v>
      </c>
      <c r="D5" s="154" t="s">
        <v>4794</v>
      </c>
      <c r="E5" s="154" t="s">
        <v>4795</v>
      </c>
      <c r="F5" s="154" t="s">
        <v>2197</v>
      </c>
      <c r="G5" s="154" t="s">
        <v>4796</v>
      </c>
    </row>
    <row r="6" spans="1:7">
      <c r="A6" s="154" t="s">
        <v>4789</v>
      </c>
      <c r="B6" s="154" t="s">
        <v>804</v>
      </c>
      <c r="C6" s="154" t="s">
        <v>4790</v>
      </c>
      <c r="D6" s="154" t="s">
        <v>4794</v>
      </c>
      <c r="E6" s="154" t="s">
        <v>4797</v>
      </c>
      <c r="F6" s="154" t="s">
        <v>2197</v>
      </c>
      <c r="G6" s="154" t="s">
        <v>4798</v>
      </c>
    </row>
    <row r="7" spans="1:7">
      <c r="A7" s="154" t="s">
        <v>4789</v>
      </c>
      <c r="B7" s="154" t="s">
        <v>805</v>
      </c>
      <c r="C7" s="154" t="s">
        <v>4790</v>
      </c>
      <c r="D7" s="154" t="s">
        <v>4794</v>
      </c>
      <c r="E7" s="154" t="s">
        <v>4799</v>
      </c>
      <c r="F7" s="154" t="s">
        <v>2197</v>
      </c>
      <c r="G7" s="154" t="s">
        <v>4800</v>
      </c>
    </row>
    <row r="8" spans="1:7">
      <c r="A8" s="154" t="s">
        <v>4789</v>
      </c>
      <c r="B8" s="154" t="s">
        <v>806</v>
      </c>
      <c r="C8" s="154" t="s">
        <v>4790</v>
      </c>
      <c r="D8" s="154" t="s">
        <v>4794</v>
      </c>
      <c r="E8" s="154" t="s">
        <v>4801</v>
      </c>
      <c r="F8" s="154" t="s">
        <v>2197</v>
      </c>
      <c r="G8" s="154" t="s">
        <v>4802</v>
      </c>
    </row>
    <row r="9" spans="1:7">
      <c r="A9" s="154" t="s">
        <v>4789</v>
      </c>
      <c r="B9" s="154" t="s">
        <v>807</v>
      </c>
      <c r="C9" s="154" t="s">
        <v>4790</v>
      </c>
      <c r="D9" s="154" t="s">
        <v>4794</v>
      </c>
      <c r="E9" s="154" t="s">
        <v>4803</v>
      </c>
      <c r="F9" s="154" t="s">
        <v>2197</v>
      </c>
      <c r="G9" s="154" t="s">
        <v>4804</v>
      </c>
    </row>
    <row r="10" spans="1:7">
      <c r="A10" s="154" t="s">
        <v>4789</v>
      </c>
      <c r="B10" s="154" t="s">
        <v>808</v>
      </c>
      <c r="C10" s="154" t="s">
        <v>4790</v>
      </c>
      <c r="D10" s="154" t="s">
        <v>4794</v>
      </c>
      <c r="E10" s="154" t="s">
        <v>4805</v>
      </c>
      <c r="F10" s="154" t="s">
        <v>2197</v>
      </c>
      <c r="G10" s="154" t="s">
        <v>4806</v>
      </c>
    </row>
    <row r="11" spans="1:7">
      <c r="A11" s="154" t="s">
        <v>3406</v>
      </c>
      <c r="B11" s="154" t="s">
        <v>4807</v>
      </c>
      <c r="C11" s="154" t="s">
        <v>4790</v>
      </c>
      <c r="D11" s="154" t="s">
        <v>4808</v>
      </c>
      <c r="E11" s="154" t="s">
        <v>4809</v>
      </c>
      <c r="F11" s="154" t="s">
        <v>2193</v>
      </c>
      <c r="G11" s="154" t="s">
        <v>4810</v>
      </c>
    </row>
    <row r="12" spans="1:7">
      <c r="A12" s="154" t="s">
        <v>184</v>
      </c>
      <c r="B12" s="154" t="s">
        <v>991</v>
      </c>
      <c r="C12" s="154" t="s">
        <v>4790</v>
      </c>
      <c r="D12" s="154" t="s">
        <v>4811</v>
      </c>
      <c r="E12" s="154" t="s">
        <v>4809</v>
      </c>
      <c r="F12" s="154" t="s">
        <v>2193</v>
      </c>
      <c r="G12" s="154" t="s">
        <v>4812</v>
      </c>
    </row>
    <row r="13" spans="1:7">
      <c r="A13" s="154" t="s">
        <v>157</v>
      </c>
      <c r="B13" s="154" t="s">
        <v>996</v>
      </c>
      <c r="C13" s="154" t="s">
        <v>4790</v>
      </c>
      <c r="D13" s="154" t="s">
        <v>4813</v>
      </c>
      <c r="E13" s="154" t="s">
        <v>4809</v>
      </c>
      <c r="F13" s="154" t="s">
        <v>2193</v>
      </c>
      <c r="G13" s="154" t="s">
        <v>4814</v>
      </c>
    </row>
  </sheetData>
  <mergeCells count="1">
    <mergeCell ref="A1:G1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BFBFBF"/>
  </sheetPr>
  <dimension ref="A1:G99"/>
  <sheetViews>
    <sheetView showGridLines="0" workbookViewId="0"/>
  </sheetViews>
  <sheetFormatPr baseColWidth="10" defaultColWidth="8.7265625" defaultRowHeight="14.5"/>
  <sheetData>
    <row r="1" spans="1:7">
      <c r="A1" t="s">
        <v>3616</v>
      </c>
      <c r="B1" t="s">
        <v>4321</v>
      </c>
      <c r="C1" t="s">
        <v>4322</v>
      </c>
      <c r="D1" t="s">
        <v>4815</v>
      </c>
      <c r="E1" t="s">
        <v>4816</v>
      </c>
      <c r="F1" t="s">
        <v>4341</v>
      </c>
      <c r="G1" t="s">
        <v>4817</v>
      </c>
    </row>
    <row r="2" spans="1:7">
      <c r="A2" t="s">
        <v>812</v>
      </c>
      <c r="B2">
        <v>116</v>
      </c>
      <c r="C2">
        <v>10</v>
      </c>
      <c r="D2">
        <v>1002</v>
      </c>
      <c r="E2">
        <v>0</v>
      </c>
      <c r="F2" t="s">
        <v>332</v>
      </c>
      <c r="G2" t="s">
        <v>4818</v>
      </c>
    </row>
    <row r="3" spans="1:7">
      <c r="A3" t="s">
        <v>703</v>
      </c>
      <c r="B3">
        <v>50</v>
      </c>
      <c r="C3">
        <v>2</v>
      </c>
      <c r="D3">
        <v>48</v>
      </c>
      <c r="E3">
        <v>0</v>
      </c>
      <c r="F3" t="s">
        <v>4819</v>
      </c>
      <c r="G3" t="s">
        <v>4818</v>
      </c>
    </row>
    <row r="4" spans="1:7">
      <c r="A4" t="s">
        <v>20</v>
      </c>
      <c r="B4">
        <v>204</v>
      </c>
      <c r="C4">
        <v>12</v>
      </c>
      <c r="D4">
        <v>672</v>
      </c>
      <c r="E4">
        <v>376</v>
      </c>
      <c r="F4" t="s">
        <v>332</v>
      </c>
      <c r="G4" t="s">
        <v>4818</v>
      </c>
    </row>
    <row r="5" spans="1:7">
      <c r="A5" t="s">
        <v>91</v>
      </c>
      <c r="B5">
        <v>204</v>
      </c>
      <c r="C5">
        <v>14</v>
      </c>
      <c r="D5">
        <v>2816</v>
      </c>
      <c r="E5">
        <v>2800</v>
      </c>
      <c r="F5" t="s">
        <v>332</v>
      </c>
      <c r="G5" t="s">
        <v>4818</v>
      </c>
    </row>
    <row r="6" spans="1:7">
      <c r="A6" t="s">
        <v>712</v>
      </c>
      <c r="B6">
        <v>40</v>
      </c>
      <c r="C6">
        <v>11</v>
      </c>
      <c r="D6">
        <v>62</v>
      </c>
      <c r="E6">
        <v>45</v>
      </c>
      <c r="F6" t="s">
        <v>4819</v>
      </c>
      <c r="G6" t="s">
        <v>4818</v>
      </c>
    </row>
    <row r="7" spans="1:7">
      <c r="A7" t="s">
        <v>714</v>
      </c>
      <c r="B7">
        <v>60</v>
      </c>
      <c r="C7">
        <v>13</v>
      </c>
      <c r="D7">
        <v>109</v>
      </c>
      <c r="E7">
        <v>66</v>
      </c>
      <c r="F7" t="s">
        <v>4819</v>
      </c>
      <c r="G7" t="s">
        <v>4818</v>
      </c>
    </row>
    <row r="8" spans="1:7">
      <c r="A8" t="s">
        <v>104</v>
      </c>
      <c r="B8">
        <v>40</v>
      </c>
      <c r="C8">
        <v>12</v>
      </c>
      <c r="D8">
        <v>182</v>
      </c>
      <c r="E8">
        <v>35</v>
      </c>
      <c r="F8" t="s">
        <v>1289</v>
      </c>
      <c r="G8" t="s">
        <v>4818</v>
      </c>
    </row>
    <row r="9" spans="1:7">
      <c r="A9" t="s">
        <v>708</v>
      </c>
      <c r="B9">
        <v>220</v>
      </c>
      <c r="C9">
        <v>17</v>
      </c>
      <c r="D9">
        <v>482</v>
      </c>
      <c r="E9">
        <v>400</v>
      </c>
      <c r="F9" t="s">
        <v>1289</v>
      </c>
      <c r="G9" t="s">
        <v>4818</v>
      </c>
    </row>
    <row r="10" spans="1:7">
      <c r="A10" t="s">
        <v>709</v>
      </c>
      <c r="B10">
        <v>80</v>
      </c>
      <c r="C10">
        <v>9</v>
      </c>
      <c r="D10">
        <v>65</v>
      </c>
      <c r="E10">
        <v>17</v>
      </c>
      <c r="F10" t="s">
        <v>4819</v>
      </c>
      <c r="G10" t="s">
        <v>4818</v>
      </c>
    </row>
    <row r="11" spans="1:7">
      <c r="A11" t="s">
        <v>156</v>
      </c>
      <c r="B11">
        <v>204</v>
      </c>
      <c r="C11">
        <v>15</v>
      </c>
      <c r="D11">
        <v>1321</v>
      </c>
      <c r="E11">
        <v>1220</v>
      </c>
      <c r="F11" t="s">
        <v>332</v>
      </c>
      <c r="G11" t="s">
        <v>4818</v>
      </c>
    </row>
    <row r="12" spans="1:7">
      <c r="A12" t="s">
        <v>164</v>
      </c>
      <c r="B12">
        <v>404</v>
      </c>
      <c r="C12">
        <v>15</v>
      </c>
      <c r="D12">
        <v>1783</v>
      </c>
      <c r="E12">
        <v>1221</v>
      </c>
      <c r="F12" t="s">
        <v>332</v>
      </c>
      <c r="G12" t="s">
        <v>4818</v>
      </c>
    </row>
    <row r="13" spans="1:7">
      <c r="A13" t="s">
        <v>170</v>
      </c>
      <c r="B13">
        <v>220</v>
      </c>
      <c r="C13">
        <v>15</v>
      </c>
      <c r="D13">
        <v>489</v>
      </c>
      <c r="E13">
        <v>451</v>
      </c>
      <c r="F13" t="s">
        <v>1289</v>
      </c>
      <c r="G13" t="s">
        <v>4818</v>
      </c>
    </row>
    <row r="14" spans="1:7">
      <c r="A14" t="s">
        <v>663</v>
      </c>
      <c r="B14">
        <v>220</v>
      </c>
      <c r="C14">
        <v>18</v>
      </c>
      <c r="D14">
        <v>1174</v>
      </c>
      <c r="E14">
        <v>1000</v>
      </c>
      <c r="F14" t="s">
        <v>332</v>
      </c>
      <c r="G14" t="s">
        <v>4818</v>
      </c>
    </row>
    <row r="15" spans="1:7">
      <c r="A15" t="s">
        <v>770</v>
      </c>
      <c r="B15">
        <v>30</v>
      </c>
      <c r="C15">
        <v>8</v>
      </c>
      <c r="D15">
        <v>91</v>
      </c>
      <c r="E15">
        <v>15</v>
      </c>
      <c r="F15" t="s">
        <v>4819</v>
      </c>
      <c r="G15" t="s">
        <v>4818</v>
      </c>
    </row>
    <row r="16" spans="1:7">
      <c r="A16" t="s">
        <v>183</v>
      </c>
      <c r="B16">
        <v>213</v>
      </c>
      <c r="C16">
        <v>16</v>
      </c>
      <c r="D16">
        <v>3030</v>
      </c>
      <c r="E16">
        <v>3006</v>
      </c>
      <c r="F16" t="s">
        <v>332</v>
      </c>
      <c r="G16" t="s">
        <v>4818</v>
      </c>
    </row>
    <row r="17" spans="1:7">
      <c r="A17" t="s">
        <v>746</v>
      </c>
      <c r="B17">
        <v>100</v>
      </c>
      <c r="C17">
        <v>9</v>
      </c>
      <c r="D17">
        <v>59</v>
      </c>
      <c r="E17">
        <v>36</v>
      </c>
      <c r="F17" t="s">
        <v>4819</v>
      </c>
      <c r="G17" t="s">
        <v>4818</v>
      </c>
    </row>
    <row r="18" spans="1:7">
      <c r="A18" t="s">
        <v>747</v>
      </c>
      <c r="B18">
        <v>220</v>
      </c>
      <c r="C18">
        <v>13</v>
      </c>
      <c r="D18">
        <v>2315</v>
      </c>
      <c r="E18">
        <v>2300</v>
      </c>
      <c r="F18" t="s">
        <v>332</v>
      </c>
      <c r="G18" t="s">
        <v>4818</v>
      </c>
    </row>
    <row r="19" spans="1:7">
      <c r="A19" t="s">
        <v>190</v>
      </c>
      <c r="B19">
        <v>204</v>
      </c>
      <c r="C19">
        <v>11</v>
      </c>
      <c r="D19">
        <v>2213</v>
      </c>
      <c r="E19">
        <v>2200</v>
      </c>
      <c r="F19" t="s">
        <v>332</v>
      </c>
      <c r="G19" t="s">
        <v>4818</v>
      </c>
    </row>
    <row r="20" spans="1:7">
      <c r="A20" t="s">
        <v>675</v>
      </c>
      <c r="B20">
        <v>202</v>
      </c>
      <c r="C20">
        <v>24</v>
      </c>
      <c r="D20">
        <v>446</v>
      </c>
      <c r="E20">
        <v>399</v>
      </c>
      <c r="F20" t="s">
        <v>1289</v>
      </c>
      <c r="G20" t="s">
        <v>4818</v>
      </c>
    </row>
    <row r="21" spans="1:7">
      <c r="A21" t="s">
        <v>748</v>
      </c>
      <c r="B21">
        <v>204</v>
      </c>
      <c r="C21">
        <v>14</v>
      </c>
      <c r="D21">
        <v>2816</v>
      </c>
      <c r="E21">
        <v>2800</v>
      </c>
      <c r="F21" t="s">
        <v>332</v>
      </c>
      <c r="G21" t="s">
        <v>4818</v>
      </c>
    </row>
    <row r="22" spans="1:7">
      <c r="A22" t="s">
        <v>749</v>
      </c>
      <c r="B22">
        <v>10</v>
      </c>
      <c r="C22">
        <v>10</v>
      </c>
      <c r="D22">
        <v>71</v>
      </c>
      <c r="E22">
        <v>0</v>
      </c>
      <c r="F22" t="s">
        <v>4819</v>
      </c>
      <c r="G22" t="s">
        <v>4818</v>
      </c>
    </row>
    <row r="23" spans="1:7">
      <c r="A23" t="s">
        <v>750</v>
      </c>
      <c r="B23">
        <v>10</v>
      </c>
      <c r="C23">
        <v>5</v>
      </c>
      <c r="D23">
        <v>36</v>
      </c>
      <c r="E23">
        <v>0</v>
      </c>
      <c r="F23" t="s">
        <v>4819</v>
      </c>
      <c r="G23" t="s">
        <v>4818</v>
      </c>
    </row>
    <row r="24" spans="1:7">
      <c r="A24" t="s">
        <v>731</v>
      </c>
      <c r="B24">
        <v>67</v>
      </c>
      <c r="C24">
        <v>12</v>
      </c>
      <c r="D24">
        <v>456</v>
      </c>
      <c r="E24">
        <v>253</v>
      </c>
      <c r="F24" t="s">
        <v>1289</v>
      </c>
      <c r="G24" t="s">
        <v>4818</v>
      </c>
    </row>
    <row r="25" spans="1:7">
      <c r="A25" t="s">
        <v>681</v>
      </c>
      <c r="B25">
        <v>4</v>
      </c>
      <c r="C25">
        <v>14</v>
      </c>
      <c r="D25">
        <v>16</v>
      </c>
      <c r="E25">
        <v>0</v>
      </c>
      <c r="F25" t="s">
        <v>4819</v>
      </c>
      <c r="G25" t="s">
        <v>4818</v>
      </c>
    </row>
    <row r="26" spans="1:7">
      <c r="A26" t="s">
        <v>732</v>
      </c>
      <c r="B26">
        <v>64</v>
      </c>
      <c r="C26">
        <v>12</v>
      </c>
      <c r="D26">
        <v>133</v>
      </c>
      <c r="E26">
        <v>0</v>
      </c>
      <c r="F26" t="s">
        <v>4819</v>
      </c>
      <c r="G26" t="s">
        <v>4818</v>
      </c>
    </row>
    <row r="27" spans="1:7">
      <c r="A27" t="s">
        <v>733</v>
      </c>
      <c r="B27">
        <v>4</v>
      </c>
      <c r="C27">
        <v>14</v>
      </c>
      <c r="D27">
        <v>16</v>
      </c>
      <c r="E27">
        <v>0</v>
      </c>
      <c r="F27" t="s">
        <v>4819</v>
      </c>
      <c r="G27" t="s">
        <v>4818</v>
      </c>
    </row>
    <row r="28" spans="1:7">
      <c r="A28" t="s">
        <v>734</v>
      </c>
      <c r="B28">
        <v>52</v>
      </c>
      <c r="C28">
        <v>19</v>
      </c>
      <c r="D28">
        <v>804</v>
      </c>
      <c r="E28">
        <v>519</v>
      </c>
      <c r="F28" t="s">
        <v>332</v>
      </c>
      <c r="G28" t="s">
        <v>4818</v>
      </c>
    </row>
    <row r="29" spans="1:7">
      <c r="A29" t="s">
        <v>735</v>
      </c>
      <c r="B29">
        <v>204</v>
      </c>
      <c r="C29">
        <v>16</v>
      </c>
      <c r="D29">
        <v>1418</v>
      </c>
      <c r="E29">
        <v>1200</v>
      </c>
      <c r="F29" t="s">
        <v>332</v>
      </c>
      <c r="G29" t="s">
        <v>4818</v>
      </c>
    </row>
    <row r="30" spans="1:7">
      <c r="A30" t="s">
        <v>736</v>
      </c>
      <c r="B30">
        <v>204</v>
      </c>
      <c r="C30">
        <v>12</v>
      </c>
      <c r="D30">
        <v>2013</v>
      </c>
      <c r="E30">
        <v>2000</v>
      </c>
      <c r="F30" t="s">
        <v>332</v>
      </c>
      <c r="G30" t="s">
        <v>4818</v>
      </c>
    </row>
    <row r="31" spans="1:7">
      <c r="A31" t="s">
        <v>737</v>
      </c>
      <c r="B31">
        <v>204</v>
      </c>
      <c r="C31">
        <v>12</v>
      </c>
      <c r="D31">
        <v>201</v>
      </c>
      <c r="E31">
        <v>34</v>
      </c>
      <c r="F31" t="s">
        <v>1289</v>
      </c>
      <c r="G31" t="s">
        <v>4818</v>
      </c>
    </row>
    <row r="32" spans="1:7">
      <c r="A32" t="s">
        <v>738</v>
      </c>
      <c r="B32">
        <v>204</v>
      </c>
      <c r="C32">
        <v>14</v>
      </c>
      <c r="D32">
        <v>2816</v>
      </c>
      <c r="E32">
        <v>2800</v>
      </c>
      <c r="F32" t="s">
        <v>332</v>
      </c>
      <c r="G32" t="s">
        <v>4818</v>
      </c>
    </row>
    <row r="33" spans="1:7">
      <c r="A33" t="s">
        <v>739</v>
      </c>
      <c r="B33">
        <v>37</v>
      </c>
      <c r="C33">
        <v>14</v>
      </c>
      <c r="D33">
        <v>188</v>
      </c>
      <c r="E33">
        <v>132</v>
      </c>
      <c r="F33" t="s">
        <v>1289</v>
      </c>
      <c r="G33" t="s">
        <v>4818</v>
      </c>
    </row>
    <row r="34" spans="1:7">
      <c r="A34" t="s">
        <v>740</v>
      </c>
      <c r="B34">
        <v>16</v>
      </c>
      <c r="C34">
        <v>12</v>
      </c>
      <c r="D34">
        <v>108</v>
      </c>
      <c r="E34">
        <v>72</v>
      </c>
      <c r="F34" t="s">
        <v>4819</v>
      </c>
      <c r="G34" t="s">
        <v>4818</v>
      </c>
    </row>
    <row r="35" spans="1:7">
      <c r="A35" t="s">
        <v>741</v>
      </c>
      <c r="B35">
        <v>8</v>
      </c>
      <c r="C35">
        <v>12</v>
      </c>
      <c r="D35">
        <v>43</v>
      </c>
      <c r="E35">
        <v>0</v>
      </c>
      <c r="F35" t="s">
        <v>4819</v>
      </c>
      <c r="G35" t="s">
        <v>4818</v>
      </c>
    </row>
    <row r="36" spans="1:7">
      <c r="A36" t="s">
        <v>36</v>
      </c>
      <c r="B36">
        <v>44</v>
      </c>
      <c r="C36">
        <v>14</v>
      </c>
      <c r="D36">
        <v>96</v>
      </c>
      <c r="E36">
        <v>0</v>
      </c>
      <c r="F36" t="s">
        <v>4819</v>
      </c>
      <c r="G36" t="s">
        <v>4818</v>
      </c>
    </row>
    <row r="37" spans="1:7">
      <c r="A37" t="s">
        <v>311</v>
      </c>
      <c r="B37">
        <v>204</v>
      </c>
      <c r="C37">
        <v>14</v>
      </c>
      <c r="D37">
        <v>16</v>
      </c>
      <c r="E37">
        <v>0</v>
      </c>
      <c r="F37" t="s">
        <v>4819</v>
      </c>
      <c r="G37" t="s">
        <v>4818</v>
      </c>
    </row>
    <row r="38" spans="1:7">
      <c r="A38" t="s">
        <v>318</v>
      </c>
      <c r="B38">
        <v>154</v>
      </c>
      <c r="C38">
        <v>13</v>
      </c>
      <c r="D38">
        <v>15</v>
      </c>
      <c r="E38">
        <v>0</v>
      </c>
      <c r="F38" t="s">
        <v>4819</v>
      </c>
      <c r="G38" t="s">
        <v>4818</v>
      </c>
    </row>
    <row r="39" spans="1:7">
      <c r="A39" t="s">
        <v>742</v>
      </c>
      <c r="B39">
        <v>17</v>
      </c>
      <c r="C39">
        <v>12</v>
      </c>
      <c r="D39">
        <v>71</v>
      </c>
      <c r="E39">
        <v>50</v>
      </c>
      <c r="F39" t="s">
        <v>4819</v>
      </c>
      <c r="G39" t="s">
        <v>4818</v>
      </c>
    </row>
    <row r="40" spans="1:7">
      <c r="A40" t="s">
        <v>31</v>
      </c>
      <c r="B40">
        <v>16</v>
      </c>
      <c r="C40">
        <v>12</v>
      </c>
      <c r="D40">
        <v>50</v>
      </c>
      <c r="E40">
        <v>0</v>
      </c>
      <c r="F40" t="s">
        <v>4819</v>
      </c>
      <c r="G40" t="s">
        <v>4818</v>
      </c>
    </row>
    <row r="41" spans="1:7">
      <c r="A41" t="s">
        <v>196</v>
      </c>
      <c r="B41">
        <v>4</v>
      </c>
      <c r="C41">
        <v>18</v>
      </c>
      <c r="D41">
        <v>20</v>
      </c>
      <c r="E41">
        <v>0</v>
      </c>
      <c r="F41" t="s">
        <v>4819</v>
      </c>
      <c r="G41" t="s">
        <v>4818</v>
      </c>
    </row>
    <row r="42" spans="1:7">
      <c r="A42" t="s">
        <v>202</v>
      </c>
      <c r="B42">
        <v>4</v>
      </c>
      <c r="C42">
        <v>18</v>
      </c>
      <c r="D42">
        <v>20</v>
      </c>
      <c r="E42">
        <v>0</v>
      </c>
      <c r="F42" t="s">
        <v>4819</v>
      </c>
      <c r="G42" t="s">
        <v>4818</v>
      </c>
    </row>
    <row r="43" spans="1:7">
      <c r="A43" t="s">
        <v>752</v>
      </c>
      <c r="B43">
        <v>4</v>
      </c>
      <c r="C43">
        <v>20</v>
      </c>
      <c r="D43">
        <v>22</v>
      </c>
      <c r="E43">
        <v>0</v>
      </c>
      <c r="F43" t="s">
        <v>4819</v>
      </c>
      <c r="G43" t="s">
        <v>4818</v>
      </c>
    </row>
    <row r="44" spans="1:7">
      <c r="A44" t="s">
        <v>753</v>
      </c>
      <c r="B44">
        <v>104</v>
      </c>
      <c r="C44">
        <v>17</v>
      </c>
      <c r="D44">
        <v>219</v>
      </c>
      <c r="E44">
        <v>200</v>
      </c>
      <c r="F44" t="s">
        <v>1289</v>
      </c>
      <c r="G44" t="s">
        <v>4818</v>
      </c>
    </row>
    <row r="45" spans="1:7">
      <c r="A45" t="s">
        <v>754</v>
      </c>
      <c r="B45">
        <v>4</v>
      </c>
      <c r="C45">
        <v>18</v>
      </c>
      <c r="D45">
        <v>20</v>
      </c>
      <c r="E45">
        <v>0</v>
      </c>
      <c r="F45" t="s">
        <v>4819</v>
      </c>
      <c r="G45" t="s">
        <v>4818</v>
      </c>
    </row>
    <row r="46" spans="1:7">
      <c r="A46" t="s">
        <v>755</v>
      </c>
      <c r="B46">
        <v>4</v>
      </c>
      <c r="C46">
        <v>18</v>
      </c>
      <c r="D46">
        <v>20</v>
      </c>
      <c r="E46">
        <v>0</v>
      </c>
      <c r="F46" t="s">
        <v>4819</v>
      </c>
      <c r="G46" t="s">
        <v>4818</v>
      </c>
    </row>
    <row r="47" spans="1:7">
      <c r="A47" t="s">
        <v>208</v>
      </c>
      <c r="B47">
        <v>16</v>
      </c>
      <c r="C47">
        <v>25</v>
      </c>
      <c r="D47">
        <v>185</v>
      </c>
      <c r="E47">
        <v>0</v>
      </c>
      <c r="F47" t="s">
        <v>1289</v>
      </c>
      <c r="G47" t="s">
        <v>4818</v>
      </c>
    </row>
    <row r="48" spans="1:7">
      <c r="A48" t="s">
        <v>813</v>
      </c>
      <c r="B48">
        <v>130</v>
      </c>
      <c r="C48">
        <v>13</v>
      </c>
      <c r="D48">
        <v>329</v>
      </c>
      <c r="E48">
        <v>0</v>
      </c>
      <c r="F48" t="s">
        <v>1289</v>
      </c>
      <c r="G48" t="s">
        <v>4818</v>
      </c>
    </row>
    <row r="49" spans="1:7">
      <c r="A49" t="s">
        <v>814</v>
      </c>
      <c r="B49">
        <v>123</v>
      </c>
      <c r="C49">
        <v>11</v>
      </c>
      <c r="D49">
        <v>749</v>
      </c>
      <c r="E49">
        <v>0</v>
      </c>
      <c r="F49" t="s">
        <v>332</v>
      </c>
      <c r="G49" t="s">
        <v>4818</v>
      </c>
    </row>
    <row r="50" spans="1:7">
      <c r="A50" t="s">
        <v>815</v>
      </c>
      <c r="B50">
        <v>13</v>
      </c>
      <c r="C50">
        <v>7</v>
      </c>
      <c r="D50">
        <v>78</v>
      </c>
      <c r="E50">
        <v>0</v>
      </c>
      <c r="F50" t="s">
        <v>4819</v>
      </c>
      <c r="G50" t="s">
        <v>4818</v>
      </c>
    </row>
    <row r="51" spans="1:7">
      <c r="A51" t="s">
        <v>771</v>
      </c>
      <c r="B51">
        <v>9</v>
      </c>
      <c r="C51">
        <v>1</v>
      </c>
      <c r="D51">
        <v>8</v>
      </c>
      <c r="E51">
        <v>0</v>
      </c>
      <c r="F51" t="s">
        <v>4819</v>
      </c>
      <c r="G51" t="s">
        <v>4818</v>
      </c>
    </row>
    <row r="52" spans="1:7">
      <c r="A52" t="s">
        <v>773</v>
      </c>
      <c r="B52">
        <v>12</v>
      </c>
      <c r="C52">
        <v>1</v>
      </c>
      <c r="D52">
        <v>10</v>
      </c>
      <c r="E52">
        <v>0</v>
      </c>
      <c r="F52" t="s">
        <v>4819</v>
      </c>
      <c r="G52" t="s">
        <v>4818</v>
      </c>
    </row>
    <row r="53" spans="1:7">
      <c r="A53" t="s">
        <v>772</v>
      </c>
      <c r="B53">
        <v>80</v>
      </c>
      <c r="C53">
        <v>8</v>
      </c>
      <c r="D53">
        <v>86</v>
      </c>
      <c r="E53">
        <v>22</v>
      </c>
      <c r="F53" t="s">
        <v>4819</v>
      </c>
      <c r="G53" t="s">
        <v>4818</v>
      </c>
    </row>
    <row r="54" spans="1:7">
      <c r="A54" t="s">
        <v>774</v>
      </c>
      <c r="B54">
        <v>116</v>
      </c>
      <c r="C54">
        <v>8</v>
      </c>
      <c r="D54">
        <v>350</v>
      </c>
      <c r="E54">
        <v>0</v>
      </c>
      <c r="F54" t="s">
        <v>1289</v>
      </c>
      <c r="G54" t="s">
        <v>4818</v>
      </c>
    </row>
    <row r="55" spans="1:7">
      <c r="A55" t="s">
        <v>775</v>
      </c>
      <c r="B55">
        <v>100</v>
      </c>
      <c r="C55">
        <v>10</v>
      </c>
      <c r="D55">
        <v>90</v>
      </c>
      <c r="E55">
        <v>32</v>
      </c>
      <c r="F55" t="s">
        <v>4819</v>
      </c>
      <c r="G55" t="s">
        <v>4818</v>
      </c>
    </row>
    <row r="56" spans="1:7">
      <c r="A56" t="s">
        <v>776</v>
      </c>
      <c r="B56">
        <v>13</v>
      </c>
      <c r="C56">
        <v>8</v>
      </c>
      <c r="D56">
        <v>73</v>
      </c>
      <c r="E56">
        <v>21</v>
      </c>
      <c r="F56" t="s">
        <v>4819</v>
      </c>
      <c r="G56" t="s">
        <v>4818</v>
      </c>
    </row>
    <row r="57" spans="1:7">
      <c r="A57" t="s">
        <v>706</v>
      </c>
      <c r="B57">
        <v>14</v>
      </c>
      <c r="C57">
        <v>14</v>
      </c>
      <c r="D57">
        <v>128</v>
      </c>
      <c r="E57">
        <v>104</v>
      </c>
      <c r="F57" t="s">
        <v>4819</v>
      </c>
      <c r="G57" t="s">
        <v>4818</v>
      </c>
    </row>
    <row r="58" spans="1:7">
      <c r="A58" t="s">
        <v>777</v>
      </c>
      <c r="B58">
        <v>14</v>
      </c>
      <c r="C58">
        <v>6</v>
      </c>
      <c r="D58">
        <v>73</v>
      </c>
      <c r="E58">
        <v>0</v>
      </c>
      <c r="F58" t="s">
        <v>4819</v>
      </c>
      <c r="G58" t="s">
        <v>4818</v>
      </c>
    </row>
    <row r="59" spans="1:7">
      <c r="A59" t="s">
        <v>685</v>
      </c>
      <c r="B59">
        <v>34</v>
      </c>
      <c r="C59">
        <v>15</v>
      </c>
      <c r="D59">
        <v>443</v>
      </c>
      <c r="E59">
        <v>90</v>
      </c>
      <c r="F59" t="s">
        <v>1289</v>
      </c>
      <c r="G59" t="s">
        <v>4818</v>
      </c>
    </row>
    <row r="60" spans="1:7">
      <c r="A60" t="s">
        <v>778</v>
      </c>
      <c r="B60">
        <v>15</v>
      </c>
      <c r="C60">
        <v>11</v>
      </c>
      <c r="D60">
        <v>58</v>
      </c>
      <c r="E60">
        <v>0</v>
      </c>
      <c r="F60" t="s">
        <v>4819</v>
      </c>
      <c r="G60" t="s">
        <v>4818</v>
      </c>
    </row>
    <row r="61" spans="1:7">
      <c r="A61" t="s">
        <v>779</v>
      </c>
      <c r="B61">
        <v>15</v>
      </c>
      <c r="C61">
        <v>8</v>
      </c>
      <c r="D61">
        <v>68</v>
      </c>
      <c r="E61">
        <v>0</v>
      </c>
      <c r="F61" t="s">
        <v>4819</v>
      </c>
      <c r="G61" t="s">
        <v>4818</v>
      </c>
    </row>
    <row r="62" spans="1:7">
      <c r="A62" t="s">
        <v>780</v>
      </c>
      <c r="B62">
        <v>18</v>
      </c>
      <c r="C62">
        <v>4</v>
      </c>
      <c r="D62">
        <v>33</v>
      </c>
      <c r="E62">
        <v>0</v>
      </c>
      <c r="F62" t="s">
        <v>4819</v>
      </c>
      <c r="G62" t="s">
        <v>4818</v>
      </c>
    </row>
    <row r="63" spans="1:7">
      <c r="A63" t="s">
        <v>781</v>
      </c>
      <c r="B63">
        <v>12</v>
      </c>
      <c r="C63">
        <v>8</v>
      </c>
      <c r="D63">
        <v>52</v>
      </c>
      <c r="E63">
        <v>5</v>
      </c>
      <c r="F63" t="s">
        <v>4819</v>
      </c>
      <c r="G63" t="s">
        <v>4818</v>
      </c>
    </row>
    <row r="64" spans="1:7">
      <c r="A64" t="s">
        <v>782</v>
      </c>
      <c r="B64">
        <v>80</v>
      </c>
      <c r="C64">
        <v>11</v>
      </c>
      <c r="D64">
        <v>59</v>
      </c>
      <c r="E64">
        <v>36</v>
      </c>
      <c r="F64" t="s">
        <v>4819</v>
      </c>
      <c r="G64" t="s">
        <v>4818</v>
      </c>
    </row>
    <row r="65" spans="1:7">
      <c r="A65" t="s">
        <v>783</v>
      </c>
      <c r="B65">
        <v>220</v>
      </c>
      <c r="C65">
        <v>24</v>
      </c>
      <c r="D65">
        <v>3070</v>
      </c>
      <c r="E65">
        <v>3012</v>
      </c>
      <c r="F65" t="s">
        <v>332</v>
      </c>
      <c r="G65" t="s">
        <v>4818</v>
      </c>
    </row>
    <row r="66" spans="1:7">
      <c r="A66" t="s">
        <v>784</v>
      </c>
      <c r="B66">
        <v>100</v>
      </c>
      <c r="C66">
        <v>7</v>
      </c>
      <c r="D66">
        <v>152</v>
      </c>
      <c r="E66">
        <v>13</v>
      </c>
      <c r="F66" t="s">
        <v>1289</v>
      </c>
      <c r="G66" t="s">
        <v>4818</v>
      </c>
    </row>
    <row r="67" spans="1:7">
      <c r="A67" t="s">
        <v>785</v>
      </c>
      <c r="B67">
        <v>80</v>
      </c>
      <c r="C67">
        <v>11</v>
      </c>
      <c r="D67">
        <v>59</v>
      </c>
      <c r="E67">
        <v>36</v>
      </c>
      <c r="F67" t="s">
        <v>4819</v>
      </c>
      <c r="G67" t="s">
        <v>4818</v>
      </c>
    </row>
    <row r="68" spans="1:7">
      <c r="A68" t="s">
        <v>786</v>
      </c>
      <c r="B68">
        <v>80</v>
      </c>
      <c r="C68">
        <v>9</v>
      </c>
      <c r="D68">
        <v>51</v>
      </c>
      <c r="E68">
        <v>32</v>
      </c>
      <c r="F68" t="s">
        <v>4819</v>
      </c>
      <c r="G68" t="s">
        <v>4818</v>
      </c>
    </row>
    <row r="69" spans="1:7">
      <c r="A69" t="s">
        <v>787</v>
      </c>
      <c r="B69">
        <v>204</v>
      </c>
      <c r="C69">
        <v>25</v>
      </c>
      <c r="D69">
        <v>1753</v>
      </c>
      <c r="E69">
        <v>1636</v>
      </c>
      <c r="F69" t="s">
        <v>332</v>
      </c>
      <c r="G69" t="s">
        <v>4818</v>
      </c>
    </row>
    <row r="70" spans="1:7">
      <c r="A70" t="s">
        <v>670</v>
      </c>
      <c r="B70">
        <v>204</v>
      </c>
      <c r="C70">
        <v>15</v>
      </c>
      <c r="D70">
        <v>113</v>
      </c>
      <c r="E70">
        <v>15</v>
      </c>
      <c r="F70" t="s">
        <v>4819</v>
      </c>
      <c r="G70" t="s">
        <v>4818</v>
      </c>
    </row>
    <row r="71" spans="1:7">
      <c r="A71" t="s">
        <v>788</v>
      </c>
      <c r="B71">
        <v>60</v>
      </c>
      <c r="C71">
        <v>9</v>
      </c>
      <c r="D71">
        <v>48</v>
      </c>
      <c r="E71">
        <v>31</v>
      </c>
      <c r="F71" t="s">
        <v>4819</v>
      </c>
      <c r="G71" t="s">
        <v>4818</v>
      </c>
    </row>
    <row r="72" spans="1:7">
      <c r="A72" t="s">
        <v>789</v>
      </c>
      <c r="B72">
        <v>16</v>
      </c>
      <c r="C72">
        <v>8</v>
      </c>
      <c r="D72">
        <v>53</v>
      </c>
      <c r="E72">
        <v>0</v>
      </c>
      <c r="F72" t="s">
        <v>4819</v>
      </c>
      <c r="G72" t="s">
        <v>4818</v>
      </c>
    </row>
    <row r="73" spans="1:7">
      <c r="A73" t="s">
        <v>790</v>
      </c>
      <c r="B73">
        <v>100</v>
      </c>
      <c r="C73">
        <v>8</v>
      </c>
      <c r="D73">
        <v>42</v>
      </c>
      <c r="E73">
        <v>8</v>
      </c>
      <c r="F73" t="s">
        <v>4819</v>
      </c>
      <c r="G73" t="s">
        <v>4818</v>
      </c>
    </row>
    <row r="74" spans="1:7">
      <c r="A74" t="s">
        <v>791</v>
      </c>
      <c r="B74">
        <v>12</v>
      </c>
      <c r="C74">
        <v>11</v>
      </c>
      <c r="D74">
        <v>101</v>
      </c>
      <c r="E74">
        <v>0</v>
      </c>
      <c r="F74" t="s">
        <v>4819</v>
      </c>
      <c r="G74" t="s">
        <v>4818</v>
      </c>
    </row>
    <row r="75" spans="1:7">
      <c r="A75" t="s">
        <v>792</v>
      </c>
      <c r="B75">
        <v>60</v>
      </c>
      <c r="C75">
        <v>6</v>
      </c>
      <c r="D75">
        <v>31</v>
      </c>
      <c r="E75">
        <v>0</v>
      </c>
      <c r="F75" t="s">
        <v>4819</v>
      </c>
      <c r="G75" t="s">
        <v>4818</v>
      </c>
    </row>
    <row r="76" spans="1:7">
      <c r="A76" t="s">
        <v>793</v>
      </c>
      <c r="B76">
        <v>204</v>
      </c>
      <c r="C76">
        <v>15</v>
      </c>
      <c r="D76">
        <v>88</v>
      </c>
      <c r="E76">
        <v>25</v>
      </c>
      <c r="F76" t="s">
        <v>4819</v>
      </c>
      <c r="G76" t="s">
        <v>4818</v>
      </c>
    </row>
    <row r="77" spans="1:7">
      <c r="A77" t="s">
        <v>794</v>
      </c>
      <c r="B77">
        <v>100</v>
      </c>
      <c r="C77">
        <v>18</v>
      </c>
      <c r="D77">
        <v>295</v>
      </c>
      <c r="E77">
        <v>159</v>
      </c>
      <c r="F77" t="s">
        <v>1289</v>
      </c>
      <c r="G77" t="s">
        <v>4818</v>
      </c>
    </row>
    <row r="78" spans="1:7">
      <c r="A78" t="s">
        <v>713</v>
      </c>
      <c r="B78">
        <v>100</v>
      </c>
      <c r="C78">
        <v>8</v>
      </c>
      <c r="D78">
        <v>14</v>
      </c>
      <c r="E78">
        <v>0</v>
      </c>
      <c r="F78" t="s">
        <v>4819</v>
      </c>
      <c r="G78" t="s">
        <v>4818</v>
      </c>
    </row>
    <row r="79" spans="1:7">
      <c r="A79" t="s">
        <v>795</v>
      </c>
      <c r="B79">
        <v>35</v>
      </c>
      <c r="C79">
        <v>10</v>
      </c>
      <c r="D79">
        <v>141</v>
      </c>
      <c r="E79">
        <v>26</v>
      </c>
      <c r="F79" t="s">
        <v>4819</v>
      </c>
      <c r="G79" t="s">
        <v>4818</v>
      </c>
    </row>
    <row r="80" spans="1:7">
      <c r="A80" t="s">
        <v>796</v>
      </c>
      <c r="B80">
        <v>35</v>
      </c>
      <c r="C80">
        <v>10</v>
      </c>
      <c r="D80">
        <v>141</v>
      </c>
      <c r="E80">
        <v>26</v>
      </c>
      <c r="F80" t="s">
        <v>4819</v>
      </c>
      <c r="G80" t="s">
        <v>4818</v>
      </c>
    </row>
    <row r="81" spans="1:7">
      <c r="A81" t="s">
        <v>797</v>
      </c>
      <c r="B81">
        <v>35</v>
      </c>
      <c r="C81">
        <v>10</v>
      </c>
      <c r="D81">
        <v>141</v>
      </c>
      <c r="E81">
        <v>26</v>
      </c>
      <c r="F81" t="s">
        <v>4819</v>
      </c>
      <c r="G81" t="s">
        <v>4818</v>
      </c>
    </row>
    <row r="82" spans="1:7">
      <c r="A82" t="s">
        <v>798</v>
      </c>
      <c r="B82">
        <v>100</v>
      </c>
      <c r="C82">
        <v>22</v>
      </c>
      <c r="D82">
        <v>141</v>
      </c>
      <c r="E82">
        <v>0</v>
      </c>
      <c r="F82" t="s">
        <v>4819</v>
      </c>
      <c r="G82" t="s">
        <v>4818</v>
      </c>
    </row>
    <row r="83" spans="1:7">
      <c r="A83" t="s">
        <v>715</v>
      </c>
      <c r="B83">
        <v>106</v>
      </c>
      <c r="C83">
        <v>10</v>
      </c>
      <c r="D83">
        <v>40</v>
      </c>
      <c r="E83">
        <v>9</v>
      </c>
      <c r="F83" t="s">
        <v>4819</v>
      </c>
      <c r="G83" t="s">
        <v>4818</v>
      </c>
    </row>
    <row r="84" spans="1:7">
      <c r="A84" t="s">
        <v>799</v>
      </c>
      <c r="B84">
        <v>12</v>
      </c>
      <c r="C84">
        <v>8</v>
      </c>
      <c r="D84">
        <v>47</v>
      </c>
      <c r="E84">
        <v>0</v>
      </c>
      <c r="F84" t="s">
        <v>4819</v>
      </c>
      <c r="G84" t="s">
        <v>4818</v>
      </c>
    </row>
    <row r="85" spans="1:7">
      <c r="A85" t="s">
        <v>800</v>
      </c>
      <c r="B85">
        <v>100</v>
      </c>
      <c r="C85">
        <v>12</v>
      </c>
      <c r="D85">
        <v>206</v>
      </c>
      <c r="E85">
        <v>48</v>
      </c>
      <c r="F85" t="s">
        <v>1289</v>
      </c>
      <c r="G85" t="s">
        <v>4818</v>
      </c>
    </row>
    <row r="86" spans="1:7">
      <c r="A86" t="s">
        <v>801</v>
      </c>
      <c r="B86">
        <v>100</v>
      </c>
      <c r="C86">
        <v>17</v>
      </c>
      <c r="D86">
        <v>264</v>
      </c>
      <c r="E86">
        <v>188</v>
      </c>
      <c r="F86" t="s">
        <v>1289</v>
      </c>
      <c r="G86" t="s">
        <v>4818</v>
      </c>
    </row>
    <row r="87" spans="1:7">
      <c r="A87" t="s">
        <v>802</v>
      </c>
      <c r="B87">
        <v>100</v>
      </c>
      <c r="C87">
        <v>14</v>
      </c>
      <c r="D87">
        <v>247</v>
      </c>
      <c r="E87">
        <v>162</v>
      </c>
      <c r="F87" t="s">
        <v>1289</v>
      </c>
      <c r="G87" t="s">
        <v>4818</v>
      </c>
    </row>
    <row r="88" spans="1:7">
      <c r="A88" t="s">
        <v>803</v>
      </c>
      <c r="B88">
        <v>204</v>
      </c>
      <c r="C88">
        <v>14</v>
      </c>
      <c r="D88">
        <v>627</v>
      </c>
      <c r="E88">
        <v>600</v>
      </c>
      <c r="F88" t="s">
        <v>332</v>
      </c>
      <c r="G88" t="s">
        <v>4818</v>
      </c>
    </row>
    <row r="89" spans="1:7">
      <c r="A89" t="s">
        <v>804</v>
      </c>
      <c r="B89">
        <v>204</v>
      </c>
      <c r="C89">
        <v>12</v>
      </c>
      <c r="D89">
        <v>614</v>
      </c>
      <c r="E89">
        <v>600</v>
      </c>
      <c r="F89" t="s">
        <v>332</v>
      </c>
      <c r="G89" t="s">
        <v>4818</v>
      </c>
    </row>
    <row r="90" spans="1:7">
      <c r="A90" t="s">
        <v>805</v>
      </c>
      <c r="B90">
        <v>105</v>
      </c>
      <c r="C90">
        <v>14</v>
      </c>
      <c r="D90">
        <v>184</v>
      </c>
      <c r="E90">
        <v>48</v>
      </c>
      <c r="F90" t="s">
        <v>1289</v>
      </c>
      <c r="G90" t="s">
        <v>4818</v>
      </c>
    </row>
    <row r="91" spans="1:7">
      <c r="A91" t="s">
        <v>806</v>
      </c>
      <c r="B91">
        <v>100</v>
      </c>
      <c r="C91">
        <v>17</v>
      </c>
      <c r="D91">
        <v>249</v>
      </c>
      <c r="E91">
        <v>176</v>
      </c>
      <c r="F91" t="s">
        <v>1289</v>
      </c>
      <c r="G91" t="s">
        <v>4818</v>
      </c>
    </row>
    <row r="92" spans="1:7">
      <c r="A92" t="s">
        <v>807</v>
      </c>
      <c r="B92">
        <v>105</v>
      </c>
      <c r="C92">
        <v>12</v>
      </c>
      <c r="D92">
        <v>110</v>
      </c>
      <c r="E92">
        <v>24</v>
      </c>
      <c r="F92" t="s">
        <v>4819</v>
      </c>
      <c r="G92" t="s">
        <v>4818</v>
      </c>
    </row>
    <row r="93" spans="1:7">
      <c r="A93" t="s">
        <v>808</v>
      </c>
      <c r="B93">
        <v>100</v>
      </c>
      <c r="C93">
        <v>14</v>
      </c>
      <c r="D93">
        <v>247</v>
      </c>
      <c r="E93">
        <v>162</v>
      </c>
      <c r="F93" t="s">
        <v>1289</v>
      </c>
      <c r="G93" t="s">
        <v>4818</v>
      </c>
    </row>
    <row r="94" spans="1:7">
      <c r="A94" t="s">
        <v>809</v>
      </c>
      <c r="B94">
        <v>18</v>
      </c>
      <c r="C94">
        <v>8</v>
      </c>
      <c r="D94">
        <v>89</v>
      </c>
      <c r="E94">
        <v>4</v>
      </c>
      <c r="F94" t="s">
        <v>4819</v>
      </c>
      <c r="G94" t="s">
        <v>4818</v>
      </c>
    </row>
    <row r="95" spans="1:7">
      <c r="A95" t="s">
        <v>757</v>
      </c>
      <c r="B95">
        <v>72</v>
      </c>
      <c r="C95">
        <v>14</v>
      </c>
      <c r="D95">
        <v>459</v>
      </c>
      <c r="E95">
        <v>0</v>
      </c>
      <c r="F95" t="s">
        <v>1289</v>
      </c>
      <c r="G95" t="s">
        <v>4818</v>
      </c>
    </row>
    <row r="96" spans="1:7">
      <c r="A96" t="s">
        <v>758</v>
      </c>
      <c r="B96">
        <v>113</v>
      </c>
      <c r="C96">
        <v>26</v>
      </c>
      <c r="D96">
        <v>699</v>
      </c>
      <c r="E96">
        <v>609</v>
      </c>
      <c r="F96" t="s">
        <v>332</v>
      </c>
      <c r="G96" t="s">
        <v>4818</v>
      </c>
    </row>
    <row r="97" spans="1:7">
      <c r="A97" t="s">
        <v>759</v>
      </c>
      <c r="B97">
        <v>93</v>
      </c>
      <c r="C97">
        <v>18</v>
      </c>
      <c r="D97">
        <v>177</v>
      </c>
      <c r="E97">
        <v>87</v>
      </c>
      <c r="F97" t="s">
        <v>1289</v>
      </c>
      <c r="G97" t="s">
        <v>4818</v>
      </c>
    </row>
    <row r="98" spans="1:7">
      <c r="A98" t="s">
        <v>760</v>
      </c>
      <c r="B98">
        <v>65</v>
      </c>
      <c r="C98">
        <v>16</v>
      </c>
      <c r="D98">
        <v>386</v>
      </c>
      <c r="E98">
        <v>266</v>
      </c>
      <c r="F98" t="s">
        <v>1289</v>
      </c>
      <c r="G98" t="s">
        <v>4818</v>
      </c>
    </row>
    <row r="99" spans="1:7">
      <c r="A99" t="s">
        <v>214</v>
      </c>
      <c r="B99">
        <v>73</v>
      </c>
      <c r="C99">
        <v>21</v>
      </c>
      <c r="D99">
        <v>205</v>
      </c>
      <c r="E99">
        <v>72</v>
      </c>
      <c r="F99" t="s">
        <v>1289</v>
      </c>
      <c r="G99" t="s">
        <v>4818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BFBFBF"/>
  </sheetPr>
  <dimension ref="A1:J19"/>
  <sheetViews>
    <sheetView showGridLines="0" workbookViewId="0"/>
  </sheetViews>
  <sheetFormatPr baseColWidth="10" defaultColWidth="8.7265625" defaultRowHeight="14.5"/>
  <cols>
    <col min="1" max="1" width="42" customWidth="1"/>
    <col min="2" max="2" width="34" customWidth="1"/>
    <col min="3" max="3" width="13" customWidth="1"/>
    <col min="4" max="4" width="16" customWidth="1"/>
    <col min="5" max="6" width="34" customWidth="1"/>
    <col min="7" max="10" width="12" customWidth="1"/>
  </cols>
  <sheetData>
    <row r="1" spans="1:10" ht="21" customHeight="1">
      <c r="A1" s="486" t="s">
        <v>4820</v>
      </c>
      <c r="B1" s="426"/>
      <c r="C1" s="426"/>
      <c r="D1" s="426"/>
      <c r="E1" s="426"/>
      <c r="F1" s="426"/>
      <c r="G1" s="426"/>
      <c r="H1" s="426"/>
      <c r="I1" s="426"/>
      <c r="J1" s="426"/>
    </row>
    <row r="2" spans="1:10">
      <c r="A2" s="485" t="s">
        <v>4821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0">
      <c r="A3" s="207" t="s">
        <v>3616</v>
      </c>
      <c r="B3" s="207" t="s">
        <v>4822</v>
      </c>
      <c r="C3" s="207" t="s">
        <v>655</v>
      </c>
      <c r="D3" s="207" t="s">
        <v>4823</v>
      </c>
      <c r="E3" s="207" t="s">
        <v>2181</v>
      </c>
      <c r="F3" s="207" t="s">
        <v>4824</v>
      </c>
      <c r="G3" s="208"/>
      <c r="H3" s="208"/>
      <c r="I3" s="208"/>
      <c r="J3" s="208"/>
    </row>
    <row r="4" spans="1:10">
      <c r="A4" s="209" t="s">
        <v>731</v>
      </c>
      <c r="B4" s="209" t="s">
        <v>4825</v>
      </c>
      <c r="C4" s="209" t="s">
        <v>4826</v>
      </c>
      <c r="D4" s="209" t="s">
        <v>332</v>
      </c>
      <c r="E4" s="209" t="s">
        <v>4827</v>
      </c>
      <c r="F4" s="209" t="s">
        <v>4828</v>
      </c>
    </row>
    <row r="5" spans="1:10">
      <c r="A5" s="209" t="s">
        <v>681</v>
      </c>
      <c r="B5" s="209" t="s">
        <v>4825</v>
      </c>
      <c r="C5" s="209" t="s">
        <v>4826</v>
      </c>
      <c r="D5" s="209" t="s">
        <v>332</v>
      </c>
      <c r="E5" s="209" t="s">
        <v>4827</v>
      </c>
      <c r="F5" s="209" t="s">
        <v>4828</v>
      </c>
    </row>
    <row r="6" spans="1:10">
      <c r="A6" s="209" t="s">
        <v>732</v>
      </c>
      <c r="B6" s="209" t="s">
        <v>4825</v>
      </c>
      <c r="C6" s="209" t="s">
        <v>4826</v>
      </c>
      <c r="D6" s="209" t="s">
        <v>332</v>
      </c>
      <c r="E6" s="209" t="s">
        <v>4827</v>
      </c>
      <c r="F6" s="209" t="s">
        <v>4828</v>
      </c>
    </row>
    <row r="7" spans="1:10">
      <c r="A7" s="209" t="s">
        <v>734</v>
      </c>
      <c r="B7" s="209" t="s">
        <v>4825</v>
      </c>
      <c r="C7" s="209" t="s">
        <v>4826</v>
      </c>
      <c r="D7" s="209" t="s">
        <v>332</v>
      </c>
      <c r="E7" s="209" t="s">
        <v>4827</v>
      </c>
      <c r="F7" s="209" t="s">
        <v>4828</v>
      </c>
    </row>
    <row r="8" spans="1:10">
      <c r="A8" s="209" t="s">
        <v>735</v>
      </c>
      <c r="B8" s="209" t="s">
        <v>4825</v>
      </c>
      <c r="C8" s="209" t="s">
        <v>4826</v>
      </c>
      <c r="D8" s="209" t="s">
        <v>332</v>
      </c>
      <c r="E8" s="209" t="s">
        <v>4827</v>
      </c>
      <c r="F8" s="209" t="s">
        <v>4828</v>
      </c>
    </row>
    <row r="9" spans="1:10">
      <c r="A9" s="209" t="s">
        <v>736</v>
      </c>
      <c r="B9" s="209" t="s">
        <v>4825</v>
      </c>
      <c r="C9" s="209" t="s">
        <v>4826</v>
      </c>
      <c r="D9" s="209" t="s">
        <v>332</v>
      </c>
      <c r="E9" s="209" t="s">
        <v>4827</v>
      </c>
      <c r="F9" s="209" t="s">
        <v>4828</v>
      </c>
    </row>
    <row r="10" spans="1:10">
      <c r="A10" s="209" t="s">
        <v>738</v>
      </c>
      <c r="B10" s="209" t="s">
        <v>4825</v>
      </c>
      <c r="C10" s="209" t="s">
        <v>4826</v>
      </c>
      <c r="D10" s="209" t="s">
        <v>332</v>
      </c>
      <c r="E10" s="209" t="s">
        <v>4827</v>
      </c>
      <c r="F10" s="209" t="s">
        <v>4828</v>
      </c>
    </row>
    <row r="11" spans="1:10">
      <c r="A11" s="209" t="s">
        <v>739</v>
      </c>
      <c r="B11" s="209" t="s">
        <v>4825</v>
      </c>
      <c r="C11" s="209" t="s">
        <v>4826</v>
      </c>
      <c r="D11" s="209" t="s">
        <v>332</v>
      </c>
      <c r="E11" s="209" t="s">
        <v>4827</v>
      </c>
      <c r="F11" s="209" t="s">
        <v>4828</v>
      </c>
    </row>
    <row r="12" spans="1:10">
      <c r="A12" s="209" t="s">
        <v>740</v>
      </c>
      <c r="B12" s="209" t="s">
        <v>4825</v>
      </c>
      <c r="C12" s="209" t="s">
        <v>4826</v>
      </c>
      <c r="D12" s="209" t="s">
        <v>332</v>
      </c>
      <c r="E12" s="209" t="s">
        <v>4827</v>
      </c>
      <c r="F12" s="209" t="s">
        <v>4828</v>
      </c>
    </row>
    <row r="13" spans="1:10">
      <c r="A13" s="209" t="s">
        <v>741</v>
      </c>
      <c r="B13" s="209" t="s">
        <v>4825</v>
      </c>
      <c r="C13" s="209" t="s">
        <v>4826</v>
      </c>
      <c r="D13" s="209" t="s">
        <v>332</v>
      </c>
      <c r="E13" s="209" t="s">
        <v>4827</v>
      </c>
      <c r="F13" s="209" t="s">
        <v>4828</v>
      </c>
    </row>
    <row r="14" spans="1:10">
      <c r="A14" s="209" t="s">
        <v>36</v>
      </c>
      <c r="B14" s="209" t="s">
        <v>4825</v>
      </c>
      <c r="C14" s="209" t="s">
        <v>4826</v>
      </c>
      <c r="D14" s="209" t="s">
        <v>332</v>
      </c>
      <c r="E14" s="209" t="s">
        <v>4827</v>
      </c>
      <c r="F14" s="209" t="s">
        <v>4828</v>
      </c>
    </row>
    <row r="15" spans="1:10">
      <c r="A15" s="209" t="s">
        <v>311</v>
      </c>
      <c r="B15" s="209" t="s">
        <v>4825</v>
      </c>
      <c r="C15" s="209" t="s">
        <v>4826</v>
      </c>
      <c r="D15" s="209" t="s">
        <v>332</v>
      </c>
      <c r="E15" s="209" t="s">
        <v>4827</v>
      </c>
      <c r="F15" s="209" t="s">
        <v>4828</v>
      </c>
    </row>
    <row r="16" spans="1:10">
      <c r="A16" s="209" t="s">
        <v>318</v>
      </c>
      <c r="B16" s="209" t="s">
        <v>4825</v>
      </c>
      <c r="C16" s="209" t="s">
        <v>4826</v>
      </c>
      <c r="D16" s="209" t="s">
        <v>332</v>
      </c>
      <c r="E16" s="209" t="s">
        <v>4827</v>
      </c>
      <c r="F16" s="209" t="s">
        <v>4828</v>
      </c>
    </row>
    <row r="17" spans="1:6">
      <c r="A17" s="209" t="s">
        <v>742</v>
      </c>
      <c r="B17" s="209" t="s">
        <v>4825</v>
      </c>
      <c r="C17" s="209" t="s">
        <v>4826</v>
      </c>
      <c r="D17" s="209" t="s">
        <v>332</v>
      </c>
      <c r="E17" s="209" t="s">
        <v>4827</v>
      </c>
      <c r="F17" s="209" t="s">
        <v>4828</v>
      </c>
    </row>
    <row r="18" spans="1:6">
      <c r="A18" s="209" t="s">
        <v>31</v>
      </c>
      <c r="B18" s="209" t="s">
        <v>4825</v>
      </c>
      <c r="C18" s="209" t="s">
        <v>4826</v>
      </c>
      <c r="D18" s="209" t="s">
        <v>332</v>
      </c>
      <c r="E18" s="209" t="s">
        <v>4827</v>
      </c>
      <c r="F18" s="209" t="s">
        <v>4828</v>
      </c>
    </row>
    <row r="19" spans="1:6">
      <c r="A19" s="209" t="s">
        <v>743</v>
      </c>
      <c r="B19" s="209" t="s">
        <v>4825</v>
      </c>
      <c r="C19" s="209" t="s">
        <v>4826</v>
      </c>
      <c r="D19" s="209" t="s">
        <v>332</v>
      </c>
      <c r="E19" s="209" t="s">
        <v>4827</v>
      </c>
      <c r="F19" s="209" t="s">
        <v>4828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BFBFBF"/>
  </sheetPr>
  <dimension ref="A1:I103"/>
  <sheetViews>
    <sheetView showGridLines="0" workbookViewId="0"/>
  </sheetViews>
  <sheetFormatPr baseColWidth="10" defaultColWidth="8.7265625" defaultRowHeight="14.5"/>
  <sheetData>
    <row r="1" spans="1:9">
      <c r="A1" s="215" t="s">
        <v>4829</v>
      </c>
      <c r="B1" s="215" t="s">
        <v>3616</v>
      </c>
      <c r="C1" s="215" t="s">
        <v>4321</v>
      </c>
      <c r="D1" s="215" t="s">
        <v>4322</v>
      </c>
      <c r="E1" s="215" t="s">
        <v>4815</v>
      </c>
      <c r="F1" s="215" t="s">
        <v>4816</v>
      </c>
      <c r="G1" s="215" t="s">
        <v>4341</v>
      </c>
      <c r="H1" s="215" t="s">
        <v>2208</v>
      </c>
      <c r="I1" s="215" t="s">
        <v>4736</v>
      </c>
    </row>
    <row r="2" spans="1:9">
      <c r="A2" s="216">
        <v>1</v>
      </c>
      <c r="B2" s="216" t="s">
        <v>812</v>
      </c>
      <c r="C2" s="216">
        <v>116</v>
      </c>
      <c r="D2" s="216">
        <v>10</v>
      </c>
      <c r="E2" s="216">
        <v>1002</v>
      </c>
      <c r="F2" s="216">
        <v>0</v>
      </c>
      <c r="G2" s="216" t="s">
        <v>4830</v>
      </c>
      <c r="H2" s="216" t="s">
        <v>4831</v>
      </c>
      <c r="I2" s="216" t="s">
        <v>4832</v>
      </c>
    </row>
    <row r="3" spans="1:9">
      <c r="A3" s="216">
        <v>2</v>
      </c>
      <c r="B3" s="216" t="s">
        <v>703</v>
      </c>
      <c r="C3" s="216">
        <v>50</v>
      </c>
      <c r="D3" s="216">
        <v>2</v>
      </c>
      <c r="E3" s="216">
        <v>48</v>
      </c>
      <c r="F3" s="216">
        <v>0</v>
      </c>
      <c r="G3" s="216" t="s">
        <v>2928</v>
      </c>
      <c r="H3" s="216" t="s">
        <v>4833</v>
      </c>
      <c r="I3" s="216" t="s">
        <v>4834</v>
      </c>
    </row>
    <row r="4" spans="1:9">
      <c r="A4" s="216">
        <v>3</v>
      </c>
      <c r="B4" s="216" t="s">
        <v>20</v>
      </c>
      <c r="C4" s="216">
        <v>204</v>
      </c>
      <c r="D4" s="216">
        <v>12</v>
      </c>
      <c r="E4" s="216">
        <v>672</v>
      </c>
      <c r="F4" s="216">
        <v>376</v>
      </c>
      <c r="G4" s="216" t="s">
        <v>3647</v>
      </c>
      <c r="H4" s="216" t="s">
        <v>4835</v>
      </c>
      <c r="I4" s="216" t="s">
        <v>4836</v>
      </c>
    </row>
    <row r="5" spans="1:9">
      <c r="A5" s="216">
        <v>4</v>
      </c>
      <c r="B5" s="216" t="s">
        <v>91</v>
      </c>
      <c r="C5" s="216">
        <v>204</v>
      </c>
      <c r="D5" s="216">
        <v>14</v>
      </c>
      <c r="E5" s="216">
        <v>2816</v>
      </c>
      <c r="F5" s="216">
        <v>2800</v>
      </c>
      <c r="G5" s="216" t="s">
        <v>4830</v>
      </c>
      <c r="H5" s="216" t="s">
        <v>4831</v>
      </c>
      <c r="I5" s="216" t="s">
        <v>4832</v>
      </c>
    </row>
    <row r="6" spans="1:9">
      <c r="A6" s="216">
        <v>5</v>
      </c>
      <c r="B6" s="216" t="s">
        <v>712</v>
      </c>
      <c r="C6" s="216">
        <v>40</v>
      </c>
      <c r="D6" s="216">
        <v>11</v>
      </c>
      <c r="E6" s="216">
        <v>62</v>
      </c>
      <c r="F6" s="216">
        <v>45</v>
      </c>
      <c r="G6" s="216" t="s">
        <v>2928</v>
      </c>
      <c r="H6" s="216" t="s">
        <v>4833</v>
      </c>
      <c r="I6" s="216" t="s">
        <v>4834</v>
      </c>
    </row>
    <row r="7" spans="1:9">
      <c r="A7" s="216">
        <v>6</v>
      </c>
      <c r="B7" s="216" t="s">
        <v>714</v>
      </c>
      <c r="C7" s="216">
        <v>60</v>
      </c>
      <c r="D7" s="216">
        <v>13</v>
      </c>
      <c r="E7" s="216">
        <v>109</v>
      </c>
      <c r="F7" s="216">
        <v>66</v>
      </c>
      <c r="G7" s="216" t="s">
        <v>2928</v>
      </c>
      <c r="H7" s="216" t="s">
        <v>4833</v>
      </c>
      <c r="I7" s="216" t="s">
        <v>4834</v>
      </c>
    </row>
    <row r="8" spans="1:9">
      <c r="A8" s="216">
        <v>7</v>
      </c>
      <c r="B8" s="216" t="s">
        <v>104</v>
      </c>
      <c r="C8" s="216">
        <v>40</v>
      </c>
      <c r="D8" s="216">
        <v>12</v>
      </c>
      <c r="E8" s="216">
        <v>182</v>
      </c>
      <c r="F8" s="216">
        <v>35</v>
      </c>
      <c r="G8" s="216" t="s">
        <v>3651</v>
      </c>
      <c r="H8" s="216" t="s">
        <v>4837</v>
      </c>
      <c r="I8" s="216" t="s">
        <v>2174</v>
      </c>
    </row>
    <row r="9" spans="1:9">
      <c r="A9" s="216">
        <v>8</v>
      </c>
      <c r="B9" s="216" t="s">
        <v>708</v>
      </c>
      <c r="C9" s="216">
        <v>220</v>
      </c>
      <c r="D9" s="216">
        <v>17</v>
      </c>
      <c r="E9" s="216">
        <v>482</v>
      </c>
      <c r="F9" s="216">
        <v>400</v>
      </c>
      <c r="G9" s="216" t="s">
        <v>3651</v>
      </c>
      <c r="H9" s="216" t="s">
        <v>4837</v>
      </c>
      <c r="I9" s="216" t="s">
        <v>2174</v>
      </c>
    </row>
    <row r="10" spans="1:9">
      <c r="A10" s="216">
        <v>9</v>
      </c>
      <c r="B10" s="216" t="s">
        <v>709</v>
      </c>
      <c r="C10" s="216">
        <v>80</v>
      </c>
      <c r="D10" s="216">
        <v>9</v>
      </c>
      <c r="E10" s="216">
        <v>65</v>
      </c>
      <c r="F10" s="216">
        <v>17</v>
      </c>
      <c r="G10" s="216" t="s">
        <v>2928</v>
      </c>
      <c r="H10" s="216" t="s">
        <v>4833</v>
      </c>
      <c r="I10" s="216" t="s">
        <v>4834</v>
      </c>
    </row>
    <row r="11" spans="1:9">
      <c r="A11" s="216">
        <v>10</v>
      </c>
      <c r="B11" s="216" t="s">
        <v>156</v>
      </c>
      <c r="C11" s="216">
        <v>204</v>
      </c>
      <c r="D11" s="216">
        <v>15</v>
      </c>
      <c r="E11" s="216">
        <v>1321</v>
      </c>
      <c r="F11" s="216">
        <v>1220</v>
      </c>
      <c r="G11" s="216" t="s">
        <v>4830</v>
      </c>
      <c r="H11" s="216" t="s">
        <v>4831</v>
      </c>
      <c r="I11" s="216" t="s">
        <v>4832</v>
      </c>
    </row>
    <row r="12" spans="1:9">
      <c r="A12" s="216">
        <v>11</v>
      </c>
      <c r="B12" s="216" t="s">
        <v>164</v>
      </c>
      <c r="C12" s="216">
        <v>404</v>
      </c>
      <c r="D12" s="216">
        <v>15</v>
      </c>
      <c r="E12" s="216">
        <v>1783</v>
      </c>
      <c r="F12" s="216">
        <v>1221</v>
      </c>
      <c r="G12" s="216" t="s">
        <v>4830</v>
      </c>
      <c r="H12" s="216" t="s">
        <v>4831</v>
      </c>
      <c r="I12" s="216" t="s">
        <v>4832</v>
      </c>
    </row>
    <row r="13" spans="1:9">
      <c r="A13" s="216">
        <v>12</v>
      </c>
      <c r="B13" s="216" t="s">
        <v>170</v>
      </c>
      <c r="C13" s="216">
        <v>220</v>
      </c>
      <c r="D13" s="216">
        <v>15</v>
      </c>
      <c r="E13" s="216">
        <v>489</v>
      </c>
      <c r="F13" s="216">
        <v>451</v>
      </c>
      <c r="G13" s="216" t="s">
        <v>3651</v>
      </c>
      <c r="H13" s="216" t="s">
        <v>4837</v>
      </c>
      <c r="I13" s="216" t="s">
        <v>2174</v>
      </c>
    </row>
    <row r="14" spans="1:9">
      <c r="A14" s="216">
        <v>13</v>
      </c>
      <c r="B14" s="216" t="s">
        <v>663</v>
      </c>
      <c r="C14" s="216">
        <v>220</v>
      </c>
      <c r="D14" s="216">
        <v>18</v>
      </c>
      <c r="E14" s="216">
        <v>1174</v>
      </c>
      <c r="F14" s="216">
        <v>1000</v>
      </c>
      <c r="G14" s="216" t="s">
        <v>4830</v>
      </c>
      <c r="H14" s="216" t="s">
        <v>4831</v>
      </c>
      <c r="I14" s="216" t="s">
        <v>4832</v>
      </c>
    </row>
    <row r="15" spans="1:9">
      <c r="A15" s="216">
        <v>14</v>
      </c>
      <c r="B15" s="216" t="s">
        <v>770</v>
      </c>
      <c r="C15" s="216">
        <v>30</v>
      </c>
      <c r="D15" s="216">
        <v>8</v>
      </c>
      <c r="E15" s="216">
        <v>91</v>
      </c>
      <c r="F15" s="216">
        <v>15</v>
      </c>
      <c r="G15" s="216" t="s">
        <v>2928</v>
      </c>
      <c r="H15" s="216" t="s">
        <v>4833</v>
      </c>
      <c r="I15" s="216" t="s">
        <v>4834</v>
      </c>
    </row>
    <row r="16" spans="1:9">
      <c r="A16" s="216">
        <v>15</v>
      </c>
      <c r="B16" s="216" t="s">
        <v>183</v>
      </c>
      <c r="C16" s="216">
        <v>213</v>
      </c>
      <c r="D16" s="216">
        <v>16</v>
      </c>
      <c r="E16" s="216">
        <v>3030</v>
      </c>
      <c r="F16" s="216">
        <v>3006</v>
      </c>
      <c r="G16" s="216" t="s">
        <v>4830</v>
      </c>
      <c r="H16" s="216" t="s">
        <v>4831</v>
      </c>
      <c r="I16" s="216" t="s">
        <v>4832</v>
      </c>
    </row>
    <row r="17" spans="1:9">
      <c r="A17" s="216">
        <v>16</v>
      </c>
      <c r="B17" s="216" t="s">
        <v>746</v>
      </c>
      <c r="C17" s="216">
        <v>100</v>
      </c>
      <c r="D17" s="216">
        <v>9</v>
      </c>
      <c r="E17" s="216">
        <v>59</v>
      </c>
      <c r="F17" s="216">
        <v>36</v>
      </c>
      <c r="G17" s="216" t="s">
        <v>2928</v>
      </c>
      <c r="H17" s="216" t="s">
        <v>4833</v>
      </c>
      <c r="I17" s="216" t="s">
        <v>4834</v>
      </c>
    </row>
    <row r="18" spans="1:9">
      <c r="A18" s="216">
        <v>17</v>
      </c>
      <c r="B18" s="216" t="s">
        <v>747</v>
      </c>
      <c r="C18" s="216">
        <v>220</v>
      </c>
      <c r="D18" s="216">
        <v>13</v>
      </c>
      <c r="E18" s="216">
        <v>2315</v>
      </c>
      <c r="F18" s="216">
        <v>2300</v>
      </c>
      <c r="G18" s="216" t="s">
        <v>4830</v>
      </c>
      <c r="H18" s="216" t="s">
        <v>4831</v>
      </c>
      <c r="I18" s="216" t="s">
        <v>4832</v>
      </c>
    </row>
    <row r="19" spans="1:9">
      <c r="A19" s="216">
        <v>18</v>
      </c>
      <c r="B19" s="216" t="s">
        <v>190</v>
      </c>
      <c r="C19" s="216">
        <v>204</v>
      </c>
      <c r="D19" s="216">
        <v>11</v>
      </c>
      <c r="E19" s="216">
        <v>2213</v>
      </c>
      <c r="F19" s="216">
        <v>2200</v>
      </c>
      <c r="G19" s="216" t="s">
        <v>4830</v>
      </c>
      <c r="H19" s="216" t="s">
        <v>4831</v>
      </c>
      <c r="I19" s="216" t="s">
        <v>4832</v>
      </c>
    </row>
    <row r="20" spans="1:9">
      <c r="A20" s="216">
        <v>19</v>
      </c>
      <c r="B20" s="216" t="s">
        <v>675</v>
      </c>
      <c r="C20" s="216">
        <v>202</v>
      </c>
      <c r="D20" s="216">
        <v>24</v>
      </c>
      <c r="E20" s="216">
        <v>446</v>
      </c>
      <c r="F20" s="216">
        <v>399</v>
      </c>
      <c r="G20" s="216" t="s">
        <v>3651</v>
      </c>
      <c r="H20" s="216" t="s">
        <v>4837</v>
      </c>
      <c r="I20" s="216" t="s">
        <v>2174</v>
      </c>
    </row>
    <row r="21" spans="1:9">
      <c r="A21" s="216">
        <v>20</v>
      </c>
      <c r="B21" s="216" t="s">
        <v>748</v>
      </c>
      <c r="C21" s="216">
        <v>204</v>
      </c>
      <c r="D21" s="216">
        <v>14</v>
      </c>
      <c r="E21" s="216">
        <v>2816</v>
      </c>
      <c r="F21" s="216">
        <v>2800</v>
      </c>
      <c r="G21" s="216" t="s">
        <v>4830</v>
      </c>
      <c r="H21" s="216" t="s">
        <v>4831</v>
      </c>
      <c r="I21" s="216" t="s">
        <v>4832</v>
      </c>
    </row>
    <row r="22" spans="1:9">
      <c r="A22" s="216">
        <v>21</v>
      </c>
      <c r="B22" s="216" t="s">
        <v>749</v>
      </c>
      <c r="C22" s="216">
        <v>10</v>
      </c>
      <c r="D22" s="216">
        <v>10</v>
      </c>
      <c r="E22" s="216">
        <v>71</v>
      </c>
      <c r="F22" s="216">
        <v>0</v>
      </c>
      <c r="G22" s="216" t="s">
        <v>2928</v>
      </c>
      <c r="H22" s="216" t="s">
        <v>4833</v>
      </c>
      <c r="I22" s="216" t="s">
        <v>4834</v>
      </c>
    </row>
    <row r="23" spans="1:9">
      <c r="A23" s="216">
        <v>22</v>
      </c>
      <c r="B23" s="216" t="s">
        <v>750</v>
      </c>
      <c r="C23" s="216">
        <v>10</v>
      </c>
      <c r="D23" s="216">
        <v>5</v>
      </c>
      <c r="E23" s="216">
        <v>36</v>
      </c>
      <c r="F23" s="216">
        <v>0</v>
      </c>
      <c r="G23" s="216" t="s">
        <v>2928</v>
      </c>
      <c r="H23" s="216" t="s">
        <v>4833</v>
      </c>
      <c r="I23" s="216" t="s">
        <v>4834</v>
      </c>
    </row>
    <row r="24" spans="1:9">
      <c r="A24" s="216">
        <v>23</v>
      </c>
      <c r="B24" s="216" t="s">
        <v>731</v>
      </c>
      <c r="C24" s="216">
        <v>18</v>
      </c>
      <c r="D24" s="216">
        <v>12</v>
      </c>
      <c r="E24" s="216">
        <v>51</v>
      </c>
      <c r="F24" s="216">
        <v>0</v>
      </c>
      <c r="G24" s="216" t="s">
        <v>2928</v>
      </c>
      <c r="H24" s="216" t="s">
        <v>4833</v>
      </c>
      <c r="I24" s="216" t="s">
        <v>4834</v>
      </c>
    </row>
    <row r="25" spans="1:9">
      <c r="A25" s="216">
        <v>24</v>
      </c>
      <c r="B25" s="216" t="s">
        <v>681</v>
      </c>
      <c r="C25" s="216">
        <v>99</v>
      </c>
      <c r="D25" s="216">
        <v>14</v>
      </c>
      <c r="E25" s="216">
        <v>875</v>
      </c>
      <c r="F25" s="216">
        <v>96</v>
      </c>
      <c r="G25" s="216" t="s">
        <v>3647</v>
      </c>
      <c r="H25" s="216" t="s">
        <v>4835</v>
      </c>
      <c r="I25" s="216" t="s">
        <v>4836</v>
      </c>
    </row>
    <row r="26" spans="1:9">
      <c r="A26" s="216">
        <v>25</v>
      </c>
      <c r="B26" s="216" t="s">
        <v>732</v>
      </c>
      <c r="C26" s="216">
        <v>15</v>
      </c>
      <c r="D26" s="216">
        <v>12</v>
      </c>
      <c r="E26" s="216">
        <v>157</v>
      </c>
      <c r="F26" s="216">
        <v>0</v>
      </c>
      <c r="G26" s="216" t="s">
        <v>3651</v>
      </c>
      <c r="H26" s="216" t="s">
        <v>4837</v>
      </c>
      <c r="I26" s="216" t="s">
        <v>2174</v>
      </c>
    </row>
    <row r="27" spans="1:9">
      <c r="A27" s="216">
        <v>26</v>
      </c>
      <c r="B27" s="216" t="s">
        <v>733</v>
      </c>
      <c r="C27" s="216">
        <v>4</v>
      </c>
      <c r="D27" s="216">
        <v>14</v>
      </c>
      <c r="E27" s="216">
        <v>16</v>
      </c>
      <c r="F27" s="216">
        <v>0</v>
      </c>
      <c r="G27" s="216" t="s">
        <v>2928</v>
      </c>
      <c r="H27" s="216" t="s">
        <v>4833</v>
      </c>
      <c r="I27" s="216" t="s">
        <v>4834</v>
      </c>
    </row>
    <row r="28" spans="1:9">
      <c r="A28" s="216">
        <v>27</v>
      </c>
      <c r="B28" s="216" t="s">
        <v>734</v>
      </c>
      <c r="C28" s="216">
        <v>7</v>
      </c>
      <c r="D28" s="216">
        <v>19</v>
      </c>
      <c r="E28" s="216">
        <v>58</v>
      </c>
      <c r="F28" s="216">
        <v>20</v>
      </c>
      <c r="G28" s="216" t="s">
        <v>2928</v>
      </c>
      <c r="H28" s="216" t="s">
        <v>4833</v>
      </c>
      <c r="I28" s="216" t="s">
        <v>4834</v>
      </c>
    </row>
    <row r="29" spans="1:9">
      <c r="A29" s="216">
        <v>28</v>
      </c>
      <c r="B29" s="216" t="s">
        <v>735</v>
      </c>
      <c r="C29" s="216">
        <v>28</v>
      </c>
      <c r="D29" s="216">
        <v>16</v>
      </c>
      <c r="E29" s="216">
        <v>264</v>
      </c>
      <c r="F29" s="216">
        <v>25</v>
      </c>
      <c r="G29" s="216" t="s">
        <v>3651</v>
      </c>
      <c r="H29" s="216" t="s">
        <v>4837</v>
      </c>
      <c r="I29" s="216" t="s">
        <v>2174</v>
      </c>
    </row>
    <row r="30" spans="1:9">
      <c r="A30" s="216">
        <v>29</v>
      </c>
      <c r="B30" s="216" t="s">
        <v>736</v>
      </c>
      <c r="C30" s="216">
        <v>7</v>
      </c>
      <c r="D30" s="216">
        <v>12</v>
      </c>
      <c r="E30" s="216">
        <v>38</v>
      </c>
      <c r="F30" s="216">
        <v>20</v>
      </c>
      <c r="G30" s="216" t="s">
        <v>2928</v>
      </c>
      <c r="H30" s="216" t="s">
        <v>4833</v>
      </c>
      <c r="I30" s="216" t="s">
        <v>4834</v>
      </c>
    </row>
    <row r="31" spans="1:9">
      <c r="A31" s="216">
        <v>30</v>
      </c>
      <c r="B31" s="216" t="s">
        <v>737</v>
      </c>
      <c r="C31" s="216">
        <v>204</v>
      </c>
      <c r="D31" s="216">
        <v>12</v>
      </c>
      <c r="E31" s="216">
        <v>201</v>
      </c>
      <c r="F31" s="216">
        <v>34</v>
      </c>
      <c r="G31" s="216" t="s">
        <v>3651</v>
      </c>
      <c r="H31" s="216" t="s">
        <v>4837</v>
      </c>
      <c r="I31" s="216" t="s">
        <v>2174</v>
      </c>
    </row>
    <row r="32" spans="1:9">
      <c r="A32" s="216">
        <v>31</v>
      </c>
      <c r="B32" s="216" t="s">
        <v>738</v>
      </c>
      <c r="C32" s="216">
        <v>51</v>
      </c>
      <c r="D32" s="216">
        <v>14</v>
      </c>
      <c r="E32" s="216">
        <v>469</v>
      </c>
      <c r="F32" s="216">
        <v>48</v>
      </c>
      <c r="G32" s="216" t="s">
        <v>3651</v>
      </c>
      <c r="H32" s="216" t="s">
        <v>4837</v>
      </c>
      <c r="I32" s="216" t="s">
        <v>2174</v>
      </c>
    </row>
    <row r="33" spans="1:9">
      <c r="A33" s="216">
        <v>32</v>
      </c>
      <c r="B33" s="216" t="s">
        <v>739</v>
      </c>
      <c r="C33" s="216">
        <v>26</v>
      </c>
      <c r="D33" s="216">
        <v>14</v>
      </c>
      <c r="E33" s="216">
        <v>64</v>
      </c>
      <c r="F33" s="216">
        <v>20</v>
      </c>
      <c r="G33" s="216" t="s">
        <v>2928</v>
      </c>
      <c r="H33" s="216" t="s">
        <v>4833</v>
      </c>
      <c r="I33" s="216" t="s">
        <v>4834</v>
      </c>
    </row>
    <row r="34" spans="1:9">
      <c r="A34" s="216">
        <v>33</v>
      </c>
      <c r="B34" s="216" t="s">
        <v>740</v>
      </c>
      <c r="C34" s="216">
        <v>15</v>
      </c>
      <c r="D34" s="216">
        <v>12</v>
      </c>
      <c r="E34" s="216">
        <v>144</v>
      </c>
      <c r="F34" s="216">
        <v>48</v>
      </c>
      <c r="G34" s="216" t="s">
        <v>2928</v>
      </c>
      <c r="H34" s="216" t="s">
        <v>4833</v>
      </c>
      <c r="I34" s="216" t="s">
        <v>4834</v>
      </c>
    </row>
    <row r="35" spans="1:9">
      <c r="A35" s="216">
        <v>34</v>
      </c>
      <c r="B35" s="216" t="s">
        <v>741</v>
      </c>
      <c r="C35" s="216">
        <v>7</v>
      </c>
      <c r="D35" s="216">
        <v>12</v>
      </c>
      <c r="E35" s="216">
        <v>52</v>
      </c>
      <c r="F35" s="216">
        <v>0</v>
      </c>
      <c r="G35" s="216" t="s">
        <v>2928</v>
      </c>
      <c r="H35" s="216" t="s">
        <v>4833</v>
      </c>
      <c r="I35" s="216" t="s">
        <v>4834</v>
      </c>
    </row>
    <row r="36" spans="1:9">
      <c r="A36" s="216">
        <v>35</v>
      </c>
      <c r="B36" s="216" t="s">
        <v>36</v>
      </c>
      <c r="C36" s="216">
        <v>28</v>
      </c>
      <c r="D36" s="216">
        <v>15</v>
      </c>
      <c r="E36" s="216">
        <v>367</v>
      </c>
      <c r="F36" s="216">
        <v>75</v>
      </c>
      <c r="G36" s="216" t="s">
        <v>3651</v>
      </c>
      <c r="H36" s="216" t="s">
        <v>4837</v>
      </c>
      <c r="I36" s="216" t="s">
        <v>2174</v>
      </c>
    </row>
    <row r="37" spans="1:9">
      <c r="A37" s="216">
        <v>36</v>
      </c>
      <c r="B37" s="216" t="s">
        <v>311</v>
      </c>
      <c r="C37" s="216">
        <v>99</v>
      </c>
      <c r="D37" s="216">
        <v>14</v>
      </c>
      <c r="E37" s="216">
        <v>878</v>
      </c>
      <c r="F37" s="216">
        <v>96</v>
      </c>
      <c r="G37" s="216" t="s">
        <v>3647</v>
      </c>
      <c r="H37" s="216" t="s">
        <v>4835</v>
      </c>
      <c r="I37" s="216" t="s">
        <v>4836</v>
      </c>
    </row>
    <row r="38" spans="1:9">
      <c r="A38" s="216">
        <v>37</v>
      </c>
      <c r="B38" s="216" t="s">
        <v>318</v>
      </c>
      <c r="C38" s="216">
        <v>7</v>
      </c>
      <c r="D38" s="216">
        <v>13</v>
      </c>
      <c r="E38" s="216">
        <v>54</v>
      </c>
      <c r="F38" s="216">
        <v>0</v>
      </c>
      <c r="G38" s="216" t="s">
        <v>2928</v>
      </c>
      <c r="H38" s="216" t="s">
        <v>4833</v>
      </c>
      <c r="I38" s="216" t="s">
        <v>4834</v>
      </c>
    </row>
    <row r="39" spans="1:9">
      <c r="A39" s="216">
        <v>38</v>
      </c>
      <c r="B39" s="216" t="s">
        <v>742</v>
      </c>
      <c r="C39" s="216">
        <v>20</v>
      </c>
      <c r="D39" s="216">
        <v>12</v>
      </c>
      <c r="E39" s="216">
        <v>72</v>
      </c>
      <c r="F39" s="216">
        <v>25</v>
      </c>
      <c r="G39" s="216" t="s">
        <v>2928</v>
      </c>
      <c r="H39" s="216" t="s">
        <v>4833</v>
      </c>
      <c r="I39" s="216" t="s">
        <v>4834</v>
      </c>
    </row>
    <row r="40" spans="1:9">
      <c r="A40" s="216">
        <v>39</v>
      </c>
      <c r="B40" s="216" t="s">
        <v>31</v>
      </c>
      <c r="C40" s="216">
        <v>16</v>
      </c>
      <c r="D40" s="216">
        <v>12</v>
      </c>
      <c r="E40" s="216">
        <v>142</v>
      </c>
      <c r="F40" s="216">
        <v>0</v>
      </c>
      <c r="G40" s="216" t="s">
        <v>2928</v>
      </c>
      <c r="H40" s="216" t="s">
        <v>4833</v>
      </c>
      <c r="I40" s="216" t="s">
        <v>4834</v>
      </c>
    </row>
    <row r="41" spans="1:9">
      <c r="A41" s="216">
        <v>40</v>
      </c>
      <c r="B41" s="216" t="s">
        <v>196</v>
      </c>
      <c r="C41" s="216">
        <v>4</v>
      </c>
      <c r="D41" s="216">
        <v>18</v>
      </c>
      <c r="E41" s="216">
        <v>20</v>
      </c>
      <c r="F41" s="216">
        <v>0</v>
      </c>
      <c r="G41" s="216" t="s">
        <v>2928</v>
      </c>
      <c r="H41" s="216" t="s">
        <v>4833</v>
      </c>
      <c r="I41" s="216" t="s">
        <v>4834</v>
      </c>
    </row>
    <row r="42" spans="1:9">
      <c r="A42" s="216">
        <v>41</v>
      </c>
      <c r="B42" s="216" t="s">
        <v>202</v>
      </c>
      <c r="C42" s="216">
        <v>4</v>
      </c>
      <c r="D42" s="216">
        <v>18</v>
      </c>
      <c r="E42" s="216">
        <v>20</v>
      </c>
      <c r="F42" s="216">
        <v>0</v>
      </c>
      <c r="G42" s="216" t="s">
        <v>2928</v>
      </c>
      <c r="H42" s="216" t="s">
        <v>4833</v>
      </c>
      <c r="I42" s="216" t="s">
        <v>4834</v>
      </c>
    </row>
    <row r="43" spans="1:9">
      <c r="A43" s="216">
        <v>42</v>
      </c>
      <c r="B43" s="216" t="s">
        <v>752</v>
      </c>
      <c r="C43" s="216">
        <v>4</v>
      </c>
      <c r="D43" s="216">
        <v>20</v>
      </c>
      <c r="E43" s="216">
        <v>22</v>
      </c>
      <c r="F43" s="216">
        <v>0</v>
      </c>
      <c r="G43" s="216" t="s">
        <v>2928</v>
      </c>
      <c r="H43" s="216" t="s">
        <v>4833</v>
      </c>
      <c r="I43" s="216" t="s">
        <v>4834</v>
      </c>
    </row>
    <row r="44" spans="1:9">
      <c r="A44" s="216">
        <v>43</v>
      </c>
      <c r="B44" s="216" t="s">
        <v>753</v>
      </c>
      <c r="C44" s="216">
        <v>104</v>
      </c>
      <c r="D44" s="216">
        <v>17</v>
      </c>
      <c r="E44" s="216">
        <v>219</v>
      </c>
      <c r="F44" s="216">
        <v>200</v>
      </c>
      <c r="G44" s="216" t="s">
        <v>3651</v>
      </c>
      <c r="H44" s="216" t="s">
        <v>4837</v>
      </c>
      <c r="I44" s="216" t="s">
        <v>2174</v>
      </c>
    </row>
    <row r="45" spans="1:9">
      <c r="A45" s="216">
        <v>44</v>
      </c>
      <c r="B45" s="216" t="s">
        <v>754</v>
      </c>
      <c r="C45" s="216">
        <v>4</v>
      </c>
      <c r="D45" s="216">
        <v>18</v>
      </c>
      <c r="E45" s="216">
        <v>20</v>
      </c>
      <c r="F45" s="216">
        <v>0</v>
      </c>
      <c r="G45" s="216" t="s">
        <v>2928</v>
      </c>
      <c r="H45" s="216" t="s">
        <v>4833</v>
      </c>
      <c r="I45" s="216" t="s">
        <v>4834</v>
      </c>
    </row>
    <row r="46" spans="1:9">
      <c r="A46" s="216">
        <v>45</v>
      </c>
      <c r="B46" s="216" t="s">
        <v>755</v>
      </c>
      <c r="C46" s="216">
        <v>4</v>
      </c>
      <c r="D46" s="216">
        <v>18</v>
      </c>
      <c r="E46" s="216">
        <v>20</v>
      </c>
      <c r="F46" s="216">
        <v>0</v>
      </c>
      <c r="G46" s="216" t="s">
        <v>2928</v>
      </c>
      <c r="H46" s="216" t="s">
        <v>4833</v>
      </c>
      <c r="I46" s="216" t="s">
        <v>4834</v>
      </c>
    </row>
    <row r="47" spans="1:9">
      <c r="A47" s="216">
        <v>46</v>
      </c>
      <c r="B47" s="216" t="s">
        <v>208</v>
      </c>
      <c r="C47" s="216">
        <v>16</v>
      </c>
      <c r="D47" s="216">
        <v>25</v>
      </c>
      <c r="E47" s="216">
        <v>185</v>
      </c>
      <c r="F47" s="216">
        <v>0</v>
      </c>
      <c r="G47" s="216" t="s">
        <v>3651</v>
      </c>
      <c r="H47" s="216" t="s">
        <v>4837</v>
      </c>
      <c r="I47" s="216" t="s">
        <v>2174</v>
      </c>
    </row>
    <row r="48" spans="1:9">
      <c r="A48" s="216">
        <v>47</v>
      </c>
      <c r="B48" s="216" t="s">
        <v>813</v>
      </c>
      <c r="C48" s="216">
        <v>130</v>
      </c>
      <c r="D48" s="216">
        <v>13</v>
      </c>
      <c r="E48" s="216">
        <v>329</v>
      </c>
      <c r="F48" s="216">
        <v>0</v>
      </c>
      <c r="G48" s="216" t="s">
        <v>3651</v>
      </c>
      <c r="H48" s="216" t="s">
        <v>4837</v>
      </c>
      <c r="I48" s="216" t="s">
        <v>2174</v>
      </c>
    </row>
    <row r="49" spans="1:9">
      <c r="A49" s="216">
        <v>48</v>
      </c>
      <c r="B49" s="216" t="s">
        <v>814</v>
      </c>
      <c r="C49" s="216">
        <v>123</v>
      </c>
      <c r="D49" s="216">
        <v>11</v>
      </c>
      <c r="E49" s="216">
        <v>749</v>
      </c>
      <c r="F49" s="216">
        <v>0</v>
      </c>
      <c r="G49" s="216" t="s">
        <v>3647</v>
      </c>
      <c r="H49" s="216" t="s">
        <v>4835</v>
      </c>
      <c r="I49" s="216" t="s">
        <v>4836</v>
      </c>
    </row>
    <row r="50" spans="1:9">
      <c r="A50" s="216">
        <v>49</v>
      </c>
      <c r="B50" s="216" t="s">
        <v>815</v>
      </c>
      <c r="C50" s="216">
        <v>13</v>
      </c>
      <c r="D50" s="216">
        <v>7</v>
      </c>
      <c r="E50" s="216">
        <v>78</v>
      </c>
      <c r="F50" s="216">
        <v>0</v>
      </c>
      <c r="G50" s="216" t="s">
        <v>2928</v>
      </c>
      <c r="H50" s="216" t="s">
        <v>4833</v>
      </c>
      <c r="I50" s="216" t="s">
        <v>4834</v>
      </c>
    </row>
    <row r="51" spans="1:9">
      <c r="A51" s="216">
        <v>50</v>
      </c>
      <c r="B51" s="216" t="s">
        <v>771</v>
      </c>
      <c r="C51" s="216">
        <v>9</v>
      </c>
      <c r="D51" s="216">
        <v>1</v>
      </c>
      <c r="E51" s="216">
        <v>8</v>
      </c>
      <c r="F51" s="216">
        <v>0</v>
      </c>
      <c r="G51" s="216" t="s">
        <v>2928</v>
      </c>
      <c r="H51" s="216" t="s">
        <v>4833</v>
      </c>
      <c r="I51" s="216" t="s">
        <v>4834</v>
      </c>
    </row>
    <row r="52" spans="1:9">
      <c r="A52" s="216">
        <v>51</v>
      </c>
      <c r="B52" s="216" t="s">
        <v>773</v>
      </c>
      <c r="C52" s="216">
        <v>12</v>
      </c>
      <c r="D52" s="216">
        <v>1</v>
      </c>
      <c r="E52" s="216">
        <v>10</v>
      </c>
      <c r="F52" s="216">
        <v>0</v>
      </c>
      <c r="G52" s="216" t="s">
        <v>2928</v>
      </c>
      <c r="H52" s="216" t="s">
        <v>4833</v>
      </c>
      <c r="I52" s="216" t="s">
        <v>4834</v>
      </c>
    </row>
    <row r="53" spans="1:9">
      <c r="A53" s="216">
        <v>52</v>
      </c>
      <c r="B53" s="216" t="s">
        <v>772</v>
      </c>
      <c r="C53" s="216">
        <v>80</v>
      </c>
      <c r="D53" s="216">
        <v>8</v>
      </c>
      <c r="E53" s="216">
        <v>86</v>
      </c>
      <c r="F53" s="216">
        <v>22</v>
      </c>
      <c r="G53" s="216" t="s">
        <v>2928</v>
      </c>
      <c r="H53" s="216" t="s">
        <v>4833</v>
      </c>
      <c r="I53" s="216" t="s">
        <v>4834</v>
      </c>
    </row>
    <row r="54" spans="1:9">
      <c r="A54" s="216">
        <v>53</v>
      </c>
      <c r="B54" s="216" t="s">
        <v>774</v>
      </c>
      <c r="C54" s="216">
        <v>116</v>
      </c>
      <c r="D54" s="216">
        <v>8</v>
      </c>
      <c r="E54" s="216">
        <v>350</v>
      </c>
      <c r="F54" s="216">
        <v>0</v>
      </c>
      <c r="G54" s="216" t="s">
        <v>3651</v>
      </c>
      <c r="H54" s="216" t="s">
        <v>4837</v>
      </c>
      <c r="I54" s="216" t="s">
        <v>2174</v>
      </c>
    </row>
    <row r="55" spans="1:9">
      <c r="A55" s="216">
        <v>54</v>
      </c>
      <c r="B55" s="216" t="s">
        <v>775</v>
      </c>
      <c r="C55" s="216">
        <v>100</v>
      </c>
      <c r="D55" s="216">
        <v>10</v>
      </c>
      <c r="E55" s="216">
        <v>90</v>
      </c>
      <c r="F55" s="216">
        <v>32</v>
      </c>
      <c r="G55" s="216" t="s">
        <v>2928</v>
      </c>
      <c r="H55" s="216" t="s">
        <v>4833</v>
      </c>
      <c r="I55" s="216" t="s">
        <v>4834</v>
      </c>
    </row>
    <row r="56" spans="1:9">
      <c r="A56" s="216">
        <v>55</v>
      </c>
      <c r="B56" s="216" t="s">
        <v>776</v>
      </c>
      <c r="C56" s="216">
        <v>13</v>
      </c>
      <c r="D56" s="216">
        <v>8</v>
      </c>
      <c r="E56" s="216">
        <v>73</v>
      </c>
      <c r="F56" s="216">
        <v>21</v>
      </c>
      <c r="G56" s="216" t="s">
        <v>2928</v>
      </c>
      <c r="H56" s="216" t="s">
        <v>4833</v>
      </c>
      <c r="I56" s="216" t="s">
        <v>4834</v>
      </c>
    </row>
    <row r="57" spans="1:9">
      <c r="A57" s="216">
        <v>56</v>
      </c>
      <c r="B57" s="216" t="s">
        <v>706</v>
      </c>
      <c r="C57" s="216">
        <v>14</v>
      </c>
      <c r="D57" s="216">
        <v>14</v>
      </c>
      <c r="E57" s="216">
        <v>128</v>
      </c>
      <c r="F57" s="216">
        <v>104</v>
      </c>
      <c r="G57" s="216" t="s">
        <v>2928</v>
      </c>
      <c r="H57" s="216" t="s">
        <v>4833</v>
      </c>
      <c r="I57" s="216" t="s">
        <v>4834</v>
      </c>
    </row>
    <row r="58" spans="1:9">
      <c r="A58" s="216">
        <v>57</v>
      </c>
      <c r="B58" s="216" t="s">
        <v>777</v>
      </c>
      <c r="C58" s="216">
        <v>14</v>
      </c>
      <c r="D58" s="216">
        <v>6</v>
      </c>
      <c r="E58" s="216">
        <v>73</v>
      </c>
      <c r="F58" s="216">
        <v>0</v>
      </c>
      <c r="G58" s="216" t="s">
        <v>2928</v>
      </c>
      <c r="H58" s="216" t="s">
        <v>4833</v>
      </c>
      <c r="I58" s="216" t="s">
        <v>4834</v>
      </c>
    </row>
    <row r="59" spans="1:9">
      <c r="A59" s="216">
        <v>58</v>
      </c>
      <c r="B59" s="216" t="s">
        <v>685</v>
      </c>
      <c r="C59" s="216">
        <v>34</v>
      </c>
      <c r="D59" s="216">
        <v>15</v>
      </c>
      <c r="E59" s="216">
        <v>443</v>
      </c>
      <c r="F59" s="216">
        <v>90</v>
      </c>
      <c r="G59" s="216" t="s">
        <v>3651</v>
      </c>
      <c r="H59" s="216" t="s">
        <v>4837</v>
      </c>
      <c r="I59" s="216" t="s">
        <v>2174</v>
      </c>
    </row>
    <row r="60" spans="1:9">
      <c r="A60" s="216">
        <v>59</v>
      </c>
      <c r="B60" s="216" t="s">
        <v>778</v>
      </c>
      <c r="C60" s="216">
        <v>15</v>
      </c>
      <c r="D60" s="216">
        <v>11</v>
      </c>
      <c r="E60" s="216">
        <v>58</v>
      </c>
      <c r="F60" s="216">
        <v>0</v>
      </c>
      <c r="G60" s="216" t="s">
        <v>2928</v>
      </c>
      <c r="H60" s="216" t="s">
        <v>4833</v>
      </c>
      <c r="I60" s="216" t="s">
        <v>4834</v>
      </c>
    </row>
    <row r="61" spans="1:9">
      <c r="A61" s="216">
        <v>60</v>
      </c>
      <c r="B61" s="216" t="s">
        <v>779</v>
      </c>
      <c r="C61" s="216">
        <v>15</v>
      </c>
      <c r="D61" s="216">
        <v>8</v>
      </c>
      <c r="E61" s="216">
        <v>68</v>
      </c>
      <c r="F61" s="216">
        <v>0</v>
      </c>
      <c r="G61" s="216" t="s">
        <v>2928</v>
      </c>
      <c r="H61" s="216" t="s">
        <v>4833</v>
      </c>
      <c r="I61" s="216" t="s">
        <v>4834</v>
      </c>
    </row>
    <row r="62" spans="1:9">
      <c r="A62" s="216">
        <v>61</v>
      </c>
      <c r="B62" s="216" t="s">
        <v>780</v>
      </c>
      <c r="C62" s="216">
        <v>18</v>
      </c>
      <c r="D62" s="216">
        <v>4</v>
      </c>
      <c r="E62" s="216">
        <v>33</v>
      </c>
      <c r="F62" s="216">
        <v>0</v>
      </c>
      <c r="G62" s="216" t="s">
        <v>2928</v>
      </c>
      <c r="H62" s="216" t="s">
        <v>4833</v>
      </c>
      <c r="I62" s="216" t="s">
        <v>4834</v>
      </c>
    </row>
    <row r="63" spans="1:9">
      <c r="A63" s="216">
        <v>62</v>
      </c>
      <c r="B63" s="216" t="s">
        <v>781</v>
      </c>
      <c r="C63" s="216">
        <v>12</v>
      </c>
      <c r="D63" s="216">
        <v>8</v>
      </c>
      <c r="E63" s="216">
        <v>52</v>
      </c>
      <c r="F63" s="216">
        <v>5</v>
      </c>
      <c r="G63" s="216" t="s">
        <v>2928</v>
      </c>
      <c r="H63" s="216" t="s">
        <v>4833</v>
      </c>
      <c r="I63" s="216" t="s">
        <v>4834</v>
      </c>
    </row>
    <row r="64" spans="1:9">
      <c r="A64" s="216">
        <v>63</v>
      </c>
      <c r="B64" s="216" t="s">
        <v>782</v>
      </c>
      <c r="C64" s="216">
        <v>80</v>
      </c>
      <c r="D64" s="216">
        <v>11</v>
      </c>
      <c r="E64" s="216">
        <v>59</v>
      </c>
      <c r="F64" s="216">
        <v>36</v>
      </c>
      <c r="G64" s="216" t="s">
        <v>2928</v>
      </c>
      <c r="H64" s="216" t="s">
        <v>4833</v>
      </c>
      <c r="I64" s="216" t="s">
        <v>4834</v>
      </c>
    </row>
    <row r="65" spans="1:9">
      <c r="A65" s="216">
        <v>64</v>
      </c>
      <c r="B65" s="216" t="s">
        <v>783</v>
      </c>
      <c r="C65" s="216">
        <v>220</v>
      </c>
      <c r="D65" s="216">
        <v>24</v>
      </c>
      <c r="E65" s="216">
        <v>3070</v>
      </c>
      <c r="F65" s="216">
        <v>3012</v>
      </c>
      <c r="G65" s="216" t="s">
        <v>4830</v>
      </c>
      <c r="H65" s="216" t="s">
        <v>4831</v>
      </c>
      <c r="I65" s="216" t="s">
        <v>4832</v>
      </c>
    </row>
    <row r="66" spans="1:9">
      <c r="A66" s="216">
        <v>65</v>
      </c>
      <c r="B66" s="216" t="s">
        <v>784</v>
      </c>
      <c r="C66" s="216">
        <v>100</v>
      </c>
      <c r="D66" s="216">
        <v>7</v>
      </c>
      <c r="E66" s="216">
        <v>152</v>
      </c>
      <c r="F66" s="216">
        <v>13</v>
      </c>
      <c r="G66" s="216" t="s">
        <v>3651</v>
      </c>
      <c r="H66" s="216" t="s">
        <v>4837</v>
      </c>
      <c r="I66" s="216" t="s">
        <v>2174</v>
      </c>
    </row>
    <row r="67" spans="1:9">
      <c r="A67" s="216">
        <v>66</v>
      </c>
      <c r="B67" s="216" t="s">
        <v>785</v>
      </c>
      <c r="C67" s="216">
        <v>80</v>
      </c>
      <c r="D67" s="216">
        <v>11</v>
      </c>
      <c r="E67" s="216">
        <v>59</v>
      </c>
      <c r="F67" s="216">
        <v>36</v>
      </c>
      <c r="G67" s="216" t="s">
        <v>2928</v>
      </c>
      <c r="H67" s="216" t="s">
        <v>4833</v>
      </c>
      <c r="I67" s="216" t="s">
        <v>4834</v>
      </c>
    </row>
    <row r="68" spans="1:9">
      <c r="A68" s="216">
        <v>67</v>
      </c>
      <c r="B68" s="216" t="s">
        <v>786</v>
      </c>
      <c r="C68" s="216">
        <v>80</v>
      </c>
      <c r="D68" s="216">
        <v>9</v>
      </c>
      <c r="E68" s="216">
        <v>51</v>
      </c>
      <c r="F68" s="216">
        <v>32</v>
      </c>
      <c r="G68" s="216" t="s">
        <v>2928</v>
      </c>
      <c r="H68" s="216" t="s">
        <v>4833</v>
      </c>
      <c r="I68" s="216" t="s">
        <v>4834</v>
      </c>
    </row>
    <row r="69" spans="1:9">
      <c r="A69" s="216">
        <v>68</v>
      </c>
      <c r="B69" s="216" t="s">
        <v>787</v>
      </c>
      <c r="C69" s="216">
        <v>204</v>
      </c>
      <c r="D69" s="216">
        <v>25</v>
      </c>
      <c r="E69" s="216">
        <v>1753</v>
      </c>
      <c r="F69" s="216">
        <v>1636</v>
      </c>
      <c r="G69" s="216" t="s">
        <v>4830</v>
      </c>
      <c r="H69" s="216" t="s">
        <v>4831</v>
      </c>
      <c r="I69" s="216" t="s">
        <v>4832</v>
      </c>
    </row>
    <row r="70" spans="1:9">
      <c r="A70" s="216">
        <v>69</v>
      </c>
      <c r="B70" s="216" t="s">
        <v>670</v>
      </c>
      <c r="C70" s="216">
        <v>204</v>
      </c>
      <c r="D70" s="216">
        <v>15</v>
      </c>
      <c r="E70" s="216">
        <v>113</v>
      </c>
      <c r="F70" s="216">
        <v>15</v>
      </c>
      <c r="G70" s="216" t="s">
        <v>2928</v>
      </c>
      <c r="H70" s="216" t="s">
        <v>4833</v>
      </c>
      <c r="I70" s="216" t="s">
        <v>4834</v>
      </c>
    </row>
    <row r="71" spans="1:9">
      <c r="A71" s="216">
        <v>70</v>
      </c>
      <c r="B71" s="216" t="s">
        <v>788</v>
      </c>
      <c r="C71" s="216">
        <v>60</v>
      </c>
      <c r="D71" s="216">
        <v>9</v>
      </c>
      <c r="E71" s="216">
        <v>48</v>
      </c>
      <c r="F71" s="216">
        <v>31</v>
      </c>
      <c r="G71" s="216" t="s">
        <v>2928</v>
      </c>
      <c r="H71" s="216" t="s">
        <v>4833</v>
      </c>
      <c r="I71" s="216" t="s">
        <v>4834</v>
      </c>
    </row>
    <row r="72" spans="1:9">
      <c r="A72" s="216">
        <v>71</v>
      </c>
      <c r="B72" s="216" t="s">
        <v>789</v>
      </c>
      <c r="C72" s="216">
        <v>16</v>
      </c>
      <c r="D72" s="216">
        <v>8</v>
      </c>
      <c r="E72" s="216">
        <v>53</v>
      </c>
      <c r="F72" s="216">
        <v>0</v>
      </c>
      <c r="G72" s="216" t="s">
        <v>2928</v>
      </c>
      <c r="H72" s="216" t="s">
        <v>4833</v>
      </c>
      <c r="I72" s="216" t="s">
        <v>4834</v>
      </c>
    </row>
    <row r="73" spans="1:9">
      <c r="A73" s="216">
        <v>72</v>
      </c>
      <c r="B73" s="216" t="s">
        <v>790</v>
      </c>
      <c r="C73" s="216">
        <v>100</v>
      </c>
      <c r="D73" s="216">
        <v>8</v>
      </c>
      <c r="E73" s="216">
        <v>42</v>
      </c>
      <c r="F73" s="216">
        <v>8</v>
      </c>
      <c r="G73" s="216" t="s">
        <v>2928</v>
      </c>
      <c r="H73" s="216" t="s">
        <v>4833</v>
      </c>
      <c r="I73" s="216" t="s">
        <v>4834</v>
      </c>
    </row>
    <row r="74" spans="1:9">
      <c r="A74" s="216">
        <v>73</v>
      </c>
      <c r="B74" s="216" t="s">
        <v>791</v>
      </c>
      <c r="C74" s="216">
        <v>12</v>
      </c>
      <c r="D74" s="216">
        <v>11</v>
      </c>
      <c r="E74" s="216">
        <v>101</v>
      </c>
      <c r="F74" s="216">
        <v>0</v>
      </c>
      <c r="G74" s="216" t="s">
        <v>2928</v>
      </c>
      <c r="H74" s="216" t="s">
        <v>4833</v>
      </c>
      <c r="I74" s="216" t="s">
        <v>4834</v>
      </c>
    </row>
    <row r="75" spans="1:9">
      <c r="A75" s="216">
        <v>74</v>
      </c>
      <c r="B75" s="216" t="s">
        <v>792</v>
      </c>
      <c r="C75" s="216">
        <v>60</v>
      </c>
      <c r="D75" s="216">
        <v>6</v>
      </c>
      <c r="E75" s="216">
        <v>31</v>
      </c>
      <c r="F75" s="216">
        <v>0</v>
      </c>
      <c r="G75" s="216" t="s">
        <v>2928</v>
      </c>
      <c r="H75" s="216" t="s">
        <v>4833</v>
      </c>
      <c r="I75" s="216" t="s">
        <v>4834</v>
      </c>
    </row>
    <row r="76" spans="1:9">
      <c r="A76" s="216">
        <v>75</v>
      </c>
      <c r="B76" s="216" t="s">
        <v>793</v>
      </c>
      <c r="C76" s="216">
        <v>204</v>
      </c>
      <c r="D76" s="216">
        <v>15</v>
      </c>
      <c r="E76" s="216">
        <v>88</v>
      </c>
      <c r="F76" s="216">
        <v>25</v>
      </c>
      <c r="G76" s="216" t="s">
        <v>2928</v>
      </c>
      <c r="H76" s="216" t="s">
        <v>4833</v>
      </c>
      <c r="I76" s="216" t="s">
        <v>4834</v>
      </c>
    </row>
    <row r="77" spans="1:9">
      <c r="A77" s="216">
        <v>76</v>
      </c>
      <c r="B77" s="216" t="s">
        <v>794</v>
      </c>
      <c r="C77" s="216">
        <v>100</v>
      </c>
      <c r="D77" s="216">
        <v>18</v>
      </c>
      <c r="E77" s="216">
        <v>295</v>
      </c>
      <c r="F77" s="216">
        <v>159</v>
      </c>
      <c r="G77" s="216" t="s">
        <v>3651</v>
      </c>
      <c r="H77" s="216" t="s">
        <v>4837</v>
      </c>
      <c r="I77" s="216" t="s">
        <v>2174</v>
      </c>
    </row>
    <row r="78" spans="1:9">
      <c r="A78" s="216">
        <v>77</v>
      </c>
      <c r="B78" s="216" t="s">
        <v>713</v>
      </c>
      <c r="C78" s="216">
        <v>100</v>
      </c>
      <c r="D78" s="216">
        <v>8</v>
      </c>
      <c r="E78" s="216">
        <v>14</v>
      </c>
      <c r="F78" s="216">
        <v>0</v>
      </c>
      <c r="G78" s="216" t="s">
        <v>2928</v>
      </c>
      <c r="H78" s="216" t="s">
        <v>4833</v>
      </c>
      <c r="I78" s="216" t="s">
        <v>4834</v>
      </c>
    </row>
    <row r="79" spans="1:9">
      <c r="A79" s="216">
        <v>78</v>
      </c>
      <c r="B79" s="216" t="s">
        <v>795</v>
      </c>
      <c r="C79" s="216">
        <v>35</v>
      </c>
      <c r="D79" s="216">
        <v>10</v>
      </c>
      <c r="E79" s="216">
        <v>141</v>
      </c>
      <c r="F79" s="216">
        <v>26</v>
      </c>
      <c r="G79" s="216" t="s">
        <v>2928</v>
      </c>
      <c r="H79" s="216" t="s">
        <v>4833</v>
      </c>
      <c r="I79" s="216" t="s">
        <v>4834</v>
      </c>
    </row>
    <row r="80" spans="1:9">
      <c r="A80" s="216">
        <v>79</v>
      </c>
      <c r="B80" s="216" t="s">
        <v>796</v>
      </c>
      <c r="C80" s="216">
        <v>35</v>
      </c>
      <c r="D80" s="216">
        <v>10</v>
      </c>
      <c r="E80" s="216">
        <v>141</v>
      </c>
      <c r="F80" s="216">
        <v>26</v>
      </c>
      <c r="G80" s="216" t="s">
        <v>2928</v>
      </c>
      <c r="H80" s="216" t="s">
        <v>4833</v>
      </c>
      <c r="I80" s="216" t="s">
        <v>4834</v>
      </c>
    </row>
    <row r="81" spans="1:9">
      <c r="A81" s="216">
        <v>80</v>
      </c>
      <c r="B81" s="216" t="s">
        <v>797</v>
      </c>
      <c r="C81" s="216">
        <v>35</v>
      </c>
      <c r="D81" s="216">
        <v>10</v>
      </c>
      <c r="E81" s="216">
        <v>141</v>
      </c>
      <c r="F81" s="216">
        <v>26</v>
      </c>
      <c r="G81" s="216" t="s">
        <v>2928</v>
      </c>
      <c r="H81" s="216" t="s">
        <v>4833</v>
      </c>
      <c r="I81" s="216" t="s">
        <v>4834</v>
      </c>
    </row>
    <row r="82" spans="1:9">
      <c r="A82" s="216">
        <v>81</v>
      </c>
      <c r="B82" s="216" t="s">
        <v>798</v>
      </c>
      <c r="C82" s="216">
        <v>100</v>
      </c>
      <c r="D82" s="216">
        <v>22</v>
      </c>
      <c r="E82" s="216">
        <v>141</v>
      </c>
      <c r="F82" s="216">
        <v>0</v>
      </c>
      <c r="G82" s="216" t="s">
        <v>2928</v>
      </c>
      <c r="H82" s="216" t="s">
        <v>4833</v>
      </c>
      <c r="I82" s="216" t="s">
        <v>4834</v>
      </c>
    </row>
    <row r="83" spans="1:9">
      <c r="A83" s="216">
        <v>82</v>
      </c>
      <c r="B83" s="216" t="s">
        <v>715</v>
      </c>
      <c r="C83" s="216">
        <v>106</v>
      </c>
      <c r="D83" s="216">
        <v>10</v>
      </c>
      <c r="E83" s="216">
        <v>40</v>
      </c>
      <c r="F83" s="216">
        <v>9</v>
      </c>
      <c r="G83" s="216" t="s">
        <v>2928</v>
      </c>
      <c r="H83" s="216" t="s">
        <v>4833</v>
      </c>
      <c r="I83" s="216" t="s">
        <v>4834</v>
      </c>
    </row>
    <row r="84" spans="1:9">
      <c r="A84" s="216">
        <v>83</v>
      </c>
      <c r="B84" s="216" t="s">
        <v>799</v>
      </c>
      <c r="C84" s="216">
        <v>12</v>
      </c>
      <c r="D84" s="216">
        <v>8</v>
      </c>
      <c r="E84" s="216">
        <v>47</v>
      </c>
      <c r="F84" s="216">
        <v>0</v>
      </c>
      <c r="G84" s="216" t="s">
        <v>2928</v>
      </c>
      <c r="H84" s="216" t="s">
        <v>4833</v>
      </c>
      <c r="I84" s="216" t="s">
        <v>4834</v>
      </c>
    </row>
    <row r="85" spans="1:9">
      <c r="A85" s="216">
        <v>84</v>
      </c>
      <c r="B85" s="216" t="s">
        <v>800</v>
      </c>
      <c r="C85" s="216">
        <v>100</v>
      </c>
      <c r="D85" s="216">
        <v>12</v>
      </c>
      <c r="E85" s="216">
        <v>206</v>
      </c>
      <c r="F85" s="216">
        <v>48</v>
      </c>
      <c r="G85" s="216" t="s">
        <v>3651</v>
      </c>
      <c r="H85" s="216" t="s">
        <v>4837</v>
      </c>
      <c r="I85" s="216" t="s">
        <v>2174</v>
      </c>
    </row>
    <row r="86" spans="1:9">
      <c r="A86" s="216">
        <v>85</v>
      </c>
      <c r="B86" s="216" t="s">
        <v>801</v>
      </c>
      <c r="C86" s="216">
        <v>39</v>
      </c>
      <c r="D86" s="216">
        <v>17</v>
      </c>
      <c r="E86" s="216">
        <v>72</v>
      </c>
      <c r="F86" s="216">
        <v>25</v>
      </c>
      <c r="G86" s="216" t="s">
        <v>2928</v>
      </c>
      <c r="H86" s="216" t="s">
        <v>4833</v>
      </c>
      <c r="I86" s="216" t="s">
        <v>4834</v>
      </c>
    </row>
    <row r="87" spans="1:9">
      <c r="A87" s="216">
        <v>86</v>
      </c>
      <c r="B87" s="216" t="s">
        <v>802</v>
      </c>
      <c r="C87" s="216">
        <v>100</v>
      </c>
      <c r="D87" s="216">
        <v>14</v>
      </c>
      <c r="E87" s="216">
        <v>247</v>
      </c>
      <c r="F87" s="216">
        <v>162</v>
      </c>
      <c r="G87" s="216" t="s">
        <v>3651</v>
      </c>
      <c r="H87" s="216" t="s">
        <v>4837</v>
      </c>
      <c r="I87" s="216" t="s">
        <v>2174</v>
      </c>
    </row>
    <row r="88" spans="1:9">
      <c r="A88" s="216">
        <v>87</v>
      </c>
      <c r="B88" s="216" t="s">
        <v>803</v>
      </c>
      <c r="C88" s="216">
        <v>204</v>
      </c>
      <c r="D88" s="216">
        <v>14</v>
      </c>
      <c r="E88" s="216">
        <v>627</v>
      </c>
      <c r="F88" s="216">
        <v>600</v>
      </c>
      <c r="G88" s="216" t="s">
        <v>3647</v>
      </c>
      <c r="H88" s="216" t="s">
        <v>4835</v>
      </c>
      <c r="I88" s="216" t="s">
        <v>4836</v>
      </c>
    </row>
    <row r="89" spans="1:9">
      <c r="A89" s="216">
        <v>88</v>
      </c>
      <c r="B89" s="216" t="s">
        <v>804</v>
      </c>
      <c r="C89" s="216">
        <v>204</v>
      </c>
      <c r="D89" s="216">
        <v>12</v>
      </c>
      <c r="E89" s="216">
        <v>614</v>
      </c>
      <c r="F89" s="216">
        <v>600</v>
      </c>
      <c r="G89" s="216" t="s">
        <v>3647</v>
      </c>
      <c r="H89" s="216" t="s">
        <v>4835</v>
      </c>
      <c r="I89" s="216" t="s">
        <v>4836</v>
      </c>
    </row>
    <row r="90" spans="1:9">
      <c r="A90" s="216">
        <v>89</v>
      </c>
      <c r="B90" s="216" t="s">
        <v>805</v>
      </c>
      <c r="C90" s="216">
        <v>105</v>
      </c>
      <c r="D90" s="216">
        <v>14</v>
      </c>
      <c r="E90" s="216">
        <v>184</v>
      </c>
      <c r="F90" s="216">
        <v>48</v>
      </c>
      <c r="G90" s="216" t="s">
        <v>3651</v>
      </c>
      <c r="H90" s="216" t="s">
        <v>4837</v>
      </c>
      <c r="I90" s="216" t="s">
        <v>2174</v>
      </c>
    </row>
    <row r="91" spans="1:9">
      <c r="A91" s="216">
        <v>90</v>
      </c>
      <c r="B91" s="216" t="s">
        <v>806</v>
      </c>
      <c r="C91" s="216">
        <v>100</v>
      </c>
      <c r="D91" s="216">
        <v>17</v>
      </c>
      <c r="E91" s="216">
        <v>249</v>
      </c>
      <c r="F91" s="216">
        <v>176</v>
      </c>
      <c r="G91" s="216" t="s">
        <v>3651</v>
      </c>
      <c r="H91" s="216" t="s">
        <v>4837</v>
      </c>
      <c r="I91" s="216" t="s">
        <v>2174</v>
      </c>
    </row>
    <row r="92" spans="1:9">
      <c r="A92" s="216">
        <v>91</v>
      </c>
      <c r="B92" s="216" t="s">
        <v>807</v>
      </c>
      <c r="C92" s="216">
        <v>105</v>
      </c>
      <c r="D92" s="216">
        <v>12</v>
      </c>
      <c r="E92" s="216">
        <v>110</v>
      </c>
      <c r="F92" s="216">
        <v>24</v>
      </c>
      <c r="G92" s="216" t="s">
        <v>2928</v>
      </c>
      <c r="H92" s="216" t="s">
        <v>4833</v>
      </c>
      <c r="I92" s="216" t="s">
        <v>4834</v>
      </c>
    </row>
    <row r="93" spans="1:9">
      <c r="A93" s="216">
        <v>92</v>
      </c>
      <c r="B93" s="216" t="s">
        <v>808</v>
      </c>
      <c r="C93" s="216">
        <v>100</v>
      </c>
      <c r="D93" s="216">
        <v>14</v>
      </c>
      <c r="E93" s="216">
        <v>247</v>
      </c>
      <c r="F93" s="216">
        <v>162</v>
      </c>
      <c r="G93" s="216" t="s">
        <v>3651</v>
      </c>
      <c r="H93" s="216" t="s">
        <v>4837</v>
      </c>
      <c r="I93" s="216" t="s">
        <v>2174</v>
      </c>
    </row>
    <row r="94" spans="1:9">
      <c r="A94" s="216">
        <v>93</v>
      </c>
      <c r="B94" s="216" t="s">
        <v>809</v>
      </c>
      <c r="C94" s="216">
        <v>18</v>
      </c>
      <c r="D94" s="216">
        <v>8</v>
      </c>
      <c r="E94" s="216">
        <v>89</v>
      </c>
      <c r="F94" s="216">
        <v>4</v>
      </c>
      <c r="G94" s="216" t="s">
        <v>2928</v>
      </c>
      <c r="H94" s="216" t="s">
        <v>4833</v>
      </c>
      <c r="I94" s="216" t="s">
        <v>4834</v>
      </c>
    </row>
    <row r="95" spans="1:9">
      <c r="A95" s="216">
        <v>94</v>
      </c>
      <c r="B95" s="216" t="s">
        <v>757</v>
      </c>
      <c r="C95" s="216">
        <v>72</v>
      </c>
      <c r="D95" s="216">
        <v>14</v>
      </c>
      <c r="E95" s="216">
        <v>459</v>
      </c>
      <c r="F95" s="216">
        <v>0</v>
      </c>
      <c r="G95" s="216" t="s">
        <v>3651</v>
      </c>
      <c r="H95" s="216" t="s">
        <v>4837</v>
      </c>
      <c r="I95" s="216" t="s">
        <v>2174</v>
      </c>
    </row>
    <row r="96" spans="1:9">
      <c r="A96" s="216">
        <v>95</v>
      </c>
      <c r="B96" s="216" t="s">
        <v>758</v>
      </c>
      <c r="C96" s="216">
        <v>113</v>
      </c>
      <c r="D96" s="216">
        <v>26</v>
      </c>
      <c r="E96" s="216">
        <v>699</v>
      </c>
      <c r="F96" s="216">
        <v>609</v>
      </c>
      <c r="G96" s="216" t="s">
        <v>3647</v>
      </c>
      <c r="H96" s="216" t="s">
        <v>4835</v>
      </c>
      <c r="I96" s="216" t="s">
        <v>4836</v>
      </c>
    </row>
    <row r="97" spans="1:9">
      <c r="A97" s="216">
        <v>96</v>
      </c>
      <c r="B97" s="216" t="s">
        <v>759</v>
      </c>
      <c r="C97" s="216">
        <v>93</v>
      </c>
      <c r="D97" s="216">
        <v>18</v>
      </c>
      <c r="E97" s="216">
        <v>177</v>
      </c>
      <c r="F97" s="216">
        <v>87</v>
      </c>
      <c r="G97" s="216" t="s">
        <v>3651</v>
      </c>
      <c r="H97" s="216" t="s">
        <v>4837</v>
      </c>
      <c r="I97" s="216" t="s">
        <v>2174</v>
      </c>
    </row>
    <row r="98" spans="1:9">
      <c r="A98" s="216">
        <v>97</v>
      </c>
      <c r="B98" s="216" t="s">
        <v>760</v>
      </c>
      <c r="C98" s="216">
        <v>65</v>
      </c>
      <c r="D98" s="216">
        <v>16</v>
      </c>
      <c r="E98" s="216">
        <v>386</v>
      </c>
      <c r="F98" s="216">
        <v>266</v>
      </c>
      <c r="G98" s="216" t="s">
        <v>3651</v>
      </c>
      <c r="H98" s="216" t="s">
        <v>4837</v>
      </c>
      <c r="I98" s="216" t="s">
        <v>2174</v>
      </c>
    </row>
    <row r="99" spans="1:9">
      <c r="A99" s="216">
        <v>98</v>
      </c>
      <c r="B99" s="216" t="s">
        <v>214</v>
      </c>
      <c r="C99" s="216">
        <v>73</v>
      </c>
      <c r="D99" s="216">
        <v>21</v>
      </c>
      <c r="E99" s="216">
        <v>205</v>
      </c>
      <c r="F99" s="216">
        <v>72</v>
      </c>
      <c r="G99" s="216" t="s">
        <v>3651</v>
      </c>
      <c r="H99" s="216" t="s">
        <v>4837</v>
      </c>
      <c r="I99" s="216" t="s">
        <v>2174</v>
      </c>
    </row>
    <row r="100" spans="1:9">
      <c r="A100" s="216">
        <v>99</v>
      </c>
      <c r="B100" s="216" t="s">
        <v>816</v>
      </c>
      <c r="C100" s="216">
        <v>99</v>
      </c>
      <c r="D100" s="216">
        <v>7</v>
      </c>
      <c r="E100" s="216">
        <v>693</v>
      </c>
      <c r="F100" s="216">
        <v>0</v>
      </c>
      <c r="G100" s="216" t="s">
        <v>3647</v>
      </c>
      <c r="H100" s="216" t="s">
        <v>4835</v>
      </c>
      <c r="I100" s="216" t="s">
        <v>4836</v>
      </c>
    </row>
    <row r="101" spans="1:9">
      <c r="A101" s="216">
        <v>100</v>
      </c>
      <c r="B101" s="216" t="s">
        <v>810</v>
      </c>
      <c r="C101" s="216">
        <v>5</v>
      </c>
      <c r="D101" s="216">
        <v>6</v>
      </c>
      <c r="E101" s="216">
        <v>30</v>
      </c>
      <c r="F101" s="216">
        <v>0</v>
      </c>
      <c r="G101" s="216" t="s">
        <v>2928</v>
      </c>
      <c r="H101" s="216" t="s">
        <v>4833</v>
      </c>
      <c r="I101" s="216" t="s">
        <v>4834</v>
      </c>
    </row>
    <row r="102" spans="1:9">
      <c r="A102" s="216">
        <v>101</v>
      </c>
      <c r="B102" s="216" t="s">
        <v>743</v>
      </c>
      <c r="C102" s="216">
        <v>51</v>
      </c>
      <c r="D102" s="216">
        <v>10</v>
      </c>
      <c r="E102" s="216">
        <v>492</v>
      </c>
      <c r="F102" s="216">
        <v>0</v>
      </c>
      <c r="G102" s="216" t="s">
        <v>3651</v>
      </c>
      <c r="H102" s="216" t="s">
        <v>4837</v>
      </c>
      <c r="I102" s="216" t="s">
        <v>2174</v>
      </c>
    </row>
    <row r="103" spans="1:9">
      <c r="A103" s="216">
        <v>102</v>
      </c>
      <c r="B103" s="216" t="s">
        <v>817</v>
      </c>
      <c r="C103" s="216">
        <v>19</v>
      </c>
      <c r="D103" s="216">
        <v>10</v>
      </c>
      <c r="E103" s="216">
        <v>104</v>
      </c>
      <c r="F103" s="216">
        <v>0</v>
      </c>
      <c r="G103" s="216" t="s">
        <v>2928</v>
      </c>
      <c r="H103" s="216" t="s">
        <v>4833</v>
      </c>
      <c r="I103" s="216" t="s">
        <v>4834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BFBFBF"/>
  </sheetPr>
  <dimension ref="A1:G8"/>
  <sheetViews>
    <sheetView showGridLines="0" workbookViewId="0"/>
  </sheetViews>
  <sheetFormatPr baseColWidth="10" defaultColWidth="8.7265625" defaultRowHeight="14.5"/>
  <sheetData>
    <row r="1" spans="1:7">
      <c r="A1" s="215" t="s">
        <v>4838</v>
      </c>
      <c r="B1" s="215" t="s">
        <v>4341</v>
      </c>
      <c r="C1" s="215" t="s">
        <v>4839</v>
      </c>
      <c r="D1" s="215" t="s">
        <v>4840</v>
      </c>
      <c r="E1" s="215" t="s">
        <v>4841</v>
      </c>
      <c r="F1" s="215" t="s">
        <v>2181</v>
      </c>
      <c r="G1" s="215" t="s">
        <v>4842</v>
      </c>
    </row>
    <row r="2" spans="1:7">
      <c r="A2" s="216" t="s">
        <v>157</v>
      </c>
      <c r="B2" s="216" t="s">
        <v>4843</v>
      </c>
      <c r="C2" s="216" t="s">
        <v>4830</v>
      </c>
      <c r="D2" s="216" t="s">
        <v>4844</v>
      </c>
      <c r="E2" s="216" t="s">
        <v>4845</v>
      </c>
      <c r="F2" s="216" t="s">
        <v>2197</v>
      </c>
      <c r="G2" s="216" t="s">
        <v>4832</v>
      </c>
    </row>
    <row r="3" spans="1:7">
      <c r="A3" s="216" t="s">
        <v>286</v>
      </c>
      <c r="B3" s="216" t="s">
        <v>4843</v>
      </c>
      <c r="C3" s="216" t="s">
        <v>4830</v>
      </c>
      <c r="D3" s="216" t="s">
        <v>4846</v>
      </c>
      <c r="E3" s="216" t="s">
        <v>4847</v>
      </c>
      <c r="F3" s="216" t="s">
        <v>2197</v>
      </c>
      <c r="G3" s="216" t="s">
        <v>4848</v>
      </c>
    </row>
    <row r="4" spans="1:7">
      <c r="A4" s="216" t="s">
        <v>1500</v>
      </c>
      <c r="B4" s="216" t="s">
        <v>4558</v>
      </c>
      <c r="C4" s="216" t="s">
        <v>3647</v>
      </c>
      <c r="D4" s="216" t="s">
        <v>4849</v>
      </c>
      <c r="E4" s="216" t="s">
        <v>4850</v>
      </c>
      <c r="F4" s="216" t="s">
        <v>2193</v>
      </c>
      <c r="G4" s="216" t="s">
        <v>4836</v>
      </c>
    </row>
    <row r="5" spans="1:7">
      <c r="A5" s="216" t="s">
        <v>1348</v>
      </c>
      <c r="B5" s="216" t="s">
        <v>4558</v>
      </c>
      <c r="C5" s="216" t="s">
        <v>3647</v>
      </c>
      <c r="D5" s="216" t="s">
        <v>4851</v>
      </c>
      <c r="E5" s="216" t="s">
        <v>4852</v>
      </c>
      <c r="F5" s="216" t="s">
        <v>2193</v>
      </c>
      <c r="G5" s="216" t="s">
        <v>4836</v>
      </c>
    </row>
    <row r="6" spans="1:7">
      <c r="A6" s="216" t="s">
        <v>201</v>
      </c>
      <c r="B6" s="216" t="s">
        <v>4290</v>
      </c>
      <c r="C6" s="216" t="s">
        <v>4853</v>
      </c>
      <c r="D6" s="216" t="s">
        <v>4854</v>
      </c>
      <c r="E6" s="216" t="s">
        <v>3146</v>
      </c>
      <c r="F6" s="216" t="s">
        <v>2193</v>
      </c>
      <c r="G6" s="216" t="s">
        <v>4855</v>
      </c>
    </row>
    <row r="7" spans="1:7">
      <c r="A7" s="216" t="s">
        <v>207</v>
      </c>
      <c r="B7" s="216" t="s">
        <v>4558</v>
      </c>
      <c r="C7" s="216" t="s">
        <v>3647</v>
      </c>
      <c r="D7" s="216" t="s">
        <v>4856</v>
      </c>
      <c r="E7" s="216" t="s">
        <v>4857</v>
      </c>
      <c r="F7" s="216" t="s">
        <v>2197</v>
      </c>
      <c r="G7" s="216" t="s">
        <v>4832</v>
      </c>
    </row>
    <row r="8" spans="1:7">
      <c r="A8" s="216" t="s">
        <v>213</v>
      </c>
      <c r="B8" s="216" t="s">
        <v>4858</v>
      </c>
      <c r="C8" s="216" t="s">
        <v>3647</v>
      </c>
      <c r="D8" s="216" t="s">
        <v>4859</v>
      </c>
      <c r="E8" s="216" t="s">
        <v>4860</v>
      </c>
      <c r="F8" s="216" t="s">
        <v>2193</v>
      </c>
      <c r="G8" s="216" t="s">
        <v>4836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BFBFBF"/>
  </sheetPr>
  <dimension ref="A1:E2"/>
  <sheetViews>
    <sheetView showGridLines="0" workbookViewId="0"/>
  </sheetViews>
  <sheetFormatPr baseColWidth="10" defaultColWidth="8.7265625" defaultRowHeight="14.5"/>
  <sheetData>
    <row r="1" spans="1:5">
      <c r="A1" s="215" t="s">
        <v>4861</v>
      </c>
      <c r="B1" s="215" t="s">
        <v>4862</v>
      </c>
      <c r="C1" s="215" t="s">
        <v>2934</v>
      </c>
      <c r="D1" s="215" t="s">
        <v>655</v>
      </c>
      <c r="E1" s="215" t="s">
        <v>11</v>
      </c>
    </row>
    <row r="2" spans="1:5">
      <c r="A2" s="216" t="s">
        <v>4863</v>
      </c>
      <c r="B2" s="216" t="s">
        <v>4864</v>
      </c>
      <c r="C2" s="216" t="s">
        <v>3647</v>
      </c>
      <c r="D2" s="216" t="s">
        <v>4865</v>
      </c>
      <c r="E2" s="216" t="s">
        <v>4866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BFBFBF"/>
  </sheetPr>
  <dimension ref="A1:C58"/>
  <sheetViews>
    <sheetView showGridLines="0" workbookViewId="0"/>
  </sheetViews>
  <sheetFormatPr baseColWidth="10" defaultColWidth="8.7265625" defaultRowHeight="14.5"/>
  <cols>
    <col min="1" max="1" width="36" customWidth="1"/>
    <col min="2" max="2" width="14" customWidth="1"/>
    <col min="3" max="3" width="45" customWidth="1"/>
  </cols>
  <sheetData>
    <row r="1" spans="1:3">
      <c r="A1" s="219" t="s">
        <v>4867</v>
      </c>
      <c r="B1" s="219" t="s">
        <v>4868</v>
      </c>
      <c r="C1" s="219" t="s">
        <v>4869</v>
      </c>
    </row>
    <row r="2" spans="1:3">
      <c r="A2" s="220" t="s">
        <v>681</v>
      </c>
      <c r="B2" s="220" t="s">
        <v>865</v>
      </c>
      <c r="C2" s="220" t="s">
        <v>4870</v>
      </c>
    </row>
    <row r="3" spans="1:3">
      <c r="A3" s="220" t="s">
        <v>734</v>
      </c>
      <c r="B3" s="220" t="s">
        <v>865</v>
      </c>
      <c r="C3" s="220" t="s">
        <v>4870</v>
      </c>
    </row>
    <row r="4" spans="1:3">
      <c r="A4" s="220" t="s">
        <v>733</v>
      </c>
      <c r="B4" s="220" t="s">
        <v>865</v>
      </c>
      <c r="C4" s="220" t="s">
        <v>4870</v>
      </c>
    </row>
    <row r="5" spans="1:3">
      <c r="A5" s="220" t="s">
        <v>735</v>
      </c>
      <c r="B5" s="220" t="s">
        <v>865</v>
      </c>
      <c r="C5" s="220" t="s">
        <v>4870</v>
      </c>
    </row>
    <row r="6" spans="1:3">
      <c r="A6" s="220" t="s">
        <v>739</v>
      </c>
      <c r="B6" s="220" t="s">
        <v>865</v>
      </c>
      <c r="C6" s="220" t="s">
        <v>4870</v>
      </c>
    </row>
    <row r="7" spans="1:3">
      <c r="A7" s="220" t="s">
        <v>771</v>
      </c>
      <c r="B7" s="220" t="s">
        <v>865</v>
      </c>
      <c r="C7" s="220" t="s">
        <v>4870</v>
      </c>
    </row>
    <row r="8" spans="1:3">
      <c r="A8" s="220" t="s">
        <v>772</v>
      </c>
      <c r="B8" s="220" t="s">
        <v>865</v>
      </c>
      <c r="C8" s="220" t="s">
        <v>4870</v>
      </c>
    </row>
    <row r="9" spans="1:3">
      <c r="A9" s="220" t="s">
        <v>773</v>
      </c>
      <c r="B9" s="220" t="s">
        <v>865</v>
      </c>
      <c r="C9" s="220" t="s">
        <v>4870</v>
      </c>
    </row>
    <row r="10" spans="1:3">
      <c r="A10" s="220" t="s">
        <v>774</v>
      </c>
      <c r="B10" s="220" t="s">
        <v>865</v>
      </c>
      <c r="C10" s="220" t="s">
        <v>4870</v>
      </c>
    </row>
    <row r="11" spans="1:3">
      <c r="A11" s="220" t="s">
        <v>775</v>
      </c>
      <c r="B11" s="220" t="s">
        <v>865</v>
      </c>
      <c r="C11" s="220" t="s">
        <v>4870</v>
      </c>
    </row>
    <row r="12" spans="1:3">
      <c r="A12" s="220" t="s">
        <v>776</v>
      </c>
      <c r="B12" s="220" t="s">
        <v>865</v>
      </c>
      <c r="C12" s="220" t="s">
        <v>4870</v>
      </c>
    </row>
    <row r="13" spans="1:3">
      <c r="A13" s="220" t="s">
        <v>777</v>
      </c>
      <c r="B13" s="220" t="s">
        <v>865</v>
      </c>
      <c r="C13" s="220" t="s">
        <v>4870</v>
      </c>
    </row>
    <row r="14" spans="1:3">
      <c r="A14" s="220" t="s">
        <v>685</v>
      </c>
      <c r="B14" s="220" t="s">
        <v>865</v>
      </c>
      <c r="C14" s="220" t="s">
        <v>4870</v>
      </c>
    </row>
    <row r="15" spans="1:3">
      <c r="A15" s="220" t="s">
        <v>778</v>
      </c>
      <c r="B15" s="220" t="s">
        <v>865</v>
      </c>
      <c r="C15" s="220" t="s">
        <v>4870</v>
      </c>
    </row>
    <row r="16" spans="1:3">
      <c r="A16" s="220" t="s">
        <v>779</v>
      </c>
      <c r="B16" s="220" t="s">
        <v>865</v>
      </c>
      <c r="C16" s="220" t="s">
        <v>4870</v>
      </c>
    </row>
    <row r="17" spans="1:3">
      <c r="A17" s="220" t="s">
        <v>780</v>
      </c>
      <c r="B17" s="220" t="s">
        <v>865</v>
      </c>
      <c r="C17" s="220" t="s">
        <v>4870</v>
      </c>
    </row>
    <row r="18" spans="1:3">
      <c r="A18" s="220" t="s">
        <v>781</v>
      </c>
      <c r="B18" s="220" t="s">
        <v>865</v>
      </c>
      <c r="C18" s="220" t="s">
        <v>4870</v>
      </c>
    </row>
    <row r="19" spans="1:3">
      <c r="A19" s="220" t="s">
        <v>782</v>
      </c>
      <c r="B19" s="220" t="s">
        <v>865</v>
      </c>
      <c r="C19" s="220" t="s">
        <v>4870</v>
      </c>
    </row>
    <row r="20" spans="1:3">
      <c r="A20" s="220" t="s">
        <v>783</v>
      </c>
      <c r="B20" s="220" t="s">
        <v>865</v>
      </c>
      <c r="C20" s="220" t="s">
        <v>4870</v>
      </c>
    </row>
    <row r="21" spans="1:3">
      <c r="A21" s="220" t="s">
        <v>784</v>
      </c>
      <c r="B21" s="220" t="s">
        <v>865</v>
      </c>
      <c r="C21" s="220" t="s">
        <v>4870</v>
      </c>
    </row>
    <row r="22" spans="1:3">
      <c r="A22" s="220" t="s">
        <v>785</v>
      </c>
      <c r="B22" s="220" t="s">
        <v>865</v>
      </c>
      <c r="C22" s="220" t="s">
        <v>4870</v>
      </c>
    </row>
    <row r="23" spans="1:3">
      <c r="A23" s="220" t="s">
        <v>786</v>
      </c>
      <c r="B23" s="220" t="s">
        <v>865</v>
      </c>
      <c r="C23" s="220" t="s">
        <v>4870</v>
      </c>
    </row>
    <row r="24" spans="1:3">
      <c r="A24" s="220" t="s">
        <v>787</v>
      </c>
      <c r="B24" s="220" t="s">
        <v>865</v>
      </c>
      <c r="C24" s="220" t="s">
        <v>4870</v>
      </c>
    </row>
    <row r="25" spans="1:3">
      <c r="A25" s="220" t="s">
        <v>670</v>
      </c>
      <c r="B25" s="220" t="s">
        <v>865</v>
      </c>
      <c r="C25" s="220" t="s">
        <v>4870</v>
      </c>
    </row>
    <row r="26" spans="1:3">
      <c r="A26" s="220" t="s">
        <v>788</v>
      </c>
      <c r="B26" s="220" t="s">
        <v>865</v>
      </c>
      <c r="C26" s="220" t="s">
        <v>4870</v>
      </c>
    </row>
    <row r="27" spans="1:3">
      <c r="A27" s="220" t="s">
        <v>789</v>
      </c>
      <c r="B27" s="220" t="s">
        <v>865</v>
      </c>
      <c r="C27" s="220" t="s">
        <v>4870</v>
      </c>
    </row>
    <row r="28" spans="1:3">
      <c r="A28" s="220" t="s">
        <v>790</v>
      </c>
      <c r="B28" s="220" t="s">
        <v>865</v>
      </c>
      <c r="C28" s="220" t="s">
        <v>4870</v>
      </c>
    </row>
    <row r="29" spans="1:3">
      <c r="A29" s="220" t="s">
        <v>791</v>
      </c>
      <c r="B29" s="220" t="s">
        <v>865</v>
      </c>
      <c r="C29" s="220" t="s">
        <v>4870</v>
      </c>
    </row>
    <row r="30" spans="1:3">
      <c r="A30" s="220" t="s">
        <v>792</v>
      </c>
      <c r="B30" s="220" t="s">
        <v>865</v>
      </c>
      <c r="C30" s="220" t="s">
        <v>4870</v>
      </c>
    </row>
    <row r="31" spans="1:3">
      <c r="A31" s="220" t="s">
        <v>793</v>
      </c>
      <c r="B31" s="220" t="s">
        <v>865</v>
      </c>
      <c r="C31" s="220" t="s">
        <v>4870</v>
      </c>
    </row>
    <row r="32" spans="1:3">
      <c r="A32" s="220" t="s">
        <v>794</v>
      </c>
      <c r="B32" s="220" t="s">
        <v>865</v>
      </c>
      <c r="C32" s="220" t="s">
        <v>4870</v>
      </c>
    </row>
    <row r="33" spans="1:3">
      <c r="A33" s="220" t="s">
        <v>795</v>
      </c>
      <c r="B33" s="220" t="s">
        <v>865</v>
      </c>
      <c r="C33" s="220" t="s">
        <v>4870</v>
      </c>
    </row>
    <row r="34" spans="1:3">
      <c r="A34" s="220" t="s">
        <v>796</v>
      </c>
      <c r="B34" s="220" t="s">
        <v>865</v>
      </c>
      <c r="C34" s="220" t="s">
        <v>4870</v>
      </c>
    </row>
    <row r="35" spans="1:3">
      <c r="A35" s="220" t="s">
        <v>797</v>
      </c>
      <c r="B35" s="220" t="s">
        <v>865</v>
      </c>
      <c r="C35" s="220" t="s">
        <v>4870</v>
      </c>
    </row>
    <row r="36" spans="1:3">
      <c r="A36" s="220" t="s">
        <v>798</v>
      </c>
      <c r="B36" s="220" t="s">
        <v>865</v>
      </c>
      <c r="C36" s="220" t="s">
        <v>4870</v>
      </c>
    </row>
    <row r="37" spans="1:3">
      <c r="A37" s="220" t="s">
        <v>799</v>
      </c>
      <c r="B37" s="220" t="s">
        <v>865</v>
      </c>
      <c r="C37" s="220" t="s">
        <v>4870</v>
      </c>
    </row>
    <row r="38" spans="1:3">
      <c r="A38" s="220" t="s">
        <v>800</v>
      </c>
      <c r="B38" s="220" t="s">
        <v>865</v>
      </c>
      <c r="C38" s="220" t="s">
        <v>4870</v>
      </c>
    </row>
    <row r="39" spans="1:3">
      <c r="A39" s="220" t="s">
        <v>801</v>
      </c>
      <c r="B39" s="220" t="s">
        <v>865</v>
      </c>
      <c r="C39" s="220" t="s">
        <v>4870</v>
      </c>
    </row>
    <row r="40" spans="1:3">
      <c r="A40" s="220" t="s">
        <v>802</v>
      </c>
      <c r="B40" s="220" t="s">
        <v>865</v>
      </c>
      <c r="C40" s="220" t="s">
        <v>4870</v>
      </c>
    </row>
    <row r="41" spans="1:3">
      <c r="A41" s="220" t="s">
        <v>803</v>
      </c>
      <c r="B41" s="220" t="s">
        <v>865</v>
      </c>
      <c r="C41" s="220" t="s">
        <v>4870</v>
      </c>
    </row>
    <row r="42" spans="1:3">
      <c r="A42" s="220" t="s">
        <v>804</v>
      </c>
      <c r="B42" s="220" t="s">
        <v>865</v>
      </c>
      <c r="C42" s="220" t="s">
        <v>4870</v>
      </c>
    </row>
    <row r="43" spans="1:3">
      <c r="A43" s="220" t="s">
        <v>805</v>
      </c>
      <c r="B43" s="220" t="s">
        <v>865</v>
      </c>
      <c r="C43" s="220" t="s">
        <v>4870</v>
      </c>
    </row>
    <row r="44" spans="1:3">
      <c r="A44" s="220" t="s">
        <v>806</v>
      </c>
      <c r="B44" s="220" t="s">
        <v>865</v>
      </c>
      <c r="C44" s="220" t="s">
        <v>4870</v>
      </c>
    </row>
    <row r="45" spans="1:3">
      <c r="A45" s="220" t="s">
        <v>807</v>
      </c>
      <c r="B45" s="220" t="s">
        <v>865</v>
      </c>
      <c r="C45" s="220" t="s">
        <v>4870</v>
      </c>
    </row>
    <row r="46" spans="1:3">
      <c r="A46" s="220" t="s">
        <v>808</v>
      </c>
      <c r="B46" s="220" t="s">
        <v>865</v>
      </c>
      <c r="C46" s="220" t="s">
        <v>4870</v>
      </c>
    </row>
    <row r="47" spans="1:3">
      <c r="A47" s="220" t="s">
        <v>809</v>
      </c>
      <c r="B47" s="220" t="s">
        <v>865</v>
      </c>
      <c r="C47" s="220" t="s">
        <v>4870</v>
      </c>
    </row>
    <row r="48" spans="1:3">
      <c r="A48" s="220" t="s">
        <v>810</v>
      </c>
      <c r="B48" s="220" t="s">
        <v>865</v>
      </c>
      <c r="C48" s="220" t="s">
        <v>4870</v>
      </c>
    </row>
    <row r="49" spans="1:3">
      <c r="A49" s="220" t="s">
        <v>811</v>
      </c>
      <c r="B49" s="220" t="s">
        <v>865</v>
      </c>
      <c r="C49" s="220" t="s">
        <v>4870</v>
      </c>
    </row>
    <row r="50" spans="1:3">
      <c r="A50" s="220" t="s">
        <v>812</v>
      </c>
      <c r="B50" s="220" t="s">
        <v>865</v>
      </c>
      <c r="C50" s="220" t="s">
        <v>4870</v>
      </c>
    </row>
    <row r="51" spans="1:3">
      <c r="A51" s="220" t="s">
        <v>813</v>
      </c>
      <c r="B51" s="220" t="s">
        <v>865</v>
      </c>
      <c r="C51" s="220" t="s">
        <v>4870</v>
      </c>
    </row>
    <row r="52" spans="1:3">
      <c r="A52" s="220" t="s">
        <v>814</v>
      </c>
      <c r="B52" s="220" t="s">
        <v>865</v>
      </c>
      <c r="C52" s="220" t="s">
        <v>4870</v>
      </c>
    </row>
    <row r="53" spans="1:3">
      <c r="A53" s="220" t="s">
        <v>815</v>
      </c>
      <c r="B53" s="220" t="s">
        <v>865</v>
      </c>
      <c r="C53" s="220" t="s">
        <v>4870</v>
      </c>
    </row>
    <row r="54" spans="1:3">
      <c r="A54" s="220" t="s">
        <v>816</v>
      </c>
      <c r="B54" s="220" t="s">
        <v>865</v>
      </c>
      <c r="C54" s="220" t="s">
        <v>4870</v>
      </c>
    </row>
    <row r="55" spans="1:3">
      <c r="A55" s="220" t="s">
        <v>817</v>
      </c>
      <c r="B55" s="220" t="s">
        <v>865</v>
      </c>
      <c r="C55" s="220" t="s">
        <v>4870</v>
      </c>
    </row>
    <row r="56" spans="1:3">
      <c r="A56" s="220" t="s">
        <v>868</v>
      </c>
      <c r="B56" s="220" t="s">
        <v>865</v>
      </c>
      <c r="C56" s="220" t="s">
        <v>4870</v>
      </c>
    </row>
    <row r="57" spans="1:3">
      <c r="A57" s="220" t="s">
        <v>819</v>
      </c>
      <c r="B57" s="220" t="s">
        <v>865</v>
      </c>
      <c r="C57" s="220" t="s">
        <v>4870</v>
      </c>
    </row>
    <row r="58" spans="1:3">
      <c r="A58" s="220" t="s">
        <v>820</v>
      </c>
      <c r="B58" s="220" t="s">
        <v>865</v>
      </c>
      <c r="C58" s="220" t="s">
        <v>4870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5"/>
  <sheetViews>
    <sheetView showGridLines="0" workbookViewId="0"/>
  </sheetViews>
  <sheetFormatPr baseColWidth="10" defaultColWidth="8.7265625" defaultRowHeight="14.5"/>
  <sheetData>
    <row r="1" spans="1:5">
      <c r="A1" s="221" t="s">
        <v>13</v>
      </c>
      <c r="B1" s="221" t="s">
        <v>4871</v>
      </c>
      <c r="C1" s="221" t="s">
        <v>1368</v>
      </c>
      <c r="D1" s="221" t="s">
        <v>1458</v>
      </c>
      <c r="E1" s="221" t="s">
        <v>1934</v>
      </c>
    </row>
    <row r="2" spans="1:5">
      <c r="A2" t="s">
        <v>4872</v>
      </c>
      <c r="B2" t="s">
        <v>4873</v>
      </c>
      <c r="C2" t="s">
        <v>1940</v>
      </c>
      <c r="D2" t="s">
        <v>4874</v>
      </c>
      <c r="E2" t="s">
        <v>4875</v>
      </c>
    </row>
    <row r="3" spans="1:5">
      <c r="A3" t="s">
        <v>4876</v>
      </c>
      <c r="B3" t="s">
        <v>4877</v>
      </c>
      <c r="C3" t="s">
        <v>1944</v>
      </c>
      <c r="D3" t="s">
        <v>4878</v>
      </c>
      <c r="E3" t="s">
        <v>4879</v>
      </c>
    </row>
    <row r="4" spans="1:5">
      <c r="A4" t="s">
        <v>4880</v>
      </c>
      <c r="B4" t="s">
        <v>4881</v>
      </c>
      <c r="C4" t="s">
        <v>4882</v>
      </c>
      <c r="D4" t="s">
        <v>4883</v>
      </c>
      <c r="E4" t="s">
        <v>4884</v>
      </c>
    </row>
    <row r="5" spans="1:5">
      <c r="A5" t="s">
        <v>4880</v>
      </c>
      <c r="B5" t="s">
        <v>4885</v>
      </c>
      <c r="C5" t="s">
        <v>4886</v>
      </c>
      <c r="D5" t="s">
        <v>4887</v>
      </c>
      <c r="E5" t="s">
        <v>4888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1"/>
  <sheetViews>
    <sheetView showGridLines="0" workbookViewId="0"/>
  </sheetViews>
  <sheetFormatPr baseColWidth="10" defaultColWidth="8.7265625" defaultRowHeight="14.5"/>
  <sheetData>
    <row r="1" spans="1:6">
      <c r="A1" s="221" t="s">
        <v>13</v>
      </c>
      <c r="B1" s="221" t="s">
        <v>4889</v>
      </c>
      <c r="C1" s="221" t="s">
        <v>4890</v>
      </c>
      <c r="D1" s="221" t="s">
        <v>4891</v>
      </c>
      <c r="E1" s="221" t="s">
        <v>4892</v>
      </c>
      <c r="F1" s="221" t="s">
        <v>1934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1"/>
  <sheetViews>
    <sheetView showGridLines="0" workbookViewId="0"/>
  </sheetViews>
  <sheetFormatPr baseColWidth="10" defaultColWidth="8.7265625" defaultRowHeight="14.5"/>
  <sheetData>
    <row r="1" spans="1:5">
      <c r="A1" s="221" t="s">
        <v>1964</v>
      </c>
      <c r="B1" s="221" t="s">
        <v>13</v>
      </c>
      <c r="C1" s="221" t="s">
        <v>1236</v>
      </c>
      <c r="D1" s="221" t="s">
        <v>1905</v>
      </c>
      <c r="E1" s="221" t="s">
        <v>4893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1"/>
  <sheetViews>
    <sheetView showGridLines="0" workbookViewId="0"/>
  </sheetViews>
  <sheetFormatPr baseColWidth="10" defaultColWidth="8.7265625" defaultRowHeight="14.5"/>
  <sheetData>
    <row r="1" spans="1:5">
      <c r="A1" s="221" t="s">
        <v>1981</v>
      </c>
      <c r="B1" s="221" t="s">
        <v>4894</v>
      </c>
      <c r="C1" s="221" t="s">
        <v>4895</v>
      </c>
      <c r="D1" s="221" t="s">
        <v>655</v>
      </c>
      <c r="E1" s="221" t="s">
        <v>1934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2"/>
  <sheetViews>
    <sheetView showGridLines="0" workbookViewId="0"/>
  </sheetViews>
  <sheetFormatPr baseColWidth="10" defaultColWidth="8.7265625" defaultRowHeight="14.5"/>
  <sheetData>
    <row r="1" spans="1:5">
      <c r="A1" s="221" t="s">
        <v>2010</v>
      </c>
      <c r="B1" s="221" t="s">
        <v>4896</v>
      </c>
      <c r="C1" s="221" t="s">
        <v>2233</v>
      </c>
      <c r="D1" s="221" t="s">
        <v>4897</v>
      </c>
      <c r="E1" s="221" t="s">
        <v>1934</v>
      </c>
    </row>
    <row r="2" spans="1:5">
      <c r="A2" t="s">
        <v>2063</v>
      </c>
      <c r="B2" t="s">
        <v>4898</v>
      </c>
      <c r="C2" t="s">
        <v>1012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D1"/>
  <sheetViews>
    <sheetView showGridLines="0" workbookViewId="0"/>
  </sheetViews>
  <sheetFormatPr baseColWidth="10" defaultColWidth="8.7265625" defaultRowHeight="14.5"/>
  <sheetData>
    <row r="1" spans="1:4">
      <c r="A1" s="221" t="s">
        <v>66</v>
      </c>
      <c r="B1" s="221" t="s">
        <v>1929</v>
      </c>
      <c r="C1" s="221" t="s">
        <v>1905</v>
      </c>
      <c r="D1" s="221" t="s">
        <v>655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D1"/>
  <sheetViews>
    <sheetView showGridLines="0" workbookViewId="0"/>
  </sheetViews>
  <sheetFormatPr baseColWidth="10" defaultColWidth="8.7265625" defaultRowHeight="14.5"/>
  <sheetData>
    <row r="1" spans="1:4">
      <c r="A1" s="221" t="s">
        <v>1300</v>
      </c>
      <c r="B1" s="221" t="s">
        <v>3689</v>
      </c>
      <c r="C1" s="221" t="s">
        <v>1235</v>
      </c>
      <c r="D1" s="221" t="s">
        <v>655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D1"/>
  <sheetViews>
    <sheetView showGridLines="0" workbookViewId="0"/>
  </sheetViews>
  <sheetFormatPr baseColWidth="10" defaultColWidth="8.7265625" defaultRowHeight="14.5"/>
  <sheetData>
    <row r="1" spans="1:4">
      <c r="A1" s="221" t="s">
        <v>4899</v>
      </c>
      <c r="B1" s="221" t="s">
        <v>3162</v>
      </c>
      <c r="C1" s="221" t="s">
        <v>2124</v>
      </c>
      <c r="D1" s="221" t="s">
        <v>1934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1"/>
  <sheetViews>
    <sheetView showGridLines="0" workbookViewId="0"/>
  </sheetViews>
  <sheetFormatPr baseColWidth="10" defaultColWidth="8.7265625" defaultRowHeight="14.5"/>
  <sheetData>
    <row r="1" spans="1:3">
      <c r="A1" s="221" t="s">
        <v>1300</v>
      </c>
      <c r="B1" s="221" t="s">
        <v>655</v>
      </c>
      <c r="C1" s="221" t="s">
        <v>656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1"/>
  <sheetViews>
    <sheetView showGridLines="0" workbookViewId="0"/>
  </sheetViews>
  <sheetFormatPr baseColWidth="10" defaultColWidth="8.7265625" defaultRowHeight="14.5"/>
  <sheetData>
    <row r="1" spans="1:4">
      <c r="A1" s="221" t="s">
        <v>13</v>
      </c>
      <c r="B1" s="221" t="s">
        <v>4900</v>
      </c>
      <c r="C1" s="221" t="s">
        <v>3162</v>
      </c>
      <c r="D1" s="221" t="s">
        <v>1934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1"/>
  <sheetViews>
    <sheetView showGridLines="0" workbookViewId="0"/>
  </sheetViews>
  <sheetFormatPr baseColWidth="10" defaultColWidth="8.7265625" defaultRowHeight="14.5"/>
  <sheetData>
    <row r="1" spans="1:3">
      <c r="A1" s="221" t="s">
        <v>1927</v>
      </c>
      <c r="B1" s="221" t="s">
        <v>4901</v>
      </c>
      <c r="C1" s="221" t="s">
        <v>1934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H16"/>
  <sheetViews>
    <sheetView showGridLines="0" workbookViewId="0"/>
  </sheetViews>
  <sheetFormatPr baseColWidth="10" defaultColWidth="8.7265625" defaultRowHeight="14.5"/>
  <cols>
    <col min="1" max="1" width="42" customWidth="1"/>
    <col min="2" max="2" width="14" customWidth="1"/>
    <col min="3" max="3" width="42" customWidth="1"/>
    <col min="4" max="8" width="12" customWidth="1"/>
  </cols>
  <sheetData>
    <row r="1" spans="1:8" ht="30" customHeight="1">
      <c r="A1" s="489" t="s">
        <v>4902</v>
      </c>
      <c r="B1" s="426"/>
      <c r="C1" s="426"/>
      <c r="D1" s="426"/>
      <c r="E1" s="426"/>
      <c r="F1" s="426"/>
      <c r="G1" s="426"/>
      <c r="H1" s="426"/>
    </row>
    <row r="2" spans="1:8">
      <c r="A2" s="485" t="s">
        <v>4903</v>
      </c>
      <c r="B2" s="426"/>
      <c r="C2" s="426"/>
      <c r="D2" s="426"/>
      <c r="E2" s="426"/>
      <c r="F2" s="426"/>
      <c r="G2" s="426"/>
      <c r="H2" s="426"/>
    </row>
    <row r="4" spans="1:8">
      <c r="A4" s="207" t="s">
        <v>3616</v>
      </c>
      <c r="B4" s="207" t="s">
        <v>655</v>
      </c>
      <c r="C4" s="207" t="s">
        <v>4904</v>
      </c>
      <c r="D4" s="207" t="s">
        <v>1236</v>
      </c>
      <c r="E4" s="208"/>
      <c r="F4" s="208"/>
      <c r="G4" s="208"/>
      <c r="H4" s="208"/>
    </row>
    <row r="5" spans="1:8" ht="29" customHeight="1">
      <c r="A5" s="209" t="s">
        <v>810</v>
      </c>
      <c r="B5" s="209" t="s">
        <v>4905</v>
      </c>
      <c r="C5" s="209" t="s">
        <v>4906</v>
      </c>
      <c r="D5" s="209" t="s">
        <v>4907</v>
      </c>
    </row>
    <row r="6" spans="1:8" ht="29" customHeight="1">
      <c r="A6" s="209" t="s">
        <v>741</v>
      </c>
      <c r="B6" s="209" t="s">
        <v>4905</v>
      </c>
      <c r="C6" s="209" t="s">
        <v>4906</v>
      </c>
      <c r="D6" s="209" t="s">
        <v>4907</v>
      </c>
    </row>
    <row r="7" spans="1:8" ht="29" customHeight="1">
      <c r="A7" s="209" t="s">
        <v>36</v>
      </c>
      <c r="B7" s="209" t="s">
        <v>4905</v>
      </c>
      <c r="C7" s="209" t="s">
        <v>4906</v>
      </c>
      <c r="D7" s="209" t="s">
        <v>4907</v>
      </c>
    </row>
    <row r="8" spans="1:8" ht="29" customHeight="1">
      <c r="A8" s="209" t="s">
        <v>311</v>
      </c>
      <c r="B8" s="209" t="s">
        <v>4905</v>
      </c>
      <c r="C8" s="209" t="s">
        <v>4906</v>
      </c>
      <c r="D8" s="209" t="s">
        <v>4907</v>
      </c>
    </row>
    <row r="9" spans="1:8" ht="29" customHeight="1">
      <c r="A9" s="209" t="s">
        <v>318</v>
      </c>
      <c r="B9" s="209" t="s">
        <v>4905</v>
      </c>
      <c r="C9" s="209" t="s">
        <v>4906</v>
      </c>
      <c r="D9" s="209" t="s">
        <v>4907</v>
      </c>
    </row>
    <row r="10" spans="1:8" ht="29" customHeight="1">
      <c r="A10" s="209" t="s">
        <v>742</v>
      </c>
      <c r="B10" s="209" t="s">
        <v>4905</v>
      </c>
      <c r="C10" s="209" t="s">
        <v>4906</v>
      </c>
      <c r="D10" s="209" t="s">
        <v>4907</v>
      </c>
    </row>
    <row r="11" spans="1:8" ht="29" customHeight="1">
      <c r="A11" s="209" t="s">
        <v>31</v>
      </c>
      <c r="B11" s="209" t="s">
        <v>4905</v>
      </c>
      <c r="C11" s="209" t="s">
        <v>4906</v>
      </c>
      <c r="D11" s="209" t="s">
        <v>4907</v>
      </c>
    </row>
    <row r="12" spans="1:8" ht="29" customHeight="1">
      <c r="A12" s="209" t="s">
        <v>718</v>
      </c>
      <c r="B12" s="209" t="s">
        <v>4905</v>
      </c>
      <c r="C12" s="209" t="s">
        <v>4906</v>
      </c>
      <c r="D12" s="209" t="s">
        <v>4907</v>
      </c>
    </row>
    <row r="13" spans="1:8" ht="29" customHeight="1">
      <c r="A13" s="209" t="s">
        <v>722</v>
      </c>
      <c r="B13" s="209" t="s">
        <v>4905</v>
      </c>
      <c r="C13" s="209" t="s">
        <v>4906</v>
      </c>
      <c r="D13" s="209" t="s">
        <v>4907</v>
      </c>
    </row>
    <row r="14" spans="1:8" ht="29" customHeight="1">
      <c r="A14" s="209" t="s">
        <v>834</v>
      </c>
      <c r="B14" s="209" t="s">
        <v>4905</v>
      </c>
      <c r="C14" s="209" t="s">
        <v>4906</v>
      </c>
      <c r="D14" s="209" t="s">
        <v>4907</v>
      </c>
    </row>
    <row r="15" spans="1:8" ht="29" customHeight="1">
      <c r="A15" s="209" t="s">
        <v>208</v>
      </c>
      <c r="B15" s="209" t="s">
        <v>4905</v>
      </c>
      <c r="C15" s="209" t="s">
        <v>4906</v>
      </c>
      <c r="D15" s="209" t="s">
        <v>4907</v>
      </c>
    </row>
    <row r="16" spans="1:8" ht="29" customHeight="1">
      <c r="A16" s="209" t="s">
        <v>214</v>
      </c>
      <c r="B16" s="209" t="s">
        <v>4905</v>
      </c>
      <c r="C16" s="209" t="s">
        <v>4906</v>
      </c>
      <c r="D16" s="209" t="s">
        <v>4907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11"/>
  <sheetViews>
    <sheetView showGridLines="0" workbookViewId="0"/>
  </sheetViews>
  <sheetFormatPr baseColWidth="10" defaultColWidth="8.7265625" defaultRowHeight="14.5"/>
  <cols>
    <col min="1" max="1" width="42" customWidth="1"/>
    <col min="2" max="3" width="12" customWidth="1"/>
    <col min="4" max="4" width="16" customWidth="1"/>
    <col min="5" max="5" width="14" customWidth="1"/>
    <col min="6" max="6" width="13" customWidth="1"/>
    <col min="7" max="7" width="18" customWidth="1"/>
    <col min="8" max="8" width="19" customWidth="1"/>
    <col min="9" max="9" width="17" customWidth="1"/>
    <col min="10" max="10" width="18" customWidth="1"/>
    <col min="11" max="11" width="25" customWidth="1"/>
    <col min="12" max="12" width="42" customWidth="1"/>
    <col min="13" max="13" width="15" customWidth="1"/>
  </cols>
  <sheetData>
    <row r="1" spans="1:13" ht="30" customHeight="1">
      <c r="A1" s="489" t="s">
        <v>4908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</row>
    <row r="2" spans="1:13" ht="24" customHeight="1">
      <c r="A2" s="485" t="s">
        <v>4909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</row>
    <row r="4" spans="1:13">
      <c r="A4" s="207" t="s">
        <v>1061</v>
      </c>
      <c r="B4" s="207" t="s">
        <v>1238</v>
      </c>
      <c r="C4" s="207" t="s">
        <v>4910</v>
      </c>
      <c r="D4" s="207" t="s">
        <v>4911</v>
      </c>
      <c r="E4" s="207" t="s">
        <v>2091</v>
      </c>
      <c r="F4" s="207" t="s">
        <v>4912</v>
      </c>
      <c r="G4" s="207" t="s">
        <v>4913</v>
      </c>
      <c r="H4" s="207" t="s">
        <v>4914</v>
      </c>
      <c r="I4" s="207" t="s">
        <v>4915</v>
      </c>
      <c r="J4" s="207" t="s">
        <v>4916</v>
      </c>
      <c r="K4" s="207" t="s">
        <v>4917</v>
      </c>
      <c r="L4" s="207" t="s">
        <v>655</v>
      </c>
      <c r="M4" s="207" t="s">
        <v>1934</v>
      </c>
    </row>
    <row r="5" spans="1:13">
      <c r="A5" s="224">
        <v>46174</v>
      </c>
      <c r="B5" s="209"/>
      <c r="C5" s="209"/>
      <c r="D5" s="209"/>
      <c r="E5" s="209"/>
      <c r="F5" s="209"/>
      <c r="G5" s="209"/>
      <c r="H5" s="209"/>
      <c r="I5" s="209"/>
      <c r="J5" s="209"/>
      <c r="K5" s="223"/>
      <c r="L5" s="209" t="str">
        <f t="shared" ref="L5:L11" si="0">IF(OR(I5="",J5=""),"Sin datos",IF(OR(I5&gt;=140,J5&gt;=90),"Alto",IF(OR(I5&gt;=130,J5&gt;=80),"Vigilar","Controlado")))</f>
        <v>Sin datos</v>
      </c>
      <c r="M5" s="209"/>
    </row>
    <row r="6" spans="1:13">
      <c r="A6" s="224">
        <v>46204</v>
      </c>
      <c r="B6" s="209"/>
      <c r="C6" s="209"/>
      <c r="D6" s="209"/>
      <c r="E6" s="209"/>
      <c r="F6" s="209"/>
      <c r="G6" s="209"/>
      <c r="H6" s="209"/>
      <c r="I6" s="209"/>
      <c r="J6" s="209"/>
      <c r="K6" s="223"/>
      <c r="L6" s="209" t="str">
        <f t="shared" si="0"/>
        <v>Sin datos</v>
      </c>
      <c r="M6" s="209"/>
    </row>
    <row r="7" spans="1:13">
      <c r="A7" s="224">
        <v>46235</v>
      </c>
      <c r="B7" s="209"/>
      <c r="C7" s="209"/>
      <c r="D7" s="209"/>
      <c r="E7" s="209"/>
      <c r="F7" s="209"/>
      <c r="G7" s="209"/>
      <c r="H7" s="209"/>
      <c r="I7" s="209"/>
      <c r="J7" s="209"/>
      <c r="K7" s="223"/>
      <c r="L7" s="209" t="str">
        <f t="shared" si="0"/>
        <v>Sin datos</v>
      </c>
      <c r="M7" s="209"/>
    </row>
    <row r="8" spans="1:13">
      <c r="A8" s="224">
        <v>46266</v>
      </c>
      <c r="B8" s="209"/>
      <c r="C8" s="209"/>
      <c r="D8" s="209"/>
      <c r="E8" s="209"/>
      <c r="F8" s="209"/>
      <c r="G8" s="209"/>
      <c r="H8" s="209"/>
      <c r="I8" s="209"/>
      <c r="J8" s="209"/>
      <c r="K8" s="223"/>
      <c r="L8" s="209" t="str">
        <f t="shared" si="0"/>
        <v>Sin datos</v>
      </c>
      <c r="M8" s="209"/>
    </row>
    <row r="9" spans="1:13">
      <c r="A9" s="224">
        <v>46296</v>
      </c>
      <c r="B9" s="209"/>
      <c r="C9" s="209"/>
      <c r="D9" s="209"/>
      <c r="E9" s="209"/>
      <c r="F9" s="209"/>
      <c r="G9" s="209"/>
      <c r="H9" s="209"/>
      <c r="I9" s="209"/>
      <c r="J9" s="209"/>
      <c r="K9" s="223"/>
      <c r="L9" s="209" t="str">
        <f t="shared" si="0"/>
        <v>Sin datos</v>
      </c>
      <c r="M9" s="209"/>
    </row>
    <row r="10" spans="1:13">
      <c r="A10" s="224">
        <v>46327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23"/>
      <c r="L10" s="209" t="str">
        <f t="shared" si="0"/>
        <v>Sin datos</v>
      </c>
      <c r="M10" s="209"/>
    </row>
    <row r="11" spans="1:13">
      <c r="A11" s="224">
        <v>46357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23"/>
      <c r="L11" s="209" t="str">
        <f t="shared" si="0"/>
        <v>Sin datos</v>
      </c>
      <c r="M11" s="209"/>
    </row>
  </sheetData>
  <mergeCells count="2">
    <mergeCell ref="A2:M2"/>
    <mergeCell ref="A1:M1"/>
  </mergeCells>
  <conditionalFormatting sqref="L5:L11">
    <cfRule type="expression" dxfId="5" priority="4">
      <formula>OR(L5="Crítico",L5="Vencido",L5="Alto")</formula>
    </cfRule>
    <cfRule type="expression" dxfId="4" priority="5">
      <formula>OR(L5="Atención",L5="Vigilar",L5="Próximo")</formula>
    </cfRule>
    <cfRule type="expression" dxfId="3" priority="6">
      <formula>OR(L5="Controlado",L5="Activo",L5="Vigente",L5="Completado")</formula>
    </cfRule>
  </conditionalFormatting>
  <conditionalFormatting sqref="L5:L100">
    <cfRule type="expression" dxfId="2" priority="1">
      <formula>L5="Alto"</formula>
    </cfRule>
    <cfRule type="expression" dxfId="1" priority="2">
      <formula>L5="Vigilar"</formula>
    </cfRule>
    <cfRule type="expression" dxfId="0" priority="3">
      <formula>L5="Controlado"</formula>
    </cfRule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40"/>
  <sheetViews>
    <sheetView workbookViewId="0"/>
  </sheetViews>
  <sheetFormatPr baseColWidth="10" defaultColWidth="8.7265625" defaultRowHeight="14.5"/>
  <cols>
    <col min="1" max="1" width="20" customWidth="1"/>
    <col min="2" max="2" width="34" customWidth="1"/>
    <col min="3" max="3" width="38" customWidth="1"/>
    <col min="4" max="4" width="25" customWidth="1"/>
    <col min="5" max="5" width="24" customWidth="1"/>
    <col min="6" max="6" width="18" customWidth="1"/>
    <col min="7" max="7" width="30" customWidth="1"/>
    <col min="8" max="8" width="34" customWidth="1"/>
  </cols>
  <sheetData>
    <row r="1" spans="1:8" ht="18.25" customHeight="1">
      <c r="A1" s="228" t="s">
        <v>4918</v>
      </c>
      <c r="B1" s="228"/>
      <c r="C1" s="228"/>
      <c r="D1" s="228"/>
      <c r="E1" s="228"/>
      <c r="F1" s="228"/>
      <c r="G1" s="228"/>
      <c r="H1" s="228"/>
    </row>
    <row r="2" spans="1:8" ht="20.149999999999999" customHeight="1">
      <c r="A2" s="229" t="s">
        <v>4919</v>
      </c>
      <c r="B2" s="229"/>
      <c r="C2" s="229"/>
      <c r="D2" s="229"/>
      <c r="E2" s="229"/>
      <c r="F2" s="229"/>
      <c r="G2" s="229"/>
      <c r="H2" s="229"/>
    </row>
    <row r="3" spans="1:8">
      <c r="A3" s="98"/>
      <c r="B3" s="98"/>
      <c r="C3" s="98"/>
      <c r="D3" s="98"/>
      <c r="E3" s="98"/>
      <c r="F3" s="98"/>
      <c r="G3" s="98"/>
      <c r="H3" s="98"/>
    </row>
    <row r="4" spans="1:8">
      <c r="A4" s="230" t="s">
        <v>66</v>
      </c>
      <c r="B4" s="230" t="s">
        <v>4920</v>
      </c>
      <c r="C4" s="230" t="s">
        <v>4921</v>
      </c>
      <c r="D4" s="230" t="s">
        <v>3616</v>
      </c>
      <c r="E4" s="230" t="s">
        <v>4922</v>
      </c>
      <c r="F4" s="230" t="s">
        <v>655</v>
      </c>
      <c r="G4" s="230" t="s">
        <v>2723</v>
      </c>
      <c r="H4" s="230" t="s">
        <v>11</v>
      </c>
    </row>
    <row r="5" spans="1:8" ht="5.75" customHeight="1">
      <c r="A5" s="98" t="s">
        <v>1203</v>
      </c>
      <c r="B5" s="98" t="s">
        <v>4923</v>
      </c>
      <c r="C5" s="98" t="s">
        <v>4924</v>
      </c>
      <c r="D5" s="98" t="s">
        <v>164</v>
      </c>
      <c r="E5" s="98" t="s">
        <v>4925</v>
      </c>
      <c r="F5" s="98" t="s">
        <v>4926</v>
      </c>
      <c r="G5" s="98" t="s">
        <v>4927</v>
      </c>
      <c r="H5" s="98" t="s">
        <v>4928</v>
      </c>
    </row>
    <row r="6" spans="1:8" ht="5.75" customHeight="1">
      <c r="A6" s="98" t="s">
        <v>175</v>
      </c>
      <c r="B6" s="98" t="s">
        <v>4929</v>
      </c>
      <c r="C6" s="98" t="s">
        <v>4930</v>
      </c>
      <c r="D6" s="98" t="s">
        <v>770</v>
      </c>
      <c r="E6" s="98" t="s">
        <v>4931</v>
      </c>
      <c r="F6" s="98" t="s">
        <v>4926</v>
      </c>
      <c r="G6" s="98" t="s">
        <v>4932</v>
      </c>
      <c r="H6" s="98" t="s">
        <v>4933</v>
      </c>
    </row>
    <row r="7" spans="1:8" ht="5.75" customHeight="1">
      <c r="A7" s="98" t="s">
        <v>175</v>
      </c>
      <c r="B7" s="98" t="s">
        <v>4934</v>
      </c>
      <c r="C7" s="98" t="s">
        <v>4935</v>
      </c>
      <c r="D7" s="98" t="s">
        <v>770</v>
      </c>
      <c r="E7" s="98" t="s">
        <v>4936</v>
      </c>
      <c r="F7" s="98" t="s">
        <v>4926</v>
      </c>
      <c r="G7" s="98" t="s">
        <v>4937</v>
      </c>
      <c r="H7" s="98" t="s">
        <v>4938</v>
      </c>
    </row>
    <row r="8" spans="1:8" ht="5.75" customHeight="1">
      <c r="A8" s="98" t="s">
        <v>175</v>
      </c>
      <c r="B8" s="98" t="s">
        <v>4939</v>
      </c>
      <c r="C8" s="98" t="s">
        <v>4940</v>
      </c>
      <c r="D8" s="98" t="s">
        <v>770</v>
      </c>
      <c r="E8" s="98" t="s">
        <v>4941</v>
      </c>
      <c r="F8" s="98" t="s">
        <v>4926</v>
      </c>
      <c r="G8" s="98" t="s">
        <v>4942</v>
      </c>
      <c r="H8" s="98" t="s">
        <v>4943</v>
      </c>
    </row>
    <row r="9" spans="1:8" ht="5.75" customHeight="1">
      <c r="A9" s="98" t="s">
        <v>1462</v>
      </c>
      <c r="B9" s="98" t="s">
        <v>4944</v>
      </c>
      <c r="C9" s="98" t="s">
        <v>4945</v>
      </c>
      <c r="D9" s="98" t="s">
        <v>164</v>
      </c>
      <c r="E9" s="98" t="s">
        <v>4946</v>
      </c>
      <c r="F9" s="98" t="s">
        <v>4926</v>
      </c>
      <c r="G9" s="98" t="s">
        <v>4947</v>
      </c>
      <c r="H9" s="98" t="s">
        <v>4948</v>
      </c>
    </row>
    <row r="10" spans="1:8">
      <c r="A10" s="98"/>
      <c r="B10" s="98"/>
      <c r="C10" s="98"/>
      <c r="D10" s="98"/>
      <c r="E10" s="98"/>
      <c r="F10" s="98"/>
      <c r="G10" s="98"/>
      <c r="H10" s="98"/>
    </row>
    <row r="11" spans="1:8" ht="5.75" customHeight="1">
      <c r="A11" s="98" t="s">
        <v>4949</v>
      </c>
      <c r="B11" s="98" t="s">
        <v>4950</v>
      </c>
      <c r="C11" s="98" t="s">
        <v>4951</v>
      </c>
      <c r="D11" s="98" t="s">
        <v>164</v>
      </c>
      <c r="E11" s="98" t="s">
        <v>4925</v>
      </c>
      <c r="F11" s="98" t="s">
        <v>4926</v>
      </c>
      <c r="G11" s="98" t="s">
        <v>4952</v>
      </c>
      <c r="H11" s="98" t="s">
        <v>4953</v>
      </c>
    </row>
    <row r="12" spans="1:8">
      <c r="A12" s="98"/>
      <c r="B12" s="98"/>
      <c r="C12" s="98"/>
      <c r="D12" s="98"/>
      <c r="E12" s="98"/>
      <c r="F12" s="98"/>
      <c r="G12" s="98"/>
      <c r="H12" s="98"/>
    </row>
    <row r="13" spans="1:8" ht="11.4" customHeight="1">
      <c r="A13" s="98" t="s">
        <v>4954</v>
      </c>
      <c r="B13" s="98" t="s">
        <v>4955</v>
      </c>
      <c r="C13" s="98" t="s">
        <v>4956</v>
      </c>
      <c r="D13" s="98" t="s">
        <v>20</v>
      </c>
      <c r="E13" s="98" t="s">
        <v>4957</v>
      </c>
      <c r="F13" s="98" t="s">
        <v>4926</v>
      </c>
      <c r="G13" s="98" t="s">
        <v>4958</v>
      </c>
      <c r="H13" s="98" t="s">
        <v>4959</v>
      </c>
    </row>
    <row r="14" spans="1:8">
      <c r="A14" s="98"/>
      <c r="B14" s="98"/>
      <c r="C14" s="98"/>
      <c r="D14" s="98"/>
      <c r="E14" s="98"/>
      <c r="F14" s="98"/>
      <c r="G14" s="98"/>
      <c r="H14" s="98"/>
    </row>
    <row r="15" spans="1:8" ht="5.75" customHeight="1">
      <c r="A15" s="98" t="s">
        <v>4960</v>
      </c>
      <c r="B15" s="98" t="s">
        <v>4961</v>
      </c>
      <c r="C15" s="98" t="s">
        <v>4962</v>
      </c>
      <c r="D15" s="98" t="s">
        <v>712</v>
      </c>
      <c r="E15" s="98" t="s">
        <v>4963</v>
      </c>
      <c r="F15" s="98" t="s">
        <v>4926</v>
      </c>
      <c r="G15" s="98" t="s">
        <v>4964</v>
      </c>
      <c r="H15" s="98" t="s">
        <v>4965</v>
      </c>
    </row>
    <row r="16" spans="1:8">
      <c r="A16" s="98"/>
      <c r="B16" s="98"/>
      <c r="C16" s="98"/>
      <c r="D16" s="98"/>
      <c r="E16" s="98"/>
      <c r="F16" s="98"/>
      <c r="G16" s="98"/>
      <c r="H16" s="98"/>
    </row>
    <row r="17" spans="1:8" ht="5.75" customHeight="1">
      <c r="A17" s="98" t="s">
        <v>4966</v>
      </c>
      <c r="B17" s="98" t="s">
        <v>4967</v>
      </c>
      <c r="C17" s="98" t="s">
        <v>4968</v>
      </c>
      <c r="D17" s="98" t="s">
        <v>176</v>
      </c>
      <c r="E17" s="98" t="s">
        <v>4969</v>
      </c>
      <c r="F17" s="98" t="s">
        <v>4970</v>
      </c>
      <c r="G17" s="98" t="s">
        <v>4971</v>
      </c>
      <c r="H17" s="98" t="s">
        <v>4972</v>
      </c>
    </row>
    <row r="18" spans="1:8">
      <c r="A18" s="98"/>
      <c r="B18" s="98"/>
      <c r="C18" s="98"/>
      <c r="D18" s="98"/>
      <c r="E18" s="98"/>
      <c r="F18" s="98"/>
      <c r="G18" s="98"/>
      <c r="H18" s="98"/>
    </row>
    <row r="19" spans="1:8">
      <c r="A19" s="98"/>
      <c r="B19" s="98"/>
      <c r="C19" s="98"/>
      <c r="D19" s="98"/>
      <c r="E19" s="98"/>
      <c r="F19" s="98"/>
      <c r="G19" s="98"/>
      <c r="H19" s="98"/>
    </row>
    <row r="20" spans="1:8">
      <c r="A20" s="98"/>
      <c r="B20" s="98"/>
      <c r="C20" s="98"/>
      <c r="D20" s="98"/>
      <c r="E20" s="98"/>
      <c r="F20" s="98"/>
      <c r="G20" s="98"/>
      <c r="H20" s="98"/>
    </row>
    <row r="21" spans="1:8">
      <c r="A21" s="98"/>
      <c r="B21" s="98"/>
      <c r="C21" s="98"/>
      <c r="D21" s="98"/>
      <c r="E21" s="98"/>
      <c r="F21" s="98"/>
      <c r="G21" s="98"/>
      <c r="H21" s="98"/>
    </row>
    <row r="22" spans="1:8">
      <c r="A22" s="98"/>
      <c r="B22" s="98"/>
      <c r="C22" s="98"/>
      <c r="D22" s="98"/>
      <c r="E22" s="98"/>
      <c r="F22" s="98"/>
      <c r="G22" s="98"/>
      <c r="H22" s="98"/>
    </row>
    <row r="23" spans="1:8">
      <c r="A23" s="98"/>
      <c r="B23" s="98"/>
      <c r="C23" s="98"/>
      <c r="D23" s="98"/>
      <c r="E23" s="98"/>
      <c r="F23" s="98"/>
      <c r="G23" s="98"/>
      <c r="H23" s="98"/>
    </row>
    <row r="24" spans="1:8">
      <c r="A24" s="98"/>
      <c r="B24" s="98"/>
      <c r="C24" s="98"/>
      <c r="D24" s="98"/>
      <c r="E24" s="98"/>
      <c r="F24" s="98"/>
      <c r="G24" s="98"/>
      <c r="H24" s="98"/>
    </row>
    <row r="25" spans="1:8">
      <c r="A25" s="98"/>
      <c r="B25" s="98"/>
      <c r="C25" s="98"/>
      <c r="D25" s="98"/>
      <c r="E25" s="98"/>
      <c r="F25" s="98"/>
      <c r="G25" s="98"/>
      <c r="H25" s="98"/>
    </row>
    <row r="26" spans="1:8">
      <c r="A26" s="98"/>
      <c r="B26" s="98"/>
      <c r="C26" s="98"/>
      <c r="D26" s="98"/>
      <c r="E26" s="98"/>
      <c r="F26" s="98"/>
      <c r="G26" s="98"/>
      <c r="H26" s="98"/>
    </row>
    <row r="27" spans="1:8">
      <c r="A27" s="98"/>
      <c r="B27" s="98"/>
      <c r="C27" s="98"/>
      <c r="D27" s="98"/>
      <c r="E27" s="98"/>
      <c r="F27" s="98"/>
      <c r="G27" s="98"/>
      <c r="H27" s="98"/>
    </row>
    <row r="28" spans="1:8">
      <c r="A28" s="98"/>
      <c r="B28" s="98"/>
      <c r="C28" s="98"/>
      <c r="D28" s="98"/>
      <c r="E28" s="98"/>
      <c r="F28" s="98"/>
      <c r="G28" s="98"/>
      <c r="H28" s="98"/>
    </row>
    <row r="29" spans="1:8">
      <c r="A29" s="98"/>
      <c r="B29" s="98"/>
      <c r="C29" s="98"/>
      <c r="D29" s="98"/>
      <c r="E29" s="98"/>
      <c r="F29" s="98"/>
      <c r="G29" s="98"/>
      <c r="H29" s="98"/>
    </row>
    <row r="30" spans="1:8">
      <c r="A30" s="98"/>
      <c r="B30" s="98"/>
      <c r="C30" s="98"/>
      <c r="D30" s="98"/>
      <c r="E30" s="98"/>
      <c r="F30" s="98"/>
      <c r="G30" s="98"/>
      <c r="H30" s="98"/>
    </row>
    <row r="31" spans="1:8">
      <c r="A31" s="98"/>
      <c r="B31" s="98"/>
      <c r="C31" s="98"/>
      <c r="D31" s="98"/>
      <c r="E31" s="98"/>
      <c r="F31" s="98"/>
      <c r="G31" s="98"/>
      <c r="H31" s="98"/>
    </row>
    <row r="32" spans="1:8">
      <c r="A32" s="98"/>
      <c r="B32" s="98"/>
      <c r="C32" s="98"/>
      <c r="D32" s="98"/>
      <c r="E32" s="98"/>
      <c r="F32" s="98"/>
      <c r="G32" s="98"/>
      <c r="H32" s="98"/>
    </row>
    <row r="33" spans="1:8">
      <c r="A33" s="98"/>
      <c r="B33" s="98"/>
      <c r="C33" s="98"/>
      <c r="D33" s="98"/>
      <c r="E33" s="98"/>
      <c r="F33" s="98"/>
      <c r="G33" s="98"/>
      <c r="H33" s="98"/>
    </row>
    <row r="34" spans="1:8">
      <c r="A34" s="98"/>
      <c r="B34" s="98"/>
      <c r="C34" s="98"/>
      <c r="D34" s="98"/>
      <c r="E34" s="98"/>
      <c r="F34" s="98"/>
      <c r="G34" s="98"/>
      <c r="H34" s="98"/>
    </row>
    <row r="35" spans="1:8">
      <c r="A35" s="98"/>
      <c r="B35" s="98"/>
      <c r="C35" s="98"/>
      <c r="D35" s="98"/>
      <c r="E35" s="98"/>
      <c r="F35" s="98"/>
      <c r="G35" s="98"/>
      <c r="H35" s="98"/>
    </row>
    <row r="36" spans="1:8">
      <c r="A36" s="98"/>
      <c r="B36" s="98"/>
      <c r="C36" s="98"/>
      <c r="D36" s="98"/>
      <c r="E36" s="98"/>
      <c r="F36" s="98"/>
      <c r="G36" s="98"/>
      <c r="H36" s="98"/>
    </row>
    <row r="37" spans="1:8">
      <c r="A37" s="98"/>
      <c r="B37" s="98"/>
      <c r="C37" s="98"/>
      <c r="D37" s="98"/>
      <c r="E37" s="98"/>
      <c r="F37" s="98"/>
      <c r="G37" s="98"/>
      <c r="H37" s="98"/>
    </row>
    <row r="38" spans="1:8">
      <c r="A38" s="98"/>
      <c r="B38" s="98"/>
      <c r="C38" s="98"/>
      <c r="D38" s="98"/>
      <c r="E38" s="98"/>
      <c r="F38" s="98"/>
      <c r="G38" s="98"/>
      <c r="H38" s="98"/>
    </row>
    <row r="39" spans="1:8">
      <c r="A39" s="98"/>
      <c r="B39" s="98"/>
      <c r="C39" s="98"/>
      <c r="D39" s="98"/>
      <c r="E39" s="98"/>
      <c r="F39" s="98"/>
      <c r="G39" s="98"/>
      <c r="H39" s="98"/>
    </row>
    <row r="40" spans="1:8">
      <c r="A40" s="98"/>
      <c r="B40" s="98"/>
      <c r="C40" s="98"/>
      <c r="D40" s="98"/>
      <c r="E40" s="98"/>
      <c r="F40" s="98"/>
      <c r="G40" s="98"/>
      <c r="H40" s="98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I40"/>
  <sheetViews>
    <sheetView workbookViewId="0"/>
  </sheetViews>
  <sheetFormatPr baseColWidth="10" defaultColWidth="8.7265625" defaultRowHeight="14.5"/>
  <cols>
    <col min="1" max="1" width="28" customWidth="1"/>
    <col min="2" max="2" width="18" customWidth="1"/>
    <col min="3" max="4" width="36" customWidth="1"/>
    <col min="5" max="5" width="16" customWidth="1"/>
    <col min="6" max="7" width="30" customWidth="1"/>
    <col min="8" max="8" width="14" customWidth="1"/>
    <col min="9" max="9" width="40" customWidth="1"/>
  </cols>
  <sheetData>
    <row r="1" spans="1:9" ht="10.9" customHeight="1">
      <c r="A1" s="253" t="s">
        <v>4973</v>
      </c>
      <c r="B1" s="253"/>
      <c r="C1" s="253"/>
      <c r="D1" s="253"/>
      <c r="E1" s="253"/>
      <c r="F1" s="253"/>
      <c r="G1" s="253"/>
      <c r="H1" s="253"/>
      <c r="I1" s="253"/>
    </row>
    <row r="2" spans="1:9" ht="22.9" customHeight="1">
      <c r="A2" s="252" t="s">
        <v>4974</v>
      </c>
      <c r="B2" s="252"/>
      <c r="C2" s="252"/>
      <c r="D2" s="252"/>
      <c r="E2" s="252"/>
      <c r="F2" s="252"/>
      <c r="G2" s="252"/>
      <c r="H2" s="252"/>
      <c r="I2" s="252"/>
    </row>
    <row r="3" spans="1:9">
      <c r="A3" s="98"/>
      <c r="B3" s="98"/>
      <c r="C3" s="98"/>
      <c r="D3" s="98"/>
      <c r="E3" s="98"/>
      <c r="F3" s="98"/>
      <c r="G3" s="98"/>
      <c r="H3" s="98"/>
      <c r="I3" s="98"/>
    </row>
    <row r="4" spans="1:9" ht="5.75" customHeight="1">
      <c r="A4" s="251" t="s">
        <v>3616</v>
      </c>
      <c r="B4" s="251" t="s">
        <v>4975</v>
      </c>
      <c r="C4" s="251" t="s">
        <v>4920</v>
      </c>
      <c r="D4" s="251" t="s">
        <v>4921</v>
      </c>
      <c r="E4" s="251" t="s">
        <v>4327</v>
      </c>
      <c r="F4" s="251" t="s">
        <v>695</v>
      </c>
      <c r="G4" s="251" t="s">
        <v>4976</v>
      </c>
      <c r="H4" s="251" t="s">
        <v>2181</v>
      </c>
      <c r="I4" s="251" t="s">
        <v>11</v>
      </c>
    </row>
    <row r="5" spans="1:9" ht="5.75" customHeight="1">
      <c r="A5" s="98" t="s">
        <v>710</v>
      </c>
      <c r="B5" s="98" t="s">
        <v>699</v>
      </c>
      <c r="C5" s="98" t="s">
        <v>705</v>
      </c>
      <c r="D5" s="98" t="s">
        <v>4832</v>
      </c>
      <c r="E5" s="98" t="s">
        <v>87</v>
      </c>
      <c r="F5" s="98" t="s">
        <v>4977</v>
      </c>
      <c r="G5" s="98" t="s">
        <v>3114</v>
      </c>
      <c r="H5" s="98" t="s">
        <v>2197</v>
      </c>
      <c r="I5" s="98" t="s">
        <v>4978</v>
      </c>
    </row>
    <row r="6" spans="1:9" ht="8.65" customHeight="1">
      <c r="A6" s="98" t="s">
        <v>20</v>
      </c>
      <c r="B6" s="98" t="s">
        <v>699</v>
      </c>
      <c r="C6" s="98" t="s">
        <v>4979</v>
      </c>
      <c r="D6" s="98" t="s">
        <v>4980</v>
      </c>
      <c r="E6" s="98" t="s">
        <v>87</v>
      </c>
      <c r="F6" s="98" t="s">
        <v>4981</v>
      </c>
      <c r="G6" s="98" t="s">
        <v>4982</v>
      </c>
      <c r="H6" s="98" t="s">
        <v>2197</v>
      </c>
      <c r="I6" s="98" t="s">
        <v>4983</v>
      </c>
    </row>
    <row r="7" spans="1:9">
      <c r="A7" s="98" t="s">
        <v>91</v>
      </c>
      <c r="B7" s="98" t="s">
        <v>699</v>
      </c>
      <c r="C7" s="98" t="s">
        <v>4984</v>
      </c>
      <c r="D7" s="98" t="s">
        <v>4985</v>
      </c>
      <c r="E7" s="98" t="s">
        <v>87</v>
      </c>
      <c r="F7" s="98" t="s">
        <v>4986</v>
      </c>
      <c r="G7" s="98" t="s">
        <v>4987</v>
      </c>
      <c r="H7" s="98" t="s">
        <v>2197</v>
      </c>
      <c r="I7" s="98" t="s">
        <v>4988</v>
      </c>
    </row>
    <row r="8" spans="1:9" ht="5.75" customHeight="1">
      <c r="A8" s="98" t="s">
        <v>712</v>
      </c>
      <c r="B8" s="98" t="s">
        <v>699</v>
      </c>
      <c r="C8" s="98" t="s">
        <v>4989</v>
      </c>
      <c r="D8" s="98" t="s">
        <v>4990</v>
      </c>
      <c r="E8" s="98" t="s">
        <v>87</v>
      </c>
      <c r="F8" s="98" t="s">
        <v>4991</v>
      </c>
      <c r="G8" s="98" t="s">
        <v>4992</v>
      </c>
      <c r="H8" s="98" t="s">
        <v>2197</v>
      </c>
      <c r="I8" s="98" t="s">
        <v>4993</v>
      </c>
    </row>
    <row r="9" spans="1:9">
      <c r="A9" s="98" t="s">
        <v>713</v>
      </c>
      <c r="B9" s="98" t="s">
        <v>699</v>
      </c>
      <c r="C9" s="98" t="s">
        <v>4994</v>
      </c>
      <c r="D9" s="98" t="s">
        <v>4832</v>
      </c>
      <c r="E9" s="98" t="s">
        <v>87</v>
      </c>
      <c r="F9" s="98" t="s">
        <v>4995</v>
      </c>
      <c r="G9" s="98" t="s">
        <v>4996</v>
      </c>
      <c r="H9" s="98" t="s">
        <v>2193</v>
      </c>
      <c r="I9" s="98" t="s">
        <v>4997</v>
      </c>
    </row>
    <row r="10" spans="1:9">
      <c r="A10" s="98" t="s">
        <v>714</v>
      </c>
      <c r="B10" s="98" t="s">
        <v>699</v>
      </c>
      <c r="C10" s="98" t="s">
        <v>4998</v>
      </c>
      <c r="D10" s="98" t="s">
        <v>4999</v>
      </c>
      <c r="E10" s="98" t="s">
        <v>87</v>
      </c>
      <c r="F10" s="98" t="s">
        <v>5000</v>
      </c>
      <c r="G10" s="98" t="s">
        <v>5001</v>
      </c>
      <c r="H10" s="98" t="s">
        <v>2197</v>
      </c>
      <c r="I10" s="98" t="s">
        <v>5002</v>
      </c>
    </row>
    <row r="11" spans="1:9" ht="5.75" customHeight="1">
      <c r="A11" s="98" t="s">
        <v>715</v>
      </c>
      <c r="B11" s="98" t="s">
        <v>5003</v>
      </c>
      <c r="C11" s="98" t="s">
        <v>5004</v>
      </c>
      <c r="D11" s="98" t="s">
        <v>5005</v>
      </c>
      <c r="E11" s="98" t="s">
        <v>58</v>
      </c>
      <c r="F11" s="98" t="s">
        <v>5006</v>
      </c>
      <c r="G11" s="98" t="s">
        <v>5007</v>
      </c>
      <c r="H11" s="98" t="s">
        <v>2197</v>
      </c>
      <c r="I11" s="98" t="s">
        <v>5008</v>
      </c>
    </row>
    <row r="12" spans="1:9">
      <c r="A12" s="98" t="s">
        <v>5009</v>
      </c>
      <c r="B12" s="98" t="s">
        <v>699</v>
      </c>
      <c r="C12" s="98" t="s">
        <v>5010</v>
      </c>
      <c r="D12" s="98" t="s">
        <v>4832</v>
      </c>
      <c r="E12" s="98" t="s">
        <v>87</v>
      </c>
      <c r="F12" s="98" t="s">
        <v>5011</v>
      </c>
      <c r="G12" s="98" t="s">
        <v>5012</v>
      </c>
      <c r="H12" s="98" t="s">
        <v>2197</v>
      </c>
      <c r="I12" s="98" t="s">
        <v>5013</v>
      </c>
    </row>
    <row r="13" spans="1:9">
      <c r="A13" s="98"/>
      <c r="B13" s="98"/>
      <c r="C13" s="98"/>
      <c r="D13" s="98"/>
      <c r="E13" s="98"/>
      <c r="F13" s="98"/>
      <c r="G13" s="98"/>
      <c r="H13" s="98"/>
      <c r="I13" s="98"/>
    </row>
    <row r="14" spans="1:9">
      <c r="A14" s="98"/>
      <c r="B14" s="98"/>
      <c r="C14" s="98"/>
      <c r="D14" s="98"/>
      <c r="E14" s="98"/>
      <c r="F14" s="98"/>
      <c r="G14" s="98"/>
      <c r="H14" s="98"/>
      <c r="I14" s="98"/>
    </row>
    <row r="15" spans="1:9">
      <c r="A15" s="251" t="s">
        <v>5014</v>
      </c>
      <c r="B15" s="251"/>
      <c r="C15" s="251"/>
      <c r="D15" s="251"/>
      <c r="E15" s="251"/>
      <c r="F15" s="251"/>
      <c r="G15" s="251"/>
      <c r="H15" s="251"/>
      <c r="I15" s="251"/>
    </row>
    <row r="16" spans="1:9">
      <c r="A16" s="98" t="s">
        <v>275</v>
      </c>
      <c r="B16" s="98" t="s">
        <v>79</v>
      </c>
      <c r="C16" s="98"/>
      <c r="D16" s="98"/>
      <c r="E16" s="98"/>
      <c r="F16" s="98"/>
      <c r="G16" s="98"/>
      <c r="H16" s="98"/>
      <c r="I16" s="98"/>
    </row>
    <row r="17" spans="1:9">
      <c r="A17" s="98" t="s">
        <v>1106</v>
      </c>
      <c r="B17" s="98" t="s">
        <v>79</v>
      </c>
      <c r="C17" s="98"/>
      <c r="D17" s="98"/>
      <c r="E17" s="98"/>
      <c r="F17" s="98"/>
      <c r="G17" s="98"/>
      <c r="H17" s="98"/>
      <c r="I17" s="98"/>
    </row>
    <row r="18" spans="1:9">
      <c r="A18" s="98" t="s">
        <v>1116</v>
      </c>
      <c r="B18" s="98" t="s">
        <v>79</v>
      </c>
      <c r="C18" s="98"/>
      <c r="D18" s="98"/>
      <c r="E18" s="98"/>
      <c r="F18" s="98"/>
      <c r="G18" s="98"/>
      <c r="H18" s="98"/>
      <c r="I18" s="98"/>
    </row>
    <row r="19" spans="1:9">
      <c r="A19" s="98" t="s">
        <v>1120</v>
      </c>
      <c r="B19" s="98" t="s">
        <v>79</v>
      </c>
      <c r="C19" s="98"/>
      <c r="D19" s="98"/>
      <c r="E19" s="98"/>
      <c r="F19" s="98"/>
      <c r="G19" s="98"/>
      <c r="H19" s="98"/>
      <c r="I19" s="98"/>
    </row>
    <row r="20" spans="1:9">
      <c r="A20" s="98" t="s">
        <v>263</v>
      </c>
      <c r="B20" s="98" t="s">
        <v>79</v>
      </c>
      <c r="C20" s="98"/>
      <c r="D20" s="98"/>
      <c r="E20" s="98"/>
      <c r="F20" s="98"/>
      <c r="G20" s="98"/>
      <c r="H20" s="98"/>
      <c r="I20" s="98"/>
    </row>
    <row r="21" spans="1:9">
      <c r="A21" s="98" t="s">
        <v>269</v>
      </c>
      <c r="B21" s="98" t="s">
        <v>79</v>
      </c>
      <c r="C21" s="98"/>
      <c r="D21" s="98"/>
      <c r="E21" s="98"/>
      <c r="F21" s="98"/>
      <c r="G21" s="98"/>
      <c r="H21" s="98"/>
      <c r="I21" s="98"/>
    </row>
    <row r="22" spans="1:9">
      <c r="A22" s="98" t="s">
        <v>18</v>
      </c>
      <c r="B22" s="98" t="s">
        <v>79</v>
      </c>
      <c r="C22" s="98"/>
      <c r="D22" s="98"/>
      <c r="E22" s="98"/>
      <c r="F22" s="98"/>
      <c r="G22" s="98"/>
      <c r="H22" s="98"/>
      <c r="I22" s="98"/>
    </row>
    <row r="23" spans="1:9">
      <c r="A23" s="98"/>
      <c r="B23" s="98"/>
      <c r="C23" s="98"/>
      <c r="D23" s="98"/>
      <c r="E23" s="98"/>
      <c r="F23" s="98"/>
      <c r="G23" s="98"/>
      <c r="H23" s="98"/>
      <c r="I23" s="98"/>
    </row>
    <row r="24" spans="1:9">
      <c r="A24" s="98"/>
      <c r="B24" s="98"/>
      <c r="C24" s="98"/>
      <c r="D24" s="98"/>
      <c r="E24" s="98"/>
      <c r="F24" s="98"/>
      <c r="G24" s="98"/>
      <c r="H24" s="98"/>
      <c r="I24" s="98"/>
    </row>
    <row r="25" spans="1:9">
      <c r="A25" s="251" t="s">
        <v>5015</v>
      </c>
      <c r="B25" s="251" t="s">
        <v>655</v>
      </c>
      <c r="C25" s="251" t="s">
        <v>1458</v>
      </c>
      <c r="D25" s="251"/>
      <c r="E25" s="251"/>
      <c r="F25" s="251"/>
      <c r="G25" s="251"/>
      <c r="H25" s="251"/>
      <c r="I25" s="251"/>
    </row>
    <row r="26" spans="1:9" ht="8.65" customHeight="1">
      <c r="A26" s="98" t="s">
        <v>715</v>
      </c>
      <c r="B26" s="98" t="s">
        <v>765</v>
      </c>
      <c r="C26" s="98" t="s">
        <v>5016</v>
      </c>
      <c r="D26" s="98"/>
      <c r="E26" s="98"/>
      <c r="F26" s="98"/>
      <c r="G26" s="98"/>
      <c r="H26" s="98"/>
      <c r="I26" s="98"/>
    </row>
    <row r="27" spans="1:9" ht="8.65" customHeight="1">
      <c r="A27" s="98" t="s">
        <v>1108</v>
      </c>
      <c r="B27" s="98" t="s">
        <v>4926</v>
      </c>
      <c r="C27" s="98" t="s">
        <v>5017</v>
      </c>
      <c r="D27" s="98"/>
      <c r="E27" s="98"/>
      <c r="F27" s="98"/>
      <c r="G27" s="98"/>
      <c r="H27" s="98"/>
      <c r="I27" s="98"/>
    </row>
    <row r="28" spans="1:9">
      <c r="A28" s="98"/>
      <c r="B28" s="98"/>
      <c r="C28" s="98"/>
      <c r="D28" s="98"/>
      <c r="E28" s="98"/>
      <c r="F28" s="98"/>
      <c r="G28" s="98"/>
      <c r="H28" s="98"/>
      <c r="I28" s="98"/>
    </row>
    <row r="29" spans="1:9">
      <c r="A29" s="98"/>
      <c r="B29" s="98"/>
      <c r="C29" s="98"/>
      <c r="D29" s="98"/>
      <c r="E29" s="98"/>
      <c r="F29" s="98"/>
      <c r="G29" s="98"/>
      <c r="H29" s="98"/>
      <c r="I29" s="98"/>
    </row>
    <row r="30" spans="1:9" ht="8.65" customHeight="1">
      <c r="A30" s="98" t="s">
        <v>5018</v>
      </c>
      <c r="B30" s="98" t="s">
        <v>1108</v>
      </c>
      <c r="C30" s="98" t="s">
        <v>5019</v>
      </c>
      <c r="D30" s="98" t="s">
        <v>20</v>
      </c>
      <c r="E30" s="98" t="s">
        <v>4957</v>
      </c>
      <c r="F30" s="98" t="s">
        <v>4926</v>
      </c>
      <c r="G30" s="98" t="s">
        <v>5020</v>
      </c>
      <c r="H30" s="98" t="s">
        <v>2197</v>
      </c>
      <c r="I30" s="98" t="s">
        <v>5021</v>
      </c>
    </row>
    <row r="31" spans="1:9">
      <c r="A31" s="98"/>
      <c r="B31" s="98"/>
      <c r="C31" s="98"/>
      <c r="D31" s="98"/>
      <c r="E31" s="98"/>
      <c r="F31" s="98"/>
      <c r="G31" s="98"/>
      <c r="H31" s="98"/>
      <c r="I31" s="98"/>
    </row>
    <row r="32" spans="1:9">
      <c r="A32" s="98"/>
      <c r="B32" s="98"/>
      <c r="C32" s="98"/>
      <c r="D32" s="98"/>
      <c r="E32" s="98"/>
      <c r="F32" s="98"/>
      <c r="G32" s="98"/>
      <c r="H32" s="98"/>
      <c r="I32" s="98"/>
    </row>
    <row r="33" spans="1:9">
      <c r="A33" s="98"/>
      <c r="B33" s="98"/>
      <c r="C33" s="98"/>
      <c r="D33" s="98"/>
      <c r="E33" s="98"/>
      <c r="F33" s="98"/>
      <c r="G33" s="98"/>
      <c r="H33" s="98"/>
      <c r="I33" s="98"/>
    </row>
    <row r="34" spans="1:9">
      <c r="A34" s="98"/>
      <c r="B34" s="98"/>
      <c r="C34" s="98"/>
      <c r="D34" s="98"/>
      <c r="E34" s="98"/>
      <c r="F34" s="98"/>
      <c r="G34" s="98"/>
      <c r="H34" s="98"/>
      <c r="I34" s="98"/>
    </row>
    <row r="35" spans="1:9">
      <c r="A35" s="98"/>
      <c r="B35" s="98"/>
      <c r="C35" s="98"/>
      <c r="D35" s="98"/>
      <c r="E35" s="98"/>
      <c r="F35" s="98"/>
      <c r="G35" s="98"/>
      <c r="H35" s="98"/>
      <c r="I35" s="98"/>
    </row>
    <row r="36" spans="1:9">
      <c r="A36" s="98"/>
      <c r="B36" s="98"/>
      <c r="C36" s="98"/>
      <c r="D36" s="98"/>
      <c r="E36" s="98"/>
      <c r="F36" s="98"/>
      <c r="G36" s="98"/>
      <c r="H36" s="98"/>
      <c r="I36" s="98"/>
    </row>
    <row r="37" spans="1:9">
      <c r="A37" s="98"/>
      <c r="B37" s="98"/>
      <c r="C37" s="98"/>
      <c r="D37" s="98"/>
      <c r="E37" s="98"/>
      <c r="F37" s="98"/>
      <c r="G37" s="98"/>
      <c r="H37" s="98"/>
      <c r="I37" s="98"/>
    </row>
    <row r="38" spans="1:9">
      <c r="A38" s="98"/>
      <c r="B38" s="98"/>
      <c r="C38" s="98"/>
      <c r="D38" s="98"/>
      <c r="E38" s="98"/>
      <c r="F38" s="98"/>
      <c r="G38" s="98"/>
      <c r="H38" s="98"/>
      <c r="I38" s="98"/>
    </row>
    <row r="39" spans="1:9">
      <c r="A39" s="98"/>
      <c r="B39" s="98"/>
      <c r="C39" s="98"/>
      <c r="D39" s="98"/>
      <c r="E39" s="98"/>
      <c r="F39" s="98"/>
      <c r="G39" s="98"/>
      <c r="H39" s="98"/>
      <c r="I39" s="98"/>
    </row>
    <row r="40" spans="1:9">
      <c r="A40" s="98"/>
      <c r="B40" s="98"/>
      <c r="C40" s="98"/>
      <c r="D40" s="98"/>
      <c r="E40" s="98"/>
      <c r="F40" s="98"/>
      <c r="G40" s="98"/>
      <c r="H40" s="98"/>
      <c r="I40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153</vt:i4>
      </vt:variant>
    </vt:vector>
  </HeadingPairs>
  <TitlesOfParts>
    <vt:vector size="153" baseType="lpstr">
      <vt:lpstr>VISION_BOARD</vt:lpstr>
      <vt:lpstr>SERPAT TURNOS</vt:lpstr>
      <vt:lpstr>PENDIENTES</vt:lpstr>
      <vt:lpstr>DESARROLLO_PERSONAL</vt:lpstr>
      <vt:lpstr>00_GENERADOR_DIA</vt:lpstr>
      <vt:lpstr>00_MOTOR_VIDA_REAL</vt:lpstr>
      <vt:lpstr>00_REGLAS_VIDA_REAL</vt:lpstr>
      <vt:lpstr>00_PLANTILLAS_BLOQUES</vt:lpstr>
      <vt:lpstr>03_Objetivos_Metas_V4</vt:lpstr>
      <vt:lpstr>94_Auditoria_Operativa_C31</vt:lpstr>
      <vt:lpstr>00_MAPA_OPERATIVO_FINAL</vt:lpstr>
      <vt:lpstr>00_INDICE_OPERATIVO</vt:lpstr>
      <vt:lpstr>00_Indice_V6</vt:lpstr>
      <vt:lpstr>05_Estructura_Mensual_2026</vt:lpstr>
      <vt:lpstr>SEC_01_CEO_CONTROL</vt:lpstr>
      <vt:lpstr>20_Registro_Diario</vt:lpstr>
      <vt:lpstr>21_KPI_Diario</vt:lpstr>
      <vt:lpstr>22_KPI_Semanal_V4</vt:lpstr>
      <vt:lpstr>24_KPI_Mensual_V4</vt:lpstr>
      <vt:lpstr>23_Domingo_CEO</vt:lpstr>
      <vt:lpstr>02_Control_Junio</vt:lpstr>
      <vt:lpstr>90_Alertas_Correcciones</vt:lpstr>
      <vt:lpstr>04_Score_Ejecutivo_Consolidado</vt:lpstr>
      <vt:lpstr>SEC_02_FINANZAS</vt:lpstr>
      <vt:lpstr>10_Patrimonio_Financiero</vt:lpstr>
      <vt:lpstr>11_Ingresos</vt:lpstr>
      <vt:lpstr>12_Gastos</vt:lpstr>
      <vt:lpstr>13_Deudas</vt:lpstr>
      <vt:lpstr>14_Inversiones</vt:lpstr>
      <vt:lpstr>09_Posicion_Actual</vt:lpstr>
      <vt:lpstr>15_Historial_Diario</vt:lpstr>
      <vt:lpstr>16_Posicion_Actual_AUTO</vt:lpstr>
      <vt:lpstr>17_Dashboard_Inversiones</vt:lpstr>
      <vt:lpstr>18_Conciliacion_Bancaria_V3</vt:lpstr>
      <vt:lpstr>18_Conciliacion_Bancaria_V2</vt:lpstr>
      <vt:lpstr>08_Rentabilidad_Inversiones</vt:lpstr>
      <vt:lpstr>12_Rentabilidad_Mensual</vt:lpstr>
      <vt:lpstr>07_Evolucion_Patrimonial</vt:lpstr>
      <vt:lpstr>16_Balance_8Col_V4</vt:lpstr>
      <vt:lpstr>SEC_03_VIDA_REAL_SALUD</vt:lpstr>
      <vt:lpstr>H00_Dashboard_Health</vt:lpstr>
      <vt:lpstr>H01_Maestro_Salud</vt:lpstr>
      <vt:lpstr>H02_Registro_Salud</vt:lpstr>
      <vt:lpstr>H03_Documentos</vt:lpstr>
      <vt:lpstr>H04_Seguros_Beneficios</vt:lpstr>
      <vt:lpstr>SEC_03_UNIVERSIDAD_T2</vt:lpstr>
      <vt:lpstr>_LISTAS_UNIVERSIDAD_T2</vt:lpstr>
      <vt:lpstr>UNIVERSIDAD_MASTER_T2_2026</vt:lpstr>
      <vt:lpstr>55_T2_CONTENIDOS_Y_AVANCE</vt:lpstr>
      <vt:lpstr>56_T2_ESTUDIO_Y_ERRORES</vt:lpstr>
      <vt:lpstr>57_T2_EVALUACIONES_NOTAS</vt:lpstr>
      <vt:lpstr>58_DASHBOARD_ACADEMICO_T2</vt:lpstr>
      <vt:lpstr>54_Ramos_Activos</vt:lpstr>
      <vt:lpstr>57_Matriz_Prioridad</vt:lpstr>
      <vt:lpstr>58_Dashboard_Academico</vt:lpstr>
      <vt:lpstr>59_Control_Trimestral</vt:lpstr>
      <vt:lpstr>61_T2_Ramos</vt:lpstr>
      <vt:lpstr>62_T2_Evaluaciones</vt:lpstr>
      <vt:lpstr>63_T2_Bloques</vt:lpstr>
      <vt:lpstr>66_T2_Calendario</vt:lpstr>
      <vt:lpstr>65_T2_Dashboard</vt:lpstr>
      <vt:lpstr>T2_CONTENIDOS_SEM1_SEM4</vt:lpstr>
      <vt:lpstr>64_T2_Errores</vt:lpstr>
      <vt:lpstr>50_Universidad_Master</vt:lpstr>
      <vt:lpstr>51_Bloques_Estudio</vt:lpstr>
      <vt:lpstr>52_Calendario_Academico</vt:lpstr>
      <vt:lpstr>53_Errores_Aprendizaje</vt:lpstr>
      <vt:lpstr>55_Evaluaciones</vt:lpstr>
      <vt:lpstr>56_Notas</vt:lpstr>
      <vt:lpstr>56_Repaso_Inteligente</vt:lpstr>
      <vt:lpstr>SEC_04_MGC_MARKET_INTEL</vt:lpstr>
      <vt:lpstr>30_MGC_CRM</vt:lpstr>
      <vt:lpstr>31_Red_Holding</vt:lpstr>
      <vt:lpstr>32_Oportunidades</vt:lpstr>
      <vt:lpstr>33_Seguimientos</vt:lpstr>
      <vt:lpstr>40_Estudio_Empresas</vt:lpstr>
      <vt:lpstr>41_Clasificacion_Empresas</vt:lpstr>
      <vt:lpstr>42_Mapa_Mercado</vt:lpstr>
      <vt:lpstr>43_Guia_Oportun</vt:lpstr>
      <vt:lpstr>70_Mercado_MGC</vt:lpstr>
      <vt:lpstr>SEC_05_LATITUD_NORTE_RE</vt:lpstr>
      <vt:lpstr>71_Mercado_LNR</vt:lpstr>
      <vt:lpstr>72_Competencia</vt:lpstr>
      <vt:lpstr>73_Campañas</vt:lpstr>
      <vt:lpstr>74_Analisis_Web</vt:lpstr>
      <vt:lpstr>75_Redes_Sociales</vt:lpstr>
      <vt:lpstr>SEC_06_CAPTAPROPIA</vt:lpstr>
      <vt:lpstr>76_CaptaPropIA</vt:lpstr>
      <vt:lpstr>78_Stack_Tecnologico</vt:lpstr>
      <vt:lpstr>79_CaptaPropIA_Fase_C3</vt:lpstr>
      <vt:lpstr>80_CaptaPropIA_Fase_C4</vt:lpstr>
      <vt:lpstr>81_CaptaPropIA_Fase_C5</vt:lpstr>
      <vt:lpstr>SEC_07_LNH_CORPORATE</vt:lpstr>
      <vt:lpstr>82_LNH_Corporate_System</vt:lpstr>
      <vt:lpstr>44_Salud</vt:lpstr>
      <vt:lpstr>C3_ARQUITECTURA_FINAL</vt:lpstr>
      <vt:lpstr>C2_CONSOLIDACION</vt:lpstr>
      <vt:lpstr>C1_CONSOLIDACION</vt:lpstr>
      <vt:lpstr>CLASIFICACION_MANUAL</vt:lpstr>
      <vt:lpstr>00_Dashboard_V4</vt:lpstr>
      <vt:lpstr>FASE_03_LIMPIEZA</vt:lpstr>
      <vt:lpstr>01_Score_Mayo</vt:lpstr>
      <vt:lpstr>19_Mapa_Sistema</vt:lpstr>
      <vt:lpstr>20_Registro_CEO_V4</vt:lpstr>
      <vt:lpstr>98_KPI_Framework_V6_2</vt:lpstr>
      <vt:lpstr>39_Flujo_Empresas_V6_4</vt:lpstr>
      <vt:lpstr>41_Dossier_Template</vt:lpstr>
      <vt:lpstr>06_Patrimonio_Neto</vt:lpstr>
      <vt:lpstr>10_Apertura</vt:lpstr>
      <vt:lpstr>11_Evolucion_Patrimonial</vt:lpstr>
      <vt:lpstr>14_Inversiones_BACKUP_V6_8</vt:lpstr>
      <vt:lpstr>15_Conciliacion</vt:lpstr>
      <vt:lpstr>97_Conciliacion_Framework_V6_3</vt:lpstr>
      <vt:lpstr>09_GUIA_FINANZAS_V7_1</vt:lpstr>
      <vt:lpstr>17_Cierre_Mayo</vt:lpstr>
      <vt:lpstr>18_Control_Pagos</vt:lpstr>
      <vt:lpstr>25_Control_Junio</vt:lpstr>
      <vt:lpstr>26_Control_Julio</vt:lpstr>
      <vt:lpstr>27_Control_Agosto</vt:lpstr>
      <vt:lpstr>99_Listas</vt:lpstr>
      <vt:lpstr>49_Guia_U3_Universidad</vt:lpstr>
      <vt:lpstr>50_Universidad_PLAN</vt:lpstr>
      <vt:lpstr>54_Dashboard_Universidad</vt:lpstr>
      <vt:lpstr>58_Dashboard_CEO_UNIV_PRO</vt:lpstr>
      <vt:lpstr>60_4_DashUniv_T1</vt:lpstr>
      <vt:lpstr>60_6_DashCEOUniv_T1</vt:lpstr>
      <vt:lpstr>60_T1_Historico</vt:lpstr>
      <vt:lpstr>99_HISTORICO</vt:lpstr>
      <vt:lpstr>92_Auditoria_Final_Excel</vt:lpstr>
      <vt:lpstr>77_Auditoria_LNR_Mercado</vt:lpstr>
      <vt:lpstr>AUDITORIA_TOTAL_EXCEL_V7_1</vt:lpstr>
      <vt:lpstr>AUDITORIA_V6_6_MASTER</vt:lpstr>
      <vt:lpstr>94_AUDITORIA_INTEGRAL_2026</vt:lpstr>
      <vt:lpstr>95_AUDITORIA_HOJAS_UNIV_T2</vt:lpstr>
      <vt:lpstr>96_AUDITORIA_INTEGRAL_CONTINUAC</vt:lpstr>
      <vt:lpstr>97_AUDITORIA_MODULOS_PM0</vt:lpstr>
      <vt:lpstr>98_AUDITORIA_FINAL_2026</vt:lpstr>
      <vt:lpstr>99_HISTORICO_DEPURADO</vt:lpstr>
      <vt:lpstr>44_Historial_Medico_2018_2042</vt:lpstr>
      <vt:lpstr>45_Control_Presion_Arterial</vt:lpstr>
      <vt:lpstr>46_Examenes_Medicos</vt:lpstr>
      <vt:lpstr>47_Especialistas_y_Controles</vt:lpstr>
      <vt:lpstr>48_Medicamentos_y_Recetas</vt:lpstr>
      <vt:lpstr>49_Checkup_Anual</vt:lpstr>
      <vt:lpstr>50_KPI_Longevidad</vt:lpstr>
      <vt:lpstr>51_Seguros_y_Beneficios</vt:lpstr>
      <vt:lpstr>52_Dashboard_Health</vt:lpstr>
      <vt:lpstr>53_Historial_Dental</vt:lpstr>
      <vt:lpstr>54_Historial_Familiar</vt:lpstr>
      <vt:lpstr>C31_RECONSTRUCCION_MAESTRAS</vt:lpstr>
      <vt:lpstr>H12_KPI_Longevidad</vt:lpstr>
      <vt:lpstr>93_Auditoria_Conciliacion</vt:lpstr>
      <vt:lpstr>95_Auditoria_Vida_Real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</dc:creator>
  <cp:lastModifiedBy>Robinson Godoy</cp:lastModifiedBy>
  <dcterms:modified xsi:type="dcterms:W3CDTF">2026-07-03T20:04:41Z</dcterms:modified>
</cp:coreProperties>
</file>