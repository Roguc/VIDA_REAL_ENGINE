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584276702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os" sheetId="1" r:id="R452b3791b0ca48fe"/>
    <x:sheet xmlns:r="http://schemas.openxmlformats.org/officeDocument/2006/relationships" name="Resumen" sheetId="2" r:id="R75af405907d0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borderId="0" xfId="0" applyNumberFormat="1" applyFont="1" applyFill="0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77a59ae694c2c" /><Relationship Type="http://schemas.openxmlformats.org/officeDocument/2006/relationships/theme" Target="/xl/theme/theme1.xml" Id="R8729ce5e99a34b74" /><Relationship Type="http://schemas.openxmlformats.org/officeDocument/2006/relationships/sharedStrings" Target="/xl/sharedStrings.xml" Id="R07fce993ee394d9f" /><Relationship Type="http://schemas.openxmlformats.org/officeDocument/2006/relationships/worksheet" Target="/xl/worksheets/sheet1.xml" Id="R452b3791b0ca48fe" /><Relationship Type="http://schemas.openxmlformats.org/officeDocument/2006/relationships/worksheet" Target="/xl/worksheets/sheet2.xml" Id="R75af405907d043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.380001068115234" hidden="0" customWidth="1"/>
    <x:col min="2" max="2" width="40" hidden="0" customWidth="1"/>
    <x:col min="3" max="3" width="7.380000114440918" hidden="0" customWidth="1"/>
    <x:col min="4" max="4" width="14.25" hidden="0" customWidth="1"/>
    <x:col min="5" max="5" width="19.3799991607666" hidden="0" customWidth="1"/>
    <x:col min="6" max="6" width="13" hidden="0" customWidth="1"/>
    <x:col min="7" max="7" width="42" hidden="0" customWidth="1"/>
  </x:cols>
  <x:sheetData>
    <x:row r="1">
      <x:c r="A1" s="17" t="str">
        <x:v>Evaluación Sumativa - Probabilidad y Estadística</x:v>
      </x:c>
      <x:c r="B1" s="17"/>
      <x:c r="C1" s="17"/>
      <x:c r="D1" s="17"/>
      <x:c r="E1" s="17"/>
      <x:c r="F1" s="17"/>
      <x:c r="G1" s="17"/>
    </x:row>
    <x:row r="2">
      <x:c r="A2" s="18" t="str">
        <x:v>Archivo de cálculos para respaldo de entrega</x:v>
      </x:c>
      <x:c r="B2" s="18"/>
      <x:c r="C2" s="18"/>
      <x:c r="D2" s="18"/>
      <x:c r="E2" s="18"/>
      <x:c r="F2" s="18"/>
      <x:c r="G2" s="18"/>
    </x:row>
    <x:row r="3">
      <x:c r="A3" s="19"/>
      <x:c r="B3" s="19"/>
      <x:c r="C3" s="19"/>
      <x:c r="D3" s="19"/>
      <x:c r="E3" s="19"/>
      <x:c r="F3" s="19"/>
      <x:c r="G3" s="19"/>
    </x:row>
    <x:row r="4">
      <x:c r="A4" s="20" t="str">
        <x:v>Ejercicio</x:v>
      </x:c>
      <x:c r="B4" s="20" t="str">
        <x:v>Contexto</x:v>
      </x:c>
      <x:c r="C4" s="20" t="str">
        <x:v>Variable</x:v>
      </x:c>
      <x:c r="D4" s="20" t="str">
        <x:v>Probabilidad base</x:v>
      </x:c>
      <x:c r="E4" s="20" t="str">
        <x:v>Probabilidad condicional</x:v>
      </x:c>
      <x:c r="F4" s="20" t="str">
        <x:v>Aporte conjunto</x:v>
      </x:c>
      <x:c r="G4" s="20" t="str">
        <x:v>Resultado</x:v>
      </x:c>
    </x:row>
    <x:row r="5">
      <x:c r="A5" s="19" t="str">
        <x:v>1</x:v>
      </x:c>
      <x:c r="B5" s="19" t="str">
        <x:v>Teléfono modelo A</x:v>
      </x:c>
      <x:c r="C5" s="19" t="str">
        <x:v>A</x:v>
      </x:c>
      <x:c r="D5" s="21" t="n">
        <x:v>0.8</x:v>
      </x:c>
      <x:c r="E5" s="21" t="n">
        <x:v>0.1</x:v>
      </x:c>
      <x:c r="F5" s="21" t="n">
        <x:f>D5*E5</x:f>
        <x:v>0.08000000000000002</x:v>
      </x:c>
      <x:c r="G5" s="21"/>
    </x:row>
    <x:row r="6">
      <x:c r="A6" s="19" t="str">
        <x:v>1</x:v>
      </x:c>
      <x:c r="B6" s="19" t="str">
        <x:v>Teléfono modelo B</x:v>
      </x:c>
      <x:c r="C6" s="19" t="str">
        <x:v>B</x:v>
      </x:c>
      <x:c r="D6" s="21" t="n">
        <x:v>0.15</x:v>
      </x:c>
      <x:c r="E6" s="21" t="n">
        <x:v>0.05</x:v>
      </x:c>
      <x:c r="F6" s="21" t="n">
        <x:f>D6*E6</x:f>
        <x:v>0.0075</x:v>
      </x:c>
      <x:c r="G6" s="21"/>
    </x:row>
    <x:row r="7">
      <x:c r="A7" s="19" t="str">
        <x:v>1</x:v>
      </x:c>
      <x:c r="B7" s="19" t="str">
        <x:v>Teléfono modelo C</x:v>
      </x:c>
      <x:c r="C7" s="19" t="str">
        <x:v>C</x:v>
      </x:c>
      <x:c r="D7" s="21" t="n">
        <x:v>0.05</x:v>
      </x:c>
      <x:c r="E7" s="21" t="n">
        <x:v>0.02</x:v>
      </x:c>
      <x:c r="F7" s="21" t="n">
        <x:f>D7*E7</x:f>
        <x:v>0.001</x:v>
      </x:c>
      <x:c r="G7" s="21"/>
    </x:row>
    <x:row r="8">
      <x:c r="A8" s="19" t="str">
        <x:v>1</x:v>
      </x:c>
      <x:c r="B8" s="19" t="str">
        <x:v>Total defectuosos</x:v>
      </x:c>
      <x:c r="C8" s="19" t="str">
        <x:v>D</x:v>
      </x:c>
      <x:c r="D8" s="21"/>
      <x:c r="E8" s="21"/>
      <x:c r="F8" s="21" t="n">
        <x:f>SUM(F5:F7)</x:f>
        <x:v>0.08850000000000002</x:v>
      </x:c>
      <x:c r="G8" s="21"/>
    </x:row>
    <x:row r="9">
      <x:c r="A9" s="19" t="str">
        <x:v>1</x:v>
      </x:c>
      <x:c r="B9" s="19" t="str">
        <x:v>Probabilidad Modelo A dado defecto</x:v>
      </x:c>
      <x:c r="C9" s="19" t="str">
        <x:v>P(A|D)</x:v>
      </x:c>
      <x:c r="D9" s="21"/>
      <x:c r="E9" s="21"/>
      <x:c r="F9" s="21"/>
      <x:c r="G9" s="21" t="n">
        <x:f>F5/F8</x:f>
        <x:v>0.9039548022598869</x:v>
      </x:c>
    </x:row>
    <x:row r="10">
      <x:c r="A10" s="19"/>
      <x:c r="B10" s="19"/>
      <x:c r="C10" s="19"/>
      <x:c r="D10" s="21"/>
      <x:c r="E10" s="21"/>
      <x:c r="F10" s="21"/>
      <x:c r="G10" s="21"/>
    </x:row>
    <x:row r="11">
      <x:c r="A11" s="19" t="str">
        <x:v>2</x:v>
      </x:c>
      <x:c r="B11" s="19" t="str">
        <x:v>Automóvil Sedán</x:v>
      </x:c>
      <x:c r="C11" s="19" t="str">
        <x:v>Sedán</x:v>
      </x:c>
      <x:c r="D11" s="21" t="n">
        <x:v>0.6</x:v>
      </x:c>
      <x:c r="E11" s="21" t="n">
        <x:v>0.08</x:v>
      </x:c>
      <x:c r="F11" s="21" t="n">
        <x:f>D11*E11</x:f>
        <x:v>0.048</x:v>
      </x:c>
      <x:c r="G11" s="21"/>
    </x:row>
    <x:row r="12">
      <x:c r="A12" s="19" t="str">
        <x:v>2</x:v>
      </x:c>
      <x:c r="B12" s="19" t="str">
        <x:v>Automóvil SUV</x:v>
      </x:c>
      <x:c r="C12" s="19" t="str">
        <x:v>SUV</x:v>
      </x:c>
      <x:c r="D12" s="21" t="n">
        <x:v>0.4</x:v>
      </x:c>
      <x:c r="E12" s="21" t="n">
        <x:v>0.12</x:v>
      </x:c>
      <x:c r="F12" s="21" t="n">
        <x:f>D12*E12</x:f>
        <x:v>0.048</x:v>
      </x:c>
      <x:c r="G12" s="21"/>
    </x:row>
    <x:row r="13">
      <x:c r="A13" s="19" t="str">
        <x:v>2</x:v>
      </x:c>
      <x:c r="B13" s="19" t="str">
        <x:v>Total con problema transmisión</x:v>
      </x:c>
      <x:c r="C13" s="19" t="str">
        <x:v>T</x:v>
      </x:c>
      <x:c r="D13" s="21"/>
      <x:c r="E13" s="21"/>
      <x:c r="F13" s="21" t="n">
        <x:f>SUM(F11:F12)</x:f>
        <x:v>0.096</x:v>
      </x:c>
      <x:c r="G13" s="21"/>
    </x:row>
    <x:row r="14">
      <x:c r="A14" s="19" t="str">
        <x:v>2</x:v>
      </x:c>
      <x:c r="B14" s="19" t="str">
        <x:v>Probabilidad SUV dado transmisión</x:v>
      </x:c>
      <x:c r="C14" s="19" t="str">
        <x:v>P(SUV|T)</x:v>
      </x:c>
      <x:c r="D14" s="21"/>
      <x:c r="E14" s="21"/>
      <x:c r="F14" s="21"/>
      <x:c r="G14" s="21" t="n">
        <x:f>F12/F13</x:f>
        <x:v>0.5</x:v>
      </x:c>
    </x:row>
    <x:row r="15">
      <x:c r="A15" s="19"/>
      <x:c r="B15" s="19"/>
      <x:c r="C15" s="19"/>
      <x:c r="D15" s="21"/>
      <x:c r="E15" s="21"/>
      <x:c r="F15" s="21"/>
      <x:c r="G15" s="21"/>
    </x:row>
    <x:row r="16">
      <x:c r="A16" s="19" t="str">
        <x:v>3</x:v>
      </x:c>
      <x:c r="B16" s="19" t="str">
        <x:v>Ejemplo probabilidad condicional</x:v>
      </x:c>
      <x:c r="C16" s="19" t="str">
        <x:v>Logística</x:v>
      </x:c>
      <x:c r="D16" s="21"/>
      <x:c r="E16" s="21"/>
      <x:c r="F16" s="21"/>
      <x:c r="G16" s="21" t="str">
        <x:v>Uso de Bayes para identificar línea de origen de paquete dañado</x:v>
      </x:c>
    </x:row>
    <x:row r="17">
      <x:c r="A17" s="19"/>
      <x:c r="B17" s="19"/>
      <x:c r="C17" s="19"/>
      <x:c r="D17" s="21"/>
      <x:c r="E17" s="21"/>
      <x:c r="F17" s="21"/>
      <x:c r="G17" s="21"/>
    </x:row>
    <x:row r="18">
      <x:c r="A18" s="19" t="str">
        <x:v>4</x:v>
      </x:c>
      <x:c r="B18" s="19" t="str">
        <x:v>Chip tipo A</x:v>
      </x:c>
      <x:c r="C18" s="19" t="str">
        <x:v>A</x:v>
      </x:c>
      <x:c r="D18" s="21" t="n">
        <x:v>0.7</x:v>
      </x:c>
      <x:c r="E18" s="21" t="n">
        <x:v>0.03</x:v>
      </x:c>
      <x:c r="F18" s="21" t="n">
        <x:f>D18*E18</x:f>
        <x:v>0.020999999999999998</x:v>
      </x:c>
      <x:c r="G18" s="21"/>
    </x:row>
    <x:row r="19">
      <x:c r="A19" s="19" t="str">
        <x:v>4</x:v>
      </x:c>
      <x:c r="B19" s="19" t="str">
        <x:v>Chip tipo B</x:v>
      </x:c>
      <x:c r="C19" s="19" t="str">
        <x:v>B</x:v>
      </x:c>
      <x:c r="D19" s="21" t="n">
        <x:v>0.3</x:v>
      </x:c>
      <x:c r="E19" s="21" t="n">
        <x:v>0.06</x:v>
      </x:c>
      <x:c r="F19" s="21" t="n">
        <x:f>D19*E19</x:f>
        <x:v>0.018</x:v>
      </x:c>
      <x:c r="G19" s="21"/>
    </x:row>
    <x:row r="20">
      <x:c r="A20" s="19" t="str">
        <x:v>4</x:v>
      </x:c>
      <x:c r="B20" s="19" t="str">
        <x:v>Total defectuosos</x:v>
      </x:c>
      <x:c r="C20" s="19" t="str">
        <x:v>D</x:v>
      </x:c>
      <x:c r="D20" s="21"/>
      <x:c r="E20" s="21"/>
      <x:c r="F20" s="21" t="n">
        <x:f>SUM(F18:F19)</x:f>
        <x:v>0.03899999999999999</x:v>
      </x:c>
      <x:c r="G20" s="21"/>
    </x:row>
    <x:row r="21">
      <x:c r="A21" s="19" t="str">
        <x:v>4</x:v>
      </x:c>
      <x:c r="B21" s="19" t="str">
        <x:v>Probabilidad Chip A dado defectuoso</x:v>
      </x:c>
      <x:c r="C21" s="19" t="str">
        <x:v>P(A|D)</x:v>
      </x:c>
      <x:c r="D21" s="21"/>
      <x:c r="E21" s="21"/>
      <x:c r="F21" s="21"/>
      <x:c r="G21" s="21" t="n">
        <x:f>F18/F20</x:f>
        <x:v>0.5384615384615385</x:v>
      </x:c>
    </x:row>
    <x:row r="22">
      <x:c r="A22" s="19"/>
      <x:c r="B22" s="19"/>
      <x:c r="C22" s="19"/>
      <x:c r="D22" s="21"/>
      <x:c r="E22" s="21"/>
      <x:c r="F22" s="21"/>
      <x:c r="G22" s="21"/>
    </x:row>
    <x:row r="23">
      <x:c r="A23" s="19" t="str">
        <x:v>5</x:v>
      </x:c>
      <x:c r="B23" s="19" t="str">
        <x:v>Tela tipo A</x:v>
      </x:c>
      <x:c r="C23" s="19" t="str">
        <x:v>A</x:v>
      </x:c>
      <x:c r="D23" s="21" t="n">
        <x:v>0.45</x:v>
      </x:c>
      <x:c r="E23" s="21" t="n">
        <x:v>0.08</x:v>
      </x:c>
      <x:c r="F23" s="21" t="n">
        <x:f>D23*E23</x:f>
        <x:v>0.036000000000000004</x:v>
      </x:c>
      <x:c r="G23" s="21"/>
    </x:row>
    <x:row r="24">
      <x:c r="A24" s="19" t="str">
        <x:v>5</x:v>
      </x:c>
      <x:c r="B24" s="19" t="str">
        <x:v>Tela tipo B</x:v>
      </x:c>
      <x:c r="C24" s="19" t="str">
        <x:v>B</x:v>
      </x:c>
      <x:c r="D24" s="21" t="n">
        <x:v>0.55</x:v>
      </x:c>
      <x:c r="E24" s="21" t="n">
        <x:v>0.12</x:v>
      </x:c>
      <x:c r="F24" s="21" t="n">
        <x:f>D24*E24</x:f>
        <x:v>0.066</x:v>
      </x:c>
      <x:c r="G24" s="21"/>
    </x:row>
    <x:row r="25">
      <x:c r="A25" s="19" t="str">
        <x:v>5</x:v>
      </x:c>
      <x:c r="B25" s="19" t="str">
        <x:v>Total con imperfecciones</x:v>
      </x:c>
      <x:c r="C25" s="19" t="str">
        <x:v>I</x:v>
      </x:c>
      <x:c r="D25" s="21"/>
      <x:c r="E25" s="21"/>
      <x:c r="F25" s="21" t="n">
        <x:f>SUM(F23:F24)</x:f>
        <x:v>0.10200000000000001</x:v>
      </x:c>
      <x:c r="G25" s="21"/>
    </x:row>
    <x:row r="26">
      <x:c r="A26" s="19" t="str">
        <x:v>5</x:v>
      </x:c>
      <x:c r="B26" s="19" t="str">
        <x:v>Probabilidad Tela B dado imperfección</x:v>
      </x:c>
      <x:c r="C26" s="19" t="str">
        <x:v>P(B|I)</x:v>
      </x:c>
      <x:c r="D26" s="21"/>
      <x:c r="E26" s="21"/>
      <x:c r="F26" s="21"/>
      <x:c r="G26" s="21" t="n">
        <x:f>F24/F25</x:f>
        <x:v>0.6470588235294118</x:v>
      </x:c>
    </x:row>
    <x:row r="27">
      <x:c r="A27" s="19"/>
      <x:c r="B27" s="19"/>
      <x:c r="C27" s="19"/>
      <x:c r="D27" s="21"/>
      <x:c r="E27" s="21"/>
      <x:c r="F27" s="21"/>
      <x:c r="G27" s="21"/>
    </x:row>
    <x:row r="28">
      <x:c r="A28" s="19" t="str">
        <x:v>6</x:v>
      </x:c>
      <x:c r="B28" s="19" t="str">
        <x:v>Motor en buen estado</x:v>
      </x:c>
      <x:c r="C28" s="19" t="str">
        <x:v>A</x:v>
      </x:c>
      <x:c r="D28" s="21" t="n">
        <x:v>0.95</x:v>
      </x:c>
      <x:c r="E28" s="21"/>
      <x:c r="F28" s="21"/>
      <x:c r="G28" s="21"/>
    </x:row>
    <x:row r="29">
      <x:c r="A29" s="19" t="str">
        <x:v>6</x:v>
      </x:c>
      <x:c r="B29" s="19" t="str">
        <x:v>Sistema eléctrico en buen estado</x:v>
      </x:c>
      <x:c r="C29" s="19" t="str">
        <x:v>B</x:v>
      </x:c>
      <x:c r="D29" s="21" t="n">
        <x:v>0.98</x:v>
      </x:c>
      <x:c r="E29" s="21"/>
      <x:c r="F29" s="21"/>
      <x:c r="G29" s="21"/>
    </x:row>
    <x:row r="30">
      <x:c r="A30" s="19" t="str">
        <x:v>6</x:v>
      </x:c>
      <x:c r="B30" s="19" t="str">
        <x:v>Probabilidad de ambos funcionando</x:v>
      </x:c>
      <x:c r="C30" s="19" t="str">
        <x:v>P(A∩B)</x:v>
      </x:c>
      <x:c r="D30" s="21"/>
      <x:c r="E30" s="21"/>
      <x:c r="F30" s="21"/>
      <x:c r="G30" s="21" t="n">
        <x:f>D28*D29</x:f>
        <x:v>0.9309999999999999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30" hidden="0" customWidth="1"/>
    <x:col min="3" max="3" width="13.25" hidden="0" customWidth="1"/>
    <x:col min="4" max="4" width="65" hidden="0" customWidth="1"/>
  </x:cols>
  <x:sheetData>
    <x:row r="1">
      <x:c r="A1" s="17" t="str">
        <x:v>Resumen de resultados</x:v>
      </x:c>
      <x:c r="B1" s="17"/>
      <x:c r="C1" s="17"/>
      <x:c r="D1" s="17"/>
    </x:row>
    <x:row r="2">
      <x:c r="A2" s="12" t="str">
        <x:v>Ejercicio</x:v>
      </x:c>
      <x:c r="B2" s="12" t="str">
        <x:v>Tipo de probabilidad</x:v>
      </x:c>
      <x:c r="C2" s="12" t="str">
        <x:v>Resultado</x:v>
      </x:c>
      <x:c r="D2" s="12" t="str">
        <x:v>Interpretación</x:v>
      </x:c>
    </x:row>
    <x:row r="3">
      <x:c r="A3" s="14" t="str">
        <x:v>1</x:v>
      </x:c>
      <x:c r="B3" s="14" t="str">
        <x:v>Bayes / condicional</x:v>
      </x:c>
      <x:c r="C3" s="15" t="n">
        <x:f>Calculos!G9</x:f>
        <x:v>0.9039548022598869</x:v>
      </x:c>
      <x:c r="D3" s="14" t="str">
        <x:v>Si el teléfono tiene defecto, la probabilidad de que sea modelo A es aprox. 90,4%.</x:v>
      </x:c>
    </x:row>
    <x:row r="4">
      <x:c r="A4" s="14" t="str">
        <x:v>2</x:v>
      </x:c>
      <x:c r="B4" s="14" t="str">
        <x:v>Bayes / condicional</x:v>
      </x:c>
      <x:c r="C4" s="15" t="n">
        <x:f>Calculos!G14</x:f>
        <x:v>0.5</x:v>
      </x:c>
      <x:c r="D4" s="14" t="str">
        <x:v>Si el auto tiene problema de transmisión, la probabilidad de que sea SUV es 50%.</x:v>
      </x:c>
    </x:row>
    <x:row r="5">
      <x:c r="A5" s="14" t="str">
        <x:v>3</x:v>
      </x:c>
      <x:c r="B5" s="14" t="str">
        <x:v>Probabilidad condicional</x:v>
      </x:c>
      <x:c r="C5" s="15" t="str">
        <x:v>Ejemplo aplicado</x:v>
      </x:c>
      <x:c r="D5" s="14" t="str">
        <x:v>Permite identificar el origen probable de una falla o evento observado.</x:v>
      </x:c>
    </x:row>
    <x:row r="6">
      <x:c r="A6" s="14" t="str">
        <x:v>4</x:v>
      </x:c>
      <x:c r="B6" s="14" t="str">
        <x:v>Bayes / condicional</x:v>
      </x:c>
      <x:c r="C6" s="15" t="n">
        <x:f>Calculos!G21</x:f>
        <x:v>0.5384615384615385</x:v>
      </x:c>
      <x:c r="D6" s="14" t="str">
        <x:v>Si el chip es defectuoso, la probabilidad de que sea tipo A es aprox. 53,85%.</x:v>
      </x:c>
    </x:row>
    <x:row r="7">
      <x:c r="A7" s="14" t="str">
        <x:v>5</x:v>
      </x:c>
      <x:c r="B7" s="14" t="str">
        <x:v>Bayes / condicional</x:v>
      </x:c>
      <x:c r="C7" s="15" t="n">
        <x:f>Calculos!G26</x:f>
        <x:v>0.6470588235294118</x:v>
      </x:c>
      <x:c r="D7" s="14" t="str">
        <x:v>Si la tela tiene imperfecciones, la probabilidad de que sea tipo B es aprox. 64,71%.</x:v>
      </x:c>
    </x:row>
    <x:row r="8">
      <x:c r="A8" s="14" t="str">
        <x:v>6</x:v>
      </x:c>
      <x:c r="B8" s="14" t="str">
        <x:v>Multiplicativa / eventos independientes</x:v>
      </x:c>
      <x:c r="C8" s="15" t="n">
        <x:f>Calculos!G30</x:f>
        <x:v>0.9309999999999999</x:v>
      </x:c>
      <x:c r="D8" s="14" t="str">
        <x:v>Probabilidad de que motor y sistema eléctrico funcionen correctamente: 93,1%.</x:v>
      </x:c>
    </x:row>
  </x:sheetData>
  <x:mergeCells>
    <x:mergeCell ref="A1:D1"/>
  </x:mergeCells>
  <x:pageMargins left="0.7" right="0.7" top="0.75" bottom="0.75" header="0.3" footer="0.3"/>
</x:worksheet>
</file>