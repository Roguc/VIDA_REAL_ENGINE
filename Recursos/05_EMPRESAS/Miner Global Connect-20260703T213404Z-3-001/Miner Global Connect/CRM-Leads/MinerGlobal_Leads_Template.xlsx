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" sheetId="1" r:id="rId4"/>
    <sheet state="visible" name="Leads-Vendedores" sheetId="2" r:id="rId5"/>
    <sheet state="visible" name="Leads-Compradores" sheetId="3" r:id="rId6"/>
    <sheet state="visible" name="KPIs" sheetId="4" r:id="rId7"/>
    <sheet state="visible" name="List" sheetId="5" r:id="rId8"/>
  </sheets>
  <definedNames>
    <definedName hidden="1" localSheetId="0" name="_xlnm._FilterDatabase">Pipeline!$A$1:$O$104</definedName>
  </definedNames>
  <calcPr/>
  <extLst>
    <ext uri="GoogleSheetsCustomDataVersion2">
      <go:sheetsCustomData xmlns:go="http://customooxmlschemas.google.com/" r:id="rId9" roundtripDataChecksum="Jp/JIaWUNfBYy2Jt9r9q6DaKBV9TQ01riC5SMnt6eDk="/>
    </ext>
  </extLst>
</workbook>
</file>

<file path=xl/sharedStrings.xml><?xml version="1.0" encoding="utf-8"?>
<sst xmlns="http://schemas.openxmlformats.org/spreadsheetml/2006/main" count="909" uniqueCount="324">
  <si>
    <t>ID Leads</t>
  </si>
  <si>
    <t>Vendedor/Comprador</t>
  </si>
  <si>
    <t>Nombre</t>
  </si>
  <si>
    <t>Empresa</t>
  </si>
  <si>
    <t>Pais</t>
  </si>
  <si>
    <t>Email</t>
  </si>
  <si>
    <t>Telefono</t>
  </si>
  <si>
    <t>Mineral</t>
  </si>
  <si>
    <t>Volumen Estimado</t>
  </si>
  <si>
    <t>Observaciones</t>
  </si>
  <si>
    <t>Estado</t>
  </si>
  <si>
    <t>Fecha de Contacto</t>
  </si>
  <si>
    <t>Fuente</t>
  </si>
  <si>
    <t>Asignado</t>
  </si>
  <si>
    <t>Ultima Accion</t>
  </si>
  <si>
    <t>Colaborador</t>
  </si>
  <si>
    <t>Ofentse Mpiwa</t>
  </si>
  <si>
    <t>Miner Global Connect</t>
  </si>
  <si>
    <t>Sudafrica</t>
  </si>
  <si>
    <t>ignacio.fernandez@titulados.usm.cl</t>
  </si>
  <si>
    <t>Cobre en breña</t>
  </si>
  <si>
    <t>Averiguar Mineral</t>
  </si>
  <si>
    <t>Nuevo</t>
  </si>
  <si>
    <t>Linkedin</t>
  </si>
  <si>
    <t>Robinson Godoy</t>
  </si>
  <si>
    <t>Enviar Email</t>
  </si>
  <si>
    <t>Vendedor</t>
  </si>
  <si>
    <t>Leandro Ferreira</t>
  </si>
  <si>
    <t>Pedras Congonhas</t>
  </si>
  <si>
    <t>Brasil</t>
  </si>
  <si>
    <t>leandrolimeirabh@gmail.com</t>
  </si>
  <si>
    <t>tel:(31)997524496</t>
  </si>
  <si>
    <t>Mateus Henrique dos Santos</t>
  </si>
  <si>
    <t>Gold Minera y Metalurgica</t>
  </si>
  <si>
    <t>mateushenriquesantosjm@gmail.com</t>
  </si>
  <si>
    <t>tel:+55 (74) 99940 9668</t>
  </si>
  <si>
    <t>Oro</t>
  </si>
  <si>
    <t>Averiguar Volumen</t>
  </si>
  <si>
    <t>Elmer Flores Huarcaya</t>
  </si>
  <si>
    <t>Aris Mining</t>
  </si>
  <si>
    <t>Peru</t>
  </si>
  <si>
    <t>elmer.flores1402@hotmail.com</t>
  </si>
  <si>
    <t>tel:987704870</t>
  </si>
  <si>
    <t>Toneladas</t>
  </si>
  <si>
    <t>Eduardo Orban</t>
  </si>
  <si>
    <t>Minera Taboca</t>
  </si>
  <si>
    <t>eduorban@hotmail.com</t>
  </si>
  <si>
    <t>Tierras raras, Estaño</t>
  </si>
  <si>
    <t>Orben Ferraz</t>
  </si>
  <si>
    <t>Grupo Guidoni</t>
  </si>
  <si>
    <t>oefferraz@gmail.com</t>
  </si>
  <si>
    <t>tel:27 995305556</t>
  </si>
  <si>
    <t>Otros</t>
  </si>
  <si>
    <t>M2 Granito y marmoles</t>
  </si>
  <si>
    <t>Dick Manuel Araya Richards</t>
  </si>
  <si>
    <t>Vizsla Silvr</t>
  </si>
  <si>
    <t>Mexico</t>
  </si>
  <si>
    <t>dickaraya1973@gmail.com</t>
  </si>
  <si>
    <t>tel:+52 1 3310173635</t>
  </si>
  <si>
    <t>Plata, Oro</t>
  </si>
  <si>
    <t>Fabricio Pacheco Cavalcanti</t>
  </si>
  <si>
    <t>Atlantic Nickel</t>
  </si>
  <si>
    <t>fpc.cavalcanti.fpc@gmail.com</t>
  </si>
  <si>
    <t>Nickel Averigual volumen</t>
  </si>
  <si>
    <t>C-001</t>
  </si>
  <si>
    <t>Comprador</t>
  </si>
  <si>
    <t>Rafael Mombach</t>
  </si>
  <si>
    <t>Metalurgica Candeia</t>
  </si>
  <si>
    <t>rafaelmombach@hotmail.com</t>
  </si>
  <si>
    <t>Hierro</t>
  </si>
  <si>
    <t>V-009</t>
  </si>
  <si>
    <t>Eduardo Queiroz</t>
  </si>
  <si>
    <t>Bamin</t>
  </si>
  <si>
    <t>eribeiroqueiroz@gmail.com</t>
  </si>
  <si>
    <t>tel:+5531996325364</t>
  </si>
  <si>
    <t>65% y 68%</t>
  </si>
  <si>
    <t>V-010</t>
  </si>
  <si>
    <t>Gilmar Vieira</t>
  </si>
  <si>
    <t>Herculiano Minera</t>
  </si>
  <si>
    <t>gil_vieira_2007@hotmail.com</t>
  </si>
  <si>
    <t>Averiguar ley</t>
  </si>
  <si>
    <t>V-011</t>
  </si>
  <si>
    <t>Ian Dobereiner</t>
  </si>
  <si>
    <t>Nexta Distribuidora</t>
  </si>
  <si>
    <t>iandobereiner@hotmail.com</t>
  </si>
  <si>
    <t>Combustible</t>
  </si>
  <si>
    <t>V-012</t>
  </si>
  <si>
    <t>Lucio Cerceau</t>
  </si>
  <si>
    <t>Minerita</t>
  </si>
  <si>
    <t>luciocerceau@gmail.com</t>
  </si>
  <si>
    <t>tel:031-99241-6940</t>
  </si>
  <si>
    <t>68,8% Consultar por volumen</t>
  </si>
  <si>
    <t>V-013</t>
  </si>
  <si>
    <t>ILton Acacio da Cunha</t>
  </si>
  <si>
    <t>Nexus Ligas</t>
  </si>
  <si>
    <t>iltonacacio@gmail.com</t>
  </si>
  <si>
    <t>tel:(31) 9 7537-4774</t>
  </si>
  <si>
    <t>Manganeso</t>
  </si>
  <si>
    <t>Manganeso Avriguar todo</t>
  </si>
  <si>
    <t>Enviar Email Tengo un comprador de Manganeso</t>
  </si>
  <si>
    <t>V-014</t>
  </si>
  <si>
    <t>Rodrigo Nunes</t>
  </si>
  <si>
    <t>Auriverde Minera</t>
  </si>
  <si>
    <t>rodrigo_anunes@hotmail.com</t>
  </si>
  <si>
    <t>Averiguar datos</t>
  </si>
  <si>
    <t>V-015</t>
  </si>
  <si>
    <t>Abymmael Claytton Ferreira Silva</t>
  </si>
  <si>
    <t>Equinox Gold Brasil</t>
  </si>
  <si>
    <t>abymmael@yahoo.com.br</t>
  </si>
  <si>
    <t>V-016</t>
  </si>
  <si>
    <t>Edycarlos Queiroz</t>
  </si>
  <si>
    <t>Lion Mining</t>
  </si>
  <si>
    <t>edycarlos7@gmail.com</t>
  </si>
  <si>
    <t>tel:88997310805</t>
  </si>
  <si>
    <t>Averiguar Lei</t>
  </si>
  <si>
    <t>Estan sobre demandados</t>
  </si>
  <si>
    <t>V-017</t>
  </si>
  <si>
    <t>Renato Augusto Mendes</t>
  </si>
  <si>
    <t>Gulf</t>
  </si>
  <si>
    <t>mendera70@gmail.com</t>
  </si>
  <si>
    <t>tel:11 950251585</t>
  </si>
  <si>
    <t>Aceites Averiguar cantidades</t>
  </si>
  <si>
    <t>C-002</t>
  </si>
  <si>
    <t>Fernando Massucheto</t>
  </si>
  <si>
    <t>Metalogalva</t>
  </si>
  <si>
    <t>fer_massu@hotmail.com</t>
  </si>
  <si>
    <t>tel:(61) 99253-8448</t>
  </si>
  <si>
    <t>Consultar volumenes</t>
  </si>
  <si>
    <t>V-018</t>
  </si>
  <si>
    <t>Gert Buitendach</t>
  </si>
  <si>
    <t>Nkomati Anthracite</t>
  </si>
  <si>
    <t>gert.buitendach@afrimat.co.za</t>
  </si>
  <si>
    <t>Carbon FOB, FOT</t>
  </si>
  <si>
    <t>Enviar Email con Market Snapchot</t>
  </si>
  <si>
    <t>V-019</t>
  </si>
  <si>
    <t>Hellen Cristiene Silva Mato</t>
  </si>
  <si>
    <t>Minera Serra Verde</t>
  </si>
  <si>
    <t>hellencristine5@hotmail.com</t>
  </si>
  <si>
    <t>Tierras raras</t>
  </si>
  <si>
    <t>Toneladas Anuales</t>
  </si>
  <si>
    <t>V-020</t>
  </si>
  <si>
    <t>Thabo Kgomare</t>
  </si>
  <si>
    <t>Lethabo Diamonds</t>
  </si>
  <si>
    <t>lethabodiamonds@gmail.com</t>
  </si>
  <si>
    <t>Diamantes Averiguar Volumenes</t>
  </si>
  <si>
    <t>V-021</t>
  </si>
  <si>
    <t>Anderson Delgado</t>
  </si>
  <si>
    <t>San Agustin Energy</t>
  </si>
  <si>
    <t>Colombia</t>
  </si>
  <si>
    <t>andersondelgado11@hotmail.com</t>
  </si>
  <si>
    <t>tel:+573186319693</t>
  </si>
  <si>
    <t>Petroleo</t>
  </si>
  <si>
    <t>Averiguar Volumen y mas informacion</t>
  </si>
  <si>
    <t>V-022</t>
  </si>
  <si>
    <t>Daniel Eizmendi</t>
  </si>
  <si>
    <t>Bifox Limited</t>
  </si>
  <si>
    <t>Uruguay</t>
  </si>
  <si>
    <t>daniel.eizmendi@gmail.com</t>
  </si>
  <si>
    <t>tel:+598-91-092-031</t>
  </si>
  <si>
    <t>Fosfato</t>
  </si>
  <si>
    <t>V-023</t>
  </si>
  <si>
    <t>Rendani Justice Tshivule</t>
  </si>
  <si>
    <t>Vedanta Zinc</t>
  </si>
  <si>
    <t>justicerendani@yahoo.com</t>
  </si>
  <si>
    <t>tel:0722032278</t>
  </si>
  <si>
    <t>Zinc averiguar voluem</t>
  </si>
  <si>
    <t>V-024</t>
  </si>
  <si>
    <t>Marcelo Cabral</t>
  </si>
  <si>
    <t>Litica Resources</t>
  </si>
  <si>
    <t>Argentina</t>
  </si>
  <si>
    <t>mjecabral@gmail.com</t>
  </si>
  <si>
    <t>Litio Averiguar mas</t>
  </si>
  <si>
    <t>Enviar Email hacer un re envio de mensaje</t>
  </si>
  <si>
    <t>C-003</t>
  </si>
  <si>
    <t>Eduardo Moraes</t>
  </si>
  <si>
    <t xml:space="preserve">Boston Metal </t>
  </si>
  <si>
    <t>eduardo_s_m@yahoo.com.br</t>
  </si>
  <si>
    <t>tel:(64) 99918-4261</t>
  </si>
  <si>
    <t>Averigual por porveedor</t>
  </si>
  <si>
    <t>V-025</t>
  </si>
  <si>
    <t>Jaime Zúñiga Ide</t>
  </si>
  <si>
    <t>Minera Boroo Misquichilca</t>
  </si>
  <si>
    <t>jaizuni@gmail.com</t>
  </si>
  <si>
    <t>tel:+51 949 167 289</t>
  </si>
  <si>
    <t>Averirguar si venden</t>
  </si>
  <si>
    <t>V-026</t>
  </si>
  <si>
    <t>Peter Shankaye MausIMM Meiz</t>
  </si>
  <si>
    <t>Lilium Mining</t>
  </si>
  <si>
    <t>Zambia</t>
  </si>
  <si>
    <t>petermshankaya@gmail.com</t>
  </si>
  <si>
    <t>tel:+260967844680</t>
  </si>
  <si>
    <t>Averiguar todo</t>
  </si>
  <si>
    <t>V-027</t>
  </si>
  <si>
    <t>Azola Njezuela</t>
  </si>
  <si>
    <t>Eyona Energy</t>
  </si>
  <si>
    <t>azola.njezula@gmail.com</t>
  </si>
  <si>
    <t>V-028</t>
  </si>
  <si>
    <t>Marcelo Riquelme</t>
  </si>
  <si>
    <t xml:space="preserve">Petroplastic </t>
  </si>
  <si>
    <t>mriquelma@hotmail.com</t>
  </si>
  <si>
    <t>tel:2995730936</t>
  </si>
  <si>
    <t>V-029</t>
  </si>
  <si>
    <t>Anderson Silveira Lopes</t>
  </si>
  <si>
    <t>andersonslopes@gmail.com</t>
  </si>
  <si>
    <t>tel:(31)985200383</t>
  </si>
  <si>
    <t>V-030</t>
  </si>
  <si>
    <t>Leeroy Tapiwa Nyabeze</t>
  </si>
  <si>
    <t>Iptron Tech</t>
  </si>
  <si>
    <t>leeroy@conveyortension.com</t>
  </si>
  <si>
    <t>Correras transportadoras</t>
  </si>
  <si>
    <t>Se solicito email y que calendarice reunion para el dia miercoles 11 am de chile</t>
  </si>
  <si>
    <t>V-31</t>
  </si>
  <si>
    <t xml:space="preserve">Almir </t>
  </si>
  <si>
    <t>Particular Broker</t>
  </si>
  <si>
    <t>tel:+5521980839939</t>
  </si>
  <si>
    <t>Cobre Concentrado, Cobre Catodos, Otros</t>
  </si>
  <si>
    <t>Brokers</t>
  </si>
  <si>
    <t>Wharsapp</t>
  </si>
  <si>
    <t>V-32</t>
  </si>
  <si>
    <t>Desconocido</t>
  </si>
  <si>
    <t>desconocido</t>
  </si>
  <si>
    <t>Filipinas</t>
  </si>
  <si>
    <t>tel:+639564287296</t>
  </si>
  <si>
    <t>Averiguar que tipo de proveedor</t>
  </si>
  <si>
    <t>Facebooks</t>
  </si>
  <si>
    <t>Se envio mensaje esperar respuesta por whatsapp</t>
  </si>
  <si>
    <t>V-33</t>
  </si>
  <si>
    <t>tel:+260976998393</t>
  </si>
  <si>
    <t>V-34</t>
  </si>
  <si>
    <t>Alfred</t>
  </si>
  <si>
    <t>Kenia</t>
  </si>
  <si>
    <t>tel:+254705049870</t>
  </si>
  <si>
    <t>100 usd la tonelada</t>
  </si>
  <si>
    <t>Se envio whatsapp averigual mas informacion y firma de confidencialidad, si el productor, reprsentacion</t>
  </si>
  <si>
    <t>V-35</t>
  </si>
  <si>
    <t>tel+573204358158</t>
  </si>
  <si>
    <t>averigual mas informacion</t>
  </si>
  <si>
    <t>se solicita mas informacion a whatsapp</t>
  </si>
  <si>
    <t>C-004</t>
  </si>
  <si>
    <t>Naresh Kirplani</t>
  </si>
  <si>
    <t>us mining &amp; Recycling managment</t>
  </si>
  <si>
    <t>Estados Unidos</t>
  </si>
  <si>
    <t>nash@usmrm.com</t>
  </si>
  <si>
    <t>tel+12035544892</t>
  </si>
  <si>
    <t>Hierro y otros minerales</t>
  </si>
  <si>
    <t>Contacto hecho por Linkedin y whatsapp</t>
  </si>
  <si>
    <t>C-005</t>
  </si>
  <si>
    <t>Rakib Khan</t>
  </si>
  <si>
    <t>Shandong Zhitai International Trade</t>
  </si>
  <si>
    <t>China</t>
  </si>
  <si>
    <t>mrkrakibkhan909@gmail.com</t>
  </si>
  <si>
    <t>tel+8618117723815</t>
  </si>
  <si>
    <t>Contacto por whatsapp</t>
  </si>
  <si>
    <t>C-006</t>
  </si>
  <si>
    <t>Mr Yu</t>
  </si>
  <si>
    <t>Xukun International trade</t>
  </si>
  <si>
    <t>gpingyu@163.com</t>
  </si>
  <si>
    <t>tel+8618963675376</t>
  </si>
  <si>
    <t>Platts -15%</t>
  </si>
  <si>
    <t>C-007</t>
  </si>
  <si>
    <t>WU ZU PENG</t>
  </si>
  <si>
    <t>WENZHOU RUIYI INVESTMENT</t>
  </si>
  <si>
    <t>lywen@wzruyi.com</t>
  </si>
  <si>
    <t>tel+8618354388101</t>
  </si>
  <si>
    <t>Hierro grueso min 10mm a 40mm</t>
  </si>
  <si>
    <t xml:space="preserve">Contacto por whatsapp a traves de un colombiano intermediario no directo </t>
  </si>
  <si>
    <t>Chile</t>
  </si>
  <si>
    <t xml:space="preserve">ID </t>
  </si>
  <si>
    <t>Tipo</t>
  </si>
  <si>
    <t>Tipo de Mineral</t>
  </si>
  <si>
    <t>Volumen</t>
  </si>
  <si>
    <t>Ultima accion</t>
  </si>
  <si>
    <t>Métrica</t>
  </si>
  <si>
    <t>Fórmula / Valor (sugerido)</t>
  </si>
  <si>
    <t>Leads Vendedores Hoy</t>
  </si>
  <si>
    <t>Leads Compradores Hoy</t>
  </si>
  <si>
    <t>Total Leads Vendedores</t>
  </si>
  <si>
    <t>Total Leads Compradores</t>
  </si>
  <si>
    <t>Responses (Contactado)</t>
  </si>
  <si>
    <t>Reuniones agendadas</t>
  </si>
  <si>
    <t>LOIs</t>
  </si>
  <si>
    <t>Cierres</t>
  </si>
  <si>
    <t>Paises Vendedores</t>
  </si>
  <si>
    <t>Minerales</t>
  </si>
  <si>
    <t>Paises Compradores</t>
  </si>
  <si>
    <t>Estados unidos</t>
  </si>
  <si>
    <t>Contactado</t>
  </si>
  <si>
    <t>Instagram</t>
  </si>
  <si>
    <t>Canada</t>
  </si>
  <si>
    <t>Plata</t>
  </si>
  <si>
    <t>Interesado</t>
  </si>
  <si>
    <t>Australia</t>
  </si>
  <si>
    <t>Bolivia</t>
  </si>
  <si>
    <t>Reunion agendada</t>
  </si>
  <si>
    <t>Web</t>
  </si>
  <si>
    <t>Nueva Zelanda</t>
  </si>
  <si>
    <t>Ecuador</t>
  </si>
  <si>
    <t>Cobre Concentrado</t>
  </si>
  <si>
    <t>LOI</t>
  </si>
  <si>
    <t>Referral</t>
  </si>
  <si>
    <t>Cobre Catodos</t>
  </si>
  <si>
    <t>Cierre</t>
  </si>
  <si>
    <t>Feria</t>
  </si>
  <si>
    <t>Japon</t>
  </si>
  <si>
    <t>Perdido</t>
  </si>
  <si>
    <t>India</t>
  </si>
  <si>
    <t>Estaño</t>
  </si>
  <si>
    <t>Dubai</t>
  </si>
  <si>
    <t>Panama</t>
  </si>
  <si>
    <t>Turkia</t>
  </si>
  <si>
    <t>El salvador</t>
  </si>
  <si>
    <t>Alemania</t>
  </si>
  <si>
    <t>Inglaterra</t>
  </si>
  <si>
    <t>Italia</t>
  </si>
  <si>
    <t>España</t>
  </si>
  <si>
    <t>Suiza</t>
  </si>
  <si>
    <t>Suecia</t>
  </si>
  <si>
    <t>Portugal</t>
  </si>
  <si>
    <t>Holanda</t>
  </si>
  <si>
    <t>Noruega</t>
  </si>
  <si>
    <t>Irlanda</t>
  </si>
  <si>
    <t>Francia</t>
  </si>
  <si>
    <t>Austria</t>
  </si>
  <si>
    <t>Dinamarca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</si>
</sst>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/M/yyyy"/>
    <numFmt numFmtId="166" formatCode="+00-0-00000000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  <font>
      <u/>
      <color theme="1"/>
      <name val="Calibri"/>
      <scheme val="minor"/>
    </font>
    <font>
      <sz val="12.0"/>
      <color rgb="FF000000"/>
      <name val="-apple-system"/>
    </font>
    <font>
      <u/>
      <color theme="1"/>
      <name val="Calibri"/>
      <scheme val="minor"/>
    </font>
    <font>
      <sz val="11.0"/>
      <color rgb="FF000000"/>
      <name val="Arial"/>
    </font>
    <font>
      <u/>
      <color rgb="FF0000FF"/>
      <name val="Roboto"/>
    </font>
    <font>
      <sz val="11.0"/>
      <color rgb="FF000000"/>
      <name val="-apple-system"/>
    </font>
    <font>
      <b/>
      <color theme="1"/>
      <name val="Calibri"/>
      <scheme val="minor"/>
    </font>
    <font>
      <b/>
      <sz val="11.0"/>
      <color theme="1"/>
      <name val="Calibri"/>
    </font>
    <font>
      <u/>
      <color theme="1"/>
      <name val="Calibri"/>
      <scheme val="minor"/>
    </font>
    <font>
      <sz val="11.0"/>
      <color theme="1"/>
      <name val="Calibri"/>
    </font>
    <font>
      <u/>
      <color theme="1"/>
      <name val="Calibri"/>
      <scheme val="minor"/>
    </font>
    <font>
      <u/>
      <color rgb="FF0000FF"/>
    </font>
    <font>
      <u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4" fontId="6" numFmtId="49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Font="1" applyNumberFormat="1"/>
    <xf borderId="0" fillId="0" fontId="9" numFmtId="0" xfId="0" applyAlignment="1" applyFon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" numFmtId="0" xfId="0" applyFont="1"/>
    <xf borderId="0" fillId="0" fontId="1" numFmtId="166" xfId="0" applyFont="1" applyNumberFormat="1"/>
    <xf borderId="0" fillId="0" fontId="11" numFmtId="3" xfId="0" applyFont="1" applyNumberFormat="1"/>
    <xf borderId="0" fillId="0" fontId="12" numFmtId="165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5" fontId="13" numFmtId="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4" numFmtId="3" xfId="0" applyFont="1" applyNumberFormat="1"/>
    <xf borderId="0" fillId="0" fontId="15" numFmtId="0" xfId="0" applyFont="1"/>
    <xf borderId="0" fillId="0" fontId="1" numFmtId="49" xfId="0" applyFont="1" applyNumberFormat="1"/>
    <xf borderId="1" fillId="0" fontId="10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ipeli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04" displayName="Tabla_1" name="Tabla_1" id="1">
  <autoFilter ref="$A$1:$O$104"/>
  <tableColumns count="15">
    <tableColumn name="ID Leads" id="1"/>
    <tableColumn name="Vendedor/Comprador" id="2"/>
    <tableColumn name="Nombre" id="3"/>
    <tableColumn name="Empresa" id="4"/>
    <tableColumn name="Pais" id="5"/>
    <tableColumn name="Email" id="6"/>
    <tableColumn name="Telefono" id="7"/>
    <tableColumn name="Mineral" id="8"/>
    <tableColumn name="Volumen Estimado" id="9"/>
    <tableColumn name="Observaciones" id="10"/>
    <tableColumn name="Estado" id="11"/>
    <tableColumn name="Fecha de Contacto" id="12"/>
    <tableColumn name="Fuente" id="13"/>
    <tableColumn name="Asignado" id="14"/>
    <tableColumn name="Ultima Accion" id="15"/>
  </tableColumns>
  <tableStyleInfo name="Pipe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leeroy@conveyortension.com" TargetMode="External"/><Relationship Id="rId11" Type="http://schemas.openxmlformats.org/officeDocument/2006/relationships/hyperlink" Target="mailto:gil_vieira_2007@hotmail.com" TargetMode="External"/><Relationship Id="rId10" Type="http://schemas.openxmlformats.org/officeDocument/2006/relationships/hyperlink" Target="mailto:eribeiroqueiroz@g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luciocerceau@gmail.com" TargetMode="External"/><Relationship Id="rId12" Type="http://schemas.openxmlformats.org/officeDocument/2006/relationships/hyperlink" Target="mailto:iandobereiner@hotmail.com" TargetMode="External"/><Relationship Id="rId23" Type="http://schemas.openxmlformats.org/officeDocument/2006/relationships/table" Target="../tables/table1.xml"/><Relationship Id="rId1" Type="http://schemas.openxmlformats.org/officeDocument/2006/relationships/hyperlink" Target="mailto:ignacio.fernandez@titulados.usm.cl" TargetMode="External"/><Relationship Id="rId2" Type="http://schemas.openxmlformats.org/officeDocument/2006/relationships/hyperlink" Target="mailto:leandrolimeirabh@gmail.com" TargetMode="External"/><Relationship Id="rId3" Type="http://schemas.openxmlformats.org/officeDocument/2006/relationships/hyperlink" Target="mailto:mateushenriquesantosjm@gmail.com" TargetMode="External"/><Relationship Id="rId4" Type="http://schemas.openxmlformats.org/officeDocument/2006/relationships/hyperlink" Target="mailto:elmer.flores1402@hotmail.com" TargetMode="External"/><Relationship Id="rId9" Type="http://schemas.openxmlformats.org/officeDocument/2006/relationships/hyperlink" Target="mailto:rafaelmombach@hotmail.com" TargetMode="External"/><Relationship Id="rId15" Type="http://schemas.openxmlformats.org/officeDocument/2006/relationships/hyperlink" Target="mailto:rodrigo_anunes@hotmail.com" TargetMode="External"/><Relationship Id="rId14" Type="http://schemas.openxmlformats.org/officeDocument/2006/relationships/hyperlink" Target="mailto:iltonacacio@gmail.com" TargetMode="External"/><Relationship Id="rId17" Type="http://schemas.openxmlformats.org/officeDocument/2006/relationships/hyperlink" Target="mailto:edycarlos7@gmail.com" TargetMode="External"/><Relationship Id="rId16" Type="http://schemas.openxmlformats.org/officeDocument/2006/relationships/hyperlink" Target="mailto:abymmael@yahoo.com.br" TargetMode="External"/><Relationship Id="rId5" Type="http://schemas.openxmlformats.org/officeDocument/2006/relationships/hyperlink" Target="mailto:eduorban@hotmail.com" TargetMode="External"/><Relationship Id="rId19" Type="http://schemas.openxmlformats.org/officeDocument/2006/relationships/hyperlink" Target="mailto:fer_massu@hotmail.com" TargetMode="External"/><Relationship Id="rId6" Type="http://schemas.openxmlformats.org/officeDocument/2006/relationships/hyperlink" Target="mailto:oefferraz@gmail.com" TargetMode="External"/><Relationship Id="rId18" Type="http://schemas.openxmlformats.org/officeDocument/2006/relationships/hyperlink" Target="mailto:mendera70@gmail.com" TargetMode="External"/><Relationship Id="rId7" Type="http://schemas.openxmlformats.org/officeDocument/2006/relationships/hyperlink" Target="mailto:dickaraya1973@gmail.com" TargetMode="External"/><Relationship Id="rId8" Type="http://schemas.openxmlformats.org/officeDocument/2006/relationships/hyperlink" Target="mailto:fpc.cavalcanti.fpc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luciocerceau@gmail.com" TargetMode="External"/><Relationship Id="rId10" Type="http://schemas.openxmlformats.org/officeDocument/2006/relationships/hyperlink" Target="mailto:iandobereiner@hotmail.com" TargetMode="External"/><Relationship Id="rId13" Type="http://schemas.openxmlformats.org/officeDocument/2006/relationships/hyperlink" Target="mailto:rodrigo_anunes@hotmail.com" TargetMode="External"/><Relationship Id="rId12" Type="http://schemas.openxmlformats.org/officeDocument/2006/relationships/hyperlink" Target="mailto:iltonacacio@gmail.com" TargetMode="External"/><Relationship Id="rId1" Type="http://schemas.openxmlformats.org/officeDocument/2006/relationships/hyperlink" Target="mailto:leandrolimeirabh@gmail.com" TargetMode="External"/><Relationship Id="rId2" Type="http://schemas.openxmlformats.org/officeDocument/2006/relationships/hyperlink" Target="mailto:mateushenriquesantosjm@gmail.com" TargetMode="External"/><Relationship Id="rId3" Type="http://schemas.openxmlformats.org/officeDocument/2006/relationships/hyperlink" Target="mailto:elmer.flores1402@hotmail.com" TargetMode="External"/><Relationship Id="rId4" Type="http://schemas.openxmlformats.org/officeDocument/2006/relationships/hyperlink" Target="mailto:eduorban@hotmail.com" TargetMode="External"/><Relationship Id="rId9" Type="http://schemas.openxmlformats.org/officeDocument/2006/relationships/hyperlink" Target="mailto:gil_vieira_2007@hotmail.com" TargetMode="External"/><Relationship Id="rId15" Type="http://schemas.openxmlformats.org/officeDocument/2006/relationships/hyperlink" Target="mailto:edycarlos7@gmail.com" TargetMode="External"/><Relationship Id="rId14" Type="http://schemas.openxmlformats.org/officeDocument/2006/relationships/hyperlink" Target="mailto:abymmael@yahoo.com.br" TargetMode="External"/><Relationship Id="rId17" Type="http://schemas.openxmlformats.org/officeDocument/2006/relationships/hyperlink" Target="mailto:leeroy@conveyortension.com" TargetMode="External"/><Relationship Id="rId16" Type="http://schemas.openxmlformats.org/officeDocument/2006/relationships/hyperlink" Target="mailto:mendera70@gmail.com" TargetMode="External"/><Relationship Id="rId5" Type="http://schemas.openxmlformats.org/officeDocument/2006/relationships/hyperlink" Target="mailto:oefferraz@gmail.com" TargetMode="External"/><Relationship Id="rId6" Type="http://schemas.openxmlformats.org/officeDocument/2006/relationships/hyperlink" Target="mailto:dickaraya1973@gmail.com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mailto:fpc.cavalcanti.fpc@gmail.com" TargetMode="External"/><Relationship Id="rId8" Type="http://schemas.openxmlformats.org/officeDocument/2006/relationships/hyperlink" Target="mailto:eribeiroqueiroz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ignacio.fernandez@titulados.usm.cl" TargetMode="External"/><Relationship Id="rId2" Type="http://schemas.openxmlformats.org/officeDocument/2006/relationships/hyperlink" Target="mailto:rafaelmombach@hotmail.com" TargetMode="External"/><Relationship Id="rId3" Type="http://schemas.openxmlformats.org/officeDocument/2006/relationships/hyperlink" Target="mailto:fer_massu@hot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29"/>
    <col customWidth="1" min="3" max="3" width="33.29"/>
    <col customWidth="1" min="4" max="4" width="35.71"/>
    <col customWidth="1" min="5" max="5" width="19.57"/>
    <col customWidth="1" min="6" max="6" width="38.0"/>
    <col customWidth="1" min="7" max="7" width="24.86"/>
    <col customWidth="1" min="8" max="8" width="29.0"/>
    <col customWidth="1" min="9" max="9" width="27.71"/>
    <col customWidth="1" min="10" max="10" width="38.0"/>
    <col customWidth="1" min="11" max="11" width="16.43"/>
    <col customWidth="1" min="12" max="12" width="27.43"/>
    <col customWidth="1" min="13" max="13" width="16.29"/>
    <col customWidth="1" min="14" max="14" width="17.86"/>
    <col customWidth="1" min="15" max="15" width="9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 t="str">
        <f t="shared" ref="A2:A9" si="1">IF(B2="","", IF(B2="Vendedor","V-"&amp;TEXT(ROW()-1,"000"),"C-"&amp;TEXT(ROW()-1,"000")))</f>
        <v>C-001</v>
      </c>
      <c r="B2" s="4" t="s">
        <v>15</v>
      </c>
      <c r="C2" s="5" t="s">
        <v>16</v>
      </c>
      <c r="D2" s="6" t="s">
        <v>17</v>
      </c>
      <c r="E2" s="4" t="s">
        <v>18</v>
      </c>
      <c r="F2" s="7" t="s">
        <v>19</v>
      </c>
      <c r="G2" s="5">
        <f>56954010036</f>
        <v>56954010036</v>
      </c>
      <c r="H2" s="5" t="s">
        <v>20</v>
      </c>
      <c r="I2" s="8">
        <v>0.0</v>
      </c>
      <c r="J2" s="5" t="s">
        <v>21</v>
      </c>
      <c r="K2" s="4" t="s">
        <v>22</v>
      </c>
      <c r="L2" s="9">
        <v>45920.0</v>
      </c>
      <c r="M2" s="4" t="s">
        <v>23</v>
      </c>
      <c r="N2" s="5" t="s">
        <v>24</v>
      </c>
      <c r="O2" s="5" t="s">
        <v>25</v>
      </c>
    </row>
    <row r="3" ht="22.5" customHeight="1">
      <c r="A3" s="3" t="str">
        <f t="shared" si="1"/>
        <v>V-002</v>
      </c>
      <c r="B3" s="4" t="s">
        <v>26</v>
      </c>
      <c r="C3" s="5" t="s">
        <v>27</v>
      </c>
      <c r="D3" s="10" t="s">
        <v>28</v>
      </c>
      <c r="E3" s="4" t="s">
        <v>29</v>
      </c>
      <c r="F3" s="7" t="s">
        <v>30</v>
      </c>
      <c r="G3" s="5" t="s">
        <v>31</v>
      </c>
      <c r="H3" s="5" t="s">
        <v>20</v>
      </c>
      <c r="I3" s="8">
        <v>0.0</v>
      </c>
      <c r="J3" s="5" t="s">
        <v>21</v>
      </c>
      <c r="K3" s="4" t="s">
        <v>22</v>
      </c>
      <c r="L3" s="9">
        <v>45920.0</v>
      </c>
      <c r="M3" s="4" t="s">
        <v>23</v>
      </c>
      <c r="N3" s="5" t="s">
        <v>24</v>
      </c>
      <c r="O3" s="5" t="s">
        <v>25</v>
      </c>
    </row>
    <row r="4" ht="22.5" customHeight="1">
      <c r="A4" s="3" t="str">
        <f t="shared" si="1"/>
        <v>V-003</v>
      </c>
      <c r="B4" s="4" t="s">
        <v>26</v>
      </c>
      <c r="C4" s="5" t="s">
        <v>32</v>
      </c>
      <c r="D4" s="5" t="s">
        <v>33</v>
      </c>
      <c r="E4" s="4" t="s">
        <v>29</v>
      </c>
      <c r="F4" s="7" t="s">
        <v>34</v>
      </c>
      <c r="G4" s="5" t="s">
        <v>35</v>
      </c>
      <c r="H4" s="5" t="s">
        <v>36</v>
      </c>
      <c r="I4" s="8">
        <v>0.0</v>
      </c>
      <c r="J4" s="5" t="s">
        <v>37</v>
      </c>
      <c r="K4" s="4" t="s">
        <v>22</v>
      </c>
      <c r="L4" s="9">
        <v>45921.0</v>
      </c>
      <c r="M4" s="4" t="s">
        <v>23</v>
      </c>
      <c r="N4" s="5" t="s">
        <v>24</v>
      </c>
      <c r="O4" s="5" t="s">
        <v>25</v>
      </c>
    </row>
    <row r="5" ht="22.5" customHeight="1">
      <c r="A5" s="3" t="str">
        <f t="shared" si="1"/>
        <v>V-004</v>
      </c>
      <c r="B5" s="4" t="s">
        <v>26</v>
      </c>
      <c r="C5" s="5" t="s">
        <v>38</v>
      </c>
      <c r="D5" s="5" t="s">
        <v>39</v>
      </c>
      <c r="E5" s="4" t="s">
        <v>40</v>
      </c>
      <c r="F5" s="7" t="s">
        <v>41</v>
      </c>
      <c r="G5" s="5" t="s">
        <v>42</v>
      </c>
      <c r="H5" s="5" t="s">
        <v>36</v>
      </c>
      <c r="I5" s="8">
        <v>170000.0</v>
      </c>
      <c r="J5" s="5" t="s">
        <v>43</v>
      </c>
      <c r="K5" s="4" t="s">
        <v>22</v>
      </c>
      <c r="L5" s="9">
        <v>45921.0</v>
      </c>
      <c r="M5" s="4" t="s">
        <v>23</v>
      </c>
      <c r="N5" s="5" t="s">
        <v>24</v>
      </c>
      <c r="O5" s="5" t="s">
        <v>25</v>
      </c>
    </row>
    <row r="6" ht="22.5" customHeight="1">
      <c r="A6" s="3" t="str">
        <f t="shared" si="1"/>
        <v>V-005</v>
      </c>
      <c r="B6" s="4" t="s">
        <v>26</v>
      </c>
      <c r="C6" s="5" t="s">
        <v>44</v>
      </c>
      <c r="D6" s="5" t="s">
        <v>45</v>
      </c>
      <c r="E6" s="4" t="s">
        <v>29</v>
      </c>
      <c r="F6" s="7" t="s">
        <v>46</v>
      </c>
      <c r="H6" s="5" t="s">
        <v>47</v>
      </c>
      <c r="I6" s="8">
        <v>0.0</v>
      </c>
      <c r="J6" s="5" t="s">
        <v>37</v>
      </c>
      <c r="K6" s="4" t="s">
        <v>22</v>
      </c>
      <c r="L6" s="9">
        <v>45917.0</v>
      </c>
      <c r="M6" s="4" t="s">
        <v>23</v>
      </c>
      <c r="N6" s="5" t="s">
        <v>24</v>
      </c>
      <c r="O6" s="5" t="s">
        <v>25</v>
      </c>
    </row>
    <row r="7" ht="22.5" customHeight="1">
      <c r="A7" s="3" t="str">
        <f t="shared" si="1"/>
        <v>V-006</v>
      </c>
      <c r="B7" s="4" t="s">
        <v>26</v>
      </c>
      <c r="C7" s="5" t="s">
        <v>48</v>
      </c>
      <c r="D7" s="5" t="s">
        <v>49</v>
      </c>
      <c r="E7" s="4" t="s">
        <v>29</v>
      </c>
      <c r="F7" s="7" t="s">
        <v>50</v>
      </c>
      <c r="G7" s="5" t="s">
        <v>51</v>
      </c>
      <c r="H7" s="5" t="s">
        <v>52</v>
      </c>
      <c r="I7" s="8">
        <v>230000.0</v>
      </c>
      <c r="J7" s="5" t="s">
        <v>53</v>
      </c>
      <c r="K7" s="4" t="s">
        <v>22</v>
      </c>
      <c r="L7" s="9">
        <v>45920.0</v>
      </c>
      <c r="M7" s="4" t="s">
        <v>23</v>
      </c>
      <c r="N7" s="5" t="s">
        <v>24</v>
      </c>
      <c r="O7" s="5" t="s">
        <v>25</v>
      </c>
    </row>
    <row r="8" ht="22.5" customHeight="1">
      <c r="A8" s="3" t="str">
        <f t="shared" si="1"/>
        <v>V-007</v>
      </c>
      <c r="B8" s="4" t="s">
        <v>26</v>
      </c>
      <c r="C8" s="5" t="s">
        <v>54</v>
      </c>
      <c r="D8" s="5" t="s">
        <v>55</v>
      </c>
      <c r="E8" s="4" t="s">
        <v>56</v>
      </c>
      <c r="F8" s="7" t="s">
        <v>57</v>
      </c>
      <c r="G8" s="5" t="s">
        <v>58</v>
      </c>
      <c r="H8" s="5" t="s">
        <v>59</v>
      </c>
      <c r="I8" s="8">
        <v>36.0</v>
      </c>
      <c r="J8" s="5" t="s">
        <v>43</v>
      </c>
      <c r="K8" s="4" t="s">
        <v>22</v>
      </c>
      <c r="L8" s="9">
        <v>45917.0</v>
      </c>
      <c r="M8" s="4" t="s">
        <v>23</v>
      </c>
      <c r="N8" s="5" t="s">
        <v>24</v>
      </c>
      <c r="O8" s="5" t="s">
        <v>25</v>
      </c>
    </row>
    <row r="9" ht="22.5" customHeight="1">
      <c r="A9" s="3" t="str">
        <f t="shared" si="1"/>
        <v>V-008</v>
      </c>
      <c r="B9" s="4" t="s">
        <v>26</v>
      </c>
      <c r="C9" s="5" t="s">
        <v>60</v>
      </c>
      <c r="D9" s="5" t="s">
        <v>61</v>
      </c>
      <c r="E9" s="4" t="s">
        <v>29</v>
      </c>
      <c r="F9" s="7" t="s">
        <v>62</v>
      </c>
      <c r="H9" s="5" t="s">
        <v>52</v>
      </c>
      <c r="I9" s="8">
        <v>0.0</v>
      </c>
      <c r="J9" s="5" t="s">
        <v>63</v>
      </c>
      <c r="K9" s="4" t="s">
        <v>22</v>
      </c>
      <c r="L9" s="9">
        <v>45922.0</v>
      </c>
      <c r="M9" s="4" t="s">
        <v>23</v>
      </c>
      <c r="N9" s="5" t="s">
        <v>24</v>
      </c>
      <c r="O9" s="5" t="s">
        <v>25</v>
      </c>
    </row>
    <row r="10" ht="22.5" customHeight="1">
      <c r="A10" s="5" t="s">
        <v>64</v>
      </c>
      <c r="B10" s="4" t="s">
        <v>65</v>
      </c>
      <c r="C10" s="5" t="s">
        <v>66</v>
      </c>
      <c r="D10" s="5" t="s">
        <v>67</v>
      </c>
      <c r="E10" s="4" t="s">
        <v>29</v>
      </c>
      <c r="F10" s="7" t="s">
        <v>68</v>
      </c>
      <c r="H10" s="5" t="s">
        <v>69</v>
      </c>
      <c r="I10" s="8">
        <v>0.0</v>
      </c>
      <c r="J10" s="5" t="s">
        <v>37</v>
      </c>
      <c r="K10" s="4" t="s">
        <v>22</v>
      </c>
      <c r="L10" s="9">
        <v>45921.0</v>
      </c>
      <c r="M10" s="4" t="s">
        <v>23</v>
      </c>
      <c r="N10" s="5" t="s">
        <v>24</v>
      </c>
      <c r="O10" s="5" t="s">
        <v>25</v>
      </c>
    </row>
    <row r="11" ht="22.5" customHeight="1">
      <c r="A11" s="5" t="s">
        <v>70</v>
      </c>
      <c r="B11" s="4" t="s">
        <v>26</v>
      </c>
      <c r="C11" s="5" t="s">
        <v>71</v>
      </c>
      <c r="D11" s="5" t="s">
        <v>72</v>
      </c>
      <c r="E11" s="4" t="s">
        <v>29</v>
      </c>
      <c r="F11" s="7" t="s">
        <v>73</v>
      </c>
      <c r="G11" s="5" t="s">
        <v>74</v>
      </c>
      <c r="H11" s="5" t="s">
        <v>69</v>
      </c>
      <c r="I11" s="8">
        <v>167000.0</v>
      </c>
      <c r="J11" s="5" t="s">
        <v>75</v>
      </c>
      <c r="K11" s="4" t="s">
        <v>22</v>
      </c>
      <c r="L11" s="9">
        <v>45921.0</v>
      </c>
      <c r="M11" s="4" t="s">
        <v>23</v>
      </c>
      <c r="N11" s="5" t="s">
        <v>24</v>
      </c>
      <c r="O11" s="5" t="s">
        <v>25</v>
      </c>
    </row>
    <row r="12" ht="22.5" customHeight="1">
      <c r="A12" s="5" t="s">
        <v>76</v>
      </c>
      <c r="B12" s="4" t="s">
        <v>26</v>
      </c>
      <c r="C12" s="5" t="s">
        <v>77</v>
      </c>
      <c r="D12" s="5" t="s">
        <v>78</v>
      </c>
      <c r="E12" s="4" t="s">
        <v>29</v>
      </c>
      <c r="F12" s="7" t="s">
        <v>79</v>
      </c>
      <c r="H12" s="5" t="s">
        <v>69</v>
      </c>
      <c r="I12" s="8">
        <v>5000000.0</v>
      </c>
      <c r="J12" s="5" t="s">
        <v>80</v>
      </c>
      <c r="K12" s="4" t="s">
        <v>22</v>
      </c>
      <c r="L12" s="9">
        <v>45920.0</v>
      </c>
      <c r="M12" s="4" t="s">
        <v>23</v>
      </c>
      <c r="N12" s="5" t="s">
        <v>24</v>
      </c>
      <c r="O12" s="5" t="s">
        <v>25</v>
      </c>
    </row>
    <row r="13" ht="22.5" customHeight="1">
      <c r="A13" s="5" t="s">
        <v>81</v>
      </c>
      <c r="B13" s="4" t="s">
        <v>26</v>
      </c>
      <c r="C13" s="5" t="s">
        <v>82</v>
      </c>
      <c r="D13" s="5" t="s">
        <v>83</v>
      </c>
      <c r="E13" s="4" t="s">
        <v>29</v>
      </c>
      <c r="F13" s="7" t="s">
        <v>84</v>
      </c>
      <c r="H13" s="5" t="s">
        <v>52</v>
      </c>
      <c r="I13" s="8">
        <v>0.0</v>
      </c>
      <c r="J13" s="5" t="s">
        <v>85</v>
      </c>
      <c r="K13" s="4" t="s">
        <v>22</v>
      </c>
      <c r="L13" s="9">
        <v>45922.0</v>
      </c>
      <c r="M13" s="4" t="s">
        <v>23</v>
      </c>
      <c r="N13" s="5" t="s">
        <v>24</v>
      </c>
      <c r="O13" s="5" t="s">
        <v>25</v>
      </c>
    </row>
    <row r="14" ht="22.5" customHeight="1">
      <c r="A14" s="5" t="s">
        <v>86</v>
      </c>
      <c r="B14" s="4" t="s">
        <v>26</v>
      </c>
      <c r="C14" s="5" t="s">
        <v>87</v>
      </c>
      <c r="D14" s="5" t="s">
        <v>88</v>
      </c>
      <c r="E14" s="4" t="s">
        <v>29</v>
      </c>
      <c r="F14" s="7" t="s">
        <v>89</v>
      </c>
      <c r="G14" s="5" t="s">
        <v>90</v>
      </c>
      <c r="H14" s="5" t="s">
        <v>69</v>
      </c>
      <c r="I14" s="8">
        <v>0.0</v>
      </c>
      <c r="J14" s="5" t="s">
        <v>91</v>
      </c>
      <c r="K14" s="4" t="s">
        <v>22</v>
      </c>
      <c r="L14" s="9">
        <v>45921.0</v>
      </c>
      <c r="M14" s="4" t="s">
        <v>23</v>
      </c>
      <c r="N14" s="5" t="s">
        <v>24</v>
      </c>
      <c r="O14" s="5" t="s">
        <v>25</v>
      </c>
    </row>
    <row r="15" ht="22.5" customHeight="1">
      <c r="A15" s="11" t="s">
        <v>92</v>
      </c>
      <c r="B15" s="12" t="s">
        <v>26</v>
      </c>
      <c r="C15" s="11" t="s">
        <v>93</v>
      </c>
      <c r="D15" s="11" t="s">
        <v>94</v>
      </c>
      <c r="E15" s="12" t="s">
        <v>29</v>
      </c>
      <c r="F15" s="13" t="s">
        <v>95</v>
      </c>
      <c r="G15" s="11" t="s">
        <v>96</v>
      </c>
      <c r="H15" s="11" t="s">
        <v>97</v>
      </c>
      <c r="I15" s="14">
        <v>4500.0</v>
      </c>
      <c r="J15" s="11" t="s">
        <v>98</v>
      </c>
      <c r="K15" s="12" t="s">
        <v>22</v>
      </c>
      <c r="L15" s="15">
        <v>45922.0</v>
      </c>
      <c r="M15" s="12" t="s">
        <v>23</v>
      </c>
      <c r="N15" s="11" t="s">
        <v>24</v>
      </c>
      <c r="O15" s="11" t="s">
        <v>99</v>
      </c>
    </row>
    <row r="16" ht="22.5" customHeight="1">
      <c r="A16" s="5" t="s">
        <v>100</v>
      </c>
      <c r="B16" s="4" t="s">
        <v>26</v>
      </c>
      <c r="C16" s="5" t="s">
        <v>101</v>
      </c>
      <c r="D16" s="5" t="s">
        <v>102</v>
      </c>
      <c r="E16" s="4" t="s">
        <v>29</v>
      </c>
      <c r="F16" s="7" t="s">
        <v>103</v>
      </c>
      <c r="H16" s="5" t="s">
        <v>36</v>
      </c>
      <c r="I16" s="8">
        <v>0.0</v>
      </c>
      <c r="J16" s="5" t="s">
        <v>104</v>
      </c>
      <c r="K16" s="4" t="s">
        <v>22</v>
      </c>
      <c r="L16" s="9">
        <v>45917.0</v>
      </c>
      <c r="M16" s="4" t="s">
        <v>23</v>
      </c>
      <c r="N16" s="5" t="s">
        <v>24</v>
      </c>
      <c r="O16" s="5" t="s">
        <v>25</v>
      </c>
    </row>
    <row r="17" ht="22.5" customHeight="1">
      <c r="A17" s="5" t="s">
        <v>105</v>
      </c>
      <c r="B17" s="4" t="s">
        <v>26</v>
      </c>
      <c r="C17" s="5" t="s">
        <v>106</v>
      </c>
      <c r="D17" s="5" t="s">
        <v>107</v>
      </c>
      <c r="E17" s="4" t="s">
        <v>29</v>
      </c>
      <c r="F17" s="7" t="s">
        <v>108</v>
      </c>
      <c r="H17" s="5" t="s">
        <v>36</v>
      </c>
      <c r="I17" s="8">
        <v>0.0</v>
      </c>
      <c r="J17" s="5" t="s">
        <v>104</v>
      </c>
      <c r="K17" s="4" t="s">
        <v>22</v>
      </c>
      <c r="L17" s="9">
        <v>45921.0</v>
      </c>
      <c r="M17" s="4" t="s">
        <v>23</v>
      </c>
      <c r="N17" s="5" t="s">
        <v>24</v>
      </c>
      <c r="O17" s="5" t="s">
        <v>25</v>
      </c>
    </row>
    <row r="18" ht="22.5" customHeight="1">
      <c r="A18" s="11" t="s">
        <v>109</v>
      </c>
      <c r="B18" s="12" t="s">
        <v>26</v>
      </c>
      <c r="C18" s="11" t="s">
        <v>110</v>
      </c>
      <c r="D18" s="11" t="s">
        <v>111</v>
      </c>
      <c r="E18" s="12" t="s">
        <v>29</v>
      </c>
      <c r="F18" s="13" t="s">
        <v>112</v>
      </c>
      <c r="G18" s="11" t="s">
        <v>113</v>
      </c>
      <c r="H18" s="11" t="s">
        <v>69</v>
      </c>
      <c r="I18" s="14">
        <v>843000.0</v>
      </c>
      <c r="J18" s="11" t="s">
        <v>114</v>
      </c>
      <c r="K18" s="12" t="s">
        <v>22</v>
      </c>
      <c r="L18" s="15">
        <v>45921.0</v>
      </c>
      <c r="M18" s="12" t="s">
        <v>23</v>
      </c>
      <c r="N18" s="11" t="s">
        <v>24</v>
      </c>
      <c r="O18" s="11" t="s">
        <v>115</v>
      </c>
    </row>
    <row r="19" ht="22.5" customHeight="1">
      <c r="A19" s="5" t="s">
        <v>116</v>
      </c>
      <c r="B19" s="4" t="s">
        <v>26</v>
      </c>
      <c r="C19" s="5" t="s">
        <v>117</v>
      </c>
      <c r="D19" s="5" t="s">
        <v>118</v>
      </c>
      <c r="E19" s="4" t="s">
        <v>29</v>
      </c>
      <c r="F19" s="7" t="s">
        <v>119</v>
      </c>
      <c r="G19" s="5" t="s">
        <v>120</v>
      </c>
      <c r="H19" s="5" t="s">
        <v>52</v>
      </c>
      <c r="I19" s="8">
        <v>0.0</v>
      </c>
      <c r="J19" s="5" t="s">
        <v>121</v>
      </c>
      <c r="K19" s="4" t="s">
        <v>22</v>
      </c>
      <c r="L19" s="9">
        <v>45921.0</v>
      </c>
      <c r="M19" s="4" t="s">
        <v>23</v>
      </c>
      <c r="N19" s="5" t="s">
        <v>24</v>
      </c>
      <c r="O19" s="5" t="s">
        <v>25</v>
      </c>
    </row>
    <row r="20" ht="22.5" customHeight="1">
      <c r="A20" s="5" t="s">
        <v>122</v>
      </c>
      <c r="B20" s="4" t="s">
        <v>65</v>
      </c>
      <c r="C20" s="5" t="s">
        <v>123</v>
      </c>
      <c r="D20" s="5" t="s">
        <v>124</v>
      </c>
      <c r="E20" s="4" t="s">
        <v>29</v>
      </c>
      <c r="F20" s="7" t="s">
        <v>125</v>
      </c>
      <c r="G20" s="5" t="s">
        <v>126</v>
      </c>
      <c r="H20" s="5" t="s">
        <v>69</v>
      </c>
      <c r="I20" s="8">
        <v>0.0</v>
      </c>
      <c r="J20" s="5" t="s">
        <v>127</v>
      </c>
      <c r="K20" s="4" t="s">
        <v>22</v>
      </c>
      <c r="L20" s="9">
        <v>45922.0</v>
      </c>
      <c r="M20" s="4" t="s">
        <v>23</v>
      </c>
      <c r="N20" s="5" t="s">
        <v>24</v>
      </c>
      <c r="O20" s="5" t="s">
        <v>25</v>
      </c>
    </row>
    <row r="21" ht="22.5" customHeight="1">
      <c r="A21" s="11" t="s">
        <v>128</v>
      </c>
      <c r="B21" s="12" t="s">
        <v>26</v>
      </c>
      <c r="C21" s="11" t="s">
        <v>129</v>
      </c>
      <c r="D21" s="11" t="s">
        <v>130</v>
      </c>
      <c r="E21" s="12" t="s">
        <v>18</v>
      </c>
      <c r="F21" s="16" t="s">
        <v>131</v>
      </c>
      <c r="G21" s="17"/>
      <c r="H21" s="11" t="s">
        <v>52</v>
      </c>
      <c r="I21" s="14">
        <v>30000.0</v>
      </c>
      <c r="J21" s="11" t="s">
        <v>132</v>
      </c>
      <c r="K21" s="12" t="s">
        <v>22</v>
      </c>
      <c r="L21" s="15">
        <v>45921.0</v>
      </c>
      <c r="M21" s="12" t="s">
        <v>23</v>
      </c>
      <c r="N21" s="11" t="s">
        <v>24</v>
      </c>
      <c r="O21" s="11" t="s">
        <v>133</v>
      </c>
    </row>
    <row r="22" ht="22.5" customHeight="1">
      <c r="A22" s="5" t="s">
        <v>134</v>
      </c>
      <c r="B22" s="4" t="s">
        <v>26</v>
      </c>
      <c r="C22" s="5" t="s">
        <v>135</v>
      </c>
      <c r="D22" s="5" t="s">
        <v>136</v>
      </c>
      <c r="E22" s="4" t="s">
        <v>29</v>
      </c>
      <c r="F22" s="18" t="s">
        <v>137</v>
      </c>
      <c r="H22" s="5" t="s">
        <v>138</v>
      </c>
      <c r="I22" s="8">
        <v>5000.0</v>
      </c>
      <c r="J22" s="5" t="s">
        <v>139</v>
      </c>
      <c r="K22" s="4" t="s">
        <v>22</v>
      </c>
      <c r="L22" s="9">
        <v>45922.0</v>
      </c>
      <c r="M22" s="4" t="s">
        <v>23</v>
      </c>
      <c r="N22" s="5" t="s">
        <v>24</v>
      </c>
      <c r="O22" s="5" t="s">
        <v>25</v>
      </c>
    </row>
    <row r="23" ht="22.5" customHeight="1">
      <c r="A23" s="5" t="s">
        <v>140</v>
      </c>
      <c r="B23" s="4" t="s">
        <v>26</v>
      </c>
      <c r="C23" s="5" t="s">
        <v>141</v>
      </c>
      <c r="D23" s="5" t="s">
        <v>142</v>
      </c>
      <c r="E23" s="4" t="s">
        <v>18</v>
      </c>
      <c r="F23" s="18" t="s">
        <v>143</v>
      </c>
      <c r="H23" s="5" t="s">
        <v>52</v>
      </c>
      <c r="I23" s="8">
        <v>0.0</v>
      </c>
      <c r="J23" s="5" t="s">
        <v>144</v>
      </c>
      <c r="K23" s="4" t="s">
        <v>22</v>
      </c>
      <c r="L23" s="9">
        <v>45923.0</v>
      </c>
      <c r="M23" s="4" t="s">
        <v>23</v>
      </c>
      <c r="N23" s="5" t="s">
        <v>24</v>
      </c>
      <c r="O23" s="5" t="s">
        <v>25</v>
      </c>
    </row>
    <row r="24" ht="22.5" customHeight="1">
      <c r="A24" s="5" t="s">
        <v>145</v>
      </c>
      <c r="B24" s="4" t="s">
        <v>26</v>
      </c>
      <c r="C24" s="5" t="s">
        <v>146</v>
      </c>
      <c r="D24" s="5" t="s">
        <v>147</v>
      </c>
      <c r="E24" s="4" t="s">
        <v>148</v>
      </c>
      <c r="F24" s="18" t="s">
        <v>149</v>
      </c>
      <c r="G24" s="5" t="s">
        <v>150</v>
      </c>
      <c r="H24" s="19" t="s">
        <v>151</v>
      </c>
      <c r="I24" s="8">
        <v>0.0</v>
      </c>
      <c r="J24" s="5" t="s">
        <v>152</v>
      </c>
      <c r="K24" s="4" t="s">
        <v>22</v>
      </c>
      <c r="L24" s="9">
        <v>45922.0</v>
      </c>
      <c r="M24" s="4" t="s">
        <v>23</v>
      </c>
      <c r="N24" s="5" t="s">
        <v>24</v>
      </c>
      <c r="O24" s="5" t="s">
        <v>25</v>
      </c>
    </row>
    <row r="25" ht="22.5" customHeight="1">
      <c r="A25" s="5" t="s">
        <v>153</v>
      </c>
      <c r="B25" s="4" t="s">
        <v>26</v>
      </c>
      <c r="C25" s="5" t="s">
        <v>154</v>
      </c>
      <c r="D25" s="5" t="s">
        <v>155</v>
      </c>
      <c r="E25" s="4" t="s">
        <v>156</v>
      </c>
      <c r="F25" s="18" t="s">
        <v>157</v>
      </c>
      <c r="G25" s="5" t="s">
        <v>158</v>
      </c>
      <c r="H25" s="5" t="s">
        <v>52</v>
      </c>
      <c r="I25" s="8">
        <v>4800000.0</v>
      </c>
      <c r="J25" s="5" t="s">
        <v>159</v>
      </c>
      <c r="K25" s="4" t="s">
        <v>22</v>
      </c>
      <c r="L25" s="9">
        <v>45922.0</v>
      </c>
      <c r="M25" s="4" t="s">
        <v>23</v>
      </c>
      <c r="N25" s="5" t="s">
        <v>24</v>
      </c>
      <c r="O25" s="5" t="s">
        <v>25</v>
      </c>
    </row>
    <row r="26" ht="22.5" customHeight="1">
      <c r="A26" s="5" t="s">
        <v>160</v>
      </c>
      <c r="B26" s="4" t="s">
        <v>26</v>
      </c>
      <c r="C26" s="5" t="s">
        <v>161</v>
      </c>
      <c r="D26" s="5" t="s">
        <v>162</v>
      </c>
      <c r="E26" s="4" t="s">
        <v>18</v>
      </c>
      <c r="F26" s="18" t="s">
        <v>163</v>
      </c>
      <c r="G26" s="5" t="s">
        <v>164</v>
      </c>
      <c r="H26" s="5" t="s">
        <v>52</v>
      </c>
      <c r="I26" s="20"/>
      <c r="J26" s="5" t="s">
        <v>165</v>
      </c>
      <c r="K26" s="4" t="s">
        <v>22</v>
      </c>
      <c r="L26" s="9">
        <v>45922.0</v>
      </c>
      <c r="M26" s="4" t="s">
        <v>23</v>
      </c>
      <c r="N26" s="5" t="s">
        <v>24</v>
      </c>
      <c r="O26" s="5" t="s">
        <v>25</v>
      </c>
    </row>
    <row r="27" ht="22.5" customHeight="1">
      <c r="A27" s="5" t="s">
        <v>166</v>
      </c>
      <c r="B27" s="4" t="s">
        <v>26</v>
      </c>
      <c r="C27" s="5" t="s">
        <v>167</v>
      </c>
      <c r="D27" s="5" t="s">
        <v>168</v>
      </c>
      <c r="E27" s="4" t="s">
        <v>169</v>
      </c>
      <c r="F27" s="18" t="s">
        <v>170</v>
      </c>
      <c r="H27" s="5" t="s">
        <v>36</v>
      </c>
      <c r="I27" s="20"/>
      <c r="J27" s="5" t="s">
        <v>171</v>
      </c>
      <c r="K27" s="4" t="s">
        <v>22</v>
      </c>
      <c r="L27" s="9">
        <v>45921.0</v>
      </c>
      <c r="M27" s="4" t="s">
        <v>23</v>
      </c>
      <c r="N27" s="5" t="s">
        <v>24</v>
      </c>
      <c r="O27" s="5" t="s">
        <v>172</v>
      </c>
    </row>
    <row r="28" ht="22.5" customHeight="1">
      <c r="A28" s="5" t="s">
        <v>173</v>
      </c>
      <c r="B28" s="4" t="s">
        <v>65</v>
      </c>
      <c r="C28" s="5" t="s">
        <v>174</v>
      </c>
      <c r="D28" s="5" t="s">
        <v>175</v>
      </c>
      <c r="E28" s="4" t="s">
        <v>29</v>
      </c>
      <c r="F28" s="18" t="s">
        <v>176</v>
      </c>
      <c r="G28" s="5" t="s">
        <v>177</v>
      </c>
      <c r="H28" s="5" t="s">
        <v>69</v>
      </c>
      <c r="I28" s="20"/>
      <c r="J28" s="5" t="s">
        <v>178</v>
      </c>
      <c r="K28" s="4" t="s">
        <v>22</v>
      </c>
      <c r="L28" s="9">
        <v>45921.0</v>
      </c>
      <c r="M28" s="4" t="s">
        <v>23</v>
      </c>
      <c r="N28" s="5" t="s">
        <v>24</v>
      </c>
      <c r="O28" s="5" t="s">
        <v>172</v>
      </c>
    </row>
    <row r="29" ht="22.5" customHeight="1">
      <c r="A29" s="5" t="s">
        <v>179</v>
      </c>
      <c r="B29" s="4" t="s">
        <v>26</v>
      </c>
      <c r="C29" s="5" t="s">
        <v>180</v>
      </c>
      <c r="D29" s="5" t="s">
        <v>181</v>
      </c>
      <c r="E29" s="4" t="s">
        <v>40</v>
      </c>
      <c r="F29" s="18" t="s">
        <v>182</v>
      </c>
      <c r="G29" s="5" t="s">
        <v>183</v>
      </c>
      <c r="H29" s="5" t="s">
        <v>36</v>
      </c>
      <c r="I29" s="20"/>
      <c r="J29" s="5" t="s">
        <v>184</v>
      </c>
      <c r="K29" s="4" t="s">
        <v>22</v>
      </c>
      <c r="L29" s="9">
        <v>45188.0</v>
      </c>
      <c r="M29" s="4" t="s">
        <v>23</v>
      </c>
      <c r="N29" s="5" t="s">
        <v>24</v>
      </c>
      <c r="O29" s="5" t="s">
        <v>172</v>
      </c>
    </row>
    <row r="30" ht="22.5" customHeight="1">
      <c r="A30" s="5" t="s">
        <v>185</v>
      </c>
      <c r="B30" s="4" t="s">
        <v>26</v>
      </c>
      <c r="C30" s="5" t="s">
        <v>186</v>
      </c>
      <c r="D30" s="5" t="s">
        <v>187</v>
      </c>
      <c r="E30" s="4" t="s">
        <v>188</v>
      </c>
      <c r="F30" s="18" t="s">
        <v>189</v>
      </c>
      <c r="G30" s="5" t="s">
        <v>190</v>
      </c>
      <c r="H30" s="5" t="s">
        <v>36</v>
      </c>
      <c r="I30" s="20"/>
      <c r="J30" s="5" t="s">
        <v>191</v>
      </c>
      <c r="K30" s="4" t="s">
        <v>22</v>
      </c>
      <c r="L30" s="9">
        <v>45922.0</v>
      </c>
      <c r="M30" s="4" t="s">
        <v>23</v>
      </c>
      <c r="N30" s="5" t="s">
        <v>24</v>
      </c>
      <c r="O30" s="5" t="s">
        <v>172</v>
      </c>
    </row>
    <row r="31" ht="22.5" customHeight="1">
      <c r="A31" s="5" t="s">
        <v>192</v>
      </c>
      <c r="B31" s="4" t="s">
        <v>26</v>
      </c>
      <c r="C31" s="5" t="s">
        <v>193</v>
      </c>
      <c r="D31" s="5" t="s">
        <v>194</v>
      </c>
      <c r="E31" s="4" t="s">
        <v>18</v>
      </c>
      <c r="F31" s="18" t="s">
        <v>195</v>
      </c>
      <c r="H31" s="5" t="s">
        <v>151</v>
      </c>
      <c r="I31" s="20"/>
      <c r="J31" s="5" t="s">
        <v>191</v>
      </c>
      <c r="K31" s="4" t="s">
        <v>22</v>
      </c>
      <c r="L31" s="9">
        <v>45925.0</v>
      </c>
      <c r="M31" s="4" t="s">
        <v>23</v>
      </c>
      <c r="N31" s="5" t="s">
        <v>24</v>
      </c>
      <c r="O31" s="5" t="s">
        <v>172</v>
      </c>
    </row>
    <row r="32" ht="22.5" customHeight="1">
      <c r="A32" s="5" t="s">
        <v>196</v>
      </c>
      <c r="B32" s="4" t="s">
        <v>26</v>
      </c>
      <c r="C32" s="5" t="s">
        <v>197</v>
      </c>
      <c r="D32" s="5" t="s">
        <v>198</v>
      </c>
      <c r="E32" s="4" t="s">
        <v>169</v>
      </c>
      <c r="F32" s="18" t="s">
        <v>199</v>
      </c>
      <c r="G32" s="5" t="s">
        <v>200</v>
      </c>
      <c r="H32" s="5" t="s">
        <v>151</v>
      </c>
      <c r="I32" s="20"/>
      <c r="J32" s="5" t="s">
        <v>191</v>
      </c>
      <c r="K32" s="4" t="s">
        <v>22</v>
      </c>
      <c r="L32" s="9">
        <v>45925.0</v>
      </c>
      <c r="M32" s="4" t="s">
        <v>23</v>
      </c>
      <c r="N32" s="5" t="s">
        <v>24</v>
      </c>
      <c r="O32" s="5" t="s">
        <v>172</v>
      </c>
    </row>
    <row r="33" ht="22.5" customHeight="1">
      <c r="A33" s="11" t="s">
        <v>201</v>
      </c>
      <c r="B33" s="12" t="s">
        <v>26</v>
      </c>
      <c r="C33" s="11" t="s">
        <v>202</v>
      </c>
      <c r="D33" s="11" t="s">
        <v>94</v>
      </c>
      <c r="E33" s="12" t="s">
        <v>29</v>
      </c>
      <c r="F33" s="21" t="s">
        <v>203</v>
      </c>
      <c r="G33" s="11" t="s">
        <v>204</v>
      </c>
      <c r="H33" s="22" t="s">
        <v>97</v>
      </c>
      <c r="I33" s="14">
        <v>4500.0</v>
      </c>
      <c r="J33" s="11" t="s">
        <v>191</v>
      </c>
      <c r="K33" s="12" t="s">
        <v>22</v>
      </c>
      <c r="L33" s="15">
        <v>45921.0</v>
      </c>
      <c r="M33" s="12" t="s">
        <v>23</v>
      </c>
      <c r="N33" s="11" t="s">
        <v>24</v>
      </c>
      <c r="O33" s="11" t="s">
        <v>172</v>
      </c>
    </row>
    <row r="34" ht="22.5" customHeight="1">
      <c r="A34" s="5" t="s">
        <v>205</v>
      </c>
      <c r="B34" s="4" t="s">
        <v>26</v>
      </c>
      <c r="C34" s="5" t="s">
        <v>206</v>
      </c>
      <c r="D34" s="5" t="s">
        <v>207</v>
      </c>
      <c r="E34" s="4" t="s">
        <v>18</v>
      </c>
      <c r="F34" s="23" t="s">
        <v>208</v>
      </c>
      <c r="G34" s="24">
        <v>1.14777122E8</v>
      </c>
      <c r="H34" s="5" t="s">
        <v>52</v>
      </c>
      <c r="I34" s="20"/>
      <c r="J34" s="5" t="s">
        <v>209</v>
      </c>
      <c r="K34" s="4" t="s">
        <v>22</v>
      </c>
      <c r="L34" s="9">
        <v>45959.0</v>
      </c>
      <c r="M34" s="4" t="s">
        <v>23</v>
      </c>
      <c r="N34" s="11" t="s">
        <v>24</v>
      </c>
      <c r="O34" s="5" t="s">
        <v>210</v>
      </c>
    </row>
    <row r="35" ht="22.5" customHeight="1">
      <c r="A35" s="5" t="s">
        <v>211</v>
      </c>
      <c r="B35" s="4" t="s">
        <v>26</v>
      </c>
      <c r="C35" s="5" t="s">
        <v>212</v>
      </c>
      <c r="D35" s="5" t="s">
        <v>213</v>
      </c>
      <c r="E35" s="4" t="s">
        <v>29</v>
      </c>
      <c r="F35" s="25"/>
      <c r="G35" s="5" t="s">
        <v>214</v>
      </c>
      <c r="H35" s="5" t="s">
        <v>215</v>
      </c>
      <c r="I35" s="20"/>
      <c r="J35" s="5" t="s">
        <v>216</v>
      </c>
      <c r="K35" s="4" t="s">
        <v>22</v>
      </c>
      <c r="L35" s="9">
        <v>45975.0</v>
      </c>
      <c r="M35" s="4" t="s">
        <v>217</v>
      </c>
      <c r="N35" s="11" t="s">
        <v>24</v>
      </c>
      <c r="O35" s="11" t="s">
        <v>172</v>
      </c>
    </row>
    <row r="36" ht="22.5" customHeight="1">
      <c r="A36" s="5" t="s">
        <v>218</v>
      </c>
      <c r="B36" s="4" t="s">
        <v>26</v>
      </c>
      <c r="C36" s="5" t="s">
        <v>219</v>
      </c>
      <c r="D36" s="5" t="s">
        <v>220</v>
      </c>
      <c r="E36" s="4" t="s">
        <v>221</v>
      </c>
      <c r="F36" s="25"/>
      <c r="G36" s="5" t="s">
        <v>222</v>
      </c>
      <c r="H36" s="5" t="s">
        <v>69</v>
      </c>
      <c r="I36" s="20"/>
      <c r="J36" s="5" t="s">
        <v>223</v>
      </c>
      <c r="K36" s="4" t="s">
        <v>22</v>
      </c>
      <c r="L36" s="9">
        <v>45975.0</v>
      </c>
      <c r="M36" s="4" t="s">
        <v>224</v>
      </c>
      <c r="N36" s="5" t="s">
        <v>24</v>
      </c>
      <c r="O36" s="5" t="s">
        <v>225</v>
      </c>
    </row>
    <row r="37" ht="22.5" customHeight="1">
      <c r="A37" s="5" t="s">
        <v>226</v>
      </c>
      <c r="B37" s="4" t="s">
        <v>26</v>
      </c>
      <c r="C37" s="5" t="s">
        <v>219</v>
      </c>
      <c r="D37" s="5" t="s">
        <v>220</v>
      </c>
      <c r="E37" s="4" t="s">
        <v>18</v>
      </c>
      <c r="F37" s="25"/>
      <c r="G37" s="5" t="s">
        <v>227</v>
      </c>
      <c r="H37" s="5" t="s">
        <v>69</v>
      </c>
      <c r="I37" s="20"/>
      <c r="J37" s="5" t="s">
        <v>223</v>
      </c>
      <c r="K37" s="4" t="s">
        <v>22</v>
      </c>
      <c r="L37" s="9">
        <v>45975.0</v>
      </c>
      <c r="M37" s="4" t="s">
        <v>224</v>
      </c>
      <c r="N37" s="5" t="s">
        <v>24</v>
      </c>
      <c r="O37" s="5" t="s">
        <v>225</v>
      </c>
    </row>
    <row r="38" ht="22.5" customHeight="1">
      <c r="A38" s="5" t="s">
        <v>228</v>
      </c>
      <c r="B38" s="4" t="s">
        <v>26</v>
      </c>
      <c r="C38" s="5" t="s">
        <v>229</v>
      </c>
      <c r="E38" s="4" t="s">
        <v>230</v>
      </c>
      <c r="F38" s="25"/>
      <c r="G38" s="5" t="s">
        <v>231</v>
      </c>
      <c r="H38" s="5" t="s">
        <v>69</v>
      </c>
      <c r="I38" s="8">
        <v>55000.0</v>
      </c>
      <c r="J38" s="5" t="s">
        <v>232</v>
      </c>
      <c r="K38" s="4" t="s">
        <v>22</v>
      </c>
      <c r="L38" s="9">
        <v>45975.0</v>
      </c>
      <c r="M38" s="4" t="s">
        <v>224</v>
      </c>
      <c r="N38" s="5" t="s">
        <v>24</v>
      </c>
      <c r="O38" s="5" t="s">
        <v>233</v>
      </c>
    </row>
    <row r="39" ht="22.5" customHeight="1">
      <c r="A39" s="5" t="s">
        <v>234</v>
      </c>
      <c r="B39" s="4" t="s">
        <v>26</v>
      </c>
      <c r="C39" s="5" t="s">
        <v>219</v>
      </c>
      <c r="D39" s="5" t="s">
        <v>220</v>
      </c>
      <c r="E39" s="4" t="s">
        <v>40</v>
      </c>
      <c r="F39" s="25"/>
      <c r="G39" s="5" t="s">
        <v>235</v>
      </c>
      <c r="H39" s="5" t="s">
        <v>69</v>
      </c>
      <c r="I39" s="20"/>
      <c r="J39" s="5" t="s">
        <v>236</v>
      </c>
      <c r="K39" s="4" t="s">
        <v>22</v>
      </c>
      <c r="L39" s="9">
        <v>45975.0</v>
      </c>
      <c r="M39" s="4" t="s">
        <v>224</v>
      </c>
      <c r="N39" s="5" t="s">
        <v>24</v>
      </c>
      <c r="O39" s="5" t="s">
        <v>237</v>
      </c>
    </row>
    <row r="40" ht="22.5" customHeight="1">
      <c r="A40" s="5" t="s">
        <v>238</v>
      </c>
      <c r="B40" s="4" t="s">
        <v>65</v>
      </c>
      <c r="C40" s="5" t="s">
        <v>239</v>
      </c>
      <c r="D40" s="5" t="s">
        <v>240</v>
      </c>
      <c r="E40" s="4" t="s">
        <v>241</v>
      </c>
      <c r="F40" s="18" t="s">
        <v>242</v>
      </c>
      <c r="G40" s="5" t="s">
        <v>243</v>
      </c>
      <c r="H40" s="5" t="s">
        <v>69</v>
      </c>
      <c r="I40" s="8">
        <v>77.0</v>
      </c>
      <c r="J40" s="5" t="s">
        <v>244</v>
      </c>
      <c r="K40" s="4" t="s">
        <v>22</v>
      </c>
      <c r="L40" s="9">
        <v>46063.0</v>
      </c>
      <c r="M40" s="4" t="s">
        <v>23</v>
      </c>
      <c r="N40" s="5" t="s">
        <v>24</v>
      </c>
      <c r="O40" s="5" t="s">
        <v>245</v>
      </c>
    </row>
    <row r="41" ht="22.5" customHeight="1">
      <c r="A41" s="5" t="s">
        <v>246</v>
      </c>
      <c r="B41" s="4" t="s">
        <v>65</v>
      </c>
      <c r="C41" s="5" t="s">
        <v>247</v>
      </c>
      <c r="D41" s="5" t="s">
        <v>248</v>
      </c>
      <c r="E41" s="4" t="s">
        <v>249</v>
      </c>
      <c r="F41" s="18" t="s">
        <v>250</v>
      </c>
      <c r="G41" s="5" t="s">
        <v>251</v>
      </c>
      <c r="H41" s="5" t="s">
        <v>69</v>
      </c>
      <c r="I41" s="8">
        <v>98.0</v>
      </c>
      <c r="J41" s="5" t="s">
        <v>69</v>
      </c>
      <c r="K41" s="4" t="s">
        <v>22</v>
      </c>
      <c r="L41" s="9">
        <v>46065.0</v>
      </c>
      <c r="M41" s="4" t="s">
        <v>224</v>
      </c>
      <c r="N41" s="5" t="s">
        <v>24</v>
      </c>
      <c r="O41" s="5" t="s">
        <v>252</v>
      </c>
    </row>
    <row r="42" ht="22.5" customHeight="1">
      <c r="A42" s="5" t="s">
        <v>253</v>
      </c>
      <c r="B42" s="4" t="s">
        <v>65</v>
      </c>
      <c r="C42" s="5" t="s">
        <v>254</v>
      </c>
      <c r="D42" s="5" t="s">
        <v>255</v>
      </c>
      <c r="E42" s="4" t="s">
        <v>249</v>
      </c>
      <c r="F42" s="18" t="s">
        <v>256</v>
      </c>
      <c r="G42" s="5" t="s">
        <v>257</v>
      </c>
      <c r="H42" s="5" t="s">
        <v>69</v>
      </c>
      <c r="I42" s="8" t="s">
        <v>258</v>
      </c>
      <c r="J42" s="5" t="s">
        <v>69</v>
      </c>
      <c r="K42" s="4" t="s">
        <v>22</v>
      </c>
      <c r="L42" s="9">
        <v>46054.0</v>
      </c>
      <c r="M42" s="4" t="s">
        <v>224</v>
      </c>
      <c r="N42" s="5" t="s">
        <v>24</v>
      </c>
      <c r="O42" s="5" t="s">
        <v>252</v>
      </c>
    </row>
    <row r="43" ht="22.5" customHeight="1">
      <c r="A43" s="5" t="s">
        <v>259</v>
      </c>
      <c r="B43" s="4" t="s">
        <v>65</v>
      </c>
      <c r="C43" s="5" t="s">
        <v>260</v>
      </c>
      <c r="D43" s="5" t="s">
        <v>261</v>
      </c>
      <c r="E43" s="4" t="s">
        <v>249</v>
      </c>
      <c r="F43" s="18" t="s">
        <v>262</v>
      </c>
      <c r="G43" s="5" t="s">
        <v>263</v>
      </c>
      <c r="H43" s="5" t="s">
        <v>69</v>
      </c>
      <c r="I43" s="8" t="s">
        <v>258</v>
      </c>
      <c r="J43" s="5" t="s">
        <v>264</v>
      </c>
      <c r="K43" s="4" t="s">
        <v>22</v>
      </c>
      <c r="L43" s="9">
        <v>46049.0</v>
      </c>
      <c r="M43" s="4" t="s">
        <v>224</v>
      </c>
      <c r="N43" s="5" t="s">
        <v>24</v>
      </c>
      <c r="O43" s="5" t="s">
        <v>265</v>
      </c>
    </row>
    <row r="44" ht="22.5" customHeight="1">
      <c r="B44" s="4" t="s">
        <v>65</v>
      </c>
      <c r="E44" s="4" t="s">
        <v>266</v>
      </c>
      <c r="F44" s="25"/>
      <c r="H44" s="5" t="s">
        <v>20</v>
      </c>
      <c r="I44" s="20"/>
      <c r="K44" s="4" t="s">
        <v>22</v>
      </c>
      <c r="L44" s="26"/>
      <c r="M44" s="4" t="s">
        <v>23</v>
      </c>
    </row>
    <row r="45" ht="22.5" customHeight="1">
      <c r="B45" s="4" t="s">
        <v>65</v>
      </c>
      <c r="E45" s="4" t="s">
        <v>266</v>
      </c>
      <c r="F45" s="25"/>
      <c r="H45" s="5" t="s">
        <v>20</v>
      </c>
      <c r="I45" s="20"/>
      <c r="K45" s="4" t="s">
        <v>22</v>
      </c>
      <c r="L45" s="26"/>
      <c r="M45" s="4" t="s">
        <v>23</v>
      </c>
    </row>
    <row r="46" ht="22.5" customHeight="1">
      <c r="B46" s="4" t="s">
        <v>65</v>
      </c>
      <c r="E46" s="4" t="s">
        <v>266</v>
      </c>
      <c r="F46" s="25"/>
      <c r="H46" s="5" t="s">
        <v>20</v>
      </c>
      <c r="I46" s="20"/>
      <c r="K46" s="4" t="s">
        <v>22</v>
      </c>
      <c r="L46" s="26"/>
      <c r="M46" s="4" t="s">
        <v>23</v>
      </c>
    </row>
    <row r="47" ht="22.5" customHeight="1">
      <c r="B47" s="4" t="s">
        <v>65</v>
      </c>
      <c r="E47" s="4" t="s">
        <v>266</v>
      </c>
      <c r="F47" s="25"/>
      <c r="H47" s="5" t="s">
        <v>20</v>
      </c>
      <c r="I47" s="20"/>
      <c r="K47" s="4" t="s">
        <v>22</v>
      </c>
      <c r="L47" s="26"/>
      <c r="M47" s="4" t="s">
        <v>23</v>
      </c>
    </row>
    <row r="48" ht="22.5" customHeight="1">
      <c r="B48" s="4" t="s">
        <v>65</v>
      </c>
      <c r="E48" s="4" t="s">
        <v>266</v>
      </c>
      <c r="F48" s="25"/>
      <c r="H48" s="5" t="s">
        <v>20</v>
      </c>
      <c r="I48" s="20"/>
      <c r="K48" s="4" t="s">
        <v>22</v>
      </c>
      <c r="L48" s="26"/>
      <c r="M48" s="4" t="s">
        <v>23</v>
      </c>
    </row>
    <row r="49" ht="22.5" customHeight="1">
      <c r="B49" s="4" t="s">
        <v>65</v>
      </c>
      <c r="E49" s="4" t="s">
        <v>266</v>
      </c>
      <c r="F49" s="25"/>
      <c r="H49" s="5" t="s">
        <v>20</v>
      </c>
      <c r="I49" s="20"/>
      <c r="K49" s="4" t="s">
        <v>22</v>
      </c>
      <c r="L49" s="26"/>
      <c r="M49" s="4" t="s">
        <v>23</v>
      </c>
    </row>
    <row r="50" ht="22.5" customHeight="1">
      <c r="B50" s="4" t="s">
        <v>65</v>
      </c>
      <c r="E50" s="4" t="s">
        <v>266</v>
      </c>
      <c r="F50" s="25"/>
      <c r="H50" s="5" t="s">
        <v>20</v>
      </c>
      <c r="I50" s="20"/>
      <c r="K50" s="4" t="s">
        <v>22</v>
      </c>
      <c r="L50" s="26"/>
      <c r="M50" s="4" t="s">
        <v>23</v>
      </c>
    </row>
    <row r="51" ht="22.5" customHeight="1">
      <c r="B51" s="4" t="s">
        <v>65</v>
      </c>
      <c r="E51" s="4" t="s">
        <v>266</v>
      </c>
      <c r="F51" s="25"/>
      <c r="H51" s="5" t="s">
        <v>20</v>
      </c>
      <c r="I51" s="20"/>
      <c r="K51" s="4" t="s">
        <v>22</v>
      </c>
      <c r="L51" s="26"/>
      <c r="M51" s="4" t="s">
        <v>23</v>
      </c>
    </row>
    <row r="52" ht="22.5" customHeight="1">
      <c r="B52" s="4" t="s">
        <v>65</v>
      </c>
      <c r="E52" s="4" t="s">
        <v>266</v>
      </c>
      <c r="F52" s="25"/>
      <c r="H52" s="5" t="s">
        <v>20</v>
      </c>
      <c r="I52" s="20"/>
      <c r="K52" s="4" t="s">
        <v>22</v>
      </c>
      <c r="L52" s="26"/>
      <c r="M52" s="4" t="s">
        <v>23</v>
      </c>
    </row>
    <row r="53" ht="22.5" customHeight="1">
      <c r="B53" s="4" t="s">
        <v>65</v>
      </c>
      <c r="E53" s="4" t="s">
        <v>266</v>
      </c>
      <c r="F53" s="25"/>
      <c r="H53" s="5" t="s">
        <v>20</v>
      </c>
      <c r="I53" s="20"/>
      <c r="K53" s="4" t="s">
        <v>22</v>
      </c>
      <c r="L53" s="26"/>
      <c r="M53" s="4" t="s">
        <v>23</v>
      </c>
    </row>
    <row r="54" ht="22.5" customHeight="1">
      <c r="B54" s="4" t="s">
        <v>65</v>
      </c>
      <c r="E54" s="4" t="s">
        <v>266</v>
      </c>
      <c r="F54" s="25"/>
      <c r="H54" s="5" t="s">
        <v>20</v>
      </c>
      <c r="I54" s="20"/>
      <c r="K54" s="4" t="s">
        <v>22</v>
      </c>
      <c r="L54" s="26"/>
      <c r="M54" s="4" t="s">
        <v>23</v>
      </c>
    </row>
    <row r="55" ht="22.5" customHeight="1">
      <c r="B55" s="4" t="s">
        <v>65</v>
      </c>
      <c r="E55" s="4" t="s">
        <v>266</v>
      </c>
      <c r="F55" s="25"/>
      <c r="H55" s="5" t="s">
        <v>20</v>
      </c>
      <c r="I55" s="20"/>
      <c r="K55" s="4" t="s">
        <v>22</v>
      </c>
      <c r="L55" s="26"/>
      <c r="M55" s="4" t="s">
        <v>23</v>
      </c>
    </row>
    <row r="56" ht="22.5" customHeight="1">
      <c r="B56" s="4" t="s">
        <v>65</v>
      </c>
      <c r="E56" s="4" t="s">
        <v>266</v>
      </c>
      <c r="F56" s="25"/>
      <c r="H56" s="5" t="s">
        <v>20</v>
      </c>
      <c r="I56" s="20"/>
      <c r="K56" s="4" t="s">
        <v>22</v>
      </c>
      <c r="L56" s="26"/>
      <c r="M56" s="4" t="s">
        <v>23</v>
      </c>
    </row>
    <row r="57" ht="22.5" customHeight="1">
      <c r="B57" s="4" t="s">
        <v>65</v>
      </c>
      <c r="E57" s="4" t="s">
        <v>266</v>
      </c>
      <c r="F57" s="25"/>
      <c r="H57" s="5" t="s">
        <v>20</v>
      </c>
      <c r="I57" s="20"/>
      <c r="K57" s="4" t="s">
        <v>22</v>
      </c>
      <c r="L57" s="26"/>
      <c r="M57" s="4" t="s">
        <v>23</v>
      </c>
    </row>
    <row r="58" ht="22.5" customHeight="1">
      <c r="B58" s="4" t="s">
        <v>65</v>
      </c>
      <c r="E58" s="4" t="s">
        <v>266</v>
      </c>
      <c r="F58" s="25"/>
      <c r="H58" s="5" t="s">
        <v>20</v>
      </c>
      <c r="I58" s="20"/>
      <c r="K58" s="4" t="s">
        <v>22</v>
      </c>
      <c r="L58" s="26"/>
      <c r="M58" s="4" t="s">
        <v>23</v>
      </c>
    </row>
    <row r="59" ht="22.5" customHeight="1">
      <c r="B59" s="4" t="s">
        <v>65</v>
      </c>
      <c r="E59" s="4" t="s">
        <v>266</v>
      </c>
      <c r="F59" s="25"/>
      <c r="H59" s="5" t="s">
        <v>20</v>
      </c>
      <c r="I59" s="20"/>
      <c r="K59" s="4" t="s">
        <v>22</v>
      </c>
      <c r="L59" s="26"/>
      <c r="M59" s="4" t="s">
        <v>23</v>
      </c>
    </row>
    <row r="60" ht="22.5" customHeight="1">
      <c r="B60" s="4" t="s">
        <v>65</v>
      </c>
      <c r="E60" s="4" t="s">
        <v>266</v>
      </c>
      <c r="F60" s="25"/>
      <c r="H60" s="5" t="s">
        <v>20</v>
      </c>
      <c r="I60" s="20"/>
      <c r="K60" s="4" t="s">
        <v>22</v>
      </c>
      <c r="L60" s="26"/>
      <c r="M60" s="4" t="s">
        <v>23</v>
      </c>
    </row>
    <row r="61" ht="22.5" customHeight="1">
      <c r="B61" s="4" t="s">
        <v>65</v>
      </c>
      <c r="E61" s="4" t="s">
        <v>266</v>
      </c>
      <c r="F61" s="25"/>
      <c r="H61" s="5" t="s">
        <v>20</v>
      </c>
      <c r="I61" s="20"/>
      <c r="K61" s="4" t="s">
        <v>22</v>
      </c>
      <c r="L61" s="26"/>
      <c r="M61" s="4" t="s">
        <v>23</v>
      </c>
    </row>
    <row r="62" ht="22.5" customHeight="1">
      <c r="B62" s="4" t="s">
        <v>65</v>
      </c>
      <c r="E62" s="4" t="s">
        <v>266</v>
      </c>
      <c r="F62" s="25"/>
      <c r="H62" s="5" t="s">
        <v>20</v>
      </c>
      <c r="I62" s="20"/>
      <c r="K62" s="4" t="s">
        <v>22</v>
      </c>
      <c r="L62" s="26"/>
      <c r="M62" s="4" t="s">
        <v>23</v>
      </c>
    </row>
    <row r="63" ht="22.5" customHeight="1">
      <c r="B63" s="4" t="s">
        <v>65</v>
      </c>
      <c r="E63" s="4" t="s">
        <v>266</v>
      </c>
      <c r="F63" s="25"/>
      <c r="H63" s="5" t="s">
        <v>20</v>
      </c>
      <c r="I63" s="20"/>
      <c r="K63" s="4" t="s">
        <v>22</v>
      </c>
      <c r="L63" s="26"/>
      <c r="M63" s="4" t="s">
        <v>23</v>
      </c>
    </row>
    <row r="64" ht="22.5" customHeight="1">
      <c r="B64" s="4" t="s">
        <v>65</v>
      </c>
      <c r="E64" s="4" t="s">
        <v>266</v>
      </c>
      <c r="F64" s="25"/>
      <c r="H64" s="5" t="s">
        <v>20</v>
      </c>
      <c r="I64" s="20"/>
      <c r="K64" s="4" t="s">
        <v>22</v>
      </c>
      <c r="L64" s="26"/>
      <c r="M64" s="4" t="s">
        <v>23</v>
      </c>
    </row>
    <row r="65" ht="22.5" customHeight="1">
      <c r="B65" s="4" t="s">
        <v>65</v>
      </c>
      <c r="E65" s="4" t="s">
        <v>266</v>
      </c>
      <c r="F65" s="25"/>
      <c r="H65" s="5" t="s">
        <v>20</v>
      </c>
      <c r="I65" s="20"/>
      <c r="K65" s="4" t="s">
        <v>22</v>
      </c>
      <c r="L65" s="26"/>
      <c r="M65" s="4" t="s">
        <v>23</v>
      </c>
    </row>
    <row r="66" ht="22.5" customHeight="1">
      <c r="B66" s="4" t="s">
        <v>65</v>
      </c>
      <c r="E66" s="4" t="s">
        <v>266</v>
      </c>
      <c r="F66" s="25"/>
      <c r="H66" s="5" t="s">
        <v>20</v>
      </c>
      <c r="I66" s="20"/>
      <c r="K66" s="4" t="s">
        <v>22</v>
      </c>
      <c r="L66" s="26"/>
      <c r="M66" s="4" t="s">
        <v>23</v>
      </c>
    </row>
    <row r="67" ht="22.5" customHeight="1">
      <c r="B67" s="4" t="s">
        <v>65</v>
      </c>
      <c r="E67" s="4" t="s">
        <v>266</v>
      </c>
      <c r="F67" s="25"/>
      <c r="H67" s="5" t="s">
        <v>20</v>
      </c>
      <c r="I67" s="20"/>
      <c r="K67" s="4" t="s">
        <v>22</v>
      </c>
      <c r="L67" s="26"/>
      <c r="M67" s="4" t="s">
        <v>23</v>
      </c>
    </row>
    <row r="68" ht="22.5" customHeight="1">
      <c r="B68" s="4" t="s">
        <v>65</v>
      </c>
      <c r="E68" s="4" t="s">
        <v>266</v>
      </c>
      <c r="F68" s="25"/>
      <c r="H68" s="5" t="s">
        <v>20</v>
      </c>
      <c r="I68" s="20"/>
      <c r="K68" s="4" t="s">
        <v>22</v>
      </c>
      <c r="L68" s="26"/>
      <c r="M68" s="4" t="s">
        <v>23</v>
      </c>
    </row>
    <row r="69" ht="22.5" customHeight="1">
      <c r="B69" s="4" t="s">
        <v>65</v>
      </c>
      <c r="E69" s="4" t="s">
        <v>266</v>
      </c>
      <c r="F69" s="25"/>
      <c r="H69" s="5" t="s">
        <v>20</v>
      </c>
      <c r="I69" s="20"/>
      <c r="K69" s="4" t="s">
        <v>22</v>
      </c>
      <c r="L69" s="26"/>
      <c r="M69" s="4" t="s">
        <v>23</v>
      </c>
    </row>
    <row r="70" ht="22.5" customHeight="1">
      <c r="B70" s="4" t="s">
        <v>65</v>
      </c>
      <c r="E70" s="4" t="s">
        <v>266</v>
      </c>
      <c r="F70" s="25"/>
      <c r="H70" s="5" t="s">
        <v>20</v>
      </c>
      <c r="I70" s="20"/>
      <c r="K70" s="4" t="s">
        <v>22</v>
      </c>
      <c r="L70" s="26"/>
      <c r="M70" s="4" t="s">
        <v>23</v>
      </c>
    </row>
    <row r="71" ht="22.5" customHeight="1">
      <c r="B71" s="4" t="s">
        <v>65</v>
      </c>
      <c r="E71" s="4" t="s">
        <v>266</v>
      </c>
      <c r="F71" s="25"/>
      <c r="H71" s="5" t="s">
        <v>20</v>
      </c>
      <c r="I71" s="20"/>
      <c r="K71" s="4" t="s">
        <v>22</v>
      </c>
      <c r="L71" s="26"/>
      <c r="M71" s="4" t="s">
        <v>23</v>
      </c>
    </row>
    <row r="72" ht="22.5" customHeight="1">
      <c r="B72" s="4" t="s">
        <v>65</v>
      </c>
      <c r="E72" s="4" t="s">
        <v>266</v>
      </c>
      <c r="F72" s="25"/>
      <c r="H72" s="5" t="s">
        <v>20</v>
      </c>
      <c r="I72" s="20"/>
      <c r="K72" s="4" t="s">
        <v>22</v>
      </c>
      <c r="L72" s="26"/>
      <c r="M72" s="4" t="s">
        <v>23</v>
      </c>
    </row>
    <row r="73" ht="22.5" customHeight="1">
      <c r="B73" s="4" t="s">
        <v>65</v>
      </c>
      <c r="E73" s="4" t="s">
        <v>266</v>
      </c>
      <c r="F73" s="25"/>
      <c r="H73" s="5" t="s">
        <v>20</v>
      </c>
      <c r="I73" s="20"/>
      <c r="K73" s="4" t="s">
        <v>22</v>
      </c>
      <c r="L73" s="26"/>
      <c r="M73" s="4" t="s">
        <v>23</v>
      </c>
    </row>
    <row r="74" ht="22.5" customHeight="1">
      <c r="B74" s="4" t="s">
        <v>65</v>
      </c>
      <c r="E74" s="4" t="s">
        <v>266</v>
      </c>
      <c r="F74" s="25"/>
      <c r="H74" s="5" t="s">
        <v>20</v>
      </c>
      <c r="I74" s="20"/>
      <c r="K74" s="4" t="s">
        <v>22</v>
      </c>
      <c r="L74" s="26"/>
      <c r="M74" s="4" t="s">
        <v>23</v>
      </c>
    </row>
    <row r="75" ht="22.5" customHeight="1">
      <c r="B75" s="4" t="s">
        <v>65</v>
      </c>
      <c r="E75" s="4" t="s">
        <v>266</v>
      </c>
      <c r="F75" s="25"/>
      <c r="H75" s="5" t="s">
        <v>20</v>
      </c>
      <c r="I75" s="20"/>
      <c r="K75" s="4" t="s">
        <v>22</v>
      </c>
      <c r="L75" s="26"/>
      <c r="M75" s="4" t="s">
        <v>23</v>
      </c>
    </row>
    <row r="76" ht="22.5" customHeight="1">
      <c r="B76" s="4" t="s">
        <v>65</v>
      </c>
      <c r="E76" s="4" t="s">
        <v>266</v>
      </c>
      <c r="F76" s="25"/>
      <c r="H76" s="5" t="s">
        <v>20</v>
      </c>
      <c r="I76" s="20"/>
      <c r="K76" s="4" t="s">
        <v>22</v>
      </c>
      <c r="L76" s="26"/>
      <c r="M76" s="4" t="s">
        <v>23</v>
      </c>
    </row>
    <row r="77" ht="22.5" customHeight="1">
      <c r="B77" s="4" t="s">
        <v>65</v>
      </c>
      <c r="E77" s="4" t="s">
        <v>266</v>
      </c>
      <c r="F77" s="25"/>
      <c r="H77" s="5" t="s">
        <v>20</v>
      </c>
      <c r="I77" s="20"/>
      <c r="K77" s="4" t="s">
        <v>22</v>
      </c>
      <c r="L77" s="26"/>
      <c r="M77" s="4" t="s">
        <v>23</v>
      </c>
    </row>
    <row r="78" ht="22.5" customHeight="1">
      <c r="B78" s="4" t="s">
        <v>65</v>
      </c>
      <c r="E78" s="4" t="s">
        <v>266</v>
      </c>
      <c r="F78" s="25"/>
      <c r="H78" s="5" t="s">
        <v>20</v>
      </c>
      <c r="I78" s="20"/>
      <c r="K78" s="4" t="s">
        <v>22</v>
      </c>
      <c r="L78" s="26"/>
      <c r="M78" s="4" t="s">
        <v>23</v>
      </c>
    </row>
    <row r="79" ht="22.5" customHeight="1">
      <c r="B79" s="4" t="s">
        <v>65</v>
      </c>
      <c r="E79" s="4" t="s">
        <v>266</v>
      </c>
      <c r="F79" s="25"/>
      <c r="H79" s="5" t="s">
        <v>20</v>
      </c>
      <c r="I79" s="20"/>
      <c r="K79" s="4" t="s">
        <v>22</v>
      </c>
      <c r="L79" s="26"/>
      <c r="M79" s="4" t="s">
        <v>23</v>
      </c>
    </row>
    <row r="80" ht="22.5" customHeight="1">
      <c r="B80" s="4" t="s">
        <v>65</v>
      </c>
      <c r="E80" s="4" t="s">
        <v>266</v>
      </c>
      <c r="F80" s="25"/>
      <c r="H80" s="5" t="s">
        <v>20</v>
      </c>
      <c r="I80" s="20"/>
      <c r="K80" s="4" t="s">
        <v>22</v>
      </c>
      <c r="L80" s="26"/>
      <c r="M80" s="4" t="s">
        <v>23</v>
      </c>
    </row>
    <row r="81" ht="22.5" customHeight="1">
      <c r="B81" s="4" t="s">
        <v>65</v>
      </c>
      <c r="E81" s="4" t="s">
        <v>266</v>
      </c>
      <c r="F81" s="25"/>
      <c r="H81" s="5" t="s">
        <v>20</v>
      </c>
      <c r="I81" s="20"/>
      <c r="K81" s="4" t="s">
        <v>22</v>
      </c>
      <c r="L81" s="26"/>
      <c r="M81" s="4" t="s">
        <v>23</v>
      </c>
    </row>
    <row r="82" ht="22.5" customHeight="1">
      <c r="B82" s="27"/>
      <c r="E82" s="4" t="s">
        <v>266</v>
      </c>
      <c r="F82" s="25"/>
      <c r="H82" s="5" t="s">
        <v>20</v>
      </c>
      <c r="I82" s="20"/>
      <c r="K82" s="4" t="s">
        <v>22</v>
      </c>
      <c r="L82" s="26"/>
      <c r="M82" s="4" t="s">
        <v>23</v>
      </c>
    </row>
    <row r="83" ht="22.5" customHeight="1">
      <c r="B83" s="27"/>
      <c r="E83" s="4" t="s">
        <v>266</v>
      </c>
      <c r="F83" s="25"/>
      <c r="H83" s="5" t="s">
        <v>20</v>
      </c>
      <c r="I83" s="20"/>
      <c r="K83" s="4" t="s">
        <v>22</v>
      </c>
      <c r="L83" s="26"/>
      <c r="M83" s="4" t="s">
        <v>23</v>
      </c>
    </row>
    <row r="84" ht="22.5" customHeight="1">
      <c r="B84" s="27"/>
      <c r="E84" s="4" t="s">
        <v>266</v>
      </c>
      <c r="F84" s="25"/>
      <c r="H84" s="5" t="s">
        <v>20</v>
      </c>
      <c r="I84" s="20"/>
      <c r="K84" s="4" t="s">
        <v>22</v>
      </c>
      <c r="L84" s="26"/>
      <c r="M84" s="4" t="s">
        <v>23</v>
      </c>
    </row>
    <row r="85" ht="22.5" customHeight="1">
      <c r="B85" s="27"/>
      <c r="E85" s="4" t="s">
        <v>266</v>
      </c>
      <c r="F85" s="25"/>
      <c r="H85" s="5" t="s">
        <v>20</v>
      </c>
      <c r="I85" s="20"/>
      <c r="K85" s="4" t="s">
        <v>22</v>
      </c>
      <c r="L85" s="26"/>
      <c r="M85" s="4" t="s">
        <v>23</v>
      </c>
    </row>
    <row r="86" ht="22.5" customHeight="1">
      <c r="B86" s="27"/>
      <c r="E86" s="27"/>
      <c r="F86" s="25"/>
      <c r="H86" s="5" t="s">
        <v>20</v>
      </c>
      <c r="I86" s="20"/>
      <c r="K86" s="4" t="s">
        <v>22</v>
      </c>
      <c r="L86" s="26"/>
      <c r="M86" s="4" t="s">
        <v>23</v>
      </c>
    </row>
    <row r="87" ht="22.5" customHeight="1">
      <c r="B87" s="27"/>
      <c r="E87" s="27"/>
      <c r="F87" s="25"/>
      <c r="H87" s="5" t="s">
        <v>20</v>
      </c>
      <c r="I87" s="20"/>
      <c r="K87" s="4" t="s">
        <v>22</v>
      </c>
      <c r="L87" s="26"/>
      <c r="M87" s="4" t="s">
        <v>23</v>
      </c>
    </row>
    <row r="88" ht="22.5" customHeight="1">
      <c r="B88" s="27"/>
      <c r="E88" s="27"/>
      <c r="F88" s="25"/>
      <c r="H88" s="5" t="s">
        <v>20</v>
      </c>
      <c r="I88" s="20"/>
      <c r="K88" s="4" t="s">
        <v>22</v>
      </c>
      <c r="L88" s="26"/>
      <c r="M88" s="4" t="s">
        <v>23</v>
      </c>
    </row>
    <row r="89" ht="22.5" customHeight="1">
      <c r="B89" s="27"/>
      <c r="E89" s="27"/>
      <c r="F89" s="25"/>
      <c r="H89" s="5" t="s">
        <v>20</v>
      </c>
      <c r="I89" s="20"/>
      <c r="K89" s="4" t="s">
        <v>22</v>
      </c>
      <c r="L89" s="26"/>
      <c r="M89" s="4" t="s">
        <v>23</v>
      </c>
    </row>
    <row r="90" ht="22.5" customHeight="1">
      <c r="B90" s="27"/>
      <c r="E90" s="27"/>
      <c r="F90" s="25"/>
      <c r="H90" s="5" t="s">
        <v>20</v>
      </c>
      <c r="I90" s="20"/>
      <c r="K90" s="4" t="s">
        <v>22</v>
      </c>
      <c r="L90" s="26"/>
      <c r="M90" s="4" t="s">
        <v>23</v>
      </c>
    </row>
    <row r="91" ht="22.5" customHeight="1">
      <c r="B91" s="27"/>
      <c r="E91" s="27"/>
      <c r="F91" s="25"/>
      <c r="H91" s="5" t="s">
        <v>20</v>
      </c>
      <c r="I91" s="20"/>
      <c r="K91" s="4" t="s">
        <v>22</v>
      </c>
      <c r="L91" s="26"/>
      <c r="M91" s="4" t="s">
        <v>23</v>
      </c>
    </row>
    <row r="92" ht="22.5" customHeight="1">
      <c r="B92" s="27"/>
      <c r="E92" s="27"/>
      <c r="F92" s="25"/>
      <c r="H92" s="5" t="s">
        <v>20</v>
      </c>
      <c r="I92" s="20"/>
      <c r="K92" s="4" t="s">
        <v>22</v>
      </c>
      <c r="L92" s="26"/>
      <c r="M92" s="4" t="s">
        <v>23</v>
      </c>
    </row>
    <row r="93" ht="22.5" customHeight="1">
      <c r="B93" s="27"/>
      <c r="E93" s="27"/>
      <c r="F93" s="25"/>
      <c r="H93" s="5" t="s">
        <v>20</v>
      </c>
      <c r="I93" s="20"/>
      <c r="K93" s="4" t="s">
        <v>22</v>
      </c>
      <c r="L93" s="26"/>
      <c r="M93" s="4" t="s">
        <v>23</v>
      </c>
    </row>
    <row r="94" ht="22.5" customHeight="1">
      <c r="B94" s="27"/>
      <c r="E94" s="27"/>
      <c r="F94" s="25"/>
      <c r="H94" s="5" t="s">
        <v>20</v>
      </c>
      <c r="I94" s="20"/>
      <c r="K94" s="4" t="s">
        <v>22</v>
      </c>
      <c r="L94" s="26"/>
      <c r="M94" s="4" t="s">
        <v>23</v>
      </c>
    </row>
    <row r="95" ht="22.5" customHeight="1">
      <c r="B95" s="27"/>
      <c r="E95" s="27"/>
      <c r="F95" s="25"/>
      <c r="H95" s="5" t="s">
        <v>20</v>
      </c>
      <c r="I95" s="20"/>
      <c r="K95" s="4" t="s">
        <v>22</v>
      </c>
      <c r="L95" s="26"/>
      <c r="M95" s="4" t="s">
        <v>23</v>
      </c>
    </row>
    <row r="96" ht="22.5" customHeight="1">
      <c r="B96" s="27"/>
      <c r="E96" s="27"/>
      <c r="F96" s="25"/>
      <c r="H96" s="5" t="s">
        <v>20</v>
      </c>
      <c r="I96" s="20"/>
      <c r="K96" s="4" t="s">
        <v>22</v>
      </c>
      <c r="L96" s="26"/>
      <c r="M96" s="4" t="s">
        <v>23</v>
      </c>
    </row>
    <row r="97" ht="22.5" customHeight="1">
      <c r="B97" s="27"/>
      <c r="E97" s="27"/>
      <c r="F97" s="25"/>
      <c r="H97" s="5" t="s">
        <v>20</v>
      </c>
      <c r="I97" s="20"/>
      <c r="K97" s="4" t="s">
        <v>22</v>
      </c>
      <c r="L97" s="26"/>
      <c r="M97" s="4" t="s">
        <v>23</v>
      </c>
    </row>
    <row r="98" ht="22.5" customHeight="1">
      <c r="B98" s="27"/>
      <c r="E98" s="27"/>
      <c r="F98" s="25"/>
      <c r="H98" s="5" t="s">
        <v>20</v>
      </c>
      <c r="I98" s="20"/>
      <c r="K98" s="4" t="s">
        <v>22</v>
      </c>
      <c r="L98" s="26"/>
      <c r="M98" s="4" t="s">
        <v>23</v>
      </c>
    </row>
    <row r="99" ht="22.5" customHeight="1">
      <c r="B99" s="27"/>
      <c r="E99" s="27"/>
      <c r="F99" s="25"/>
      <c r="H99" s="5" t="s">
        <v>20</v>
      </c>
      <c r="I99" s="20"/>
      <c r="K99" s="4" t="s">
        <v>22</v>
      </c>
      <c r="L99" s="26"/>
      <c r="M99" s="4" t="s">
        <v>23</v>
      </c>
    </row>
    <row r="100" ht="22.5" customHeight="1">
      <c r="B100" s="27"/>
      <c r="E100" s="27"/>
      <c r="F100" s="25"/>
      <c r="H100" s="5" t="s">
        <v>20</v>
      </c>
      <c r="I100" s="20"/>
      <c r="K100" s="4" t="s">
        <v>22</v>
      </c>
      <c r="L100" s="26"/>
      <c r="M100" s="4" t="s">
        <v>23</v>
      </c>
    </row>
    <row r="101" ht="22.5" customHeight="1">
      <c r="B101" s="27"/>
      <c r="E101" s="27"/>
      <c r="F101" s="25"/>
      <c r="H101" s="5" t="s">
        <v>20</v>
      </c>
      <c r="I101" s="20"/>
      <c r="K101" s="4" t="s">
        <v>22</v>
      </c>
      <c r="L101" s="26"/>
      <c r="M101" s="4" t="s">
        <v>23</v>
      </c>
    </row>
    <row r="102" ht="22.5" customHeight="1">
      <c r="B102" s="27"/>
      <c r="E102" s="27"/>
      <c r="F102" s="25"/>
      <c r="H102" s="5" t="s">
        <v>20</v>
      </c>
      <c r="I102" s="20"/>
      <c r="K102" s="4" t="s">
        <v>22</v>
      </c>
      <c r="L102" s="26"/>
      <c r="M102" s="4" t="s">
        <v>23</v>
      </c>
    </row>
    <row r="103" ht="22.5" customHeight="1">
      <c r="B103" s="27"/>
      <c r="E103" s="27"/>
      <c r="F103" s="25"/>
      <c r="H103" s="5" t="s">
        <v>20</v>
      </c>
      <c r="I103" s="20"/>
      <c r="K103" s="28"/>
      <c r="L103" s="26"/>
      <c r="M103" s="4" t="s">
        <v>23</v>
      </c>
    </row>
    <row r="104" ht="22.5" customHeight="1">
      <c r="B104" s="27"/>
      <c r="E104" s="27"/>
      <c r="F104" s="25"/>
      <c r="H104" s="5" t="s">
        <v>20</v>
      </c>
      <c r="I104" s="20"/>
      <c r="K104" s="28"/>
      <c r="L104" s="26"/>
      <c r="M104" s="27"/>
    </row>
    <row r="105">
      <c r="I105" s="29"/>
    </row>
    <row r="106">
      <c r="I106" s="29"/>
    </row>
    <row r="107">
      <c r="I107" s="29"/>
    </row>
    <row r="108">
      <c r="I108" s="29"/>
    </row>
    <row r="109">
      <c r="I109" s="29"/>
    </row>
    <row r="110">
      <c r="I110" s="29"/>
    </row>
    <row r="111">
      <c r="I111" s="29"/>
    </row>
    <row r="112">
      <c r="I112" s="29"/>
    </row>
    <row r="113">
      <c r="I113" s="29"/>
    </row>
    <row r="114">
      <c r="I114" s="29"/>
    </row>
    <row r="115">
      <c r="I115" s="29"/>
    </row>
    <row r="116">
      <c r="I116" s="29"/>
    </row>
    <row r="117">
      <c r="I117" s="29"/>
    </row>
    <row r="118">
      <c r="I118" s="29"/>
    </row>
    <row r="119">
      <c r="I119" s="29"/>
    </row>
    <row r="120">
      <c r="I120" s="29"/>
    </row>
    <row r="121">
      <c r="I121" s="29"/>
    </row>
    <row r="122">
      <c r="I122" s="29"/>
    </row>
    <row r="123">
      <c r="I123" s="29"/>
    </row>
    <row r="124">
      <c r="I124" s="29"/>
    </row>
    <row r="125">
      <c r="I125" s="29"/>
    </row>
    <row r="126">
      <c r="I126" s="29"/>
    </row>
    <row r="127">
      <c r="I127" s="29"/>
    </row>
    <row r="128">
      <c r="I128" s="29"/>
    </row>
    <row r="129">
      <c r="I129" s="29"/>
    </row>
    <row r="130">
      <c r="I130" s="29"/>
    </row>
    <row r="131">
      <c r="I131" s="29"/>
    </row>
    <row r="132">
      <c r="I132" s="29"/>
    </row>
    <row r="133">
      <c r="I133" s="29"/>
    </row>
    <row r="134">
      <c r="I134" s="29"/>
    </row>
    <row r="135">
      <c r="I135" s="29"/>
    </row>
    <row r="136">
      <c r="I136" s="29"/>
    </row>
    <row r="137">
      <c r="I137" s="29"/>
    </row>
    <row r="138">
      <c r="I138" s="29"/>
    </row>
    <row r="139">
      <c r="I139" s="29"/>
    </row>
    <row r="140">
      <c r="I140" s="29"/>
    </row>
    <row r="141">
      <c r="I141" s="29"/>
    </row>
    <row r="142">
      <c r="I142" s="29"/>
    </row>
    <row r="143">
      <c r="I143" s="29"/>
    </row>
    <row r="144">
      <c r="I144" s="29"/>
    </row>
    <row r="145">
      <c r="I145" s="29"/>
    </row>
    <row r="146">
      <c r="I146" s="29"/>
    </row>
    <row r="147">
      <c r="I147" s="29"/>
    </row>
    <row r="148">
      <c r="I148" s="29"/>
    </row>
    <row r="149">
      <c r="I149" s="29"/>
    </row>
    <row r="150">
      <c r="I150" s="29"/>
    </row>
    <row r="151">
      <c r="I151" s="29"/>
    </row>
    <row r="152">
      <c r="I152" s="29"/>
    </row>
    <row r="153">
      <c r="I153" s="29"/>
    </row>
    <row r="154">
      <c r="I154" s="29"/>
    </row>
    <row r="155">
      <c r="I155" s="29"/>
    </row>
    <row r="156">
      <c r="I156" s="29"/>
    </row>
    <row r="157">
      <c r="I157" s="29"/>
    </row>
    <row r="158">
      <c r="I158" s="29"/>
    </row>
    <row r="159">
      <c r="I159" s="29"/>
    </row>
    <row r="160">
      <c r="I160" s="29"/>
    </row>
    <row r="161">
      <c r="I161" s="29"/>
    </row>
    <row r="162">
      <c r="I162" s="29"/>
    </row>
    <row r="163">
      <c r="I163" s="29"/>
    </row>
    <row r="164">
      <c r="I164" s="29"/>
    </row>
    <row r="165">
      <c r="I165" s="29"/>
    </row>
    <row r="166">
      <c r="I166" s="29"/>
    </row>
    <row r="167">
      <c r="I167" s="29"/>
    </row>
    <row r="168">
      <c r="I168" s="29"/>
    </row>
    <row r="169">
      <c r="I169" s="29"/>
    </row>
    <row r="170">
      <c r="I170" s="29"/>
    </row>
    <row r="171">
      <c r="I171" s="29"/>
    </row>
    <row r="172">
      <c r="I172" s="29"/>
    </row>
    <row r="173">
      <c r="I173" s="29"/>
    </row>
    <row r="174">
      <c r="I174" s="29"/>
    </row>
    <row r="175">
      <c r="I175" s="29"/>
    </row>
    <row r="176">
      <c r="I176" s="29"/>
    </row>
    <row r="177">
      <c r="I177" s="29"/>
    </row>
    <row r="178">
      <c r="I178" s="29"/>
    </row>
    <row r="179">
      <c r="I179" s="29"/>
    </row>
    <row r="180">
      <c r="I180" s="29"/>
    </row>
    <row r="181">
      <c r="I181" s="29"/>
    </row>
    <row r="182">
      <c r="I182" s="29"/>
    </row>
    <row r="183">
      <c r="I183" s="29"/>
    </row>
    <row r="184">
      <c r="I184" s="29"/>
    </row>
    <row r="185">
      <c r="I185" s="29"/>
    </row>
    <row r="186">
      <c r="I186" s="29"/>
    </row>
    <row r="187">
      <c r="I187" s="29"/>
    </row>
    <row r="188">
      <c r="I188" s="29"/>
    </row>
    <row r="189">
      <c r="I189" s="29"/>
    </row>
    <row r="190">
      <c r="I190" s="29"/>
    </row>
    <row r="191">
      <c r="I191" s="29"/>
    </row>
    <row r="192">
      <c r="I192" s="29"/>
    </row>
    <row r="193">
      <c r="I193" s="29"/>
    </row>
    <row r="194">
      <c r="I194" s="29"/>
    </row>
    <row r="195">
      <c r="I195" s="29"/>
    </row>
    <row r="196">
      <c r="I196" s="29"/>
    </row>
    <row r="197">
      <c r="I197" s="29"/>
    </row>
    <row r="198">
      <c r="I198" s="29"/>
    </row>
    <row r="199">
      <c r="I199" s="29"/>
    </row>
    <row r="200">
      <c r="I200" s="29"/>
    </row>
    <row r="201">
      <c r="I201" s="29"/>
    </row>
    <row r="202">
      <c r="I202" s="29"/>
    </row>
    <row r="203">
      <c r="I203" s="29"/>
    </row>
    <row r="204">
      <c r="I204" s="29"/>
    </row>
    <row r="205">
      <c r="I205" s="29"/>
    </row>
    <row r="206">
      <c r="I206" s="29"/>
    </row>
    <row r="207">
      <c r="I207" s="29"/>
    </row>
    <row r="208">
      <c r="I208" s="29"/>
    </row>
    <row r="209">
      <c r="I209" s="29"/>
    </row>
    <row r="210">
      <c r="I210" s="29"/>
    </row>
    <row r="211">
      <c r="I211" s="29"/>
    </row>
    <row r="212">
      <c r="I212" s="29"/>
    </row>
    <row r="213">
      <c r="I213" s="29"/>
    </row>
    <row r="214">
      <c r="I214" s="29"/>
    </row>
    <row r="215">
      <c r="I215" s="29"/>
    </row>
    <row r="216">
      <c r="I216" s="29"/>
    </row>
    <row r="217">
      <c r="I217" s="29"/>
    </row>
    <row r="218">
      <c r="I218" s="29"/>
    </row>
    <row r="219">
      <c r="I219" s="29"/>
    </row>
    <row r="220">
      <c r="I220" s="29"/>
    </row>
    <row r="221">
      <c r="I221" s="29"/>
    </row>
    <row r="222">
      <c r="I222" s="29"/>
    </row>
    <row r="223">
      <c r="I223" s="29"/>
    </row>
    <row r="224">
      <c r="I224" s="29"/>
    </row>
    <row r="225">
      <c r="I225" s="29"/>
    </row>
    <row r="226">
      <c r="I226" s="29"/>
    </row>
    <row r="227">
      <c r="I227" s="29"/>
    </row>
    <row r="228">
      <c r="I228" s="29"/>
    </row>
    <row r="229">
      <c r="I229" s="29"/>
    </row>
    <row r="230">
      <c r="I230" s="29"/>
    </row>
    <row r="231">
      <c r="I231" s="29"/>
    </row>
    <row r="232">
      <c r="I232" s="29"/>
    </row>
    <row r="233">
      <c r="I233" s="29"/>
    </row>
    <row r="234">
      <c r="I234" s="29"/>
    </row>
    <row r="235">
      <c r="I235" s="29"/>
    </row>
    <row r="236">
      <c r="I236" s="29"/>
    </row>
    <row r="237">
      <c r="I237" s="29"/>
    </row>
    <row r="238">
      <c r="I238" s="29"/>
    </row>
    <row r="239">
      <c r="I239" s="29"/>
    </row>
    <row r="240">
      <c r="I240" s="29"/>
    </row>
    <row r="241">
      <c r="I241" s="29"/>
    </row>
    <row r="242">
      <c r="I242" s="29"/>
    </row>
    <row r="243">
      <c r="I243" s="29"/>
    </row>
    <row r="244">
      <c r="I244" s="29"/>
    </row>
    <row r="245">
      <c r="I245" s="29"/>
    </row>
    <row r="246">
      <c r="I246" s="29"/>
    </row>
    <row r="247">
      <c r="I247" s="29"/>
    </row>
    <row r="248">
      <c r="I248" s="29"/>
    </row>
    <row r="249">
      <c r="I249" s="29"/>
    </row>
    <row r="250">
      <c r="I250" s="29"/>
    </row>
    <row r="251">
      <c r="I251" s="29"/>
    </row>
    <row r="252">
      <c r="I252" s="29"/>
    </row>
    <row r="253">
      <c r="I253" s="29"/>
    </row>
    <row r="254">
      <c r="I254" s="29"/>
    </row>
    <row r="255">
      <c r="I255" s="29"/>
    </row>
    <row r="256">
      <c r="I256" s="29"/>
    </row>
    <row r="257">
      <c r="I257" s="29"/>
    </row>
    <row r="258">
      <c r="I258" s="29"/>
    </row>
    <row r="259">
      <c r="I259" s="29"/>
    </row>
    <row r="260">
      <c r="I260" s="29"/>
    </row>
    <row r="261">
      <c r="I261" s="29"/>
    </row>
    <row r="262">
      <c r="I262" s="29"/>
    </row>
    <row r="263">
      <c r="I263" s="29"/>
    </row>
    <row r="264">
      <c r="I264" s="29"/>
    </row>
    <row r="265">
      <c r="I265" s="29"/>
    </row>
    <row r="266">
      <c r="I266" s="29"/>
    </row>
    <row r="267">
      <c r="I267" s="29"/>
    </row>
    <row r="268">
      <c r="I268" s="29"/>
    </row>
    <row r="269">
      <c r="I269" s="29"/>
    </row>
    <row r="270">
      <c r="I270" s="29"/>
    </row>
    <row r="271">
      <c r="I271" s="29"/>
    </row>
    <row r="272">
      <c r="I272" s="29"/>
    </row>
    <row r="273">
      <c r="I273" s="29"/>
    </row>
    <row r="274">
      <c r="I274" s="29"/>
    </row>
    <row r="275">
      <c r="I275" s="29"/>
    </row>
    <row r="276">
      <c r="I276" s="29"/>
    </row>
    <row r="277">
      <c r="I277" s="29"/>
    </row>
    <row r="278">
      <c r="I278" s="29"/>
    </row>
    <row r="279">
      <c r="I279" s="29"/>
    </row>
    <row r="280">
      <c r="I280" s="29"/>
    </row>
    <row r="281">
      <c r="I281" s="29"/>
    </row>
    <row r="282">
      <c r="I282" s="29"/>
    </row>
    <row r="283">
      <c r="I283" s="29"/>
    </row>
    <row r="284">
      <c r="I284" s="29"/>
    </row>
    <row r="285">
      <c r="I285" s="29"/>
    </row>
    <row r="286">
      <c r="I286" s="29"/>
    </row>
    <row r="287">
      <c r="I287" s="29"/>
    </row>
    <row r="288">
      <c r="I288" s="29"/>
    </row>
    <row r="289">
      <c r="I289" s="29"/>
    </row>
    <row r="290">
      <c r="I290" s="29"/>
    </row>
    <row r="291">
      <c r="I291" s="29"/>
    </row>
    <row r="292">
      <c r="I292" s="29"/>
    </row>
    <row r="293">
      <c r="I293" s="29"/>
    </row>
    <row r="294">
      <c r="I294" s="29"/>
    </row>
    <row r="295">
      <c r="I295" s="29"/>
    </row>
    <row r="296">
      <c r="I296" s="29"/>
    </row>
    <row r="297">
      <c r="I297" s="29"/>
    </row>
    <row r="298">
      <c r="I298" s="29"/>
    </row>
    <row r="299">
      <c r="I299" s="29"/>
    </row>
    <row r="300">
      <c r="I300" s="29"/>
    </row>
    <row r="301">
      <c r="I301" s="29"/>
    </row>
    <row r="302">
      <c r="I302" s="29"/>
    </row>
    <row r="303">
      <c r="I303" s="29"/>
    </row>
    <row r="304">
      <c r="I304" s="29"/>
    </row>
    <row r="305">
      <c r="I305" s="29"/>
    </row>
    <row r="306">
      <c r="I306" s="29"/>
    </row>
    <row r="307">
      <c r="I307" s="29"/>
    </row>
    <row r="308">
      <c r="I308" s="29"/>
    </row>
    <row r="309">
      <c r="I309" s="29"/>
    </row>
    <row r="310">
      <c r="I310" s="29"/>
    </row>
    <row r="311">
      <c r="I311" s="29"/>
    </row>
    <row r="312">
      <c r="I312" s="29"/>
    </row>
    <row r="313">
      <c r="I313" s="29"/>
    </row>
    <row r="314">
      <c r="I314" s="29"/>
    </row>
    <row r="315">
      <c r="I315" s="29"/>
    </row>
    <row r="316">
      <c r="I316" s="29"/>
    </row>
    <row r="317">
      <c r="I317" s="29"/>
    </row>
    <row r="318">
      <c r="I318" s="29"/>
    </row>
    <row r="319">
      <c r="I319" s="29"/>
    </row>
    <row r="320">
      <c r="I320" s="29"/>
    </row>
    <row r="321">
      <c r="I321" s="29"/>
    </row>
    <row r="322">
      <c r="I322" s="29"/>
    </row>
    <row r="323">
      <c r="I323" s="29"/>
    </row>
    <row r="324">
      <c r="I324" s="29"/>
    </row>
    <row r="325">
      <c r="I325" s="29"/>
    </row>
    <row r="326">
      <c r="I326" s="29"/>
    </row>
    <row r="327">
      <c r="I327" s="29"/>
    </row>
    <row r="328">
      <c r="I328" s="29"/>
    </row>
    <row r="329">
      <c r="I329" s="29"/>
    </row>
    <row r="330">
      <c r="I330" s="29"/>
    </row>
    <row r="331">
      <c r="I331" s="29"/>
    </row>
    <row r="332">
      <c r="I332" s="29"/>
    </row>
    <row r="333">
      <c r="I333" s="29"/>
    </row>
    <row r="334">
      <c r="I334" s="29"/>
    </row>
    <row r="335">
      <c r="I335" s="29"/>
    </row>
    <row r="336">
      <c r="I336" s="29"/>
    </row>
    <row r="337">
      <c r="I337" s="29"/>
    </row>
    <row r="338">
      <c r="I338" s="29"/>
    </row>
    <row r="339">
      <c r="I339" s="29"/>
    </row>
    <row r="340">
      <c r="I340" s="29"/>
    </row>
    <row r="341">
      <c r="I341" s="29"/>
    </row>
    <row r="342">
      <c r="I342" s="29"/>
    </row>
    <row r="343">
      <c r="I343" s="29"/>
    </row>
    <row r="344">
      <c r="I344" s="29"/>
    </row>
    <row r="345">
      <c r="I345" s="29"/>
    </row>
    <row r="346">
      <c r="I346" s="29"/>
    </row>
    <row r="347">
      <c r="I347" s="29"/>
    </row>
    <row r="348">
      <c r="I348" s="29"/>
    </row>
    <row r="349">
      <c r="I349" s="29"/>
    </row>
    <row r="350">
      <c r="I350" s="29"/>
    </row>
    <row r="351">
      <c r="I351" s="29"/>
    </row>
    <row r="352">
      <c r="I352" s="29"/>
    </row>
    <row r="353">
      <c r="I353" s="29"/>
    </row>
    <row r="354">
      <c r="I354" s="29"/>
    </row>
    <row r="355">
      <c r="I355" s="29"/>
    </row>
    <row r="356">
      <c r="I356" s="29"/>
    </row>
    <row r="357">
      <c r="I357" s="29"/>
    </row>
    <row r="358">
      <c r="I358" s="29"/>
    </row>
    <row r="359">
      <c r="I359" s="29"/>
    </row>
    <row r="360">
      <c r="I360" s="29"/>
    </row>
    <row r="361">
      <c r="I361" s="29"/>
    </row>
    <row r="362">
      <c r="I362" s="29"/>
    </row>
    <row r="363">
      <c r="I363" s="29"/>
    </row>
    <row r="364">
      <c r="I364" s="29"/>
    </row>
    <row r="365">
      <c r="I365" s="29"/>
    </row>
    <row r="366">
      <c r="I366" s="29"/>
    </row>
    <row r="367">
      <c r="I367" s="29"/>
    </row>
    <row r="368">
      <c r="I368" s="29"/>
    </row>
    <row r="369">
      <c r="I369" s="29"/>
    </row>
    <row r="370">
      <c r="I370" s="29"/>
    </row>
    <row r="371">
      <c r="I371" s="29"/>
    </row>
    <row r="372">
      <c r="I372" s="29"/>
    </row>
    <row r="373">
      <c r="I373" s="29"/>
    </row>
    <row r="374">
      <c r="I374" s="29"/>
    </row>
    <row r="375">
      <c r="I375" s="29"/>
    </row>
    <row r="376">
      <c r="I376" s="29"/>
    </row>
    <row r="377">
      <c r="I377" s="29"/>
    </row>
    <row r="378">
      <c r="I378" s="29"/>
    </row>
    <row r="379">
      <c r="I379" s="29"/>
    </row>
    <row r="380">
      <c r="I380" s="29"/>
    </row>
    <row r="381">
      <c r="I381" s="29"/>
    </row>
    <row r="382">
      <c r="I382" s="29"/>
    </row>
    <row r="383">
      <c r="I383" s="29"/>
    </row>
    <row r="384">
      <c r="I384" s="29"/>
    </row>
    <row r="385">
      <c r="I385" s="29"/>
    </row>
    <row r="386">
      <c r="I386" s="29"/>
    </row>
    <row r="387">
      <c r="I387" s="29"/>
    </row>
    <row r="388">
      <c r="I388" s="29"/>
    </row>
    <row r="389">
      <c r="I389" s="29"/>
    </row>
    <row r="390">
      <c r="I390" s="29"/>
    </row>
    <row r="391">
      <c r="I391" s="29"/>
    </row>
    <row r="392">
      <c r="I392" s="29"/>
    </row>
    <row r="393">
      <c r="I393" s="29"/>
    </row>
    <row r="394">
      <c r="I394" s="29"/>
    </row>
    <row r="395">
      <c r="I395" s="29"/>
    </row>
    <row r="396">
      <c r="I396" s="29"/>
    </row>
    <row r="397">
      <c r="I397" s="29"/>
    </row>
    <row r="398">
      <c r="I398" s="29"/>
    </row>
    <row r="399">
      <c r="I399" s="29"/>
    </row>
    <row r="400">
      <c r="I400" s="29"/>
    </row>
    <row r="401">
      <c r="I401" s="29"/>
    </row>
    <row r="402">
      <c r="I402" s="29"/>
    </row>
    <row r="403">
      <c r="I403" s="29"/>
    </row>
    <row r="404">
      <c r="I404" s="29"/>
    </row>
    <row r="405">
      <c r="I405" s="29"/>
    </row>
    <row r="406">
      <c r="I406" s="29"/>
    </row>
    <row r="407">
      <c r="I407" s="29"/>
    </row>
    <row r="408">
      <c r="I408" s="29"/>
    </row>
    <row r="409">
      <c r="I409" s="29"/>
    </row>
    <row r="410">
      <c r="I410" s="29"/>
    </row>
    <row r="411">
      <c r="I411" s="29"/>
    </row>
    <row r="412">
      <c r="I412" s="29"/>
    </row>
    <row r="413">
      <c r="I413" s="29"/>
    </row>
    <row r="414">
      <c r="I414" s="29"/>
    </row>
    <row r="415">
      <c r="I415" s="29"/>
    </row>
    <row r="416">
      <c r="I416" s="29"/>
    </row>
    <row r="417">
      <c r="I417" s="29"/>
    </row>
    <row r="418">
      <c r="I418" s="29"/>
    </row>
    <row r="419">
      <c r="I419" s="29"/>
    </row>
    <row r="420">
      <c r="I420" s="29"/>
    </row>
    <row r="421">
      <c r="I421" s="29"/>
    </row>
    <row r="422">
      <c r="I422" s="29"/>
    </row>
    <row r="423">
      <c r="I423" s="29"/>
    </row>
    <row r="424">
      <c r="I424" s="29"/>
    </row>
    <row r="425">
      <c r="I425" s="29"/>
    </row>
    <row r="426">
      <c r="I426" s="29"/>
    </row>
    <row r="427">
      <c r="I427" s="29"/>
    </row>
    <row r="428">
      <c r="I428" s="29"/>
    </row>
    <row r="429">
      <c r="I429" s="29"/>
    </row>
    <row r="430">
      <c r="I430" s="29"/>
    </row>
    <row r="431">
      <c r="I431" s="29"/>
    </row>
    <row r="432">
      <c r="I432" s="29"/>
    </row>
    <row r="433">
      <c r="I433" s="29"/>
    </row>
    <row r="434">
      <c r="I434" s="29"/>
    </row>
    <row r="435">
      <c r="I435" s="29"/>
    </row>
    <row r="436">
      <c r="I436" s="29"/>
    </row>
    <row r="437">
      <c r="I437" s="29"/>
    </row>
    <row r="438">
      <c r="I438" s="29"/>
    </row>
    <row r="439">
      <c r="I439" s="29"/>
    </row>
    <row r="440">
      <c r="I440" s="29"/>
    </row>
    <row r="441">
      <c r="I441" s="29"/>
    </row>
    <row r="442">
      <c r="I442" s="29"/>
    </row>
    <row r="443">
      <c r="I443" s="29"/>
    </row>
    <row r="444">
      <c r="I444" s="29"/>
    </row>
    <row r="445">
      <c r="I445" s="29"/>
    </row>
    <row r="446">
      <c r="I446" s="29"/>
    </row>
    <row r="447">
      <c r="I447" s="29"/>
    </row>
    <row r="448">
      <c r="I448" s="29"/>
    </row>
    <row r="449">
      <c r="I449" s="29"/>
    </row>
    <row r="450">
      <c r="I450" s="29"/>
    </row>
    <row r="451">
      <c r="I451" s="29"/>
    </row>
    <row r="452">
      <c r="I452" s="29"/>
    </row>
    <row r="453">
      <c r="I453" s="29"/>
    </row>
    <row r="454">
      <c r="I454" s="29"/>
    </row>
    <row r="455">
      <c r="I455" s="29"/>
    </row>
    <row r="456">
      <c r="I456" s="29"/>
    </row>
    <row r="457">
      <c r="I457" s="29"/>
    </row>
    <row r="458">
      <c r="I458" s="29"/>
    </row>
    <row r="459">
      <c r="I459" s="29"/>
    </row>
    <row r="460">
      <c r="I460" s="29"/>
    </row>
    <row r="461">
      <c r="I461" s="29"/>
    </row>
    <row r="462">
      <c r="I462" s="29"/>
    </row>
    <row r="463">
      <c r="I463" s="29"/>
    </row>
    <row r="464">
      <c r="I464" s="29"/>
    </row>
    <row r="465">
      <c r="I465" s="29"/>
    </row>
    <row r="466">
      <c r="I466" s="29"/>
    </row>
    <row r="467">
      <c r="I467" s="29"/>
    </row>
    <row r="468">
      <c r="I468" s="29"/>
    </row>
    <row r="469">
      <c r="I469" s="29"/>
    </row>
    <row r="470">
      <c r="I470" s="29"/>
    </row>
    <row r="471">
      <c r="I471" s="29"/>
    </row>
    <row r="472">
      <c r="I472" s="29"/>
    </row>
    <row r="473">
      <c r="I473" s="29"/>
    </row>
    <row r="474">
      <c r="I474" s="29"/>
    </row>
    <row r="475">
      <c r="I475" s="29"/>
    </row>
    <row r="476">
      <c r="I476" s="29"/>
    </row>
    <row r="477">
      <c r="I477" s="29"/>
    </row>
    <row r="478">
      <c r="I478" s="29"/>
    </row>
    <row r="479">
      <c r="I479" s="29"/>
    </row>
    <row r="480">
      <c r="I480" s="29"/>
    </row>
    <row r="481">
      <c r="I481" s="29"/>
    </row>
    <row r="482">
      <c r="I482" s="29"/>
    </row>
    <row r="483">
      <c r="I483" s="29"/>
    </row>
    <row r="484">
      <c r="I484" s="29"/>
    </row>
    <row r="485">
      <c r="I485" s="29"/>
    </row>
    <row r="486">
      <c r="I486" s="29"/>
    </row>
    <row r="487">
      <c r="I487" s="29"/>
    </row>
    <row r="488">
      <c r="I488" s="29"/>
    </row>
    <row r="489">
      <c r="I489" s="29"/>
    </row>
    <row r="490">
      <c r="I490" s="29"/>
    </row>
    <row r="491">
      <c r="I491" s="29"/>
    </row>
    <row r="492">
      <c r="I492" s="29"/>
    </row>
    <row r="493">
      <c r="I493" s="29"/>
    </row>
    <row r="494">
      <c r="I494" s="29"/>
    </row>
    <row r="495">
      <c r="I495" s="29"/>
    </row>
    <row r="496">
      <c r="I496" s="29"/>
    </row>
    <row r="497">
      <c r="I497" s="29"/>
    </row>
    <row r="498">
      <c r="I498" s="29"/>
    </row>
    <row r="499">
      <c r="I499" s="29"/>
    </row>
    <row r="500">
      <c r="I500" s="29"/>
    </row>
    <row r="501">
      <c r="I501" s="29"/>
    </row>
    <row r="502">
      <c r="I502" s="29"/>
    </row>
    <row r="503">
      <c r="I503" s="29"/>
    </row>
    <row r="504">
      <c r="I504" s="29"/>
    </row>
    <row r="505">
      <c r="I505" s="29"/>
    </row>
    <row r="506">
      <c r="I506" s="29"/>
    </row>
    <row r="507">
      <c r="I507" s="29"/>
    </row>
    <row r="508">
      <c r="I508" s="29"/>
    </row>
    <row r="509">
      <c r="I509" s="29"/>
    </row>
    <row r="510">
      <c r="I510" s="29"/>
    </row>
    <row r="511">
      <c r="I511" s="29"/>
    </row>
    <row r="512">
      <c r="I512" s="29"/>
    </row>
    <row r="513">
      <c r="I513" s="29"/>
    </row>
    <row r="514">
      <c r="I514" s="29"/>
    </row>
    <row r="515">
      <c r="I515" s="29"/>
    </row>
    <row r="516">
      <c r="I516" s="29"/>
    </row>
    <row r="517">
      <c r="I517" s="29"/>
    </row>
    <row r="518">
      <c r="I518" s="29"/>
    </row>
    <row r="519">
      <c r="I519" s="29"/>
    </row>
    <row r="520">
      <c r="I520" s="29"/>
    </row>
    <row r="521">
      <c r="I521" s="29"/>
    </row>
    <row r="522">
      <c r="I522" s="29"/>
    </row>
    <row r="523">
      <c r="I523" s="29"/>
    </row>
    <row r="524">
      <c r="I524" s="29"/>
    </row>
    <row r="525">
      <c r="I525" s="29"/>
    </row>
    <row r="526">
      <c r="I526" s="29"/>
    </row>
    <row r="527">
      <c r="I527" s="29"/>
    </row>
    <row r="528">
      <c r="I528" s="29"/>
    </row>
    <row r="529">
      <c r="I529" s="29"/>
    </row>
    <row r="530">
      <c r="I530" s="29"/>
    </row>
    <row r="531">
      <c r="I531" s="29"/>
    </row>
    <row r="532">
      <c r="I532" s="29"/>
    </row>
    <row r="533">
      <c r="I533" s="29"/>
    </row>
    <row r="534">
      <c r="I534" s="29"/>
    </row>
    <row r="535">
      <c r="I535" s="29"/>
    </row>
    <row r="536">
      <c r="I536" s="29"/>
    </row>
    <row r="537">
      <c r="I537" s="29"/>
    </row>
    <row r="538">
      <c r="I538" s="29"/>
    </row>
    <row r="539">
      <c r="I539" s="29"/>
    </row>
    <row r="540">
      <c r="I540" s="29"/>
    </row>
    <row r="541">
      <c r="I541" s="29"/>
    </row>
    <row r="542">
      <c r="I542" s="29"/>
    </row>
    <row r="543">
      <c r="I543" s="29"/>
    </row>
    <row r="544">
      <c r="I544" s="29"/>
    </row>
    <row r="545">
      <c r="I545" s="29"/>
    </row>
    <row r="546">
      <c r="I546" s="29"/>
    </row>
    <row r="547">
      <c r="I547" s="29"/>
    </row>
    <row r="548">
      <c r="I548" s="29"/>
    </row>
    <row r="549">
      <c r="I549" s="29"/>
    </row>
    <row r="550">
      <c r="I550" s="29"/>
    </row>
    <row r="551">
      <c r="I551" s="29"/>
    </row>
    <row r="552">
      <c r="I552" s="29"/>
    </row>
    <row r="553">
      <c r="I553" s="29"/>
    </row>
    <row r="554">
      <c r="I554" s="29"/>
    </row>
    <row r="555">
      <c r="I555" s="29"/>
    </row>
    <row r="556">
      <c r="I556" s="29"/>
    </row>
    <row r="557">
      <c r="I557" s="29"/>
    </row>
    <row r="558">
      <c r="I558" s="29"/>
    </row>
    <row r="559">
      <c r="I559" s="29"/>
    </row>
    <row r="560">
      <c r="I560" s="29"/>
    </row>
    <row r="561">
      <c r="I561" s="29"/>
    </row>
    <row r="562">
      <c r="I562" s="29"/>
    </row>
    <row r="563">
      <c r="I563" s="29"/>
    </row>
    <row r="564">
      <c r="I564" s="29"/>
    </row>
    <row r="565">
      <c r="I565" s="29"/>
    </row>
    <row r="566">
      <c r="I566" s="29"/>
    </row>
    <row r="567">
      <c r="I567" s="29"/>
    </row>
    <row r="568">
      <c r="I568" s="29"/>
    </row>
    <row r="569">
      <c r="I569" s="29"/>
    </row>
    <row r="570">
      <c r="I570" s="29"/>
    </row>
    <row r="571">
      <c r="I571" s="29"/>
    </row>
    <row r="572">
      <c r="I572" s="29"/>
    </row>
    <row r="573">
      <c r="I573" s="29"/>
    </row>
    <row r="574">
      <c r="I574" s="29"/>
    </row>
    <row r="575">
      <c r="I575" s="29"/>
    </row>
    <row r="576">
      <c r="I576" s="29"/>
    </row>
    <row r="577">
      <c r="I577" s="29"/>
    </row>
    <row r="578">
      <c r="I578" s="29"/>
    </row>
    <row r="579">
      <c r="I579" s="29"/>
    </row>
    <row r="580">
      <c r="I580" s="29"/>
    </row>
    <row r="581">
      <c r="I581" s="29"/>
    </row>
    <row r="582">
      <c r="I582" s="29"/>
    </row>
    <row r="583">
      <c r="I583" s="29"/>
    </row>
    <row r="584">
      <c r="I584" s="29"/>
    </row>
    <row r="585">
      <c r="I585" s="29"/>
    </row>
    <row r="586">
      <c r="I586" s="29"/>
    </row>
    <row r="587">
      <c r="I587" s="29"/>
    </row>
    <row r="588">
      <c r="I588" s="29"/>
    </row>
    <row r="589">
      <c r="I589" s="29"/>
    </row>
    <row r="590">
      <c r="I590" s="29"/>
    </row>
    <row r="591">
      <c r="I591" s="29"/>
    </row>
    <row r="592">
      <c r="I592" s="29"/>
    </row>
    <row r="593">
      <c r="I593" s="29"/>
    </row>
    <row r="594">
      <c r="I594" s="29"/>
    </row>
    <row r="595">
      <c r="I595" s="29"/>
    </row>
    <row r="596">
      <c r="I596" s="29"/>
    </row>
    <row r="597">
      <c r="I597" s="29"/>
    </row>
    <row r="598">
      <c r="I598" s="29"/>
    </row>
    <row r="599">
      <c r="I599" s="29"/>
    </row>
    <row r="600">
      <c r="I600" s="29"/>
    </row>
    <row r="601">
      <c r="I601" s="29"/>
    </row>
    <row r="602">
      <c r="I602" s="29"/>
    </row>
    <row r="603">
      <c r="I603" s="29"/>
    </row>
    <row r="604">
      <c r="I604" s="29"/>
    </row>
    <row r="605">
      <c r="I605" s="29"/>
    </row>
    <row r="606">
      <c r="I606" s="29"/>
    </row>
    <row r="607">
      <c r="I607" s="29"/>
    </row>
    <row r="608">
      <c r="I608" s="29"/>
    </row>
    <row r="609">
      <c r="I609" s="29"/>
    </row>
    <row r="610">
      <c r="I610" s="29"/>
    </row>
    <row r="611">
      <c r="I611" s="29"/>
    </row>
    <row r="612">
      <c r="I612" s="29"/>
    </row>
    <row r="613">
      <c r="I613" s="29"/>
    </row>
    <row r="614">
      <c r="I614" s="29"/>
    </row>
    <row r="615">
      <c r="I615" s="29"/>
    </row>
    <row r="616">
      <c r="I616" s="29"/>
    </row>
    <row r="617">
      <c r="I617" s="29"/>
    </row>
    <row r="618">
      <c r="I618" s="29"/>
    </row>
    <row r="619">
      <c r="I619" s="29"/>
    </row>
    <row r="620">
      <c r="I620" s="29"/>
    </row>
    <row r="621">
      <c r="I621" s="29"/>
    </row>
    <row r="622">
      <c r="I622" s="29"/>
    </row>
    <row r="623">
      <c r="I623" s="29"/>
    </row>
    <row r="624">
      <c r="I624" s="29"/>
    </row>
    <row r="625">
      <c r="I625" s="29"/>
    </row>
    <row r="626">
      <c r="I626" s="29"/>
    </row>
    <row r="627">
      <c r="I627" s="29"/>
    </row>
    <row r="628">
      <c r="I628" s="29"/>
    </row>
    <row r="629">
      <c r="I629" s="29"/>
    </row>
    <row r="630">
      <c r="I630" s="29"/>
    </row>
    <row r="631">
      <c r="I631" s="29"/>
    </row>
    <row r="632">
      <c r="I632" s="29"/>
    </row>
    <row r="633">
      <c r="I633" s="29"/>
    </row>
    <row r="634">
      <c r="I634" s="29"/>
    </row>
    <row r="635">
      <c r="I635" s="29"/>
    </row>
    <row r="636">
      <c r="I636" s="29"/>
    </row>
    <row r="637">
      <c r="I637" s="29"/>
    </row>
    <row r="638">
      <c r="I638" s="29"/>
    </row>
    <row r="639">
      <c r="I639" s="29"/>
    </row>
    <row r="640">
      <c r="I640" s="29"/>
    </row>
    <row r="641">
      <c r="I641" s="29"/>
    </row>
    <row r="642">
      <c r="I642" s="29"/>
    </row>
    <row r="643">
      <c r="I643" s="29"/>
    </row>
    <row r="644">
      <c r="I644" s="29"/>
    </row>
    <row r="645">
      <c r="I645" s="29"/>
    </row>
    <row r="646">
      <c r="I646" s="29"/>
    </row>
    <row r="647">
      <c r="I647" s="29"/>
    </row>
    <row r="648">
      <c r="I648" s="29"/>
    </row>
    <row r="649">
      <c r="I649" s="29"/>
    </row>
    <row r="650">
      <c r="I650" s="29"/>
    </row>
    <row r="651">
      <c r="I651" s="29"/>
    </row>
    <row r="652">
      <c r="I652" s="29"/>
    </row>
    <row r="653">
      <c r="I653" s="29"/>
    </row>
    <row r="654">
      <c r="I654" s="29"/>
    </row>
    <row r="655">
      <c r="I655" s="29"/>
    </row>
    <row r="656">
      <c r="I656" s="29"/>
    </row>
    <row r="657">
      <c r="I657" s="29"/>
    </row>
    <row r="658">
      <c r="I658" s="29"/>
    </row>
    <row r="659">
      <c r="I659" s="29"/>
    </row>
    <row r="660">
      <c r="I660" s="29"/>
    </row>
    <row r="661">
      <c r="I661" s="29"/>
    </row>
    <row r="662">
      <c r="I662" s="29"/>
    </row>
    <row r="663">
      <c r="I663" s="29"/>
    </row>
    <row r="664">
      <c r="I664" s="29"/>
    </row>
    <row r="665">
      <c r="I665" s="29"/>
    </row>
    <row r="666">
      <c r="I666" s="29"/>
    </row>
    <row r="667">
      <c r="I667" s="29"/>
    </row>
    <row r="668">
      <c r="I668" s="29"/>
    </row>
    <row r="669">
      <c r="I669" s="29"/>
    </row>
    <row r="670">
      <c r="I670" s="29"/>
    </row>
    <row r="671">
      <c r="I671" s="29"/>
    </row>
    <row r="672">
      <c r="I672" s="29"/>
    </row>
    <row r="673">
      <c r="I673" s="29"/>
    </row>
    <row r="674">
      <c r="I674" s="29"/>
    </row>
    <row r="675">
      <c r="I675" s="29"/>
    </row>
    <row r="676">
      <c r="I676" s="29"/>
    </row>
    <row r="677">
      <c r="I677" s="29"/>
    </row>
    <row r="678">
      <c r="I678" s="29"/>
    </row>
    <row r="679">
      <c r="I679" s="29"/>
    </row>
    <row r="680">
      <c r="I680" s="29"/>
    </row>
    <row r="681">
      <c r="I681" s="29"/>
    </row>
    <row r="682">
      <c r="I682" s="29"/>
    </row>
    <row r="683">
      <c r="I683" s="29"/>
    </row>
    <row r="684">
      <c r="I684" s="29"/>
    </row>
    <row r="685">
      <c r="I685" s="29"/>
    </row>
    <row r="686">
      <c r="I686" s="29"/>
    </row>
    <row r="687">
      <c r="I687" s="29"/>
    </row>
    <row r="688">
      <c r="I688" s="29"/>
    </row>
    <row r="689">
      <c r="I689" s="29"/>
    </row>
    <row r="690">
      <c r="I690" s="29"/>
    </row>
    <row r="691">
      <c r="I691" s="29"/>
    </row>
    <row r="692">
      <c r="I692" s="29"/>
    </row>
    <row r="693">
      <c r="I693" s="29"/>
    </row>
    <row r="694">
      <c r="I694" s="29"/>
    </row>
    <row r="695">
      <c r="I695" s="29"/>
    </row>
    <row r="696">
      <c r="I696" s="29"/>
    </row>
    <row r="697">
      <c r="I697" s="29"/>
    </row>
    <row r="698">
      <c r="I698" s="29"/>
    </row>
    <row r="699">
      <c r="I699" s="29"/>
    </row>
    <row r="700">
      <c r="I700" s="29"/>
    </row>
    <row r="701">
      <c r="I701" s="29"/>
    </row>
    <row r="702">
      <c r="I702" s="29"/>
    </row>
    <row r="703">
      <c r="I703" s="29"/>
    </row>
    <row r="704">
      <c r="I704" s="29"/>
    </row>
    <row r="705">
      <c r="I705" s="29"/>
    </row>
    <row r="706">
      <c r="I706" s="29"/>
    </row>
    <row r="707">
      <c r="I707" s="29"/>
    </row>
    <row r="708">
      <c r="I708" s="29"/>
    </row>
    <row r="709">
      <c r="I709" s="29"/>
    </row>
    <row r="710">
      <c r="I710" s="29"/>
    </row>
    <row r="711">
      <c r="I711" s="29"/>
    </row>
    <row r="712">
      <c r="I712" s="29"/>
    </row>
    <row r="713">
      <c r="I713" s="29"/>
    </row>
    <row r="714">
      <c r="I714" s="29"/>
    </row>
    <row r="715">
      <c r="I715" s="29"/>
    </row>
    <row r="716">
      <c r="I716" s="29"/>
    </row>
    <row r="717">
      <c r="I717" s="29"/>
    </row>
    <row r="718">
      <c r="I718" s="29"/>
    </row>
    <row r="719">
      <c r="I719" s="29"/>
    </row>
    <row r="720">
      <c r="I720" s="29"/>
    </row>
    <row r="721">
      <c r="I721" s="29"/>
    </row>
    <row r="722">
      <c r="I722" s="29"/>
    </row>
    <row r="723">
      <c r="I723" s="29"/>
    </row>
    <row r="724">
      <c r="I724" s="29"/>
    </row>
    <row r="725">
      <c r="I725" s="29"/>
    </row>
    <row r="726">
      <c r="I726" s="29"/>
    </row>
    <row r="727">
      <c r="I727" s="29"/>
    </row>
    <row r="728">
      <c r="I728" s="29"/>
    </row>
    <row r="729">
      <c r="I729" s="29"/>
    </row>
    <row r="730">
      <c r="I730" s="29"/>
    </row>
    <row r="731">
      <c r="I731" s="29"/>
    </row>
    <row r="732">
      <c r="I732" s="29"/>
    </row>
    <row r="733">
      <c r="I733" s="29"/>
    </row>
    <row r="734">
      <c r="I734" s="29"/>
    </row>
    <row r="735">
      <c r="I735" s="29"/>
    </row>
    <row r="736">
      <c r="I736" s="29"/>
    </row>
    <row r="737">
      <c r="I737" s="29"/>
    </row>
    <row r="738">
      <c r="I738" s="29"/>
    </row>
    <row r="739">
      <c r="I739" s="29"/>
    </row>
    <row r="740">
      <c r="I740" s="29"/>
    </row>
    <row r="741">
      <c r="I741" s="29"/>
    </row>
    <row r="742">
      <c r="I742" s="29"/>
    </row>
    <row r="743">
      <c r="I743" s="29"/>
    </row>
    <row r="744">
      <c r="I744" s="29"/>
    </row>
    <row r="745">
      <c r="I745" s="29"/>
    </row>
    <row r="746">
      <c r="I746" s="29"/>
    </row>
    <row r="747">
      <c r="I747" s="29"/>
    </row>
    <row r="748">
      <c r="I748" s="29"/>
    </row>
    <row r="749">
      <c r="I749" s="29"/>
    </row>
    <row r="750">
      <c r="I750" s="29"/>
    </row>
    <row r="751">
      <c r="I751" s="29"/>
    </row>
    <row r="752">
      <c r="I752" s="29"/>
    </row>
    <row r="753">
      <c r="I753" s="29"/>
    </row>
    <row r="754">
      <c r="I754" s="29"/>
    </row>
    <row r="755">
      <c r="I755" s="29"/>
    </row>
    <row r="756">
      <c r="I756" s="29"/>
    </row>
    <row r="757">
      <c r="I757" s="29"/>
    </row>
    <row r="758">
      <c r="I758" s="29"/>
    </row>
    <row r="759">
      <c r="I759" s="29"/>
    </row>
    <row r="760">
      <c r="I760" s="29"/>
    </row>
    <row r="761">
      <c r="I761" s="29"/>
    </row>
    <row r="762">
      <c r="I762" s="29"/>
    </row>
    <row r="763">
      <c r="I763" s="29"/>
    </row>
    <row r="764">
      <c r="I764" s="29"/>
    </row>
    <row r="765">
      <c r="I765" s="29"/>
    </row>
    <row r="766">
      <c r="I766" s="29"/>
    </row>
    <row r="767">
      <c r="I767" s="29"/>
    </row>
    <row r="768">
      <c r="I768" s="29"/>
    </row>
    <row r="769">
      <c r="I769" s="29"/>
    </row>
    <row r="770">
      <c r="I770" s="29"/>
    </row>
    <row r="771">
      <c r="I771" s="29"/>
    </row>
    <row r="772">
      <c r="I772" s="29"/>
    </row>
    <row r="773">
      <c r="I773" s="29"/>
    </row>
    <row r="774">
      <c r="I774" s="29"/>
    </row>
    <row r="775">
      <c r="I775" s="29"/>
    </row>
    <row r="776">
      <c r="I776" s="29"/>
    </row>
    <row r="777">
      <c r="I777" s="29"/>
    </row>
    <row r="778">
      <c r="I778" s="29"/>
    </row>
    <row r="779">
      <c r="I779" s="29"/>
    </row>
    <row r="780">
      <c r="I780" s="29"/>
    </row>
    <row r="781">
      <c r="I781" s="29"/>
    </row>
    <row r="782">
      <c r="I782" s="29"/>
    </row>
    <row r="783">
      <c r="I783" s="29"/>
    </row>
    <row r="784">
      <c r="I784" s="29"/>
    </row>
    <row r="785">
      <c r="I785" s="29"/>
    </row>
    <row r="786">
      <c r="I786" s="29"/>
    </row>
    <row r="787">
      <c r="I787" s="29"/>
    </row>
    <row r="788">
      <c r="I788" s="29"/>
    </row>
    <row r="789">
      <c r="I789" s="29"/>
    </row>
    <row r="790">
      <c r="I790" s="29"/>
    </row>
    <row r="791">
      <c r="I791" s="29"/>
    </row>
    <row r="792">
      <c r="I792" s="29"/>
    </row>
    <row r="793">
      <c r="I793" s="29"/>
    </row>
    <row r="794">
      <c r="I794" s="29"/>
    </row>
    <row r="795">
      <c r="I795" s="29"/>
    </row>
    <row r="796">
      <c r="I796" s="29"/>
    </row>
    <row r="797">
      <c r="I797" s="29"/>
    </row>
    <row r="798">
      <c r="I798" s="29"/>
    </row>
    <row r="799">
      <c r="I799" s="29"/>
    </row>
    <row r="800">
      <c r="I800" s="29"/>
    </row>
    <row r="801">
      <c r="I801" s="29"/>
    </row>
    <row r="802">
      <c r="I802" s="29"/>
    </row>
    <row r="803">
      <c r="I803" s="29"/>
    </row>
    <row r="804">
      <c r="I804" s="29"/>
    </row>
    <row r="805">
      <c r="I805" s="29"/>
    </row>
    <row r="806">
      <c r="I806" s="29"/>
    </row>
    <row r="807">
      <c r="I807" s="29"/>
    </row>
    <row r="808">
      <c r="I808" s="29"/>
    </row>
    <row r="809">
      <c r="I809" s="29"/>
    </row>
    <row r="810">
      <c r="I810" s="29"/>
    </row>
    <row r="811">
      <c r="I811" s="29"/>
    </row>
    <row r="812">
      <c r="I812" s="29"/>
    </row>
    <row r="813">
      <c r="I813" s="29"/>
    </row>
    <row r="814">
      <c r="I814" s="29"/>
    </row>
    <row r="815">
      <c r="I815" s="29"/>
    </row>
    <row r="816">
      <c r="I816" s="29"/>
    </row>
    <row r="817">
      <c r="I817" s="29"/>
    </row>
    <row r="818">
      <c r="I818" s="29"/>
    </row>
    <row r="819">
      <c r="I819" s="29"/>
    </row>
    <row r="820">
      <c r="I820" s="29"/>
    </row>
    <row r="821">
      <c r="I821" s="29"/>
    </row>
    <row r="822">
      <c r="I822" s="29"/>
    </row>
    <row r="823">
      <c r="I823" s="29"/>
    </row>
    <row r="824">
      <c r="I824" s="29"/>
    </row>
    <row r="825">
      <c r="I825" s="29"/>
    </row>
    <row r="826">
      <c r="I826" s="29"/>
    </row>
    <row r="827">
      <c r="I827" s="29"/>
    </row>
    <row r="828">
      <c r="I828" s="29"/>
    </row>
    <row r="829">
      <c r="I829" s="29"/>
    </row>
    <row r="830">
      <c r="I830" s="29"/>
    </row>
    <row r="831">
      <c r="I831" s="29"/>
    </row>
    <row r="832">
      <c r="I832" s="29"/>
    </row>
    <row r="833">
      <c r="I833" s="29"/>
    </row>
    <row r="834">
      <c r="I834" s="29"/>
    </row>
    <row r="835">
      <c r="I835" s="29"/>
    </row>
    <row r="836">
      <c r="I836" s="29"/>
    </row>
    <row r="837">
      <c r="I837" s="29"/>
    </row>
    <row r="838">
      <c r="I838" s="29"/>
    </row>
    <row r="839">
      <c r="I839" s="29"/>
    </row>
    <row r="840">
      <c r="I840" s="29"/>
    </row>
    <row r="841">
      <c r="I841" s="29"/>
    </row>
    <row r="842">
      <c r="I842" s="29"/>
    </row>
    <row r="843">
      <c r="I843" s="29"/>
    </row>
    <row r="844">
      <c r="I844" s="29"/>
    </row>
    <row r="845">
      <c r="I845" s="29"/>
    </row>
    <row r="846">
      <c r="I846" s="29"/>
    </row>
    <row r="847">
      <c r="I847" s="29"/>
    </row>
    <row r="848">
      <c r="I848" s="29"/>
    </row>
    <row r="849">
      <c r="I849" s="29"/>
    </row>
    <row r="850">
      <c r="I850" s="29"/>
    </row>
    <row r="851">
      <c r="I851" s="29"/>
    </row>
    <row r="852">
      <c r="I852" s="29"/>
    </row>
    <row r="853">
      <c r="I853" s="29"/>
    </row>
    <row r="854">
      <c r="I854" s="29"/>
    </row>
    <row r="855">
      <c r="I855" s="29"/>
    </row>
    <row r="856">
      <c r="I856" s="29"/>
    </row>
    <row r="857">
      <c r="I857" s="29"/>
    </row>
    <row r="858">
      <c r="I858" s="29"/>
    </row>
    <row r="859">
      <c r="I859" s="29"/>
    </row>
    <row r="860">
      <c r="I860" s="29"/>
    </row>
    <row r="861">
      <c r="I861" s="29"/>
    </row>
    <row r="862">
      <c r="I862" s="29"/>
    </row>
    <row r="863">
      <c r="I863" s="29"/>
    </row>
    <row r="864">
      <c r="I864" s="29"/>
    </row>
    <row r="865">
      <c r="I865" s="29"/>
    </row>
    <row r="866">
      <c r="I866" s="29"/>
    </row>
    <row r="867">
      <c r="I867" s="29"/>
    </row>
    <row r="868">
      <c r="I868" s="29"/>
    </row>
    <row r="869">
      <c r="I869" s="29"/>
    </row>
    <row r="870">
      <c r="I870" s="29"/>
    </row>
    <row r="871">
      <c r="I871" s="29"/>
    </row>
    <row r="872">
      <c r="I872" s="29"/>
    </row>
    <row r="873">
      <c r="I873" s="29"/>
    </row>
    <row r="874">
      <c r="I874" s="29"/>
    </row>
    <row r="875">
      <c r="I875" s="29"/>
    </row>
    <row r="876">
      <c r="I876" s="29"/>
    </row>
    <row r="877">
      <c r="I877" s="29"/>
    </row>
    <row r="878">
      <c r="I878" s="29"/>
    </row>
    <row r="879">
      <c r="I879" s="29"/>
    </row>
    <row r="880">
      <c r="I880" s="29"/>
    </row>
    <row r="881">
      <c r="I881" s="29"/>
    </row>
    <row r="882">
      <c r="I882" s="29"/>
    </row>
    <row r="883">
      <c r="I883" s="29"/>
    </row>
    <row r="884">
      <c r="I884" s="29"/>
    </row>
    <row r="885">
      <c r="I885" s="29"/>
    </row>
    <row r="886">
      <c r="I886" s="29"/>
    </row>
    <row r="887">
      <c r="I887" s="29"/>
    </row>
    <row r="888">
      <c r="I888" s="29"/>
    </row>
    <row r="889">
      <c r="I889" s="29"/>
    </row>
    <row r="890">
      <c r="I890" s="29"/>
    </row>
    <row r="891">
      <c r="I891" s="29"/>
    </row>
    <row r="892">
      <c r="I892" s="29"/>
    </row>
    <row r="893">
      <c r="I893" s="29"/>
    </row>
    <row r="894">
      <c r="I894" s="29"/>
    </row>
    <row r="895">
      <c r="I895" s="29"/>
    </row>
    <row r="896">
      <c r="I896" s="29"/>
    </row>
    <row r="897">
      <c r="I897" s="29"/>
    </row>
    <row r="898">
      <c r="I898" s="29"/>
    </row>
    <row r="899">
      <c r="I899" s="29"/>
    </row>
    <row r="900">
      <c r="I900" s="29"/>
    </row>
    <row r="901">
      <c r="I901" s="29"/>
    </row>
    <row r="902">
      <c r="I902" s="29"/>
    </row>
    <row r="903">
      <c r="I903" s="29"/>
    </row>
    <row r="904">
      <c r="I904" s="29"/>
    </row>
    <row r="905">
      <c r="I905" s="29"/>
    </row>
    <row r="906">
      <c r="I906" s="29"/>
    </row>
    <row r="907">
      <c r="I907" s="29"/>
    </row>
    <row r="908">
      <c r="I908" s="29"/>
    </row>
    <row r="909">
      <c r="I909" s="29"/>
    </row>
    <row r="910">
      <c r="I910" s="29"/>
    </row>
    <row r="911">
      <c r="I911" s="29"/>
    </row>
    <row r="912">
      <c r="I912" s="29"/>
    </row>
    <row r="913">
      <c r="I913" s="29"/>
    </row>
    <row r="914">
      <c r="I914" s="29"/>
    </row>
    <row r="915">
      <c r="I915" s="29"/>
    </row>
    <row r="916">
      <c r="I916" s="29"/>
    </row>
    <row r="917">
      <c r="I917" s="29"/>
    </row>
    <row r="918">
      <c r="I918" s="29"/>
    </row>
    <row r="919">
      <c r="I919" s="29"/>
    </row>
    <row r="920">
      <c r="I920" s="29"/>
    </row>
    <row r="921">
      <c r="I921" s="29"/>
    </row>
    <row r="922">
      <c r="I922" s="29"/>
    </row>
    <row r="923">
      <c r="I923" s="29"/>
    </row>
    <row r="924">
      <c r="I924" s="29"/>
    </row>
    <row r="925">
      <c r="I925" s="29"/>
    </row>
    <row r="926">
      <c r="I926" s="29"/>
    </row>
    <row r="927">
      <c r="I927" s="29"/>
    </row>
    <row r="928">
      <c r="I928" s="29"/>
    </row>
    <row r="929">
      <c r="I929" s="29"/>
    </row>
    <row r="930">
      <c r="I930" s="29"/>
    </row>
    <row r="931">
      <c r="I931" s="29"/>
    </row>
    <row r="932">
      <c r="I932" s="29"/>
    </row>
    <row r="933">
      <c r="I933" s="29"/>
    </row>
    <row r="934">
      <c r="I934" s="29"/>
    </row>
    <row r="935">
      <c r="I935" s="29"/>
    </row>
    <row r="936">
      <c r="I936" s="29"/>
    </row>
    <row r="937">
      <c r="I937" s="29"/>
    </row>
    <row r="938">
      <c r="I938" s="29"/>
    </row>
    <row r="939">
      <c r="I939" s="29"/>
    </row>
    <row r="940">
      <c r="I940" s="29"/>
    </row>
    <row r="941">
      <c r="I941" s="29"/>
    </row>
    <row r="942">
      <c r="I942" s="29"/>
    </row>
    <row r="943">
      <c r="I943" s="29"/>
    </row>
    <row r="944">
      <c r="I944" s="29"/>
    </row>
    <row r="945">
      <c r="I945" s="29"/>
    </row>
    <row r="946">
      <c r="I946" s="29"/>
    </row>
    <row r="947">
      <c r="I947" s="29"/>
    </row>
    <row r="948">
      <c r="I948" s="29"/>
    </row>
    <row r="949">
      <c r="I949" s="29"/>
    </row>
    <row r="950">
      <c r="I950" s="29"/>
    </row>
    <row r="951">
      <c r="I951" s="29"/>
    </row>
    <row r="952">
      <c r="I952" s="29"/>
    </row>
    <row r="953">
      <c r="I953" s="29"/>
    </row>
    <row r="954">
      <c r="I954" s="29"/>
    </row>
    <row r="955">
      <c r="I955" s="29"/>
    </row>
    <row r="956">
      <c r="I956" s="29"/>
    </row>
    <row r="957">
      <c r="I957" s="29"/>
    </row>
    <row r="958">
      <c r="I958" s="29"/>
    </row>
    <row r="959">
      <c r="I959" s="29"/>
    </row>
    <row r="960">
      <c r="I960" s="29"/>
    </row>
    <row r="961">
      <c r="I961" s="29"/>
    </row>
    <row r="962">
      <c r="I962" s="29"/>
    </row>
    <row r="963">
      <c r="I963" s="29"/>
    </row>
    <row r="964">
      <c r="I964" s="29"/>
    </row>
    <row r="965">
      <c r="I965" s="29"/>
    </row>
    <row r="966">
      <c r="I966" s="29"/>
    </row>
    <row r="967">
      <c r="I967" s="29"/>
    </row>
    <row r="968">
      <c r="I968" s="29"/>
    </row>
    <row r="969">
      <c r="I969" s="29"/>
    </row>
    <row r="970">
      <c r="I970" s="29"/>
    </row>
    <row r="971">
      <c r="I971" s="29"/>
    </row>
    <row r="972">
      <c r="I972" s="29"/>
    </row>
    <row r="973">
      <c r="I973" s="29"/>
    </row>
    <row r="974">
      <c r="I974" s="29"/>
    </row>
    <row r="975">
      <c r="I975" s="29"/>
    </row>
    <row r="976">
      <c r="I976" s="29"/>
    </row>
    <row r="977">
      <c r="I977" s="29"/>
    </row>
    <row r="978">
      <c r="I978" s="29"/>
    </row>
    <row r="979">
      <c r="I979" s="29"/>
    </row>
    <row r="980">
      <c r="I980" s="29"/>
    </row>
    <row r="981">
      <c r="I981" s="29"/>
    </row>
    <row r="982">
      <c r="I982" s="29"/>
    </row>
    <row r="983">
      <c r="I983" s="29"/>
    </row>
    <row r="984">
      <c r="I984" s="29"/>
    </row>
    <row r="985">
      <c r="I985" s="29"/>
    </row>
    <row r="986">
      <c r="I986" s="29"/>
    </row>
    <row r="987">
      <c r="I987" s="29"/>
    </row>
    <row r="988">
      <c r="I988" s="29"/>
    </row>
    <row r="989">
      <c r="I989" s="29"/>
    </row>
    <row r="990">
      <c r="I990" s="29"/>
    </row>
    <row r="991">
      <c r="I991" s="29"/>
    </row>
    <row r="992">
      <c r="I992" s="29"/>
    </row>
    <row r="993">
      <c r="I993" s="29"/>
    </row>
    <row r="994">
      <c r="I994" s="29"/>
    </row>
    <row r="995">
      <c r="I995" s="29"/>
    </row>
    <row r="996">
      <c r="I996" s="29"/>
    </row>
    <row r="997">
      <c r="I997" s="29"/>
    </row>
    <row r="998">
      <c r="I998" s="29"/>
    </row>
    <row r="999">
      <c r="I999" s="29"/>
    </row>
  </sheetData>
  <conditionalFormatting sqref="B1">
    <cfRule type="notContainsBlanks" dxfId="5" priority="1">
      <formula>LEN(TRIM(B1))&gt;0</formula>
    </cfRule>
  </conditionalFormatting>
  <dataValidations>
    <dataValidation type="list" allowBlank="1" sqref="H2:H104">
      <formula1>#REF!</formula1>
    </dataValidation>
    <dataValidation type="list" allowBlank="1" showErrorMessage="1" sqref="K2:K104">
      <formula1>#REF!</formula1>
    </dataValidation>
    <dataValidation type="custom" allowBlank="1" showDropDown="1" sqref="L2:L104">
      <formula1>OR(NOT(ISERROR(DATEVALUE(L2))), AND(ISNUMBER(L2), LEFT(CELL("format", L2))="D"))</formula1>
    </dataValidation>
    <dataValidation type="custom" allowBlank="1" showDropDown="1" sqref="I2:I104">
      <formula1>AND(ISNUMBER(I2),(NOT(OR(NOT(ISERROR(DATEVALUE(I2))), AND(ISNUMBER(I2), LEFT(CELL("format", I2))="D")))))</formula1>
    </dataValidation>
    <dataValidation type="list" allowBlank="1" sqref="B2:B104 E2:E104 M2:M104">
      <formula1>#REF!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34"/>
  </hyperlinks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9.43"/>
    <col customWidth="1" min="3" max="3" width="29.14"/>
    <col customWidth="1" min="4" max="4" width="24.0"/>
    <col customWidth="1" min="5" max="5" width="9.43"/>
    <col customWidth="1" min="6" max="6" width="35.14"/>
    <col customWidth="1" min="7" max="7" width="21.43"/>
    <col customWidth="1" min="8" max="8" width="18.29"/>
    <col customWidth="1" min="9" max="9" width="9.57"/>
    <col customWidth="1" min="10" max="10" width="33.43"/>
    <col customWidth="1" min="11" max="11" width="7.0"/>
    <col customWidth="1" min="12" max="12" width="17.14"/>
    <col customWidth="1" min="13" max="13" width="8.14"/>
    <col customWidth="1" min="14" max="14" width="15.14"/>
    <col customWidth="1" min="15" max="15" width="89.14"/>
    <col customWidth="1" min="16" max="22" width="9.14"/>
  </cols>
  <sheetData>
    <row r="1">
      <c r="A1" s="30" t="s">
        <v>267</v>
      </c>
      <c r="B1" s="30" t="s">
        <v>268</v>
      </c>
      <c r="C1" s="30" t="s">
        <v>2</v>
      </c>
      <c r="D1" s="30" t="s">
        <v>3</v>
      </c>
      <c r="E1" s="31" t="s">
        <v>4</v>
      </c>
      <c r="F1" s="32" t="s">
        <v>5</v>
      </c>
      <c r="G1" s="30" t="s">
        <v>6</v>
      </c>
      <c r="H1" s="33" t="s">
        <v>269</v>
      </c>
      <c r="I1" s="30" t="s">
        <v>270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271</v>
      </c>
    </row>
    <row r="2">
      <c r="A2" s="34" t="str">
        <f>IFERROR(__xludf.DUMMYFUNCTION("FILTER(Pipeline!A2:O999, LEFT(Pipeline!A2:A999,2)=""V-"")"),"V-002")</f>
        <v>V-002</v>
      </c>
      <c r="B2" s="34" t="str">
        <f>IFERROR(__xludf.DUMMYFUNCTION("""COMPUTED_VALUE"""),"Vendedor")</f>
        <v>Vendedor</v>
      </c>
      <c r="C2" s="34" t="str">
        <f>IFERROR(__xludf.DUMMYFUNCTION("""COMPUTED_VALUE"""),"Leandro Ferreira")</f>
        <v>Leandro Ferreira</v>
      </c>
      <c r="D2" s="34" t="str">
        <f>IFERROR(__xludf.DUMMYFUNCTION("""COMPUTED_VALUE"""),"Pedras Congonhas")</f>
        <v>Pedras Congonhas</v>
      </c>
      <c r="E2" s="35" t="str">
        <f>IFERROR(__xludf.DUMMYFUNCTION("""COMPUTED_VALUE"""),"Brasil")</f>
        <v>Brasil</v>
      </c>
      <c r="F2" s="36" t="str">
        <f>IFERROR(__xludf.DUMMYFUNCTION("""COMPUTED_VALUE"""),"leandrolimeirabh@gmail.com")</f>
        <v>leandrolimeirabh@gmail.com</v>
      </c>
      <c r="G2" s="34" t="str">
        <f>IFERROR(__xludf.DUMMYFUNCTION("""COMPUTED_VALUE"""),"tel:(31)997524496")</f>
        <v>tel:(31)997524496</v>
      </c>
      <c r="H2" s="37" t="str">
        <f>IFERROR(__xludf.DUMMYFUNCTION("""COMPUTED_VALUE"""),"Cobre en breña")</f>
        <v>Cobre en breña</v>
      </c>
      <c r="I2" s="38">
        <f>IFERROR(__xludf.DUMMYFUNCTION("""COMPUTED_VALUE"""),0.0)</f>
        <v>0</v>
      </c>
      <c r="J2" s="34" t="str">
        <f>IFERROR(__xludf.DUMMYFUNCTION("""COMPUTED_VALUE"""),"Averiguar Mineral")</f>
        <v>Averiguar Mineral</v>
      </c>
      <c r="K2" s="34" t="str">
        <f>IFERROR(__xludf.DUMMYFUNCTION("""COMPUTED_VALUE"""),"Nuevo")</f>
        <v>Nuevo</v>
      </c>
      <c r="L2" s="39">
        <f>IFERROR(__xludf.DUMMYFUNCTION("""COMPUTED_VALUE"""),45920.0)</f>
        <v>45920</v>
      </c>
      <c r="M2" s="34" t="str">
        <f>IFERROR(__xludf.DUMMYFUNCTION("""COMPUTED_VALUE"""),"Linkedin")</f>
        <v>Linkedin</v>
      </c>
      <c r="N2" s="34" t="str">
        <f>IFERROR(__xludf.DUMMYFUNCTION("""COMPUTED_VALUE"""),"Robinson Godoy")</f>
        <v>Robinson Godoy</v>
      </c>
      <c r="O2" s="34" t="str">
        <f>IFERROR(__xludf.DUMMYFUNCTION("""COMPUTED_VALUE"""),"Enviar Email")</f>
        <v>Enviar Email</v>
      </c>
    </row>
    <row r="3">
      <c r="A3" s="34" t="str">
        <f>IFERROR(__xludf.DUMMYFUNCTION("""COMPUTED_VALUE"""),"V-003")</f>
        <v>V-003</v>
      </c>
      <c r="B3" s="34" t="str">
        <f>IFERROR(__xludf.DUMMYFUNCTION("""COMPUTED_VALUE"""),"Vendedor")</f>
        <v>Vendedor</v>
      </c>
      <c r="C3" s="34" t="str">
        <f>IFERROR(__xludf.DUMMYFUNCTION("""COMPUTED_VALUE"""),"Mateus Henrique dos Santos")</f>
        <v>Mateus Henrique dos Santos</v>
      </c>
      <c r="D3" s="34" t="str">
        <f>IFERROR(__xludf.DUMMYFUNCTION("""COMPUTED_VALUE"""),"Gold Minera y Metalurgica")</f>
        <v>Gold Minera y Metalurgica</v>
      </c>
      <c r="E3" s="35" t="str">
        <f>IFERROR(__xludf.DUMMYFUNCTION("""COMPUTED_VALUE"""),"Brasil")</f>
        <v>Brasil</v>
      </c>
      <c r="F3" s="40" t="str">
        <f>IFERROR(__xludf.DUMMYFUNCTION("""COMPUTED_VALUE"""),"mateushenriquesantosjm@gmail.com")</f>
        <v>mateushenriquesantosjm@gmail.com</v>
      </c>
      <c r="G3" s="34" t="str">
        <f>IFERROR(__xludf.DUMMYFUNCTION("""COMPUTED_VALUE"""),"tel:+55 (74) 99940 9668")</f>
        <v>tel:+55 (74) 99940 9668</v>
      </c>
      <c r="H3" s="41" t="str">
        <f>IFERROR(__xludf.DUMMYFUNCTION("""COMPUTED_VALUE"""),"Oro")</f>
        <v>Oro</v>
      </c>
      <c r="I3" s="38">
        <f>IFERROR(__xludf.DUMMYFUNCTION("""COMPUTED_VALUE"""),0.0)</f>
        <v>0</v>
      </c>
      <c r="J3" s="34" t="str">
        <f>IFERROR(__xludf.DUMMYFUNCTION("""COMPUTED_VALUE"""),"Averiguar Volumen")</f>
        <v>Averiguar Volumen</v>
      </c>
      <c r="K3" s="34" t="str">
        <f>IFERROR(__xludf.DUMMYFUNCTION("""COMPUTED_VALUE"""),"Nuevo")</f>
        <v>Nuevo</v>
      </c>
      <c r="L3" s="39">
        <f>IFERROR(__xludf.DUMMYFUNCTION("""COMPUTED_VALUE"""),45921.0)</f>
        <v>45921</v>
      </c>
      <c r="M3" s="34" t="str">
        <f>IFERROR(__xludf.DUMMYFUNCTION("""COMPUTED_VALUE"""),"Linkedin")</f>
        <v>Linkedin</v>
      </c>
      <c r="N3" s="34" t="str">
        <f>IFERROR(__xludf.DUMMYFUNCTION("""COMPUTED_VALUE"""),"Robinson Godoy")</f>
        <v>Robinson Godoy</v>
      </c>
      <c r="O3" s="34" t="str">
        <f>IFERROR(__xludf.DUMMYFUNCTION("""COMPUTED_VALUE"""),"Enviar Email")</f>
        <v>Enviar Email</v>
      </c>
    </row>
    <row r="4">
      <c r="A4" s="34" t="str">
        <f>IFERROR(__xludf.DUMMYFUNCTION("""COMPUTED_VALUE"""),"V-004")</f>
        <v>V-004</v>
      </c>
      <c r="B4" s="34" t="str">
        <f>IFERROR(__xludf.DUMMYFUNCTION("""COMPUTED_VALUE"""),"Vendedor")</f>
        <v>Vendedor</v>
      </c>
      <c r="C4" s="34" t="str">
        <f>IFERROR(__xludf.DUMMYFUNCTION("""COMPUTED_VALUE"""),"Elmer Flores Huarcaya")</f>
        <v>Elmer Flores Huarcaya</v>
      </c>
      <c r="D4" s="34" t="str">
        <f>IFERROR(__xludf.DUMMYFUNCTION("""COMPUTED_VALUE"""),"Aris Mining")</f>
        <v>Aris Mining</v>
      </c>
      <c r="E4" s="35" t="str">
        <f>IFERROR(__xludf.DUMMYFUNCTION("""COMPUTED_VALUE"""),"Peru")</f>
        <v>Peru</v>
      </c>
      <c r="F4" s="36" t="str">
        <f>IFERROR(__xludf.DUMMYFUNCTION("""COMPUTED_VALUE"""),"elmer.flores1402@hotmail.com")</f>
        <v>elmer.flores1402@hotmail.com</v>
      </c>
      <c r="G4" s="34" t="str">
        <f>IFERROR(__xludf.DUMMYFUNCTION("""COMPUTED_VALUE"""),"tel:987704870")</f>
        <v>tel:987704870</v>
      </c>
      <c r="H4" s="39" t="str">
        <f>IFERROR(__xludf.DUMMYFUNCTION("""COMPUTED_VALUE"""),"Oro")</f>
        <v>Oro</v>
      </c>
      <c r="I4" s="38">
        <f>IFERROR(__xludf.DUMMYFUNCTION("""COMPUTED_VALUE"""),170000.0)</f>
        <v>170000</v>
      </c>
      <c r="J4" s="34" t="str">
        <f>IFERROR(__xludf.DUMMYFUNCTION("""COMPUTED_VALUE"""),"Toneladas")</f>
        <v>Toneladas</v>
      </c>
      <c r="K4" s="34" t="str">
        <f>IFERROR(__xludf.DUMMYFUNCTION("""COMPUTED_VALUE"""),"Nuevo")</f>
        <v>Nuevo</v>
      </c>
      <c r="L4" s="39">
        <f>IFERROR(__xludf.DUMMYFUNCTION("""COMPUTED_VALUE"""),45921.0)</f>
        <v>45921</v>
      </c>
      <c r="M4" s="34" t="str">
        <f>IFERROR(__xludf.DUMMYFUNCTION("""COMPUTED_VALUE"""),"Linkedin")</f>
        <v>Linkedin</v>
      </c>
      <c r="N4" s="34" t="str">
        <f>IFERROR(__xludf.DUMMYFUNCTION("""COMPUTED_VALUE"""),"Robinson Godoy")</f>
        <v>Robinson Godoy</v>
      </c>
      <c r="O4" s="34" t="str">
        <f>IFERROR(__xludf.DUMMYFUNCTION("""COMPUTED_VALUE"""),"Enviar Email")</f>
        <v>Enviar Email</v>
      </c>
    </row>
    <row r="5">
      <c r="A5" s="34" t="str">
        <f>IFERROR(__xludf.DUMMYFUNCTION("""COMPUTED_VALUE"""),"V-005")</f>
        <v>V-005</v>
      </c>
      <c r="B5" s="34" t="str">
        <f>IFERROR(__xludf.DUMMYFUNCTION("""COMPUTED_VALUE"""),"Vendedor")</f>
        <v>Vendedor</v>
      </c>
      <c r="C5" s="34" t="str">
        <f>IFERROR(__xludf.DUMMYFUNCTION("""COMPUTED_VALUE"""),"Eduardo Orban")</f>
        <v>Eduardo Orban</v>
      </c>
      <c r="D5" s="34" t="str">
        <f>IFERROR(__xludf.DUMMYFUNCTION("""COMPUTED_VALUE"""),"Minera Taboca")</f>
        <v>Minera Taboca</v>
      </c>
      <c r="E5" s="35" t="str">
        <f>IFERROR(__xludf.DUMMYFUNCTION("""COMPUTED_VALUE"""),"Brasil")</f>
        <v>Brasil</v>
      </c>
      <c r="F5" s="36" t="str">
        <f>IFERROR(__xludf.DUMMYFUNCTION("""COMPUTED_VALUE"""),"eduorban@hotmail.com")</f>
        <v>eduorban@hotmail.com</v>
      </c>
      <c r="G5" s="34"/>
      <c r="H5" s="39" t="str">
        <f>IFERROR(__xludf.DUMMYFUNCTION("""COMPUTED_VALUE"""),"Tierras raras, Estaño")</f>
        <v>Tierras raras, Estaño</v>
      </c>
      <c r="I5" s="38">
        <f>IFERROR(__xludf.DUMMYFUNCTION("""COMPUTED_VALUE"""),0.0)</f>
        <v>0</v>
      </c>
      <c r="J5" s="34" t="str">
        <f>IFERROR(__xludf.DUMMYFUNCTION("""COMPUTED_VALUE"""),"Averiguar Volumen")</f>
        <v>Averiguar Volumen</v>
      </c>
      <c r="K5" s="34" t="str">
        <f>IFERROR(__xludf.DUMMYFUNCTION("""COMPUTED_VALUE"""),"Nuevo")</f>
        <v>Nuevo</v>
      </c>
      <c r="L5" s="39">
        <f>IFERROR(__xludf.DUMMYFUNCTION("""COMPUTED_VALUE"""),45917.0)</f>
        <v>45917</v>
      </c>
      <c r="M5" s="34" t="str">
        <f>IFERROR(__xludf.DUMMYFUNCTION("""COMPUTED_VALUE"""),"Linkedin")</f>
        <v>Linkedin</v>
      </c>
      <c r="N5" s="34" t="str">
        <f>IFERROR(__xludf.DUMMYFUNCTION("""COMPUTED_VALUE"""),"Robinson Godoy")</f>
        <v>Robinson Godoy</v>
      </c>
      <c r="O5" s="34" t="str">
        <f>IFERROR(__xludf.DUMMYFUNCTION("""COMPUTED_VALUE"""),"Enviar Email")</f>
        <v>Enviar Email</v>
      </c>
    </row>
    <row r="6">
      <c r="A6" s="34" t="str">
        <f>IFERROR(__xludf.DUMMYFUNCTION("""COMPUTED_VALUE"""),"V-006")</f>
        <v>V-006</v>
      </c>
      <c r="B6" s="34" t="str">
        <f>IFERROR(__xludf.DUMMYFUNCTION("""COMPUTED_VALUE"""),"Vendedor")</f>
        <v>Vendedor</v>
      </c>
      <c r="C6" s="34" t="str">
        <f>IFERROR(__xludf.DUMMYFUNCTION("""COMPUTED_VALUE"""),"Orben Ferraz")</f>
        <v>Orben Ferraz</v>
      </c>
      <c r="D6" s="34" t="str">
        <f>IFERROR(__xludf.DUMMYFUNCTION("""COMPUTED_VALUE"""),"Grupo Guidoni")</f>
        <v>Grupo Guidoni</v>
      </c>
      <c r="E6" s="35" t="str">
        <f>IFERROR(__xludf.DUMMYFUNCTION("""COMPUTED_VALUE"""),"Brasil")</f>
        <v>Brasil</v>
      </c>
      <c r="F6" s="36" t="str">
        <f>IFERROR(__xludf.DUMMYFUNCTION("""COMPUTED_VALUE"""),"oefferraz@gmail.com")</f>
        <v>oefferraz@gmail.com</v>
      </c>
      <c r="G6" s="34" t="str">
        <f>IFERROR(__xludf.DUMMYFUNCTION("""COMPUTED_VALUE"""),"tel:27 995305556")</f>
        <v>tel:27 995305556</v>
      </c>
      <c r="H6" s="39" t="str">
        <f>IFERROR(__xludf.DUMMYFUNCTION("""COMPUTED_VALUE"""),"Otros")</f>
        <v>Otros</v>
      </c>
      <c r="I6" s="38">
        <f>IFERROR(__xludf.DUMMYFUNCTION("""COMPUTED_VALUE"""),230000.0)</f>
        <v>230000</v>
      </c>
      <c r="J6" s="34" t="str">
        <f>IFERROR(__xludf.DUMMYFUNCTION("""COMPUTED_VALUE"""),"M2 Granito y marmoles")</f>
        <v>M2 Granito y marmoles</v>
      </c>
      <c r="K6" s="34" t="str">
        <f>IFERROR(__xludf.DUMMYFUNCTION("""COMPUTED_VALUE"""),"Nuevo")</f>
        <v>Nuevo</v>
      </c>
      <c r="L6" s="39">
        <f>IFERROR(__xludf.DUMMYFUNCTION("""COMPUTED_VALUE"""),45920.0)</f>
        <v>45920</v>
      </c>
      <c r="M6" s="34" t="str">
        <f>IFERROR(__xludf.DUMMYFUNCTION("""COMPUTED_VALUE"""),"Linkedin")</f>
        <v>Linkedin</v>
      </c>
      <c r="N6" s="34" t="str">
        <f>IFERROR(__xludf.DUMMYFUNCTION("""COMPUTED_VALUE"""),"Robinson Godoy")</f>
        <v>Robinson Godoy</v>
      </c>
      <c r="O6" s="34" t="str">
        <f>IFERROR(__xludf.DUMMYFUNCTION("""COMPUTED_VALUE"""),"Enviar Email")</f>
        <v>Enviar Email</v>
      </c>
    </row>
    <row r="7">
      <c r="A7" s="34" t="str">
        <f>IFERROR(__xludf.DUMMYFUNCTION("""COMPUTED_VALUE"""),"V-007")</f>
        <v>V-007</v>
      </c>
      <c r="B7" s="34" t="str">
        <f>IFERROR(__xludf.DUMMYFUNCTION("""COMPUTED_VALUE"""),"Vendedor")</f>
        <v>Vendedor</v>
      </c>
      <c r="C7" s="34" t="str">
        <f>IFERROR(__xludf.DUMMYFUNCTION("""COMPUTED_VALUE"""),"Dick Manuel Araya Richards")</f>
        <v>Dick Manuel Araya Richards</v>
      </c>
      <c r="D7" s="34" t="str">
        <f>IFERROR(__xludf.DUMMYFUNCTION("""COMPUTED_VALUE"""),"Vizsla Silvr")</f>
        <v>Vizsla Silvr</v>
      </c>
      <c r="E7" s="35" t="str">
        <f>IFERROR(__xludf.DUMMYFUNCTION("""COMPUTED_VALUE"""),"Mexico")</f>
        <v>Mexico</v>
      </c>
      <c r="F7" s="36" t="str">
        <f>IFERROR(__xludf.DUMMYFUNCTION("""COMPUTED_VALUE"""),"dickaraya1973@gmail.com")</f>
        <v>dickaraya1973@gmail.com</v>
      </c>
      <c r="G7" s="34" t="str">
        <f>IFERROR(__xludf.DUMMYFUNCTION("""COMPUTED_VALUE"""),"tel:+52 1 3310173635")</f>
        <v>tel:+52 1 3310173635</v>
      </c>
      <c r="H7" s="39" t="str">
        <f>IFERROR(__xludf.DUMMYFUNCTION("""COMPUTED_VALUE"""),"Plata, Oro")</f>
        <v>Plata, Oro</v>
      </c>
      <c r="I7" s="38">
        <f>IFERROR(__xludf.DUMMYFUNCTION("""COMPUTED_VALUE"""),36.0)</f>
        <v>36</v>
      </c>
      <c r="J7" s="34" t="str">
        <f>IFERROR(__xludf.DUMMYFUNCTION("""COMPUTED_VALUE"""),"Toneladas")</f>
        <v>Toneladas</v>
      </c>
      <c r="K7" s="34" t="str">
        <f>IFERROR(__xludf.DUMMYFUNCTION("""COMPUTED_VALUE"""),"Nuevo")</f>
        <v>Nuevo</v>
      </c>
      <c r="L7" s="39">
        <f>IFERROR(__xludf.DUMMYFUNCTION("""COMPUTED_VALUE"""),45917.0)</f>
        <v>45917</v>
      </c>
      <c r="M7" s="34" t="str">
        <f>IFERROR(__xludf.DUMMYFUNCTION("""COMPUTED_VALUE"""),"Linkedin")</f>
        <v>Linkedin</v>
      </c>
      <c r="N7" s="34" t="str">
        <f>IFERROR(__xludf.DUMMYFUNCTION("""COMPUTED_VALUE"""),"Robinson Godoy")</f>
        <v>Robinson Godoy</v>
      </c>
      <c r="O7" s="34" t="str">
        <f>IFERROR(__xludf.DUMMYFUNCTION("""COMPUTED_VALUE"""),"Enviar Email")</f>
        <v>Enviar Email</v>
      </c>
    </row>
    <row r="8">
      <c r="A8" s="34" t="str">
        <f>IFERROR(__xludf.DUMMYFUNCTION("""COMPUTED_VALUE"""),"V-008")</f>
        <v>V-008</v>
      </c>
      <c r="B8" s="34" t="str">
        <f>IFERROR(__xludf.DUMMYFUNCTION("""COMPUTED_VALUE"""),"Vendedor")</f>
        <v>Vendedor</v>
      </c>
      <c r="C8" s="34" t="str">
        <f>IFERROR(__xludf.DUMMYFUNCTION("""COMPUTED_VALUE"""),"Fabricio Pacheco Cavalcanti")</f>
        <v>Fabricio Pacheco Cavalcanti</v>
      </c>
      <c r="D8" s="34" t="str">
        <f>IFERROR(__xludf.DUMMYFUNCTION("""COMPUTED_VALUE"""),"Atlantic Nickel")</f>
        <v>Atlantic Nickel</v>
      </c>
      <c r="E8" s="35" t="str">
        <f>IFERROR(__xludf.DUMMYFUNCTION("""COMPUTED_VALUE"""),"Brasil")</f>
        <v>Brasil</v>
      </c>
      <c r="F8" s="36" t="str">
        <f>IFERROR(__xludf.DUMMYFUNCTION("""COMPUTED_VALUE"""),"fpc.cavalcanti.fpc@gmail.com")</f>
        <v>fpc.cavalcanti.fpc@gmail.com</v>
      </c>
      <c r="G8" s="34"/>
      <c r="H8" s="39" t="str">
        <f>IFERROR(__xludf.DUMMYFUNCTION("""COMPUTED_VALUE"""),"Otros")</f>
        <v>Otros</v>
      </c>
      <c r="I8" s="38">
        <f>IFERROR(__xludf.DUMMYFUNCTION("""COMPUTED_VALUE"""),0.0)</f>
        <v>0</v>
      </c>
      <c r="J8" s="34" t="str">
        <f>IFERROR(__xludf.DUMMYFUNCTION("""COMPUTED_VALUE"""),"Nickel Averigual volumen")</f>
        <v>Nickel Averigual volumen</v>
      </c>
      <c r="K8" s="34" t="str">
        <f>IFERROR(__xludf.DUMMYFUNCTION("""COMPUTED_VALUE"""),"Nuevo")</f>
        <v>Nuevo</v>
      </c>
      <c r="L8" s="39">
        <f>IFERROR(__xludf.DUMMYFUNCTION("""COMPUTED_VALUE"""),45922.0)</f>
        <v>45922</v>
      </c>
      <c r="M8" s="34" t="str">
        <f>IFERROR(__xludf.DUMMYFUNCTION("""COMPUTED_VALUE"""),"Linkedin")</f>
        <v>Linkedin</v>
      </c>
      <c r="N8" s="34" t="str">
        <f>IFERROR(__xludf.DUMMYFUNCTION("""COMPUTED_VALUE"""),"Robinson Godoy")</f>
        <v>Robinson Godoy</v>
      </c>
      <c r="O8" s="34" t="str">
        <f>IFERROR(__xludf.DUMMYFUNCTION("""COMPUTED_VALUE"""),"Enviar Email")</f>
        <v>Enviar Email</v>
      </c>
    </row>
    <row r="9">
      <c r="A9" s="34" t="str">
        <f>IFERROR(__xludf.DUMMYFUNCTION("""COMPUTED_VALUE"""),"V-009")</f>
        <v>V-009</v>
      </c>
      <c r="B9" s="34" t="str">
        <f>IFERROR(__xludf.DUMMYFUNCTION("""COMPUTED_VALUE"""),"Vendedor")</f>
        <v>Vendedor</v>
      </c>
      <c r="C9" s="34" t="str">
        <f>IFERROR(__xludf.DUMMYFUNCTION("""COMPUTED_VALUE"""),"Eduardo Queiroz")</f>
        <v>Eduardo Queiroz</v>
      </c>
      <c r="D9" s="34" t="str">
        <f>IFERROR(__xludf.DUMMYFUNCTION("""COMPUTED_VALUE"""),"Bamin")</f>
        <v>Bamin</v>
      </c>
      <c r="E9" s="35" t="str">
        <f>IFERROR(__xludf.DUMMYFUNCTION("""COMPUTED_VALUE"""),"Brasil")</f>
        <v>Brasil</v>
      </c>
      <c r="F9" s="36" t="str">
        <f>IFERROR(__xludf.DUMMYFUNCTION("""COMPUTED_VALUE"""),"eribeiroqueiroz@gmail.com")</f>
        <v>eribeiroqueiroz@gmail.com</v>
      </c>
      <c r="G9" s="34" t="str">
        <f>IFERROR(__xludf.DUMMYFUNCTION("""COMPUTED_VALUE"""),"tel:+5531996325364")</f>
        <v>tel:+5531996325364</v>
      </c>
      <c r="H9" s="39" t="str">
        <f>IFERROR(__xludf.DUMMYFUNCTION("""COMPUTED_VALUE"""),"Hierro")</f>
        <v>Hierro</v>
      </c>
      <c r="I9" s="38">
        <f>IFERROR(__xludf.DUMMYFUNCTION("""COMPUTED_VALUE"""),167000.0)</f>
        <v>167000</v>
      </c>
      <c r="J9" s="34" t="str">
        <f>IFERROR(__xludf.DUMMYFUNCTION("""COMPUTED_VALUE"""),"65% y 68%")</f>
        <v>65% y 68%</v>
      </c>
      <c r="K9" s="34" t="str">
        <f>IFERROR(__xludf.DUMMYFUNCTION("""COMPUTED_VALUE"""),"Nuevo")</f>
        <v>Nuevo</v>
      </c>
      <c r="L9" s="39">
        <f>IFERROR(__xludf.DUMMYFUNCTION("""COMPUTED_VALUE"""),45921.0)</f>
        <v>45921</v>
      </c>
      <c r="M9" s="34" t="str">
        <f>IFERROR(__xludf.DUMMYFUNCTION("""COMPUTED_VALUE"""),"Linkedin")</f>
        <v>Linkedin</v>
      </c>
      <c r="N9" s="34" t="str">
        <f>IFERROR(__xludf.DUMMYFUNCTION("""COMPUTED_VALUE"""),"Robinson Godoy")</f>
        <v>Robinson Godoy</v>
      </c>
      <c r="O9" s="34" t="str">
        <f>IFERROR(__xludf.DUMMYFUNCTION("""COMPUTED_VALUE"""),"Enviar Email")</f>
        <v>Enviar Email</v>
      </c>
    </row>
    <row r="10">
      <c r="A10" s="34" t="str">
        <f>IFERROR(__xludf.DUMMYFUNCTION("""COMPUTED_VALUE"""),"V-010")</f>
        <v>V-010</v>
      </c>
      <c r="B10" s="34" t="str">
        <f>IFERROR(__xludf.DUMMYFUNCTION("""COMPUTED_VALUE"""),"Vendedor")</f>
        <v>Vendedor</v>
      </c>
      <c r="C10" s="34" t="str">
        <f>IFERROR(__xludf.DUMMYFUNCTION("""COMPUTED_VALUE"""),"Gilmar Vieira")</f>
        <v>Gilmar Vieira</v>
      </c>
      <c r="D10" s="34" t="str">
        <f>IFERROR(__xludf.DUMMYFUNCTION("""COMPUTED_VALUE"""),"Herculiano Minera")</f>
        <v>Herculiano Minera</v>
      </c>
      <c r="E10" s="35" t="str">
        <f>IFERROR(__xludf.DUMMYFUNCTION("""COMPUTED_VALUE"""),"Brasil")</f>
        <v>Brasil</v>
      </c>
      <c r="F10" s="36" t="str">
        <f>IFERROR(__xludf.DUMMYFUNCTION("""COMPUTED_VALUE"""),"gil_vieira_2007@hotmail.com")</f>
        <v>gil_vieira_2007@hotmail.com</v>
      </c>
      <c r="G10" s="34"/>
      <c r="H10" s="39" t="str">
        <f>IFERROR(__xludf.DUMMYFUNCTION("""COMPUTED_VALUE"""),"Hierro")</f>
        <v>Hierro</v>
      </c>
      <c r="I10" s="38">
        <f>IFERROR(__xludf.DUMMYFUNCTION("""COMPUTED_VALUE"""),5000000.0)</f>
        <v>5000000</v>
      </c>
      <c r="J10" s="34" t="str">
        <f>IFERROR(__xludf.DUMMYFUNCTION("""COMPUTED_VALUE"""),"Averiguar ley")</f>
        <v>Averiguar ley</v>
      </c>
      <c r="K10" s="34" t="str">
        <f>IFERROR(__xludf.DUMMYFUNCTION("""COMPUTED_VALUE"""),"Nuevo")</f>
        <v>Nuevo</v>
      </c>
      <c r="L10" s="39">
        <f>IFERROR(__xludf.DUMMYFUNCTION("""COMPUTED_VALUE"""),45920.0)</f>
        <v>45920</v>
      </c>
      <c r="M10" s="34" t="str">
        <f>IFERROR(__xludf.DUMMYFUNCTION("""COMPUTED_VALUE"""),"Linkedin")</f>
        <v>Linkedin</v>
      </c>
      <c r="N10" s="34" t="str">
        <f>IFERROR(__xludf.DUMMYFUNCTION("""COMPUTED_VALUE"""),"Robinson Godoy")</f>
        <v>Robinson Godoy</v>
      </c>
      <c r="O10" s="34" t="str">
        <f>IFERROR(__xludf.DUMMYFUNCTION("""COMPUTED_VALUE"""),"Enviar Email")</f>
        <v>Enviar Email</v>
      </c>
    </row>
    <row r="11">
      <c r="A11" s="34" t="str">
        <f>IFERROR(__xludf.DUMMYFUNCTION("""COMPUTED_VALUE"""),"V-011")</f>
        <v>V-011</v>
      </c>
      <c r="B11" s="34" t="str">
        <f>IFERROR(__xludf.DUMMYFUNCTION("""COMPUTED_VALUE"""),"Vendedor")</f>
        <v>Vendedor</v>
      </c>
      <c r="C11" s="34" t="str">
        <f>IFERROR(__xludf.DUMMYFUNCTION("""COMPUTED_VALUE"""),"Ian Dobereiner")</f>
        <v>Ian Dobereiner</v>
      </c>
      <c r="D11" s="34" t="str">
        <f>IFERROR(__xludf.DUMMYFUNCTION("""COMPUTED_VALUE"""),"Nexta Distribuidora")</f>
        <v>Nexta Distribuidora</v>
      </c>
      <c r="E11" s="35" t="str">
        <f>IFERROR(__xludf.DUMMYFUNCTION("""COMPUTED_VALUE"""),"Brasil")</f>
        <v>Brasil</v>
      </c>
      <c r="F11" s="36" t="str">
        <f>IFERROR(__xludf.DUMMYFUNCTION("""COMPUTED_VALUE"""),"iandobereiner@hotmail.com")</f>
        <v>iandobereiner@hotmail.com</v>
      </c>
      <c r="G11" s="34"/>
      <c r="H11" s="39" t="str">
        <f>IFERROR(__xludf.DUMMYFUNCTION("""COMPUTED_VALUE"""),"Otros")</f>
        <v>Otros</v>
      </c>
      <c r="I11" s="38">
        <f>IFERROR(__xludf.DUMMYFUNCTION("""COMPUTED_VALUE"""),0.0)</f>
        <v>0</v>
      </c>
      <c r="J11" s="34" t="str">
        <f>IFERROR(__xludf.DUMMYFUNCTION("""COMPUTED_VALUE"""),"Combustible")</f>
        <v>Combustible</v>
      </c>
      <c r="K11" s="34" t="str">
        <f>IFERROR(__xludf.DUMMYFUNCTION("""COMPUTED_VALUE"""),"Nuevo")</f>
        <v>Nuevo</v>
      </c>
      <c r="L11" s="39">
        <f>IFERROR(__xludf.DUMMYFUNCTION("""COMPUTED_VALUE"""),45922.0)</f>
        <v>45922</v>
      </c>
      <c r="M11" s="34" t="str">
        <f>IFERROR(__xludf.DUMMYFUNCTION("""COMPUTED_VALUE"""),"Linkedin")</f>
        <v>Linkedin</v>
      </c>
      <c r="N11" s="34" t="str">
        <f>IFERROR(__xludf.DUMMYFUNCTION("""COMPUTED_VALUE"""),"Robinson Godoy")</f>
        <v>Robinson Godoy</v>
      </c>
      <c r="O11" s="34" t="str">
        <f>IFERROR(__xludf.DUMMYFUNCTION("""COMPUTED_VALUE"""),"Enviar Email")</f>
        <v>Enviar Email</v>
      </c>
    </row>
    <row r="12">
      <c r="A12" s="34" t="str">
        <f>IFERROR(__xludf.DUMMYFUNCTION("""COMPUTED_VALUE"""),"V-012")</f>
        <v>V-012</v>
      </c>
      <c r="B12" s="34" t="str">
        <f>IFERROR(__xludf.DUMMYFUNCTION("""COMPUTED_VALUE"""),"Vendedor")</f>
        <v>Vendedor</v>
      </c>
      <c r="C12" s="34" t="str">
        <f>IFERROR(__xludf.DUMMYFUNCTION("""COMPUTED_VALUE"""),"Lucio Cerceau")</f>
        <v>Lucio Cerceau</v>
      </c>
      <c r="D12" s="34" t="str">
        <f>IFERROR(__xludf.DUMMYFUNCTION("""COMPUTED_VALUE"""),"Minerita")</f>
        <v>Minerita</v>
      </c>
      <c r="E12" s="35" t="str">
        <f>IFERROR(__xludf.DUMMYFUNCTION("""COMPUTED_VALUE"""),"Brasil")</f>
        <v>Brasil</v>
      </c>
      <c r="F12" s="36" t="str">
        <f>IFERROR(__xludf.DUMMYFUNCTION("""COMPUTED_VALUE"""),"luciocerceau@gmail.com")</f>
        <v>luciocerceau@gmail.com</v>
      </c>
      <c r="G12" s="34" t="str">
        <f>IFERROR(__xludf.DUMMYFUNCTION("""COMPUTED_VALUE"""),"tel:031-99241-6940")</f>
        <v>tel:031-99241-6940</v>
      </c>
      <c r="H12" s="39" t="str">
        <f>IFERROR(__xludf.DUMMYFUNCTION("""COMPUTED_VALUE"""),"Hierro")</f>
        <v>Hierro</v>
      </c>
      <c r="I12" s="38">
        <f>IFERROR(__xludf.DUMMYFUNCTION("""COMPUTED_VALUE"""),0.0)</f>
        <v>0</v>
      </c>
      <c r="J12" s="34" t="str">
        <f>IFERROR(__xludf.DUMMYFUNCTION("""COMPUTED_VALUE"""),"68,8% Consultar por volumen")</f>
        <v>68,8% Consultar por volumen</v>
      </c>
      <c r="K12" s="34" t="str">
        <f>IFERROR(__xludf.DUMMYFUNCTION("""COMPUTED_VALUE"""),"Nuevo")</f>
        <v>Nuevo</v>
      </c>
      <c r="L12" s="39">
        <f>IFERROR(__xludf.DUMMYFUNCTION("""COMPUTED_VALUE"""),45921.0)</f>
        <v>45921</v>
      </c>
      <c r="M12" s="34" t="str">
        <f>IFERROR(__xludf.DUMMYFUNCTION("""COMPUTED_VALUE"""),"Linkedin")</f>
        <v>Linkedin</v>
      </c>
      <c r="N12" s="34" t="str">
        <f>IFERROR(__xludf.DUMMYFUNCTION("""COMPUTED_VALUE"""),"Robinson Godoy")</f>
        <v>Robinson Godoy</v>
      </c>
      <c r="O12" s="34" t="str">
        <f>IFERROR(__xludf.DUMMYFUNCTION("""COMPUTED_VALUE"""),"Enviar Email")</f>
        <v>Enviar Email</v>
      </c>
    </row>
    <row r="13">
      <c r="A13" s="34" t="str">
        <f>IFERROR(__xludf.DUMMYFUNCTION("""COMPUTED_VALUE"""),"V-013")</f>
        <v>V-013</v>
      </c>
      <c r="B13" s="34" t="str">
        <f>IFERROR(__xludf.DUMMYFUNCTION("""COMPUTED_VALUE"""),"Vendedor")</f>
        <v>Vendedor</v>
      </c>
      <c r="C13" s="34" t="str">
        <f>IFERROR(__xludf.DUMMYFUNCTION("""COMPUTED_VALUE"""),"ILton Acacio da Cunha")</f>
        <v>ILton Acacio da Cunha</v>
      </c>
      <c r="D13" s="34" t="str">
        <f>IFERROR(__xludf.DUMMYFUNCTION("""COMPUTED_VALUE"""),"Nexus Ligas")</f>
        <v>Nexus Ligas</v>
      </c>
      <c r="E13" s="35" t="str">
        <f>IFERROR(__xludf.DUMMYFUNCTION("""COMPUTED_VALUE"""),"Brasil")</f>
        <v>Brasil</v>
      </c>
      <c r="F13" s="36" t="str">
        <f>IFERROR(__xludf.DUMMYFUNCTION("""COMPUTED_VALUE"""),"iltonacacio@gmail.com")</f>
        <v>iltonacacio@gmail.com</v>
      </c>
      <c r="G13" s="34" t="str">
        <f>IFERROR(__xludf.DUMMYFUNCTION("""COMPUTED_VALUE"""),"tel:(31) 9 7537-4774")</f>
        <v>tel:(31) 9 7537-4774</v>
      </c>
      <c r="H13" s="39" t="str">
        <f>IFERROR(__xludf.DUMMYFUNCTION("""COMPUTED_VALUE"""),"Manganeso")</f>
        <v>Manganeso</v>
      </c>
      <c r="I13" s="38">
        <f>IFERROR(__xludf.DUMMYFUNCTION("""COMPUTED_VALUE"""),4500.0)</f>
        <v>4500</v>
      </c>
      <c r="J13" s="34" t="str">
        <f>IFERROR(__xludf.DUMMYFUNCTION("""COMPUTED_VALUE"""),"Manganeso Avriguar todo")</f>
        <v>Manganeso Avriguar todo</v>
      </c>
      <c r="K13" s="34" t="str">
        <f>IFERROR(__xludf.DUMMYFUNCTION("""COMPUTED_VALUE"""),"Nuevo")</f>
        <v>Nuevo</v>
      </c>
      <c r="L13" s="39">
        <f>IFERROR(__xludf.DUMMYFUNCTION("""COMPUTED_VALUE"""),45922.0)</f>
        <v>45922</v>
      </c>
      <c r="M13" s="34" t="str">
        <f>IFERROR(__xludf.DUMMYFUNCTION("""COMPUTED_VALUE"""),"Linkedin")</f>
        <v>Linkedin</v>
      </c>
      <c r="N13" s="34" t="str">
        <f>IFERROR(__xludf.DUMMYFUNCTION("""COMPUTED_VALUE"""),"Robinson Godoy")</f>
        <v>Robinson Godoy</v>
      </c>
      <c r="O13" s="34" t="str">
        <f>IFERROR(__xludf.DUMMYFUNCTION("""COMPUTED_VALUE"""),"Enviar Email Tengo un comprador de Manganeso")</f>
        <v>Enviar Email Tengo un comprador de Manganeso</v>
      </c>
    </row>
    <row r="14">
      <c r="A14" s="34" t="str">
        <f>IFERROR(__xludf.DUMMYFUNCTION("""COMPUTED_VALUE"""),"V-014")</f>
        <v>V-014</v>
      </c>
      <c r="B14" s="34" t="str">
        <f>IFERROR(__xludf.DUMMYFUNCTION("""COMPUTED_VALUE"""),"Vendedor")</f>
        <v>Vendedor</v>
      </c>
      <c r="C14" s="34" t="str">
        <f>IFERROR(__xludf.DUMMYFUNCTION("""COMPUTED_VALUE"""),"Rodrigo Nunes")</f>
        <v>Rodrigo Nunes</v>
      </c>
      <c r="D14" s="34" t="str">
        <f>IFERROR(__xludf.DUMMYFUNCTION("""COMPUTED_VALUE"""),"Auriverde Minera")</f>
        <v>Auriverde Minera</v>
      </c>
      <c r="E14" s="35" t="str">
        <f>IFERROR(__xludf.DUMMYFUNCTION("""COMPUTED_VALUE"""),"Brasil")</f>
        <v>Brasil</v>
      </c>
      <c r="F14" s="36" t="str">
        <f>IFERROR(__xludf.DUMMYFUNCTION("""COMPUTED_VALUE"""),"rodrigo_anunes@hotmail.com")</f>
        <v>rodrigo_anunes@hotmail.com</v>
      </c>
      <c r="G14" s="34"/>
      <c r="H14" s="39" t="str">
        <f>IFERROR(__xludf.DUMMYFUNCTION("""COMPUTED_VALUE"""),"Oro")</f>
        <v>Oro</v>
      </c>
      <c r="I14" s="38">
        <f>IFERROR(__xludf.DUMMYFUNCTION("""COMPUTED_VALUE"""),0.0)</f>
        <v>0</v>
      </c>
      <c r="J14" s="34" t="str">
        <f>IFERROR(__xludf.DUMMYFUNCTION("""COMPUTED_VALUE"""),"Averiguar datos")</f>
        <v>Averiguar datos</v>
      </c>
      <c r="K14" s="34" t="str">
        <f>IFERROR(__xludf.DUMMYFUNCTION("""COMPUTED_VALUE"""),"Nuevo")</f>
        <v>Nuevo</v>
      </c>
      <c r="L14" s="39">
        <f>IFERROR(__xludf.DUMMYFUNCTION("""COMPUTED_VALUE"""),45917.0)</f>
        <v>45917</v>
      </c>
      <c r="M14" s="34" t="str">
        <f>IFERROR(__xludf.DUMMYFUNCTION("""COMPUTED_VALUE"""),"Linkedin")</f>
        <v>Linkedin</v>
      </c>
      <c r="N14" s="34" t="str">
        <f>IFERROR(__xludf.DUMMYFUNCTION("""COMPUTED_VALUE"""),"Robinson Godoy")</f>
        <v>Robinson Godoy</v>
      </c>
      <c r="O14" s="34" t="str">
        <f>IFERROR(__xludf.DUMMYFUNCTION("""COMPUTED_VALUE"""),"Enviar Email")</f>
        <v>Enviar Email</v>
      </c>
    </row>
    <row r="15">
      <c r="A15" s="34" t="str">
        <f>IFERROR(__xludf.DUMMYFUNCTION("""COMPUTED_VALUE"""),"V-015")</f>
        <v>V-015</v>
      </c>
      <c r="B15" s="34" t="str">
        <f>IFERROR(__xludf.DUMMYFUNCTION("""COMPUTED_VALUE"""),"Vendedor")</f>
        <v>Vendedor</v>
      </c>
      <c r="C15" s="34" t="str">
        <f>IFERROR(__xludf.DUMMYFUNCTION("""COMPUTED_VALUE"""),"Abymmael Claytton Ferreira Silva")</f>
        <v>Abymmael Claytton Ferreira Silva</v>
      </c>
      <c r="D15" s="34" t="str">
        <f>IFERROR(__xludf.DUMMYFUNCTION("""COMPUTED_VALUE"""),"Equinox Gold Brasil")</f>
        <v>Equinox Gold Brasil</v>
      </c>
      <c r="E15" s="35" t="str">
        <f>IFERROR(__xludf.DUMMYFUNCTION("""COMPUTED_VALUE"""),"Brasil")</f>
        <v>Brasil</v>
      </c>
      <c r="F15" s="36" t="str">
        <f>IFERROR(__xludf.DUMMYFUNCTION("""COMPUTED_VALUE"""),"abymmael@yahoo.com.br")</f>
        <v>abymmael@yahoo.com.br</v>
      </c>
      <c r="G15" s="34"/>
      <c r="H15" s="39" t="str">
        <f>IFERROR(__xludf.DUMMYFUNCTION("""COMPUTED_VALUE"""),"Oro")</f>
        <v>Oro</v>
      </c>
      <c r="I15" s="38">
        <f>IFERROR(__xludf.DUMMYFUNCTION("""COMPUTED_VALUE"""),0.0)</f>
        <v>0</v>
      </c>
      <c r="J15" s="34" t="str">
        <f>IFERROR(__xludf.DUMMYFUNCTION("""COMPUTED_VALUE"""),"Averiguar datos")</f>
        <v>Averiguar datos</v>
      </c>
      <c r="K15" s="34" t="str">
        <f>IFERROR(__xludf.DUMMYFUNCTION("""COMPUTED_VALUE"""),"Nuevo")</f>
        <v>Nuevo</v>
      </c>
      <c r="L15" s="39">
        <f>IFERROR(__xludf.DUMMYFUNCTION("""COMPUTED_VALUE"""),45921.0)</f>
        <v>45921</v>
      </c>
      <c r="M15" s="34" t="str">
        <f>IFERROR(__xludf.DUMMYFUNCTION("""COMPUTED_VALUE"""),"Linkedin")</f>
        <v>Linkedin</v>
      </c>
      <c r="N15" s="34" t="str">
        <f>IFERROR(__xludf.DUMMYFUNCTION("""COMPUTED_VALUE"""),"Robinson Godoy")</f>
        <v>Robinson Godoy</v>
      </c>
      <c r="O15" s="34" t="str">
        <f>IFERROR(__xludf.DUMMYFUNCTION("""COMPUTED_VALUE"""),"Enviar Email")</f>
        <v>Enviar Email</v>
      </c>
    </row>
    <row r="16">
      <c r="A16" s="34" t="str">
        <f>IFERROR(__xludf.DUMMYFUNCTION("""COMPUTED_VALUE"""),"V-016")</f>
        <v>V-016</v>
      </c>
      <c r="B16" s="34" t="str">
        <f>IFERROR(__xludf.DUMMYFUNCTION("""COMPUTED_VALUE"""),"Vendedor")</f>
        <v>Vendedor</v>
      </c>
      <c r="C16" s="34" t="str">
        <f>IFERROR(__xludf.DUMMYFUNCTION("""COMPUTED_VALUE"""),"Edycarlos Queiroz")</f>
        <v>Edycarlos Queiroz</v>
      </c>
      <c r="D16" s="34" t="str">
        <f>IFERROR(__xludf.DUMMYFUNCTION("""COMPUTED_VALUE"""),"Lion Mining")</f>
        <v>Lion Mining</v>
      </c>
      <c r="E16" s="35" t="str">
        <f>IFERROR(__xludf.DUMMYFUNCTION("""COMPUTED_VALUE"""),"Brasil")</f>
        <v>Brasil</v>
      </c>
      <c r="F16" s="36" t="str">
        <f>IFERROR(__xludf.DUMMYFUNCTION("""COMPUTED_VALUE"""),"edycarlos7@gmail.com")</f>
        <v>edycarlos7@gmail.com</v>
      </c>
      <c r="G16" s="34" t="str">
        <f>IFERROR(__xludf.DUMMYFUNCTION("""COMPUTED_VALUE"""),"tel:88997310805")</f>
        <v>tel:88997310805</v>
      </c>
      <c r="H16" s="39" t="str">
        <f>IFERROR(__xludf.DUMMYFUNCTION("""COMPUTED_VALUE"""),"Hierro")</f>
        <v>Hierro</v>
      </c>
      <c r="I16" s="38">
        <f>IFERROR(__xludf.DUMMYFUNCTION("""COMPUTED_VALUE"""),843000.0)</f>
        <v>843000</v>
      </c>
      <c r="J16" s="34" t="str">
        <f>IFERROR(__xludf.DUMMYFUNCTION("""COMPUTED_VALUE"""),"Averiguar Lei")</f>
        <v>Averiguar Lei</v>
      </c>
      <c r="K16" s="34" t="str">
        <f>IFERROR(__xludf.DUMMYFUNCTION("""COMPUTED_VALUE"""),"Nuevo")</f>
        <v>Nuevo</v>
      </c>
      <c r="L16" s="39">
        <f>IFERROR(__xludf.DUMMYFUNCTION("""COMPUTED_VALUE"""),45921.0)</f>
        <v>45921</v>
      </c>
      <c r="M16" s="34" t="str">
        <f>IFERROR(__xludf.DUMMYFUNCTION("""COMPUTED_VALUE"""),"Linkedin")</f>
        <v>Linkedin</v>
      </c>
      <c r="N16" s="34" t="str">
        <f>IFERROR(__xludf.DUMMYFUNCTION("""COMPUTED_VALUE"""),"Robinson Godoy")</f>
        <v>Robinson Godoy</v>
      </c>
      <c r="O16" s="34" t="str">
        <f>IFERROR(__xludf.DUMMYFUNCTION("""COMPUTED_VALUE"""),"Estan sobre demandados")</f>
        <v>Estan sobre demandados</v>
      </c>
    </row>
    <row r="17">
      <c r="A17" s="34" t="str">
        <f>IFERROR(__xludf.DUMMYFUNCTION("""COMPUTED_VALUE"""),"V-017")</f>
        <v>V-017</v>
      </c>
      <c r="B17" s="34" t="str">
        <f>IFERROR(__xludf.DUMMYFUNCTION("""COMPUTED_VALUE"""),"Vendedor")</f>
        <v>Vendedor</v>
      </c>
      <c r="C17" s="34" t="str">
        <f>IFERROR(__xludf.DUMMYFUNCTION("""COMPUTED_VALUE"""),"Renato Augusto Mendes")</f>
        <v>Renato Augusto Mendes</v>
      </c>
      <c r="D17" s="34" t="str">
        <f>IFERROR(__xludf.DUMMYFUNCTION("""COMPUTED_VALUE"""),"Gulf")</f>
        <v>Gulf</v>
      </c>
      <c r="E17" s="35" t="str">
        <f>IFERROR(__xludf.DUMMYFUNCTION("""COMPUTED_VALUE"""),"Brasil")</f>
        <v>Brasil</v>
      </c>
      <c r="F17" s="36" t="str">
        <f>IFERROR(__xludf.DUMMYFUNCTION("""COMPUTED_VALUE"""),"mendera70@gmail.com")</f>
        <v>mendera70@gmail.com</v>
      </c>
      <c r="G17" s="34" t="str">
        <f>IFERROR(__xludf.DUMMYFUNCTION("""COMPUTED_VALUE"""),"tel:11 950251585")</f>
        <v>tel:11 950251585</v>
      </c>
      <c r="H17" s="39" t="str">
        <f>IFERROR(__xludf.DUMMYFUNCTION("""COMPUTED_VALUE"""),"Otros")</f>
        <v>Otros</v>
      </c>
      <c r="I17" s="38">
        <f>IFERROR(__xludf.DUMMYFUNCTION("""COMPUTED_VALUE"""),0.0)</f>
        <v>0</v>
      </c>
      <c r="J17" s="34" t="str">
        <f>IFERROR(__xludf.DUMMYFUNCTION("""COMPUTED_VALUE"""),"Aceites Averiguar cantidades")</f>
        <v>Aceites Averiguar cantidades</v>
      </c>
      <c r="K17" s="34" t="str">
        <f>IFERROR(__xludf.DUMMYFUNCTION("""COMPUTED_VALUE"""),"Nuevo")</f>
        <v>Nuevo</v>
      </c>
      <c r="L17" s="39">
        <f>IFERROR(__xludf.DUMMYFUNCTION("""COMPUTED_VALUE"""),45921.0)</f>
        <v>45921</v>
      </c>
      <c r="M17" s="34" t="str">
        <f>IFERROR(__xludf.DUMMYFUNCTION("""COMPUTED_VALUE"""),"Linkedin")</f>
        <v>Linkedin</v>
      </c>
      <c r="N17" s="34" t="str">
        <f>IFERROR(__xludf.DUMMYFUNCTION("""COMPUTED_VALUE"""),"Robinson Godoy")</f>
        <v>Robinson Godoy</v>
      </c>
      <c r="O17" s="34" t="str">
        <f>IFERROR(__xludf.DUMMYFUNCTION("""COMPUTED_VALUE"""),"Enviar Email")</f>
        <v>Enviar Email</v>
      </c>
    </row>
    <row r="18">
      <c r="A18" s="34" t="str">
        <f>IFERROR(__xludf.DUMMYFUNCTION("""COMPUTED_VALUE"""),"V-018")</f>
        <v>V-018</v>
      </c>
      <c r="B18" s="34" t="str">
        <f>IFERROR(__xludf.DUMMYFUNCTION("""COMPUTED_VALUE"""),"Vendedor")</f>
        <v>Vendedor</v>
      </c>
      <c r="C18" s="34" t="str">
        <f>IFERROR(__xludf.DUMMYFUNCTION("""COMPUTED_VALUE"""),"Gert Buitendach")</f>
        <v>Gert Buitendach</v>
      </c>
      <c r="D18" s="34" t="str">
        <f>IFERROR(__xludf.DUMMYFUNCTION("""COMPUTED_VALUE"""),"Nkomati Anthracite")</f>
        <v>Nkomati Anthracite</v>
      </c>
      <c r="E18" s="35" t="str">
        <f>IFERROR(__xludf.DUMMYFUNCTION("""COMPUTED_VALUE"""),"Sudafrica")</f>
        <v>Sudafrica</v>
      </c>
      <c r="F18" s="29" t="str">
        <f>IFERROR(__xludf.DUMMYFUNCTION("""COMPUTED_VALUE"""),"gert.buitendach@afrimat.co.za")</f>
        <v>gert.buitendach@afrimat.co.za</v>
      </c>
      <c r="G18" s="34"/>
      <c r="H18" s="39" t="str">
        <f>IFERROR(__xludf.DUMMYFUNCTION("""COMPUTED_VALUE"""),"Otros")</f>
        <v>Otros</v>
      </c>
      <c r="I18" s="38">
        <f>IFERROR(__xludf.DUMMYFUNCTION("""COMPUTED_VALUE"""),30000.0)</f>
        <v>30000</v>
      </c>
      <c r="J18" s="34" t="str">
        <f>IFERROR(__xludf.DUMMYFUNCTION("""COMPUTED_VALUE"""),"Carbon FOB, FOT")</f>
        <v>Carbon FOB, FOT</v>
      </c>
      <c r="K18" s="34" t="str">
        <f>IFERROR(__xludf.DUMMYFUNCTION("""COMPUTED_VALUE"""),"Nuevo")</f>
        <v>Nuevo</v>
      </c>
      <c r="L18" s="39">
        <f>IFERROR(__xludf.DUMMYFUNCTION("""COMPUTED_VALUE"""),45921.0)</f>
        <v>45921</v>
      </c>
      <c r="M18" s="34" t="str">
        <f>IFERROR(__xludf.DUMMYFUNCTION("""COMPUTED_VALUE"""),"Linkedin")</f>
        <v>Linkedin</v>
      </c>
      <c r="N18" s="34" t="str">
        <f>IFERROR(__xludf.DUMMYFUNCTION("""COMPUTED_VALUE"""),"Robinson Godoy")</f>
        <v>Robinson Godoy</v>
      </c>
      <c r="O18" s="34" t="str">
        <f>IFERROR(__xludf.DUMMYFUNCTION("""COMPUTED_VALUE"""),"Enviar Email con Market Snapchot")</f>
        <v>Enviar Email con Market Snapchot</v>
      </c>
    </row>
    <row r="19">
      <c r="A19" s="34" t="str">
        <f>IFERROR(__xludf.DUMMYFUNCTION("""COMPUTED_VALUE"""),"V-019")</f>
        <v>V-019</v>
      </c>
      <c r="B19" s="34" t="str">
        <f>IFERROR(__xludf.DUMMYFUNCTION("""COMPUTED_VALUE"""),"Vendedor")</f>
        <v>Vendedor</v>
      </c>
      <c r="C19" s="34" t="str">
        <f>IFERROR(__xludf.DUMMYFUNCTION("""COMPUTED_VALUE"""),"Hellen Cristiene Silva Mato")</f>
        <v>Hellen Cristiene Silva Mato</v>
      </c>
      <c r="D19" s="34" t="str">
        <f>IFERROR(__xludf.DUMMYFUNCTION("""COMPUTED_VALUE"""),"Minera Serra Verde")</f>
        <v>Minera Serra Verde</v>
      </c>
      <c r="E19" s="35" t="str">
        <f>IFERROR(__xludf.DUMMYFUNCTION("""COMPUTED_VALUE"""),"Brasil")</f>
        <v>Brasil</v>
      </c>
      <c r="F19" s="29" t="str">
        <f>IFERROR(__xludf.DUMMYFUNCTION("""COMPUTED_VALUE"""),"hellencristine5@hotmail.com")</f>
        <v>hellencristine5@hotmail.com</v>
      </c>
      <c r="G19" s="34"/>
      <c r="H19" s="39" t="str">
        <f>IFERROR(__xludf.DUMMYFUNCTION("""COMPUTED_VALUE"""),"Tierras raras")</f>
        <v>Tierras raras</v>
      </c>
      <c r="I19" s="38">
        <f>IFERROR(__xludf.DUMMYFUNCTION("""COMPUTED_VALUE"""),5000.0)</f>
        <v>5000</v>
      </c>
      <c r="J19" s="34" t="str">
        <f>IFERROR(__xludf.DUMMYFUNCTION("""COMPUTED_VALUE"""),"Toneladas Anuales")</f>
        <v>Toneladas Anuales</v>
      </c>
      <c r="K19" s="34" t="str">
        <f>IFERROR(__xludf.DUMMYFUNCTION("""COMPUTED_VALUE"""),"Nuevo")</f>
        <v>Nuevo</v>
      </c>
      <c r="L19" s="39">
        <f>IFERROR(__xludf.DUMMYFUNCTION("""COMPUTED_VALUE"""),45922.0)</f>
        <v>45922</v>
      </c>
      <c r="M19" s="34" t="str">
        <f>IFERROR(__xludf.DUMMYFUNCTION("""COMPUTED_VALUE"""),"Linkedin")</f>
        <v>Linkedin</v>
      </c>
      <c r="N19" s="34" t="str">
        <f>IFERROR(__xludf.DUMMYFUNCTION("""COMPUTED_VALUE"""),"Robinson Godoy")</f>
        <v>Robinson Godoy</v>
      </c>
      <c r="O19" s="34" t="str">
        <f>IFERROR(__xludf.DUMMYFUNCTION("""COMPUTED_VALUE"""),"Enviar Email")</f>
        <v>Enviar Email</v>
      </c>
    </row>
    <row r="20" ht="15.75" customHeight="1">
      <c r="A20" s="34" t="str">
        <f>IFERROR(__xludf.DUMMYFUNCTION("""COMPUTED_VALUE"""),"V-020")</f>
        <v>V-020</v>
      </c>
      <c r="B20" s="34" t="str">
        <f>IFERROR(__xludf.DUMMYFUNCTION("""COMPUTED_VALUE"""),"Vendedor")</f>
        <v>Vendedor</v>
      </c>
      <c r="C20" s="34" t="str">
        <f>IFERROR(__xludf.DUMMYFUNCTION("""COMPUTED_VALUE"""),"Thabo Kgomare")</f>
        <v>Thabo Kgomare</v>
      </c>
      <c r="D20" s="34" t="str">
        <f>IFERROR(__xludf.DUMMYFUNCTION("""COMPUTED_VALUE"""),"Lethabo Diamonds")</f>
        <v>Lethabo Diamonds</v>
      </c>
      <c r="E20" s="35" t="str">
        <f>IFERROR(__xludf.DUMMYFUNCTION("""COMPUTED_VALUE"""),"Sudafrica")</f>
        <v>Sudafrica</v>
      </c>
      <c r="F20" s="29" t="str">
        <f>IFERROR(__xludf.DUMMYFUNCTION("""COMPUTED_VALUE"""),"lethabodiamonds@gmail.com")</f>
        <v>lethabodiamonds@gmail.com</v>
      </c>
      <c r="G20" s="34"/>
      <c r="H20" s="39" t="str">
        <f>IFERROR(__xludf.DUMMYFUNCTION("""COMPUTED_VALUE"""),"Otros")</f>
        <v>Otros</v>
      </c>
      <c r="I20" s="38">
        <f>IFERROR(__xludf.DUMMYFUNCTION("""COMPUTED_VALUE"""),0.0)</f>
        <v>0</v>
      </c>
      <c r="J20" s="34" t="str">
        <f>IFERROR(__xludf.DUMMYFUNCTION("""COMPUTED_VALUE"""),"Diamantes Averiguar Volumenes")</f>
        <v>Diamantes Averiguar Volumenes</v>
      </c>
      <c r="K20" s="34" t="str">
        <f>IFERROR(__xludf.DUMMYFUNCTION("""COMPUTED_VALUE"""),"Nuevo")</f>
        <v>Nuevo</v>
      </c>
      <c r="L20" s="39">
        <f>IFERROR(__xludf.DUMMYFUNCTION("""COMPUTED_VALUE"""),45923.0)</f>
        <v>45923</v>
      </c>
      <c r="M20" s="34" t="str">
        <f>IFERROR(__xludf.DUMMYFUNCTION("""COMPUTED_VALUE"""),"Linkedin")</f>
        <v>Linkedin</v>
      </c>
      <c r="N20" s="34" t="str">
        <f>IFERROR(__xludf.DUMMYFUNCTION("""COMPUTED_VALUE"""),"Robinson Godoy")</f>
        <v>Robinson Godoy</v>
      </c>
      <c r="O20" s="34" t="str">
        <f>IFERROR(__xludf.DUMMYFUNCTION("""COMPUTED_VALUE"""),"Enviar Email")</f>
        <v>Enviar Email</v>
      </c>
    </row>
    <row r="21" ht="15.75" customHeight="1">
      <c r="A21" s="34" t="str">
        <f>IFERROR(__xludf.DUMMYFUNCTION("""COMPUTED_VALUE"""),"V-021")</f>
        <v>V-021</v>
      </c>
      <c r="B21" s="34" t="str">
        <f>IFERROR(__xludf.DUMMYFUNCTION("""COMPUTED_VALUE"""),"Vendedor")</f>
        <v>Vendedor</v>
      </c>
      <c r="C21" s="34" t="str">
        <f>IFERROR(__xludf.DUMMYFUNCTION("""COMPUTED_VALUE"""),"Anderson Delgado")</f>
        <v>Anderson Delgado</v>
      </c>
      <c r="D21" s="34" t="str">
        <f>IFERROR(__xludf.DUMMYFUNCTION("""COMPUTED_VALUE"""),"San Agustin Energy")</f>
        <v>San Agustin Energy</v>
      </c>
      <c r="E21" s="35" t="str">
        <f>IFERROR(__xludf.DUMMYFUNCTION("""COMPUTED_VALUE"""),"Colombia")</f>
        <v>Colombia</v>
      </c>
      <c r="F21" s="29" t="str">
        <f>IFERROR(__xludf.DUMMYFUNCTION("""COMPUTED_VALUE"""),"andersondelgado11@hotmail.com")</f>
        <v>andersondelgado11@hotmail.com</v>
      </c>
      <c r="G21" s="34" t="str">
        <f>IFERROR(__xludf.DUMMYFUNCTION("""COMPUTED_VALUE"""),"tel:+573186319693")</f>
        <v>tel:+573186319693</v>
      </c>
      <c r="H21" s="39" t="str">
        <f>IFERROR(__xludf.DUMMYFUNCTION("""COMPUTED_VALUE"""),"Petroleo")</f>
        <v>Petroleo</v>
      </c>
      <c r="I21" s="38">
        <f>IFERROR(__xludf.DUMMYFUNCTION("""COMPUTED_VALUE"""),0.0)</f>
        <v>0</v>
      </c>
      <c r="J21" s="34" t="str">
        <f>IFERROR(__xludf.DUMMYFUNCTION("""COMPUTED_VALUE"""),"Averiguar Volumen y mas informacion")</f>
        <v>Averiguar Volumen y mas informacion</v>
      </c>
      <c r="K21" s="34" t="str">
        <f>IFERROR(__xludf.DUMMYFUNCTION("""COMPUTED_VALUE"""),"Nuevo")</f>
        <v>Nuevo</v>
      </c>
      <c r="L21" s="39">
        <f>IFERROR(__xludf.DUMMYFUNCTION("""COMPUTED_VALUE"""),45922.0)</f>
        <v>45922</v>
      </c>
      <c r="M21" s="34" t="str">
        <f>IFERROR(__xludf.DUMMYFUNCTION("""COMPUTED_VALUE"""),"Linkedin")</f>
        <v>Linkedin</v>
      </c>
      <c r="N21" s="34" t="str">
        <f>IFERROR(__xludf.DUMMYFUNCTION("""COMPUTED_VALUE"""),"Robinson Godoy")</f>
        <v>Robinson Godoy</v>
      </c>
      <c r="O21" s="34" t="str">
        <f>IFERROR(__xludf.DUMMYFUNCTION("""COMPUTED_VALUE"""),"Enviar Email")</f>
        <v>Enviar Email</v>
      </c>
    </row>
    <row r="22" ht="15.75" customHeight="1">
      <c r="A22" s="34" t="str">
        <f>IFERROR(__xludf.DUMMYFUNCTION("""COMPUTED_VALUE"""),"V-022")</f>
        <v>V-022</v>
      </c>
      <c r="B22" s="34" t="str">
        <f>IFERROR(__xludf.DUMMYFUNCTION("""COMPUTED_VALUE"""),"Vendedor")</f>
        <v>Vendedor</v>
      </c>
      <c r="C22" s="34" t="str">
        <f>IFERROR(__xludf.DUMMYFUNCTION("""COMPUTED_VALUE"""),"Daniel Eizmendi")</f>
        <v>Daniel Eizmendi</v>
      </c>
      <c r="D22" s="34" t="str">
        <f>IFERROR(__xludf.DUMMYFUNCTION("""COMPUTED_VALUE"""),"Bifox Limited")</f>
        <v>Bifox Limited</v>
      </c>
      <c r="E22" s="35" t="str">
        <f>IFERROR(__xludf.DUMMYFUNCTION("""COMPUTED_VALUE"""),"Uruguay")</f>
        <v>Uruguay</v>
      </c>
      <c r="F22" s="29" t="str">
        <f>IFERROR(__xludf.DUMMYFUNCTION("""COMPUTED_VALUE"""),"daniel.eizmendi@gmail.com")</f>
        <v>daniel.eizmendi@gmail.com</v>
      </c>
      <c r="G22" s="34" t="str">
        <f>IFERROR(__xludf.DUMMYFUNCTION("""COMPUTED_VALUE"""),"tel:+598-91-092-031")</f>
        <v>tel:+598-91-092-031</v>
      </c>
      <c r="H22" s="39" t="str">
        <f>IFERROR(__xludf.DUMMYFUNCTION("""COMPUTED_VALUE"""),"Otros")</f>
        <v>Otros</v>
      </c>
      <c r="I22" s="38">
        <f>IFERROR(__xludf.DUMMYFUNCTION("""COMPUTED_VALUE"""),4800000.0)</f>
        <v>4800000</v>
      </c>
      <c r="J22" s="34" t="str">
        <f>IFERROR(__xludf.DUMMYFUNCTION("""COMPUTED_VALUE"""),"Fosfato")</f>
        <v>Fosfato</v>
      </c>
      <c r="K22" s="34" t="str">
        <f>IFERROR(__xludf.DUMMYFUNCTION("""COMPUTED_VALUE"""),"Nuevo")</f>
        <v>Nuevo</v>
      </c>
      <c r="L22" s="39">
        <f>IFERROR(__xludf.DUMMYFUNCTION("""COMPUTED_VALUE"""),45922.0)</f>
        <v>45922</v>
      </c>
      <c r="M22" s="34" t="str">
        <f>IFERROR(__xludf.DUMMYFUNCTION("""COMPUTED_VALUE"""),"Linkedin")</f>
        <v>Linkedin</v>
      </c>
      <c r="N22" s="34" t="str">
        <f>IFERROR(__xludf.DUMMYFUNCTION("""COMPUTED_VALUE"""),"Robinson Godoy")</f>
        <v>Robinson Godoy</v>
      </c>
      <c r="O22" s="34" t="str">
        <f>IFERROR(__xludf.DUMMYFUNCTION("""COMPUTED_VALUE"""),"Enviar Email")</f>
        <v>Enviar Email</v>
      </c>
    </row>
    <row r="23" ht="15.75" customHeight="1">
      <c r="A23" s="34" t="str">
        <f>IFERROR(__xludf.DUMMYFUNCTION("""COMPUTED_VALUE"""),"V-023")</f>
        <v>V-023</v>
      </c>
      <c r="B23" s="34" t="str">
        <f>IFERROR(__xludf.DUMMYFUNCTION("""COMPUTED_VALUE"""),"Vendedor")</f>
        <v>Vendedor</v>
      </c>
      <c r="C23" s="34" t="str">
        <f>IFERROR(__xludf.DUMMYFUNCTION("""COMPUTED_VALUE"""),"Rendani Justice Tshivule")</f>
        <v>Rendani Justice Tshivule</v>
      </c>
      <c r="D23" s="34" t="str">
        <f>IFERROR(__xludf.DUMMYFUNCTION("""COMPUTED_VALUE"""),"Vedanta Zinc")</f>
        <v>Vedanta Zinc</v>
      </c>
      <c r="E23" s="35" t="str">
        <f>IFERROR(__xludf.DUMMYFUNCTION("""COMPUTED_VALUE"""),"Sudafrica")</f>
        <v>Sudafrica</v>
      </c>
      <c r="F23" s="29" t="str">
        <f>IFERROR(__xludf.DUMMYFUNCTION("""COMPUTED_VALUE"""),"justicerendani@yahoo.com")</f>
        <v>justicerendani@yahoo.com</v>
      </c>
      <c r="G23" s="34" t="str">
        <f>IFERROR(__xludf.DUMMYFUNCTION("""COMPUTED_VALUE"""),"tel:0722032278")</f>
        <v>tel:0722032278</v>
      </c>
      <c r="H23" s="39" t="str">
        <f>IFERROR(__xludf.DUMMYFUNCTION("""COMPUTED_VALUE"""),"Otros")</f>
        <v>Otros</v>
      </c>
      <c r="I23" s="38"/>
      <c r="J23" s="34" t="str">
        <f>IFERROR(__xludf.DUMMYFUNCTION("""COMPUTED_VALUE"""),"Zinc averiguar voluem")</f>
        <v>Zinc averiguar voluem</v>
      </c>
      <c r="K23" s="34" t="str">
        <f>IFERROR(__xludf.DUMMYFUNCTION("""COMPUTED_VALUE"""),"Nuevo")</f>
        <v>Nuevo</v>
      </c>
      <c r="L23" s="39">
        <f>IFERROR(__xludf.DUMMYFUNCTION("""COMPUTED_VALUE"""),45922.0)</f>
        <v>45922</v>
      </c>
      <c r="M23" s="34" t="str">
        <f>IFERROR(__xludf.DUMMYFUNCTION("""COMPUTED_VALUE"""),"Linkedin")</f>
        <v>Linkedin</v>
      </c>
      <c r="N23" s="34" t="str">
        <f>IFERROR(__xludf.DUMMYFUNCTION("""COMPUTED_VALUE"""),"Robinson Godoy")</f>
        <v>Robinson Godoy</v>
      </c>
      <c r="O23" s="34" t="str">
        <f>IFERROR(__xludf.DUMMYFUNCTION("""COMPUTED_VALUE"""),"Enviar Email")</f>
        <v>Enviar Email</v>
      </c>
    </row>
    <row r="24" ht="15.75" customHeight="1">
      <c r="A24" s="34" t="str">
        <f>IFERROR(__xludf.DUMMYFUNCTION("""COMPUTED_VALUE"""),"V-024")</f>
        <v>V-024</v>
      </c>
      <c r="B24" s="34" t="str">
        <f>IFERROR(__xludf.DUMMYFUNCTION("""COMPUTED_VALUE"""),"Vendedor")</f>
        <v>Vendedor</v>
      </c>
      <c r="C24" s="34" t="str">
        <f>IFERROR(__xludf.DUMMYFUNCTION("""COMPUTED_VALUE"""),"Marcelo Cabral")</f>
        <v>Marcelo Cabral</v>
      </c>
      <c r="D24" s="34" t="str">
        <f>IFERROR(__xludf.DUMMYFUNCTION("""COMPUTED_VALUE"""),"Litica Resources")</f>
        <v>Litica Resources</v>
      </c>
      <c r="E24" s="35" t="str">
        <f>IFERROR(__xludf.DUMMYFUNCTION("""COMPUTED_VALUE"""),"Argentina")</f>
        <v>Argentina</v>
      </c>
      <c r="F24" s="29" t="str">
        <f>IFERROR(__xludf.DUMMYFUNCTION("""COMPUTED_VALUE"""),"mjecabral@gmail.com")</f>
        <v>mjecabral@gmail.com</v>
      </c>
      <c r="G24" s="34"/>
      <c r="H24" s="39" t="str">
        <f>IFERROR(__xludf.DUMMYFUNCTION("""COMPUTED_VALUE"""),"Oro")</f>
        <v>Oro</v>
      </c>
      <c r="I24" s="38"/>
      <c r="J24" s="34" t="str">
        <f>IFERROR(__xludf.DUMMYFUNCTION("""COMPUTED_VALUE"""),"Litio Averiguar mas")</f>
        <v>Litio Averiguar mas</v>
      </c>
      <c r="K24" s="34" t="str">
        <f>IFERROR(__xludf.DUMMYFUNCTION("""COMPUTED_VALUE"""),"Nuevo")</f>
        <v>Nuevo</v>
      </c>
      <c r="L24" s="39">
        <f>IFERROR(__xludf.DUMMYFUNCTION("""COMPUTED_VALUE"""),45921.0)</f>
        <v>45921</v>
      </c>
      <c r="M24" s="34" t="str">
        <f>IFERROR(__xludf.DUMMYFUNCTION("""COMPUTED_VALUE"""),"Linkedin")</f>
        <v>Linkedin</v>
      </c>
      <c r="N24" s="34" t="str">
        <f>IFERROR(__xludf.DUMMYFUNCTION("""COMPUTED_VALUE"""),"Robinson Godoy")</f>
        <v>Robinson Godoy</v>
      </c>
      <c r="O24" s="34" t="str">
        <f>IFERROR(__xludf.DUMMYFUNCTION("""COMPUTED_VALUE"""),"Enviar Email hacer un re envio de mensaje")</f>
        <v>Enviar Email hacer un re envio de mensaje</v>
      </c>
    </row>
    <row r="25" ht="15.75" customHeight="1">
      <c r="A25" s="34" t="str">
        <f>IFERROR(__xludf.DUMMYFUNCTION("""COMPUTED_VALUE"""),"V-025")</f>
        <v>V-025</v>
      </c>
      <c r="B25" s="34" t="str">
        <f>IFERROR(__xludf.DUMMYFUNCTION("""COMPUTED_VALUE"""),"Vendedor")</f>
        <v>Vendedor</v>
      </c>
      <c r="C25" s="34" t="str">
        <f>IFERROR(__xludf.DUMMYFUNCTION("""COMPUTED_VALUE"""),"Jaime Zúñiga Ide")</f>
        <v>Jaime Zúñiga Ide</v>
      </c>
      <c r="D25" s="34" t="str">
        <f>IFERROR(__xludf.DUMMYFUNCTION("""COMPUTED_VALUE"""),"Minera Boroo Misquichilca")</f>
        <v>Minera Boroo Misquichilca</v>
      </c>
      <c r="E25" s="35" t="str">
        <f>IFERROR(__xludf.DUMMYFUNCTION("""COMPUTED_VALUE"""),"Peru")</f>
        <v>Peru</v>
      </c>
      <c r="F25" s="29" t="str">
        <f>IFERROR(__xludf.DUMMYFUNCTION("""COMPUTED_VALUE"""),"jaizuni@gmail.com")</f>
        <v>jaizuni@gmail.com</v>
      </c>
      <c r="G25" s="34" t="str">
        <f>IFERROR(__xludf.DUMMYFUNCTION("""COMPUTED_VALUE"""),"tel:+51 949 167 289")</f>
        <v>tel:+51 949 167 289</v>
      </c>
      <c r="H25" s="39" t="str">
        <f>IFERROR(__xludf.DUMMYFUNCTION("""COMPUTED_VALUE"""),"Oro")</f>
        <v>Oro</v>
      </c>
      <c r="I25" s="38"/>
      <c r="J25" s="34" t="str">
        <f>IFERROR(__xludf.DUMMYFUNCTION("""COMPUTED_VALUE"""),"Averirguar si venden")</f>
        <v>Averirguar si venden</v>
      </c>
      <c r="K25" s="34" t="str">
        <f>IFERROR(__xludf.DUMMYFUNCTION("""COMPUTED_VALUE"""),"Nuevo")</f>
        <v>Nuevo</v>
      </c>
      <c r="L25" s="39">
        <f>IFERROR(__xludf.DUMMYFUNCTION("""COMPUTED_VALUE"""),45188.0)</f>
        <v>45188</v>
      </c>
      <c r="M25" s="34" t="str">
        <f>IFERROR(__xludf.DUMMYFUNCTION("""COMPUTED_VALUE"""),"Linkedin")</f>
        <v>Linkedin</v>
      </c>
      <c r="N25" s="34" t="str">
        <f>IFERROR(__xludf.DUMMYFUNCTION("""COMPUTED_VALUE"""),"Robinson Godoy")</f>
        <v>Robinson Godoy</v>
      </c>
      <c r="O25" s="34" t="str">
        <f>IFERROR(__xludf.DUMMYFUNCTION("""COMPUTED_VALUE"""),"Enviar Email hacer un re envio de mensaje")</f>
        <v>Enviar Email hacer un re envio de mensaje</v>
      </c>
    </row>
    <row r="26" ht="15.75" customHeight="1">
      <c r="A26" s="34" t="str">
        <f>IFERROR(__xludf.DUMMYFUNCTION("""COMPUTED_VALUE"""),"V-026")</f>
        <v>V-026</v>
      </c>
      <c r="B26" s="34" t="str">
        <f>IFERROR(__xludf.DUMMYFUNCTION("""COMPUTED_VALUE"""),"Vendedor")</f>
        <v>Vendedor</v>
      </c>
      <c r="C26" s="34" t="str">
        <f>IFERROR(__xludf.DUMMYFUNCTION("""COMPUTED_VALUE"""),"Peter Shankaye MausIMM Meiz")</f>
        <v>Peter Shankaye MausIMM Meiz</v>
      </c>
      <c r="D26" s="34" t="str">
        <f>IFERROR(__xludf.DUMMYFUNCTION("""COMPUTED_VALUE"""),"Lilium Mining")</f>
        <v>Lilium Mining</v>
      </c>
      <c r="E26" s="35" t="str">
        <f>IFERROR(__xludf.DUMMYFUNCTION("""COMPUTED_VALUE"""),"Zambia")</f>
        <v>Zambia</v>
      </c>
      <c r="F26" s="29" t="str">
        <f>IFERROR(__xludf.DUMMYFUNCTION("""COMPUTED_VALUE"""),"petermshankaya@gmail.com")</f>
        <v>petermshankaya@gmail.com</v>
      </c>
      <c r="G26" s="34" t="str">
        <f>IFERROR(__xludf.DUMMYFUNCTION("""COMPUTED_VALUE"""),"tel:+260967844680")</f>
        <v>tel:+260967844680</v>
      </c>
      <c r="H26" s="39" t="str">
        <f>IFERROR(__xludf.DUMMYFUNCTION("""COMPUTED_VALUE"""),"Oro")</f>
        <v>Oro</v>
      </c>
      <c r="I26" s="38"/>
      <c r="J26" s="34" t="str">
        <f>IFERROR(__xludf.DUMMYFUNCTION("""COMPUTED_VALUE"""),"Averiguar todo")</f>
        <v>Averiguar todo</v>
      </c>
      <c r="K26" s="34" t="str">
        <f>IFERROR(__xludf.DUMMYFUNCTION("""COMPUTED_VALUE"""),"Nuevo")</f>
        <v>Nuevo</v>
      </c>
      <c r="L26" s="39">
        <f>IFERROR(__xludf.DUMMYFUNCTION("""COMPUTED_VALUE"""),45922.0)</f>
        <v>45922</v>
      </c>
      <c r="M26" s="34" t="str">
        <f>IFERROR(__xludf.DUMMYFUNCTION("""COMPUTED_VALUE"""),"Linkedin")</f>
        <v>Linkedin</v>
      </c>
      <c r="N26" s="34" t="str">
        <f>IFERROR(__xludf.DUMMYFUNCTION("""COMPUTED_VALUE"""),"Robinson Godoy")</f>
        <v>Robinson Godoy</v>
      </c>
      <c r="O26" s="34" t="str">
        <f>IFERROR(__xludf.DUMMYFUNCTION("""COMPUTED_VALUE"""),"Enviar Email hacer un re envio de mensaje")</f>
        <v>Enviar Email hacer un re envio de mensaje</v>
      </c>
    </row>
    <row r="27" ht="15.75" customHeight="1">
      <c r="A27" s="34" t="str">
        <f>IFERROR(__xludf.DUMMYFUNCTION("""COMPUTED_VALUE"""),"V-027")</f>
        <v>V-027</v>
      </c>
      <c r="B27" s="34" t="str">
        <f>IFERROR(__xludf.DUMMYFUNCTION("""COMPUTED_VALUE"""),"Vendedor")</f>
        <v>Vendedor</v>
      </c>
      <c r="C27" s="34" t="str">
        <f>IFERROR(__xludf.DUMMYFUNCTION("""COMPUTED_VALUE"""),"Azola Njezuela")</f>
        <v>Azola Njezuela</v>
      </c>
      <c r="D27" s="34" t="str">
        <f>IFERROR(__xludf.DUMMYFUNCTION("""COMPUTED_VALUE"""),"Eyona Energy")</f>
        <v>Eyona Energy</v>
      </c>
      <c r="E27" s="35" t="str">
        <f>IFERROR(__xludf.DUMMYFUNCTION("""COMPUTED_VALUE"""),"Sudafrica")</f>
        <v>Sudafrica</v>
      </c>
      <c r="F27" s="29" t="str">
        <f>IFERROR(__xludf.DUMMYFUNCTION("""COMPUTED_VALUE"""),"azola.njezula@gmail.com")</f>
        <v>azola.njezula@gmail.com</v>
      </c>
      <c r="G27" s="34"/>
      <c r="H27" s="39" t="str">
        <f>IFERROR(__xludf.DUMMYFUNCTION("""COMPUTED_VALUE"""),"Petroleo")</f>
        <v>Petroleo</v>
      </c>
      <c r="I27" s="38"/>
      <c r="J27" s="34" t="str">
        <f>IFERROR(__xludf.DUMMYFUNCTION("""COMPUTED_VALUE"""),"Averiguar todo")</f>
        <v>Averiguar todo</v>
      </c>
      <c r="K27" s="34" t="str">
        <f>IFERROR(__xludf.DUMMYFUNCTION("""COMPUTED_VALUE"""),"Nuevo")</f>
        <v>Nuevo</v>
      </c>
      <c r="L27" s="39">
        <f>IFERROR(__xludf.DUMMYFUNCTION("""COMPUTED_VALUE"""),45925.0)</f>
        <v>45925</v>
      </c>
      <c r="M27" s="34" t="str">
        <f>IFERROR(__xludf.DUMMYFUNCTION("""COMPUTED_VALUE"""),"Linkedin")</f>
        <v>Linkedin</v>
      </c>
      <c r="N27" s="34" t="str">
        <f>IFERROR(__xludf.DUMMYFUNCTION("""COMPUTED_VALUE"""),"Robinson Godoy")</f>
        <v>Robinson Godoy</v>
      </c>
      <c r="O27" s="34" t="str">
        <f>IFERROR(__xludf.DUMMYFUNCTION("""COMPUTED_VALUE"""),"Enviar Email hacer un re envio de mensaje")</f>
        <v>Enviar Email hacer un re envio de mensaje</v>
      </c>
    </row>
    <row r="28" ht="15.75" customHeight="1">
      <c r="A28" s="34" t="str">
        <f>IFERROR(__xludf.DUMMYFUNCTION("""COMPUTED_VALUE"""),"V-028")</f>
        <v>V-028</v>
      </c>
      <c r="B28" s="34" t="str">
        <f>IFERROR(__xludf.DUMMYFUNCTION("""COMPUTED_VALUE"""),"Vendedor")</f>
        <v>Vendedor</v>
      </c>
      <c r="C28" s="34" t="str">
        <f>IFERROR(__xludf.DUMMYFUNCTION("""COMPUTED_VALUE"""),"Marcelo Riquelme")</f>
        <v>Marcelo Riquelme</v>
      </c>
      <c r="D28" s="34" t="str">
        <f>IFERROR(__xludf.DUMMYFUNCTION("""COMPUTED_VALUE"""),"Petroplastic ")</f>
        <v>Petroplastic </v>
      </c>
      <c r="E28" s="35" t="str">
        <f>IFERROR(__xludf.DUMMYFUNCTION("""COMPUTED_VALUE"""),"Argentina")</f>
        <v>Argentina</v>
      </c>
      <c r="F28" s="29" t="str">
        <f>IFERROR(__xludf.DUMMYFUNCTION("""COMPUTED_VALUE"""),"mriquelma@hotmail.com")</f>
        <v>mriquelma@hotmail.com</v>
      </c>
      <c r="G28" s="34" t="str">
        <f>IFERROR(__xludf.DUMMYFUNCTION("""COMPUTED_VALUE"""),"tel:2995730936")</f>
        <v>tel:2995730936</v>
      </c>
      <c r="H28" s="39" t="str">
        <f>IFERROR(__xludf.DUMMYFUNCTION("""COMPUTED_VALUE"""),"Petroleo")</f>
        <v>Petroleo</v>
      </c>
      <c r="I28" s="38"/>
      <c r="J28" s="34" t="str">
        <f>IFERROR(__xludf.DUMMYFUNCTION("""COMPUTED_VALUE"""),"Averiguar todo")</f>
        <v>Averiguar todo</v>
      </c>
      <c r="K28" s="34" t="str">
        <f>IFERROR(__xludf.DUMMYFUNCTION("""COMPUTED_VALUE"""),"Nuevo")</f>
        <v>Nuevo</v>
      </c>
      <c r="L28" s="39">
        <f>IFERROR(__xludf.DUMMYFUNCTION("""COMPUTED_VALUE"""),45925.0)</f>
        <v>45925</v>
      </c>
      <c r="M28" s="34" t="str">
        <f>IFERROR(__xludf.DUMMYFUNCTION("""COMPUTED_VALUE"""),"Linkedin")</f>
        <v>Linkedin</v>
      </c>
      <c r="N28" s="34" t="str">
        <f>IFERROR(__xludf.DUMMYFUNCTION("""COMPUTED_VALUE"""),"Robinson Godoy")</f>
        <v>Robinson Godoy</v>
      </c>
      <c r="O28" s="34" t="str">
        <f>IFERROR(__xludf.DUMMYFUNCTION("""COMPUTED_VALUE"""),"Enviar Email hacer un re envio de mensaje")</f>
        <v>Enviar Email hacer un re envio de mensaje</v>
      </c>
    </row>
    <row r="29" ht="15.75" customHeight="1">
      <c r="A29" s="34" t="str">
        <f>IFERROR(__xludf.DUMMYFUNCTION("""COMPUTED_VALUE"""),"V-029")</f>
        <v>V-029</v>
      </c>
      <c r="B29" s="34" t="str">
        <f>IFERROR(__xludf.DUMMYFUNCTION("""COMPUTED_VALUE"""),"Vendedor")</f>
        <v>Vendedor</v>
      </c>
      <c r="C29" s="34" t="str">
        <f>IFERROR(__xludf.DUMMYFUNCTION("""COMPUTED_VALUE"""),"Anderson Silveira Lopes")</f>
        <v>Anderson Silveira Lopes</v>
      </c>
      <c r="D29" s="34" t="str">
        <f>IFERROR(__xludf.DUMMYFUNCTION("""COMPUTED_VALUE"""),"Nexus Ligas")</f>
        <v>Nexus Ligas</v>
      </c>
      <c r="E29" s="35" t="str">
        <f>IFERROR(__xludf.DUMMYFUNCTION("""COMPUTED_VALUE"""),"Brasil")</f>
        <v>Brasil</v>
      </c>
      <c r="F29" s="29" t="str">
        <f>IFERROR(__xludf.DUMMYFUNCTION("""COMPUTED_VALUE"""),"andersonslopes@gmail.com")</f>
        <v>andersonslopes@gmail.com</v>
      </c>
      <c r="G29" s="34" t="str">
        <f>IFERROR(__xludf.DUMMYFUNCTION("""COMPUTED_VALUE"""),"tel:(31)985200383")</f>
        <v>tel:(31)985200383</v>
      </c>
      <c r="H29" s="39" t="str">
        <f>IFERROR(__xludf.DUMMYFUNCTION("""COMPUTED_VALUE"""),"Manganeso")</f>
        <v>Manganeso</v>
      </c>
      <c r="I29" s="38">
        <f>IFERROR(__xludf.DUMMYFUNCTION("""COMPUTED_VALUE"""),4500.0)</f>
        <v>4500</v>
      </c>
      <c r="J29" s="34" t="str">
        <f>IFERROR(__xludf.DUMMYFUNCTION("""COMPUTED_VALUE"""),"Averiguar todo")</f>
        <v>Averiguar todo</v>
      </c>
      <c r="K29" s="34" t="str">
        <f>IFERROR(__xludf.DUMMYFUNCTION("""COMPUTED_VALUE"""),"Nuevo")</f>
        <v>Nuevo</v>
      </c>
      <c r="L29" s="39">
        <f>IFERROR(__xludf.DUMMYFUNCTION("""COMPUTED_VALUE"""),45921.0)</f>
        <v>45921</v>
      </c>
      <c r="M29" s="34" t="str">
        <f>IFERROR(__xludf.DUMMYFUNCTION("""COMPUTED_VALUE"""),"Linkedin")</f>
        <v>Linkedin</v>
      </c>
      <c r="N29" s="34" t="str">
        <f>IFERROR(__xludf.DUMMYFUNCTION("""COMPUTED_VALUE"""),"Robinson Godoy")</f>
        <v>Robinson Godoy</v>
      </c>
      <c r="O29" s="34" t="str">
        <f>IFERROR(__xludf.DUMMYFUNCTION("""COMPUTED_VALUE"""),"Enviar Email hacer un re envio de mensaje")</f>
        <v>Enviar Email hacer un re envio de mensaje</v>
      </c>
    </row>
    <row r="30" ht="15.75" customHeight="1">
      <c r="A30" s="34" t="str">
        <f>IFERROR(__xludf.DUMMYFUNCTION("""COMPUTED_VALUE"""),"V-030")</f>
        <v>V-030</v>
      </c>
      <c r="B30" s="34" t="str">
        <f>IFERROR(__xludf.DUMMYFUNCTION("""COMPUTED_VALUE"""),"Vendedor")</f>
        <v>Vendedor</v>
      </c>
      <c r="C30" s="34" t="str">
        <f>IFERROR(__xludf.DUMMYFUNCTION("""COMPUTED_VALUE"""),"Leeroy Tapiwa Nyabeze")</f>
        <v>Leeroy Tapiwa Nyabeze</v>
      </c>
      <c r="D30" s="34" t="str">
        <f>IFERROR(__xludf.DUMMYFUNCTION("""COMPUTED_VALUE"""),"Iptron Tech")</f>
        <v>Iptron Tech</v>
      </c>
      <c r="E30" s="35" t="str">
        <f>IFERROR(__xludf.DUMMYFUNCTION("""COMPUTED_VALUE"""),"Sudafrica")</f>
        <v>Sudafrica</v>
      </c>
      <c r="F30" s="42" t="str">
        <f>IFERROR(__xludf.DUMMYFUNCTION("""COMPUTED_VALUE"""),"leeroy@conveyortension.com")</f>
        <v>leeroy@conveyortension.com</v>
      </c>
      <c r="G30" s="34">
        <f>IFERROR(__xludf.DUMMYFUNCTION("""COMPUTED_VALUE"""),1.14777122E8)</f>
        <v>114777122</v>
      </c>
      <c r="H30" s="39" t="str">
        <f>IFERROR(__xludf.DUMMYFUNCTION("""COMPUTED_VALUE"""),"Otros")</f>
        <v>Otros</v>
      </c>
      <c r="I30" s="38"/>
      <c r="J30" s="34" t="str">
        <f>IFERROR(__xludf.DUMMYFUNCTION("""COMPUTED_VALUE"""),"Correras transportadoras")</f>
        <v>Correras transportadoras</v>
      </c>
      <c r="K30" s="34" t="str">
        <f>IFERROR(__xludf.DUMMYFUNCTION("""COMPUTED_VALUE"""),"Nuevo")</f>
        <v>Nuevo</v>
      </c>
      <c r="L30" s="39">
        <f>IFERROR(__xludf.DUMMYFUNCTION("""COMPUTED_VALUE"""),45959.0)</f>
        <v>45959</v>
      </c>
      <c r="M30" s="34" t="str">
        <f>IFERROR(__xludf.DUMMYFUNCTION("""COMPUTED_VALUE"""),"Linkedin")</f>
        <v>Linkedin</v>
      </c>
      <c r="N30" s="34" t="str">
        <f>IFERROR(__xludf.DUMMYFUNCTION("""COMPUTED_VALUE"""),"Robinson Godoy")</f>
        <v>Robinson Godoy</v>
      </c>
      <c r="O30" s="34" t="str">
        <f>IFERROR(__xludf.DUMMYFUNCTION("""COMPUTED_VALUE"""),"Se solicito email y que calendarice reunion para el dia miercoles 11 am de chile")</f>
        <v>Se solicito email y que calendarice reunion para el dia miercoles 11 am de chile</v>
      </c>
    </row>
    <row r="31" ht="15.75" customHeight="1">
      <c r="A31" s="34" t="str">
        <f>IFERROR(__xludf.DUMMYFUNCTION("""COMPUTED_VALUE"""),"V-31")</f>
        <v>V-31</v>
      </c>
      <c r="B31" s="34" t="str">
        <f>IFERROR(__xludf.DUMMYFUNCTION("""COMPUTED_VALUE"""),"Vendedor")</f>
        <v>Vendedor</v>
      </c>
      <c r="C31" s="34" t="str">
        <f>IFERROR(__xludf.DUMMYFUNCTION("""COMPUTED_VALUE"""),"Almir ")</f>
        <v>Almir </v>
      </c>
      <c r="D31" s="34" t="str">
        <f>IFERROR(__xludf.DUMMYFUNCTION("""COMPUTED_VALUE"""),"Particular Broker")</f>
        <v>Particular Broker</v>
      </c>
      <c r="E31" s="35" t="str">
        <f>IFERROR(__xludf.DUMMYFUNCTION("""COMPUTED_VALUE"""),"Brasil")</f>
        <v>Brasil</v>
      </c>
      <c r="F31" s="29"/>
      <c r="G31" s="34" t="str">
        <f>IFERROR(__xludf.DUMMYFUNCTION("""COMPUTED_VALUE"""),"tel:+5521980839939")</f>
        <v>tel:+5521980839939</v>
      </c>
      <c r="H31" s="39" t="str">
        <f>IFERROR(__xludf.DUMMYFUNCTION("""COMPUTED_VALUE"""),"Cobre Concentrado, Cobre Catodos, Otros")</f>
        <v>Cobre Concentrado, Cobre Catodos, Otros</v>
      </c>
      <c r="I31" s="38"/>
      <c r="J31" s="34" t="str">
        <f>IFERROR(__xludf.DUMMYFUNCTION("""COMPUTED_VALUE"""),"Brokers")</f>
        <v>Brokers</v>
      </c>
      <c r="K31" s="34" t="str">
        <f>IFERROR(__xludf.DUMMYFUNCTION("""COMPUTED_VALUE"""),"Nuevo")</f>
        <v>Nuevo</v>
      </c>
      <c r="L31" s="39">
        <f>IFERROR(__xludf.DUMMYFUNCTION("""COMPUTED_VALUE"""),45975.0)</f>
        <v>45975</v>
      </c>
      <c r="M31" s="34" t="str">
        <f>IFERROR(__xludf.DUMMYFUNCTION("""COMPUTED_VALUE"""),"Wharsapp")</f>
        <v>Wharsapp</v>
      </c>
      <c r="N31" s="34" t="str">
        <f>IFERROR(__xludf.DUMMYFUNCTION("""COMPUTED_VALUE"""),"Robinson Godoy")</f>
        <v>Robinson Godoy</v>
      </c>
      <c r="O31" s="34" t="str">
        <f>IFERROR(__xludf.DUMMYFUNCTION("""COMPUTED_VALUE"""),"Enviar Email hacer un re envio de mensaje")</f>
        <v>Enviar Email hacer un re envio de mensaje</v>
      </c>
    </row>
    <row r="32" ht="15.75" customHeight="1">
      <c r="A32" s="34" t="str">
        <f>IFERROR(__xludf.DUMMYFUNCTION("""COMPUTED_VALUE"""),"V-32")</f>
        <v>V-32</v>
      </c>
      <c r="B32" s="34" t="str">
        <f>IFERROR(__xludf.DUMMYFUNCTION("""COMPUTED_VALUE"""),"Vendedor")</f>
        <v>Vendedor</v>
      </c>
      <c r="C32" s="34" t="str">
        <f>IFERROR(__xludf.DUMMYFUNCTION("""COMPUTED_VALUE"""),"Desconocido")</f>
        <v>Desconocido</v>
      </c>
      <c r="D32" s="34" t="str">
        <f>IFERROR(__xludf.DUMMYFUNCTION("""COMPUTED_VALUE"""),"desconocido")</f>
        <v>desconocido</v>
      </c>
      <c r="E32" s="35" t="str">
        <f>IFERROR(__xludf.DUMMYFUNCTION("""COMPUTED_VALUE"""),"Filipinas")</f>
        <v>Filipinas</v>
      </c>
      <c r="F32" s="29"/>
      <c r="G32" s="34" t="str">
        <f>IFERROR(__xludf.DUMMYFUNCTION("""COMPUTED_VALUE"""),"tel:+639564287296")</f>
        <v>tel:+639564287296</v>
      </c>
      <c r="H32" s="39" t="str">
        <f>IFERROR(__xludf.DUMMYFUNCTION("""COMPUTED_VALUE"""),"Hierro")</f>
        <v>Hierro</v>
      </c>
      <c r="I32" s="38"/>
      <c r="J32" s="34" t="str">
        <f>IFERROR(__xludf.DUMMYFUNCTION("""COMPUTED_VALUE"""),"Averiguar que tipo de proveedor")</f>
        <v>Averiguar que tipo de proveedor</v>
      </c>
      <c r="K32" s="34" t="str">
        <f>IFERROR(__xludf.DUMMYFUNCTION("""COMPUTED_VALUE"""),"Nuevo")</f>
        <v>Nuevo</v>
      </c>
      <c r="L32" s="39">
        <f>IFERROR(__xludf.DUMMYFUNCTION("""COMPUTED_VALUE"""),45975.0)</f>
        <v>45975</v>
      </c>
      <c r="M32" s="34" t="str">
        <f>IFERROR(__xludf.DUMMYFUNCTION("""COMPUTED_VALUE"""),"Facebooks")</f>
        <v>Facebooks</v>
      </c>
      <c r="N32" s="34" t="str">
        <f>IFERROR(__xludf.DUMMYFUNCTION("""COMPUTED_VALUE"""),"Robinson Godoy")</f>
        <v>Robinson Godoy</v>
      </c>
      <c r="O32" s="34" t="str">
        <f>IFERROR(__xludf.DUMMYFUNCTION("""COMPUTED_VALUE"""),"Se envio mensaje esperar respuesta por whatsapp")</f>
        <v>Se envio mensaje esperar respuesta por whatsapp</v>
      </c>
    </row>
    <row r="33" ht="15.75" customHeight="1">
      <c r="A33" s="34" t="str">
        <f>IFERROR(__xludf.DUMMYFUNCTION("""COMPUTED_VALUE"""),"V-33")</f>
        <v>V-33</v>
      </c>
      <c r="B33" s="34" t="str">
        <f>IFERROR(__xludf.DUMMYFUNCTION("""COMPUTED_VALUE"""),"Vendedor")</f>
        <v>Vendedor</v>
      </c>
      <c r="C33" s="34" t="str">
        <f>IFERROR(__xludf.DUMMYFUNCTION("""COMPUTED_VALUE"""),"Desconocido")</f>
        <v>Desconocido</v>
      </c>
      <c r="D33" s="34" t="str">
        <f>IFERROR(__xludf.DUMMYFUNCTION("""COMPUTED_VALUE"""),"desconocido")</f>
        <v>desconocido</v>
      </c>
      <c r="E33" s="35" t="str">
        <f>IFERROR(__xludf.DUMMYFUNCTION("""COMPUTED_VALUE"""),"Sudafrica")</f>
        <v>Sudafrica</v>
      </c>
      <c r="F33" s="29"/>
      <c r="G33" s="34" t="str">
        <f>IFERROR(__xludf.DUMMYFUNCTION("""COMPUTED_VALUE"""),"tel:+260976998393")</f>
        <v>tel:+260976998393</v>
      </c>
      <c r="H33" s="39" t="str">
        <f>IFERROR(__xludf.DUMMYFUNCTION("""COMPUTED_VALUE"""),"Hierro")</f>
        <v>Hierro</v>
      </c>
      <c r="I33" s="38"/>
      <c r="J33" s="34" t="str">
        <f>IFERROR(__xludf.DUMMYFUNCTION("""COMPUTED_VALUE"""),"Averiguar que tipo de proveedor")</f>
        <v>Averiguar que tipo de proveedor</v>
      </c>
      <c r="K33" s="34" t="str">
        <f>IFERROR(__xludf.DUMMYFUNCTION("""COMPUTED_VALUE"""),"Nuevo")</f>
        <v>Nuevo</v>
      </c>
      <c r="L33" s="39">
        <f>IFERROR(__xludf.DUMMYFUNCTION("""COMPUTED_VALUE"""),45975.0)</f>
        <v>45975</v>
      </c>
      <c r="M33" s="34" t="str">
        <f>IFERROR(__xludf.DUMMYFUNCTION("""COMPUTED_VALUE"""),"Facebooks")</f>
        <v>Facebooks</v>
      </c>
      <c r="N33" s="34" t="str">
        <f>IFERROR(__xludf.DUMMYFUNCTION("""COMPUTED_VALUE"""),"Robinson Godoy")</f>
        <v>Robinson Godoy</v>
      </c>
      <c r="O33" s="34" t="str">
        <f>IFERROR(__xludf.DUMMYFUNCTION("""COMPUTED_VALUE"""),"Se envio mensaje esperar respuesta por whatsapp")</f>
        <v>Se envio mensaje esperar respuesta por whatsapp</v>
      </c>
    </row>
    <row r="34" ht="15.75" customHeight="1">
      <c r="A34" s="34" t="str">
        <f>IFERROR(__xludf.DUMMYFUNCTION("""COMPUTED_VALUE"""),"V-34")</f>
        <v>V-34</v>
      </c>
      <c r="B34" s="34" t="str">
        <f>IFERROR(__xludf.DUMMYFUNCTION("""COMPUTED_VALUE"""),"Vendedor")</f>
        <v>Vendedor</v>
      </c>
      <c r="C34" s="34" t="str">
        <f>IFERROR(__xludf.DUMMYFUNCTION("""COMPUTED_VALUE"""),"Alfred")</f>
        <v>Alfred</v>
      </c>
      <c r="D34" s="34"/>
      <c r="E34" s="35" t="str">
        <f>IFERROR(__xludf.DUMMYFUNCTION("""COMPUTED_VALUE"""),"Kenia")</f>
        <v>Kenia</v>
      </c>
      <c r="F34" s="29"/>
      <c r="G34" s="34" t="str">
        <f>IFERROR(__xludf.DUMMYFUNCTION("""COMPUTED_VALUE"""),"tel:+254705049870")</f>
        <v>tel:+254705049870</v>
      </c>
      <c r="H34" s="39" t="str">
        <f>IFERROR(__xludf.DUMMYFUNCTION("""COMPUTED_VALUE"""),"Hierro")</f>
        <v>Hierro</v>
      </c>
      <c r="I34" s="38">
        <f>IFERROR(__xludf.DUMMYFUNCTION("""COMPUTED_VALUE"""),55000.0)</f>
        <v>55000</v>
      </c>
      <c r="J34" s="34" t="str">
        <f>IFERROR(__xludf.DUMMYFUNCTION("""COMPUTED_VALUE"""),"100 usd la tonelada")</f>
        <v>100 usd la tonelada</v>
      </c>
      <c r="K34" s="34" t="str">
        <f>IFERROR(__xludf.DUMMYFUNCTION("""COMPUTED_VALUE"""),"Nuevo")</f>
        <v>Nuevo</v>
      </c>
      <c r="L34" s="39">
        <f>IFERROR(__xludf.DUMMYFUNCTION("""COMPUTED_VALUE"""),45975.0)</f>
        <v>45975</v>
      </c>
      <c r="M34" s="34" t="str">
        <f>IFERROR(__xludf.DUMMYFUNCTION("""COMPUTED_VALUE"""),"Facebooks")</f>
        <v>Facebooks</v>
      </c>
      <c r="N34" s="34" t="str">
        <f>IFERROR(__xludf.DUMMYFUNCTION("""COMPUTED_VALUE"""),"Robinson Godoy")</f>
        <v>Robinson Godoy</v>
      </c>
      <c r="O34" s="34" t="str">
        <f>IFERROR(__xludf.DUMMYFUNCTION("""COMPUTED_VALUE"""),"Se envio whatsapp averigual mas informacion y firma de confidencialidad, si el productor, reprsentacion")</f>
        <v>Se envio whatsapp averigual mas informacion y firma de confidencialidad, si el productor, reprsentacion</v>
      </c>
    </row>
    <row r="35" ht="15.75" customHeight="1">
      <c r="A35" s="34" t="str">
        <f>IFERROR(__xludf.DUMMYFUNCTION("""COMPUTED_VALUE"""),"V-35")</f>
        <v>V-35</v>
      </c>
      <c r="B35" s="34" t="str">
        <f>IFERROR(__xludf.DUMMYFUNCTION("""COMPUTED_VALUE"""),"Vendedor")</f>
        <v>Vendedor</v>
      </c>
      <c r="C35" s="34" t="str">
        <f>IFERROR(__xludf.DUMMYFUNCTION("""COMPUTED_VALUE"""),"Desconocido")</f>
        <v>Desconocido</v>
      </c>
      <c r="D35" s="34" t="str">
        <f>IFERROR(__xludf.DUMMYFUNCTION("""COMPUTED_VALUE"""),"desconocido")</f>
        <v>desconocido</v>
      </c>
      <c r="E35" s="35" t="str">
        <f>IFERROR(__xludf.DUMMYFUNCTION("""COMPUTED_VALUE"""),"Peru")</f>
        <v>Peru</v>
      </c>
      <c r="F35" s="29"/>
      <c r="G35" s="34" t="str">
        <f>IFERROR(__xludf.DUMMYFUNCTION("""COMPUTED_VALUE"""),"tel+573204358158")</f>
        <v>tel+573204358158</v>
      </c>
      <c r="H35" s="39" t="str">
        <f>IFERROR(__xludf.DUMMYFUNCTION("""COMPUTED_VALUE"""),"Hierro")</f>
        <v>Hierro</v>
      </c>
      <c r="I35" s="38"/>
      <c r="J35" s="34" t="str">
        <f>IFERROR(__xludf.DUMMYFUNCTION("""COMPUTED_VALUE"""),"averigual mas informacion")</f>
        <v>averigual mas informacion</v>
      </c>
      <c r="K35" s="34" t="str">
        <f>IFERROR(__xludf.DUMMYFUNCTION("""COMPUTED_VALUE"""),"Nuevo")</f>
        <v>Nuevo</v>
      </c>
      <c r="L35" s="39">
        <f>IFERROR(__xludf.DUMMYFUNCTION("""COMPUTED_VALUE"""),45975.0)</f>
        <v>45975</v>
      </c>
      <c r="M35" s="34" t="str">
        <f>IFERROR(__xludf.DUMMYFUNCTION("""COMPUTED_VALUE"""),"Facebooks")</f>
        <v>Facebooks</v>
      </c>
      <c r="N35" s="34" t="str">
        <f>IFERROR(__xludf.DUMMYFUNCTION("""COMPUTED_VALUE"""),"Robinson Godoy")</f>
        <v>Robinson Godoy</v>
      </c>
      <c r="O35" s="34" t="str">
        <f>IFERROR(__xludf.DUMMYFUNCTION("""COMPUTED_VALUE"""),"se solicita mas informacion a whatsapp")</f>
        <v>se solicita mas informacion a whatsapp</v>
      </c>
    </row>
    <row r="36" ht="15.75" customHeight="1">
      <c r="E36" s="35"/>
      <c r="F36" s="29"/>
      <c r="H36" s="39"/>
    </row>
    <row r="37" ht="15.75" customHeight="1">
      <c r="E37" s="35"/>
      <c r="F37" s="29"/>
      <c r="H37" s="39"/>
    </row>
    <row r="38" ht="15.75" customHeight="1">
      <c r="E38" s="35"/>
      <c r="F38" s="29"/>
      <c r="H38" s="39"/>
    </row>
    <row r="39" ht="15.75" customHeight="1">
      <c r="E39" s="35"/>
      <c r="F39" s="29"/>
      <c r="H39" s="39"/>
    </row>
    <row r="40" ht="15.75" customHeight="1">
      <c r="E40" s="35"/>
      <c r="F40" s="29"/>
      <c r="H40" s="39"/>
    </row>
    <row r="41" ht="15.75" customHeight="1">
      <c r="E41" s="35"/>
      <c r="F41" s="29"/>
      <c r="H41" s="39"/>
    </row>
    <row r="42" ht="15.75" customHeight="1">
      <c r="E42" s="35"/>
      <c r="F42" s="29"/>
      <c r="H42" s="39"/>
    </row>
    <row r="43" ht="15.75" customHeight="1">
      <c r="E43" s="35"/>
      <c r="F43" s="29"/>
      <c r="H43" s="39"/>
    </row>
    <row r="44" ht="15.75" customHeight="1">
      <c r="E44" s="35"/>
      <c r="F44" s="29"/>
      <c r="H44" s="39"/>
    </row>
    <row r="45" ht="15.75" customHeight="1">
      <c r="E45" s="35"/>
      <c r="F45" s="29"/>
      <c r="H45" s="39"/>
    </row>
    <row r="46" ht="15.75" customHeight="1">
      <c r="E46" s="35"/>
      <c r="F46" s="29"/>
      <c r="H46" s="39"/>
    </row>
    <row r="47" ht="15.75" customHeight="1">
      <c r="E47" s="35"/>
      <c r="F47" s="29"/>
      <c r="H47" s="39"/>
    </row>
    <row r="48" ht="15.75" customHeight="1">
      <c r="E48" s="35"/>
      <c r="F48" s="29"/>
      <c r="H48" s="39"/>
    </row>
    <row r="49" ht="15.75" customHeight="1">
      <c r="E49" s="35"/>
      <c r="F49" s="29"/>
      <c r="H49" s="39"/>
    </row>
    <row r="50" ht="15.75" customHeight="1">
      <c r="E50" s="35"/>
      <c r="F50" s="29"/>
      <c r="H50" s="39"/>
    </row>
    <row r="51" ht="15.75" customHeight="1">
      <c r="E51" s="35"/>
      <c r="F51" s="29"/>
      <c r="H51" s="39"/>
    </row>
    <row r="52" ht="15.75" customHeight="1">
      <c r="E52" s="35"/>
      <c r="F52" s="29"/>
      <c r="H52" s="39"/>
    </row>
    <row r="53" ht="15.75" customHeight="1">
      <c r="E53" s="35"/>
      <c r="F53" s="29"/>
      <c r="H53" s="39"/>
    </row>
    <row r="54" ht="15.75" customHeight="1">
      <c r="E54" s="35"/>
      <c r="F54" s="29"/>
      <c r="H54" s="39"/>
    </row>
    <row r="55" ht="15.75" customHeight="1">
      <c r="E55" s="35"/>
      <c r="F55" s="29"/>
      <c r="H55" s="39"/>
    </row>
    <row r="56" ht="15.75" customHeight="1">
      <c r="E56" s="35"/>
      <c r="F56" s="29"/>
      <c r="H56" s="39"/>
    </row>
    <row r="57" ht="15.75" customHeight="1">
      <c r="E57" s="35"/>
      <c r="F57" s="29"/>
      <c r="H57" s="39"/>
    </row>
    <row r="58" ht="15.75" customHeight="1">
      <c r="E58" s="35"/>
      <c r="F58" s="29"/>
      <c r="H58" s="39"/>
    </row>
    <row r="59" ht="15.75" customHeight="1">
      <c r="E59" s="35"/>
      <c r="F59" s="29"/>
      <c r="H59" s="39"/>
    </row>
    <row r="60" ht="15.75" customHeight="1">
      <c r="E60" s="35"/>
      <c r="F60" s="29"/>
      <c r="H60" s="39"/>
    </row>
    <row r="61" ht="15.75" customHeight="1">
      <c r="E61" s="35"/>
      <c r="F61" s="29"/>
      <c r="H61" s="39"/>
    </row>
    <row r="62" ht="15.75" customHeight="1">
      <c r="E62" s="35"/>
      <c r="F62" s="29"/>
      <c r="H62" s="39"/>
    </row>
    <row r="63" ht="15.75" customHeight="1">
      <c r="E63" s="35"/>
      <c r="F63" s="29"/>
      <c r="H63" s="39"/>
    </row>
    <row r="64" ht="15.75" customHeight="1">
      <c r="E64" s="35"/>
      <c r="F64" s="29"/>
      <c r="H64" s="39"/>
    </row>
    <row r="65" ht="15.75" customHeight="1">
      <c r="E65" s="35"/>
      <c r="F65" s="29"/>
      <c r="H65" s="39"/>
    </row>
    <row r="66" ht="15.75" customHeight="1">
      <c r="E66" s="35"/>
      <c r="F66" s="29"/>
      <c r="H66" s="39"/>
    </row>
    <row r="67" ht="15.75" customHeight="1">
      <c r="E67" s="35"/>
      <c r="F67" s="29"/>
      <c r="H67" s="39"/>
    </row>
    <row r="68" ht="15.75" customHeight="1">
      <c r="E68" s="35"/>
      <c r="F68" s="29"/>
      <c r="H68" s="39"/>
    </row>
    <row r="69" ht="15.75" customHeight="1">
      <c r="E69" s="35"/>
      <c r="F69" s="29"/>
      <c r="H69" s="39"/>
    </row>
    <row r="70" ht="15.75" customHeight="1">
      <c r="E70" s="35"/>
      <c r="F70" s="29"/>
      <c r="H70" s="39"/>
    </row>
    <row r="71" ht="15.75" customHeight="1">
      <c r="E71" s="35"/>
      <c r="F71" s="29"/>
      <c r="H71" s="39"/>
    </row>
    <row r="72" ht="15.75" customHeight="1">
      <c r="E72" s="35"/>
      <c r="F72" s="29"/>
      <c r="H72" s="39"/>
    </row>
    <row r="73" ht="15.75" customHeight="1">
      <c r="E73" s="35"/>
      <c r="F73" s="29"/>
      <c r="H73" s="39"/>
    </row>
    <row r="74" ht="15.75" customHeight="1">
      <c r="E74" s="35"/>
      <c r="F74" s="29"/>
      <c r="H74" s="39"/>
    </row>
    <row r="75" ht="15.75" customHeight="1">
      <c r="E75" s="35"/>
      <c r="F75" s="29"/>
      <c r="H75" s="39"/>
    </row>
    <row r="76" ht="15.75" customHeight="1">
      <c r="E76" s="35"/>
      <c r="F76" s="29"/>
      <c r="H76" s="39"/>
    </row>
    <row r="77" ht="15.75" customHeight="1">
      <c r="E77" s="35"/>
      <c r="F77" s="29"/>
      <c r="H77" s="39"/>
    </row>
    <row r="78" ht="15.75" customHeight="1">
      <c r="E78" s="35"/>
      <c r="F78" s="29"/>
      <c r="H78" s="39"/>
    </row>
    <row r="79" ht="15.75" customHeight="1">
      <c r="E79" s="35"/>
      <c r="F79" s="29"/>
      <c r="H79" s="39"/>
    </row>
    <row r="80" ht="15.75" customHeight="1">
      <c r="E80" s="35"/>
      <c r="F80" s="29"/>
      <c r="H80" s="39"/>
    </row>
    <row r="81" ht="15.75" customHeight="1">
      <c r="E81" s="35"/>
      <c r="F81" s="29"/>
      <c r="H81" s="39"/>
    </row>
    <row r="82" ht="15.75" customHeight="1">
      <c r="E82" s="35"/>
      <c r="F82" s="29"/>
      <c r="H82" s="39"/>
    </row>
    <row r="83" ht="15.75" customHeight="1">
      <c r="E83" s="35"/>
      <c r="F83" s="29"/>
      <c r="H83" s="39"/>
    </row>
    <row r="84" ht="15.75" customHeight="1">
      <c r="E84" s="35"/>
      <c r="F84" s="29"/>
      <c r="H84" s="39"/>
    </row>
    <row r="85" ht="15.75" customHeight="1">
      <c r="E85" s="35"/>
      <c r="F85" s="29"/>
      <c r="H85" s="39"/>
    </row>
    <row r="86" ht="15.75" customHeight="1">
      <c r="E86" s="35"/>
      <c r="F86" s="29"/>
      <c r="H86" s="39"/>
    </row>
    <row r="87" ht="15.75" customHeight="1">
      <c r="E87" s="35"/>
      <c r="F87" s="29"/>
      <c r="H87" s="39"/>
    </row>
    <row r="88" ht="15.75" customHeight="1">
      <c r="E88" s="35"/>
      <c r="F88" s="29"/>
      <c r="H88" s="39"/>
    </row>
    <row r="89" ht="15.75" customHeight="1">
      <c r="E89" s="35"/>
      <c r="F89" s="29"/>
      <c r="H89" s="39"/>
    </row>
    <row r="90" ht="15.75" customHeight="1">
      <c r="E90" s="35"/>
      <c r="F90" s="29"/>
      <c r="H90" s="39"/>
    </row>
    <row r="91" ht="15.75" customHeight="1">
      <c r="E91" s="35"/>
      <c r="F91" s="29"/>
      <c r="H91" s="39"/>
    </row>
    <row r="92" ht="15.75" customHeight="1">
      <c r="E92" s="35"/>
      <c r="F92" s="29"/>
      <c r="H92" s="39"/>
    </row>
    <row r="93" ht="15.75" customHeight="1">
      <c r="E93" s="35"/>
      <c r="F93" s="29"/>
      <c r="H93" s="39"/>
    </row>
    <row r="94" ht="15.75" customHeight="1">
      <c r="E94" s="35"/>
      <c r="F94" s="29"/>
      <c r="H94" s="39"/>
    </row>
    <row r="95" ht="15.75" customHeight="1">
      <c r="E95" s="35"/>
      <c r="F95" s="29"/>
      <c r="H95" s="39"/>
    </row>
    <row r="96" ht="15.75" customHeight="1">
      <c r="E96" s="35"/>
      <c r="F96" s="29"/>
      <c r="H96" s="39"/>
    </row>
    <row r="97" ht="15.75" customHeight="1">
      <c r="E97" s="35"/>
      <c r="F97" s="29"/>
      <c r="H97" s="39"/>
    </row>
    <row r="98" ht="15.75" customHeight="1">
      <c r="E98" s="35"/>
      <c r="F98" s="29"/>
      <c r="H98" s="39"/>
    </row>
    <row r="99" ht="15.75" customHeight="1">
      <c r="E99" s="35"/>
      <c r="F99" s="29"/>
      <c r="H99" s="39"/>
    </row>
    <row r="100" ht="15.75" customHeight="1">
      <c r="E100" s="35"/>
      <c r="F100" s="29"/>
      <c r="H100" s="39"/>
    </row>
    <row r="101" ht="15.75" customHeight="1">
      <c r="E101" s="35"/>
      <c r="F101" s="29"/>
      <c r="H101" s="39"/>
    </row>
    <row r="102" ht="15.75" customHeight="1">
      <c r="E102" s="35"/>
      <c r="F102" s="29"/>
      <c r="H102" s="39"/>
    </row>
    <row r="103" ht="15.75" customHeight="1">
      <c r="E103" s="35"/>
      <c r="F103" s="29"/>
      <c r="H103" s="39"/>
    </row>
    <row r="104" ht="15.75" customHeight="1">
      <c r="E104" s="35"/>
      <c r="F104" s="29"/>
      <c r="H104" s="39"/>
    </row>
    <row r="105" ht="15.75" customHeight="1">
      <c r="E105" s="35"/>
      <c r="F105" s="29"/>
      <c r="H105" s="39"/>
    </row>
    <row r="106" ht="15.75" customHeight="1">
      <c r="E106" s="35"/>
      <c r="F106" s="29"/>
      <c r="H106" s="39"/>
    </row>
    <row r="107" ht="15.75" customHeight="1">
      <c r="E107" s="35"/>
      <c r="F107" s="29"/>
      <c r="H107" s="39"/>
    </row>
    <row r="108" ht="15.75" customHeight="1">
      <c r="E108" s="35"/>
      <c r="F108" s="29"/>
      <c r="H108" s="39"/>
    </row>
    <row r="109" ht="15.75" customHeight="1">
      <c r="E109" s="35"/>
      <c r="F109" s="29"/>
      <c r="H109" s="39"/>
    </row>
    <row r="110" ht="15.75" customHeight="1">
      <c r="E110" s="35"/>
      <c r="F110" s="29"/>
      <c r="H110" s="39"/>
    </row>
    <row r="111" ht="15.75" customHeight="1">
      <c r="E111" s="35"/>
      <c r="F111" s="29"/>
      <c r="H111" s="39"/>
    </row>
    <row r="112" ht="15.75" customHeight="1">
      <c r="E112" s="35"/>
      <c r="F112" s="29"/>
      <c r="H112" s="39"/>
    </row>
    <row r="113" ht="15.75" customHeight="1">
      <c r="E113" s="35"/>
      <c r="F113" s="29"/>
      <c r="H113" s="39"/>
    </row>
    <row r="114" ht="15.75" customHeight="1">
      <c r="E114" s="35"/>
      <c r="F114" s="29"/>
      <c r="H114" s="39"/>
    </row>
    <row r="115" ht="15.75" customHeight="1">
      <c r="E115" s="35"/>
      <c r="F115" s="29"/>
      <c r="H115" s="39"/>
    </row>
    <row r="116" ht="15.75" customHeight="1">
      <c r="E116" s="35"/>
      <c r="F116" s="29"/>
      <c r="H116" s="39"/>
    </row>
    <row r="117" ht="15.75" customHeight="1">
      <c r="E117" s="35"/>
      <c r="F117" s="29"/>
      <c r="H117" s="39"/>
    </row>
    <row r="118" ht="15.75" customHeight="1">
      <c r="E118" s="35"/>
      <c r="F118" s="29"/>
      <c r="H118" s="39"/>
    </row>
    <row r="119" ht="15.75" customHeight="1">
      <c r="E119" s="35"/>
      <c r="F119" s="29"/>
      <c r="H119" s="39"/>
    </row>
    <row r="120" ht="15.75" customHeight="1">
      <c r="E120" s="35"/>
      <c r="F120" s="29"/>
      <c r="H120" s="39"/>
    </row>
    <row r="121" ht="15.75" customHeight="1">
      <c r="E121" s="35"/>
      <c r="F121" s="29"/>
      <c r="H121" s="39"/>
    </row>
    <row r="122" ht="15.75" customHeight="1">
      <c r="E122" s="35"/>
      <c r="F122" s="29"/>
      <c r="H122" s="39"/>
    </row>
    <row r="123" ht="15.75" customHeight="1">
      <c r="E123" s="35"/>
      <c r="F123" s="29"/>
      <c r="H123" s="39"/>
    </row>
    <row r="124" ht="15.75" customHeight="1">
      <c r="E124" s="35"/>
      <c r="F124" s="29"/>
      <c r="H124" s="39"/>
    </row>
    <row r="125" ht="15.75" customHeight="1">
      <c r="E125" s="35"/>
      <c r="F125" s="29"/>
      <c r="H125" s="39"/>
    </row>
    <row r="126" ht="15.75" customHeight="1">
      <c r="E126" s="35"/>
      <c r="F126" s="29"/>
      <c r="H126" s="39"/>
    </row>
    <row r="127" ht="15.75" customHeight="1">
      <c r="E127" s="35"/>
      <c r="F127" s="29"/>
      <c r="H127" s="39"/>
    </row>
    <row r="128" ht="15.75" customHeight="1">
      <c r="E128" s="35"/>
      <c r="F128" s="29"/>
      <c r="H128" s="39"/>
    </row>
    <row r="129" ht="15.75" customHeight="1">
      <c r="E129" s="35"/>
      <c r="F129" s="29"/>
      <c r="H129" s="39"/>
    </row>
    <row r="130" ht="15.75" customHeight="1">
      <c r="E130" s="35"/>
      <c r="F130" s="29"/>
      <c r="H130" s="39"/>
    </row>
    <row r="131" ht="15.75" customHeight="1">
      <c r="E131" s="35"/>
      <c r="F131" s="29"/>
      <c r="H131" s="39"/>
    </row>
    <row r="132" ht="15.75" customHeight="1">
      <c r="E132" s="35"/>
      <c r="F132" s="29"/>
      <c r="H132" s="39"/>
    </row>
    <row r="133" ht="15.75" customHeight="1">
      <c r="E133" s="35"/>
      <c r="F133" s="29"/>
      <c r="H133" s="39"/>
    </row>
    <row r="134" ht="15.75" customHeight="1">
      <c r="E134" s="35"/>
      <c r="F134" s="29"/>
      <c r="H134" s="39"/>
    </row>
    <row r="135" ht="15.75" customHeight="1">
      <c r="E135" s="35"/>
      <c r="F135" s="29"/>
      <c r="H135" s="39"/>
    </row>
    <row r="136" ht="15.75" customHeight="1">
      <c r="E136" s="35"/>
      <c r="F136" s="29"/>
      <c r="H136" s="39"/>
    </row>
    <row r="137" ht="15.75" customHeight="1">
      <c r="E137" s="35"/>
      <c r="F137" s="29"/>
      <c r="H137" s="39"/>
    </row>
    <row r="138" ht="15.75" customHeight="1">
      <c r="E138" s="35"/>
      <c r="F138" s="29"/>
      <c r="H138" s="39"/>
    </row>
    <row r="139" ht="15.75" customHeight="1">
      <c r="E139" s="35"/>
      <c r="F139" s="29"/>
      <c r="H139" s="39"/>
    </row>
    <row r="140" ht="15.75" customHeight="1">
      <c r="E140" s="35"/>
      <c r="F140" s="29"/>
      <c r="H140" s="39"/>
    </row>
    <row r="141" ht="15.75" customHeight="1">
      <c r="E141" s="35"/>
      <c r="F141" s="29"/>
      <c r="H141" s="39"/>
    </row>
    <row r="142" ht="15.75" customHeight="1">
      <c r="E142" s="35"/>
      <c r="F142" s="29"/>
      <c r="H142" s="39"/>
    </row>
    <row r="143" ht="15.75" customHeight="1">
      <c r="E143" s="35"/>
      <c r="F143" s="29"/>
      <c r="H143" s="39"/>
    </row>
    <row r="144" ht="15.75" customHeight="1">
      <c r="E144" s="35"/>
      <c r="F144" s="29"/>
      <c r="H144" s="39"/>
    </row>
    <row r="145" ht="15.75" customHeight="1">
      <c r="E145" s="35"/>
      <c r="F145" s="29"/>
      <c r="H145" s="39"/>
    </row>
    <row r="146" ht="15.75" customHeight="1">
      <c r="E146" s="35"/>
      <c r="F146" s="29"/>
      <c r="H146" s="39"/>
    </row>
    <row r="147" ht="15.75" customHeight="1">
      <c r="E147" s="35"/>
      <c r="F147" s="29"/>
      <c r="H147" s="39"/>
    </row>
    <row r="148" ht="15.75" customHeight="1">
      <c r="E148" s="35"/>
      <c r="F148" s="29"/>
      <c r="H148" s="39"/>
    </row>
    <row r="149" ht="15.75" customHeight="1">
      <c r="E149" s="35"/>
      <c r="F149" s="29"/>
      <c r="H149" s="39"/>
    </row>
    <row r="150" ht="15.75" customHeight="1">
      <c r="E150" s="35"/>
      <c r="F150" s="29"/>
      <c r="H150" s="39"/>
    </row>
    <row r="151" ht="15.75" customHeight="1">
      <c r="E151" s="35"/>
      <c r="F151" s="29"/>
      <c r="H151" s="39"/>
    </row>
    <row r="152" ht="15.75" customHeight="1">
      <c r="E152" s="35"/>
      <c r="F152" s="29"/>
      <c r="H152" s="39"/>
    </row>
    <row r="153" ht="15.75" customHeight="1">
      <c r="E153" s="35"/>
      <c r="F153" s="29"/>
      <c r="H153" s="39"/>
    </row>
    <row r="154" ht="15.75" customHeight="1">
      <c r="E154" s="35"/>
      <c r="F154" s="29"/>
      <c r="H154" s="39"/>
    </row>
    <row r="155" ht="15.75" customHeight="1">
      <c r="E155" s="35"/>
      <c r="F155" s="29"/>
      <c r="H155" s="39"/>
    </row>
    <row r="156" ht="15.75" customHeight="1">
      <c r="E156" s="35"/>
      <c r="F156" s="29"/>
      <c r="H156" s="39"/>
    </row>
    <row r="157" ht="15.75" customHeight="1">
      <c r="E157" s="35"/>
      <c r="F157" s="29"/>
      <c r="H157" s="39"/>
    </row>
    <row r="158" ht="15.75" customHeight="1">
      <c r="E158" s="35"/>
      <c r="F158" s="29"/>
      <c r="H158" s="39"/>
    </row>
    <row r="159" ht="15.75" customHeight="1">
      <c r="E159" s="35"/>
      <c r="F159" s="29"/>
      <c r="H159" s="39"/>
    </row>
    <row r="160" ht="15.75" customHeight="1">
      <c r="E160" s="35"/>
      <c r="F160" s="29"/>
      <c r="H160" s="39"/>
    </row>
    <row r="161" ht="15.75" customHeight="1">
      <c r="E161" s="35"/>
      <c r="F161" s="29"/>
      <c r="H161" s="39"/>
    </row>
    <row r="162" ht="15.75" customHeight="1">
      <c r="E162" s="35"/>
      <c r="F162" s="29"/>
      <c r="H162" s="39"/>
    </row>
    <row r="163" ht="15.75" customHeight="1">
      <c r="E163" s="35"/>
      <c r="F163" s="29"/>
      <c r="H163" s="39"/>
    </row>
    <row r="164" ht="15.75" customHeight="1">
      <c r="E164" s="35"/>
      <c r="F164" s="29"/>
      <c r="H164" s="39"/>
    </row>
    <row r="165" ht="15.75" customHeight="1">
      <c r="E165" s="35"/>
      <c r="F165" s="29"/>
      <c r="H165" s="39"/>
    </row>
    <row r="166" ht="15.75" customHeight="1">
      <c r="E166" s="35"/>
      <c r="F166" s="29"/>
      <c r="H166" s="39"/>
    </row>
    <row r="167" ht="15.75" customHeight="1">
      <c r="E167" s="35"/>
      <c r="F167" s="29"/>
      <c r="H167" s="39"/>
    </row>
    <row r="168" ht="15.75" customHeight="1">
      <c r="E168" s="35"/>
      <c r="F168" s="29"/>
      <c r="H168" s="39"/>
    </row>
    <row r="169" ht="15.75" customHeight="1">
      <c r="E169" s="35"/>
      <c r="F169" s="29"/>
      <c r="H169" s="39"/>
    </row>
    <row r="170" ht="15.75" customHeight="1">
      <c r="E170" s="35"/>
      <c r="F170" s="29"/>
      <c r="H170" s="39"/>
    </row>
    <row r="171" ht="15.75" customHeight="1">
      <c r="E171" s="35"/>
      <c r="F171" s="29"/>
      <c r="H171" s="39"/>
    </row>
    <row r="172" ht="15.75" customHeight="1">
      <c r="E172" s="35"/>
      <c r="F172" s="29"/>
      <c r="H172" s="39"/>
    </row>
    <row r="173" ht="15.75" customHeight="1">
      <c r="E173" s="35"/>
      <c r="F173" s="29"/>
      <c r="H173" s="39"/>
    </row>
    <row r="174" ht="15.75" customHeight="1">
      <c r="E174" s="35"/>
      <c r="F174" s="29"/>
      <c r="H174" s="39"/>
    </row>
    <row r="175" ht="15.75" customHeight="1">
      <c r="E175" s="35"/>
      <c r="F175" s="29"/>
      <c r="H175" s="39"/>
    </row>
    <row r="176" ht="15.75" customHeight="1">
      <c r="E176" s="35"/>
      <c r="F176" s="29"/>
      <c r="H176" s="39"/>
    </row>
    <row r="177" ht="15.75" customHeight="1">
      <c r="E177" s="35"/>
      <c r="F177" s="29"/>
      <c r="H177" s="39"/>
    </row>
    <row r="178" ht="15.75" customHeight="1">
      <c r="E178" s="35"/>
      <c r="F178" s="29"/>
      <c r="H178" s="39"/>
    </row>
    <row r="179" ht="15.75" customHeight="1">
      <c r="E179" s="35"/>
      <c r="F179" s="29"/>
      <c r="H179" s="39"/>
    </row>
    <row r="180" ht="15.75" customHeight="1">
      <c r="E180" s="35"/>
      <c r="F180" s="29"/>
      <c r="H180" s="39"/>
    </row>
    <row r="181" ht="15.75" customHeight="1">
      <c r="E181" s="35"/>
      <c r="F181" s="29"/>
      <c r="H181" s="39"/>
    </row>
    <row r="182" ht="15.75" customHeight="1">
      <c r="E182" s="35"/>
      <c r="F182" s="29"/>
      <c r="H182" s="39"/>
    </row>
    <row r="183" ht="15.75" customHeight="1">
      <c r="E183" s="35"/>
      <c r="F183" s="29"/>
      <c r="H183" s="39"/>
    </row>
    <row r="184" ht="15.75" customHeight="1">
      <c r="E184" s="35"/>
      <c r="F184" s="29"/>
      <c r="H184" s="39"/>
    </row>
    <row r="185" ht="15.75" customHeight="1">
      <c r="E185" s="35"/>
      <c r="F185" s="29"/>
      <c r="H185" s="39"/>
    </row>
    <row r="186" ht="15.75" customHeight="1">
      <c r="E186" s="35"/>
      <c r="F186" s="29"/>
      <c r="H186" s="39"/>
    </row>
    <row r="187" ht="15.75" customHeight="1">
      <c r="E187" s="35"/>
      <c r="F187" s="29"/>
      <c r="H187" s="39"/>
    </row>
    <row r="188" ht="15.75" customHeight="1">
      <c r="E188" s="35"/>
      <c r="F188" s="29"/>
      <c r="H188" s="39"/>
    </row>
    <row r="189" ht="15.75" customHeight="1">
      <c r="E189" s="35"/>
      <c r="F189" s="29"/>
      <c r="H189" s="39"/>
    </row>
    <row r="190" ht="15.75" customHeight="1">
      <c r="E190" s="35"/>
      <c r="F190" s="29"/>
      <c r="H190" s="39"/>
    </row>
    <row r="191" ht="15.75" customHeight="1">
      <c r="E191" s="35"/>
      <c r="F191" s="29"/>
      <c r="H191" s="39"/>
    </row>
    <row r="192" ht="15.75" customHeight="1">
      <c r="E192" s="35"/>
      <c r="F192" s="29"/>
      <c r="H192" s="39"/>
    </row>
    <row r="193" ht="15.75" customHeight="1">
      <c r="E193" s="35"/>
      <c r="F193" s="29"/>
      <c r="H193" s="39"/>
    </row>
    <row r="194" ht="15.75" customHeight="1">
      <c r="E194" s="35"/>
      <c r="F194" s="29"/>
      <c r="H194" s="39"/>
    </row>
    <row r="195" ht="15.75" customHeight="1">
      <c r="E195" s="35"/>
      <c r="F195" s="29"/>
      <c r="H195" s="39"/>
    </row>
    <row r="196" ht="15.75" customHeight="1">
      <c r="E196" s="35"/>
      <c r="F196" s="29"/>
      <c r="H196" s="39"/>
    </row>
    <row r="197" ht="15.75" customHeight="1">
      <c r="E197" s="35"/>
      <c r="F197" s="29"/>
      <c r="H197" s="39"/>
    </row>
    <row r="198" ht="15.75" customHeight="1">
      <c r="E198" s="35"/>
      <c r="F198" s="29"/>
      <c r="H198" s="39"/>
    </row>
    <row r="199" ht="15.75" customHeight="1">
      <c r="E199" s="35"/>
      <c r="F199" s="29"/>
      <c r="H199" s="39"/>
    </row>
    <row r="200" ht="15.75" customHeight="1">
      <c r="E200" s="35"/>
      <c r="F200" s="29"/>
      <c r="H200" s="39"/>
    </row>
    <row r="201" ht="15.75" customHeight="1">
      <c r="E201" s="35"/>
      <c r="F201" s="29"/>
      <c r="H201" s="39"/>
    </row>
    <row r="202" ht="15.75" customHeight="1">
      <c r="E202" s="35"/>
      <c r="F202" s="29"/>
      <c r="H202" s="39"/>
    </row>
    <row r="203" ht="15.75" customHeight="1">
      <c r="E203" s="35"/>
      <c r="F203" s="29"/>
      <c r="H203" s="39"/>
    </row>
    <row r="204" ht="15.75" customHeight="1">
      <c r="E204" s="35"/>
      <c r="F204" s="29"/>
      <c r="H204" s="39"/>
    </row>
    <row r="205" ht="15.75" customHeight="1">
      <c r="E205" s="35"/>
      <c r="F205" s="29"/>
      <c r="H205" s="39"/>
    </row>
    <row r="206" ht="15.75" customHeight="1">
      <c r="E206" s="35"/>
      <c r="F206" s="29"/>
      <c r="H206" s="39"/>
    </row>
    <row r="207" ht="15.75" customHeight="1">
      <c r="E207" s="35"/>
      <c r="F207" s="29"/>
      <c r="H207" s="39"/>
    </row>
    <row r="208" ht="15.75" customHeight="1">
      <c r="E208" s="35"/>
      <c r="F208" s="29"/>
      <c r="H208" s="39"/>
    </row>
    <row r="209" ht="15.75" customHeight="1">
      <c r="E209" s="35"/>
      <c r="F209" s="29"/>
      <c r="H209" s="39"/>
    </row>
    <row r="210" ht="15.75" customHeight="1">
      <c r="E210" s="35"/>
      <c r="F210" s="29"/>
      <c r="H210" s="39"/>
    </row>
    <row r="211" ht="15.75" customHeight="1">
      <c r="E211" s="35"/>
      <c r="F211" s="29"/>
      <c r="H211" s="39"/>
    </row>
    <row r="212" ht="15.75" customHeight="1">
      <c r="E212" s="35"/>
      <c r="F212" s="29"/>
      <c r="H212" s="39"/>
    </row>
    <row r="213" ht="15.75" customHeight="1">
      <c r="E213" s="35"/>
      <c r="F213" s="29"/>
      <c r="H213" s="39"/>
    </row>
    <row r="214" ht="15.75" customHeight="1">
      <c r="E214" s="35"/>
      <c r="F214" s="29"/>
      <c r="H214" s="39"/>
    </row>
    <row r="215" ht="15.75" customHeight="1">
      <c r="E215" s="35"/>
      <c r="F215" s="29"/>
      <c r="H215" s="39"/>
    </row>
    <row r="216" ht="15.75" customHeight="1">
      <c r="E216" s="35"/>
      <c r="F216" s="29"/>
      <c r="H216" s="39"/>
    </row>
    <row r="217" ht="15.75" customHeight="1">
      <c r="E217" s="35"/>
      <c r="F217" s="29"/>
      <c r="H217" s="39"/>
    </row>
    <row r="218" ht="15.75" customHeight="1">
      <c r="E218" s="35"/>
      <c r="F218" s="29"/>
      <c r="H218" s="39"/>
    </row>
    <row r="219" ht="15.75" customHeight="1">
      <c r="E219" s="35"/>
      <c r="F219" s="29"/>
      <c r="H219" s="39"/>
    </row>
    <row r="220" ht="15.75" customHeight="1">
      <c r="E220" s="35"/>
      <c r="F220" s="29"/>
      <c r="H220" s="39"/>
    </row>
    <row r="221" ht="15.75" customHeight="1">
      <c r="E221" s="35"/>
      <c r="F221" s="29"/>
      <c r="H221" s="39"/>
    </row>
    <row r="222" ht="15.75" customHeight="1">
      <c r="E222" s="35"/>
      <c r="F222" s="29"/>
      <c r="H222" s="39"/>
    </row>
    <row r="223" ht="15.75" customHeight="1">
      <c r="E223" s="35"/>
      <c r="F223" s="29"/>
      <c r="H223" s="39"/>
    </row>
    <row r="224" ht="15.75" customHeight="1">
      <c r="E224" s="35"/>
      <c r="F224" s="29"/>
      <c r="H224" s="39"/>
    </row>
    <row r="225" ht="15.75" customHeight="1">
      <c r="E225" s="35"/>
      <c r="F225" s="29"/>
      <c r="H225" s="39"/>
    </row>
    <row r="226" ht="15.75" customHeight="1">
      <c r="E226" s="35"/>
      <c r="F226" s="29"/>
      <c r="H226" s="39"/>
    </row>
    <row r="227" ht="15.75" customHeight="1">
      <c r="E227" s="35"/>
      <c r="F227" s="29"/>
      <c r="H227" s="39"/>
    </row>
    <row r="228" ht="15.75" customHeight="1">
      <c r="E228" s="35"/>
      <c r="F228" s="29"/>
      <c r="H228" s="39"/>
    </row>
    <row r="229" ht="15.75" customHeight="1">
      <c r="E229" s="35"/>
      <c r="F229" s="29"/>
      <c r="H229" s="39"/>
    </row>
    <row r="230" ht="15.75" customHeight="1">
      <c r="E230" s="35"/>
      <c r="F230" s="29"/>
      <c r="H230" s="39"/>
    </row>
    <row r="231" ht="15.75" customHeight="1">
      <c r="E231" s="35"/>
      <c r="F231" s="29"/>
      <c r="H231" s="39"/>
    </row>
    <row r="232" ht="15.75" customHeight="1">
      <c r="E232" s="35"/>
      <c r="F232" s="29"/>
      <c r="H232" s="39"/>
    </row>
    <row r="233" ht="15.75" customHeight="1">
      <c r="E233" s="35"/>
      <c r="F233" s="29"/>
      <c r="H233" s="39"/>
    </row>
    <row r="234" ht="15.75" customHeight="1">
      <c r="E234" s="35"/>
      <c r="F234" s="29"/>
      <c r="H234" s="39"/>
    </row>
    <row r="235" ht="15.75" customHeight="1">
      <c r="E235" s="35"/>
      <c r="F235" s="29"/>
      <c r="H235" s="39"/>
    </row>
    <row r="236" ht="15.75" customHeight="1">
      <c r="E236" s="35"/>
      <c r="F236" s="29"/>
      <c r="H236" s="39"/>
    </row>
    <row r="237" ht="15.75" customHeight="1">
      <c r="E237" s="35"/>
      <c r="F237" s="29"/>
      <c r="H237" s="39"/>
    </row>
    <row r="238" ht="15.75" customHeight="1">
      <c r="E238" s="35"/>
      <c r="F238" s="29"/>
      <c r="H238" s="39"/>
    </row>
    <row r="239" ht="15.75" customHeight="1">
      <c r="E239" s="35"/>
      <c r="F239" s="29"/>
      <c r="H239" s="39"/>
    </row>
    <row r="240" ht="15.75" customHeight="1">
      <c r="E240" s="35"/>
      <c r="F240" s="29"/>
      <c r="H240" s="39"/>
    </row>
    <row r="241" ht="15.75" customHeight="1">
      <c r="E241" s="35"/>
      <c r="F241" s="29"/>
      <c r="H241" s="39"/>
    </row>
    <row r="242" ht="15.75" customHeight="1">
      <c r="E242" s="35"/>
      <c r="F242" s="29"/>
      <c r="H242" s="39"/>
    </row>
    <row r="243" ht="15.75" customHeight="1">
      <c r="E243" s="35"/>
      <c r="F243" s="29"/>
      <c r="H243" s="39"/>
    </row>
    <row r="244" ht="15.75" customHeight="1">
      <c r="E244" s="35"/>
      <c r="F244" s="29"/>
      <c r="H244" s="39"/>
    </row>
    <row r="245" ht="15.75" customHeight="1">
      <c r="E245" s="35"/>
      <c r="F245" s="29"/>
      <c r="H245" s="39"/>
    </row>
    <row r="246" ht="15.75" customHeight="1">
      <c r="E246" s="35"/>
      <c r="F246" s="29"/>
      <c r="H246" s="39"/>
    </row>
    <row r="247" ht="15.75" customHeight="1">
      <c r="E247" s="35"/>
      <c r="F247" s="29"/>
      <c r="H247" s="39"/>
    </row>
    <row r="248" ht="15.75" customHeight="1">
      <c r="E248" s="35"/>
      <c r="F248" s="29"/>
      <c r="H248" s="39"/>
    </row>
    <row r="249" ht="15.75" customHeight="1">
      <c r="E249" s="35"/>
      <c r="F249" s="29"/>
      <c r="H249" s="39"/>
    </row>
    <row r="250" ht="15.75" customHeight="1">
      <c r="E250" s="35"/>
      <c r="F250" s="29"/>
      <c r="H250" s="39"/>
    </row>
    <row r="251" ht="15.75" customHeight="1">
      <c r="E251" s="35"/>
      <c r="F251" s="29"/>
      <c r="H251" s="39"/>
    </row>
    <row r="252" ht="15.75" customHeight="1">
      <c r="E252" s="35"/>
      <c r="F252" s="29"/>
      <c r="H252" s="39"/>
    </row>
    <row r="253" ht="15.75" customHeight="1">
      <c r="E253" s="35"/>
      <c r="F253" s="29"/>
      <c r="H253" s="39"/>
    </row>
    <row r="254" ht="15.75" customHeight="1">
      <c r="E254" s="35"/>
      <c r="F254" s="29"/>
      <c r="H254" s="39"/>
    </row>
    <row r="255" ht="15.75" customHeight="1">
      <c r="E255" s="35"/>
      <c r="F255" s="29"/>
      <c r="H255" s="39"/>
    </row>
    <row r="256" ht="15.75" customHeight="1">
      <c r="E256" s="35"/>
      <c r="F256" s="29"/>
      <c r="H256" s="39"/>
    </row>
    <row r="257" ht="15.75" customHeight="1">
      <c r="E257" s="35"/>
      <c r="F257" s="29"/>
      <c r="H257" s="39"/>
    </row>
    <row r="258" ht="15.75" customHeight="1">
      <c r="E258" s="35"/>
      <c r="F258" s="29"/>
      <c r="H258" s="39"/>
    </row>
    <row r="259" ht="15.75" customHeight="1">
      <c r="E259" s="35"/>
      <c r="F259" s="29"/>
      <c r="H259" s="39"/>
    </row>
    <row r="260" ht="15.75" customHeight="1">
      <c r="E260" s="35"/>
      <c r="F260" s="29"/>
      <c r="H260" s="39"/>
    </row>
    <row r="261" ht="15.75" customHeight="1">
      <c r="E261" s="35"/>
      <c r="F261" s="29"/>
      <c r="H261" s="39"/>
    </row>
    <row r="262" ht="15.75" customHeight="1">
      <c r="E262" s="35"/>
      <c r="F262" s="29"/>
      <c r="H262" s="39"/>
    </row>
    <row r="263" ht="15.75" customHeight="1">
      <c r="E263" s="35"/>
      <c r="F263" s="29"/>
      <c r="H263" s="39"/>
    </row>
    <row r="264" ht="15.75" customHeight="1">
      <c r="E264" s="35"/>
      <c r="F264" s="29"/>
      <c r="H264" s="39"/>
    </row>
    <row r="265" ht="15.75" customHeight="1">
      <c r="E265" s="35"/>
      <c r="F265" s="29"/>
      <c r="H265" s="39"/>
    </row>
    <row r="266" ht="15.75" customHeight="1">
      <c r="E266" s="35"/>
      <c r="F266" s="29"/>
      <c r="H266" s="39"/>
    </row>
    <row r="267" ht="15.75" customHeight="1">
      <c r="E267" s="35"/>
      <c r="F267" s="29"/>
      <c r="H267" s="39"/>
    </row>
    <row r="268" ht="15.75" customHeight="1">
      <c r="E268" s="35"/>
      <c r="F268" s="29"/>
      <c r="H268" s="39"/>
    </row>
    <row r="269" ht="15.75" customHeight="1">
      <c r="E269" s="35"/>
      <c r="F269" s="29"/>
      <c r="H269" s="39"/>
    </row>
    <row r="270" ht="15.75" customHeight="1">
      <c r="E270" s="35"/>
      <c r="F270" s="29"/>
      <c r="H270" s="39"/>
    </row>
    <row r="271" ht="15.75" customHeight="1">
      <c r="E271" s="35"/>
      <c r="F271" s="29"/>
      <c r="H271" s="39"/>
    </row>
    <row r="272" ht="15.75" customHeight="1">
      <c r="E272" s="35"/>
      <c r="F272" s="29"/>
      <c r="H272" s="39"/>
    </row>
    <row r="273" ht="15.75" customHeight="1">
      <c r="E273" s="35"/>
      <c r="F273" s="29"/>
      <c r="H273" s="39"/>
    </row>
    <row r="274" ht="15.75" customHeight="1">
      <c r="E274" s="35"/>
      <c r="F274" s="29"/>
      <c r="H274" s="39"/>
    </row>
    <row r="275" ht="15.75" customHeight="1">
      <c r="E275" s="35"/>
      <c r="F275" s="29"/>
      <c r="H275" s="39"/>
    </row>
    <row r="276" ht="15.75" customHeight="1">
      <c r="E276" s="35"/>
      <c r="F276" s="29"/>
      <c r="H276" s="39"/>
    </row>
    <row r="277" ht="15.75" customHeight="1">
      <c r="E277" s="35"/>
      <c r="F277" s="29"/>
      <c r="H277" s="39"/>
    </row>
    <row r="278" ht="15.75" customHeight="1">
      <c r="E278" s="35"/>
      <c r="F278" s="29"/>
      <c r="H278" s="39"/>
    </row>
    <row r="279" ht="15.75" customHeight="1">
      <c r="E279" s="35"/>
      <c r="F279" s="29"/>
      <c r="H279" s="39"/>
    </row>
    <row r="280" ht="15.75" customHeight="1">
      <c r="E280" s="35"/>
      <c r="F280" s="29"/>
      <c r="H280" s="39"/>
    </row>
    <row r="281" ht="15.75" customHeight="1">
      <c r="E281" s="35"/>
      <c r="F281" s="29"/>
      <c r="H281" s="39"/>
    </row>
    <row r="282" ht="15.75" customHeight="1">
      <c r="E282" s="35"/>
      <c r="F282" s="29"/>
      <c r="H282" s="39"/>
    </row>
    <row r="283" ht="15.75" customHeight="1">
      <c r="E283" s="35"/>
      <c r="F283" s="29"/>
      <c r="H283" s="39"/>
    </row>
    <row r="284" ht="15.75" customHeight="1">
      <c r="E284" s="35"/>
      <c r="F284" s="29"/>
      <c r="H284" s="39"/>
    </row>
    <row r="285" ht="15.75" customHeight="1">
      <c r="E285" s="35"/>
      <c r="F285" s="29"/>
      <c r="H285" s="39"/>
    </row>
    <row r="286" ht="15.75" customHeight="1">
      <c r="E286" s="35"/>
      <c r="F286" s="29"/>
      <c r="H286" s="39"/>
    </row>
    <row r="287" ht="15.75" customHeight="1">
      <c r="E287" s="35"/>
      <c r="F287" s="29"/>
      <c r="H287" s="39"/>
    </row>
    <row r="288" ht="15.75" customHeight="1">
      <c r="E288" s="35"/>
      <c r="F288" s="29"/>
      <c r="H288" s="39"/>
    </row>
    <row r="289" ht="15.75" customHeight="1">
      <c r="E289" s="35"/>
      <c r="F289" s="29"/>
      <c r="H289" s="39"/>
    </row>
    <row r="290" ht="15.75" customHeight="1">
      <c r="E290" s="35"/>
      <c r="F290" s="29"/>
      <c r="H290" s="39"/>
    </row>
    <row r="291" ht="15.75" customHeight="1">
      <c r="E291" s="35"/>
      <c r="F291" s="29"/>
      <c r="H291" s="39"/>
    </row>
    <row r="292" ht="15.75" customHeight="1">
      <c r="E292" s="35"/>
      <c r="F292" s="29"/>
      <c r="H292" s="39"/>
    </row>
    <row r="293" ht="15.75" customHeight="1">
      <c r="E293" s="35"/>
      <c r="F293" s="29"/>
      <c r="H293" s="39"/>
    </row>
    <row r="294" ht="15.75" customHeight="1">
      <c r="E294" s="35"/>
      <c r="F294" s="29"/>
      <c r="H294" s="39"/>
    </row>
    <row r="295" ht="15.75" customHeight="1">
      <c r="E295" s="35"/>
      <c r="F295" s="29"/>
      <c r="H295" s="39"/>
    </row>
    <row r="296" ht="15.75" customHeight="1">
      <c r="E296" s="35"/>
      <c r="F296" s="29"/>
      <c r="H296" s="39"/>
    </row>
    <row r="297" ht="15.75" customHeight="1">
      <c r="E297" s="35"/>
      <c r="F297" s="29"/>
      <c r="H297" s="39"/>
    </row>
    <row r="298" ht="15.75" customHeight="1">
      <c r="E298" s="35"/>
      <c r="F298" s="29"/>
      <c r="H298" s="39"/>
    </row>
    <row r="299" ht="15.75" customHeight="1">
      <c r="E299" s="35"/>
      <c r="F299" s="29"/>
      <c r="H299" s="39"/>
    </row>
    <row r="300" ht="15.75" customHeight="1">
      <c r="E300" s="35"/>
      <c r="F300" s="29"/>
      <c r="H300" s="39"/>
    </row>
    <row r="301" ht="15.75" customHeight="1">
      <c r="E301" s="35"/>
      <c r="F301" s="29"/>
      <c r="H301" s="39"/>
    </row>
    <row r="302" ht="15.75" customHeight="1">
      <c r="E302" s="35"/>
      <c r="F302" s="29"/>
      <c r="H302" s="39"/>
    </row>
    <row r="303" ht="15.75" customHeight="1">
      <c r="E303" s="35"/>
      <c r="F303" s="29"/>
      <c r="H303" s="39"/>
    </row>
    <row r="304" ht="15.75" customHeight="1">
      <c r="E304" s="35"/>
      <c r="F304" s="29"/>
      <c r="H304" s="39"/>
    </row>
    <row r="305" ht="15.75" customHeight="1">
      <c r="E305" s="35"/>
      <c r="F305" s="29"/>
      <c r="H305" s="39"/>
    </row>
    <row r="306" ht="15.75" customHeight="1">
      <c r="E306" s="35"/>
      <c r="F306" s="29"/>
      <c r="H306" s="39"/>
    </row>
    <row r="307" ht="15.75" customHeight="1">
      <c r="E307" s="35"/>
      <c r="F307" s="29"/>
      <c r="H307" s="39"/>
    </row>
    <row r="308" ht="15.75" customHeight="1">
      <c r="E308" s="35"/>
      <c r="F308" s="29"/>
      <c r="H308" s="39"/>
    </row>
    <row r="309" ht="15.75" customHeight="1">
      <c r="E309" s="35"/>
      <c r="F309" s="29"/>
      <c r="H309" s="39"/>
    </row>
    <row r="310" ht="15.75" customHeight="1">
      <c r="E310" s="35"/>
      <c r="F310" s="29"/>
      <c r="H310" s="39"/>
    </row>
    <row r="311" ht="15.75" customHeight="1">
      <c r="E311" s="35"/>
      <c r="F311" s="29"/>
      <c r="H311" s="39"/>
    </row>
    <row r="312" ht="15.75" customHeight="1">
      <c r="E312" s="35"/>
      <c r="F312" s="29"/>
      <c r="H312" s="39"/>
    </row>
    <row r="313" ht="15.75" customHeight="1">
      <c r="E313" s="35"/>
      <c r="F313" s="29"/>
      <c r="H313" s="39"/>
    </row>
    <row r="314" ht="15.75" customHeight="1">
      <c r="E314" s="35"/>
      <c r="F314" s="29"/>
      <c r="H314" s="39"/>
    </row>
    <row r="315" ht="15.75" customHeight="1">
      <c r="E315" s="35"/>
      <c r="F315" s="29"/>
      <c r="H315" s="39"/>
    </row>
    <row r="316" ht="15.75" customHeight="1">
      <c r="E316" s="35"/>
      <c r="F316" s="29"/>
      <c r="H316" s="39"/>
    </row>
    <row r="317" ht="15.75" customHeight="1">
      <c r="E317" s="35"/>
      <c r="F317" s="29"/>
      <c r="H317" s="39"/>
    </row>
    <row r="318" ht="15.75" customHeight="1">
      <c r="E318" s="35"/>
      <c r="F318" s="29"/>
      <c r="H318" s="39"/>
    </row>
    <row r="319" ht="15.75" customHeight="1">
      <c r="E319" s="35"/>
      <c r="F319" s="29"/>
      <c r="H319" s="39"/>
    </row>
    <row r="320" ht="15.75" customHeight="1">
      <c r="E320" s="35"/>
      <c r="F320" s="29"/>
      <c r="H320" s="39"/>
    </row>
    <row r="321" ht="15.75" customHeight="1">
      <c r="E321" s="35"/>
      <c r="F321" s="29"/>
      <c r="H321" s="39"/>
    </row>
    <row r="322" ht="15.75" customHeight="1">
      <c r="E322" s="35"/>
      <c r="F322" s="29"/>
      <c r="H322" s="39"/>
    </row>
    <row r="323" ht="15.75" customHeight="1">
      <c r="E323" s="35"/>
      <c r="F323" s="29"/>
      <c r="H323" s="39"/>
    </row>
    <row r="324" ht="15.75" customHeight="1">
      <c r="E324" s="35"/>
      <c r="F324" s="29"/>
      <c r="H324" s="39"/>
    </row>
    <row r="325" ht="15.75" customHeight="1">
      <c r="E325" s="35"/>
      <c r="F325" s="29"/>
      <c r="H325" s="39"/>
    </row>
    <row r="326" ht="15.75" customHeight="1">
      <c r="E326" s="35"/>
      <c r="F326" s="29"/>
      <c r="H326" s="39"/>
    </row>
    <row r="327" ht="15.75" customHeight="1">
      <c r="E327" s="35"/>
      <c r="F327" s="29"/>
      <c r="H327" s="39"/>
    </row>
    <row r="328" ht="15.75" customHeight="1">
      <c r="E328" s="35"/>
      <c r="F328" s="29"/>
      <c r="H328" s="39"/>
    </row>
    <row r="329" ht="15.75" customHeight="1">
      <c r="E329" s="35"/>
      <c r="F329" s="29"/>
      <c r="H329" s="39"/>
    </row>
    <row r="330" ht="15.75" customHeight="1">
      <c r="E330" s="35"/>
      <c r="F330" s="29"/>
      <c r="H330" s="39"/>
    </row>
    <row r="331" ht="15.75" customHeight="1">
      <c r="E331" s="35"/>
      <c r="F331" s="29"/>
      <c r="H331" s="39"/>
    </row>
    <row r="332" ht="15.75" customHeight="1">
      <c r="E332" s="35"/>
      <c r="F332" s="29"/>
      <c r="H332" s="39"/>
    </row>
    <row r="333" ht="15.75" customHeight="1">
      <c r="E333" s="35"/>
      <c r="F333" s="29"/>
      <c r="H333" s="39"/>
    </row>
    <row r="334" ht="15.75" customHeight="1">
      <c r="E334" s="35"/>
      <c r="F334" s="29"/>
      <c r="H334" s="39"/>
    </row>
    <row r="335" ht="15.75" customHeight="1">
      <c r="E335" s="35"/>
      <c r="F335" s="29"/>
      <c r="H335" s="39"/>
    </row>
    <row r="336" ht="15.75" customHeight="1">
      <c r="E336" s="35"/>
      <c r="F336" s="29"/>
      <c r="H336" s="39"/>
    </row>
    <row r="337" ht="15.75" customHeight="1">
      <c r="E337" s="35"/>
      <c r="F337" s="29"/>
      <c r="H337" s="39"/>
    </row>
    <row r="338" ht="15.75" customHeight="1">
      <c r="E338" s="35"/>
      <c r="F338" s="29"/>
      <c r="H338" s="39"/>
    </row>
    <row r="339" ht="15.75" customHeight="1">
      <c r="E339" s="35"/>
      <c r="F339" s="29"/>
      <c r="H339" s="39"/>
    </row>
    <row r="340" ht="15.75" customHeight="1">
      <c r="E340" s="35"/>
      <c r="F340" s="29"/>
      <c r="H340" s="39"/>
    </row>
    <row r="341" ht="15.75" customHeight="1">
      <c r="E341" s="35"/>
      <c r="F341" s="29"/>
      <c r="H341" s="39"/>
    </row>
    <row r="342" ht="15.75" customHeight="1">
      <c r="E342" s="35"/>
      <c r="F342" s="29"/>
      <c r="H342" s="39"/>
    </row>
    <row r="343" ht="15.75" customHeight="1">
      <c r="E343" s="35"/>
      <c r="F343" s="29"/>
      <c r="H343" s="39"/>
    </row>
    <row r="344" ht="15.75" customHeight="1">
      <c r="E344" s="35"/>
      <c r="F344" s="29"/>
      <c r="H344" s="39"/>
    </row>
    <row r="345" ht="15.75" customHeight="1">
      <c r="E345" s="35"/>
      <c r="F345" s="29"/>
      <c r="H345" s="39"/>
    </row>
    <row r="346" ht="15.75" customHeight="1">
      <c r="E346" s="35"/>
      <c r="F346" s="29"/>
      <c r="H346" s="39"/>
    </row>
    <row r="347" ht="15.75" customHeight="1">
      <c r="E347" s="35"/>
      <c r="F347" s="29"/>
      <c r="H347" s="39"/>
    </row>
    <row r="348" ht="15.75" customHeight="1">
      <c r="E348" s="35"/>
      <c r="F348" s="29"/>
      <c r="H348" s="39"/>
    </row>
    <row r="349" ht="15.75" customHeight="1">
      <c r="E349" s="35"/>
      <c r="F349" s="29"/>
      <c r="H349" s="39"/>
    </row>
    <row r="350" ht="15.75" customHeight="1">
      <c r="E350" s="35"/>
      <c r="F350" s="29"/>
      <c r="H350" s="39"/>
    </row>
    <row r="351" ht="15.75" customHeight="1">
      <c r="E351" s="35"/>
      <c r="F351" s="29"/>
      <c r="H351" s="39"/>
    </row>
    <row r="352" ht="15.75" customHeight="1">
      <c r="E352" s="35"/>
      <c r="F352" s="29"/>
      <c r="H352" s="39"/>
    </row>
    <row r="353" ht="15.75" customHeight="1">
      <c r="E353" s="35"/>
      <c r="F353" s="29"/>
      <c r="H353" s="39"/>
    </row>
    <row r="354" ht="15.75" customHeight="1">
      <c r="E354" s="35"/>
      <c r="F354" s="29"/>
      <c r="H354" s="39"/>
    </row>
    <row r="355" ht="15.75" customHeight="1">
      <c r="E355" s="35"/>
      <c r="F355" s="29"/>
      <c r="H355" s="39"/>
    </row>
    <row r="356" ht="15.75" customHeight="1">
      <c r="E356" s="35"/>
      <c r="F356" s="29"/>
      <c r="H356" s="39"/>
    </row>
    <row r="357" ht="15.75" customHeight="1">
      <c r="E357" s="35"/>
      <c r="F357" s="29"/>
      <c r="H357" s="39"/>
    </row>
    <row r="358" ht="15.75" customHeight="1">
      <c r="E358" s="35"/>
      <c r="F358" s="29"/>
      <c r="H358" s="39"/>
    </row>
    <row r="359" ht="15.75" customHeight="1">
      <c r="E359" s="35"/>
      <c r="F359" s="29"/>
      <c r="H359" s="39"/>
    </row>
    <row r="360" ht="15.75" customHeight="1">
      <c r="E360" s="35"/>
      <c r="F360" s="29"/>
      <c r="H360" s="39"/>
    </row>
    <row r="361" ht="15.75" customHeight="1">
      <c r="E361" s="35"/>
      <c r="F361" s="29"/>
      <c r="H361" s="39"/>
    </row>
    <row r="362" ht="15.75" customHeight="1">
      <c r="E362" s="35"/>
      <c r="F362" s="29"/>
      <c r="H362" s="39"/>
    </row>
    <row r="363" ht="15.75" customHeight="1">
      <c r="E363" s="35"/>
      <c r="F363" s="29"/>
      <c r="H363" s="39"/>
    </row>
    <row r="364" ht="15.75" customHeight="1">
      <c r="E364" s="35"/>
      <c r="F364" s="29"/>
      <c r="H364" s="39"/>
    </row>
    <row r="365" ht="15.75" customHeight="1">
      <c r="E365" s="35"/>
      <c r="F365" s="29"/>
      <c r="H365" s="39"/>
    </row>
    <row r="366" ht="15.75" customHeight="1">
      <c r="E366" s="35"/>
      <c r="F366" s="29"/>
      <c r="H366" s="39"/>
    </row>
    <row r="367" ht="15.75" customHeight="1">
      <c r="E367" s="35"/>
      <c r="F367" s="29"/>
      <c r="H367" s="39"/>
    </row>
    <row r="368" ht="15.75" customHeight="1">
      <c r="E368" s="35"/>
      <c r="F368" s="29"/>
      <c r="H368" s="39"/>
    </row>
    <row r="369" ht="15.75" customHeight="1">
      <c r="E369" s="35"/>
      <c r="F369" s="29"/>
      <c r="H369" s="39"/>
    </row>
    <row r="370" ht="15.75" customHeight="1">
      <c r="E370" s="35"/>
      <c r="F370" s="29"/>
      <c r="H370" s="39"/>
    </row>
    <row r="371" ht="15.75" customHeight="1">
      <c r="E371" s="35"/>
      <c r="F371" s="29"/>
      <c r="H371" s="39"/>
    </row>
    <row r="372" ht="15.75" customHeight="1">
      <c r="E372" s="35"/>
      <c r="F372" s="29"/>
      <c r="H372" s="39"/>
    </row>
    <row r="373" ht="15.75" customHeight="1">
      <c r="E373" s="35"/>
      <c r="F373" s="29"/>
      <c r="H373" s="39"/>
    </row>
    <row r="374" ht="15.75" customHeight="1">
      <c r="E374" s="35"/>
      <c r="F374" s="29"/>
      <c r="H374" s="39"/>
    </row>
    <row r="375" ht="15.75" customHeight="1">
      <c r="E375" s="35"/>
      <c r="F375" s="29"/>
      <c r="H375" s="39"/>
    </row>
    <row r="376" ht="15.75" customHeight="1">
      <c r="E376" s="35"/>
      <c r="F376" s="29"/>
      <c r="H376" s="39"/>
    </row>
    <row r="377" ht="15.75" customHeight="1">
      <c r="E377" s="35"/>
      <c r="F377" s="29"/>
      <c r="H377" s="39"/>
    </row>
    <row r="378" ht="15.75" customHeight="1">
      <c r="E378" s="35"/>
      <c r="F378" s="29"/>
      <c r="H378" s="39"/>
    </row>
    <row r="379" ht="15.75" customHeight="1">
      <c r="E379" s="35"/>
      <c r="F379" s="29"/>
      <c r="H379" s="39"/>
    </row>
    <row r="380" ht="15.75" customHeight="1">
      <c r="E380" s="35"/>
      <c r="F380" s="29"/>
      <c r="H380" s="39"/>
    </row>
    <row r="381" ht="15.75" customHeight="1">
      <c r="E381" s="35"/>
      <c r="F381" s="29"/>
      <c r="H381" s="39"/>
    </row>
    <row r="382" ht="15.75" customHeight="1">
      <c r="E382" s="35"/>
      <c r="F382" s="29"/>
      <c r="H382" s="39"/>
    </row>
    <row r="383" ht="15.75" customHeight="1">
      <c r="E383" s="35"/>
      <c r="F383" s="29"/>
      <c r="H383" s="39"/>
    </row>
    <row r="384" ht="15.75" customHeight="1">
      <c r="E384" s="35"/>
      <c r="F384" s="29"/>
      <c r="H384" s="39"/>
    </row>
    <row r="385" ht="15.75" customHeight="1">
      <c r="E385" s="35"/>
      <c r="F385" s="29"/>
      <c r="H385" s="39"/>
    </row>
    <row r="386" ht="15.75" customHeight="1">
      <c r="E386" s="35"/>
      <c r="F386" s="29"/>
      <c r="H386" s="39"/>
    </row>
    <row r="387" ht="15.75" customHeight="1">
      <c r="E387" s="35"/>
      <c r="F387" s="29"/>
      <c r="H387" s="39"/>
    </row>
    <row r="388" ht="15.75" customHeight="1">
      <c r="E388" s="35"/>
      <c r="F388" s="29"/>
      <c r="H388" s="39"/>
    </row>
    <row r="389" ht="15.75" customHeight="1">
      <c r="E389" s="35"/>
      <c r="F389" s="29"/>
      <c r="H389" s="39"/>
    </row>
    <row r="390" ht="15.75" customHeight="1">
      <c r="E390" s="35"/>
      <c r="F390" s="29"/>
      <c r="H390" s="39"/>
    </row>
    <row r="391" ht="15.75" customHeight="1">
      <c r="E391" s="35"/>
      <c r="F391" s="29"/>
      <c r="H391" s="39"/>
    </row>
    <row r="392" ht="15.75" customHeight="1">
      <c r="E392" s="35"/>
      <c r="F392" s="29"/>
      <c r="H392" s="39"/>
    </row>
    <row r="393" ht="15.75" customHeight="1">
      <c r="E393" s="35"/>
      <c r="F393" s="29"/>
      <c r="H393" s="39"/>
    </row>
    <row r="394" ht="15.75" customHeight="1">
      <c r="E394" s="35"/>
      <c r="F394" s="29"/>
      <c r="H394" s="39"/>
    </row>
    <row r="395" ht="15.75" customHeight="1">
      <c r="E395" s="35"/>
      <c r="F395" s="29"/>
      <c r="H395" s="39"/>
    </row>
    <row r="396" ht="15.75" customHeight="1">
      <c r="E396" s="35"/>
      <c r="F396" s="29"/>
      <c r="H396" s="39"/>
    </row>
    <row r="397" ht="15.75" customHeight="1">
      <c r="E397" s="35"/>
      <c r="F397" s="29"/>
      <c r="H397" s="39"/>
    </row>
    <row r="398" ht="15.75" customHeight="1">
      <c r="E398" s="35"/>
      <c r="F398" s="29"/>
      <c r="H398" s="39"/>
    </row>
    <row r="399" ht="15.75" customHeight="1">
      <c r="E399" s="35"/>
      <c r="F399" s="29"/>
      <c r="H399" s="39"/>
    </row>
    <row r="400" ht="15.75" customHeight="1">
      <c r="E400" s="35"/>
      <c r="F400" s="29"/>
      <c r="H400" s="39"/>
    </row>
    <row r="401" ht="15.75" customHeight="1">
      <c r="E401" s="35"/>
      <c r="F401" s="29"/>
      <c r="H401" s="39"/>
    </row>
    <row r="402" ht="15.75" customHeight="1">
      <c r="E402" s="35"/>
      <c r="F402" s="29"/>
      <c r="H402" s="39"/>
    </row>
    <row r="403" ht="15.75" customHeight="1">
      <c r="E403" s="35"/>
      <c r="F403" s="29"/>
      <c r="H403" s="39"/>
    </row>
    <row r="404" ht="15.75" customHeight="1">
      <c r="E404" s="35"/>
      <c r="F404" s="29"/>
      <c r="H404" s="39"/>
    </row>
    <row r="405" ht="15.75" customHeight="1">
      <c r="E405" s="35"/>
      <c r="F405" s="29"/>
      <c r="H405" s="39"/>
    </row>
    <row r="406" ht="15.75" customHeight="1">
      <c r="E406" s="35"/>
      <c r="F406" s="29"/>
      <c r="H406" s="39"/>
    </row>
    <row r="407" ht="15.75" customHeight="1">
      <c r="E407" s="35"/>
      <c r="F407" s="29"/>
      <c r="H407" s="39"/>
    </row>
    <row r="408" ht="15.75" customHeight="1">
      <c r="E408" s="35"/>
      <c r="F408" s="29"/>
      <c r="H408" s="39"/>
    </row>
    <row r="409" ht="15.75" customHeight="1">
      <c r="E409" s="35"/>
      <c r="F409" s="29"/>
      <c r="H409" s="39"/>
    </row>
    <row r="410" ht="15.75" customHeight="1">
      <c r="E410" s="35"/>
      <c r="F410" s="29"/>
      <c r="H410" s="39"/>
    </row>
    <row r="411" ht="15.75" customHeight="1">
      <c r="E411" s="35"/>
      <c r="F411" s="29"/>
      <c r="H411" s="39"/>
    </row>
    <row r="412" ht="15.75" customHeight="1">
      <c r="E412" s="35"/>
      <c r="F412" s="29"/>
      <c r="H412" s="39"/>
    </row>
    <row r="413" ht="15.75" customHeight="1">
      <c r="E413" s="35"/>
      <c r="F413" s="29"/>
      <c r="H413" s="39"/>
    </row>
    <row r="414" ht="15.75" customHeight="1">
      <c r="E414" s="35"/>
      <c r="F414" s="29"/>
      <c r="H414" s="39"/>
    </row>
    <row r="415" ht="15.75" customHeight="1">
      <c r="E415" s="35"/>
      <c r="F415" s="29"/>
      <c r="H415" s="39"/>
    </row>
    <row r="416" ht="15.75" customHeight="1">
      <c r="E416" s="35"/>
      <c r="F416" s="29"/>
      <c r="H416" s="39"/>
    </row>
    <row r="417" ht="15.75" customHeight="1">
      <c r="E417" s="35"/>
      <c r="F417" s="29"/>
      <c r="H417" s="39"/>
    </row>
    <row r="418" ht="15.75" customHeight="1">
      <c r="E418" s="35"/>
      <c r="F418" s="29"/>
      <c r="H418" s="39"/>
    </row>
    <row r="419" ht="15.75" customHeight="1">
      <c r="E419" s="35"/>
      <c r="F419" s="29"/>
      <c r="H419" s="39"/>
    </row>
    <row r="420" ht="15.75" customHeight="1">
      <c r="E420" s="35"/>
      <c r="F420" s="29"/>
      <c r="H420" s="39"/>
    </row>
    <row r="421" ht="15.75" customHeight="1">
      <c r="E421" s="35"/>
      <c r="F421" s="29"/>
      <c r="H421" s="39"/>
    </row>
    <row r="422" ht="15.75" customHeight="1">
      <c r="E422" s="35"/>
      <c r="F422" s="29"/>
      <c r="H422" s="39"/>
    </row>
    <row r="423" ht="15.75" customHeight="1">
      <c r="E423" s="35"/>
      <c r="F423" s="29"/>
      <c r="H423" s="39"/>
    </row>
    <row r="424" ht="15.75" customHeight="1">
      <c r="E424" s="35"/>
      <c r="F424" s="29"/>
      <c r="H424" s="39"/>
    </row>
    <row r="425" ht="15.75" customHeight="1">
      <c r="E425" s="35"/>
      <c r="F425" s="29"/>
      <c r="H425" s="39"/>
    </row>
    <row r="426" ht="15.75" customHeight="1">
      <c r="E426" s="35"/>
      <c r="F426" s="29"/>
      <c r="H426" s="39"/>
    </row>
    <row r="427" ht="15.75" customHeight="1">
      <c r="E427" s="35"/>
      <c r="F427" s="29"/>
      <c r="H427" s="39"/>
    </row>
    <row r="428" ht="15.75" customHeight="1">
      <c r="E428" s="35"/>
      <c r="F428" s="29"/>
      <c r="H428" s="39"/>
    </row>
    <row r="429" ht="15.75" customHeight="1">
      <c r="E429" s="35"/>
      <c r="F429" s="29"/>
      <c r="H429" s="39"/>
    </row>
    <row r="430" ht="15.75" customHeight="1">
      <c r="E430" s="35"/>
      <c r="F430" s="29"/>
      <c r="H430" s="39"/>
    </row>
    <row r="431" ht="15.75" customHeight="1">
      <c r="E431" s="35"/>
      <c r="F431" s="29"/>
      <c r="H431" s="39"/>
    </row>
    <row r="432" ht="15.75" customHeight="1">
      <c r="E432" s="35"/>
      <c r="F432" s="29"/>
      <c r="H432" s="39"/>
    </row>
    <row r="433" ht="15.75" customHeight="1">
      <c r="E433" s="35"/>
      <c r="F433" s="29"/>
      <c r="H433" s="39"/>
    </row>
    <row r="434" ht="15.75" customHeight="1">
      <c r="E434" s="35"/>
      <c r="F434" s="29"/>
      <c r="H434" s="39"/>
    </row>
    <row r="435" ht="15.75" customHeight="1">
      <c r="E435" s="35"/>
      <c r="F435" s="29"/>
      <c r="H435" s="39"/>
    </row>
    <row r="436" ht="15.75" customHeight="1">
      <c r="E436" s="35"/>
      <c r="F436" s="29"/>
      <c r="H436" s="39"/>
    </row>
    <row r="437" ht="15.75" customHeight="1">
      <c r="E437" s="35"/>
      <c r="F437" s="29"/>
      <c r="H437" s="39"/>
    </row>
    <row r="438" ht="15.75" customHeight="1">
      <c r="E438" s="35"/>
      <c r="F438" s="29"/>
      <c r="H438" s="39"/>
    </row>
    <row r="439" ht="15.75" customHeight="1">
      <c r="E439" s="35"/>
      <c r="F439" s="29"/>
      <c r="H439" s="39"/>
    </row>
    <row r="440" ht="15.75" customHeight="1">
      <c r="E440" s="35"/>
      <c r="F440" s="29"/>
      <c r="H440" s="39"/>
    </row>
    <row r="441" ht="15.75" customHeight="1">
      <c r="E441" s="35"/>
      <c r="F441" s="29"/>
      <c r="H441" s="39"/>
    </row>
    <row r="442" ht="15.75" customHeight="1">
      <c r="E442" s="35"/>
      <c r="F442" s="29"/>
      <c r="H442" s="39"/>
    </row>
    <row r="443" ht="15.75" customHeight="1">
      <c r="E443" s="35"/>
      <c r="F443" s="29"/>
      <c r="H443" s="39"/>
    </row>
    <row r="444" ht="15.75" customHeight="1">
      <c r="E444" s="35"/>
      <c r="F444" s="29"/>
      <c r="H444" s="39"/>
    </row>
    <row r="445" ht="15.75" customHeight="1">
      <c r="E445" s="35"/>
      <c r="F445" s="29"/>
      <c r="H445" s="39"/>
    </row>
    <row r="446" ht="15.75" customHeight="1">
      <c r="E446" s="35"/>
      <c r="F446" s="29"/>
      <c r="H446" s="39"/>
    </row>
    <row r="447" ht="15.75" customHeight="1">
      <c r="E447" s="35"/>
      <c r="F447" s="29"/>
      <c r="H447" s="39"/>
    </row>
    <row r="448" ht="15.75" customHeight="1">
      <c r="E448" s="35"/>
      <c r="F448" s="29"/>
      <c r="H448" s="39"/>
    </row>
    <row r="449" ht="15.75" customHeight="1">
      <c r="E449" s="35"/>
      <c r="F449" s="29"/>
      <c r="H449" s="39"/>
    </row>
    <row r="450" ht="15.75" customHeight="1">
      <c r="E450" s="35"/>
      <c r="F450" s="29"/>
      <c r="H450" s="39"/>
    </row>
    <row r="451" ht="15.75" customHeight="1">
      <c r="E451" s="35"/>
      <c r="F451" s="29"/>
      <c r="H451" s="39"/>
    </row>
    <row r="452" ht="15.75" customHeight="1">
      <c r="E452" s="35"/>
      <c r="F452" s="29"/>
      <c r="H452" s="39"/>
    </row>
    <row r="453" ht="15.75" customHeight="1">
      <c r="E453" s="35"/>
      <c r="F453" s="29"/>
      <c r="H453" s="39"/>
    </row>
    <row r="454" ht="15.75" customHeight="1">
      <c r="E454" s="35"/>
      <c r="F454" s="29"/>
      <c r="H454" s="39"/>
    </row>
    <row r="455" ht="15.75" customHeight="1">
      <c r="E455" s="35"/>
      <c r="F455" s="29"/>
      <c r="H455" s="39"/>
    </row>
    <row r="456" ht="15.75" customHeight="1">
      <c r="E456" s="35"/>
      <c r="F456" s="29"/>
      <c r="H456" s="39"/>
    </row>
    <row r="457" ht="15.75" customHeight="1">
      <c r="E457" s="35"/>
      <c r="F457" s="29"/>
      <c r="H457" s="39"/>
    </row>
    <row r="458" ht="15.75" customHeight="1">
      <c r="E458" s="35"/>
      <c r="F458" s="29"/>
      <c r="H458" s="39"/>
    </row>
    <row r="459" ht="15.75" customHeight="1">
      <c r="E459" s="35"/>
      <c r="F459" s="29"/>
      <c r="H459" s="39"/>
    </row>
    <row r="460" ht="15.75" customHeight="1">
      <c r="E460" s="35"/>
      <c r="F460" s="29"/>
      <c r="H460" s="39"/>
    </row>
    <row r="461" ht="15.75" customHeight="1">
      <c r="E461" s="35"/>
      <c r="F461" s="29"/>
      <c r="H461" s="39"/>
    </row>
    <row r="462" ht="15.75" customHeight="1">
      <c r="E462" s="35"/>
      <c r="F462" s="29"/>
      <c r="H462" s="39"/>
    </row>
    <row r="463" ht="15.75" customHeight="1">
      <c r="E463" s="35"/>
      <c r="F463" s="29"/>
      <c r="H463" s="39"/>
    </row>
    <row r="464" ht="15.75" customHeight="1">
      <c r="E464" s="35"/>
      <c r="F464" s="29"/>
      <c r="H464" s="39"/>
    </row>
    <row r="465" ht="15.75" customHeight="1">
      <c r="E465" s="35"/>
      <c r="F465" s="29"/>
      <c r="H465" s="39"/>
    </row>
    <row r="466" ht="15.75" customHeight="1">
      <c r="E466" s="35"/>
      <c r="F466" s="29"/>
      <c r="H466" s="39"/>
    </row>
    <row r="467" ht="15.75" customHeight="1">
      <c r="E467" s="35"/>
      <c r="F467" s="29"/>
      <c r="H467" s="39"/>
    </row>
    <row r="468" ht="15.75" customHeight="1">
      <c r="E468" s="35"/>
      <c r="F468" s="29"/>
      <c r="H468" s="39"/>
    </row>
    <row r="469" ht="15.75" customHeight="1">
      <c r="E469" s="35"/>
      <c r="F469" s="29"/>
      <c r="H469" s="39"/>
    </row>
    <row r="470" ht="15.75" customHeight="1">
      <c r="E470" s="35"/>
      <c r="F470" s="29"/>
      <c r="H470" s="39"/>
    </row>
    <row r="471" ht="15.75" customHeight="1">
      <c r="E471" s="35"/>
      <c r="F471" s="29"/>
      <c r="H471" s="39"/>
    </row>
    <row r="472" ht="15.75" customHeight="1">
      <c r="E472" s="35"/>
      <c r="F472" s="29"/>
      <c r="H472" s="39"/>
    </row>
    <row r="473" ht="15.75" customHeight="1">
      <c r="E473" s="35"/>
      <c r="F473" s="29"/>
      <c r="H473" s="39"/>
    </row>
    <row r="474" ht="15.75" customHeight="1">
      <c r="E474" s="35"/>
      <c r="F474" s="29"/>
      <c r="H474" s="39"/>
    </row>
    <row r="475" ht="15.75" customHeight="1">
      <c r="E475" s="35"/>
      <c r="F475" s="29"/>
      <c r="H475" s="39"/>
    </row>
    <row r="476" ht="15.75" customHeight="1">
      <c r="E476" s="35"/>
      <c r="F476" s="29"/>
      <c r="H476" s="39"/>
    </row>
    <row r="477" ht="15.75" customHeight="1">
      <c r="E477" s="35"/>
      <c r="F477" s="29"/>
      <c r="H477" s="39"/>
    </row>
    <row r="478" ht="15.75" customHeight="1">
      <c r="E478" s="35"/>
      <c r="F478" s="29"/>
      <c r="H478" s="39"/>
    </row>
    <row r="479" ht="15.75" customHeight="1">
      <c r="E479" s="35"/>
      <c r="F479" s="29"/>
      <c r="H479" s="39"/>
    </row>
    <row r="480" ht="15.75" customHeight="1">
      <c r="E480" s="35"/>
      <c r="F480" s="29"/>
      <c r="H480" s="39"/>
    </row>
    <row r="481" ht="15.75" customHeight="1">
      <c r="E481" s="35"/>
      <c r="F481" s="29"/>
      <c r="H481" s="39"/>
    </row>
    <row r="482" ht="15.75" customHeight="1">
      <c r="E482" s="35"/>
      <c r="F482" s="29"/>
      <c r="H482" s="39"/>
    </row>
    <row r="483" ht="15.75" customHeight="1">
      <c r="E483" s="35"/>
      <c r="F483" s="29"/>
      <c r="H483" s="39"/>
    </row>
    <row r="484" ht="15.75" customHeight="1">
      <c r="E484" s="35"/>
      <c r="F484" s="29"/>
      <c r="H484" s="39"/>
    </row>
    <row r="485" ht="15.75" customHeight="1">
      <c r="E485" s="35"/>
      <c r="F485" s="29"/>
      <c r="H485" s="39"/>
    </row>
    <row r="486" ht="15.75" customHeight="1">
      <c r="E486" s="35"/>
      <c r="F486" s="29"/>
      <c r="H486" s="39"/>
    </row>
    <row r="487" ht="15.75" customHeight="1">
      <c r="E487" s="35"/>
      <c r="F487" s="29"/>
      <c r="H487" s="39"/>
    </row>
    <row r="488" ht="15.75" customHeight="1">
      <c r="E488" s="35"/>
      <c r="F488" s="29"/>
      <c r="H488" s="39"/>
    </row>
    <row r="489" ht="15.75" customHeight="1">
      <c r="E489" s="35"/>
      <c r="F489" s="29"/>
      <c r="H489" s="39"/>
    </row>
    <row r="490" ht="15.75" customHeight="1">
      <c r="E490" s="35"/>
      <c r="F490" s="29"/>
      <c r="H490" s="39"/>
    </row>
    <row r="491" ht="15.75" customHeight="1">
      <c r="E491" s="35"/>
      <c r="F491" s="29"/>
      <c r="H491" s="39"/>
    </row>
    <row r="492" ht="15.75" customHeight="1">
      <c r="E492" s="35"/>
      <c r="F492" s="29"/>
      <c r="H492" s="39"/>
    </row>
    <row r="493" ht="15.75" customHeight="1">
      <c r="E493" s="35"/>
      <c r="F493" s="29"/>
      <c r="H493" s="39"/>
    </row>
    <row r="494" ht="15.75" customHeight="1">
      <c r="E494" s="35"/>
      <c r="F494" s="29"/>
      <c r="H494" s="39"/>
    </row>
    <row r="495" ht="15.75" customHeight="1">
      <c r="E495" s="35"/>
      <c r="F495" s="29"/>
      <c r="H495" s="39"/>
    </row>
    <row r="496" ht="15.75" customHeight="1">
      <c r="E496" s="35"/>
      <c r="F496" s="29"/>
      <c r="H496" s="39"/>
    </row>
    <row r="497" ht="15.75" customHeight="1">
      <c r="E497" s="35"/>
      <c r="F497" s="29"/>
      <c r="H497" s="39"/>
    </row>
    <row r="498" ht="15.75" customHeight="1">
      <c r="E498" s="35"/>
      <c r="F498" s="29"/>
      <c r="H498" s="39"/>
    </row>
    <row r="499" ht="15.75" customHeight="1">
      <c r="E499" s="35"/>
      <c r="F499" s="29"/>
      <c r="H499" s="39"/>
    </row>
    <row r="500" ht="15.75" customHeight="1">
      <c r="E500" s="35"/>
      <c r="F500" s="29"/>
      <c r="H500" s="39"/>
    </row>
    <row r="501" ht="15.75" customHeight="1">
      <c r="E501" s="35"/>
      <c r="F501" s="29"/>
      <c r="H501" s="39"/>
    </row>
    <row r="502" ht="15.75" customHeight="1">
      <c r="E502" s="35"/>
      <c r="F502" s="29"/>
      <c r="H502" s="39"/>
    </row>
    <row r="503" ht="15.75" customHeight="1">
      <c r="E503" s="35"/>
      <c r="F503" s="29"/>
      <c r="H503" s="39"/>
    </row>
    <row r="504" ht="15.75" customHeight="1">
      <c r="E504" s="35"/>
      <c r="F504" s="29"/>
      <c r="H504" s="39"/>
    </row>
    <row r="505" ht="15.75" customHeight="1">
      <c r="E505" s="35"/>
      <c r="F505" s="29"/>
      <c r="H505" s="39"/>
    </row>
    <row r="506" ht="15.75" customHeight="1">
      <c r="E506" s="35"/>
      <c r="F506" s="29"/>
      <c r="H506" s="39"/>
    </row>
    <row r="507" ht="15.75" customHeight="1">
      <c r="E507" s="35"/>
      <c r="F507" s="29"/>
      <c r="H507" s="39"/>
    </row>
    <row r="508" ht="15.75" customHeight="1">
      <c r="E508" s="35"/>
      <c r="F508" s="29"/>
      <c r="H508" s="39"/>
    </row>
    <row r="509" ht="15.75" customHeight="1">
      <c r="E509" s="35"/>
      <c r="F509" s="29"/>
      <c r="H509" s="39"/>
    </row>
    <row r="510" ht="15.75" customHeight="1">
      <c r="E510" s="35"/>
      <c r="F510" s="29"/>
      <c r="H510" s="39"/>
    </row>
    <row r="511" ht="15.75" customHeight="1">
      <c r="E511" s="35"/>
      <c r="F511" s="29"/>
      <c r="H511" s="39"/>
    </row>
    <row r="512" ht="15.75" customHeight="1">
      <c r="E512" s="35"/>
      <c r="F512" s="29"/>
      <c r="H512" s="39"/>
    </row>
    <row r="513" ht="15.75" customHeight="1">
      <c r="E513" s="35"/>
      <c r="F513" s="29"/>
      <c r="H513" s="39"/>
    </row>
    <row r="514" ht="15.75" customHeight="1">
      <c r="E514" s="35"/>
      <c r="F514" s="29"/>
      <c r="H514" s="39"/>
    </row>
    <row r="515" ht="15.75" customHeight="1">
      <c r="E515" s="35"/>
      <c r="F515" s="29"/>
      <c r="H515" s="39"/>
    </row>
    <row r="516" ht="15.75" customHeight="1">
      <c r="E516" s="35"/>
      <c r="F516" s="29"/>
      <c r="H516" s="39"/>
    </row>
    <row r="517" ht="15.75" customHeight="1">
      <c r="E517" s="35"/>
      <c r="F517" s="29"/>
      <c r="H517" s="39"/>
    </row>
    <row r="518" ht="15.75" customHeight="1">
      <c r="E518" s="35"/>
      <c r="F518" s="29"/>
      <c r="H518" s="39"/>
    </row>
    <row r="519" ht="15.75" customHeight="1">
      <c r="E519" s="35"/>
      <c r="F519" s="29"/>
      <c r="H519" s="39"/>
    </row>
    <row r="520" ht="15.75" customHeight="1">
      <c r="E520" s="35"/>
      <c r="F520" s="29"/>
      <c r="H520" s="39"/>
    </row>
    <row r="521" ht="15.75" customHeight="1">
      <c r="E521" s="35"/>
      <c r="F521" s="29"/>
      <c r="H521" s="39"/>
    </row>
    <row r="522" ht="15.75" customHeight="1">
      <c r="E522" s="35"/>
      <c r="F522" s="29"/>
      <c r="H522" s="39"/>
    </row>
    <row r="523" ht="15.75" customHeight="1">
      <c r="E523" s="35"/>
      <c r="F523" s="29"/>
      <c r="H523" s="39"/>
    </row>
    <row r="524" ht="15.75" customHeight="1">
      <c r="E524" s="35"/>
      <c r="F524" s="29"/>
      <c r="H524" s="39"/>
    </row>
    <row r="525" ht="15.75" customHeight="1">
      <c r="E525" s="35"/>
      <c r="F525" s="29"/>
      <c r="H525" s="39"/>
    </row>
    <row r="526" ht="15.75" customHeight="1">
      <c r="E526" s="35"/>
      <c r="F526" s="29"/>
      <c r="H526" s="39"/>
    </row>
    <row r="527" ht="15.75" customHeight="1">
      <c r="E527" s="35"/>
      <c r="F527" s="29"/>
      <c r="H527" s="39"/>
    </row>
    <row r="528" ht="15.75" customHeight="1">
      <c r="E528" s="35"/>
      <c r="F528" s="29"/>
      <c r="H528" s="39"/>
    </row>
    <row r="529" ht="15.75" customHeight="1">
      <c r="E529" s="35"/>
      <c r="F529" s="29"/>
      <c r="H529" s="39"/>
    </row>
    <row r="530" ht="15.75" customHeight="1">
      <c r="E530" s="35"/>
      <c r="F530" s="29"/>
      <c r="H530" s="39"/>
    </row>
    <row r="531" ht="15.75" customHeight="1">
      <c r="E531" s="35"/>
      <c r="F531" s="29"/>
      <c r="H531" s="39"/>
    </row>
    <row r="532" ht="15.75" customHeight="1">
      <c r="E532" s="35"/>
      <c r="F532" s="29"/>
      <c r="H532" s="39"/>
    </row>
    <row r="533" ht="15.75" customHeight="1">
      <c r="E533" s="35"/>
      <c r="F533" s="29"/>
      <c r="H533" s="39"/>
    </row>
    <row r="534" ht="15.75" customHeight="1">
      <c r="E534" s="35"/>
      <c r="F534" s="29"/>
      <c r="H534" s="39"/>
    </row>
    <row r="535" ht="15.75" customHeight="1">
      <c r="E535" s="35"/>
      <c r="F535" s="29"/>
      <c r="H535" s="39"/>
    </row>
    <row r="536" ht="15.75" customHeight="1">
      <c r="E536" s="35"/>
      <c r="F536" s="29"/>
      <c r="H536" s="39"/>
    </row>
    <row r="537" ht="15.75" customHeight="1">
      <c r="E537" s="35"/>
      <c r="F537" s="29"/>
      <c r="H537" s="39"/>
    </row>
    <row r="538" ht="15.75" customHeight="1">
      <c r="E538" s="35"/>
      <c r="F538" s="29"/>
      <c r="H538" s="39"/>
    </row>
    <row r="539" ht="15.75" customHeight="1">
      <c r="E539" s="35"/>
      <c r="F539" s="29"/>
      <c r="H539" s="39"/>
    </row>
    <row r="540" ht="15.75" customHeight="1">
      <c r="E540" s="35"/>
      <c r="F540" s="29"/>
      <c r="H540" s="39"/>
    </row>
    <row r="541" ht="15.75" customHeight="1">
      <c r="E541" s="35"/>
      <c r="F541" s="29"/>
      <c r="H541" s="39"/>
    </row>
    <row r="542" ht="15.75" customHeight="1">
      <c r="E542" s="35"/>
      <c r="F542" s="29"/>
      <c r="H542" s="39"/>
    </row>
    <row r="543" ht="15.75" customHeight="1">
      <c r="E543" s="35"/>
      <c r="F543" s="29"/>
      <c r="H543" s="39"/>
    </row>
    <row r="544" ht="15.75" customHeight="1">
      <c r="E544" s="35"/>
      <c r="F544" s="29"/>
      <c r="H544" s="39"/>
    </row>
    <row r="545" ht="15.75" customHeight="1">
      <c r="E545" s="35"/>
      <c r="F545" s="29"/>
      <c r="H545" s="39"/>
    </row>
    <row r="546" ht="15.75" customHeight="1">
      <c r="E546" s="35"/>
      <c r="F546" s="29"/>
      <c r="H546" s="39"/>
    </row>
    <row r="547" ht="15.75" customHeight="1">
      <c r="E547" s="35"/>
      <c r="F547" s="29"/>
      <c r="H547" s="39"/>
    </row>
    <row r="548" ht="15.75" customHeight="1">
      <c r="E548" s="35"/>
      <c r="F548" s="29"/>
      <c r="H548" s="39"/>
    </row>
    <row r="549" ht="15.75" customHeight="1">
      <c r="E549" s="35"/>
      <c r="F549" s="29"/>
      <c r="H549" s="39"/>
    </row>
    <row r="550" ht="15.75" customHeight="1">
      <c r="E550" s="35"/>
      <c r="F550" s="29"/>
      <c r="H550" s="39"/>
    </row>
    <row r="551" ht="15.75" customHeight="1">
      <c r="E551" s="35"/>
      <c r="F551" s="29"/>
      <c r="H551" s="39"/>
    </row>
    <row r="552" ht="15.75" customHeight="1">
      <c r="E552" s="35"/>
      <c r="F552" s="29"/>
      <c r="H552" s="39"/>
    </row>
    <row r="553" ht="15.75" customHeight="1">
      <c r="E553" s="35"/>
      <c r="F553" s="29"/>
      <c r="H553" s="39"/>
    </row>
    <row r="554" ht="15.75" customHeight="1">
      <c r="E554" s="35"/>
      <c r="F554" s="29"/>
      <c r="H554" s="39"/>
    </row>
    <row r="555" ht="15.75" customHeight="1">
      <c r="E555" s="35"/>
      <c r="F555" s="29"/>
      <c r="H555" s="39"/>
    </row>
    <row r="556" ht="15.75" customHeight="1">
      <c r="E556" s="35"/>
      <c r="F556" s="29"/>
      <c r="H556" s="39"/>
    </row>
    <row r="557" ht="15.75" customHeight="1">
      <c r="E557" s="35"/>
      <c r="F557" s="29"/>
      <c r="H557" s="39"/>
    </row>
    <row r="558" ht="15.75" customHeight="1">
      <c r="E558" s="35"/>
      <c r="F558" s="29"/>
      <c r="H558" s="39"/>
    </row>
    <row r="559" ht="15.75" customHeight="1">
      <c r="E559" s="35"/>
      <c r="F559" s="29"/>
      <c r="H559" s="39"/>
    </row>
    <row r="560" ht="15.75" customHeight="1">
      <c r="E560" s="35"/>
      <c r="F560" s="29"/>
      <c r="H560" s="39"/>
    </row>
    <row r="561" ht="15.75" customHeight="1">
      <c r="E561" s="35"/>
      <c r="F561" s="29"/>
      <c r="H561" s="39"/>
    </row>
    <row r="562" ht="15.75" customHeight="1">
      <c r="E562" s="35"/>
      <c r="F562" s="29"/>
      <c r="H562" s="39"/>
    </row>
    <row r="563" ht="15.75" customHeight="1">
      <c r="E563" s="35"/>
      <c r="F563" s="29"/>
      <c r="H563" s="39"/>
    </row>
    <row r="564" ht="15.75" customHeight="1">
      <c r="E564" s="35"/>
      <c r="F564" s="29"/>
      <c r="H564" s="39"/>
    </row>
    <row r="565" ht="15.75" customHeight="1">
      <c r="E565" s="35"/>
      <c r="F565" s="29"/>
      <c r="H565" s="39"/>
    </row>
    <row r="566" ht="15.75" customHeight="1">
      <c r="E566" s="35"/>
      <c r="F566" s="29"/>
      <c r="H566" s="39"/>
    </row>
    <row r="567" ht="15.75" customHeight="1">
      <c r="E567" s="35"/>
      <c r="F567" s="29"/>
      <c r="H567" s="39"/>
    </row>
    <row r="568" ht="15.75" customHeight="1">
      <c r="E568" s="35"/>
      <c r="F568" s="29"/>
      <c r="H568" s="39"/>
    </row>
    <row r="569" ht="15.75" customHeight="1">
      <c r="E569" s="35"/>
      <c r="F569" s="29"/>
      <c r="H569" s="39"/>
    </row>
    <row r="570" ht="15.75" customHeight="1">
      <c r="E570" s="35"/>
      <c r="F570" s="29"/>
      <c r="H570" s="39"/>
    </row>
    <row r="571" ht="15.75" customHeight="1">
      <c r="E571" s="35"/>
      <c r="F571" s="29"/>
      <c r="H571" s="39"/>
    </row>
    <row r="572" ht="15.75" customHeight="1">
      <c r="E572" s="35"/>
      <c r="F572" s="29"/>
      <c r="H572" s="39"/>
    </row>
    <row r="573" ht="15.75" customHeight="1">
      <c r="E573" s="35"/>
      <c r="F573" s="29"/>
      <c r="H573" s="39"/>
    </row>
    <row r="574" ht="15.75" customHeight="1">
      <c r="E574" s="35"/>
      <c r="F574" s="29"/>
      <c r="H574" s="39"/>
    </row>
    <row r="575" ht="15.75" customHeight="1">
      <c r="E575" s="35"/>
      <c r="F575" s="29"/>
      <c r="H575" s="39"/>
    </row>
    <row r="576" ht="15.75" customHeight="1">
      <c r="E576" s="35"/>
      <c r="F576" s="29"/>
      <c r="H576" s="39"/>
    </row>
    <row r="577" ht="15.75" customHeight="1">
      <c r="E577" s="35"/>
      <c r="F577" s="29"/>
      <c r="H577" s="39"/>
    </row>
    <row r="578" ht="15.75" customHeight="1">
      <c r="E578" s="35"/>
      <c r="F578" s="29"/>
      <c r="H578" s="39"/>
    </row>
    <row r="579" ht="15.75" customHeight="1">
      <c r="E579" s="35"/>
      <c r="F579" s="29"/>
      <c r="H579" s="39"/>
    </row>
    <row r="580" ht="15.75" customHeight="1">
      <c r="E580" s="35"/>
      <c r="F580" s="29"/>
      <c r="H580" s="39"/>
    </row>
    <row r="581" ht="15.75" customHeight="1">
      <c r="E581" s="35"/>
      <c r="F581" s="29"/>
      <c r="H581" s="39"/>
    </row>
    <row r="582" ht="15.75" customHeight="1">
      <c r="E582" s="35"/>
      <c r="F582" s="29"/>
      <c r="H582" s="39"/>
    </row>
    <row r="583" ht="15.75" customHeight="1">
      <c r="E583" s="35"/>
      <c r="F583" s="29"/>
      <c r="H583" s="39"/>
    </row>
    <row r="584" ht="15.75" customHeight="1">
      <c r="E584" s="35"/>
      <c r="F584" s="29"/>
      <c r="H584" s="39"/>
    </row>
    <row r="585" ht="15.75" customHeight="1">
      <c r="E585" s="35"/>
      <c r="F585" s="29"/>
      <c r="H585" s="39"/>
    </row>
    <row r="586" ht="15.75" customHeight="1">
      <c r="E586" s="35"/>
      <c r="F586" s="29"/>
      <c r="H586" s="39"/>
    </row>
    <row r="587" ht="15.75" customHeight="1">
      <c r="E587" s="35"/>
      <c r="F587" s="29"/>
      <c r="H587" s="39"/>
    </row>
    <row r="588" ht="15.75" customHeight="1">
      <c r="E588" s="35"/>
      <c r="F588" s="29"/>
      <c r="H588" s="39"/>
    </row>
    <row r="589" ht="15.75" customHeight="1">
      <c r="E589" s="35"/>
      <c r="F589" s="29"/>
      <c r="H589" s="39"/>
    </row>
    <row r="590" ht="15.75" customHeight="1">
      <c r="E590" s="35"/>
      <c r="F590" s="29"/>
      <c r="H590" s="39"/>
    </row>
    <row r="591" ht="15.75" customHeight="1">
      <c r="E591" s="35"/>
      <c r="F591" s="29"/>
      <c r="H591" s="39"/>
    </row>
    <row r="592" ht="15.75" customHeight="1">
      <c r="E592" s="35"/>
      <c r="F592" s="29"/>
      <c r="H592" s="39"/>
    </row>
    <row r="593" ht="15.75" customHeight="1">
      <c r="E593" s="35"/>
      <c r="F593" s="29"/>
      <c r="H593" s="39"/>
    </row>
    <row r="594" ht="15.75" customHeight="1">
      <c r="E594" s="35"/>
      <c r="F594" s="29"/>
      <c r="H594" s="39"/>
    </row>
    <row r="595" ht="15.75" customHeight="1">
      <c r="E595" s="35"/>
      <c r="F595" s="29"/>
      <c r="H595" s="39"/>
    </row>
    <row r="596" ht="15.75" customHeight="1">
      <c r="E596" s="35"/>
      <c r="F596" s="29"/>
      <c r="H596" s="39"/>
    </row>
    <row r="597" ht="15.75" customHeight="1">
      <c r="E597" s="35"/>
      <c r="F597" s="29"/>
      <c r="H597" s="39"/>
    </row>
    <row r="598" ht="15.75" customHeight="1">
      <c r="E598" s="35"/>
      <c r="F598" s="29"/>
      <c r="H598" s="39"/>
    </row>
    <row r="599" ht="15.75" customHeight="1">
      <c r="E599" s="35"/>
      <c r="F599" s="29"/>
      <c r="H599" s="39"/>
    </row>
    <row r="600" ht="15.75" customHeight="1">
      <c r="E600" s="35"/>
      <c r="F600" s="29"/>
      <c r="H600" s="39"/>
    </row>
    <row r="601" ht="15.75" customHeight="1">
      <c r="E601" s="35"/>
      <c r="F601" s="29"/>
      <c r="H601" s="39"/>
    </row>
    <row r="602" ht="15.75" customHeight="1">
      <c r="E602" s="35"/>
      <c r="F602" s="29"/>
      <c r="H602" s="39"/>
    </row>
    <row r="603" ht="15.75" customHeight="1">
      <c r="E603" s="35"/>
      <c r="F603" s="29"/>
      <c r="H603" s="39"/>
    </row>
    <row r="604" ht="15.75" customHeight="1">
      <c r="E604" s="35"/>
      <c r="F604" s="29"/>
      <c r="H604" s="39"/>
    </row>
    <row r="605" ht="15.75" customHeight="1">
      <c r="E605" s="35"/>
      <c r="F605" s="29"/>
      <c r="H605" s="39"/>
    </row>
    <row r="606" ht="15.75" customHeight="1">
      <c r="E606" s="35"/>
      <c r="F606" s="29"/>
      <c r="H606" s="39"/>
    </row>
    <row r="607" ht="15.75" customHeight="1">
      <c r="E607" s="35"/>
      <c r="F607" s="29"/>
      <c r="H607" s="39"/>
    </row>
    <row r="608" ht="15.75" customHeight="1">
      <c r="E608" s="35"/>
      <c r="F608" s="29"/>
      <c r="H608" s="39"/>
    </row>
    <row r="609" ht="15.75" customHeight="1">
      <c r="E609" s="35"/>
      <c r="F609" s="29"/>
      <c r="H609" s="39"/>
    </row>
    <row r="610" ht="15.75" customHeight="1">
      <c r="E610" s="35"/>
      <c r="F610" s="29"/>
      <c r="H610" s="39"/>
    </row>
    <row r="611" ht="15.75" customHeight="1">
      <c r="E611" s="35"/>
      <c r="F611" s="29"/>
      <c r="H611" s="39"/>
    </row>
    <row r="612" ht="15.75" customHeight="1">
      <c r="E612" s="35"/>
      <c r="F612" s="29"/>
      <c r="H612" s="39"/>
    </row>
    <row r="613" ht="15.75" customHeight="1">
      <c r="E613" s="35"/>
      <c r="F613" s="29"/>
      <c r="H613" s="39"/>
    </row>
    <row r="614" ht="15.75" customHeight="1">
      <c r="E614" s="35"/>
      <c r="F614" s="29"/>
      <c r="H614" s="39"/>
    </row>
    <row r="615" ht="15.75" customHeight="1">
      <c r="E615" s="35"/>
      <c r="F615" s="29"/>
      <c r="H615" s="39"/>
    </row>
    <row r="616" ht="15.75" customHeight="1">
      <c r="E616" s="35"/>
      <c r="F616" s="29"/>
      <c r="H616" s="39"/>
    </row>
    <row r="617" ht="15.75" customHeight="1">
      <c r="E617" s="35"/>
      <c r="F617" s="29"/>
      <c r="H617" s="39"/>
    </row>
    <row r="618" ht="15.75" customHeight="1">
      <c r="E618" s="35"/>
      <c r="F618" s="29"/>
      <c r="H618" s="39"/>
    </row>
    <row r="619" ht="15.75" customHeight="1">
      <c r="E619" s="35"/>
      <c r="F619" s="29"/>
      <c r="H619" s="39"/>
    </row>
    <row r="620" ht="15.75" customHeight="1">
      <c r="E620" s="35"/>
      <c r="F620" s="29"/>
      <c r="H620" s="39"/>
    </row>
    <row r="621" ht="15.75" customHeight="1">
      <c r="E621" s="35"/>
      <c r="F621" s="29"/>
      <c r="H621" s="39"/>
    </row>
    <row r="622" ht="15.75" customHeight="1">
      <c r="E622" s="35"/>
      <c r="F622" s="29"/>
      <c r="H622" s="39"/>
    </row>
    <row r="623" ht="15.75" customHeight="1">
      <c r="E623" s="35"/>
      <c r="F623" s="29"/>
      <c r="H623" s="39"/>
    </row>
    <row r="624" ht="15.75" customHeight="1">
      <c r="E624" s="35"/>
      <c r="F624" s="29"/>
      <c r="H624" s="39"/>
    </row>
    <row r="625" ht="15.75" customHeight="1">
      <c r="E625" s="35"/>
      <c r="F625" s="29"/>
      <c r="H625" s="39"/>
    </row>
    <row r="626" ht="15.75" customHeight="1">
      <c r="E626" s="35"/>
      <c r="F626" s="29"/>
      <c r="H626" s="39"/>
    </row>
    <row r="627" ht="15.75" customHeight="1">
      <c r="E627" s="35"/>
      <c r="F627" s="29"/>
      <c r="H627" s="39"/>
    </row>
    <row r="628" ht="15.75" customHeight="1">
      <c r="E628" s="35"/>
      <c r="F628" s="29"/>
      <c r="H628" s="39"/>
    </row>
    <row r="629" ht="15.75" customHeight="1">
      <c r="E629" s="35"/>
      <c r="F629" s="29"/>
      <c r="H629" s="39"/>
    </row>
    <row r="630" ht="15.75" customHeight="1">
      <c r="E630" s="35"/>
      <c r="F630" s="29"/>
      <c r="H630" s="39"/>
    </row>
    <row r="631" ht="15.75" customHeight="1">
      <c r="E631" s="35"/>
      <c r="F631" s="29"/>
      <c r="H631" s="39"/>
    </row>
    <row r="632" ht="15.75" customHeight="1">
      <c r="E632" s="35"/>
      <c r="F632" s="29"/>
      <c r="H632" s="39"/>
    </row>
    <row r="633" ht="15.75" customHeight="1">
      <c r="E633" s="35"/>
      <c r="F633" s="29"/>
      <c r="H633" s="39"/>
    </row>
    <row r="634" ht="15.75" customHeight="1">
      <c r="E634" s="35"/>
      <c r="F634" s="29"/>
      <c r="H634" s="39"/>
    </row>
    <row r="635" ht="15.75" customHeight="1">
      <c r="E635" s="35"/>
      <c r="F635" s="29"/>
      <c r="H635" s="39"/>
    </row>
    <row r="636" ht="15.75" customHeight="1">
      <c r="E636" s="35"/>
      <c r="F636" s="29"/>
      <c r="H636" s="39"/>
    </row>
    <row r="637" ht="15.75" customHeight="1">
      <c r="E637" s="35"/>
      <c r="F637" s="29"/>
      <c r="H637" s="39"/>
    </row>
    <row r="638" ht="15.75" customHeight="1">
      <c r="E638" s="35"/>
      <c r="F638" s="29"/>
      <c r="H638" s="39"/>
    </row>
    <row r="639" ht="15.75" customHeight="1">
      <c r="E639" s="35"/>
      <c r="F639" s="29"/>
      <c r="H639" s="39"/>
    </row>
    <row r="640" ht="15.75" customHeight="1">
      <c r="E640" s="35"/>
      <c r="F640" s="29"/>
      <c r="H640" s="39"/>
    </row>
    <row r="641" ht="15.75" customHeight="1">
      <c r="E641" s="35"/>
      <c r="F641" s="29"/>
      <c r="H641" s="39"/>
    </row>
    <row r="642" ht="15.75" customHeight="1">
      <c r="E642" s="35"/>
      <c r="F642" s="29"/>
      <c r="H642" s="39"/>
    </row>
    <row r="643" ht="15.75" customHeight="1">
      <c r="E643" s="35"/>
      <c r="F643" s="29"/>
      <c r="H643" s="39"/>
    </row>
    <row r="644" ht="15.75" customHeight="1">
      <c r="E644" s="35"/>
      <c r="F644" s="29"/>
      <c r="H644" s="39"/>
    </row>
    <row r="645" ht="15.75" customHeight="1">
      <c r="E645" s="35"/>
      <c r="F645" s="29"/>
      <c r="H645" s="39"/>
    </row>
    <row r="646" ht="15.75" customHeight="1">
      <c r="E646" s="35"/>
      <c r="F646" s="29"/>
      <c r="H646" s="39"/>
    </row>
    <row r="647" ht="15.75" customHeight="1">
      <c r="E647" s="35"/>
      <c r="F647" s="29"/>
      <c r="H647" s="39"/>
    </row>
    <row r="648" ht="15.75" customHeight="1">
      <c r="E648" s="35"/>
      <c r="F648" s="29"/>
      <c r="H648" s="39"/>
    </row>
    <row r="649" ht="15.75" customHeight="1">
      <c r="E649" s="35"/>
      <c r="F649" s="29"/>
      <c r="H649" s="39"/>
    </row>
    <row r="650" ht="15.75" customHeight="1">
      <c r="E650" s="35"/>
      <c r="F650" s="29"/>
      <c r="H650" s="39"/>
    </row>
    <row r="651" ht="15.75" customHeight="1">
      <c r="E651" s="35"/>
      <c r="F651" s="29"/>
      <c r="H651" s="39"/>
    </row>
    <row r="652" ht="15.75" customHeight="1">
      <c r="E652" s="35"/>
      <c r="F652" s="29"/>
      <c r="H652" s="39"/>
    </row>
    <row r="653" ht="15.75" customHeight="1">
      <c r="E653" s="35"/>
      <c r="F653" s="29"/>
      <c r="H653" s="39"/>
    </row>
    <row r="654" ht="15.75" customHeight="1">
      <c r="E654" s="35"/>
      <c r="F654" s="29"/>
      <c r="H654" s="39"/>
    </row>
    <row r="655" ht="15.75" customHeight="1">
      <c r="E655" s="35"/>
      <c r="F655" s="29"/>
      <c r="H655" s="39"/>
    </row>
    <row r="656" ht="15.75" customHeight="1">
      <c r="E656" s="35"/>
      <c r="F656" s="29"/>
      <c r="H656" s="39"/>
    </row>
    <row r="657" ht="15.75" customHeight="1">
      <c r="E657" s="35"/>
      <c r="F657" s="29"/>
      <c r="H657" s="39"/>
    </row>
    <row r="658" ht="15.75" customHeight="1">
      <c r="E658" s="35"/>
      <c r="F658" s="29"/>
      <c r="H658" s="39"/>
    </row>
    <row r="659" ht="15.75" customHeight="1">
      <c r="E659" s="35"/>
      <c r="F659" s="29"/>
      <c r="H659" s="39"/>
    </row>
    <row r="660" ht="15.75" customHeight="1">
      <c r="E660" s="35"/>
      <c r="F660" s="29"/>
      <c r="H660" s="39"/>
    </row>
    <row r="661" ht="15.75" customHeight="1">
      <c r="E661" s="35"/>
      <c r="F661" s="29"/>
      <c r="H661" s="39"/>
    </row>
    <row r="662" ht="15.75" customHeight="1">
      <c r="E662" s="35"/>
      <c r="F662" s="29"/>
      <c r="H662" s="39"/>
    </row>
    <row r="663" ht="15.75" customHeight="1">
      <c r="E663" s="35"/>
      <c r="F663" s="29"/>
      <c r="H663" s="39"/>
    </row>
    <row r="664" ht="15.75" customHeight="1">
      <c r="E664" s="35"/>
      <c r="F664" s="29"/>
      <c r="H664" s="39"/>
    </row>
    <row r="665" ht="15.75" customHeight="1">
      <c r="E665" s="35"/>
      <c r="F665" s="29"/>
      <c r="H665" s="39"/>
    </row>
    <row r="666" ht="15.75" customHeight="1">
      <c r="E666" s="35"/>
      <c r="F666" s="29"/>
      <c r="H666" s="39"/>
    </row>
    <row r="667" ht="15.75" customHeight="1">
      <c r="E667" s="35"/>
      <c r="F667" s="29"/>
      <c r="H667" s="39"/>
    </row>
    <row r="668" ht="15.75" customHeight="1">
      <c r="E668" s="35"/>
      <c r="F668" s="29"/>
      <c r="H668" s="39"/>
    </row>
    <row r="669" ht="15.75" customHeight="1">
      <c r="E669" s="35"/>
      <c r="F669" s="29"/>
      <c r="H669" s="39"/>
    </row>
    <row r="670" ht="15.75" customHeight="1">
      <c r="E670" s="35"/>
      <c r="F670" s="29"/>
      <c r="H670" s="39"/>
    </row>
    <row r="671" ht="15.75" customHeight="1">
      <c r="E671" s="35"/>
      <c r="F671" s="29"/>
      <c r="H671" s="39"/>
    </row>
    <row r="672" ht="15.75" customHeight="1">
      <c r="E672" s="35"/>
      <c r="F672" s="29"/>
      <c r="H672" s="39"/>
    </row>
    <row r="673" ht="15.75" customHeight="1">
      <c r="E673" s="35"/>
      <c r="F673" s="29"/>
      <c r="H673" s="39"/>
    </row>
    <row r="674" ht="15.75" customHeight="1">
      <c r="E674" s="35"/>
      <c r="F674" s="29"/>
      <c r="H674" s="39"/>
    </row>
    <row r="675" ht="15.75" customHeight="1">
      <c r="E675" s="35"/>
      <c r="F675" s="29"/>
      <c r="H675" s="39"/>
    </row>
    <row r="676" ht="15.75" customHeight="1">
      <c r="E676" s="35"/>
      <c r="F676" s="29"/>
      <c r="H676" s="39"/>
    </row>
    <row r="677" ht="15.75" customHeight="1">
      <c r="E677" s="35"/>
      <c r="F677" s="29"/>
      <c r="H677" s="39"/>
    </row>
    <row r="678" ht="15.75" customHeight="1">
      <c r="E678" s="35"/>
      <c r="F678" s="29"/>
      <c r="H678" s="39"/>
    </row>
    <row r="679" ht="15.75" customHeight="1">
      <c r="E679" s="35"/>
      <c r="F679" s="29"/>
      <c r="H679" s="39"/>
    </row>
    <row r="680" ht="15.75" customHeight="1">
      <c r="E680" s="35"/>
      <c r="F680" s="29"/>
      <c r="H680" s="39"/>
    </row>
    <row r="681" ht="15.75" customHeight="1">
      <c r="E681" s="35"/>
      <c r="F681" s="29"/>
      <c r="H681" s="39"/>
    </row>
    <row r="682" ht="15.75" customHeight="1">
      <c r="E682" s="35"/>
      <c r="F682" s="29"/>
      <c r="H682" s="39"/>
    </row>
    <row r="683" ht="15.75" customHeight="1">
      <c r="E683" s="35"/>
      <c r="F683" s="29"/>
      <c r="H683" s="39"/>
    </row>
    <row r="684" ht="15.75" customHeight="1">
      <c r="E684" s="35"/>
      <c r="F684" s="29"/>
      <c r="H684" s="39"/>
    </row>
    <row r="685" ht="15.75" customHeight="1">
      <c r="E685" s="35"/>
      <c r="F685" s="29"/>
      <c r="H685" s="39"/>
    </row>
    <row r="686" ht="15.75" customHeight="1">
      <c r="E686" s="35"/>
      <c r="F686" s="29"/>
      <c r="H686" s="39"/>
    </row>
    <row r="687" ht="15.75" customHeight="1">
      <c r="E687" s="35"/>
      <c r="F687" s="29"/>
      <c r="H687" s="39"/>
    </row>
    <row r="688" ht="15.75" customHeight="1">
      <c r="E688" s="35"/>
      <c r="F688" s="29"/>
      <c r="H688" s="39"/>
    </row>
    <row r="689" ht="15.75" customHeight="1">
      <c r="E689" s="35"/>
      <c r="F689" s="29"/>
      <c r="H689" s="39"/>
    </row>
    <row r="690" ht="15.75" customHeight="1">
      <c r="E690" s="35"/>
      <c r="F690" s="29"/>
      <c r="H690" s="39"/>
    </row>
    <row r="691" ht="15.75" customHeight="1">
      <c r="E691" s="35"/>
      <c r="F691" s="29"/>
      <c r="H691" s="39"/>
    </row>
    <row r="692" ht="15.75" customHeight="1">
      <c r="E692" s="35"/>
      <c r="F692" s="29"/>
      <c r="H692" s="39"/>
    </row>
    <row r="693" ht="15.75" customHeight="1">
      <c r="E693" s="35"/>
      <c r="F693" s="29"/>
      <c r="H693" s="39"/>
    </row>
    <row r="694" ht="15.75" customHeight="1">
      <c r="E694" s="35"/>
      <c r="F694" s="29"/>
      <c r="H694" s="39"/>
    </row>
    <row r="695" ht="15.75" customHeight="1">
      <c r="E695" s="35"/>
      <c r="F695" s="29"/>
      <c r="H695" s="39"/>
    </row>
    <row r="696" ht="15.75" customHeight="1">
      <c r="E696" s="35"/>
      <c r="F696" s="29"/>
      <c r="H696" s="39"/>
    </row>
    <row r="697" ht="15.75" customHeight="1">
      <c r="E697" s="35"/>
      <c r="F697" s="29"/>
      <c r="H697" s="39"/>
    </row>
    <row r="698" ht="15.75" customHeight="1">
      <c r="E698" s="35"/>
      <c r="F698" s="29"/>
      <c r="H698" s="39"/>
    </row>
    <row r="699" ht="15.75" customHeight="1">
      <c r="E699" s="35"/>
      <c r="F699" s="29"/>
      <c r="H699" s="39"/>
    </row>
    <row r="700" ht="15.75" customHeight="1">
      <c r="E700" s="35"/>
      <c r="F700" s="29"/>
      <c r="H700" s="39"/>
    </row>
    <row r="701" ht="15.75" customHeight="1">
      <c r="E701" s="35"/>
      <c r="F701" s="29"/>
      <c r="H701" s="39"/>
    </row>
    <row r="702" ht="15.75" customHeight="1">
      <c r="E702" s="35"/>
      <c r="F702" s="29"/>
      <c r="H702" s="39"/>
    </row>
    <row r="703" ht="15.75" customHeight="1">
      <c r="E703" s="35"/>
      <c r="F703" s="29"/>
      <c r="H703" s="39"/>
    </row>
    <row r="704" ht="15.75" customHeight="1">
      <c r="E704" s="35"/>
      <c r="F704" s="29"/>
      <c r="H704" s="39"/>
    </row>
    <row r="705" ht="15.75" customHeight="1">
      <c r="E705" s="35"/>
      <c r="F705" s="29"/>
      <c r="H705" s="39"/>
    </row>
    <row r="706" ht="15.75" customHeight="1">
      <c r="E706" s="35"/>
      <c r="F706" s="29"/>
      <c r="H706" s="39"/>
    </row>
    <row r="707" ht="15.75" customHeight="1">
      <c r="E707" s="35"/>
      <c r="F707" s="29"/>
      <c r="H707" s="39"/>
    </row>
    <row r="708" ht="15.75" customHeight="1">
      <c r="E708" s="35"/>
      <c r="F708" s="29"/>
      <c r="H708" s="39"/>
    </row>
    <row r="709" ht="15.75" customHeight="1">
      <c r="E709" s="35"/>
      <c r="F709" s="29"/>
      <c r="H709" s="39"/>
    </row>
    <row r="710" ht="15.75" customHeight="1">
      <c r="E710" s="35"/>
      <c r="F710" s="29"/>
      <c r="H710" s="39"/>
    </row>
    <row r="711" ht="15.75" customHeight="1">
      <c r="E711" s="35"/>
      <c r="F711" s="29"/>
      <c r="H711" s="39"/>
    </row>
    <row r="712" ht="15.75" customHeight="1">
      <c r="E712" s="35"/>
      <c r="F712" s="29"/>
      <c r="H712" s="39"/>
    </row>
    <row r="713" ht="15.75" customHeight="1">
      <c r="E713" s="35"/>
      <c r="F713" s="29"/>
      <c r="H713" s="39"/>
    </row>
    <row r="714" ht="15.75" customHeight="1">
      <c r="E714" s="35"/>
      <c r="F714" s="29"/>
      <c r="H714" s="39"/>
    </row>
    <row r="715" ht="15.75" customHeight="1">
      <c r="E715" s="35"/>
      <c r="F715" s="29"/>
      <c r="H715" s="39"/>
    </row>
    <row r="716" ht="15.75" customHeight="1">
      <c r="E716" s="35"/>
      <c r="F716" s="29"/>
      <c r="H716" s="39"/>
    </row>
    <row r="717" ht="15.75" customHeight="1">
      <c r="E717" s="35"/>
      <c r="F717" s="29"/>
      <c r="H717" s="39"/>
    </row>
    <row r="718" ht="15.75" customHeight="1">
      <c r="E718" s="35"/>
      <c r="F718" s="29"/>
      <c r="H718" s="39"/>
    </row>
    <row r="719" ht="15.75" customHeight="1">
      <c r="E719" s="35"/>
      <c r="F719" s="29"/>
      <c r="H719" s="39"/>
    </row>
    <row r="720" ht="15.75" customHeight="1">
      <c r="E720" s="35"/>
      <c r="F720" s="29"/>
      <c r="H720" s="39"/>
    </row>
    <row r="721" ht="15.75" customHeight="1">
      <c r="E721" s="35"/>
      <c r="F721" s="29"/>
      <c r="H721" s="39"/>
    </row>
    <row r="722" ht="15.75" customHeight="1">
      <c r="E722" s="35"/>
      <c r="F722" s="29"/>
      <c r="H722" s="39"/>
    </row>
    <row r="723" ht="15.75" customHeight="1">
      <c r="E723" s="35"/>
      <c r="F723" s="29"/>
      <c r="H723" s="39"/>
    </row>
    <row r="724" ht="15.75" customHeight="1">
      <c r="E724" s="35"/>
      <c r="F724" s="29"/>
      <c r="H724" s="39"/>
    </row>
    <row r="725" ht="15.75" customHeight="1">
      <c r="E725" s="35"/>
      <c r="F725" s="29"/>
      <c r="H725" s="39"/>
    </row>
    <row r="726" ht="15.75" customHeight="1">
      <c r="E726" s="35"/>
      <c r="F726" s="29"/>
      <c r="H726" s="39"/>
    </row>
    <row r="727" ht="15.75" customHeight="1">
      <c r="E727" s="35"/>
      <c r="F727" s="29"/>
      <c r="H727" s="39"/>
    </row>
    <row r="728" ht="15.75" customHeight="1">
      <c r="E728" s="35"/>
      <c r="F728" s="29"/>
      <c r="H728" s="39"/>
    </row>
    <row r="729" ht="15.75" customHeight="1">
      <c r="E729" s="35"/>
      <c r="F729" s="29"/>
      <c r="H729" s="39"/>
    </row>
    <row r="730" ht="15.75" customHeight="1">
      <c r="E730" s="35"/>
      <c r="F730" s="29"/>
      <c r="H730" s="39"/>
    </row>
    <row r="731" ht="15.75" customHeight="1">
      <c r="E731" s="35"/>
      <c r="F731" s="29"/>
      <c r="H731" s="39"/>
    </row>
    <row r="732" ht="15.75" customHeight="1">
      <c r="E732" s="35"/>
      <c r="F732" s="29"/>
      <c r="H732" s="39"/>
    </row>
    <row r="733" ht="15.75" customHeight="1">
      <c r="E733" s="35"/>
      <c r="F733" s="29"/>
      <c r="H733" s="39"/>
    </row>
    <row r="734" ht="15.75" customHeight="1">
      <c r="E734" s="35"/>
      <c r="F734" s="29"/>
      <c r="H734" s="39"/>
    </row>
    <row r="735" ht="15.75" customHeight="1">
      <c r="E735" s="35"/>
      <c r="F735" s="29"/>
      <c r="H735" s="39"/>
    </row>
    <row r="736" ht="15.75" customHeight="1">
      <c r="E736" s="35"/>
      <c r="F736" s="29"/>
      <c r="H736" s="39"/>
    </row>
    <row r="737" ht="15.75" customHeight="1">
      <c r="E737" s="35"/>
      <c r="F737" s="29"/>
      <c r="H737" s="39"/>
    </row>
    <row r="738" ht="15.75" customHeight="1">
      <c r="E738" s="35"/>
      <c r="F738" s="29"/>
      <c r="H738" s="39"/>
    </row>
    <row r="739" ht="15.75" customHeight="1">
      <c r="E739" s="35"/>
      <c r="F739" s="29"/>
      <c r="H739" s="39"/>
    </row>
    <row r="740" ht="15.75" customHeight="1">
      <c r="E740" s="35"/>
      <c r="F740" s="29"/>
      <c r="H740" s="39"/>
    </row>
    <row r="741" ht="15.75" customHeight="1">
      <c r="E741" s="35"/>
      <c r="F741" s="29"/>
      <c r="H741" s="39"/>
    </row>
    <row r="742" ht="15.75" customHeight="1">
      <c r="E742" s="35"/>
      <c r="F742" s="29"/>
      <c r="H742" s="39"/>
    </row>
    <row r="743" ht="15.75" customHeight="1">
      <c r="E743" s="35"/>
      <c r="F743" s="29"/>
      <c r="H743" s="39"/>
    </row>
    <row r="744" ht="15.75" customHeight="1">
      <c r="E744" s="35"/>
      <c r="F744" s="29"/>
      <c r="H744" s="39"/>
    </row>
    <row r="745" ht="15.75" customHeight="1">
      <c r="E745" s="35"/>
      <c r="F745" s="29"/>
      <c r="H745" s="39"/>
    </row>
    <row r="746" ht="15.75" customHeight="1">
      <c r="E746" s="35"/>
      <c r="F746" s="29"/>
      <c r="H746" s="39"/>
    </row>
    <row r="747" ht="15.75" customHeight="1">
      <c r="E747" s="35"/>
      <c r="F747" s="29"/>
      <c r="H747" s="39"/>
    </row>
    <row r="748" ht="15.75" customHeight="1">
      <c r="E748" s="35"/>
      <c r="F748" s="29"/>
      <c r="H748" s="39"/>
    </row>
    <row r="749" ht="15.75" customHeight="1">
      <c r="E749" s="35"/>
      <c r="F749" s="29"/>
      <c r="H749" s="39"/>
    </row>
    <row r="750" ht="15.75" customHeight="1">
      <c r="E750" s="35"/>
      <c r="F750" s="29"/>
      <c r="H750" s="39"/>
    </row>
    <row r="751" ht="15.75" customHeight="1">
      <c r="E751" s="35"/>
      <c r="F751" s="29"/>
      <c r="H751" s="39"/>
    </row>
    <row r="752" ht="15.75" customHeight="1">
      <c r="E752" s="35"/>
      <c r="F752" s="29"/>
      <c r="H752" s="39"/>
    </row>
    <row r="753" ht="15.75" customHeight="1">
      <c r="E753" s="35"/>
      <c r="F753" s="29"/>
      <c r="H753" s="39"/>
    </row>
    <row r="754" ht="15.75" customHeight="1">
      <c r="E754" s="35"/>
      <c r="F754" s="29"/>
      <c r="H754" s="39"/>
    </row>
    <row r="755" ht="15.75" customHeight="1">
      <c r="E755" s="35"/>
      <c r="F755" s="29"/>
      <c r="H755" s="39"/>
    </row>
    <row r="756" ht="15.75" customHeight="1">
      <c r="E756" s="35"/>
      <c r="F756" s="29"/>
      <c r="H756" s="39"/>
    </row>
    <row r="757" ht="15.75" customHeight="1">
      <c r="E757" s="35"/>
      <c r="F757" s="29"/>
      <c r="H757" s="39"/>
    </row>
    <row r="758" ht="15.75" customHeight="1">
      <c r="E758" s="35"/>
      <c r="F758" s="29"/>
      <c r="H758" s="39"/>
    </row>
    <row r="759" ht="15.75" customHeight="1">
      <c r="E759" s="35"/>
      <c r="F759" s="29"/>
      <c r="H759" s="39"/>
    </row>
    <row r="760" ht="15.75" customHeight="1">
      <c r="E760" s="35"/>
      <c r="F760" s="29"/>
      <c r="H760" s="39"/>
    </row>
    <row r="761" ht="15.75" customHeight="1">
      <c r="E761" s="35"/>
      <c r="F761" s="29"/>
      <c r="H761" s="39"/>
    </row>
    <row r="762" ht="15.75" customHeight="1">
      <c r="E762" s="35"/>
      <c r="F762" s="29"/>
      <c r="H762" s="39"/>
    </row>
    <row r="763" ht="15.75" customHeight="1">
      <c r="E763" s="35"/>
      <c r="F763" s="29"/>
      <c r="H763" s="39"/>
    </row>
    <row r="764" ht="15.75" customHeight="1">
      <c r="E764" s="35"/>
      <c r="F764" s="29"/>
      <c r="H764" s="39"/>
    </row>
    <row r="765" ht="15.75" customHeight="1">
      <c r="E765" s="35"/>
      <c r="F765" s="29"/>
      <c r="H765" s="39"/>
    </row>
    <row r="766" ht="15.75" customHeight="1">
      <c r="E766" s="35"/>
      <c r="F766" s="29"/>
      <c r="H766" s="39"/>
    </row>
    <row r="767" ht="15.75" customHeight="1">
      <c r="E767" s="35"/>
      <c r="F767" s="29"/>
      <c r="H767" s="39"/>
    </row>
    <row r="768" ht="15.75" customHeight="1">
      <c r="E768" s="35"/>
      <c r="F768" s="29"/>
      <c r="H768" s="39"/>
    </row>
    <row r="769" ht="15.75" customHeight="1">
      <c r="E769" s="35"/>
      <c r="F769" s="29"/>
      <c r="H769" s="39"/>
    </row>
    <row r="770" ht="15.75" customHeight="1">
      <c r="E770" s="35"/>
      <c r="F770" s="29"/>
      <c r="H770" s="39"/>
    </row>
    <row r="771" ht="15.75" customHeight="1">
      <c r="E771" s="35"/>
      <c r="F771" s="29"/>
      <c r="H771" s="39"/>
    </row>
    <row r="772" ht="15.75" customHeight="1">
      <c r="E772" s="35"/>
      <c r="F772" s="29"/>
      <c r="H772" s="39"/>
    </row>
    <row r="773" ht="15.75" customHeight="1">
      <c r="E773" s="35"/>
      <c r="F773" s="29"/>
      <c r="H773" s="39"/>
    </row>
    <row r="774" ht="15.75" customHeight="1">
      <c r="E774" s="35"/>
      <c r="F774" s="29"/>
      <c r="H774" s="39"/>
    </row>
    <row r="775" ht="15.75" customHeight="1">
      <c r="E775" s="35"/>
      <c r="F775" s="29"/>
      <c r="H775" s="39"/>
    </row>
    <row r="776" ht="15.75" customHeight="1">
      <c r="E776" s="35"/>
      <c r="F776" s="29"/>
      <c r="H776" s="39"/>
    </row>
    <row r="777" ht="15.75" customHeight="1">
      <c r="E777" s="35"/>
      <c r="F777" s="29"/>
      <c r="H777" s="39"/>
    </row>
    <row r="778" ht="15.75" customHeight="1">
      <c r="E778" s="35"/>
      <c r="F778" s="29"/>
      <c r="H778" s="39"/>
    </row>
    <row r="779" ht="15.75" customHeight="1">
      <c r="E779" s="35"/>
      <c r="F779" s="29"/>
      <c r="H779" s="39"/>
    </row>
    <row r="780" ht="15.75" customHeight="1">
      <c r="E780" s="35"/>
      <c r="F780" s="29"/>
      <c r="H780" s="39"/>
    </row>
    <row r="781" ht="15.75" customHeight="1">
      <c r="E781" s="35"/>
      <c r="F781" s="29"/>
      <c r="H781" s="39"/>
    </row>
    <row r="782" ht="15.75" customHeight="1">
      <c r="E782" s="35"/>
      <c r="F782" s="29"/>
      <c r="H782" s="39"/>
    </row>
    <row r="783" ht="15.75" customHeight="1">
      <c r="E783" s="35"/>
      <c r="F783" s="29"/>
      <c r="H783" s="39"/>
    </row>
    <row r="784" ht="15.75" customHeight="1">
      <c r="E784" s="35"/>
      <c r="F784" s="29"/>
      <c r="H784" s="39"/>
    </row>
    <row r="785" ht="15.75" customHeight="1">
      <c r="E785" s="35"/>
      <c r="F785" s="29"/>
      <c r="H785" s="39"/>
    </row>
    <row r="786" ht="15.75" customHeight="1">
      <c r="E786" s="35"/>
      <c r="F786" s="29"/>
      <c r="H786" s="39"/>
    </row>
    <row r="787" ht="15.75" customHeight="1">
      <c r="E787" s="35"/>
      <c r="F787" s="29"/>
      <c r="H787" s="39"/>
    </row>
    <row r="788" ht="15.75" customHeight="1">
      <c r="E788" s="35"/>
      <c r="F788" s="29"/>
      <c r="H788" s="39"/>
    </row>
    <row r="789" ht="15.75" customHeight="1">
      <c r="E789" s="35"/>
      <c r="F789" s="29"/>
      <c r="H789" s="39"/>
    </row>
    <row r="790" ht="15.75" customHeight="1">
      <c r="E790" s="35"/>
      <c r="F790" s="29"/>
      <c r="H790" s="39"/>
    </row>
    <row r="791" ht="15.75" customHeight="1">
      <c r="E791" s="35"/>
      <c r="F791" s="29"/>
      <c r="H791" s="39"/>
    </row>
    <row r="792" ht="15.75" customHeight="1">
      <c r="E792" s="35"/>
      <c r="F792" s="29"/>
      <c r="H792" s="39"/>
    </row>
    <row r="793" ht="15.75" customHeight="1">
      <c r="E793" s="35"/>
      <c r="F793" s="29"/>
      <c r="H793" s="39"/>
    </row>
    <row r="794" ht="15.75" customHeight="1">
      <c r="E794" s="35"/>
      <c r="F794" s="29"/>
      <c r="H794" s="39"/>
    </row>
    <row r="795" ht="15.75" customHeight="1">
      <c r="E795" s="35"/>
      <c r="F795" s="29"/>
      <c r="H795" s="39"/>
    </row>
    <row r="796" ht="15.75" customHeight="1">
      <c r="E796" s="35"/>
      <c r="F796" s="29"/>
      <c r="H796" s="39"/>
    </row>
    <row r="797" ht="15.75" customHeight="1">
      <c r="E797" s="35"/>
      <c r="F797" s="29"/>
      <c r="H797" s="39"/>
    </row>
    <row r="798" ht="15.75" customHeight="1">
      <c r="E798" s="35"/>
      <c r="F798" s="29"/>
      <c r="H798" s="39"/>
    </row>
    <row r="799" ht="15.75" customHeight="1">
      <c r="E799" s="35"/>
      <c r="F799" s="29"/>
      <c r="H799" s="39"/>
    </row>
    <row r="800" ht="15.75" customHeight="1">
      <c r="E800" s="35"/>
      <c r="F800" s="29"/>
      <c r="H800" s="39"/>
    </row>
    <row r="801" ht="15.75" customHeight="1">
      <c r="E801" s="35"/>
      <c r="F801" s="29"/>
      <c r="H801" s="39"/>
    </row>
    <row r="802" ht="15.75" customHeight="1">
      <c r="E802" s="35"/>
      <c r="F802" s="29"/>
      <c r="H802" s="39"/>
    </row>
    <row r="803" ht="15.75" customHeight="1">
      <c r="E803" s="35"/>
      <c r="F803" s="29"/>
      <c r="H803" s="39"/>
    </row>
    <row r="804" ht="15.75" customHeight="1">
      <c r="E804" s="35"/>
      <c r="F804" s="29"/>
      <c r="H804" s="39"/>
    </row>
    <row r="805" ht="15.75" customHeight="1">
      <c r="E805" s="35"/>
      <c r="F805" s="29"/>
      <c r="H805" s="39"/>
    </row>
    <row r="806" ht="15.75" customHeight="1">
      <c r="E806" s="35"/>
      <c r="F806" s="29"/>
      <c r="H806" s="39"/>
    </row>
    <row r="807" ht="15.75" customHeight="1">
      <c r="E807" s="35"/>
      <c r="F807" s="29"/>
      <c r="H807" s="39"/>
    </row>
    <row r="808" ht="15.75" customHeight="1">
      <c r="E808" s="35"/>
      <c r="F808" s="29"/>
      <c r="H808" s="39"/>
    </row>
    <row r="809" ht="15.75" customHeight="1">
      <c r="E809" s="35"/>
      <c r="F809" s="29"/>
      <c r="H809" s="39"/>
    </row>
    <row r="810" ht="15.75" customHeight="1">
      <c r="E810" s="35"/>
      <c r="F810" s="29"/>
      <c r="H810" s="39"/>
    </row>
    <row r="811" ht="15.75" customHeight="1">
      <c r="E811" s="35"/>
      <c r="F811" s="29"/>
      <c r="H811" s="39"/>
    </row>
    <row r="812" ht="15.75" customHeight="1">
      <c r="E812" s="35"/>
      <c r="F812" s="29"/>
      <c r="H812" s="39"/>
    </row>
    <row r="813" ht="15.75" customHeight="1">
      <c r="E813" s="35"/>
      <c r="F813" s="29"/>
      <c r="H813" s="39"/>
    </row>
    <row r="814" ht="15.75" customHeight="1">
      <c r="E814" s="35"/>
      <c r="F814" s="29"/>
      <c r="H814" s="39"/>
    </row>
    <row r="815" ht="15.75" customHeight="1">
      <c r="E815" s="35"/>
      <c r="F815" s="29"/>
      <c r="H815" s="39"/>
    </row>
    <row r="816" ht="15.75" customHeight="1">
      <c r="E816" s="35"/>
      <c r="F816" s="29"/>
      <c r="H816" s="39"/>
    </row>
    <row r="817" ht="15.75" customHeight="1">
      <c r="E817" s="35"/>
      <c r="F817" s="29"/>
      <c r="H817" s="39"/>
    </row>
    <row r="818" ht="15.75" customHeight="1">
      <c r="E818" s="35"/>
      <c r="F818" s="29"/>
      <c r="H818" s="39"/>
    </row>
    <row r="819" ht="15.75" customHeight="1">
      <c r="E819" s="35"/>
      <c r="F819" s="29"/>
      <c r="H819" s="39"/>
    </row>
    <row r="820" ht="15.75" customHeight="1">
      <c r="E820" s="35"/>
      <c r="F820" s="29"/>
      <c r="H820" s="39"/>
    </row>
    <row r="821" ht="15.75" customHeight="1">
      <c r="E821" s="35"/>
      <c r="F821" s="29"/>
      <c r="H821" s="39"/>
    </row>
    <row r="822" ht="15.75" customHeight="1">
      <c r="E822" s="35"/>
      <c r="F822" s="29"/>
      <c r="H822" s="39"/>
    </row>
    <row r="823" ht="15.75" customHeight="1">
      <c r="E823" s="35"/>
      <c r="F823" s="29"/>
      <c r="H823" s="39"/>
    </row>
    <row r="824" ht="15.75" customHeight="1">
      <c r="E824" s="35"/>
      <c r="F824" s="29"/>
      <c r="H824" s="39"/>
    </row>
    <row r="825" ht="15.75" customHeight="1">
      <c r="E825" s="35"/>
      <c r="F825" s="29"/>
      <c r="H825" s="39"/>
    </row>
    <row r="826" ht="15.75" customHeight="1">
      <c r="E826" s="35"/>
      <c r="F826" s="29"/>
      <c r="H826" s="39"/>
    </row>
    <row r="827" ht="15.75" customHeight="1">
      <c r="E827" s="35"/>
      <c r="F827" s="29"/>
      <c r="H827" s="39"/>
    </row>
    <row r="828" ht="15.75" customHeight="1">
      <c r="E828" s="35"/>
      <c r="F828" s="29"/>
      <c r="H828" s="39"/>
    </row>
    <row r="829" ht="15.75" customHeight="1">
      <c r="E829" s="35"/>
      <c r="F829" s="29"/>
      <c r="H829" s="39"/>
    </row>
    <row r="830" ht="15.75" customHeight="1">
      <c r="E830" s="35"/>
      <c r="F830" s="29"/>
      <c r="H830" s="39"/>
    </row>
    <row r="831" ht="15.75" customHeight="1">
      <c r="E831" s="35"/>
      <c r="F831" s="29"/>
      <c r="H831" s="39"/>
    </row>
    <row r="832" ht="15.75" customHeight="1">
      <c r="E832" s="35"/>
      <c r="F832" s="29"/>
      <c r="H832" s="39"/>
    </row>
    <row r="833" ht="15.75" customHeight="1">
      <c r="E833" s="35"/>
      <c r="F833" s="29"/>
      <c r="H833" s="39"/>
    </row>
    <row r="834" ht="15.75" customHeight="1">
      <c r="E834" s="35"/>
      <c r="F834" s="29"/>
      <c r="H834" s="39"/>
    </row>
    <row r="835" ht="15.75" customHeight="1">
      <c r="E835" s="35"/>
      <c r="F835" s="29"/>
      <c r="H835" s="39"/>
    </row>
    <row r="836" ht="15.75" customHeight="1">
      <c r="E836" s="35"/>
      <c r="F836" s="29"/>
      <c r="H836" s="39"/>
    </row>
    <row r="837" ht="15.75" customHeight="1">
      <c r="E837" s="35"/>
      <c r="F837" s="29"/>
      <c r="H837" s="39"/>
    </row>
    <row r="838" ht="15.75" customHeight="1">
      <c r="E838" s="35"/>
      <c r="F838" s="29"/>
      <c r="H838" s="39"/>
    </row>
    <row r="839" ht="15.75" customHeight="1">
      <c r="E839" s="35"/>
      <c r="F839" s="29"/>
      <c r="H839" s="39"/>
    </row>
    <row r="840" ht="15.75" customHeight="1">
      <c r="E840" s="35"/>
      <c r="F840" s="29"/>
      <c r="H840" s="39"/>
    </row>
    <row r="841" ht="15.75" customHeight="1">
      <c r="E841" s="35"/>
      <c r="F841" s="29"/>
      <c r="H841" s="39"/>
    </row>
    <row r="842" ht="15.75" customHeight="1">
      <c r="E842" s="35"/>
      <c r="F842" s="29"/>
      <c r="H842" s="39"/>
    </row>
    <row r="843" ht="15.75" customHeight="1">
      <c r="E843" s="35"/>
      <c r="F843" s="29"/>
      <c r="H843" s="39"/>
    </row>
    <row r="844" ht="15.75" customHeight="1">
      <c r="E844" s="35"/>
      <c r="F844" s="29"/>
      <c r="H844" s="39"/>
    </row>
    <row r="845" ht="15.75" customHeight="1">
      <c r="E845" s="35"/>
      <c r="F845" s="29"/>
      <c r="H845" s="39"/>
    </row>
    <row r="846" ht="15.75" customHeight="1">
      <c r="E846" s="35"/>
      <c r="F846" s="29"/>
      <c r="H846" s="39"/>
    </row>
    <row r="847" ht="15.75" customHeight="1">
      <c r="E847" s="35"/>
      <c r="F847" s="29"/>
      <c r="H847" s="39"/>
    </row>
    <row r="848" ht="15.75" customHeight="1">
      <c r="E848" s="35"/>
      <c r="F848" s="29"/>
      <c r="H848" s="39"/>
    </row>
    <row r="849" ht="15.75" customHeight="1">
      <c r="E849" s="35"/>
      <c r="F849" s="29"/>
      <c r="H849" s="39"/>
    </row>
    <row r="850" ht="15.75" customHeight="1">
      <c r="E850" s="35"/>
      <c r="F850" s="29"/>
      <c r="H850" s="39"/>
    </row>
    <row r="851" ht="15.75" customHeight="1">
      <c r="E851" s="35"/>
      <c r="F851" s="29"/>
      <c r="H851" s="39"/>
    </row>
    <row r="852" ht="15.75" customHeight="1">
      <c r="E852" s="35"/>
      <c r="F852" s="29"/>
      <c r="H852" s="39"/>
    </row>
    <row r="853" ht="15.75" customHeight="1">
      <c r="E853" s="35"/>
      <c r="F853" s="29"/>
      <c r="H853" s="39"/>
    </row>
    <row r="854" ht="15.75" customHeight="1">
      <c r="E854" s="35"/>
      <c r="F854" s="29"/>
      <c r="H854" s="39"/>
    </row>
    <row r="855" ht="15.75" customHeight="1">
      <c r="E855" s="35"/>
      <c r="F855" s="29"/>
      <c r="H855" s="39"/>
    </row>
    <row r="856" ht="15.75" customHeight="1">
      <c r="E856" s="35"/>
      <c r="F856" s="29"/>
      <c r="H856" s="39"/>
    </row>
    <row r="857" ht="15.75" customHeight="1">
      <c r="E857" s="35"/>
      <c r="F857" s="29"/>
      <c r="H857" s="39"/>
    </row>
    <row r="858" ht="15.75" customHeight="1">
      <c r="E858" s="35"/>
      <c r="F858" s="29"/>
      <c r="H858" s="39"/>
    </row>
    <row r="859" ht="15.75" customHeight="1">
      <c r="E859" s="35"/>
      <c r="F859" s="29"/>
      <c r="H859" s="39"/>
    </row>
    <row r="860" ht="15.75" customHeight="1">
      <c r="E860" s="35"/>
      <c r="F860" s="29"/>
      <c r="H860" s="39"/>
    </row>
    <row r="861" ht="15.75" customHeight="1">
      <c r="E861" s="35"/>
      <c r="F861" s="29"/>
      <c r="H861" s="39"/>
    </row>
    <row r="862" ht="15.75" customHeight="1">
      <c r="E862" s="35"/>
      <c r="F862" s="29"/>
      <c r="H862" s="39"/>
    </row>
    <row r="863" ht="15.75" customHeight="1">
      <c r="E863" s="35"/>
      <c r="F863" s="29"/>
      <c r="H863" s="39"/>
    </row>
    <row r="864" ht="15.75" customHeight="1">
      <c r="E864" s="35"/>
      <c r="F864" s="29"/>
      <c r="H864" s="39"/>
    </row>
    <row r="865" ht="15.75" customHeight="1">
      <c r="E865" s="35"/>
      <c r="F865" s="29"/>
      <c r="H865" s="39"/>
    </row>
    <row r="866" ht="15.75" customHeight="1">
      <c r="E866" s="35"/>
      <c r="F866" s="29"/>
      <c r="H866" s="39"/>
    </row>
    <row r="867" ht="15.75" customHeight="1">
      <c r="E867" s="35"/>
      <c r="F867" s="29"/>
      <c r="H867" s="39"/>
    </row>
    <row r="868" ht="15.75" customHeight="1">
      <c r="E868" s="35"/>
      <c r="F868" s="29"/>
      <c r="H868" s="39"/>
    </row>
    <row r="869" ht="15.75" customHeight="1">
      <c r="E869" s="35"/>
      <c r="F869" s="29"/>
      <c r="H869" s="39"/>
    </row>
    <row r="870" ht="15.75" customHeight="1">
      <c r="E870" s="35"/>
      <c r="F870" s="29"/>
      <c r="H870" s="39"/>
    </row>
    <row r="871" ht="15.75" customHeight="1">
      <c r="E871" s="35"/>
      <c r="F871" s="29"/>
      <c r="H871" s="39"/>
    </row>
    <row r="872" ht="15.75" customHeight="1">
      <c r="E872" s="35"/>
      <c r="F872" s="29"/>
      <c r="H872" s="39"/>
    </row>
    <row r="873" ht="15.75" customHeight="1">
      <c r="E873" s="35"/>
      <c r="F873" s="29"/>
      <c r="H873" s="39"/>
    </row>
    <row r="874" ht="15.75" customHeight="1">
      <c r="E874" s="35"/>
      <c r="F874" s="29"/>
      <c r="H874" s="39"/>
    </row>
    <row r="875" ht="15.75" customHeight="1">
      <c r="E875" s="35"/>
      <c r="F875" s="29"/>
      <c r="H875" s="39"/>
    </row>
    <row r="876" ht="15.75" customHeight="1">
      <c r="E876" s="35"/>
      <c r="F876" s="29"/>
      <c r="H876" s="39"/>
    </row>
    <row r="877" ht="15.75" customHeight="1">
      <c r="E877" s="35"/>
      <c r="F877" s="29"/>
      <c r="H877" s="39"/>
    </row>
    <row r="878" ht="15.75" customHeight="1">
      <c r="E878" s="35"/>
      <c r="F878" s="29"/>
      <c r="H878" s="39"/>
    </row>
    <row r="879" ht="15.75" customHeight="1">
      <c r="E879" s="35"/>
      <c r="F879" s="29"/>
      <c r="H879" s="39"/>
    </row>
    <row r="880" ht="15.75" customHeight="1">
      <c r="E880" s="35"/>
      <c r="F880" s="29"/>
      <c r="H880" s="39"/>
    </row>
    <row r="881" ht="15.75" customHeight="1">
      <c r="E881" s="35"/>
      <c r="F881" s="29"/>
      <c r="H881" s="39"/>
    </row>
    <row r="882" ht="15.75" customHeight="1">
      <c r="E882" s="35"/>
      <c r="F882" s="29"/>
      <c r="H882" s="39"/>
    </row>
    <row r="883" ht="15.75" customHeight="1">
      <c r="E883" s="35"/>
      <c r="F883" s="29"/>
      <c r="H883" s="39"/>
    </row>
    <row r="884" ht="15.75" customHeight="1">
      <c r="E884" s="35"/>
      <c r="F884" s="29"/>
      <c r="H884" s="39"/>
    </row>
    <row r="885" ht="15.75" customHeight="1">
      <c r="E885" s="35"/>
      <c r="F885" s="29"/>
      <c r="H885" s="39"/>
    </row>
    <row r="886" ht="15.75" customHeight="1">
      <c r="E886" s="35"/>
      <c r="F886" s="29"/>
      <c r="H886" s="39"/>
    </row>
    <row r="887" ht="15.75" customHeight="1">
      <c r="E887" s="35"/>
      <c r="F887" s="29"/>
      <c r="H887" s="39"/>
    </row>
    <row r="888" ht="15.75" customHeight="1">
      <c r="E888" s="35"/>
      <c r="F888" s="29"/>
      <c r="H888" s="39"/>
    </row>
    <row r="889" ht="15.75" customHeight="1">
      <c r="E889" s="35"/>
      <c r="F889" s="29"/>
      <c r="H889" s="39"/>
    </row>
    <row r="890" ht="15.75" customHeight="1">
      <c r="E890" s="35"/>
      <c r="F890" s="29"/>
      <c r="H890" s="39"/>
    </row>
    <row r="891" ht="15.75" customHeight="1">
      <c r="E891" s="35"/>
      <c r="F891" s="29"/>
      <c r="H891" s="39"/>
    </row>
    <row r="892" ht="15.75" customHeight="1">
      <c r="E892" s="35"/>
      <c r="F892" s="29"/>
      <c r="H892" s="39"/>
    </row>
    <row r="893" ht="15.75" customHeight="1">
      <c r="E893" s="35"/>
      <c r="F893" s="29"/>
      <c r="H893" s="39"/>
    </row>
    <row r="894" ht="15.75" customHeight="1">
      <c r="E894" s="35"/>
      <c r="F894" s="29"/>
      <c r="H894" s="39"/>
    </row>
    <row r="895" ht="15.75" customHeight="1">
      <c r="E895" s="35"/>
      <c r="F895" s="29"/>
      <c r="H895" s="39"/>
    </row>
    <row r="896" ht="15.75" customHeight="1">
      <c r="E896" s="35"/>
      <c r="F896" s="29"/>
      <c r="H896" s="39"/>
    </row>
    <row r="897" ht="15.75" customHeight="1">
      <c r="E897" s="35"/>
      <c r="F897" s="29"/>
      <c r="H897" s="39"/>
    </row>
    <row r="898" ht="15.75" customHeight="1">
      <c r="E898" s="35"/>
      <c r="F898" s="29"/>
      <c r="H898" s="39"/>
    </row>
    <row r="899" ht="15.75" customHeight="1">
      <c r="E899" s="35"/>
      <c r="F899" s="29"/>
      <c r="H899" s="39"/>
    </row>
    <row r="900" ht="15.75" customHeight="1">
      <c r="E900" s="35"/>
      <c r="F900" s="29"/>
      <c r="H900" s="39"/>
    </row>
    <row r="901" ht="15.75" customHeight="1">
      <c r="E901" s="35"/>
      <c r="F901" s="29"/>
      <c r="H901" s="39"/>
    </row>
    <row r="902" ht="15.75" customHeight="1">
      <c r="E902" s="35"/>
      <c r="F902" s="29"/>
      <c r="H902" s="39"/>
    </row>
    <row r="903" ht="15.75" customHeight="1">
      <c r="E903" s="35"/>
      <c r="F903" s="29"/>
      <c r="H903" s="39"/>
    </row>
    <row r="904" ht="15.75" customHeight="1">
      <c r="E904" s="35"/>
      <c r="F904" s="29"/>
      <c r="H904" s="39"/>
    </row>
    <row r="905" ht="15.75" customHeight="1">
      <c r="E905" s="35"/>
      <c r="F905" s="29"/>
      <c r="H905" s="39"/>
    </row>
    <row r="906" ht="15.75" customHeight="1">
      <c r="E906" s="35"/>
      <c r="F906" s="29"/>
      <c r="H906" s="39"/>
    </row>
    <row r="907" ht="15.75" customHeight="1">
      <c r="E907" s="35"/>
      <c r="F907" s="29"/>
      <c r="H907" s="39"/>
    </row>
    <row r="908" ht="15.75" customHeight="1">
      <c r="E908" s="35"/>
      <c r="F908" s="29"/>
      <c r="H908" s="39"/>
    </row>
    <row r="909" ht="15.75" customHeight="1">
      <c r="E909" s="35"/>
      <c r="F909" s="29"/>
      <c r="H909" s="39"/>
    </row>
    <row r="910" ht="15.75" customHeight="1">
      <c r="E910" s="35"/>
      <c r="F910" s="29"/>
      <c r="H910" s="39"/>
    </row>
    <row r="911" ht="15.75" customHeight="1">
      <c r="E911" s="35"/>
      <c r="F911" s="29"/>
      <c r="H911" s="39"/>
    </row>
    <row r="912" ht="15.75" customHeight="1">
      <c r="E912" s="35"/>
      <c r="F912" s="29"/>
      <c r="H912" s="39"/>
    </row>
    <row r="913" ht="15.75" customHeight="1">
      <c r="E913" s="35"/>
      <c r="F913" s="29"/>
      <c r="H913" s="39"/>
    </row>
    <row r="914" ht="15.75" customHeight="1">
      <c r="E914" s="35"/>
      <c r="F914" s="29"/>
      <c r="H914" s="39"/>
    </row>
    <row r="915" ht="15.75" customHeight="1">
      <c r="E915" s="35"/>
      <c r="F915" s="29"/>
      <c r="H915" s="39"/>
    </row>
    <row r="916" ht="15.75" customHeight="1">
      <c r="E916" s="35"/>
      <c r="F916" s="29"/>
      <c r="H916" s="39"/>
    </row>
    <row r="917" ht="15.75" customHeight="1">
      <c r="E917" s="35"/>
      <c r="F917" s="29"/>
      <c r="H917" s="39"/>
    </row>
    <row r="918" ht="15.75" customHeight="1">
      <c r="E918" s="35"/>
      <c r="F918" s="29"/>
      <c r="H918" s="39"/>
    </row>
    <row r="919" ht="15.75" customHeight="1">
      <c r="E919" s="35"/>
      <c r="F919" s="29"/>
      <c r="H919" s="39"/>
    </row>
    <row r="920" ht="15.75" customHeight="1">
      <c r="E920" s="35"/>
      <c r="F920" s="29"/>
      <c r="H920" s="39"/>
    </row>
    <row r="921" ht="15.75" customHeight="1">
      <c r="E921" s="35"/>
      <c r="F921" s="29"/>
      <c r="H921" s="39"/>
    </row>
    <row r="922" ht="15.75" customHeight="1">
      <c r="E922" s="35"/>
      <c r="F922" s="29"/>
      <c r="H922" s="39"/>
    </row>
    <row r="923" ht="15.75" customHeight="1">
      <c r="E923" s="35"/>
      <c r="F923" s="29"/>
      <c r="H923" s="39"/>
    </row>
    <row r="924" ht="15.75" customHeight="1">
      <c r="E924" s="35"/>
      <c r="F924" s="29"/>
      <c r="H924" s="39"/>
    </row>
    <row r="925" ht="15.75" customHeight="1">
      <c r="E925" s="35"/>
      <c r="F925" s="29"/>
      <c r="H925" s="39"/>
    </row>
    <row r="926" ht="15.75" customHeight="1">
      <c r="E926" s="35"/>
      <c r="F926" s="29"/>
      <c r="H926" s="39"/>
    </row>
    <row r="927" ht="15.75" customHeight="1">
      <c r="E927" s="35"/>
      <c r="F927" s="29"/>
      <c r="H927" s="39"/>
    </row>
    <row r="928" ht="15.75" customHeight="1">
      <c r="E928" s="35"/>
      <c r="F928" s="29"/>
      <c r="H928" s="39"/>
    </row>
    <row r="929" ht="15.75" customHeight="1">
      <c r="E929" s="35"/>
      <c r="F929" s="29"/>
      <c r="H929" s="39"/>
    </row>
    <row r="930" ht="15.75" customHeight="1">
      <c r="E930" s="35"/>
      <c r="F930" s="29"/>
      <c r="H930" s="39"/>
    </row>
    <row r="931" ht="15.75" customHeight="1">
      <c r="E931" s="35"/>
      <c r="F931" s="29"/>
      <c r="H931" s="39"/>
    </row>
    <row r="932" ht="15.75" customHeight="1">
      <c r="E932" s="35"/>
      <c r="F932" s="29"/>
      <c r="H932" s="39"/>
    </row>
    <row r="933" ht="15.75" customHeight="1">
      <c r="E933" s="35"/>
      <c r="F933" s="29"/>
      <c r="H933" s="39"/>
    </row>
    <row r="934" ht="15.75" customHeight="1">
      <c r="E934" s="35"/>
      <c r="F934" s="29"/>
      <c r="H934" s="39"/>
    </row>
    <row r="935" ht="15.75" customHeight="1">
      <c r="E935" s="35"/>
      <c r="F935" s="29"/>
      <c r="H935" s="39"/>
    </row>
    <row r="936" ht="15.75" customHeight="1">
      <c r="E936" s="35"/>
      <c r="F936" s="29"/>
      <c r="H936" s="39"/>
    </row>
    <row r="937" ht="15.75" customHeight="1">
      <c r="E937" s="35"/>
      <c r="F937" s="29"/>
      <c r="H937" s="39"/>
    </row>
    <row r="938" ht="15.75" customHeight="1">
      <c r="E938" s="35"/>
      <c r="F938" s="29"/>
      <c r="H938" s="39"/>
    </row>
    <row r="939" ht="15.75" customHeight="1">
      <c r="E939" s="35"/>
      <c r="F939" s="29"/>
      <c r="H939" s="39"/>
    </row>
    <row r="940" ht="15.75" customHeight="1">
      <c r="E940" s="35"/>
      <c r="F940" s="29"/>
      <c r="H940" s="39"/>
    </row>
    <row r="941" ht="15.75" customHeight="1">
      <c r="E941" s="35"/>
      <c r="F941" s="29"/>
      <c r="H941" s="39"/>
    </row>
    <row r="942" ht="15.75" customHeight="1">
      <c r="E942" s="35"/>
      <c r="F942" s="29"/>
      <c r="H942" s="39"/>
    </row>
    <row r="943" ht="15.75" customHeight="1">
      <c r="E943" s="35"/>
      <c r="F943" s="29"/>
      <c r="H943" s="39"/>
    </row>
    <row r="944" ht="15.75" customHeight="1">
      <c r="E944" s="35"/>
      <c r="F944" s="29"/>
      <c r="H944" s="39"/>
    </row>
    <row r="945" ht="15.75" customHeight="1">
      <c r="E945" s="35"/>
      <c r="F945" s="29"/>
      <c r="H945" s="39"/>
    </row>
    <row r="946" ht="15.75" customHeight="1">
      <c r="E946" s="35"/>
      <c r="F946" s="29"/>
      <c r="H946" s="39"/>
    </row>
    <row r="947" ht="15.75" customHeight="1">
      <c r="E947" s="35"/>
      <c r="F947" s="29"/>
      <c r="H947" s="39"/>
    </row>
    <row r="948" ht="15.75" customHeight="1">
      <c r="E948" s="35"/>
      <c r="F948" s="29"/>
      <c r="H948" s="39"/>
    </row>
    <row r="949" ht="15.75" customHeight="1">
      <c r="E949" s="35"/>
      <c r="F949" s="29"/>
      <c r="H949" s="39"/>
    </row>
    <row r="950" ht="15.75" customHeight="1">
      <c r="E950" s="35"/>
      <c r="F950" s="29"/>
      <c r="H950" s="39"/>
    </row>
    <row r="951" ht="15.75" customHeight="1">
      <c r="E951" s="35"/>
      <c r="F951" s="29"/>
      <c r="H951" s="39"/>
    </row>
    <row r="952" ht="15.75" customHeight="1">
      <c r="E952" s="35"/>
      <c r="F952" s="29"/>
      <c r="H952" s="39"/>
    </row>
    <row r="953" ht="15.75" customHeight="1">
      <c r="E953" s="35"/>
      <c r="F953" s="29"/>
      <c r="H953" s="39"/>
    </row>
    <row r="954" ht="15.75" customHeight="1">
      <c r="E954" s="35"/>
      <c r="F954" s="29"/>
      <c r="H954" s="39"/>
    </row>
    <row r="955" ht="15.75" customHeight="1">
      <c r="E955" s="35"/>
      <c r="F955" s="29"/>
      <c r="H955" s="39"/>
    </row>
    <row r="956" ht="15.75" customHeight="1">
      <c r="E956" s="35"/>
      <c r="F956" s="29"/>
      <c r="H956" s="39"/>
    </row>
    <row r="957" ht="15.75" customHeight="1">
      <c r="E957" s="35"/>
      <c r="F957" s="29"/>
      <c r="H957" s="39"/>
    </row>
    <row r="958" ht="15.75" customHeight="1">
      <c r="E958" s="35"/>
      <c r="F958" s="29"/>
      <c r="H958" s="39"/>
    </row>
    <row r="959" ht="15.75" customHeight="1">
      <c r="E959" s="35"/>
      <c r="F959" s="29"/>
      <c r="H959" s="39"/>
    </row>
    <row r="960" ht="15.75" customHeight="1">
      <c r="E960" s="35"/>
      <c r="F960" s="29"/>
      <c r="H960" s="39"/>
    </row>
    <row r="961" ht="15.75" customHeight="1">
      <c r="E961" s="35"/>
      <c r="F961" s="29"/>
      <c r="H961" s="39"/>
    </row>
    <row r="962" ht="15.75" customHeight="1">
      <c r="E962" s="35"/>
      <c r="F962" s="29"/>
      <c r="H962" s="39"/>
    </row>
    <row r="963" ht="15.75" customHeight="1">
      <c r="E963" s="35"/>
      <c r="F963" s="29"/>
      <c r="H963" s="39"/>
    </row>
    <row r="964" ht="15.75" customHeight="1">
      <c r="E964" s="35"/>
      <c r="F964" s="29"/>
      <c r="H964" s="39"/>
    </row>
    <row r="965" ht="15.75" customHeight="1">
      <c r="E965" s="35"/>
      <c r="F965" s="29"/>
      <c r="H965" s="39"/>
    </row>
    <row r="966" ht="15.75" customHeight="1">
      <c r="E966" s="35"/>
      <c r="F966" s="29"/>
      <c r="H966" s="39"/>
    </row>
    <row r="967" ht="15.75" customHeight="1">
      <c r="E967" s="35"/>
      <c r="F967" s="29"/>
      <c r="H967" s="39"/>
    </row>
    <row r="968" ht="15.75" customHeight="1">
      <c r="E968" s="35"/>
      <c r="F968" s="29"/>
      <c r="H968" s="39"/>
    </row>
    <row r="969" ht="15.75" customHeight="1">
      <c r="E969" s="35"/>
      <c r="F969" s="29"/>
      <c r="H969" s="39"/>
    </row>
    <row r="970" ht="15.75" customHeight="1">
      <c r="E970" s="35"/>
      <c r="F970" s="29"/>
      <c r="H970" s="39"/>
    </row>
    <row r="971" ht="15.75" customHeight="1">
      <c r="E971" s="35"/>
      <c r="F971" s="29"/>
      <c r="H971" s="39"/>
    </row>
    <row r="972" ht="15.75" customHeight="1">
      <c r="E972" s="35"/>
      <c r="F972" s="29"/>
      <c r="H972" s="39"/>
    </row>
    <row r="973" ht="15.75" customHeight="1">
      <c r="E973" s="35"/>
      <c r="F973" s="29"/>
      <c r="H973" s="39"/>
    </row>
    <row r="974" ht="15.75" customHeight="1">
      <c r="E974" s="35"/>
      <c r="F974" s="29"/>
      <c r="H974" s="39"/>
    </row>
    <row r="975" ht="15.75" customHeight="1">
      <c r="E975" s="35"/>
      <c r="F975" s="29"/>
      <c r="H975" s="39"/>
    </row>
    <row r="976" ht="15.75" customHeight="1">
      <c r="E976" s="35"/>
      <c r="F976" s="29"/>
      <c r="H976" s="39"/>
    </row>
    <row r="977" ht="15.75" customHeight="1">
      <c r="E977" s="35"/>
      <c r="F977" s="29"/>
      <c r="H977" s="39"/>
    </row>
    <row r="978" ht="15.75" customHeight="1">
      <c r="E978" s="35"/>
      <c r="F978" s="29"/>
      <c r="H978" s="39"/>
    </row>
    <row r="979" ht="15.75" customHeight="1">
      <c r="E979" s="35"/>
      <c r="F979" s="29"/>
      <c r="H979" s="39"/>
    </row>
    <row r="980" ht="15.75" customHeight="1">
      <c r="E980" s="35"/>
      <c r="F980" s="29"/>
      <c r="H980" s="39"/>
    </row>
    <row r="981" ht="15.75" customHeight="1">
      <c r="E981" s="35"/>
      <c r="F981" s="29"/>
      <c r="H981" s="39"/>
    </row>
    <row r="982" ht="15.75" customHeight="1">
      <c r="E982" s="35"/>
      <c r="F982" s="29"/>
      <c r="H982" s="39"/>
    </row>
    <row r="983" ht="15.75" customHeight="1">
      <c r="E983" s="35"/>
      <c r="F983" s="29"/>
      <c r="H983" s="39"/>
    </row>
    <row r="984" ht="15.75" customHeight="1">
      <c r="E984" s="35"/>
      <c r="F984" s="29"/>
      <c r="H984" s="39"/>
    </row>
    <row r="985" ht="15.75" customHeight="1">
      <c r="E985" s="35"/>
      <c r="F985" s="29"/>
      <c r="H985" s="39"/>
    </row>
    <row r="986" ht="15.75" customHeight="1">
      <c r="E986" s="35"/>
      <c r="F986" s="29"/>
      <c r="H986" s="39"/>
    </row>
    <row r="987" ht="15.75" customHeight="1">
      <c r="E987" s="35"/>
      <c r="F987" s="29"/>
      <c r="H987" s="39"/>
    </row>
    <row r="988" ht="15.75" customHeight="1">
      <c r="E988" s="35"/>
      <c r="F988" s="29"/>
      <c r="H988" s="39"/>
    </row>
    <row r="989" ht="15.75" customHeight="1">
      <c r="E989" s="35"/>
      <c r="F989" s="29"/>
      <c r="H989" s="39"/>
    </row>
    <row r="990" ht="15.75" customHeight="1">
      <c r="E990" s="35"/>
      <c r="F990" s="29"/>
      <c r="H990" s="39"/>
    </row>
    <row r="991" ht="15.75" customHeight="1">
      <c r="E991" s="35"/>
      <c r="F991" s="29"/>
      <c r="H991" s="39"/>
    </row>
    <row r="992" ht="15.75" customHeight="1">
      <c r="E992" s="35"/>
      <c r="F992" s="29"/>
      <c r="H992" s="39"/>
    </row>
    <row r="993" ht="15.75" customHeight="1">
      <c r="E993" s="35"/>
      <c r="F993" s="29"/>
      <c r="H993" s="39"/>
    </row>
    <row r="994" ht="15.75" customHeight="1">
      <c r="E994" s="35"/>
      <c r="F994" s="29"/>
      <c r="H994" s="39"/>
    </row>
    <row r="995" ht="15.75" customHeight="1">
      <c r="E995" s="35"/>
      <c r="F995" s="29"/>
      <c r="H995" s="39"/>
    </row>
    <row r="996" ht="15.75" customHeight="1">
      <c r="E996" s="35"/>
      <c r="F996" s="29"/>
      <c r="H996" s="39"/>
    </row>
    <row r="997" ht="15.75" customHeight="1">
      <c r="E997" s="35"/>
      <c r="F997" s="29"/>
      <c r="H997" s="39"/>
    </row>
    <row r="998" ht="15.75" customHeight="1">
      <c r="E998" s="35"/>
      <c r="F998" s="29"/>
      <c r="H998" s="39"/>
    </row>
    <row r="999" ht="15.75" customHeight="1">
      <c r="E999" s="35"/>
      <c r="F999" s="29"/>
      <c r="H999" s="39"/>
    </row>
  </sheetData>
  <conditionalFormatting sqref="F2">
    <cfRule type="notContainsBlanks" dxfId="5" priority="1">
      <formula>LEN(TRIM(F2))&gt;0</formula>
    </cfRule>
  </conditionalFormatting>
  <conditionalFormatting sqref="F3">
    <cfRule type="notContainsBlanks" dxfId="5" priority="2">
      <formula>LEN(TRIM(F3))&gt;0</formula>
    </cfRule>
  </conditionalFormatting>
  <conditionalFormatting sqref="F3">
    <cfRule type="notContainsBlanks" dxfId="5" priority="3">
      <formula>LEN(TRIM(F3))&gt;0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30"/>
  </hyperlinks>
  <printOptions/>
  <pageMargins bottom="1.0" footer="0.0" header="0.0" left="0.75" right="0.75" top="1.0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1.71"/>
    <col customWidth="1" min="3" max="3" width="20.0"/>
    <col customWidth="1" min="4" max="4" width="31.43"/>
    <col customWidth="1" min="5" max="5" width="14.14"/>
    <col customWidth="1" min="6" max="6" width="33.14"/>
    <col customWidth="1" min="7" max="7" width="18.14"/>
    <col customWidth="1" min="8" max="8" width="14.86"/>
    <col customWidth="1" min="9" max="9" width="10.57"/>
    <col customWidth="1" min="10" max="10" width="29.86"/>
    <col customWidth="1" min="11" max="11" width="7.0"/>
    <col customWidth="1" min="12" max="12" width="17.14"/>
    <col customWidth="1" min="13" max="13" width="10.0"/>
    <col customWidth="1" min="14" max="14" width="15.14"/>
    <col customWidth="1" min="15" max="15" width="37.0"/>
    <col customWidth="1" min="16" max="23" width="9.14"/>
  </cols>
  <sheetData>
    <row r="1">
      <c r="A1" s="30" t="s">
        <v>267</v>
      </c>
      <c r="B1" s="30" t="s">
        <v>268</v>
      </c>
      <c r="C1" s="30" t="s">
        <v>2</v>
      </c>
      <c r="D1" s="30" t="s">
        <v>3</v>
      </c>
      <c r="E1" s="31" t="s">
        <v>4</v>
      </c>
      <c r="F1" s="32" t="s">
        <v>5</v>
      </c>
      <c r="G1" s="30" t="s">
        <v>6</v>
      </c>
      <c r="H1" s="33" t="s">
        <v>269</v>
      </c>
      <c r="I1" s="30" t="s">
        <v>270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271</v>
      </c>
    </row>
    <row r="2">
      <c r="A2" s="34" t="str">
        <f>IFERROR(__xludf.DUMMYFUNCTION("FILTER(Pipeline!A2:O999, LEFT(Pipeline!A2:A999,2)=""C-"")"),"C-001")</f>
        <v>C-001</v>
      </c>
      <c r="B2" s="34" t="str">
        <f>IFERROR(__xludf.DUMMYFUNCTION("""COMPUTED_VALUE"""),"Colaborador")</f>
        <v>Colaborador</v>
      </c>
      <c r="C2" s="34" t="str">
        <f>IFERROR(__xludf.DUMMYFUNCTION("""COMPUTED_VALUE"""),"Ofentse Mpiwa")</f>
        <v>Ofentse Mpiwa</v>
      </c>
      <c r="D2" s="34" t="str">
        <f>IFERROR(__xludf.DUMMYFUNCTION("""COMPUTED_VALUE"""),"Miner Global Connect")</f>
        <v>Miner Global Connect</v>
      </c>
      <c r="E2" s="34" t="str">
        <f>IFERROR(__xludf.DUMMYFUNCTION("""COMPUTED_VALUE"""),"Sudafrica")</f>
        <v>Sudafrica</v>
      </c>
      <c r="F2" s="43" t="str">
        <f>IFERROR(__xludf.DUMMYFUNCTION("""COMPUTED_VALUE"""),"ignacio.fernandez@titulados.usm.cl")</f>
        <v>ignacio.fernandez@titulados.usm.cl</v>
      </c>
      <c r="G2" s="34">
        <f>IFERROR(__xludf.DUMMYFUNCTION("""COMPUTED_VALUE"""),5.6954010036E10)</f>
        <v>56954010036</v>
      </c>
      <c r="H2" s="37" t="str">
        <f>IFERROR(__xludf.DUMMYFUNCTION("""COMPUTED_VALUE"""),"Cobre en breña")</f>
        <v>Cobre en breña</v>
      </c>
      <c r="I2" s="38">
        <f>IFERROR(__xludf.DUMMYFUNCTION("""COMPUTED_VALUE"""),0.0)</f>
        <v>0</v>
      </c>
      <c r="J2" s="34" t="str">
        <f>IFERROR(__xludf.DUMMYFUNCTION("""COMPUTED_VALUE"""),"Averiguar Mineral")</f>
        <v>Averiguar Mineral</v>
      </c>
      <c r="K2" s="34" t="str">
        <f>IFERROR(__xludf.DUMMYFUNCTION("""COMPUTED_VALUE"""),"Nuevo")</f>
        <v>Nuevo</v>
      </c>
      <c r="L2" s="39">
        <f>IFERROR(__xludf.DUMMYFUNCTION("""COMPUTED_VALUE"""),45920.0)</f>
        <v>45920</v>
      </c>
      <c r="M2" s="34" t="str">
        <f>IFERROR(__xludf.DUMMYFUNCTION("""COMPUTED_VALUE"""),"Linkedin")</f>
        <v>Linkedin</v>
      </c>
      <c r="N2" s="34" t="str">
        <f>IFERROR(__xludf.DUMMYFUNCTION("""COMPUTED_VALUE"""),"Robinson Godoy")</f>
        <v>Robinson Godoy</v>
      </c>
      <c r="O2" s="34" t="str">
        <f>IFERROR(__xludf.DUMMYFUNCTION("""COMPUTED_VALUE"""),"Enviar Email")</f>
        <v>Enviar Email</v>
      </c>
    </row>
    <row r="3">
      <c r="A3" s="34" t="str">
        <f>IFERROR(__xludf.DUMMYFUNCTION("""COMPUTED_VALUE"""),"C-001")</f>
        <v>C-001</v>
      </c>
      <c r="B3" s="34" t="str">
        <f>IFERROR(__xludf.DUMMYFUNCTION("""COMPUTED_VALUE"""),"Comprador")</f>
        <v>Comprador</v>
      </c>
      <c r="C3" s="34" t="str">
        <f>IFERROR(__xludf.DUMMYFUNCTION("""COMPUTED_VALUE"""),"Rafael Mombach")</f>
        <v>Rafael Mombach</v>
      </c>
      <c r="D3" s="34" t="str">
        <f>IFERROR(__xludf.DUMMYFUNCTION("""COMPUTED_VALUE"""),"Metalurgica Candeia")</f>
        <v>Metalurgica Candeia</v>
      </c>
      <c r="E3" s="34" t="str">
        <f>IFERROR(__xludf.DUMMYFUNCTION("""COMPUTED_VALUE"""),"Brasil")</f>
        <v>Brasil</v>
      </c>
      <c r="F3" s="43" t="str">
        <f>IFERROR(__xludf.DUMMYFUNCTION("""COMPUTED_VALUE"""),"rafaelmombach@hotmail.com")</f>
        <v>rafaelmombach@hotmail.com</v>
      </c>
      <c r="G3" s="34"/>
      <c r="H3" s="39" t="str">
        <f>IFERROR(__xludf.DUMMYFUNCTION("""COMPUTED_VALUE"""),"Hierro")</f>
        <v>Hierro</v>
      </c>
      <c r="I3" s="38">
        <f>IFERROR(__xludf.DUMMYFUNCTION("""COMPUTED_VALUE"""),0.0)</f>
        <v>0</v>
      </c>
      <c r="J3" s="34" t="str">
        <f>IFERROR(__xludf.DUMMYFUNCTION("""COMPUTED_VALUE"""),"Averiguar Volumen")</f>
        <v>Averiguar Volumen</v>
      </c>
      <c r="K3" s="34" t="str">
        <f>IFERROR(__xludf.DUMMYFUNCTION("""COMPUTED_VALUE"""),"Nuevo")</f>
        <v>Nuevo</v>
      </c>
      <c r="L3" s="39">
        <f>IFERROR(__xludf.DUMMYFUNCTION("""COMPUTED_VALUE"""),45921.0)</f>
        <v>45921</v>
      </c>
      <c r="M3" s="34" t="str">
        <f>IFERROR(__xludf.DUMMYFUNCTION("""COMPUTED_VALUE"""),"Linkedin")</f>
        <v>Linkedin</v>
      </c>
      <c r="N3" s="34" t="str">
        <f>IFERROR(__xludf.DUMMYFUNCTION("""COMPUTED_VALUE"""),"Robinson Godoy")</f>
        <v>Robinson Godoy</v>
      </c>
      <c r="O3" s="34" t="str">
        <f>IFERROR(__xludf.DUMMYFUNCTION("""COMPUTED_VALUE"""),"Enviar Email")</f>
        <v>Enviar Email</v>
      </c>
    </row>
    <row r="4">
      <c r="A4" s="34" t="str">
        <f>IFERROR(__xludf.DUMMYFUNCTION("""COMPUTED_VALUE"""),"C-002")</f>
        <v>C-002</v>
      </c>
      <c r="B4" s="34" t="str">
        <f>IFERROR(__xludf.DUMMYFUNCTION("""COMPUTED_VALUE"""),"Comprador")</f>
        <v>Comprador</v>
      </c>
      <c r="C4" s="34" t="str">
        <f>IFERROR(__xludf.DUMMYFUNCTION("""COMPUTED_VALUE"""),"Fernando Massucheto")</f>
        <v>Fernando Massucheto</v>
      </c>
      <c r="D4" s="34" t="str">
        <f>IFERROR(__xludf.DUMMYFUNCTION("""COMPUTED_VALUE"""),"Metalogalva")</f>
        <v>Metalogalva</v>
      </c>
      <c r="E4" s="34" t="str">
        <f>IFERROR(__xludf.DUMMYFUNCTION("""COMPUTED_VALUE"""),"Brasil")</f>
        <v>Brasil</v>
      </c>
      <c r="F4" s="43" t="str">
        <f>IFERROR(__xludf.DUMMYFUNCTION("""COMPUTED_VALUE"""),"fer_massu@hotmail.com")</f>
        <v>fer_massu@hotmail.com</v>
      </c>
      <c r="G4" s="34" t="str">
        <f>IFERROR(__xludf.DUMMYFUNCTION("""COMPUTED_VALUE"""),"tel:(61) 99253-8448")</f>
        <v>tel:(61) 99253-8448</v>
      </c>
      <c r="H4" s="39" t="str">
        <f>IFERROR(__xludf.DUMMYFUNCTION("""COMPUTED_VALUE"""),"Hierro")</f>
        <v>Hierro</v>
      </c>
      <c r="I4" s="38">
        <f>IFERROR(__xludf.DUMMYFUNCTION("""COMPUTED_VALUE"""),0.0)</f>
        <v>0</v>
      </c>
      <c r="J4" s="34" t="str">
        <f>IFERROR(__xludf.DUMMYFUNCTION("""COMPUTED_VALUE"""),"Consultar volumenes")</f>
        <v>Consultar volumenes</v>
      </c>
      <c r="K4" s="34" t="str">
        <f>IFERROR(__xludf.DUMMYFUNCTION("""COMPUTED_VALUE"""),"Nuevo")</f>
        <v>Nuevo</v>
      </c>
      <c r="L4" s="39">
        <f>IFERROR(__xludf.DUMMYFUNCTION("""COMPUTED_VALUE"""),45922.0)</f>
        <v>45922</v>
      </c>
      <c r="M4" s="34" t="str">
        <f>IFERROR(__xludf.DUMMYFUNCTION("""COMPUTED_VALUE"""),"Linkedin")</f>
        <v>Linkedin</v>
      </c>
      <c r="N4" s="34" t="str">
        <f>IFERROR(__xludf.DUMMYFUNCTION("""COMPUTED_VALUE"""),"Robinson Godoy")</f>
        <v>Robinson Godoy</v>
      </c>
      <c r="O4" s="34" t="str">
        <f>IFERROR(__xludf.DUMMYFUNCTION("""COMPUTED_VALUE"""),"Enviar Email")</f>
        <v>Enviar Email</v>
      </c>
    </row>
    <row r="5">
      <c r="A5" s="34" t="str">
        <f>IFERROR(__xludf.DUMMYFUNCTION("""COMPUTED_VALUE"""),"C-003")</f>
        <v>C-003</v>
      </c>
      <c r="B5" s="34" t="str">
        <f>IFERROR(__xludf.DUMMYFUNCTION("""COMPUTED_VALUE"""),"Comprador")</f>
        <v>Comprador</v>
      </c>
      <c r="C5" s="34" t="str">
        <f>IFERROR(__xludf.DUMMYFUNCTION("""COMPUTED_VALUE"""),"Eduardo Moraes")</f>
        <v>Eduardo Moraes</v>
      </c>
      <c r="D5" s="34" t="str">
        <f>IFERROR(__xludf.DUMMYFUNCTION("""COMPUTED_VALUE"""),"Boston Metal ")</f>
        <v>Boston Metal </v>
      </c>
      <c r="E5" s="34" t="str">
        <f>IFERROR(__xludf.DUMMYFUNCTION("""COMPUTED_VALUE"""),"Brasil")</f>
        <v>Brasil</v>
      </c>
      <c r="F5" s="44" t="str">
        <f>IFERROR(__xludf.DUMMYFUNCTION("""COMPUTED_VALUE"""),"eduardo_s_m@yahoo.com.br")</f>
        <v>eduardo_s_m@yahoo.com.br</v>
      </c>
      <c r="G5" s="34" t="str">
        <f>IFERROR(__xludf.DUMMYFUNCTION("""COMPUTED_VALUE"""),"tel:(64) 99918-4261")</f>
        <v>tel:(64) 99918-4261</v>
      </c>
      <c r="H5" s="39" t="str">
        <f>IFERROR(__xludf.DUMMYFUNCTION("""COMPUTED_VALUE"""),"Hierro")</f>
        <v>Hierro</v>
      </c>
      <c r="I5" s="38"/>
      <c r="J5" s="34" t="str">
        <f>IFERROR(__xludf.DUMMYFUNCTION("""COMPUTED_VALUE"""),"Averigual por porveedor")</f>
        <v>Averigual por porveedor</v>
      </c>
      <c r="K5" s="34" t="str">
        <f>IFERROR(__xludf.DUMMYFUNCTION("""COMPUTED_VALUE"""),"Nuevo")</f>
        <v>Nuevo</v>
      </c>
      <c r="L5" s="39">
        <f>IFERROR(__xludf.DUMMYFUNCTION("""COMPUTED_VALUE"""),45921.0)</f>
        <v>45921</v>
      </c>
      <c r="M5" s="34" t="str">
        <f>IFERROR(__xludf.DUMMYFUNCTION("""COMPUTED_VALUE"""),"Linkedin")</f>
        <v>Linkedin</v>
      </c>
      <c r="N5" s="34" t="str">
        <f>IFERROR(__xludf.DUMMYFUNCTION("""COMPUTED_VALUE"""),"Robinson Godoy")</f>
        <v>Robinson Godoy</v>
      </c>
      <c r="O5" s="34" t="str">
        <f>IFERROR(__xludf.DUMMYFUNCTION("""COMPUTED_VALUE"""),"Enviar Email hacer un re envio de mensaje")</f>
        <v>Enviar Email hacer un re envio de mensaje</v>
      </c>
    </row>
    <row r="6">
      <c r="A6" s="34" t="str">
        <f>IFERROR(__xludf.DUMMYFUNCTION("""COMPUTED_VALUE"""),"C-004")</f>
        <v>C-004</v>
      </c>
      <c r="B6" s="34" t="str">
        <f>IFERROR(__xludf.DUMMYFUNCTION("""COMPUTED_VALUE"""),"Comprador")</f>
        <v>Comprador</v>
      </c>
      <c r="C6" s="34" t="str">
        <f>IFERROR(__xludf.DUMMYFUNCTION("""COMPUTED_VALUE"""),"Naresh Kirplani")</f>
        <v>Naresh Kirplani</v>
      </c>
      <c r="D6" s="34" t="str">
        <f>IFERROR(__xludf.DUMMYFUNCTION("""COMPUTED_VALUE"""),"us mining &amp; Recycling managment")</f>
        <v>us mining &amp; Recycling managment</v>
      </c>
      <c r="E6" s="34" t="str">
        <f>IFERROR(__xludf.DUMMYFUNCTION("""COMPUTED_VALUE"""),"Estados Unidos")</f>
        <v>Estados Unidos</v>
      </c>
      <c r="F6" s="44" t="str">
        <f>IFERROR(__xludf.DUMMYFUNCTION("""COMPUTED_VALUE"""),"nash@usmrm.com")</f>
        <v>nash@usmrm.com</v>
      </c>
      <c r="G6" s="34" t="str">
        <f>IFERROR(__xludf.DUMMYFUNCTION("""COMPUTED_VALUE"""),"tel+12035544892")</f>
        <v>tel+12035544892</v>
      </c>
      <c r="H6" s="39" t="str">
        <f>IFERROR(__xludf.DUMMYFUNCTION("""COMPUTED_VALUE"""),"Hierro")</f>
        <v>Hierro</v>
      </c>
      <c r="I6" s="38">
        <f>IFERROR(__xludf.DUMMYFUNCTION("""COMPUTED_VALUE"""),77.0)</f>
        <v>77</v>
      </c>
      <c r="J6" s="34" t="str">
        <f>IFERROR(__xludf.DUMMYFUNCTION("""COMPUTED_VALUE"""),"Hierro y otros minerales")</f>
        <v>Hierro y otros minerales</v>
      </c>
      <c r="K6" s="34" t="str">
        <f>IFERROR(__xludf.DUMMYFUNCTION("""COMPUTED_VALUE"""),"Nuevo")</f>
        <v>Nuevo</v>
      </c>
      <c r="L6" s="39">
        <f>IFERROR(__xludf.DUMMYFUNCTION("""COMPUTED_VALUE"""),46063.0)</f>
        <v>46063</v>
      </c>
      <c r="M6" s="34" t="str">
        <f>IFERROR(__xludf.DUMMYFUNCTION("""COMPUTED_VALUE"""),"Linkedin")</f>
        <v>Linkedin</v>
      </c>
      <c r="N6" s="34" t="str">
        <f>IFERROR(__xludf.DUMMYFUNCTION("""COMPUTED_VALUE"""),"Robinson Godoy")</f>
        <v>Robinson Godoy</v>
      </c>
      <c r="O6" s="34" t="str">
        <f>IFERROR(__xludf.DUMMYFUNCTION("""COMPUTED_VALUE"""),"Contacto hecho por Linkedin y whatsapp")</f>
        <v>Contacto hecho por Linkedin y whatsapp</v>
      </c>
    </row>
    <row r="7">
      <c r="A7" s="34" t="str">
        <f>IFERROR(__xludf.DUMMYFUNCTION("""COMPUTED_VALUE"""),"C-005")</f>
        <v>C-005</v>
      </c>
      <c r="B7" s="34" t="str">
        <f>IFERROR(__xludf.DUMMYFUNCTION("""COMPUTED_VALUE"""),"Comprador")</f>
        <v>Comprador</v>
      </c>
      <c r="C7" s="34" t="str">
        <f>IFERROR(__xludf.DUMMYFUNCTION("""COMPUTED_VALUE"""),"Rakib Khan")</f>
        <v>Rakib Khan</v>
      </c>
      <c r="D7" s="34" t="str">
        <f>IFERROR(__xludf.DUMMYFUNCTION("""COMPUTED_VALUE"""),"Shandong Zhitai International Trade")</f>
        <v>Shandong Zhitai International Trade</v>
      </c>
      <c r="E7" s="34" t="str">
        <f>IFERROR(__xludf.DUMMYFUNCTION("""COMPUTED_VALUE"""),"China")</f>
        <v>China</v>
      </c>
      <c r="F7" s="44" t="str">
        <f>IFERROR(__xludf.DUMMYFUNCTION("""COMPUTED_VALUE"""),"mrkrakibkhan909@gmail.com")</f>
        <v>mrkrakibkhan909@gmail.com</v>
      </c>
      <c r="G7" s="34" t="str">
        <f>IFERROR(__xludf.DUMMYFUNCTION("""COMPUTED_VALUE"""),"tel+8618117723815")</f>
        <v>tel+8618117723815</v>
      </c>
      <c r="H7" s="39" t="str">
        <f>IFERROR(__xludf.DUMMYFUNCTION("""COMPUTED_VALUE"""),"Hierro")</f>
        <v>Hierro</v>
      </c>
      <c r="I7" s="38">
        <f>IFERROR(__xludf.DUMMYFUNCTION("""COMPUTED_VALUE"""),98.0)</f>
        <v>98</v>
      </c>
      <c r="J7" s="34" t="str">
        <f>IFERROR(__xludf.DUMMYFUNCTION("""COMPUTED_VALUE"""),"Hierro")</f>
        <v>Hierro</v>
      </c>
      <c r="K7" s="34" t="str">
        <f>IFERROR(__xludf.DUMMYFUNCTION("""COMPUTED_VALUE"""),"Nuevo")</f>
        <v>Nuevo</v>
      </c>
      <c r="L7" s="39">
        <f>IFERROR(__xludf.DUMMYFUNCTION("""COMPUTED_VALUE"""),46065.0)</f>
        <v>46065</v>
      </c>
      <c r="M7" s="34" t="str">
        <f>IFERROR(__xludf.DUMMYFUNCTION("""COMPUTED_VALUE"""),"Facebooks")</f>
        <v>Facebooks</v>
      </c>
      <c r="N7" s="34" t="str">
        <f>IFERROR(__xludf.DUMMYFUNCTION("""COMPUTED_VALUE"""),"Robinson Godoy")</f>
        <v>Robinson Godoy</v>
      </c>
      <c r="O7" s="34" t="str">
        <f>IFERROR(__xludf.DUMMYFUNCTION("""COMPUTED_VALUE"""),"Contacto por whatsapp")</f>
        <v>Contacto por whatsapp</v>
      </c>
    </row>
    <row r="8">
      <c r="A8" s="34" t="str">
        <f>IFERROR(__xludf.DUMMYFUNCTION("""COMPUTED_VALUE"""),"C-006")</f>
        <v>C-006</v>
      </c>
      <c r="B8" s="34" t="str">
        <f>IFERROR(__xludf.DUMMYFUNCTION("""COMPUTED_VALUE"""),"Comprador")</f>
        <v>Comprador</v>
      </c>
      <c r="C8" s="34" t="str">
        <f>IFERROR(__xludf.DUMMYFUNCTION("""COMPUTED_VALUE"""),"Mr Yu")</f>
        <v>Mr Yu</v>
      </c>
      <c r="D8" s="34" t="str">
        <f>IFERROR(__xludf.DUMMYFUNCTION("""COMPUTED_VALUE"""),"Xukun International trade")</f>
        <v>Xukun International trade</v>
      </c>
      <c r="E8" s="34" t="str">
        <f>IFERROR(__xludf.DUMMYFUNCTION("""COMPUTED_VALUE"""),"China")</f>
        <v>China</v>
      </c>
      <c r="F8" s="44" t="str">
        <f>IFERROR(__xludf.DUMMYFUNCTION("""COMPUTED_VALUE"""),"gpingyu@163.com")</f>
        <v>gpingyu@163.com</v>
      </c>
      <c r="G8" s="34" t="str">
        <f>IFERROR(__xludf.DUMMYFUNCTION("""COMPUTED_VALUE"""),"tel+8618963675376")</f>
        <v>tel+8618963675376</v>
      </c>
      <c r="H8" s="39" t="str">
        <f>IFERROR(__xludf.DUMMYFUNCTION("""COMPUTED_VALUE"""),"Hierro")</f>
        <v>Hierro</v>
      </c>
      <c r="I8" s="38" t="str">
        <f>IFERROR(__xludf.DUMMYFUNCTION("""COMPUTED_VALUE"""),"Platts -15%")</f>
        <v>Platts -15%</v>
      </c>
      <c r="J8" s="34" t="str">
        <f>IFERROR(__xludf.DUMMYFUNCTION("""COMPUTED_VALUE"""),"Hierro")</f>
        <v>Hierro</v>
      </c>
      <c r="K8" s="34" t="str">
        <f>IFERROR(__xludf.DUMMYFUNCTION("""COMPUTED_VALUE"""),"Nuevo")</f>
        <v>Nuevo</v>
      </c>
      <c r="L8" s="39">
        <f>IFERROR(__xludf.DUMMYFUNCTION("""COMPUTED_VALUE"""),46054.0)</f>
        <v>46054</v>
      </c>
      <c r="M8" s="34" t="str">
        <f>IFERROR(__xludf.DUMMYFUNCTION("""COMPUTED_VALUE"""),"Facebooks")</f>
        <v>Facebooks</v>
      </c>
      <c r="N8" s="34" t="str">
        <f>IFERROR(__xludf.DUMMYFUNCTION("""COMPUTED_VALUE"""),"Robinson Godoy")</f>
        <v>Robinson Godoy</v>
      </c>
      <c r="O8" s="34" t="str">
        <f>IFERROR(__xludf.DUMMYFUNCTION("""COMPUTED_VALUE"""),"Contacto por whatsapp")</f>
        <v>Contacto por whatsapp</v>
      </c>
    </row>
    <row r="9">
      <c r="A9" s="34" t="str">
        <f>IFERROR(__xludf.DUMMYFUNCTION("""COMPUTED_VALUE"""),"C-007")</f>
        <v>C-007</v>
      </c>
      <c r="B9" s="34" t="str">
        <f>IFERROR(__xludf.DUMMYFUNCTION("""COMPUTED_VALUE"""),"Comprador")</f>
        <v>Comprador</v>
      </c>
      <c r="C9" s="34" t="str">
        <f>IFERROR(__xludf.DUMMYFUNCTION("""COMPUTED_VALUE"""),"WU ZU PENG")</f>
        <v>WU ZU PENG</v>
      </c>
      <c r="D9" s="34" t="str">
        <f>IFERROR(__xludf.DUMMYFUNCTION("""COMPUTED_VALUE"""),"WENZHOU RUIYI INVESTMENT")</f>
        <v>WENZHOU RUIYI INVESTMENT</v>
      </c>
      <c r="E9" s="34" t="str">
        <f>IFERROR(__xludf.DUMMYFUNCTION("""COMPUTED_VALUE"""),"China")</f>
        <v>China</v>
      </c>
      <c r="F9" s="44" t="str">
        <f>IFERROR(__xludf.DUMMYFUNCTION("""COMPUTED_VALUE"""),"lywen@wzruyi.com")</f>
        <v>lywen@wzruyi.com</v>
      </c>
      <c r="G9" s="34" t="str">
        <f>IFERROR(__xludf.DUMMYFUNCTION("""COMPUTED_VALUE"""),"tel+8618354388101")</f>
        <v>tel+8618354388101</v>
      </c>
      <c r="H9" s="39" t="str">
        <f>IFERROR(__xludf.DUMMYFUNCTION("""COMPUTED_VALUE"""),"Hierro")</f>
        <v>Hierro</v>
      </c>
      <c r="I9" s="38" t="str">
        <f>IFERROR(__xludf.DUMMYFUNCTION("""COMPUTED_VALUE"""),"Platts -15%")</f>
        <v>Platts -15%</v>
      </c>
      <c r="J9" s="34" t="str">
        <f>IFERROR(__xludf.DUMMYFUNCTION("""COMPUTED_VALUE"""),"Hierro grueso min 10mm a 40mm")</f>
        <v>Hierro grueso min 10mm a 40mm</v>
      </c>
      <c r="K9" s="34" t="str">
        <f>IFERROR(__xludf.DUMMYFUNCTION("""COMPUTED_VALUE"""),"Nuevo")</f>
        <v>Nuevo</v>
      </c>
      <c r="L9" s="39">
        <f>IFERROR(__xludf.DUMMYFUNCTION("""COMPUTED_VALUE"""),46049.0)</f>
        <v>46049</v>
      </c>
      <c r="M9" s="34" t="str">
        <f>IFERROR(__xludf.DUMMYFUNCTION("""COMPUTED_VALUE"""),"Facebooks")</f>
        <v>Facebooks</v>
      </c>
      <c r="N9" s="34" t="str">
        <f>IFERROR(__xludf.DUMMYFUNCTION("""COMPUTED_VALUE"""),"Robinson Godoy")</f>
        <v>Robinson Godoy</v>
      </c>
      <c r="O9" s="34" t="str">
        <f>IFERROR(__xludf.DUMMYFUNCTION("""COMPUTED_VALUE"""),"Contacto por whatsapp a traves de un colombiano intermediario no directo ")</f>
        <v>Contacto por whatsapp a traves de un colombiano intermediario no directo </v>
      </c>
    </row>
    <row r="10">
      <c r="H10" s="39"/>
    </row>
    <row r="11">
      <c r="H11" s="39"/>
    </row>
    <row r="12">
      <c r="H12" s="39"/>
    </row>
    <row r="13">
      <c r="H13" s="39"/>
    </row>
    <row r="14">
      <c r="H14" s="39"/>
    </row>
    <row r="15">
      <c r="H15" s="39"/>
    </row>
    <row r="16">
      <c r="H16" s="39"/>
    </row>
    <row r="17">
      <c r="H17" s="39"/>
    </row>
    <row r="18">
      <c r="H18" s="39"/>
    </row>
    <row r="19">
      <c r="H19" s="39"/>
    </row>
    <row r="20" ht="15.75" customHeight="1">
      <c r="H20" s="39"/>
    </row>
    <row r="21" ht="15.75" customHeight="1">
      <c r="H21" s="39"/>
    </row>
    <row r="22" ht="15.75" customHeight="1">
      <c r="H22" s="39"/>
    </row>
    <row r="23" ht="15.75" customHeight="1">
      <c r="H23" s="39"/>
    </row>
    <row r="24" ht="15.75" customHeight="1">
      <c r="H24" s="39"/>
    </row>
    <row r="25" ht="15.75" customHeight="1">
      <c r="H25" s="39"/>
    </row>
    <row r="26" ht="15.75" customHeight="1">
      <c r="H26" s="39"/>
    </row>
    <row r="27" ht="15.75" customHeight="1">
      <c r="H27" s="39"/>
    </row>
    <row r="28" ht="15.75" customHeight="1">
      <c r="H28" s="39"/>
    </row>
    <row r="29" ht="15.75" customHeight="1">
      <c r="H29" s="39"/>
    </row>
    <row r="30" ht="15.75" customHeight="1">
      <c r="H30" s="39"/>
    </row>
    <row r="31" ht="15.75" customHeight="1">
      <c r="H31" s="39"/>
    </row>
    <row r="32" ht="15.75" customHeight="1">
      <c r="H32" s="39"/>
    </row>
    <row r="33" ht="15.75" customHeight="1">
      <c r="H33" s="39"/>
    </row>
    <row r="34" ht="15.75" customHeight="1">
      <c r="H34" s="39"/>
    </row>
    <row r="35" ht="15.75" customHeight="1">
      <c r="H35" s="39"/>
    </row>
    <row r="36" ht="15.75" customHeight="1">
      <c r="H36" s="39"/>
    </row>
    <row r="37" ht="15.75" customHeight="1">
      <c r="H37" s="39"/>
    </row>
    <row r="38" ht="15.75" customHeight="1">
      <c r="H38" s="39"/>
    </row>
    <row r="39" ht="15.75" customHeight="1">
      <c r="H39" s="39"/>
    </row>
    <row r="40" ht="15.75" customHeight="1">
      <c r="H40" s="39"/>
    </row>
    <row r="41" ht="15.75" customHeight="1">
      <c r="H41" s="39"/>
    </row>
    <row r="42" ht="15.75" customHeight="1">
      <c r="H42" s="39"/>
    </row>
    <row r="43" ht="15.75" customHeight="1">
      <c r="H43" s="39"/>
    </row>
    <row r="44" ht="15.75" customHeight="1">
      <c r="H44" s="39"/>
    </row>
    <row r="45" ht="15.75" customHeight="1">
      <c r="H45" s="39"/>
    </row>
    <row r="46" ht="15.75" customHeight="1">
      <c r="H46" s="39"/>
    </row>
    <row r="47" ht="15.75" customHeight="1">
      <c r="H47" s="39"/>
    </row>
    <row r="48" ht="15.75" customHeight="1">
      <c r="H48" s="39"/>
    </row>
    <row r="49" ht="15.75" customHeight="1">
      <c r="H49" s="39"/>
    </row>
    <row r="50" ht="15.75" customHeight="1">
      <c r="H50" s="39"/>
    </row>
    <row r="51" ht="15.75" customHeight="1">
      <c r="H51" s="39"/>
    </row>
    <row r="52" ht="15.75" customHeight="1">
      <c r="H52" s="39"/>
    </row>
    <row r="53" ht="15.75" customHeight="1">
      <c r="H53" s="39"/>
    </row>
    <row r="54" ht="15.75" customHeight="1">
      <c r="H54" s="39"/>
    </row>
    <row r="55" ht="15.75" customHeight="1">
      <c r="H55" s="39"/>
    </row>
    <row r="56" ht="15.75" customHeight="1">
      <c r="H56" s="39"/>
    </row>
    <row r="57" ht="15.75" customHeight="1">
      <c r="H57" s="39"/>
    </row>
    <row r="58" ht="15.75" customHeight="1">
      <c r="H58" s="39"/>
    </row>
    <row r="59" ht="15.75" customHeight="1">
      <c r="H59" s="39"/>
    </row>
    <row r="60" ht="15.75" customHeight="1">
      <c r="H60" s="39"/>
    </row>
    <row r="61" ht="15.75" customHeight="1">
      <c r="H61" s="39"/>
    </row>
    <row r="62" ht="15.75" customHeight="1">
      <c r="H62" s="39"/>
    </row>
    <row r="63" ht="15.75" customHeight="1">
      <c r="H63" s="39"/>
    </row>
    <row r="64" ht="15.75" customHeight="1">
      <c r="H64" s="39"/>
    </row>
    <row r="65" ht="15.75" customHeight="1">
      <c r="H65" s="39"/>
    </row>
    <row r="66" ht="15.75" customHeight="1">
      <c r="H66" s="39"/>
    </row>
    <row r="67" ht="15.75" customHeight="1">
      <c r="H67" s="39"/>
    </row>
    <row r="68" ht="15.75" customHeight="1">
      <c r="H68" s="39"/>
    </row>
    <row r="69" ht="15.75" customHeight="1">
      <c r="H69" s="39"/>
    </row>
    <row r="70" ht="15.75" customHeight="1">
      <c r="H70" s="39"/>
    </row>
    <row r="71" ht="15.75" customHeight="1">
      <c r="H71" s="39"/>
    </row>
    <row r="72" ht="15.75" customHeight="1">
      <c r="H72" s="39"/>
    </row>
    <row r="73" ht="15.75" customHeight="1">
      <c r="H73" s="39"/>
    </row>
    <row r="74" ht="15.75" customHeight="1">
      <c r="H74" s="39"/>
    </row>
    <row r="75" ht="15.75" customHeight="1">
      <c r="H75" s="39"/>
    </row>
    <row r="76" ht="15.75" customHeight="1">
      <c r="H76" s="39"/>
    </row>
    <row r="77" ht="15.75" customHeight="1">
      <c r="H77" s="39"/>
    </row>
    <row r="78" ht="15.75" customHeight="1">
      <c r="H78" s="39"/>
    </row>
    <row r="79" ht="15.75" customHeight="1">
      <c r="H79" s="39"/>
    </row>
    <row r="80" ht="15.75" customHeight="1">
      <c r="H80" s="39"/>
    </row>
    <row r="81" ht="15.75" customHeight="1">
      <c r="H81" s="39"/>
    </row>
    <row r="82" ht="15.75" customHeight="1">
      <c r="H82" s="39"/>
    </row>
    <row r="83" ht="15.75" customHeight="1">
      <c r="H83" s="39"/>
    </row>
    <row r="84" ht="15.75" customHeight="1">
      <c r="H84" s="39"/>
    </row>
    <row r="85" ht="15.75" customHeight="1">
      <c r="H85" s="39"/>
    </row>
    <row r="86" ht="15.75" customHeight="1">
      <c r="H86" s="39"/>
    </row>
    <row r="87" ht="15.75" customHeight="1">
      <c r="H87" s="39"/>
    </row>
    <row r="88" ht="15.75" customHeight="1">
      <c r="H88" s="39"/>
    </row>
    <row r="89" ht="15.75" customHeight="1">
      <c r="H89" s="39"/>
    </row>
    <row r="90" ht="15.75" customHeight="1">
      <c r="H90" s="39"/>
    </row>
    <row r="91" ht="15.75" customHeight="1">
      <c r="H91" s="39"/>
    </row>
    <row r="92" ht="15.75" customHeight="1">
      <c r="H92" s="39"/>
    </row>
    <row r="93" ht="15.75" customHeight="1">
      <c r="H93" s="39"/>
    </row>
    <row r="94" ht="15.75" customHeight="1">
      <c r="H94" s="39"/>
    </row>
    <row r="95" ht="15.75" customHeight="1">
      <c r="H95" s="39"/>
    </row>
    <row r="96" ht="15.75" customHeight="1">
      <c r="H96" s="39"/>
    </row>
    <row r="97" ht="15.75" customHeight="1">
      <c r="H97" s="39"/>
    </row>
    <row r="98" ht="15.75" customHeight="1">
      <c r="H98" s="39"/>
    </row>
    <row r="99" ht="15.75" customHeight="1">
      <c r="H99" s="39"/>
    </row>
    <row r="100" ht="15.75" customHeight="1">
      <c r="H100" s="39"/>
    </row>
    <row r="101" ht="15.75" customHeight="1">
      <c r="H101" s="39"/>
    </row>
    <row r="102" ht="15.75" customHeight="1">
      <c r="H102" s="39"/>
    </row>
    <row r="103" ht="15.75" customHeight="1">
      <c r="H103" s="39"/>
    </row>
    <row r="104" ht="15.75" customHeight="1">
      <c r="H104" s="39"/>
    </row>
    <row r="105" ht="15.75" customHeight="1">
      <c r="H105" s="39"/>
    </row>
    <row r="106" ht="15.75" customHeight="1">
      <c r="H106" s="39"/>
    </row>
    <row r="107" ht="15.75" customHeight="1">
      <c r="H107" s="39"/>
    </row>
    <row r="108" ht="15.75" customHeight="1">
      <c r="H108" s="39"/>
    </row>
    <row r="109" ht="15.75" customHeight="1">
      <c r="H109" s="39"/>
    </row>
    <row r="110" ht="15.75" customHeight="1">
      <c r="H110" s="39"/>
    </row>
    <row r="111" ht="15.75" customHeight="1">
      <c r="H111" s="39"/>
    </row>
    <row r="112" ht="15.75" customHeight="1">
      <c r="H112" s="39"/>
    </row>
    <row r="113" ht="15.75" customHeight="1">
      <c r="H113" s="39"/>
    </row>
    <row r="114" ht="15.75" customHeight="1">
      <c r="H114" s="39"/>
    </row>
    <row r="115" ht="15.75" customHeight="1">
      <c r="H115" s="39"/>
    </row>
    <row r="116" ht="15.75" customHeight="1">
      <c r="H116" s="39"/>
    </row>
    <row r="117" ht="15.75" customHeight="1">
      <c r="H117" s="39"/>
    </row>
    <row r="118" ht="15.75" customHeight="1">
      <c r="H118" s="39"/>
    </row>
    <row r="119" ht="15.75" customHeight="1">
      <c r="H119" s="39"/>
    </row>
    <row r="120" ht="15.75" customHeight="1">
      <c r="H120" s="39"/>
    </row>
    <row r="121" ht="15.75" customHeight="1">
      <c r="H121" s="39"/>
    </row>
    <row r="122" ht="15.75" customHeight="1">
      <c r="H122" s="39"/>
    </row>
    <row r="123" ht="15.75" customHeight="1">
      <c r="H123" s="39"/>
    </row>
    <row r="124" ht="15.75" customHeight="1">
      <c r="H124" s="39"/>
    </row>
    <row r="125" ht="15.75" customHeight="1">
      <c r="H125" s="39"/>
    </row>
    <row r="126" ht="15.75" customHeight="1">
      <c r="H126" s="39"/>
    </row>
    <row r="127" ht="15.75" customHeight="1">
      <c r="H127" s="39"/>
    </row>
    <row r="128" ht="15.75" customHeight="1">
      <c r="H128" s="39"/>
    </row>
    <row r="129" ht="15.75" customHeight="1">
      <c r="H129" s="39"/>
    </row>
    <row r="130" ht="15.75" customHeight="1">
      <c r="H130" s="39"/>
    </row>
    <row r="131" ht="15.75" customHeight="1">
      <c r="H131" s="39"/>
    </row>
    <row r="132" ht="15.75" customHeight="1">
      <c r="H132" s="39"/>
    </row>
    <row r="133" ht="15.75" customHeight="1">
      <c r="H133" s="39"/>
    </row>
    <row r="134" ht="15.75" customHeight="1">
      <c r="H134" s="39"/>
    </row>
    <row r="135" ht="15.75" customHeight="1">
      <c r="H135" s="39"/>
    </row>
    <row r="136" ht="15.75" customHeight="1">
      <c r="H136" s="39"/>
    </row>
    <row r="137" ht="15.75" customHeight="1">
      <c r="H137" s="39"/>
    </row>
    <row r="138" ht="15.75" customHeight="1">
      <c r="H138" s="39"/>
    </row>
    <row r="139" ht="15.75" customHeight="1">
      <c r="H139" s="39"/>
    </row>
    <row r="140" ht="15.75" customHeight="1">
      <c r="H140" s="39"/>
    </row>
    <row r="141" ht="15.75" customHeight="1">
      <c r="H141" s="39"/>
    </row>
    <row r="142" ht="15.75" customHeight="1">
      <c r="H142" s="39"/>
    </row>
    <row r="143" ht="15.75" customHeight="1">
      <c r="H143" s="39"/>
    </row>
    <row r="144" ht="15.75" customHeight="1">
      <c r="H144" s="39"/>
    </row>
    <row r="145" ht="15.75" customHeight="1">
      <c r="H145" s="39"/>
    </row>
    <row r="146" ht="15.75" customHeight="1">
      <c r="H146" s="39"/>
    </row>
    <row r="147" ht="15.75" customHeight="1">
      <c r="H147" s="39"/>
    </row>
    <row r="148" ht="15.75" customHeight="1">
      <c r="H148" s="39"/>
    </row>
    <row r="149" ht="15.75" customHeight="1">
      <c r="H149" s="39"/>
    </row>
    <row r="150" ht="15.75" customHeight="1">
      <c r="H150" s="39"/>
    </row>
    <row r="151" ht="15.75" customHeight="1">
      <c r="H151" s="39"/>
    </row>
    <row r="152" ht="15.75" customHeight="1">
      <c r="H152" s="39"/>
    </row>
    <row r="153" ht="15.75" customHeight="1">
      <c r="H153" s="39"/>
    </row>
    <row r="154" ht="15.75" customHeight="1">
      <c r="H154" s="39"/>
    </row>
    <row r="155" ht="15.75" customHeight="1">
      <c r="H155" s="39"/>
    </row>
    <row r="156" ht="15.75" customHeight="1">
      <c r="H156" s="39"/>
    </row>
    <row r="157" ht="15.75" customHeight="1">
      <c r="H157" s="39"/>
    </row>
    <row r="158" ht="15.75" customHeight="1">
      <c r="H158" s="39"/>
    </row>
    <row r="159" ht="15.75" customHeight="1">
      <c r="H159" s="39"/>
    </row>
    <row r="160" ht="15.75" customHeight="1">
      <c r="H160" s="39"/>
    </row>
    <row r="161" ht="15.75" customHeight="1">
      <c r="H161" s="39"/>
    </row>
    <row r="162" ht="15.75" customHeight="1">
      <c r="H162" s="39"/>
    </row>
    <row r="163" ht="15.75" customHeight="1">
      <c r="H163" s="39"/>
    </row>
    <row r="164" ht="15.75" customHeight="1">
      <c r="H164" s="39"/>
    </row>
    <row r="165" ht="15.75" customHeight="1">
      <c r="H165" s="39"/>
    </row>
    <row r="166" ht="15.75" customHeight="1">
      <c r="H166" s="39"/>
    </row>
    <row r="167" ht="15.75" customHeight="1">
      <c r="H167" s="39"/>
    </row>
    <row r="168" ht="15.75" customHeight="1">
      <c r="H168" s="39"/>
    </row>
    <row r="169" ht="15.75" customHeight="1">
      <c r="H169" s="39"/>
    </row>
    <row r="170" ht="15.75" customHeight="1">
      <c r="H170" s="39"/>
    </row>
    <row r="171" ht="15.75" customHeight="1">
      <c r="H171" s="39"/>
    </row>
    <row r="172" ht="15.75" customHeight="1">
      <c r="H172" s="39"/>
    </row>
    <row r="173" ht="15.75" customHeight="1">
      <c r="H173" s="39"/>
    </row>
    <row r="174" ht="15.75" customHeight="1">
      <c r="H174" s="39"/>
    </row>
    <row r="175" ht="15.75" customHeight="1">
      <c r="H175" s="39"/>
    </row>
    <row r="176" ht="15.75" customHeight="1">
      <c r="H176" s="39"/>
    </row>
    <row r="177" ht="15.75" customHeight="1">
      <c r="H177" s="39"/>
    </row>
    <row r="178" ht="15.75" customHeight="1">
      <c r="H178" s="39"/>
    </row>
    <row r="179" ht="15.75" customHeight="1">
      <c r="H179" s="39"/>
    </row>
    <row r="180" ht="15.75" customHeight="1">
      <c r="H180" s="39"/>
    </row>
    <row r="181" ht="15.75" customHeight="1">
      <c r="H181" s="39"/>
    </row>
    <row r="182" ht="15.75" customHeight="1">
      <c r="H182" s="39"/>
    </row>
    <row r="183" ht="15.75" customHeight="1">
      <c r="H183" s="39"/>
    </row>
    <row r="184" ht="15.75" customHeight="1">
      <c r="H184" s="39"/>
    </row>
    <row r="185" ht="15.75" customHeight="1">
      <c r="H185" s="39"/>
    </row>
    <row r="186" ht="15.75" customHeight="1">
      <c r="H186" s="39"/>
    </row>
    <row r="187" ht="15.75" customHeight="1">
      <c r="H187" s="39"/>
    </row>
    <row r="188" ht="15.75" customHeight="1">
      <c r="H188" s="39"/>
    </row>
    <row r="189" ht="15.75" customHeight="1">
      <c r="H189" s="39"/>
    </row>
    <row r="190" ht="15.75" customHeight="1">
      <c r="H190" s="39"/>
    </row>
    <row r="191" ht="15.75" customHeight="1">
      <c r="H191" s="39"/>
    </row>
    <row r="192" ht="15.75" customHeight="1">
      <c r="H192" s="39"/>
    </row>
    <row r="193" ht="15.75" customHeight="1">
      <c r="H193" s="39"/>
    </row>
    <row r="194" ht="15.75" customHeight="1">
      <c r="H194" s="39"/>
    </row>
    <row r="195" ht="15.75" customHeight="1">
      <c r="H195" s="39"/>
    </row>
    <row r="196" ht="15.75" customHeight="1">
      <c r="H196" s="39"/>
    </row>
    <row r="197" ht="15.75" customHeight="1">
      <c r="H197" s="39"/>
    </row>
    <row r="198" ht="15.75" customHeight="1">
      <c r="H198" s="39"/>
    </row>
    <row r="199" ht="15.75" customHeight="1">
      <c r="H199" s="39"/>
    </row>
    <row r="200" ht="15.75" customHeight="1">
      <c r="H200" s="39"/>
    </row>
    <row r="201" ht="15.75" customHeight="1">
      <c r="H201" s="39"/>
    </row>
    <row r="202" ht="15.75" customHeight="1">
      <c r="H202" s="39"/>
    </row>
    <row r="203" ht="15.75" customHeight="1">
      <c r="H203" s="39"/>
    </row>
    <row r="204" ht="15.75" customHeight="1">
      <c r="H204" s="39"/>
    </row>
    <row r="205" ht="15.75" customHeight="1">
      <c r="H205" s="39"/>
    </row>
    <row r="206" ht="15.75" customHeight="1">
      <c r="H206" s="39"/>
    </row>
    <row r="207" ht="15.75" customHeight="1">
      <c r="H207" s="39"/>
    </row>
    <row r="208" ht="15.75" customHeight="1">
      <c r="H208" s="39"/>
    </row>
    <row r="209" ht="15.75" customHeight="1">
      <c r="H209" s="39"/>
    </row>
    <row r="210" ht="15.75" customHeight="1">
      <c r="H210" s="39"/>
    </row>
    <row r="211" ht="15.75" customHeight="1">
      <c r="H211" s="39"/>
    </row>
    <row r="212" ht="15.75" customHeight="1">
      <c r="H212" s="39"/>
    </row>
    <row r="213" ht="15.75" customHeight="1">
      <c r="H213" s="39"/>
    </row>
    <row r="214" ht="15.75" customHeight="1">
      <c r="H214" s="39"/>
    </row>
    <row r="215" ht="15.75" customHeight="1">
      <c r="H215" s="39"/>
    </row>
    <row r="216" ht="15.75" customHeight="1">
      <c r="H216" s="39"/>
    </row>
    <row r="217" ht="15.75" customHeight="1">
      <c r="H217" s="39"/>
    </row>
    <row r="218" ht="15.75" customHeight="1">
      <c r="H218" s="39"/>
    </row>
    <row r="219" ht="15.75" customHeight="1">
      <c r="H219" s="39"/>
    </row>
    <row r="220" ht="15.75" customHeight="1">
      <c r="H220" s="39"/>
    </row>
    <row r="221" ht="15.75" customHeight="1">
      <c r="H221" s="39"/>
    </row>
    <row r="222" ht="15.75" customHeight="1">
      <c r="H222" s="39"/>
    </row>
    <row r="223" ht="15.75" customHeight="1">
      <c r="H223" s="39"/>
    </row>
    <row r="224" ht="15.75" customHeight="1">
      <c r="H224" s="39"/>
    </row>
    <row r="225" ht="15.75" customHeight="1">
      <c r="H225" s="39"/>
    </row>
    <row r="226" ht="15.75" customHeight="1">
      <c r="H226" s="39"/>
    </row>
    <row r="227" ht="15.75" customHeight="1">
      <c r="H227" s="39"/>
    </row>
    <row r="228" ht="15.75" customHeight="1">
      <c r="H228" s="39"/>
    </row>
    <row r="229" ht="15.75" customHeight="1">
      <c r="H229" s="39"/>
    </row>
    <row r="230" ht="15.75" customHeight="1">
      <c r="H230" s="39"/>
    </row>
    <row r="231" ht="15.75" customHeight="1">
      <c r="H231" s="39"/>
    </row>
    <row r="232" ht="15.75" customHeight="1">
      <c r="H232" s="39"/>
    </row>
    <row r="233" ht="15.75" customHeight="1">
      <c r="H233" s="39"/>
    </row>
    <row r="234" ht="15.75" customHeight="1">
      <c r="H234" s="39"/>
    </row>
    <row r="235" ht="15.75" customHeight="1">
      <c r="H235" s="39"/>
    </row>
    <row r="236" ht="15.75" customHeight="1">
      <c r="H236" s="39"/>
    </row>
    <row r="237" ht="15.75" customHeight="1">
      <c r="H237" s="39"/>
    </row>
    <row r="238" ht="15.75" customHeight="1">
      <c r="H238" s="39"/>
    </row>
    <row r="239" ht="15.75" customHeight="1">
      <c r="H239" s="39"/>
    </row>
    <row r="240" ht="15.75" customHeight="1">
      <c r="H240" s="39"/>
    </row>
    <row r="241" ht="15.75" customHeight="1">
      <c r="H241" s="39"/>
    </row>
    <row r="242" ht="15.75" customHeight="1">
      <c r="H242" s="39"/>
    </row>
    <row r="243" ht="15.75" customHeight="1">
      <c r="H243" s="39"/>
    </row>
    <row r="244" ht="15.75" customHeight="1">
      <c r="H244" s="39"/>
    </row>
    <row r="245" ht="15.75" customHeight="1">
      <c r="H245" s="39"/>
    </row>
    <row r="246" ht="15.75" customHeight="1">
      <c r="H246" s="39"/>
    </row>
    <row r="247" ht="15.75" customHeight="1">
      <c r="H247" s="39"/>
    </row>
    <row r="248" ht="15.75" customHeight="1">
      <c r="H248" s="39"/>
    </row>
    <row r="249" ht="15.75" customHeight="1">
      <c r="H249" s="39"/>
    </row>
    <row r="250" ht="15.75" customHeight="1">
      <c r="H250" s="39"/>
    </row>
    <row r="251" ht="15.75" customHeight="1">
      <c r="H251" s="39"/>
    </row>
    <row r="252" ht="15.75" customHeight="1">
      <c r="H252" s="39"/>
    </row>
    <row r="253" ht="15.75" customHeight="1">
      <c r="H253" s="39"/>
    </row>
    <row r="254" ht="15.75" customHeight="1">
      <c r="H254" s="39"/>
    </row>
    <row r="255" ht="15.75" customHeight="1">
      <c r="H255" s="39"/>
    </row>
    <row r="256" ht="15.75" customHeight="1">
      <c r="H256" s="39"/>
    </row>
    <row r="257" ht="15.75" customHeight="1">
      <c r="H257" s="39"/>
    </row>
    <row r="258" ht="15.75" customHeight="1">
      <c r="H258" s="39"/>
    </row>
    <row r="259" ht="15.75" customHeight="1">
      <c r="H259" s="39"/>
    </row>
    <row r="260" ht="15.75" customHeight="1">
      <c r="H260" s="39"/>
    </row>
    <row r="261" ht="15.75" customHeight="1">
      <c r="H261" s="39"/>
    </row>
    <row r="262" ht="15.75" customHeight="1">
      <c r="H262" s="39"/>
    </row>
    <row r="263" ht="15.75" customHeight="1">
      <c r="H263" s="39"/>
    </row>
    <row r="264" ht="15.75" customHeight="1">
      <c r="H264" s="39"/>
    </row>
    <row r="265" ht="15.75" customHeight="1">
      <c r="H265" s="39"/>
    </row>
    <row r="266" ht="15.75" customHeight="1">
      <c r="H266" s="39"/>
    </row>
    <row r="267" ht="15.75" customHeight="1">
      <c r="H267" s="39"/>
    </row>
    <row r="268" ht="15.75" customHeight="1">
      <c r="H268" s="39"/>
    </row>
    <row r="269" ht="15.75" customHeight="1">
      <c r="H269" s="39"/>
    </row>
    <row r="270" ht="15.75" customHeight="1">
      <c r="H270" s="39"/>
    </row>
    <row r="271" ht="15.75" customHeight="1">
      <c r="H271" s="39"/>
    </row>
    <row r="272" ht="15.75" customHeight="1">
      <c r="H272" s="39"/>
    </row>
    <row r="273" ht="15.75" customHeight="1">
      <c r="H273" s="39"/>
    </row>
    <row r="274" ht="15.75" customHeight="1">
      <c r="H274" s="39"/>
    </row>
    <row r="275" ht="15.75" customHeight="1">
      <c r="H275" s="39"/>
    </row>
    <row r="276" ht="15.75" customHeight="1">
      <c r="H276" s="39"/>
    </row>
    <row r="277" ht="15.75" customHeight="1">
      <c r="H277" s="39"/>
    </row>
    <row r="278" ht="15.75" customHeight="1">
      <c r="H278" s="39"/>
    </row>
    <row r="279" ht="15.75" customHeight="1">
      <c r="H279" s="39"/>
    </row>
    <row r="280" ht="15.75" customHeight="1">
      <c r="H280" s="39"/>
    </row>
    <row r="281" ht="15.75" customHeight="1">
      <c r="H281" s="39"/>
    </row>
    <row r="282" ht="15.75" customHeight="1">
      <c r="H282" s="39"/>
    </row>
    <row r="283" ht="15.75" customHeight="1">
      <c r="H283" s="39"/>
    </row>
    <row r="284" ht="15.75" customHeight="1">
      <c r="H284" s="39"/>
    </row>
    <row r="285" ht="15.75" customHeight="1">
      <c r="H285" s="39"/>
    </row>
    <row r="286" ht="15.75" customHeight="1">
      <c r="H286" s="39"/>
    </row>
    <row r="287" ht="15.75" customHeight="1">
      <c r="H287" s="39"/>
    </row>
    <row r="288" ht="15.75" customHeight="1">
      <c r="H288" s="39"/>
    </row>
    <row r="289" ht="15.75" customHeight="1">
      <c r="H289" s="39"/>
    </row>
    <row r="290" ht="15.75" customHeight="1">
      <c r="H290" s="39"/>
    </row>
    <row r="291" ht="15.75" customHeight="1">
      <c r="H291" s="39"/>
    </row>
    <row r="292" ht="15.75" customHeight="1">
      <c r="H292" s="39"/>
    </row>
    <row r="293" ht="15.75" customHeight="1">
      <c r="H293" s="39"/>
    </row>
    <row r="294" ht="15.75" customHeight="1">
      <c r="H294" s="39"/>
    </row>
    <row r="295" ht="15.75" customHeight="1">
      <c r="H295" s="39"/>
    </row>
    <row r="296" ht="15.75" customHeight="1">
      <c r="H296" s="39"/>
    </row>
    <row r="297" ht="15.75" customHeight="1">
      <c r="H297" s="39"/>
    </row>
    <row r="298" ht="15.75" customHeight="1">
      <c r="H298" s="39"/>
    </row>
    <row r="299" ht="15.75" customHeight="1">
      <c r="H299" s="39"/>
    </row>
    <row r="300" ht="15.75" customHeight="1">
      <c r="H300" s="39"/>
    </row>
    <row r="301" ht="15.75" customHeight="1">
      <c r="H301" s="39"/>
    </row>
    <row r="302" ht="15.75" customHeight="1">
      <c r="H302" s="39"/>
    </row>
    <row r="303" ht="15.75" customHeight="1">
      <c r="H303" s="39"/>
    </row>
    <row r="304" ht="15.75" customHeight="1">
      <c r="H304" s="39"/>
    </row>
    <row r="305" ht="15.75" customHeight="1">
      <c r="H305" s="39"/>
    </row>
    <row r="306" ht="15.75" customHeight="1">
      <c r="H306" s="39"/>
    </row>
    <row r="307" ht="15.75" customHeight="1">
      <c r="H307" s="39"/>
    </row>
    <row r="308" ht="15.75" customHeight="1">
      <c r="H308" s="39"/>
    </row>
    <row r="309" ht="15.75" customHeight="1">
      <c r="H309" s="39"/>
    </row>
    <row r="310" ht="15.75" customHeight="1">
      <c r="H310" s="39"/>
    </row>
    <row r="311" ht="15.75" customHeight="1">
      <c r="H311" s="39"/>
    </row>
    <row r="312" ht="15.75" customHeight="1">
      <c r="H312" s="39"/>
    </row>
    <row r="313" ht="15.75" customHeight="1">
      <c r="H313" s="39"/>
    </row>
    <row r="314" ht="15.75" customHeight="1">
      <c r="H314" s="39"/>
    </row>
    <row r="315" ht="15.75" customHeight="1">
      <c r="H315" s="39"/>
    </row>
    <row r="316" ht="15.75" customHeight="1">
      <c r="H316" s="39"/>
    </row>
    <row r="317" ht="15.75" customHeight="1">
      <c r="H317" s="39"/>
    </row>
    <row r="318" ht="15.75" customHeight="1">
      <c r="H318" s="39"/>
    </row>
    <row r="319" ht="15.75" customHeight="1">
      <c r="H319" s="39"/>
    </row>
    <row r="320" ht="15.75" customHeight="1">
      <c r="H320" s="39"/>
    </row>
    <row r="321" ht="15.75" customHeight="1">
      <c r="H321" s="39"/>
    </row>
    <row r="322" ht="15.75" customHeight="1">
      <c r="H322" s="39"/>
    </row>
    <row r="323" ht="15.75" customHeight="1">
      <c r="H323" s="39"/>
    </row>
    <row r="324" ht="15.75" customHeight="1">
      <c r="H324" s="39"/>
    </row>
    <row r="325" ht="15.75" customHeight="1">
      <c r="H325" s="39"/>
    </row>
    <row r="326" ht="15.75" customHeight="1">
      <c r="H326" s="39"/>
    </row>
    <row r="327" ht="15.75" customHeight="1">
      <c r="H327" s="39"/>
    </row>
    <row r="328" ht="15.75" customHeight="1">
      <c r="H328" s="39"/>
    </row>
    <row r="329" ht="15.75" customHeight="1">
      <c r="H329" s="39"/>
    </row>
    <row r="330" ht="15.75" customHeight="1">
      <c r="H330" s="39"/>
    </row>
    <row r="331" ht="15.75" customHeight="1">
      <c r="H331" s="39"/>
    </row>
    <row r="332" ht="15.75" customHeight="1">
      <c r="H332" s="39"/>
    </row>
    <row r="333" ht="15.75" customHeight="1">
      <c r="H333" s="39"/>
    </row>
    <row r="334" ht="15.75" customHeight="1">
      <c r="H334" s="39"/>
    </row>
    <row r="335" ht="15.75" customHeight="1">
      <c r="H335" s="39"/>
    </row>
    <row r="336" ht="15.75" customHeight="1">
      <c r="H336" s="39"/>
    </row>
    <row r="337" ht="15.75" customHeight="1">
      <c r="H337" s="39"/>
    </row>
    <row r="338" ht="15.75" customHeight="1">
      <c r="H338" s="39"/>
    </row>
    <row r="339" ht="15.75" customHeight="1">
      <c r="H339" s="39"/>
    </row>
    <row r="340" ht="15.75" customHeight="1">
      <c r="H340" s="39"/>
    </row>
    <row r="341" ht="15.75" customHeight="1">
      <c r="H341" s="39"/>
    </row>
    <row r="342" ht="15.75" customHeight="1">
      <c r="H342" s="39"/>
    </row>
    <row r="343" ht="15.75" customHeight="1">
      <c r="H343" s="39"/>
    </row>
    <row r="344" ht="15.75" customHeight="1">
      <c r="H344" s="39"/>
    </row>
    <row r="345" ht="15.75" customHeight="1">
      <c r="H345" s="39"/>
    </row>
    <row r="346" ht="15.75" customHeight="1">
      <c r="H346" s="39"/>
    </row>
    <row r="347" ht="15.75" customHeight="1">
      <c r="H347" s="39"/>
    </row>
    <row r="348" ht="15.75" customHeight="1">
      <c r="H348" s="39"/>
    </row>
    <row r="349" ht="15.75" customHeight="1">
      <c r="H349" s="39"/>
    </row>
    <row r="350" ht="15.75" customHeight="1">
      <c r="H350" s="39"/>
    </row>
    <row r="351" ht="15.75" customHeight="1">
      <c r="H351" s="39"/>
    </row>
    <row r="352" ht="15.75" customHeight="1">
      <c r="H352" s="39"/>
    </row>
    <row r="353" ht="15.75" customHeight="1">
      <c r="H353" s="39"/>
    </row>
    <row r="354" ht="15.75" customHeight="1">
      <c r="H354" s="39"/>
    </row>
    <row r="355" ht="15.75" customHeight="1">
      <c r="H355" s="39"/>
    </row>
    <row r="356" ht="15.75" customHeight="1">
      <c r="H356" s="39"/>
    </row>
    <row r="357" ht="15.75" customHeight="1">
      <c r="H357" s="39"/>
    </row>
    <row r="358" ht="15.75" customHeight="1">
      <c r="H358" s="39"/>
    </row>
    <row r="359" ht="15.75" customHeight="1">
      <c r="H359" s="39"/>
    </row>
    <row r="360" ht="15.75" customHeight="1">
      <c r="H360" s="39"/>
    </row>
    <row r="361" ht="15.75" customHeight="1">
      <c r="H361" s="39"/>
    </row>
    <row r="362" ht="15.75" customHeight="1">
      <c r="H362" s="39"/>
    </row>
    <row r="363" ht="15.75" customHeight="1">
      <c r="H363" s="39"/>
    </row>
    <row r="364" ht="15.75" customHeight="1">
      <c r="H364" s="39"/>
    </row>
    <row r="365" ht="15.75" customHeight="1">
      <c r="H365" s="39"/>
    </row>
    <row r="366" ht="15.75" customHeight="1">
      <c r="H366" s="39"/>
    </row>
    <row r="367" ht="15.75" customHeight="1">
      <c r="H367" s="39"/>
    </row>
    <row r="368" ht="15.75" customHeight="1">
      <c r="H368" s="39"/>
    </row>
    <row r="369" ht="15.75" customHeight="1">
      <c r="H369" s="39"/>
    </row>
    <row r="370" ht="15.75" customHeight="1">
      <c r="H370" s="39"/>
    </row>
    <row r="371" ht="15.75" customHeight="1">
      <c r="H371" s="39"/>
    </row>
    <row r="372" ht="15.75" customHeight="1">
      <c r="H372" s="39"/>
    </row>
    <row r="373" ht="15.75" customHeight="1">
      <c r="H373" s="39"/>
    </row>
    <row r="374" ht="15.75" customHeight="1">
      <c r="H374" s="39"/>
    </row>
    <row r="375" ht="15.75" customHeight="1">
      <c r="H375" s="39"/>
    </row>
    <row r="376" ht="15.75" customHeight="1">
      <c r="H376" s="39"/>
    </row>
    <row r="377" ht="15.75" customHeight="1">
      <c r="H377" s="39"/>
    </row>
    <row r="378" ht="15.75" customHeight="1">
      <c r="H378" s="39"/>
    </row>
    <row r="379" ht="15.75" customHeight="1">
      <c r="H379" s="39"/>
    </row>
    <row r="380" ht="15.75" customHeight="1">
      <c r="H380" s="39"/>
    </row>
    <row r="381" ht="15.75" customHeight="1">
      <c r="H381" s="39"/>
    </row>
    <row r="382" ht="15.75" customHeight="1">
      <c r="H382" s="39"/>
    </row>
    <row r="383" ht="15.75" customHeight="1">
      <c r="H383" s="39"/>
    </row>
    <row r="384" ht="15.75" customHeight="1">
      <c r="H384" s="39"/>
    </row>
    <row r="385" ht="15.75" customHeight="1">
      <c r="H385" s="39"/>
    </row>
    <row r="386" ht="15.75" customHeight="1">
      <c r="H386" s="39"/>
    </row>
    <row r="387" ht="15.75" customHeight="1">
      <c r="H387" s="39"/>
    </row>
    <row r="388" ht="15.75" customHeight="1">
      <c r="H388" s="39"/>
    </row>
    <row r="389" ht="15.75" customHeight="1">
      <c r="H389" s="39"/>
    </row>
    <row r="390" ht="15.75" customHeight="1">
      <c r="H390" s="39"/>
    </row>
    <row r="391" ht="15.75" customHeight="1">
      <c r="H391" s="39"/>
    </row>
    <row r="392" ht="15.75" customHeight="1">
      <c r="H392" s="39"/>
    </row>
    <row r="393" ht="15.75" customHeight="1">
      <c r="H393" s="39"/>
    </row>
    <row r="394" ht="15.75" customHeight="1">
      <c r="H394" s="39"/>
    </row>
    <row r="395" ht="15.75" customHeight="1">
      <c r="H395" s="39"/>
    </row>
    <row r="396" ht="15.75" customHeight="1">
      <c r="H396" s="39"/>
    </row>
    <row r="397" ht="15.75" customHeight="1">
      <c r="H397" s="39"/>
    </row>
    <row r="398" ht="15.75" customHeight="1">
      <c r="H398" s="39"/>
    </row>
    <row r="399" ht="15.75" customHeight="1">
      <c r="H399" s="39"/>
    </row>
    <row r="400" ht="15.75" customHeight="1">
      <c r="H400" s="39"/>
    </row>
    <row r="401" ht="15.75" customHeight="1">
      <c r="H401" s="39"/>
    </row>
    <row r="402" ht="15.75" customHeight="1">
      <c r="H402" s="39"/>
    </row>
    <row r="403" ht="15.75" customHeight="1">
      <c r="H403" s="39"/>
    </row>
    <row r="404" ht="15.75" customHeight="1">
      <c r="H404" s="39"/>
    </row>
    <row r="405" ht="15.75" customHeight="1">
      <c r="H405" s="39"/>
    </row>
    <row r="406" ht="15.75" customHeight="1">
      <c r="H406" s="39"/>
    </row>
    <row r="407" ht="15.75" customHeight="1">
      <c r="H407" s="39"/>
    </row>
    <row r="408" ht="15.75" customHeight="1">
      <c r="H408" s="39"/>
    </row>
    <row r="409" ht="15.75" customHeight="1">
      <c r="H409" s="39"/>
    </row>
    <row r="410" ht="15.75" customHeight="1">
      <c r="H410" s="39"/>
    </row>
    <row r="411" ht="15.75" customHeight="1">
      <c r="H411" s="39"/>
    </row>
    <row r="412" ht="15.75" customHeight="1">
      <c r="H412" s="39"/>
    </row>
    <row r="413" ht="15.75" customHeight="1">
      <c r="H413" s="39"/>
    </row>
    <row r="414" ht="15.75" customHeight="1">
      <c r="H414" s="39"/>
    </row>
    <row r="415" ht="15.75" customHeight="1">
      <c r="H415" s="39"/>
    </row>
    <row r="416" ht="15.75" customHeight="1">
      <c r="H416" s="39"/>
    </row>
    <row r="417" ht="15.75" customHeight="1">
      <c r="H417" s="39"/>
    </row>
    <row r="418" ht="15.75" customHeight="1">
      <c r="H418" s="39"/>
    </row>
    <row r="419" ht="15.75" customHeight="1">
      <c r="H419" s="39"/>
    </row>
    <row r="420" ht="15.75" customHeight="1">
      <c r="H420" s="39"/>
    </row>
    <row r="421" ht="15.75" customHeight="1">
      <c r="H421" s="39"/>
    </row>
    <row r="422" ht="15.75" customHeight="1">
      <c r="H422" s="39"/>
    </row>
    <row r="423" ht="15.75" customHeight="1">
      <c r="H423" s="39"/>
    </row>
    <row r="424" ht="15.75" customHeight="1">
      <c r="H424" s="39"/>
    </row>
    <row r="425" ht="15.75" customHeight="1">
      <c r="H425" s="39"/>
    </row>
    <row r="426" ht="15.75" customHeight="1">
      <c r="H426" s="39"/>
    </row>
    <row r="427" ht="15.75" customHeight="1">
      <c r="H427" s="39"/>
    </row>
    <row r="428" ht="15.75" customHeight="1">
      <c r="H428" s="39"/>
    </row>
    <row r="429" ht="15.75" customHeight="1">
      <c r="H429" s="39"/>
    </row>
    <row r="430" ht="15.75" customHeight="1">
      <c r="H430" s="39"/>
    </row>
    <row r="431" ht="15.75" customHeight="1">
      <c r="H431" s="39"/>
    </row>
    <row r="432" ht="15.75" customHeight="1">
      <c r="H432" s="39"/>
    </row>
    <row r="433" ht="15.75" customHeight="1">
      <c r="H433" s="39"/>
    </row>
    <row r="434" ht="15.75" customHeight="1">
      <c r="H434" s="39"/>
    </row>
    <row r="435" ht="15.75" customHeight="1">
      <c r="H435" s="39"/>
    </row>
    <row r="436" ht="15.75" customHeight="1">
      <c r="H436" s="39"/>
    </row>
    <row r="437" ht="15.75" customHeight="1">
      <c r="H437" s="39"/>
    </row>
    <row r="438" ht="15.75" customHeight="1">
      <c r="H438" s="39"/>
    </row>
    <row r="439" ht="15.75" customHeight="1">
      <c r="H439" s="39"/>
    </row>
    <row r="440" ht="15.75" customHeight="1">
      <c r="H440" s="39"/>
    </row>
    <row r="441" ht="15.75" customHeight="1">
      <c r="H441" s="39"/>
    </row>
    <row r="442" ht="15.75" customHeight="1">
      <c r="H442" s="39"/>
    </row>
    <row r="443" ht="15.75" customHeight="1">
      <c r="H443" s="39"/>
    </row>
    <row r="444" ht="15.75" customHeight="1">
      <c r="H444" s="39"/>
    </row>
    <row r="445" ht="15.75" customHeight="1">
      <c r="H445" s="39"/>
    </row>
    <row r="446" ht="15.75" customHeight="1">
      <c r="H446" s="39"/>
    </row>
    <row r="447" ht="15.75" customHeight="1">
      <c r="H447" s="39"/>
    </row>
    <row r="448" ht="15.75" customHeight="1">
      <c r="H448" s="39"/>
    </row>
    <row r="449" ht="15.75" customHeight="1">
      <c r="H449" s="39"/>
    </row>
    <row r="450" ht="15.75" customHeight="1">
      <c r="H450" s="39"/>
    </row>
    <row r="451" ht="15.75" customHeight="1">
      <c r="H451" s="39"/>
    </row>
    <row r="452" ht="15.75" customHeight="1">
      <c r="H452" s="39"/>
    </row>
    <row r="453" ht="15.75" customHeight="1">
      <c r="H453" s="39"/>
    </row>
    <row r="454" ht="15.75" customHeight="1">
      <c r="H454" s="39"/>
    </row>
    <row r="455" ht="15.75" customHeight="1">
      <c r="H455" s="39"/>
    </row>
    <row r="456" ht="15.75" customHeight="1">
      <c r="H456" s="39"/>
    </row>
    <row r="457" ht="15.75" customHeight="1">
      <c r="H457" s="39"/>
    </row>
    <row r="458" ht="15.75" customHeight="1">
      <c r="H458" s="39"/>
    </row>
    <row r="459" ht="15.75" customHeight="1">
      <c r="H459" s="39"/>
    </row>
    <row r="460" ht="15.75" customHeight="1">
      <c r="H460" s="39"/>
    </row>
    <row r="461" ht="15.75" customHeight="1">
      <c r="H461" s="39"/>
    </row>
    <row r="462" ht="15.75" customHeight="1">
      <c r="H462" s="39"/>
    </row>
    <row r="463" ht="15.75" customHeight="1">
      <c r="H463" s="39"/>
    </row>
    <row r="464" ht="15.75" customHeight="1">
      <c r="H464" s="39"/>
    </row>
    <row r="465" ht="15.75" customHeight="1">
      <c r="H465" s="39"/>
    </row>
    <row r="466" ht="15.75" customHeight="1">
      <c r="H466" s="39"/>
    </row>
    <row r="467" ht="15.75" customHeight="1">
      <c r="H467" s="39"/>
    </row>
    <row r="468" ht="15.75" customHeight="1">
      <c r="H468" s="39"/>
    </row>
    <row r="469" ht="15.75" customHeight="1">
      <c r="H469" s="39"/>
    </row>
    <row r="470" ht="15.75" customHeight="1">
      <c r="H470" s="39"/>
    </row>
    <row r="471" ht="15.75" customHeight="1">
      <c r="H471" s="39"/>
    </row>
    <row r="472" ht="15.75" customHeight="1">
      <c r="H472" s="39"/>
    </row>
    <row r="473" ht="15.75" customHeight="1">
      <c r="H473" s="39"/>
    </row>
    <row r="474" ht="15.75" customHeight="1">
      <c r="H474" s="39"/>
    </row>
    <row r="475" ht="15.75" customHeight="1">
      <c r="H475" s="39"/>
    </row>
    <row r="476" ht="15.75" customHeight="1">
      <c r="H476" s="39"/>
    </row>
    <row r="477" ht="15.75" customHeight="1">
      <c r="H477" s="39"/>
    </row>
    <row r="478" ht="15.75" customHeight="1">
      <c r="H478" s="39"/>
    </row>
    <row r="479" ht="15.75" customHeight="1">
      <c r="H479" s="39"/>
    </row>
    <row r="480" ht="15.75" customHeight="1">
      <c r="H480" s="39"/>
    </row>
    <row r="481" ht="15.75" customHeight="1">
      <c r="H481" s="39"/>
    </row>
    <row r="482" ht="15.75" customHeight="1">
      <c r="H482" s="39"/>
    </row>
    <row r="483" ht="15.75" customHeight="1">
      <c r="H483" s="39"/>
    </row>
    <row r="484" ht="15.75" customHeight="1">
      <c r="H484" s="39"/>
    </row>
    <row r="485" ht="15.75" customHeight="1">
      <c r="H485" s="39"/>
    </row>
    <row r="486" ht="15.75" customHeight="1">
      <c r="H486" s="39"/>
    </row>
    <row r="487" ht="15.75" customHeight="1">
      <c r="H487" s="39"/>
    </row>
    <row r="488" ht="15.75" customHeight="1">
      <c r="H488" s="39"/>
    </row>
    <row r="489" ht="15.75" customHeight="1">
      <c r="H489" s="39"/>
    </row>
    <row r="490" ht="15.75" customHeight="1">
      <c r="H490" s="39"/>
    </row>
    <row r="491" ht="15.75" customHeight="1">
      <c r="H491" s="39"/>
    </row>
    <row r="492" ht="15.75" customHeight="1">
      <c r="H492" s="39"/>
    </row>
    <row r="493" ht="15.75" customHeight="1">
      <c r="H493" s="39"/>
    </row>
    <row r="494" ht="15.75" customHeight="1">
      <c r="H494" s="39"/>
    </row>
    <row r="495" ht="15.75" customHeight="1">
      <c r="H495" s="39"/>
    </row>
    <row r="496" ht="15.75" customHeight="1">
      <c r="H496" s="39"/>
    </row>
    <row r="497" ht="15.75" customHeight="1">
      <c r="H497" s="39"/>
    </row>
    <row r="498" ht="15.75" customHeight="1">
      <c r="H498" s="39"/>
    </row>
    <row r="499" ht="15.75" customHeight="1">
      <c r="H499" s="39"/>
    </row>
    <row r="500" ht="15.75" customHeight="1">
      <c r="H500" s="39"/>
    </row>
    <row r="501" ht="15.75" customHeight="1">
      <c r="H501" s="39"/>
    </row>
    <row r="502" ht="15.75" customHeight="1">
      <c r="H502" s="39"/>
    </row>
    <row r="503" ht="15.75" customHeight="1">
      <c r="H503" s="39"/>
    </row>
    <row r="504" ht="15.75" customHeight="1">
      <c r="H504" s="39"/>
    </row>
    <row r="505" ht="15.75" customHeight="1">
      <c r="H505" s="39"/>
    </row>
    <row r="506" ht="15.75" customHeight="1">
      <c r="H506" s="39"/>
    </row>
    <row r="507" ht="15.75" customHeight="1">
      <c r="H507" s="39"/>
    </row>
    <row r="508" ht="15.75" customHeight="1">
      <c r="H508" s="39"/>
    </row>
    <row r="509" ht="15.75" customHeight="1">
      <c r="H509" s="39"/>
    </row>
    <row r="510" ht="15.75" customHeight="1">
      <c r="H510" s="39"/>
    </row>
    <row r="511" ht="15.75" customHeight="1">
      <c r="H511" s="39"/>
    </row>
    <row r="512" ht="15.75" customHeight="1">
      <c r="H512" s="39"/>
    </row>
    <row r="513" ht="15.75" customHeight="1">
      <c r="H513" s="39"/>
    </row>
    <row r="514" ht="15.75" customHeight="1">
      <c r="H514" s="39"/>
    </row>
    <row r="515" ht="15.75" customHeight="1">
      <c r="H515" s="39"/>
    </row>
    <row r="516" ht="15.75" customHeight="1">
      <c r="H516" s="39"/>
    </row>
    <row r="517" ht="15.75" customHeight="1">
      <c r="H517" s="39"/>
    </row>
    <row r="518" ht="15.75" customHeight="1">
      <c r="H518" s="39"/>
    </row>
    <row r="519" ht="15.75" customHeight="1">
      <c r="H519" s="39"/>
    </row>
    <row r="520" ht="15.75" customHeight="1">
      <c r="H520" s="39"/>
    </row>
    <row r="521" ht="15.75" customHeight="1">
      <c r="H521" s="39"/>
    </row>
    <row r="522" ht="15.75" customHeight="1">
      <c r="H522" s="39"/>
    </row>
    <row r="523" ht="15.75" customHeight="1">
      <c r="H523" s="39"/>
    </row>
    <row r="524" ht="15.75" customHeight="1">
      <c r="H524" s="39"/>
    </row>
    <row r="525" ht="15.75" customHeight="1">
      <c r="H525" s="39"/>
    </row>
    <row r="526" ht="15.75" customHeight="1">
      <c r="H526" s="39"/>
    </row>
    <row r="527" ht="15.75" customHeight="1">
      <c r="H527" s="39"/>
    </row>
    <row r="528" ht="15.75" customHeight="1">
      <c r="H528" s="39"/>
    </row>
    <row r="529" ht="15.75" customHeight="1">
      <c r="H529" s="39"/>
    </row>
    <row r="530" ht="15.75" customHeight="1">
      <c r="H530" s="39"/>
    </row>
    <row r="531" ht="15.75" customHeight="1">
      <c r="H531" s="39"/>
    </row>
    <row r="532" ht="15.75" customHeight="1">
      <c r="H532" s="39"/>
    </row>
    <row r="533" ht="15.75" customHeight="1">
      <c r="H533" s="39"/>
    </row>
    <row r="534" ht="15.75" customHeight="1">
      <c r="H534" s="39"/>
    </row>
    <row r="535" ht="15.75" customHeight="1">
      <c r="H535" s="39"/>
    </row>
    <row r="536" ht="15.75" customHeight="1">
      <c r="H536" s="39"/>
    </row>
    <row r="537" ht="15.75" customHeight="1">
      <c r="H537" s="39"/>
    </row>
    <row r="538" ht="15.75" customHeight="1">
      <c r="H538" s="39"/>
    </row>
    <row r="539" ht="15.75" customHeight="1">
      <c r="H539" s="39"/>
    </row>
    <row r="540" ht="15.75" customHeight="1">
      <c r="H540" s="39"/>
    </row>
    <row r="541" ht="15.75" customHeight="1">
      <c r="H541" s="39"/>
    </row>
    <row r="542" ht="15.75" customHeight="1">
      <c r="H542" s="39"/>
    </row>
    <row r="543" ht="15.75" customHeight="1">
      <c r="H543" s="39"/>
    </row>
    <row r="544" ht="15.75" customHeight="1">
      <c r="H544" s="39"/>
    </row>
    <row r="545" ht="15.75" customHeight="1">
      <c r="H545" s="39"/>
    </row>
    <row r="546" ht="15.75" customHeight="1">
      <c r="H546" s="39"/>
    </row>
    <row r="547" ht="15.75" customHeight="1">
      <c r="H547" s="39"/>
    </row>
    <row r="548" ht="15.75" customHeight="1">
      <c r="H548" s="39"/>
    </row>
    <row r="549" ht="15.75" customHeight="1">
      <c r="H549" s="39"/>
    </row>
    <row r="550" ht="15.75" customHeight="1">
      <c r="H550" s="39"/>
    </row>
    <row r="551" ht="15.75" customHeight="1">
      <c r="H551" s="39"/>
    </row>
    <row r="552" ht="15.75" customHeight="1">
      <c r="H552" s="39"/>
    </row>
    <row r="553" ht="15.75" customHeight="1">
      <c r="H553" s="39"/>
    </row>
    <row r="554" ht="15.75" customHeight="1">
      <c r="H554" s="39"/>
    </row>
    <row r="555" ht="15.75" customHeight="1">
      <c r="H555" s="39"/>
    </row>
    <row r="556" ht="15.75" customHeight="1">
      <c r="H556" s="39"/>
    </row>
    <row r="557" ht="15.75" customHeight="1">
      <c r="H557" s="39"/>
    </row>
    <row r="558" ht="15.75" customHeight="1">
      <c r="H558" s="39"/>
    </row>
    <row r="559" ht="15.75" customHeight="1">
      <c r="H559" s="39"/>
    </row>
    <row r="560" ht="15.75" customHeight="1">
      <c r="H560" s="39"/>
    </row>
    <row r="561" ht="15.75" customHeight="1">
      <c r="H561" s="39"/>
    </row>
    <row r="562" ht="15.75" customHeight="1">
      <c r="H562" s="39"/>
    </row>
    <row r="563" ht="15.75" customHeight="1">
      <c r="H563" s="39"/>
    </row>
    <row r="564" ht="15.75" customHeight="1">
      <c r="H564" s="39"/>
    </row>
    <row r="565" ht="15.75" customHeight="1">
      <c r="H565" s="39"/>
    </row>
    <row r="566" ht="15.75" customHeight="1">
      <c r="H566" s="39"/>
    </row>
    <row r="567" ht="15.75" customHeight="1">
      <c r="H567" s="39"/>
    </row>
    <row r="568" ht="15.75" customHeight="1">
      <c r="H568" s="39"/>
    </row>
    <row r="569" ht="15.75" customHeight="1">
      <c r="H569" s="39"/>
    </row>
    <row r="570" ht="15.75" customHeight="1">
      <c r="H570" s="39"/>
    </row>
    <row r="571" ht="15.75" customHeight="1">
      <c r="H571" s="39"/>
    </row>
    <row r="572" ht="15.75" customHeight="1">
      <c r="H572" s="39"/>
    </row>
    <row r="573" ht="15.75" customHeight="1">
      <c r="H573" s="39"/>
    </row>
    <row r="574" ht="15.75" customHeight="1">
      <c r="H574" s="39"/>
    </row>
    <row r="575" ht="15.75" customHeight="1">
      <c r="H575" s="39"/>
    </row>
    <row r="576" ht="15.75" customHeight="1">
      <c r="H576" s="39"/>
    </row>
    <row r="577" ht="15.75" customHeight="1">
      <c r="H577" s="39"/>
    </row>
    <row r="578" ht="15.75" customHeight="1">
      <c r="H578" s="39"/>
    </row>
    <row r="579" ht="15.75" customHeight="1">
      <c r="H579" s="39"/>
    </row>
    <row r="580" ht="15.75" customHeight="1">
      <c r="H580" s="39"/>
    </row>
    <row r="581" ht="15.75" customHeight="1">
      <c r="H581" s="39"/>
    </row>
    <row r="582" ht="15.75" customHeight="1">
      <c r="H582" s="39"/>
    </row>
    <row r="583" ht="15.75" customHeight="1">
      <c r="H583" s="39"/>
    </row>
    <row r="584" ht="15.75" customHeight="1">
      <c r="H584" s="39"/>
    </row>
    <row r="585" ht="15.75" customHeight="1">
      <c r="H585" s="39"/>
    </row>
    <row r="586" ht="15.75" customHeight="1">
      <c r="H586" s="39"/>
    </row>
    <row r="587" ht="15.75" customHeight="1">
      <c r="H587" s="39"/>
    </row>
    <row r="588" ht="15.75" customHeight="1">
      <c r="H588" s="39"/>
    </row>
    <row r="589" ht="15.75" customHeight="1">
      <c r="H589" s="39"/>
    </row>
    <row r="590" ht="15.75" customHeight="1">
      <c r="H590" s="39"/>
    </row>
    <row r="591" ht="15.75" customHeight="1">
      <c r="H591" s="39"/>
    </row>
    <row r="592" ht="15.75" customHeight="1">
      <c r="H592" s="39"/>
    </row>
    <row r="593" ht="15.75" customHeight="1">
      <c r="H593" s="39"/>
    </row>
    <row r="594" ht="15.75" customHeight="1">
      <c r="H594" s="39"/>
    </row>
    <row r="595" ht="15.75" customHeight="1">
      <c r="H595" s="39"/>
    </row>
    <row r="596" ht="15.75" customHeight="1">
      <c r="H596" s="39"/>
    </row>
    <row r="597" ht="15.75" customHeight="1">
      <c r="H597" s="39"/>
    </row>
    <row r="598" ht="15.75" customHeight="1">
      <c r="H598" s="39"/>
    </row>
    <row r="599" ht="15.75" customHeight="1">
      <c r="H599" s="39"/>
    </row>
    <row r="600" ht="15.75" customHeight="1">
      <c r="H600" s="39"/>
    </row>
    <row r="601" ht="15.75" customHeight="1">
      <c r="H601" s="39"/>
    </row>
    <row r="602" ht="15.75" customHeight="1">
      <c r="H602" s="39"/>
    </row>
    <row r="603" ht="15.75" customHeight="1">
      <c r="H603" s="39"/>
    </row>
    <row r="604" ht="15.75" customHeight="1">
      <c r="H604" s="39"/>
    </row>
    <row r="605" ht="15.75" customHeight="1">
      <c r="H605" s="39"/>
    </row>
    <row r="606" ht="15.75" customHeight="1">
      <c r="H606" s="39"/>
    </row>
    <row r="607" ht="15.75" customHeight="1">
      <c r="H607" s="39"/>
    </row>
    <row r="608" ht="15.75" customHeight="1">
      <c r="H608" s="39"/>
    </row>
    <row r="609" ht="15.75" customHeight="1">
      <c r="H609" s="39"/>
    </row>
    <row r="610" ht="15.75" customHeight="1">
      <c r="H610" s="39"/>
    </row>
    <row r="611" ht="15.75" customHeight="1">
      <c r="H611" s="39"/>
    </row>
    <row r="612" ht="15.75" customHeight="1">
      <c r="H612" s="39"/>
    </row>
    <row r="613" ht="15.75" customHeight="1">
      <c r="H613" s="39"/>
    </row>
    <row r="614" ht="15.75" customHeight="1">
      <c r="H614" s="39"/>
    </row>
    <row r="615" ht="15.75" customHeight="1">
      <c r="H615" s="39"/>
    </row>
    <row r="616" ht="15.75" customHeight="1">
      <c r="H616" s="39"/>
    </row>
    <row r="617" ht="15.75" customHeight="1">
      <c r="H617" s="39"/>
    </row>
    <row r="618" ht="15.75" customHeight="1">
      <c r="H618" s="39"/>
    </row>
    <row r="619" ht="15.75" customHeight="1">
      <c r="H619" s="39"/>
    </row>
    <row r="620" ht="15.75" customHeight="1">
      <c r="H620" s="39"/>
    </row>
    <row r="621" ht="15.75" customHeight="1">
      <c r="H621" s="39"/>
    </row>
    <row r="622" ht="15.75" customHeight="1">
      <c r="H622" s="39"/>
    </row>
    <row r="623" ht="15.75" customHeight="1">
      <c r="H623" s="39"/>
    </row>
    <row r="624" ht="15.75" customHeight="1">
      <c r="H624" s="39"/>
    </row>
    <row r="625" ht="15.75" customHeight="1">
      <c r="H625" s="39"/>
    </row>
    <row r="626" ht="15.75" customHeight="1">
      <c r="H626" s="39"/>
    </row>
    <row r="627" ht="15.75" customHeight="1">
      <c r="H627" s="39"/>
    </row>
    <row r="628" ht="15.75" customHeight="1">
      <c r="H628" s="39"/>
    </row>
    <row r="629" ht="15.75" customHeight="1">
      <c r="H629" s="39"/>
    </row>
    <row r="630" ht="15.75" customHeight="1">
      <c r="H630" s="39"/>
    </row>
    <row r="631" ht="15.75" customHeight="1">
      <c r="H631" s="39"/>
    </row>
    <row r="632" ht="15.75" customHeight="1">
      <c r="H632" s="39"/>
    </row>
    <row r="633" ht="15.75" customHeight="1">
      <c r="H633" s="39"/>
    </row>
    <row r="634" ht="15.75" customHeight="1">
      <c r="H634" s="39"/>
    </row>
    <row r="635" ht="15.75" customHeight="1">
      <c r="H635" s="39"/>
    </row>
    <row r="636" ht="15.75" customHeight="1">
      <c r="H636" s="39"/>
    </row>
    <row r="637" ht="15.75" customHeight="1">
      <c r="H637" s="39"/>
    </row>
    <row r="638" ht="15.75" customHeight="1">
      <c r="H638" s="39"/>
    </row>
    <row r="639" ht="15.75" customHeight="1">
      <c r="H639" s="39"/>
    </row>
    <row r="640" ht="15.75" customHeight="1">
      <c r="H640" s="39"/>
    </row>
    <row r="641" ht="15.75" customHeight="1">
      <c r="H641" s="39"/>
    </row>
    <row r="642" ht="15.75" customHeight="1">
      <c r="H642" s="39"/>
    </row>
    <row r="643" ht="15.75" customHeight="1">
      <c r="H643" s="39"/>
    </row>
    <row r="644" ht="15.75" customHeight="1">
      <c r="H644" s="39"/>
    </row>
    <row r="645" ht="15.75" customHeight="1">
      <c r="H645" s="39"/>
    </row>
    <row r="646" ht="15.75" customHeight="1">
      <c r="H646" s="39"/>
    </row>
    <row r="647" ht="15.75" customHeight="1">
      <c r="H647" s="39"/>
    </row>
    <row r="648" ht="15.75" customHeight="1">
      <c r="H648" s="39"/>
    </row>
    <row r="649" ht="15.75" customHeight="1">
      <c r="H649" s="39"/>
    </row>
    <row r="650" ht="15.75" customHeight="1">
      <c r="H650" s="39"/>
    </row>
    <row r="651" ht="15.75" customHeight="1">
      <c r="H651" s="39"/>
    </row>
    <row r="652" ht="15.75" customHeight="1">
      <c r="H652" s="39"/>
    </row>
    <row r="653" ht="15.75" customHeight="1">
      <c r="H653" s="39"/>
    </row>
    <row r="654" ht="15.75" customHeight="1">
      <c r="H654" s="39"/>
    </row>
    <row r="655" ht="15.75" customHeight="1">
      <c r="H655" s="39"/>
    </row>
    <row r="656" ht="15.75" customHeight="1">
      <c r="H656" s="39"/>
    </row>
    <row r="657" ht="15.75" customHeight="1">
      <c r="H657" s="39"/>
    </row>
    <row r="658" ht="15.75" customHeight="1">
      <c r="H658" s="39"/>
    </row>
    <row r="659" ht="15.75" customHeight="1">
      <c r="H659" s="39"/>
    </row>
    <row r="660" ht="15.75" customHeight="1">
      <c r="H660" s="39"/>
    </row>
    <row r="661" ht="15.75" customHeight="1">
      <c r="H661" s="39"/>
    </row>
    <row r="662" ht="15.75" customHeight="1">
      <c r="H662" s="39"/>
    </row>
    <row r="663" ht="15.75" customHeight="1">
      <c r="H663" s="39"/>
    </row>
    <row r="664" ht="15.75" customHeight="1">
      <c r="H664" s="39"/>
    </row>
    <row r="665" ht="15.75" customHeight="1">
      <c r="H665" s="39"/>
    </row>
    <row r="666" ht="15.75" customHeight="1">
      <c r="H666" s="39"/>
    </row>
    <row r="667" ht="15.75" customHeight="1">
      <c r="H667" s="39"/>
    </row>
    <row r="668" ht="15.75" customHeight="1">
      <c r="H668" s="39"/>
    </row>
    <row r="669" ht="15.75" customHeight="1">
      <c r="H669" s="39"/>
    </row>
    <row r="670" ht="15.75" customHeight="1">
      <c r="H670" s="39"/>
    </row>
    <row r="671" ht="15.75" customHeight="1">
      <c r="H671" s="39"/>
    </row>
    <row r="672" ht="15.75" customHeight="1">
      <c r="H672" s="39"/>
    </row>
    <row r="673" ht="15.75" customHeight="1">
      <c r="H673" s="39"/>
    </row>
    <row r="674" ht="15.75" customHeight="1">
      <c r="H674" s="39"/>
    </row>
    <row r="675" ht="15.75" customHeight="1">
      <c r="H675" s="39"/>
    </row>
    <row r="676" ht="15.75" customHeight="1">
      <c r="H676" s="39"/>
    </row>
    <row r="677" ht="15.75" customHeight="1">
      <c r="H677" s="39"/>
    </row>
    <row r="678" ht="15.75" customHeight="1">
      <c r="H678" s="39"/>
    </row>
    <row r="679" ht="15.75" customHeight="1">
      <c r="H679" s="39"/>
    </row>
    <row r="680" ht="15.75" customHeight="1">
      <c r="H680" s="39"/>
    </row>
    <row r="681" ht="15.75" customHeight="1">
      <c r="H681" s="39"/>
    </row>
    <row r="682" ht="15.75" customHeight="1">
      <c r="H682" s="39"/>
    </row>
    <row r="683" ht="15.75" customHeight="1">
      <c r="H683" s="39"/>
    </row>
    <row r="684" ht="15.75" customHeight="1">
      <c r="H684" s="39"/>
    </row>
    <row r="685" ht="15.75" customHeight="1">
      <c r="H685" s="39"/>
    </row>
    <row r="686" ht="15.75" customHeight="1">
      <c r="H686" s="39"/>
    </row>
    <row r="687" ht="15.75" customHeight="1">
      <c r="H687" s="39"/>
    </row>
    <row r="688" ht="15.75" customHeight="1">
      <c r="H688" s="39"/>
    </row>
    <row r="689" ht="15.75" customHeight="1">
      <c r="H689" s="39"/>
    </row>
    <row r="690" ht="15.75" customHeight="1">
      <c r="H690" s="39"/>
    </row>
    <row r="691" ht="15.75" customHeight="1">
      <c r="H691" s="39"/>
    </row>
    <row r="692" ht="15.75" customHeight="1">
      <c r="H692" s="39"/>
    </row>
    <row r="693" ht="15.75" customHeight="1">
      <c r="H693" s="39"/>
    </row>
    <row r="694" ht="15.75" customHeight="1">
      <c r="H694" s="39"/>
    </row>
    <row r="695" ht="15.75" customHeight="1">
      <c r="H695" s="39"/>
    </row>
    <row r="696" ht="15.75" customHeight="1">
      <c r="H696" s="39"/>
    </row>
    <row r="697" ht="15.75" customHeight="1">
      <c r="H697" s="39"/>
    </row>
    <row r="698" ht="15.75" customHeight="1">
      <c r="H698" s="39"/>
    </row>
    <row r="699" ht="15.75" customHeight="1">
      <c r="H699" s="39"/>
    </row>
    <row r="700" ht="15.75" customHeight="1">
      <c r="H700" s="39"/>
    </row>
    <row r="701" ht="15.75" customHeight="1">
      <c r="H701" s="39"/>
    </row>
    <row r="702" ht="15.75" customHeight="1">
      <c r="H702" s="39"/>
    </row>
    <row r="703" ht="15.75" customHeight="1">
      <c r="H703" s="39"/>
    </row>
    <row r="704" ht="15.75" customHeight="1">
      <c r="H704" s="39"/>
    </row>
    <row r="705" ht="15.75" customHeight="1">
      <c r="H705" s="39"/>
    </row>
    <row r="706" ht="15.75" customHeight="1">
      <c r="H706" s="39"/>
    </row>
    <row r="707" ht="15.75" customHeight="1">
      <c r="H707" s="39"/>
    </row>
    <row r="708" ht="15.75" customHeight="1">
      <c r="H708" s="39"/>
    </row>
    <row r="709" ht="15.75" customHeight="1">
      <c r="H709" s="39"/>
    </row>
    <row r="710" ht="15.75" customHeight="1">
      <c r="H710" s="39"/>
    </row>
    <row r="711" ht="15.75" customHeight="1">
      <c r="H711" s="39"/>
    </row>
    <row r="712" ht="15.75" customHeight="1">
      <c r="H712" s="39"/>
    </row>
    <row r="713" ht="15.75" customHeight="1">
      <c r="H713" s="39"/>
    </row>
    <row r="714" ht="15.75" customHeight="1">
      <c r="H714" s="39"/>
    </row>
    <row r="715" ht="15.75" customHeight="1">
      <c r="H715" s="39"/>
    </row>
    <row r="716" ht="15.75" customHeight="1">
      <c r="H716" s="39"/>
    </row>
    <row r="717" ht="15.75" customHeight="1">
      <c r="H717" s="39"/>
    </row>
    <row r="718" ht="15.75" customHeight="1">
      <c r="H718" s="39"/>
    </row>
    <row r="719" ht="15.75" customHeight="1">
      <c r="H719" s="39"/>
    </row>
    <row r="720" ht="15.75" customHeight="1">
      <c r="H720" s="39"/>
    </row>
    <row r="721" ht="15.75" customHeight="1">
      <c r="H721" s="39"/>
    </row>
    <row r="722" ht="15.75" customHeight="1">
      <c r="H722" s="39"/>
    </row>
    <row r="723" ht="15.75" customHeight="1">
      <c r="H723" s="39"/>
    </row>
    <row r="724" ht="15.75" customHeight="1">
      <c r="H724" s="39"/>
    </row>
    <row r="725" ht="15.75" customHeight="1">
      <c r="H725" s="39"/>
    </row>
    <row r="726" ht="15.75" customHeight="1">
      <c r="H726" s="39"/>
    </row>
    <row r="727" ht="15.75" customHeight="1">
      <c r="H727" s="39"/>
    </row>
    <row r="728" ht="15.75" customHeight="1">
      <c r="H728" s="39"/>
    </row>
    <row r="729" ht="15.75" customHeight="1">
      <c r="H729" s="39"/>
    </row>
    <row r="730" ht="15.75" customHeight="1">
      <c r="H730" s="39"/>
    </row>
    <row r="731" ht="15.75" customHeight="1">
      <c r="H731" s="39"/>
    </row>
    <row r="732" ht="15.75" customHeight="1">
      <c r="H732" s="39"/>
    </row>
    <row r="733" ht="15.75" customHeight="1">
      <c r="H733" s="39"/>
    </row>
    <row r="734" ht="15.75" customHeight="1">
      <c r="H734" s="39"/>
    </row>
    <row r="735" ht="15.75" customHeight="1">
      <c r="H735" s="39"/>
    </row>
    <row r="736" ht="15.75" customHeight="1">
      <c r="H736" s="39"/>
    </row>
    <row r="737" ht="15.75" customHeight="1">
      <c r="H737" s="39"/>
    </row>
    <row r="738" ht="15.75" customHeight="1">
      <c r="H738" s="39"/>
    </row>
    <row r="739" ht="15.75" customHeight="1">
      <c r="H739" s="39"/>
    </row>
    <row r="740" ht="15.75" customHeight="1">
      <c r="H740" s="39"/>
    </row>
    <row r="741" ht="15.75" customHeight="1">
      <c r="H741" s="39"/>
    </row>
    <row r="742" ht="15.75" customHeight="1">
      <c r="H742" s="39"/>
    </row>
    <row r="743" ht="15.75" customHeight="1">
      <c r="H743" s="39"/>
    </row>
    <row r="744" ht="15.75" customHeight="1">
      <c r="H744" s="39"/>
    </row>
    <row r="745" ht="15.75" customHeight="1">
      <c r="H745" s="39"/>
    </row>
    <row r="746" ht="15.75" customHeight="1">
      <c r="H746" s="39"/>
    </row>
    <row r="747" ht="15.75" customHeight="1">
      <c r="H747" s="39"/>
    </row>
    <row r="748" ht="15.75" customHeight="1">
      <c r="H748" s="39"/>
    </row>
    <row r="749" ht="15.75" customHeight="1">
      <c r="H749" s="39"/>
    </row>
    <row r="750" ht="15.75" customHeight="1">
      <c r="H750" s="39"/>
    </row>
    <row r="751" ht="15.75" customHeight="1">
      <c r="H751" s="39"/>
    </row>
    <row r="752" ht="15.75" customHeight="1">
      <c r="H752" s="39"/>
    </row>
    <row r="753" ht="15.75" customHeight="1">
      <c r="H753" s="39"/>
    </row>
    <row r="754" ht="15.75" customHeight="1">
      <c r="H754" s="39"/>
    </row>
    <row r="755" ht="15.75" customHeight="1">
      <c r="H755" s="39"/>
    </row>
    <row r="756" ht="15.75" customHeight="1">
      <c r="H756" s="39"/>
    </row>
    <row r="757" ht="15.75" customHeight="1">
      <c r="H757" s="39"/>
    </row>
    <row r="758" ht="15.75" customHeight="1">
      <c r="H758" s="39"/>
    </row>
    <row r="759" ht="15.75" customHeight="1">
      <c r="H759" s="39"/>
    </row>
    <row r="760" ht="15.75" customHeight="1">
      <c r="H760" s="39"/>
    </row>
    <row r="761" ht="15.75" customHeight="1">
      <c r="H761" s="39"/>
    </row>
    <row r="762" ht="15.75" customHeight="1">
      <c r="H762" s="39"/>
    </row>
    <row r="763" ht="15.75" customHeight="1">
      <c r="H763" s="39"/>
    </row>
    <row r="764" ht="15.75" customHeight="1">
      <c r="H764" s="39"/>
    </row>
    <row r="765" ht="15.75" customHeight="1">
      <c r="H765" s="39"/>
    </row>
    <row r="766" ht="15.75" customHeight="1">
      <c r="H766" s="39"/>
    </row>
    <row r="767" ht="15.75" customHeight="1">
      <c r="H767" s="39"/>
    </row>
    <row r="768" ht="15.75" customHeight="1">
      <c r="H768" s="39"/>
    </row>
    <row r="769" ht="15.75" customHeight="1">
      <c r="H769" s="39"/>
    </row>
    <row r="770" ht="15.75" customHeight="1">
      <c r="H770" s="39"/>
    </row>
    <row r="771" ht="15.75" customHeight="1">
      <c r="H771" s="39"/>
    </row>
    <row r="772" ht="15.75" customHeight="1">
      <c r="H772" s="39"/>
    </row>
    <row r="773" ht="15.75" customHeight="1">
      <c r="H773" s="39"/>
    </row>
    <row r="774" ht="15.75" customHeight="1">
      <c r="H774" s="39"/>
    </row>
    <row r="775" ht="15.75" customHeight="1">
      <c r="H775" s="39"/>
    </row>
    <row r="776" ht="15.75" customHeight="1">
      <c r="H776" s="39"/>
    </row>
    <row r="777" ht="15.75" customHeight="1">
      <c r="H777" s="39"/>
    </row>
    <row r="778" ht="15.75" customHeight="1">
      <c r="H778" s="39"/>
    </row>
    <row r="779" ht="15.75" customHeight="1">
      <c r="H779" s="39"/>
    </row>
    <row r="780" ht="15.75" customHeight="1">
      <c r="H780" s="39"/>
    </row>
    <row r="781" ht="15.75" customHeight="1">
      <c r="H781" s="39"/>
    </row>
    <row r="782" ht="15.75" customHeight="1">
      <c r="H782" s="39"/>
    </row>
    <row r="783" ht="15.75" customHeight="1">
      <c r="H783" s="39"/>
    </row>
    <row r="784" ht="15.75" customHeight="1">
      <c r="H784" s="39"/>
    </row>
    <row r="785" ht="15.75" customHeight="1">
      <c r="H785" s="39"/>
    </row>
    <row r="786" ht="15.75" customHeight="1">
      <c r="H786" s="39"/>
    </row>
    <row r="787" ht="15.75" customHeight="1">
      <c r="H787" s="39"/>
    </row>
    <row r="788" ht="15.75" customHeight="1">
      <c r="H788" s="39"/>
    </row>
    <row r="789" ht="15.75" customHeight="1">
      <c r="H789" s="39"/>
    </row>
    <row r="790" ht="15.75" customHeight="1">
      <c r="H790" s="39"/>
    </row>
    <row r="791" ht="15.75" customHeight="1">
      <c r="H791" s="39"/>
    </row>
    <row r="792" ht="15.75" customHeight="1">
      <c r="H792" s="39"/>
    </row>
    <row r="793" ht="15.75" customHeight="1">
      <c r="H793" s="39"/>
    </row>
    <row r="794" ht="15.75" customHeight="1">
      <c r="H794" s="39"/>
    </row>
    <row r="795" ht="15.75" customHeight="1">
      <c r="H795" s="39"/>
    </row>
    <row r="796" ht="15.75" customHeight="1">
      <c r="H796" s="39"/>
    </row>
    <row r="797" ht="15.75" customHeight="1">
      <c r="H797" s="39"/>
    </row>
    <row r="798" ht="15.75" customHeight="1">
      <c r="H798" s="39"/>
    </row>
    <row r="799" ht="15.75" customHeight="1">
      <c r="H799" s="39"/>
    </row>
    <row r="800" ht="15.75" customHeight="1">
      <c r="H800" s="39"/>
    </row>
    <row r="801" ht="15.75" customHeight="1">
      <c r="H801" s="39"/>
    </row>
    <row r="802" ht="15.75" customHeight="1">
      <c r="H802" s="39"/>
    </row>
    <row r="803" ht="15.75" customHeight="1">
      <c r="H803" s="39"/>
    </row>
    <row r="804" ht="15.75" customHeight="1">
      <c r="H804" s="39"/>
    </row>
    <row r="805" ht="15.75" customHeight="1">
      <c r="H805" s="39"/>
    </row>
    <row r="806" ht="15.75" customHeight="1">
      <c r="H806" s="39"/>
    </row>
    <row r="807" ht="15.75" customHeight="1">
      <c r="H807" s="39"/>
    </row>
    <row r="808" ht="15.75" customHeight="1">
      <c r="H808" s="39"/>
    </row>
    <row r="809" ht="15.75" customHeight="1">
      <c r="H809" s="39"/>
    </row>
    <row r="810" ht="15.75" customHeight="1">
      <c r="H810" s="39"/>
    </row>
    <row r="811" ht="15.75" customHeight="1">
      <c r="H811" s="39"/>
    </row>
    <row r="812" ht="15.75" customHeight="1">
      <c r="H812" s="39"/>
    </row>
    <row r="813" ht="15.75" customHeight="1">
      <c r="H813" s="39"/>
    </row>
    <row r="814" ht="15.75" customHeight="1">
      <c r="H814" s="39"/>
    </row>
    <row r="815" ht="15.75" customHeight="1">
      <c r="H815" s="39"/>
    </row>
    <row r="816" ht="15.75" customHeight="1">
      <c r="H816" s="39"/>
    </row>
    <row r="817" ht="15.75" customHeight="1">
      <c r="H817" s="39"/>
    </row>
    <row r="818" ht="15.75" customHeight="1">
      <c r="H818" s="39"/>
    </row>
    <row r="819" ht="15.75" customHeight="1">
      <c r="H819" s="39"/>
    </row>
    <row r="820" ht="15.75" customHeight="1">
      <c r="H820" s="39"/>
    </row>
    <row r="821" ht="15.75" customHeight="1">
      <c r="H821" s="39"/>
    </row>
    <row r="822" ht="15.75" customHeight="1">
      <c r="H822" s="39"/>
    </row>
    <row r="823" ht="15.75" customHeight="1">
      <c r="H823" s="39"/>
    </row>
    <row r="824" ht="15.75" customHeight="1">
      <c r="H824" s="39"/>
    </row>
    <row r="825" ht="15.75" customHeight="1">
      <c r="H825" s="39"/>
    </row>
    <row r="826" ht="15.75" customHeight="1">
      <c r="H826" s="39"/>
    </row>
    <row r="827" ht="15.75" customHeight="1">
      <c r="H827" s="39"/>
    </row>
    <row r="828" ht="15.75" customHeight="1">
      <c r="H828" s="39"/>
    </row>
    <row r="829" ht="15.75" customHeight="1">
      <c r="H829" s="39"/>
    </row>
    <row r="830" ht="15.75" customHeight="1">
      <c r="H830" s="39"/>
    </row>
    <row r="831" ht="15.75" customHeight="1">
      <c r="H831" s="39"/>
    </row>
    <row r="832" ht="15.75" customHeight="1">
      <c r="H832" s="39"/>
    </row>
    <row r="833" ht="15.75" customHeight="1">
      <c r="H833" s="39"/>
    </row>
    <row r="834" ht="15.75" customHeight="1">
      <c r="H834" s="39"/>
    </row>
    <row r="835" ht="15.75" customHeight="1">
      <c r="H835" s="39"/>
    </row>
    <row r="836" ht="15.75" customHeight="1">
      <c r="H836" s="39"/>
    </row>
    <row r="837" ht="15.75" customHeight="1">
      <c r="H837" s="39"/>
    </row>
    <row r="838" ht="15.75" customHeight="1">
      <c r="H838" s="39"/>
    </row>
    <row r="839" ht="15.75" customHeight="1">
      <c r="H839" s="39"/>
    </row>
    <row r="840" ht="15.75" customHeight="1">
      <c r="H840" s="39"/>
    </row>
    <row r="841" ht="15.75" customHeight="1">
      <c r="H841" s="39"/>
    </row>
    <row r="842" ht="15.75" customHeight="1">
      <c r="H842" s="39"/>
    </row>
    <row r="843" ht="15.75" customHeight="1">
      <c r="H843" s="39"/>
    </row>
    <row r="844" ht="15.75" customHeight="1">
      <c r="H844" s="39"/>
    </row>
    <row r="845" ht="15.75" customHeight="1">
      <c r="H845" s="39"/>
    </row>
    <row r="846" ht="15.75" customHeight="1">
      <c r="H846" s="39"/>
    </row>
    <row r="847" ht="15.75" customHeight="1">
      <c r="H847" s="39"/>
    </row>
    <row r="848" ht="15.75" customHeight="1">
      <c r="H848" s="39"/>
    </row>
    <row r="849" ht="15.75" customHeight="1">
      <c r="H849" s="39"/>
    </row>
    <row r="850" ht="15.75" customHeight="1">
      <c r="H850" s="39"/>
    </row>
    <row r="851" ht="15.75" customHeight="1">
      <c r="H851" s="39"/>
    </row>
    <row r="852" ht="15.75" customHeight="1">
      <c r="H852" s="39"/>
    </row>
    <row r="853" ht="15.75" customHeight="1">
      <c r="H853" s="39"/>
    </row>
    <row r="854" ht="15.75" customHeight="1">
      <c r="H854" s="39"/>
    </row>
    <row r="855" ht="15.75" customHeight="1">
      <c r="H855" s="39"/>
    </row>
    <row r="856" ht="15.75" customHeight="1">
      <c r="H856" s="39"/>
    </row>
    <row r="857" ht="15.75" customHeight="1">
      <c r="H857" s="39"/>
    </row>
    <row r="858" ht="15.75" customHeight="1">
      <c r="H858" s="39"/>
    </row>
    <row r="859" ht="15.75" customHeight="1">
      <c r="H859" s="39"/>
    </row>
    <row r="860" ht="15.75" customHeight="1">
      <c r="H860" s="39"/>
    </row>
    <row r="861" ht="15.75" customHeight="1">
      <c r="H861" s="39"/>
    </row>
    <row r="862" ht="15.75" customHeight="1">
      <c r="H862" s="39"/>
    </row>
    <row r="863" ht="15.75" customHeight="1">
      <c r="H863" s="39"/>
    </row>
    <row r="864" ht="15.75" customHeight="1">
      <c r="H864" s="39"/>
    </row>
    <row r="865" ht="15.75" customHeight="1">
      <c r="H865" s="39"/>
    </row>
    <row r="866" ht="15.75" customHeight="1">
      <c r="H866" s="39"/>
    </row>
    <row r="867" ht="15.75" customHeight="1">
      <c r="H867" s="39"/>
    </row>
    <row r="868" ht="15.75" customHeight="1">
      <c r="H868" s="39"/>
    </row>
    <row r="869" ht="15.75" customHeight="1">
      <c r="H869" s="39"/>
    </row>
    <row r="870" ht="15.75" customHeight="1">
      <c r="H870" s="39"/>
    </row>
    <row r="871" ht="15.75" customHeight="1">
      <c r="H871" s="39"/>
    </row>
    <row r="872" ht="15.75" customHeight="1">
      <c r="H872" s="39"/>
    </row>
    <row r="873" ht="15.75" customHeight="1">
      <c r="H873" s="39"/>
    </row>
    <row r="874" ht="15.75" customHeight="1">
      <c r="H874" s="39"/>
    </row>
    <row r="875" ht="15.75" customHeight="1">
      <c r="H875" s="39"/>
    </row>
    <row r="876" ht="15.75" customHeight="1">
      <c r="H876" s="39"/>
    </row>
    <row r="877" ht="15.75" customHeight="1">
      <c r="H877" s="39"/>
    </row>
    <row r="878" ht="15.75" customHeight="1">
      <c r="H878" s="39"/>
    </row>
    <row r="879" ht="15.75" customHeight="1">
      <c r="H879" s="39"/>
    </row>
    <row r="880" ht="15.75" customHeight="1">
      <c r="H880" s="39"/>
    </row>
    <row r="881" ht="15.75" customHeight="1">
      <c r="H881" s="39"/>
    </row>
    <row r="882" ht="15.75" customHeight="1">
      <c r="H882" s="39"/>
    </row>
    <row r="883" ht="15.75" customHeight="1">
      <c r="H883" s="39"/>
    </row>
    <row r="884" ht="15.75" customHeight="1">
      <c r="H884" s="39"/>
    </row>
    <row r="885" ht="15.75" customHeight="1">
      <c r="H885" s="39"/>
    </row>
    <row r="886" ht="15.75" customHeight="1">
      <c r="H886" s="39"/>
    </row>
    <row r="887" ht="15.75" customHeight="1">
      <c r="H887" s="39"/>
    </row>
    <row r="888" ht="15.75" customHeight="1">
      <c r="H888" s="39"/>
    </row>
    <row r="889" ht="15.75" customHeight="1">
      <c r="H889" s="39"/>
    </row>
    <row r="890" ht="15.75" customHeight="1">
      <c r="H890" s="39"/>
    </row>
    <row r="891" ht="15.75" customHeight="1">
      <c r="H891" s="39"/>
    </row>
    <row r="892" ht="15.75" customHeight="1">
      <c r="H892" s="39"/>
    </row>
    <row r="893" ht="15.75" customHeight="1">
      <c r="H893" s="39"/>
    </row>
    <row r="894" ht="15.75" customHeight="1">
      <c r="H894" s="39"/>
    </row>
    <row r="895" ht="15.75" customHeight="1">
      <c r="H895" s="39"/>
    </row>
    <row r="896" ht="15.75" customHeight="1">
      <c r="H896" s="39"/>
    </row>
    <row r="897" ht="15.75" customHeight="1">
      <c r="H897" s="39"/>
    </row>
    <row r="898" ht="15.75" customHeight="1">
      <c r="H898" s="39"/>
    </row>
    <row r="899" ht="15.75" customHeight="1">
      <c r="H899" s="39"/>
    </row>
    <row r="900" ht="15.75" customHeight="1">
      <c r="H900" s="39"/>
    </row>
    <row r="901" ht="15.75" customHeight="1">
      <c r="H901" s="39"/>
    </row>
    <row r="902" ht="15.75" customHeight="1">
      <c r="H902" s="39"/>
    </row>
    <row r="903" ht="15.75" customHeight="1">
      <c r="H903" s="39"/>
    </row>
    <row r="904" ht="15.75" customHeight="1">
      <c r="H904" s="39"/>
    </row>
    <row r="905" ht="15.75" customHeight="1">
      <c r="H905" s="39"/>
    </row>
    <row r="906" ht="15.75" customHeight="1">
      <c r="H906" s="39"/>
    </row>
    <row r="907" ht="15.75" customHeight="1">
      <c r="H907" s="39"/>
    </row>
    <row r="908" ht="15.75" customHeight="1">
      <c r="H908" s="39"/>
    </row>
    <row r="909" ht="15.75" customHeight="1">
      <c r="H909" s="39"/>
    </row>
    <row r="910" ht="15.75" customHeight="1">
      <c r="H910" s="39"/>
    </row>
    <row r="911" ht="15.75" customHeight="1">
      <c r="H911" s="39"/>
    </row>
    <row r="912" ht="15.75" customHeight="1">
      <c r="H912" s="39"/>
    </row>
    <row r="913" ht="15.75" customHeight="1">
      <c r="H913" s="39"/>
    </row>
    <row r="914" ht="15.75" customHeight="1">
      <c r="H914" s="39"/>
    </row>
    <row r="915" ht="15.75" customHeight="1">
      <c r="H915" s="39"/>
    </row>
    <row r="916" ht="15.75" customHeight="1">
      <c r="H916" s="39"/>
    </row>
    <row r="917" ht="15.75" customHeight="1">
      <c r="H917" s="39"/>
    </row>
    <row r="918" ht="15.75" customHeight="1">
      <c r="H918" s="39"/>
    </row>
    <row r="919" ht="15.75" customHeight="1">
      <c r="H919" s="39"/>
    </row>
    <row r="920" ht="15.75" customHeight="1">
      <c r="H920" s="39"/>
    </row>
    <row r="921" ht="15.75" customHeight="1">
      <c r="H921" s="39"/>
    </row>
    <row r="922" ht="15.75" customHeight="1">
      <c r="H922" s="39"/>
    </row>
    <row r="923" ht="15.75" customHeight="1">
      <c r="H923" s="39"/>
    </row>
    <row r="924" ht="15.75" customHeight="1">
      <c r="H924" s="39"/>
    </row>
    <row r="925" ht="15.75" customHeight="1">
      <c r="H925" s="39"/>
    </row>
    <row r="926" ht="15.75" customHeight="1">
      <c r="H926" s="39"/>
    </row>
    <row r="927" ht="15.75" customHeight="1">
      <c r="H927" s="39"/>
    </row>
    <row r="928" ht="15.75" customHeight="1">
      <c r="H928" s="39"/>
    </row>
    <row r="929" ht="15.75" customHeight="1">
      <c r="H929" s="39"/>
    </row>
    <row r="930" ht="15.75" customHeight="1">
      <c r="H930" s="39"/>
    </row>
    <row r="931" ht="15.75" customHeight="1">
      <c r="H931" s="39"/>
    </row>
    <row r="932" ht="15.75" customHeight="1">
      <c r="H932" s="39"/>
    </row>
    <row r="933" ht="15.75" customHeight="1">
      <c r="H933" s="39"/>
    </row>
    <row r="934" ht="15.75" customHeight="1">
      <c r="H934" s="39"/>
    </row>
    <row r="935" ht="15.75" customHeight="1">
      <c r="H935" s="39"/>
    </row>
    <row r="936" ht="15.75" customHeight="1">
      <c r="H936" s="39"/>
    </row>
    <row r="937" ht="15.75" customHeight="1">
      <c r="H937" s="39"/>
    </row>
    <row r="938" ht="15.75" customHeight="1">
      <c r="H938" s="39"/>
    </row>
    <row r="939" ht="15.75" customHeight="1">
      <c r="H939" s="39"/>
    </row>
    <row r="940" ht="15.75" customHeight="1">
      <c r="H940" s="39"/>
    </row>
    <row r="941" ht="15.75" customHeight="1">
      <c r="H941" s="39"/>
    </row>
    <row r="942" ht="15.75" customHeight="1">
      <c r="H942" s="39"/>
    </row>
    <row r="943" ht="15.75" customHeight="1">
      <c r="H943" s="39"/>
    </row>
    <row r="944" ht="15.75" customHeight="1">
      <c r="H944" s="39"/>
    </row>
    <row r="945" ht="15.75" customHeight="1">
      <c r="H945" s="39"/>
    </row>
    <row r="946" ht="15.75" customHeight="1">
      <c r="H946" s="39"/>
    </row>
    <row r="947" ht="15.75" customHeight="1">
      <c r="H947" s="39"/>
    </row>
    <row r="948" ht="15.75" customHeight="1">
      <c r="H948" s="39"/>
    </row>
    <row r="949" ht="15.75" customHeight="1">
      <c r="H949" s="39"/>
    </row>
    <row r="950" ht="15.75" customHeight="1">
      <c r="H950" s="39"/>
    </row>
    <row r="951" ht="15.75" customHeight="1">
      <c r="H951" s="39"/>
    </row>
    <row r="952" ht="15.75" customHeight="1">
      <c r="H952" s="39"/>
    </row>
    <row r="953" ht="15.75" customHeight="1">
      <c r="H953" s="39"/>
    </row>
    <row r="954" ht="15.75" customHeight="1">
      <c r="H954" s="39"/>
    </row>
    <row r="955" ht="15.75" customHeight="1">
      <c r="H955" s="39"/>
    </row>
    <row r="956" ht="15.75" customHeight="1">
      <c r="H956" s="39"/>
    </row>
    <row r="957" ht="15.75" customHeight="1">
      <c r="H957" s="39"/>
    </row>
    <row r="958" ht="15.75" customHeight="1">
      <c r="H958" s="39"/>
    </row>
    <row r="959" ht="15.75" customHeight="1">
      <c r="H959" s="39"/>
    </row>
    <row r="960" ht="15.75" customHeight="1">
      <c r="H960" s="39"/>
    </row>
    <row r="961" ht="15.75" customHeight="1">
      <c r="H961" s="39"/>
    </row>
    <row r="962" ht="15.75" customHeight="1">
      <c r="H962" s="39"/>
    </row>
    <row r="963" ht="15.75" customHeight="1">
      <c r="H963" s="39"/>
    </row>
    <row r="964" ht="15.75" customHeight="1">
      <c r="H964" s="39"/>
    </row>
    <row r="965" ht="15.75" customHeight="1">
      <c r="H965" s="39"/>
    </row>
    <row r="966" ht="15.75" customHeight="1">
      <c r="H966" s="39"/>
    </row>
    <row r="967" ht="15.75" customHeight="1">
      <c r="H967" s="39"/>
    </row>
    <row r="968" ht="15.75" customHeight="1">
      <c r="H968" s="39"/>
    </row>
    <row r="969" ht="15.75" customHeight="1">
      <c r="H969" s="39"/>
    </row>
    <row r="970" ht="15.75" customHeight="1">
      <c r="H970" s="39"/>
    </row>
    <row r="971" ht="15.75" customHeight="1">
      <c r="H971" s="39"/>
    </row>
    <row r="972" ht="15.75" customHeight="1">
      <c r="H972" s="39"/>
    </row>
    <row r="973" ht="15.75" customHeight="1">
      <c r="H973" s="39"/>
    </row>
    <row r="974" ht="15.75" customHeight="1">
      <c r="H974" s="39"/>
    </row>
    <row r="975" ht="15.75" customHeight="1">
      <c r="H975" s="39"/>
    </row>
    <row r="976" ht="15.75" customHeight="1">
      <c r="H976" s="39"/>
    </row>
    <row r="977" ht="15.75" customHeight="1">
      <c r="H977" s="39"/>
    </row>
    <row r="978" ht="15.75" customHeight="1">
      <c r="H978" s="39"/>
    </row>
    <row r="979" ht="15.75" customHeight="1">
      <c r="H979" s="39"/>
    </row>
    <row r="980" ht="15.75" customHeight="1">
      <c r="H980" s="39"/>
    </row>
    <row r="981" ht="15.75" customHeight="1">
      <c r="H981" s="39"/>
    </row>
    <row r="982" ht="15.75" customHeight="1">
      <c r="H982" s="39"/>
    </row>
    <row r="983" ht="15.75" customHeight="1">
      <c r="H983" s="39"/>
    </row>
    <row r="984" ht="15.75" customHeight="1">
      <c r="H984" s="39"/>
    </row>
    <row r="985" ht="15.75" customHeight="1">
      <c r="H985" s="39"/>
    </row>
    <row r="986" ht="15.75" customHeight="1">
      <c r="H986" s="39"/>
    </row>
    <row r="987" ht="15.75" customHeight="1">
      <c r="H987" s="39"/>
    </row>
    <row r="988" ht="15.75" customHeight="1">
      <c r="H988" s="39"/>
    </row>
    <row r="989" ht="15.75" customHeight="1">
      <c r="H989" s="39"/>
    </row>
    <row r="990" ht="15.75" customHeight="1">
      <c r="H990" s="39"/>
    </row>
    <row r="991" ht="15.75" customHeight="1">
      <c r="H991" s="39"/>
    </row>
    <row r="992" ht="15.75" customHeight="1">
      <c r="H992" s="39"/>
    </row>
    <row r="993" ht="15.75" customHeight="1">
      <c r="H993" s="39"/>
    </row>
    <row r="994" ht="15.75" customHeight="1">
      <c r="H994" s="39"/>
    </row>
    <row r="995" ht="15.75" customHeight="1">
      <c r="H995" s="39"/>
    </row>
    <row r="996" ht="15.75" customHeight="1">
      <c r="H996" s="39"/>
    </row>
    <row r="997" ht="15.75" customHeight="1">
      <c r="H997" s="39"/>
    </row>
    <row r="998" ht="15.75" customHeight="1">
      <c r="H998" s="39"/>
    </row>
    <row r="999" ht="15.75" customHeight="1">
      <c r="H999" s="39"/>
    </row>
  </sheetData>
  <hyperlinks>
    <hyperlink r:id="rId1" ref="F2"/>
    <hyperlink r:id="rId2" ref="F3"/>
    <hyperlink r:id="rId3" ref="F4"/>
  </hyperlinks>
  <printOptions/>
  <pageMargins bottom="1.0" footer="0.0" header="0.0" left="0.75" right="0.75" top="1.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4.57"/>
    <col customWidth="1" min="3" max="26" width="9.14"/>
  </cols>
  <sheetData>
    <row r="1">
      <c r="A1" s="45" t="s">
        <v>272</v>
      </c>
      <c r="B1" s="45" t="s">
        <v>273</v>
      </c>
    </row>
    <row r="2">
      <c r="A2" s="34" t="s">
        <v>274</v>
      </c>
      <c r="B2" s="34">
        <f>COUNTIFS('Leads-Vendedores'!H1:H1000,"&gt;="&amp;TODAY(),'Leads-Vendedores'!H1:H1000,"&lt;"&amp;TODAY()+1)</f>
        <v>0</v>
      </c>
    </row>
    <row r="3">
      <c r="A3" s="34" t="s">
        <v>275</v>
      </c>
      <c r="B3" s="34">
        <f>COUNTIFS('Leads-Compradores'!H:H,"&gt;="&amp;TODAY(),'Leads-Compradores'!H:H,"&lt;"&amp;TODAY()+1)</f>
        <v>0</v>
      </c>
    </row>
    <row r="4">
      <c r="A4" s="34" t="s">
        <v>276</v>
      </c>
      <c r="B4" s="34">
        <f>COUNTA('Leads-Vendedores'!A:A)-1</f>
        <v>34</v>
      </c>
    </row>
    <row r="5">
      <c r="A5" s="34" t="s">
        <v>277</v>
      </c>
      <c r="B5" s="34">
        <f>COUNTA('Leads-Compradores'!A:A)-1</f>
        <v>8</v>
      </c>
    </row>
    <row r="6">
      <c r="A6" s="34" t="s">
        <v>278</v>
      </c>
      <c r="B6" s="34">
        <f>COUNTIF(#REF!,"Contactado") + COUNTIF(#REF!,"Contactado")</f>
        <v>0</v>
      </c>
    </row>
    <row r="7">
      <c r="A7" s="34" t="s">
        <v>279</v>
      </c>
      <c r="B7" s="34">
        <f>COUNTIF(#REF!,"Reunión agendada") + COUNTIF(#REF!,"Reunión agendada")</f>
        <v>0</v>
      </c>
    </row>
    <row r="8">
      <c r="A8" s="46" t="s">
        <v>280</v>
      </c>
      <c r="B8" s="34">
        <f>COUNTIF(#REF!,"LOI") + COUNTIF(#REF!,"LOI")</f>
        <v>0</v>
      </c>
    </row>
    <row r="9">
      <c r="A9" s="46" t="s">
        <v>281</v>
      </c>
      <c r="B9" s="34">
        <f>COUNTIF(#REF!,"Cierre") + COUNTIF(#REF!,"Cierre")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3.29"/>
    <col customWidth="1" min="3" max="3" width="17.0"/>
    <col customWidth="1" min="4" max="4" width="10.0"/>
    <col customWidth="1" min="5" max="5" width="24.0"/>
    <col customWidth="1" min="6" max="6" width="20.29"/>
  </cols>
  <sheetData>
    <row r="1">
      <c r="A1" s="47" t="s">
        <v>282</v>
      </c>
      <c r="B1" s="47" t="s">
        <v>283</v>
      </c>
      <c r="C1" s="47" t="s">
        <v>10</v>
      </c>
      <c r="D1" s="47" t="s">
        <v>12</v>
      </c>
      <c r="E1" s="47" t="s">
        <v>284</v>
      </c>
      <c r="F1" s="47" t="s">
        <v>1</v>
      </c>
      <c r="G1" s="47" t="s">
        <v>4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6" t="s">
        <v>266</v>
      </c>
      <c r="B2" s="46" t="s">
        <v>69</v>
      </c>
      <c r="C2" s="46" t="s">
        <v>22</v>
      </c>
      <c r="D2" s="46" t="s">
        <v>224</v>
      </c>
      <c r="E2" s="46" t="s">
        <v>285</v>
      </c>
      <c r="F2" s="46" t="s">
        <v>26</v>
      </c>
      <c r="G2" s="34" t="str">
        <f>IFERROR(__xludf.DUMMYFUNCTION("UNIQUE(FLATTEN({A2:A1000;E2:E1000}))"),"Chile")</f>
        <v>Chile</v>
      </c>
    </row>
    <row r="3">
      <c r="A3" s="46" t="s">
        <v>40</v>
      </c>
      <c r="B3" s="46" t="s">
        <v>36</v>
      </c>
      <c r="C3" s="46" t="s">
        <v>286</v>
      </c>
      <c r="D3" s="46" t="s">
        <v>287</v>
      </c>
      <c r="E3" s="46" t="s">
        <v>288</v>
      </c>
      <c r="F3" s="46" t="s">
        <v>65</v>
      </c>
      <c r="G3" s="34" t="str">
        <f>IFERROR(__xludf.DUMMYFUNCTION("""COMPUTED_VALUE"""),"Peru")</f>
        <v>Peru</v>
      </c>
    </row>
    <row r="4">
      <c r="A4" s="46" t="s">
        <v>169</v>
      </c>
      <c r="B4" s="46" t="s">
        <v>289</v>
      </c>
      <c r="C4" s="46" t="s">
        <v>290</v>
      </c>
      <c r="D4" s="46" t="s">
        <v>23</v>
      </c>
      <c r="E4" s="46" t="s">
        <v>291</v>
      </c>
      <c r="F4" s="46" t="s">
        <v>15</v>
      </c>
      <c r="G4" s="34" t="str">
        <f>IFERROR(__xludf.DUMMYFUNCTION("""COMPUTED_VALUE"""),"Argentina")</f>
        <v>Argentina</v>
      </c>
    </row>
    <row r="5">
      <c r="A5" s="46" t="s">
        <v>292</v>
      </c>
      <c r="B5" s="46" t="s">
        <v>20</v>
      </c>
      <c r="C5" s="46" t="s">
        <v>293</v>
      </c>
      <c r="D5" s="46" t="s">
        <v>294</v>
      </c>
      <c r="E5" s="46" t="s">
        <v>295</v>
      </c>
      <c r="G5" s="34" t="str">
        <f>IFERROR(__xludf.DUMMYFUNCTION("""COMPUTED_VALUE"""),"Bolivia")</f>
        <v>Bolivia</v>
      </c>
    </row>
    <row r="6">
      <c r="A6" s="46" t="s">
        <v>296</v>
      </c>
      <c r="B6" s="46" t="s">
        <v>297</v>
      </c>
      <c r="C6" s="46" t="s">
        <v>298</v>
      </c>
      <c r="D6" s="46" t="s">
        <v>299</v>
      </c>
      <c r="E6" s="46" t="s">
        <v>249</v>
      </c>
      <c r="G6" s="34" t="str">
        <f>IFERROR(__xludf.DUMMYFUNCTION("""COMPUTED_VALUE"""),"Ecuador")</f>
        <v>Ecuador</v>
      </c>
    </row>
    <row r="7">
      <c r="A7" s="46" t="s">
        <v>148</v>
      </c>
      <c r="B7" s="46" t="s">
        <v>300</v>
      </c>
      <c r="C7" s="46" t="s">
        <v>301</v>
      </c>
      <c r="D7" s="46" t="s">
        <v>302</v>
      </c>
      <c r="E7" s="46" t="s">
        <v>303</v>
      </c>
      <c r="G7" s="34" t="str">
        <f>IFERROR(__xludf.DUMMYFUNCTION("""COMPUTED_VALUE"""),"Colombia")</f>
        <v>Colombia</v>
      </c>
    </row>
    <row r="8">
      <c r="A8" s="46" t="s">
        <v>156</v>
      </c>
      <c r="B8" s="46" t="s">
        <v>52</v>
      </c>
      <c r="C8" s="46" t="s">
        <v>304</v>
      </c>
      <c r="D8" s="46" t="s">
        <v>217</v>
      </c>
      <c r="E8" s="46" t="s">
        <v>305</v>
      </c>
      <c r="G8" s="34" t="str">
        <f>IFERROR(__xludf.DUMMYFUNCTION("""COMPUTED_VALUE"""),"Uruguay")</f>
        <v>Uruguay</v>
      </c>
    </row>
    <row r="9">
      <c r="A9" s="46" t="s">
        <v>29</v>
      </c>
      <c r="B9" s="46" t="s">
        <v>306</v>
      </c>
      <c r="E9" s="46" t="s">
        <v>307</v>
      </c>
      <c r="G9" s="34" t="str">
        <f>IFERROR(__xludf.DUMMYFUNCTION("""COMPUTED_VALUE"""),"Brasil")</f>
        <v>Brasil</v>
      </c>
    </row>
    <row r="10">
      <c r="A10" s="46" t="s">
        <v>308</v>
      </c>
      <c r="B10" s="46" t="s">
        <v>138</v>
      </c>
      <c r="E10" s="46" t="s">
        <v>309</v>
      </c>
      <c r="G10" s="34" t="str">
        <f>IFERROR(__xludf.DUMMYFUNCTION("""COMPUTED_VALUE"""),"Panama")</f>
        <v>Panama</v>
      </c>
    </row>
    <row r="11">
      <c r="A11" s="46" t="s">
        <v>310</v>
      </c>
      <c r="B11" s="46" t="s">
        <v>151</v>
      </c>
      <c r="E11" s="46" t="s">
        <v>311</v>
      </c>
      <c r="G11" s="34" t="str">
        <f>IFERROR(__xludf.DUMMYFUNCTION("""COMPUTED_VALUE"""),"El salvador")</f>
        <v>El salvador</v>
      </c>
    </row>
    <row r="12">
      <c r="A12" s="46" t="s">
        <v>56</v>
      </c>
      <c r="B12" s="46" t="s">
        <v>97</v>
      </c>
      <c r="E12" s="46" t="s">
        <v>312</v>
      </c>
      <c r="G12" s="34" t="str">
        <f>IFERROR(__xludf.DUMMYFUNCTION("""COMPUTED_VALUE"""),"Mexico")</f>
        <v>Mexico</v>
      </c>
    </row>
    <row r="13">
      <c r="A13" s="46" t="s">
        <v>18</v>
      </c>
      <c r="E13" s="46" t="s">
        <v>313</v>
      </c>
      <c r="G13" s="34" t="str">
        <f>IFERROR(__xludf.DUMMYFUNCTION("""COMPUTED_VALUE"""),"Sudafrica")</f>
        <v>Sudafrica</v>
      </c>
    </row>
    <row r="14">
      <c r="A14" s="46" t="s">
        <v>188</v>
      </c>
      <c r="E14" s="46" t="s">
        <v>314</v>
      </c>
      <c r="G14" s="34" t="str">
        <f>IFERROR(__xludf.DUMMYFUNCTION("""COMPUTED_VALUE"""),"Zambia")</f>
        <v>Zambia</v>
      </c>
    </row>
    <row r="15">
      <c r="A15" s="46" t="s">
        <v>221</v>
      </c>
      <c r="E15" s="46" t="s">
        <v>315</v>
      </c>
      <c r="G15" s="34" t="str">
        <f>IFERROR(__xludf.DUMMYFUNCTION("""COMPUTED_VALUE"""),"Filipinas")</f>
        <v>Filipinas</v>
      </c>
    </row>
    <row r="16">
      <c r="A16" s="46" t="s">
        <v>230</v>
      </c>
      <c r="E16" s="46" t="s">
        <v>316</v>
      </c>
      <c r="G16" s="34" t="str">
        <f>IFERROR(__xludf.DUMMYFUNCTION("""COMPUTED_VALUE"""),"Kenia")</f>
        <v>Kenia</v>
      </c>
    </row>
    <row r="17">
      <c r="A17" s="46" t="s">
        <v>241</v>
      </c>
      <c r="E17" s="46" t="s">
        <v>317</v>
      </c>
      <c r="G17" s="34" t="str">
        <f>IFERROR(__xludf.DUMMYFUNCTION("""COMPUTED_VALUE"""),"Estados Unidos")</f>
        <v>Estados Unidos</v>
      </c>
    </row>
    <row r="18">
      <c r="A18" s="46" t="s">
        <v>249</v>
      </c>
      <c r="E18" s="46" t="s">
        <v>318</v>
      </c>
      <c r="G18" s="34" t="str">
        <f>IFERROR(__xludf.DUMMYFUNCTION("""COMPUTED_VALUE"""),"China")</f>
        <v>China</v>
      </c>
    </row>
    <row r="19">
      <c r="E19" s="46" t="s">
        <v>319</v>
      </c>
      <c r="G19" s="34"/>
    </row>
    <row r="20">
      <c r="E20" s="46" t="s">
        <v>320</v>
      </c>
      <c r="G20" s="34" t="str">
        <f>IFERROR(__xludf.DUMMYFUNCTION("""COMPUTED_VALUE"""),"Estados unidos")</f>
        <v>Estados unidos</v>
      </c>
    </row>
    <row r="21">
      <c r="E21" s="46" t="s">
        <v>321</v>
      </c>
      <c r="G21" s="34" t="str">
        <f>IFERROR(__xludf.DUMMYFUNCTION("""COMPUTED_VALUE"""),"Canada")</f>
        <v>Canada</v>
      </c>
    </row>
    <row r="22">
      <c r="E22" s="46" t="s">
        <v>322</v>
      </c>
      <c r="G22" s="34" t="str">
        <f>IFERROR(__xludf.DUMMYFUNCTION("""COMPUTED_VALUE"""),"Australia")</f>
        <v>Australia</v>
      </c>
    </row>
    <row r="23">
      <c r="E23" s="46" t="s">
        <v>323</v>
      </c>
      <c r="G23" s="34" t="str">
        <f>IFERROR(__xludf.DUMMYFUNCTION("""COMPUTED_VALUE"""),"Nueva Zelanda")</f>
        <v>Nueva Zelanda</v>
      </c>
    </row>
    <row r="24">
      <c r="G24" s="34" t="str">
        <f>IFERROR(__xludf.DUMMYFUNCTION("""COMPUTED_VALUE"""),"Japon")</f>
        <v>Japon</v>
      </c>
    </row>
    <row r="25">
      <c r="G25" s="34" t="str">
        <f>IFERROR(__xludf.DUMMYFUNCTION("""COMPUTED_VALUE"""),"India")</f>
        <v>India</v>
      </c>
    </row>
    <row r="26">
      <c r="G26" s="34" t="str">
        <f>IFERROR(__xludf.DUMMYFUNCTION("""COMPUTED_VALUE"""),"Dubai")</f>
        <v>Dubai</v>
      </c>
    </row>
    <row r="27">
      <c r="G27" s="34" t="str">
        <f>IFERROR(__xludf.DUMMYFUNCTION("""COMPUTED_VALUE"""),"Turkia")</f>
        <v>Turkia</v>
      </c>
    </row>
    <row r="28">
      <c r="G28" s="34" t="str">
        <f>IFERROR(__xludf.DUMMYFUNCTION("""COMPUTED_VALUE"""),"Alemania")</f>
        <v>Alemania</v>
      </c>
    </row>
    <row r="29">
      <c r="G29" s="34" t="str">
        <f>IFERROR(__xludf.DUMMYFUNCTION("""COMPUTED_VALUE"""),"Inglaterra")</f>
        <v>Inglaterra</v>
      </c>
    </row>
    <row r="30">
      <c r="G30" s="34" t="str">
        <f>IFERROR(__xludf.DUMMYFUNCTION("""COMPUTED_VALUE"""),"Italia")</f>
        <v>Italia</v>
      </c>
    </row>
    <row r="31">
      <c r="G31" s="34" t="str">
        <f>IFERROR(__xludf.DUMMYFUNCTION("""COMPUTED_VALUE"""),"España")</f>
        <v>España</v>
      </c>
    </row>
    <row r="32">
      <c r="G32" s="34" t="str">
        <f>IFERROR(__xludf.DUMMYFUNCTION("""COMPUTED_VALUE"""),"Suiza")</f>
        <v>Suiza</v>
      </c>
    </row>
    <row r="33">
      <c r="G33" s="34" t="str">
        <f>IFERROR(__xludf.DUMMYFUNCTION("""COMPUTED_VALUE"""),"Suecia")</f>
        <v>Suecia</v>
      </c>
    </row>
    <row r="34">
      <c r="G34" s="34" t="str">
        <f>IFERROR(__xludf.DUMMYFUNCTION("""COMPUTED_VALUE"""),"Portugal")</f>
        <v>Portugal</v>
      </c>
    </row>
    <row r="35">
      <c r="G35" s="34" t="str">
        <f>IFERROR(__xludf.DUMMYFUNCTION("""COMPUTED_VALUE"""),"Holanda")</f>
        <v>Holanda</v>
      </c>
    </row>
    <row r="36">
      <c r="G36" s="34" t="str">
        <f>IFERROR(__xludf.DUMMYFUNCTION("""COMPUTED_VALUE"""),"Noruega")</f>
        <v>Noruega</v>
      </c>
    </row>
    <row r="37">
      <c r="G37" s="34" t="str">
        <f>IFERROR(__xludf.DUMMYFUNCTION("""COMPUTED_VALUE"""),"Irlanda")</f>
        <v>Irlanda</v>
      </c>
    </row>
    <row r="38">
      <c r="G38" s="34" t="str">
        <f>IFERROR(__xludf.DUMMYFUNCTION("""COMPUTED_VALUE"""),"Francia")</f>
        <v>Francia</v>
      </c>
    </row>
    <row r="39">
      <c r="G39" s="34" t="str">
        <f>IFERROR(__xludf.DUMMYFUNCTION("""COMPUTED_VALUE"""),"Austria")</f>
        <v>Austria</v>
      </c>
    </row>
    <row r="40">
      <c r="G40" s="34" t="str">
        <f>IFERROR(__xludf.DUMMYFUNCTION("""COMPUTED_VALUE"""),"Dinamarca")</f>
        <v>Dinamarca</v>
      </c>
    </row>
  </sheetData>
  <dataValidations>
    <dataValidation type="list" allowBlank="1" showErrorMessage="1" sqref="B2:B10">
      <formula1>"Cobre Catodos,Cobre Concentrado,Cobre en breña,Hierro,Oro,Otros,Plata,Estaño,Tierras raras"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2025-09-12T02:42:58Z</dcterms:created>
  <dc:creator>openpyxl</dc:creator>
</cp:coreProperties>
</file>